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ta" sheetId="1" state="visible" r:id="rId3"/>
    <sheet name="Calc" sheetId="2" state="visible" r:id="rId4"/>
    <sheet name="Dashboard" sheetId="3" state="visible" r:id="rId5"/>
    <sheet name="Data_Summary" sheetId="4" state="visible" r:id="rId6"/>
    <sheet name="Data_Insight" sheetId="5" state="visible" r:id="rId7"/>
    <sheet name="Unmatched_Data" sheetId="6" state="hidden" r:id="rId8"/>
  </sheets>
  <definedNames>
    <definedName function="false" hidden="false" name="Data_Insight" vbProcedure="false">Data_Insight!$1:$1048576</definedName>
    <definedName function="false" hidden="false" name="Data_Summary" vbProcedure="false">Data_Summary!$1:$1048576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<sst xmlns="http://schemas.openxmlformats.org/spreadsheetml/2006/main" count="74570" uniqueCount="3356">
  <si>
    <t xml:space="preserve">ID</t>
  </si>
  <si>
    <t xml:space="preserve">Start time</t>
  </si>
  <si>
    <t xml:space="preserve">Completion time</t>
  </si>
  <si>
    <t xml:space="preserve">Email</t>
  </si>
  <si>
    <t xml:space="preserve">Name</t>
  </si>
  <si>
    <t xml:space="preserve">BHR Name</t>
  </si>
  <si>
    <t xml:space="preserve">BHR Employee ID</t>
  </si>
  <si>
    <t xml:space="preserve">Date of Connect</t>
  </si>
  <si>
    <t xml:space="preserve">Engagement Type</t>
  </si>
  <si>
    <t xml:space="preserve">IBU/Practice/Location</t>
  </si>
  <si>
    <t xml:space="preserve">Mention your location {Ex. Noida}</t>
  </si>
  <si>
    <t xml:space="preserve">PRACTICE CODE (As per head count report) {Ex. DEA-D-2007}</t>
  </si>
  <si>
    <t xml:space="preserve">Band</t>
  </si>
  <si>
    <t xml:space="preserve">Engagement Mode</t>
  </si>
  <si>
    <t xml:space="preserve">Service Line</t>
  </si>
  <si>
    <t xml:space="preserve">EMPLOYEE IBU CODE (As per head count report) {Ex. DEA-D-4031}</t>
  </si>
  <si>
    <t xml:space="preserve">PROJECT DESCRIPTION (As per head count report) {If Mixed then list down all the Project name/Practice/ SL}</t>
  </si>
  <si>
    <t xml:space="preserve">LSA Connect (In detail)</t>
  </si>
  <si>
    <t xml:space="preserve">Exclusive Award Ceremony (Not part of Townhall) (In detail)</t>
  </si>
  <si>
    <t xml:space="preserve">Cadence Connect</t>
  </si>
  <si>
    <t xml:space="preserve">CARES Framework</t>
  </si>
  <si>
    <t xml:space="preserve">Career</t>
  </si>
  <si>
    <t xml:space="preserve">Alignment</t>
  </si>
  <si>
    <t xml:space="preserve">Recognition</t>
  </si>
  <si>
    <t xml:space="preserve">Empowerment</t>
  </si>
  <si>
    <t xml:space="preserve">Strive</t>
  </si>
  <si>
    <t xml:space="preserve">Townhall - Coverage</t>
  </si>
  <si>
    <t xml:space="preserve">Townhall - Key Insight
</t>
  </si>
  <si>
    <t xml:space="preserve"> Townhall - Action Plan</t>
  </si>
  <si>
    <t xml:space="preserve">SL Induction - Coverage</t>
  </si>
  <si>
    <t xml:space="preserve">SL Induction - Key Insight</t>
  </si>
  <si>
    <t xml:space="preserve">SL Induction - Action Plan</t>
  </si>
  <si>
    <t xml:space="preserve">Business Wait Connect - Coverage</t>
  </si>
  <si>
    <t xml:space="preserve">Business Wait Connect - Key Insight</t>
  </si>
  <si>
    <t xml:space="preserve">Business Wait Connect - Action Plan</t>
  </si>
  <si>
    <t xml:space="preserve">ELTP Connect (Practice Level) - Coverage</t>
  </si>
  <si>
    <t xml:space="preserve">ELTP Connect (Practice Level) - Key Insight</t>
  </si>
  <si>
    <t xml:space="preserve">ELTP Connect (Practice Level) - Action Plan
</t>
  </si>
  <si>
    <t xml:space="preserve">ELTP Connect (&lt;6m) - Coverage</t>
  </si>
  <si>
    <t xml:space="preserve">ELTP Connect (&lt;6m) - Key Insight</t>
  </si>
  <si>
    <t xml:space="preserve">ELTP Connect (&lt;6m) - Action Plan</t>
  </si>
  <si>
    <t xml:space="preserve">ELTP Connect (6-12m) - Coverage</t>
  </si>
  <si>
    <t xml:space="preserve">ELTP Connect (6-12m) - Key Insight</t>
  </si>
  <si>
    <t xml:space="preserve">ELTP Connect (6-12m) - Action Plan</t>
  </si>
  <si>
    <t xml:space="preserve">ELTP Connect (12-24m) - Coverage</t>
  </si>
  <si>
    <t xml:space="preserve">ELTP Connect (12-24m) - Key Insight</t>
  </si>
  <si>
    <t xml:space="preserve">ELTP Connect (12-24m) - Action Plan</t>
  </si>
  <si>
    <t xml:space="preserve">HR Connect (Project Wise) - Coverage</t>
  </si>
  <si>
    <t xml:space="preserve">HR Connect (Project Wise) - Key Insights </t>
  </si>
  <si>
    <t xml:space="preserve">HR Connect (Project Wise) - Action Plan</t>
  </si>
  <si>
    <t xml:space="preserve">HR Connect (General) - Coverage</t>
  </si>
  <si>
    <t xml:space="preserve">HR Connect (General) - Key Insights</t>
  </si>
  <si>
    <t xml:space="preserve">HR Connect (General) - Action Plan</t>
  </si>
  <si>
    <t xml:space="preserve">Top Talent Connect - Coverage</t>
  </si>
  <si>
    <t xml:space="preserve">Top Talent Connect - Key Insights</t>
  </si>
  <si>
    <t xml:space="preserve">Top Talent Connect - Action Plan</t>
  </si>
  <si>
    <t xml:space="preserve">Top Talent FGD Connect - Coverage</t>
  </si>
  <si>
    <t xml:space="preserve">Top Talent FGD Connect - Key Insights</t>
  </si>
  <si>
    <t xml:space="preserve">Top Talent FGD Connect - Action Plan</t>
  </si>
  <si>
    <t xml:space="preserve">New Joiner Connect (7 Days) - Coverage</t>
  </si>
  <si>
    <t xml:space="preserve">New Joiner Connect (7 Days) - Key Insights</t>
  </si>
  <si>
    <t xml:space="preserve">New Joiner Connect (7 Days) - Action Plan</t>
  </si>
  <si>
    <t xml:space="preserve">New Joiner Connect (30 Days) - Coverage</t>
  </si>
  <si>
    <t xml:space="preserve">New Joiner Connect (30 Days) - Key Insights</t>
  </si>
  <si>
    <t xml:space="preserve">New Joiner Connect (30 Days) - Action Plan</t>
  </si>
  <si>
    <t xml:space="preserve">New Joiner Connect (60 Days) - Coverage</t>
  </si>
  <si>
    <t xml:space="preserve">New Joiner Connect (60 Days) - Key Insights</t>
  </si>
  <si>
    <t xml:space="preserve">New Joiner Connect (60 Days) - Action Plan</t>
  </si>
  <si>
    <t xml:space="preserve">New Joiner Connect (90 Days) - Coverage</t>
  </si>
  <si>
    <t xml:space="preserve">New Joiner Connect (90 Days) - Key Insights</t>
  </si>
  <si>
    <t xml:space="preserve">New Joiner Connect (90 Days) - Action Plan</t>
  </si>
  <si>
    <t xml:space="preserve">ML Returnee Connect - Coverage</t>
  </si>
  <si>
    <t xml:space="preserve">ML Returnee Connect - Key Insights</t>
  </si>
  <si>
    <t xml:space="preserve">ML Returnee Connect - Action Plan</t>
  </si>
  <si>
    <t xml:space="preserve">Skip Meeting - Coverage</t>
  </si>
  <si>
    <t xml:space="preserve">Skip Meeting - Key Insights</t>
  </si>
  <si>
    <t xml:space="preserve">Skip Meeting - Action Plan</t>
  </si>
  <si>
    <t xml:space="preserve">Women Associate Connect - Coverage</t>
  </si>
  <si>
    <t xml:space="preserve">Women Associate Connect - Key Insights</t>
  </si>
  <si>
    <t xml:space="preserve">Women Associate Connect - Action Plan</t>
  </si>
  <si>
    <t xml:space="preserve">Band Specific FGD Connect - Coverage</t>
  </si>
  <si>
    <t xml:space="preserve">Band Specific FGD Connect - Key Insights</t>
  </si>
  <si>
    <t xml:space="preserve">Band Specific FGD Connect - Action Plan</t>
  </si>
  <si>
    <t xml:space="preserve">Leadership Connect - Coverage</t>
  </si>
  <si>
    <t xml:space="preserve">Leadership Connect - Key Insights</t>
  </si>
  <si>
    <t xml:space="preserve">Leadership Connect - Action Plan</t>
  </si>
  <si>
    <t xml:space="preserve">Josh (Fun Engagements) - Coverage</t>
  </si>
  <si>
    <t xml:space="preserve">Josh (Fun Engagements) - Key Insights</t>
  </si>
  <si>
    <t xml:space="preserve">Josh (Fun Engagements) - Action Plan</t>
  </si>
  <si>
    <t xml:space="preserve">Wellness Session - Coverage</t>
  </si>
  <si>
    <t xml:space="preserve">Wellness Session - Key Insights</t>
  </si>
  <si>
    <t xml:space="preserve">Wellness Session - Action Plan</t>
  </si>
  <si>
    <t xml:space="preserve">ISR Activity - Coverage</t>
  </si>
  <si>
    <t xml:space="preserve">ISR Activity - Key Insights</t>
  </si>
  <si>
    <t xml:space="preserve">ISR Activity - Action Plan</t>
  </si>
  <si>
    <t xml:space="preserve">Overall Sentiment</t>
  </si>
  <si>
    <t xml:space="preserve">Action Owner</t>
  </si>
  <si>
    <t xml:space="preserve">Engagement related Queries</t>
  </si>
  <si>
    <t xml:space="preserve">Severity</t>
  </si>
  <si>
    <t xml:space="preserve">Status</t>
  </si>
  <si>
    <t xml:space="preserve">IBU Level Connect (Points discussed if any)</t>
  </si>
  <si>
    <t xml:space="preserve">SL Level Connect (Points discussed if any)</t>
  </si>
  <si>
    <t xml:space="preserve">Practice Level Connect ( (Points discussed if any)</t>
  </si>
  <si>
    <t xml:space="preserve">AK216739@techmahindra.com</t>
  </si>
  <si>
    <t xml:space="preserve">Anvi Konda</t>
  </si>
  <si>
    <t xml:space="preserve">Liam Chaudry</t>
  </si>
  <si>
    <t xml:space="preserve">216739</t>
  </si>
  <si>
    <t xml:space="preserve">Large Connect</t>
  </si>
  <si>
    <t xml:space="preserve">IBU Specific Connect </t>
  </si>
  <si>
    <t xml:space="preserve">Gudivada</t>
  </si>
  <si>
    <t xml:space="preserve">DEA-D-2003</t>
  </si>
  <si>
    <t xml:space="preserve">MIX</t>
  </si>
  <si>
    <t xml:space="preserve">Virtual</t>
  </si>
  <si>
    <t xml:space="preserve">DEA Service Line</t>
  </si>
  <si>
    <t xml:space="preserve">DEA-D-2004</t>
  </si>
  <si>
    <t xml:space="preserve">Practice</t>
  </si>
  <si>
    <t xml:space="preserve">ML Returnee Connect</t>
  </si>
  <si>
    <t xml:space="preserve">Review of ongoing concerns;</t>
  </si>
  <si>
    <t xml:space="preserve">No major concerns raised;Minor process related queries;</t>
  </si>
  <si>
    <t xml:space="preserve">NA;Continue regular check-ins;</t>
  </si>
  <si>
    <t xml:space="preserve">Neutral</t>
  </si>
  <si>
    <t xml:space="preserve">No specific Action, Issue addressed in meeting;</t>
  </si>
  <si>
    <t xml:space="preserve">NA</t>
  </si>
  <si>
    <t xml:space="preserve">Moderate</t>
  </si>
  <si>
    <t xml:space="preserve">Closed</t>
  </si>
  <si>
    <t xml:space="preserve">GK145561@techmahindra.com</t>
  </si>
  <si>
    <t xml:space="preserve">Girik Kamdar</t>
  </si>
  <si>
    <t xml:space="preserve">145561</t>
  </si>
  <si>
    <t xml:space="preserve">Location Specific Connect</t>
  </si>
  <si>
    <t xml:space="preserve">Dibrugarh</t>
  </si>
  <si>
    <t xml:space="preserve">DEA-D-4021</t>
  </si>
  <si>
    <t xml:space="preserve">U</t>
  </si>
  <si>
    <t xml:space="preserve">CIS Service Line</t>
  </si>
  <si>
    <t xml:space="preserve">DEA-D-4031</t>
  </si>
  <si>
    <t xml:space="preserve">EY Project</t>
  </si>
  <si>
    <t xml:space="preserve">Townhall</t>
  </si>
  <si>
    <t xml:space="preserve">Business &amp; Strategy Clarity;Career Visibility &amp; Skill Roadmap;AI/future Readiness Messaging Is High-level;</t>
  </si>
  <si>
    <t xml:space="preserve">Associates are unsure how unit goals translate into day-to-day delivery expectations;</t>
  </si>
  <si>
    <t xml:space="preserve">Capture workload hotspots and review with delivery leads for rebalancing;NA;</t>
  </si>
  <si>
    <t xml:space="preserve">Open</t>
  </si>
  <si>
    <t xml:space="preserve">OK356702@techmahindra.com</t>
  </si>
  <si>
    <t xml:space="preserve">Oni Kannan</t>
  </si>
  <si>
    <t xml:space="preserve">356702</t>
  </si>
  <si>
    <t xml:space="preserve">Hyderabad</t>
  </si>
  <si>
    <t xml:space="preserve">DEA-D-4026</t>
  </si>
  <si>
    <t xml:space="preserve">In-person-Tech M </t>
  </si>
  <si>
    <t xml:space="preserve">CIS D 2001</t>
  </si>
  <si>
    <t xml:space="preserve">Kimberly Clark</t>
  </si>
  <si>
    <t xml:space="preserve">SL Induction</t>
  </si>
  <si>
    <t xml:space="preserve">Visibility on Allocation &amp; Demand;</t>
  </si>
  <si>
    <t xml:space="preserve">Associates lack clarity on practice goals and IBU priorities;HR/WFM/Training updates not actionable;</t>
  </si>
  <si>
    <t xml:space="preserve">TLS SPOC had cleared all the queries w.r.t learning;Provide FAQs, guides, refresher sessions;</t>
  </si>
  <si>
    <t xml:space="preserve">Positive</t>
  </si>
  <si>
    <t xml:space="preserve">Team was contented with the fun connect as it was a nice short break from work and the whole account was able to connect virtually</t>
  </si>
  <si>
    <t xml:space="preserve">AD634277@techmahindra.com</t>
  </si>
  <si>
    <t xml:space="preserve">Abeer Dutta</t>
  </si>
  <si>
    <t xml:space="preserve">634277</t>
  </si>
  <si>
    <t xml:space="preserve">Location-Offshore</t>
  </si>
  <si>
    <t xml:space="preserve">Mau</t>
  </si>
  <si>
    <t xml:space="preserve">NGS-D-2004</t>
  </si>
  <si>
    <t xml:space="preserve">DEA-D-4022</t>
  </si>
  <si>
    <t xml:space="preserve">Rating Calibration call with IBU Head</t>
  </si>
  <si>
    <t xml:space="preserve">General wellbeing check-in;</t>
  </si>
  <si>
    <t xml:space="preserve">Associates are settling in well;NA;</t>
  </si>
  <si>
    <t xml:space="preserve">Share update with relevant stakeholder;Continue regular check-ins;</t>
  </si>
  <si>
    <t xml:space="preserve">WFM;Delivery;</t>
  </si>
  <si>
    <t xml:space="preserve">No response on IJP applied on Rapid</t>
  </si>
  <si>
    <t xml:space="preserve">High</t>
  </si>
  <si>
    <t xml:space="preserve">In-progress</t>
  </si>
  <si>
    <t xml:space="preserve">GC632323@techmahindra.com</t>
  </si>
  <si>
    <t xml:space="preserve">Gayathri Chaudry</t>
  </si>
  <si>
    <t xml:space="preserve">632323</t>
  </si>
  <si>
    <t xml:space="preserve">FGD</t>
  </si>
  <si>
    <t xml:space="preserve">Bengaluru</t>
  </si>
  <si>
    <t xml:space="preserve">NGS-D-4037</t>
  </si>
  <si>
    <t xml:space="preserve">Keysight</t>
  </si>
  <si>
    <t xml:space="preserve">HR Connect (General)</t>
  </si>
  <si>
    <t xml:space="preserve">Connect for recognition;Clarity On Role-based Learning Expectations;On Hybrid/WFO Rules And Monthly Compliance Expectations;</t>
  </si>
  <si>
    <t xml:space="preserve">Discussed on how to simply WFH exception requests and about various projects;NA;</t>
  </si>
  <si>
    <t xml:space="preserve">Share role-based learning pathways and recommended certifications;</t>
  </si>
  <si>
    <t xml:space="preserve">Delivery;</t>
  </si>
  <si>
    <t xml:space="preserve">JP518373@techmahindra.com</t>
  </si>
  <si>
    <t xml:space="preserve">Jagrati Padmanabhan</t>
  </si>
  <si>
    <t xml:space="preserve">518373</t>
  </si>
  <si>
    <t xml:space="preserve">DEA-D-2026</t>
  </si>
  <si>
    <t xml:space="preserve">DEA-D-4032</t>
  </si>
  <si>
    <t xml:space="preserve">GE</t>
  </si>
  <si>
    <t xml:space="preserve">ELTP Connect (6-12m)</t>
  </si>
  <si>
    <t xml:space="preserve">Business Context &amp; Org Awareness;</t>
  </si>
  <si>
    <t xml:space="preserve">Feedback is irregular or not tied to a rubric;</t>
  </si>
  <si>
    <t xml:space="preserve">Run fortnightly utilization reviews with WFM + delivery owners to rebalance work;</t>
  </si>
  <si>
    <t xml:space="preserve">Need budget clarity</t>
  </si>
  <si>
    <t xml:space="preserve">Low</t>
  </si>
  <si>
    <t xml:space="preserve">TY946721@techmahindra.com</t>
  </si>
  <si>
    <t xml:space="preserve">Tripti Yadav</t>
  </si>
  <si>
    <t xml:space="preserve">946721</t>
  </si>
  <si>
    <t xml:space="preserve">Pune</t>
  </si>
  <si>
    <t xml:space="preserve">DEA- D-4023, DEA-D-4024, DEA-D-4025</t>
  </si>
  <si>
    <t xml:space="preserve">In-person-Client Location</t>
  </si>
  <si>
    <t xml:space="preserve">DEA-D-4018</t>
  </si>
  <si>
    <t xml:space="preserve">TMC-D-1001- TMC ALL</t>
  </si>
  <si>
    <t xml:space="preserve">Business &amp; Practice Awareness;</t>
  </si>
  <si>
    <t xml:space="preserve">Low interaction and hesitation in raising questions;</t>
  </si>
  <si>
    <t xml:space="preserve">Create consistent onboarding framework across practice;Provide FAQs, guides, refresher sessions;</t>
  </si>
  <si>
    <t xml:space="preserve">Allocation related queries and opportunities</t>
  </si>
  <si>
    <t xml:space="preserve">Practice level priorities and bench status reviewed.</t>
  </si>
  <si>
    <t xml:space="preserve">FM197793@techmahindra.com</t>
  </si>
  <si>
    <t xml:space="preserve">Farhan Memon</t>
  </si>
  <si>
    <t xml:space="preserve">197793</t>
  </si>
  <si>
    <t xml:space="preserve">Gangtok</t>
  </si>
  <si>
    <t xml:space="preserve">IIGA</t>
  </si>
  <si>
    <t xml:space="preserve">E</t>
  </si>
  <si>
    <t xml:space="preserve">DEA-D-4016</t>
  </si>
  <si>
    <t xml:space="preserve">IBU Head of SNOW Europe</t>
  </si>
  <si>
    <t xml:space="preserve">Band Specific FGD Connect</t>
  </si>
  <si>
    <t xml:space="preserve">Clarity on expectations;Review of ongoing concerns;</t>
  </si>
  <si>
    <t xml:space="preserve">No major concerns raised;</t>
  </si>
  <si>
    <t xml:space="preserve">Continue regular check-ins;NA;</t>
  </si>
  <si>
    <t xml:space="preserve">All was resolved</t>
  </si>
  <si>
    <t xml:space="preserve">SALESFORCE PRACTICE</t>
  </si>
  <si>
    <t xml:space="preserve">CK992697@techmahindra.com</t>
  </si>
  <si>
    <t xml:space="preserve">Chakradev Kari</t>
  </si>
  <si>
    <t xml:space="preserve">992697</t>
  </si>
  <si>
    <t xml:space="preserve">Women Associate Connect</t>
  </si>
  <si>
    <t xml:space="preserve">Recognition &amp; Visibility;Grievance/speak-up Clarity;Empathy And Communication;</t>
  </si>
  <si>
    <t xml:space="preserve">Need empathy and communication;Grievance/speak-up clarity;</t>
  </si>
  <si>
    <t xml:space="preserve">There werenot much queries;Promote DEI initiatives;</t>
  </si>
  <si>
    <t xml:space="preserve">Mixed</t>
  </si>
  <si>
    <t xml:space="preserve">HRBP;Delivery;</t>
  </si>
  <si>
    <t xml:space="preserve">VC172132@techmahindra.com</t>
  </si>
  <si>
    <t xml:space="preserve">Viraj Chaudhuri</t>
  </si>
  <si>
    <t xml:space="preserve">172132</t>
  </si>
  <si>
    <t xml:space="preserve">Hyderbad</t>
  </si>
  <si>
    <t xml:space="preserve">all</t>
  </si>
  <si>
    <t xml:space="preserve">DIG-D-4001, DIG-D-4005, DIG-D-4007</t>
  </si>
  <si>
    <t xml:space="preserve">DEA BLR (Women Associates)</t>
  </si>
  <si>
    <t xml:space="preserve">Career Support &amp; Sponsorship;Work-Life Balance &amp; Flexibility;</t>
  </si>
  <si>
    <t xml:space="preserve">Inclusive team practices;</t>
  </si>
  <si>
    <t xml:space="preserve">Promote DEI initiatives;Reinforce speak-up channels;</t>
  </si>
  <si>
    <t xml:space="preserve">RTO management and Bench</t>
  </si>
  <si>
    <t xml:space="preserve">JG146228@techmahindra.com</t>
  </si>
  <si>
    <t xml:space="preserve">Janya Gaba</t>
  </si>
  <si>
    <t xml:space="preserve">Isha Kadakia</t>
  </si>
  <si>
    <t xml:space="preserve">146228</t>
  </si>
  <si>
    <t xml:space="preserve">1:1</t>
  </si>
  <si>
    <t xml:space="preserve">PUNE</t>
  </si>
  <si>
    <t xml:space="preserve">DAI-D-2005</t>
  </si>
  <si>
    <t xml:space="preserve">Mix (Virtual &amp; In-person)</t>
  </si>
  <si>
    <t xml:space="preserve">COM D 4018</t>
  </si>
  <si>
    <t xml:space="preserve">SAP</t>
  </si>
  <si>
    <t xml:space="preserve">Top Talent FGD Connect</t>
  </si>
  <si>
    <t xml:space="preserve">Review of ongoing concerns;Feedback on recent processes;Clarity on expectations;</t>
  </si>
  <si>
    <t xml:space="preserve">NA;</t>
  </si>
  <si>
    <t xml:space="preserve">Monitor and follow up in next cycle;NA;</t>
  </si>
  <si>
    <t xml:space="preserve">OW270395@techmahindra.com</t>
  </si>
  <si>
    <t xml:space="preserve">Onveer Walla</t>
  </si>
  <si>
    <t xml:space="preserve">270395</t>
  </si>
  <si>
    <t xml:space="preserve">Kolkata</t>
  </si>
  <si>
    <t xml:space="preserve">DEA-D-4001</t>
  </si>
  <si>
    <t xml:space="preserve">DIG-D-4005, DIG-D-4008, DIG-D-4009</t>
  </si>
  <si>
    <t xml:space="preserve">Leadership Connect</t>
  </si>
  <si>
    <t xml:space="preserve">AI Session;Review Cadence;</t>
  </si>
  <si>
    <t xml:space="preserve">Need AI/skill readiness;</t>
  </si>
  <si>
    <t xml:space="preserve">Publish budget guidelines;Identify hotspots;</t>
  </si>
  <si>
    <t xml:space="preserve">Delivery;HRBP;</t>
  </si>
  <si>
    <t xml:space="preserve">TR519093@techmahindra.com</t>
  </si>
  <si>
    <t xml:space="preserve">Turvi Raghavan</t>
  </si>
  <si>
    <t xml:space="preserve">519093</t>
  </si>
  <si>
    <t xml:space="preserve">DEA-D-2006</t>
  </si>
  <si>
    <t xml:space="preserve">DEA-D-4040</t>
  </si>
  <si>
    <t xml:space="preserve">New Joiner Connect - 60 days</t>
  </si>
  <si>
    <t xml:space="preserve">New Joiner Connect (30 Days)</t>
  </si>
  <si>
    <t xml:space="preserve">Role Expectation Clarity;Initial Engagement Level;</t>
  </si>
  <si>
    <t xml:space="preserve">Most of the associates are undergoing trainings as there are FCTP's;Delay or lack of clarity in project onboarding;</t>
  </si>
  <si>
    <t xml:space="preserve">Define timeline for project allocation (max  0 days);Ensure weekly  :  connect with manager;</t>
  </si>
  <si>
    <t xml:space="preserve">EB753425@techmahindra.com</t>
  </si>
  <si>
    <t xml:space="preserve">Ekta Bhalla</t>
  </si>
  <si>
    <t xml:space="preserve">753425</t>
  </si>
  <si>
    <t xml:space="preserve">Floor Connect</t>
  </si>
  <si>
    <t xml:space="preserve">DEA-D-4019</t>
  </si>
  <si>
    <t xml:space="preserve">Scotia</t>
  </si>
  <si>
    <t xml:space="preserve">Learning &amp; Skill Building;Grievance/speak-up Clarity;Inclusive Team Practices;</t>
  </si>
  <si>
    <t xml:space="preserve">Promote DEI initiatives;There werenot much queries;</t>
  </si>
  <si>
    <t xml:space="preserve">DR188914@techmahindra.com</t>
  </si>
  <si>
    <t xml:space="preserve">Diya Rattan</t>
  </si>
  <si>
    <t xml:space="preserve">188914</t>
  </si>
  <si>
    <t xml:space="preserve">DEA-D-2007</t>
  </si>
  <si>
    <t xml:space="preserve">Oracle HCM – UKG &amp; Workday</t>
  </si>
  <si>
    <t xml:space="preserve">HR / WFM / Training Communication Effectiveness;Business &amp; Practice Awareness;</t>
  </si>
  <si>
    <t xml:space="preserve">HR/WFM/Training updates not actionable;NA;</t>
  </si>
  <si>
    <t xml:space="preserve">Create consistent onboarding framework across practice;</t>
  </si>
  <si>
    <t xml:space="preserve">Bench guidelines are explained</t>
  </si>
  <si>
    <t xml:space="preserve">DK361303@techmahindra.com</t>
  </si>
  <si>
    <t xml:space="preserve">Divya Kala</t>
  </si>
  <si>
    <t xml:space="preserve">361303</t>
  </si>
  <si>
    <t xml:space="preserve">Practice Specific Connect (Across IBU)</t>
  </si>
  <si>
    <t xml:space="preserve">NWS-D-1001</t>
  </si>
  <si>
    <t xml:space="preserve">SAP HLS</t>
  </si>
  <si>
    <t xml:space="preserve">HR Connect (Project Wise)</t>
  </si>
  <si>
    <t xml:space="preserve">Timesheet Submission/approval Process Inconsistencies Create;Workload &amp; Work-Life Balance;Manager Support &amp; Local Leadership Effectiveness;</t>
  </si>
  <si>
    <t xml:space="preserve">Timesheet submission/approval process inconsistencies create compliance risk;</t>
  </si>
  <si>
    <t xml:space="preserve">Share project-specific policy FAQ (WFO, exceptions, leave, timesheet);Implement monthly recognition cadence (kudos, spotlight, customer praise);</t>
  </si>
  <si>
    <t xml:space="preserve">TD827659@techmahindra.com</t>
  </si>
  <si>
    <t xml:space="preserve">Tara Dhar</t>
  </si>
  <si>
    <t xml:space="preserve">827659</t>
  </si>
  <si>
    <t xml:space="preserve">NGS Service Line</t>
  </si>
  <si>
    <t xml:space="preserve">Suncorp Bank</t>
  </si>
  <si>
    <t xml:space="preserve">ELTP Connect (12-24m)</t>
  </si>
  <si>
    <t xml:space="preserve">Internal Mobility / Rotation Opportunities;Recognition &amp; Visibility of Growth;Career Progression &amp; Next-Level Readiness;</t>
  </si>
  <si>
    <t xml:space="preserve">Rotation/mobility interest is high but process and eligibility are unclear;na;</t>
  </si>
  <si>
    <t xml:space="preserve">Highlight ELTP success stories + learning milestones in leadership forums/townhalls;Run structured mobility/rotation sessions with examples and process FAQs;</t>
  </si>
  <si>
    <t xml:space="preserve">AS660069@techmahindra.com</t>
  </si>
  <si>
    <t xml:space="preserve">Adya Sangha</t>
  </si>
  <si>
    <t xml:space="preserve">Janaki Kanda</t>
  </si>
  <si>
    <t xml:space="preserve">660069</t>
  </si>
  <si>
    <t xml:space="preserve">Danapur</t>
  </si>
  <si>
    <t xml:space="preserve">Location connect with DEA team. AI session by Natesh.</t>
  </si>
  <si>
    <t xml:space="preserve">Project Allocation Clarity;Manager Connect Effectiveness;</t>
  </si>
  <si>
    <t xml:space="preserve">Difficulty in understanding tools/processes;Associates undergoing project training;</t>
  </si>
  <si>
    <t xml:space="preserve">Define timeline for project allocation (max  0 days);NA;</t>
  </si>
  <si>
    <t xml:space="preserve">Negative</t>
  </si>
  <si>
    <t xml:space="preserve">the associates had doubts related to the RTO guidelines and seat allocations</t>
  </si>
  <si>
    <t xml:space="preserve">ID232352@techmahindra.com</t>
  </si>
  <si>
    <t xml:space="preserve">Imaran Dua</t>
  </si>
  <si>
    <t xml:space="preserve">232352</t>
  </si>
  <si>
    <t xml:space="preserve">DIG Vertical</t>
  </si>
  <si>
    <t xml:space="preserve">MFG-D-4003</t>
  </si>
  <si>
    <t xml:space="preserve">Josh (Fun Engagements)</t>
  </si>
  <si>
    <t xml:space="preserve">General wellbeing check-in;Discussion on team dynamics;Clarity on expectations;</t>
  </si>
  <si>
    <t xml:space="preserve">Minor process related queries;No major concerns raised;</t>
  </si>
  <si>
    <t xml:space="preserve">No specific action required;</t>
  </si>
  <si>
    <t xml:space="preserve">Discussed general SL level updates and priorities.</t>
  </si>
  <si>
    <t xml:space="preserve">DR658623@techmahindra.com</t>
  </si>
  <si>
    <t xml:space="preserve">Devansh Rajan</t>
  </si>
  <si>
    <t xml:space="preserve">658623</t>
  </si>
  <si>
    <t xml:space="preserve">Kavali</t>
  </si>
  <si>
    <t xml:space="preserve">Network Services Service Line</t>
  </si>
  <si>
    <t xml:space="preserve">DIG-D-1001</t>
  </si>
  <si>
    <t xml:space="preserve">OPTUS</t>
  </si>
  <si>
    <t xml:space="preserve">New Joiner Connect (60 Days)</t>
  </si>
  <si>
    <t xml:space="preserve">Workload Management;</t>
  </si>
  <si>
    <t xml:space="preserve">Skill gaps becoming visible during execution;The associates had questions around WFH and leaves.;</t>
  </si>
  <si>
    <t xml:space="preserve">Mandate structured monthly feedback from manager;The associates had queries mainly related to WFH and leaves.;</t>
  </si>
  <si>
    <t xml:space="preserve">AC497399@techmahindra.com</t>
  </si>
  <si>
    <t xml:space="preserve">Advay Contractor</t>
  </si>
  <si>
    <t xml:space="preserve">497399</t>
  </si>
  <si>
    <t xml:space="preserve">DEA-D-40026</t>
  </si>
  <si>
    <t xml:space="preserve">SAP MEA</t>
  </si>
  <si>
    <t xml:space="preserve">Top Talent Connect</t>
  </si>
  <si>
    <t xml:space="preserve">Clarity on Org Changes &amp; Priorities;</t>
  </si>
  <si>
    <t xml:space="preserve">No hike/VP alignment with performance;</t>
  </si>
  <si>
    <t xml:space="preserve">Run quarterly nominations;</t>
  </si>
  <si>
    <t xml:space="preserve">HRBP;</t>
  </si>
  <si>
    <t xml:space="preserve">NS656711@techmahindra.com</t>
  </si>
  <si>
    <t xml:space="preserve">Nakul Setty</t>
  </si>
  <si>
    <t xml:space="preserve">656711</t>
  </si>
  <si>
    <t xml:space="preserve">Firozabad</t>
  </si>
  <si>
    <t xml:space="preserve">IFS</t>
  </si>
  <si>
    <t xml:space="preserve">Empathy And Communication;</t>
  </si>
  <si>
    <t xml:space="preserve">Inclusive team practices;Need flexible arrangements during caregiving;</t>
  </si>
  <si>
    <t xml:space="preserve">Leadership acknowledgment;There werenot much queries;</t>
  </si>
  <si>
    <t xml:space="preserve">YC889359@techmahindra.com</t>
  </si>
  <si>
    <t xml:space="preserve">Yashica Cherian</t>
  </si>
  <si>
    <t xml:space="preserve">889359</t>
  </si>
  <si>
    <t xml:space="preserve">Chennai</t>
  </si>
  <si>
    <t xml:space="preserve">CIS D 4001,4004,4025,4026</t>
  </si>
  <si>
    <t xml:space="preserve">Business &amp; Strategy Clarity;</t>
  </si>
  <si>
    <t xml:space="preserve">Associates are unsure how unit goals translate into day-to-day delivery expectations;associates seek practical relevance;</t>
  </si>
  <si>
    <t xml:space="preserve">Publish role-based learning paths (beginner/intermediate/advanced) with links;</t>
  </si>
  <si>
    <t xml:space="preserve">No Projects for New Joiners in Bench</t>
  </si>
  <si>
    <t xml:space="preserve">Discussed regarding MCares Dissemination, attrition and diversity. IBU Head was happy with progress made so far.</t>
  </si>
  <si>
    <t xml:space="preserve">YI696251@techmahindra.com</t>
  </si>
  <si>
    <t xml:space="preserve">Yashica Issac</t>
  </si>
  <si>
    <t xml:space="preserve">696251</t>
  </si>
  <si>
    <t xml:space="preserve">ELTP Connect (Practice Level)</t>
  </si>
  <si>
    <t xml:space="preserve">Engagement &amp; Motivation Across Stages;Career Clarity &amp; Growth Continuity;Allocation &amp; Deployment Transparency;</t>
  </si>
  <si>
    <t xml:space="preserve">Inconsistent visibility on allocation timelines and decision-making creates confusion across all ELTP groups;</t>
  </si>
  <si>
    <t xml:space="preserve">Work with work force management and delivery closely to ensure the ELTP associates are mapped to projects once their trainings are completed;Introduce ELTP engagement framework by stage: 0–6M → onboarding support, 6–M → performance alignment, –M → growth &amp; retention;</t>
  </si>
  <si>
    <t xml:space="preserve">AN378535@techmahindra.com</t>
  </si>
  <si>
    <t xml:space="preserve">Aadi Naik</t>
  </si>
  <si>
    <t xml:space="preserve">378535</t>
  </si>
  <si>
    <t xml:space="preserve">New Joiner Connect (90 Days)</t>
  </si>
  <si>
    <t xml:space="preserve">Career Path Visibility;</t>
  </si>
  <si>
    <t xml:space="preserve">seat allocation;Lack of awareness of internal opportunities;</t>
  </si>
  <si>
    <t xml:space="preserve">Align role expectations vs aspiration through discussion;shared CS SPOC details;</t>
  </si>
  <si>
    <t xml:space="preserve">aNA</t>
  </si>
  <si>
    <t xml:space="preserve">JM283700@techmahindra.com</t>
  </si>
  <si>
    <t xml:space="preserve">Janani Mohanty</t>
  </si>
  <si>
    <t xml:space="preserve">283700</t>
  </si>
  <si>
    <t xml:space="preserve">TMC-D-1001</t>
  </si>
  <si>
    <t xml:space="preserve">P</t>
  </si>
  <si>
    <t xml:space="preserve">DEA-D-4009</t>
  </si>
  <si>
    <t xml:space="preserve">For Role Rotation (PM/PGM/architect);Recognition Equity &amp; Visibility;</t>
  </si>
  <si>
    <t xml:space="preserve">Not happy with no hike;</t>
  </si>
  <si>
    <t xml:space="preserve">FC296694@techmahindra.com</t>
  </si>
  <si>
    <t xml:space="preserve">Farhan Chada</t>
  </si>
  <si>
    <t xml:space="preserve">296694</t>
  </si>
  <si>
    <t xml:space="preserve">DIG-D-4005</t>
  </si>
  <si>
    <t xml:space="preserve">Paragon</t>
  </si>
  <si>
    <t xml:space="preserve">slows improvement;</t>
  </si>
  <si>
    <t xml:space="preserve">Supervisor;</t>
  </si>
  <si>
    <t xml:space="preserve">Queries were related to AI being implemented in day-to-day projects practically to which leader had addressed that specific agents are identified at DEA level to work with and implement changes.</t>
  </si>
  <si>
    <t xml:space="preserve">JD386706@techmahindra.com</t>
  </si>
  <si>
    <t xml:space="preserve">Jeremiah Dave</t>
  </si>
  <si>
    <t xml:space="preserve">386706</t>
  </si>
  <si>
    <t xml:space="preserve">Induction</t>
  </si>
  <si>
    <t xml:space="preserve">NWS-D-4001</t>
  </si>
  <si>
    <t xml:space="preserve">Bench connect for the IBUs</t>
  </si>
  <si>
    <t xml:space="preserve">Team Integration;Queries related to BGV check;</t>
  </si>
  <si>
    <t xml:space="preserve">NA;The associates had queries mainly related to WFH and leaves.;</t>
  </si>
  <si>
    <t xml:space="preserve">AW831380@techmahindra.com</t>
  </si>
  <si>
    <t xml:space="preserve">Alka Wable</t>
  </si>
  <si>
    <t xml:space="preserve">831380</t>
  </si>
  <si>
    <t xml:space="preserve">Rajpur Sonarpur</t>
  </si>
  <si>
    <t xml:space="preserve">ZF Consultancy</t>
  </si>
  <si>
    <t xml:space="preserve">Career Support &amp; Sponsorship;Empathy And Communication;</t>
  </si>
  <si>
    <t xml:space="preserve">Upskilling for future roles;Female assocaites in Haleon office are quite happy with the setup;</t>
  </si>
  <si>
    <t xml:space="preserve">Leadership acknowledgment;Reinforce speak-up channels;</t>
  </si>
  <si>
    <t xml:space="preserve">DR781403@techmahindra.com</t>
  </si>
  <si>
    <t xml:space="preserve">Devika Rastogi</t>
  </si>
  <si>
    <t xml:space="preserve">Raksha Varughese</t>
  </si>
  <si>
    <t xml:space="preserve">781403</t>
  </si>
  <si>
    <t xml:space="preserve">ServiceNow Practice</t>
  </si>
  <si>
    <t xml:space="preserve">Career Support &amp; Sponsorship;Inclusive Team Practices;Work-Life Balance &amp; Flexibility;</t>
  </si>
  <si>
    <t xml:space="preserve">Need empathy and communication;</t>
  </si>
  <si>
    <t xml:space="preserve">Reinforce speak-up channels;</t>
  </si>
  <si>
    <t xml:space="preserve">None</t>
  </si>
  <si>
    <t xml:space="preserve">UB278240@techmahindra.com</t>
  </si>
  <si>
    <t xml:space="preserve">Umang Bhatt</t>
  </si>
  <si>
    <t xml:space="preserve">278240</t>
  </si>
  <si>
    <t xml:space="preserve">Jaipur</t>
  </si>
  <si>
    <t xml:space="preserve">DEA-D-2005</t>
  </si>
  <si>
    <t xml:space="preserve">Adani</t>
  </si>
  <si>
    <t xml:space="preserve">Review of ongoing concerns;Feedback on recent processes;</t>
  </si>
  <si>
    <t xml:space="preserve">Minor process related queries;</t>
  </si>
  <si>
    <t xml:space="preserve">No specific action required;Monitor and follow up in next cycle;</t>
  </si>
  <si>
    <t xml:space="preserve">TA410244@techmahindra.com</t>
  </si>
  <si>
    <t xml:space="preserve">Thomas Amble</t>
  </si>
  <si>
    <t xml:space="preserve">410244</t>
  </si>
  <si>
    <t xml:space="preserve">SAP Retail</t>
  </si>
  <si>
    <t xml:space="preserve">IFS SELL TO</t>
  </si>
  <si>
    <t xml:space="preserve">Distributed TMC specific Swag Kit</t>
  </si>
  <si>
    <t xml:space="preserve">Exclusive Award Ceremony</t>
  </si>
  <si>
    <t xml:space="preserve">VB423939@techmahindra.com</t>
  </si>
  <si>
    <t xml:space="preserve">Veer Bir</t>
  </si>
  <si>
    <t xml:space="preserve">423939</t>
  </si>
  <si>
    <t xml:space="preserve">Bathinda</t>
  </si>
  <si>
    <t xml:space="preserve">MFG-N-4007</t>
  </si>
  <si>
    <t xml:space="preserve">Skip Meeting</t>
  </si>
  <si>
    <t xml:space="preserve">Timely Policy/process Updates;Manager Effectiveness &amp; Delegation;Communication &amp; Transparency;</t>
  </si>
  <si>
    <t xml:space="preserve">Need timely policy/process updates;Need clarity on growth opportunities;</t>
  </si>
  <si>
    <t xml:space="preserve">Set comms cadence;Standardize messaging;</t>
  </si>
  <si>
    <t xml:space="preserve">tracker</t>
  </si>
  <si>
    <t xml:space="preserve">AS377304@techmahindra.com</t>
  </si>
  <si>
    <t xml:space="preserve">Arya Sunder</t>
  </si>
  <si>
    <t xml:space="preserve">377304</t>
  </si>
  <si>
    <t xml:space="preserve">Panvel</t>
  </si>
  <si>
    <t xml:space="preserve">ELTP Connect (&lt;6m)</t>
  </si>
  <si>
    <t xml:space="preserve">Share update with relevant stakeholder;NA;</t>
  </si>
  <si>
    <t xml:space="preserve">XS830316@techmahindra.com</t>
  </si>
  <si>
    <t xml:space="preserve">Xavier Solanki</t>
  </si>
  <si>
    <t xml:space="preserve">830316</t>
  </si>
  <si>
    <t xml:space="preserve">Bhubaneswar</t>
  </si>
  <si>
    <t xml:space="preserve">Internal Growth Opportunities;</t>
  </si>
  <si>
    <t xml:space="preserve">seat allocation;</t>
  </si>
  <si>
    <t xml:space="preserve">Share internal job/cross-skill opportunities;Align role expectations vs aspiration through discussion;</t>
  </si>
  <si>
    <t xml:space="preserve">GC449709@techmahindra.com</t>
  </si>
  <si>
    <t xml:space="preserve">Girindra Chatterjee</t>
  </si>
  <si>
    <t xml:space="preserve">449709</t>
  </si>
  <si>
    <t xml:space="preserve">SAP Sell To</t>
  </si>
  <si>
    <t xml:space="preserve">Career Progression &amp; Next-Level Readiness;</t>
  </si>
  <si>
    <t xml:space="preserve">ELTPs want clarity on progression timelines and competencies for the next band/role;na;</t>
  </si>
  <si>
    <t xml:space="preserve">Highlight ELTP success stories + learning milestones in leadership forums/townhalls;</t>
  </si>
  <si>
    <t xml:space="preserve">PR570050@techmahindra.com</t>
  </si>
  <si>
    <t xml:space="preserve">Pallavi Roy</t>
  </si>
  <si>
    <t xml:space="preserve">570050</t>
  </si>
  <si>
    <t xml:space="preserve">Meerut</t>
  </si>
  <si>
    <t xml:space="preserve">DEA-D-4008</t>
  </si>
  <si>
    <t xml:space="preserve">Leadership Communication &amp; Q&amp;A Effectiveness;</t>
  </si>
  <si>
    <t xml:space="preserve">Org/structural updates are heard but not fully understood (what changes for me?);Need clearer articulation of business direction and priorities for the quarter;</t>
  </si>
  <si>
    <t xml:space="preserve">Open house connect for offshore</t>
  </si>
  <si>
    <t xml:space="preserve">DR499407@techmahindra.com</t>
  </si>
  <si>
    <t xml:space="preserve">Darsh Rau</t>
  </si>
  <si>
    <t xml:space="preserve">499407</t>
  </si>
  <si>
    <t xml:space="preserve">NGS-D-4018</t>
  </si>
  <si>
    <t xml:space="preserve">HR / WFM / Training Communication Effectiveness;Engagement with Leadership &amp; Confidence Level;</t>
  </si>
  <si>
    <t xml:space="preserve">Associates unclear how their role contributes to business;Associates lack clarity on practice goals and IBU priorities;</t>
  </si>
  <si>
    <t xml:space="preserve">Checked the action plan for pending allocation of new joiners and highlighted to IBU head and it was closed;TLS SPOC had cleared all the queries w.r.t learning;</t>
  </si>
  <si>
    <t xml:space="preserve">YH530764@techmahindra.com</t>
  </si>
  <si>
    <t xml:space="preserve">Yuvraj Handa</t>
  </si>
  <si>
    <t xml:space="preserve">530764</t>
  </si>
  <si>
    <t xml:space="preserve">DIG-D-4002, 4003, 4007,4009</t>
  </si>
  <si>
    <t xml:space="preserve">DEA-D-4023</t>
  </si>
  <si>
    <t xml:space="preserve">Manager Effectiveness &amp; Delegation;Communication &amp; Transparency;Learning/cert Support Requests;</t>
  </si>
  <si>
    <t xml:space="preserve">Need timely policy/process updates;</t>
  </si>
  <si>
    <t xml:space="preserve">Team recognition cadence;</t>
  </si>
  <si>
    <t xml:space="preserve">WFM;</t>
  </si>
  <si>
    <t xml:space="preserve">LS789275@techmahindra.com</t>
  </si>
  <si>
    <t xml:space="preserve">Logan Sami</t>
  </si>
  <si>
    <t xml:space="preserve">789275</t>
  </si>
  <si>
    <t xml:space="preserve">Alwar</t>
  </si>
  <si>
    <t xml:space="preserve">DEA-D-4015</t>
  </si>
  <si>
    <t xml:space="preserve">20 Years Long service anniversary celebration of Dharmateja Chava - 243623 at HYD location</t>
  </si>
  <si>
    <t xml:space="preserve">LSA Connect</t>
  </si>
  <si>
    <t xml:space="preserve">SC219346@techmahindra.com</t>
  </si>
  <si>
    <t xml:space="preserve">Saanvi Chaudhari</t>
  </si>
  <si>
    <t xml:space="preserve">219346</t>
  </si>
  <si>
    <t xml:space="preserve">DEA -D-4020</t>
  </si>
  <si>
    <t xml:space="preserve">IFS project [bench guidelines policy, WFO GUIDLINES    ]</t>
  </si>
  <si>
    <t xml:space="preserve">Grievance/speak-up Clarity;Work-Life Balance &amp; Flexibility;</t>
  </si>
  <si>
    <t xml:space="preserve">Female assocaites in Haleon office are quite happy with the setup;</t>
  </si>
  <si>
    <t xml:space="preserve">There werenot much queries;Leadership acknowledgment;</t>
  </si>
  <si>
    <t xml:space="preserve">GK181644@techmahindra.com</t>
  </si>
  <si>
    <t xml:space="preserve">Girik Khalsa</t>
  </si>
  <si>
    <t xml:space="preserve">181644</t>
  </si>
  <si>
    <t xml:space="preserve">DEA-N-4011</t>
  </si>
  <si>
    <t xml:space="preserve">Recognition &amp; Motivation;</t>
  </si>
  <si>
    <t xml:space="preserve">Need clarity on growth opportunities;</t>
  </si>
  <si>
    <t xml:space="preserve">Team recognition cadence;Standardize messaging;</t>
  </si>
  <si>
    <t xml:space="preserve">VK466346@techmahindra.com</t>
  </si>
  <si>
    <t xml:space="preserve">Vasana Kala</t>
  </si>
  <si>
    <t xml:space="preserve">466346</t>
  </si>
  <si>
    <t xml:space="preserve">Allahabad</t>
  </si>
  <si>
    <t xml:space="preserve">ELTP Connect</t>
  </si>
  <si>
    <t xml:space="preserve">Review of ongoing concerns;Clarity on expectations;</t>
  </si>
  <si>
    <t xml:space="preserve">Associates are settling in well;No major concerns raised;</t>
  </si>
  <si>
    <t xml:space="preserve">NA;Share update with relevant stakeholder;</t>
  </si>
  <si>
    <t xml:space="preserve">ML775981@techmahindra.com</t>
  </si>
  <si>
    <t xml:space="preserve">Madhavi Lanka</t>
  </si>
  <si>
    <t xml:space="preserve">775981</t>
  </si>
  <si>
    <t xml:space="preserve">AI/future Readiness Messaging Is High-level;Career Visibility &amp; Skill Roadmap;</t>
  </si>
  <si>
    <t xml:space="preserve">Associates seek clarity on role progression and career paths within the unit;</t>
  </si>
  <si>
    <t xml:space="preserve">Add ‘Wall of Fame’ segment: delivery wins, customer shoutouts, milestone highlights;</t>
  </si>
  <si>
    <t xml:space="preserve">BS927564@techmahindra.com</t>
  </si>
  <si>
    <t xml:space="preserve">Bhavika Sampath</t>
  </si>
  <si>
    <t xml:space="preserve">927564</t>
  </si>
  <si>
    <t xml:space="preserve">Policy &amp; Process Clarity;Strategic Connect;</t>
  </si>
  <si>
    <t xml:space="preserve">Seat availability and office logistics impact productivity;</t>
  </si>
  <si>
    <t xml:space="preserve">Coach managers on feedback, delegation, and communication;</t>
  </si>
  <si>
    <t xml:space="preserve">MG479404@techmahindra.com</t>
  </si>
  <si>
    <t xml:space="preserve">Mohammed Gupta</t>
  </si>
  <si>
    <t xml:space="preserve">Teerth Bhardwaj</t>
  </si>
  <si>
    <t xml:space="preserve">479404</t>
  </si>
  <si>
    <t xml:space="preserve">NGS-D-4038</t>
  </si>
  <si>
    <t xml:space="preserve">WSS</t>
  </si>
  <si>
    <t xml:space="preserve">Recognition &amp; Visibility of Growth;Career Progression &amp; Next-Level Readiness;Internal Mobility / Rotation Opportunities;</t>
  </si>
  <si>
    <t xml:space="preserve">na;</t>
  </si>
  <si>
    <t xml:space="preserve">Improve Hybrid compliance, IBU heads need to validate the data and share action plan</t>
  </si>
  <si>
    <t xml:space="preserve">DB398768@techmahindra.com</t>
  </si>
  <si>
    <t xml:space="preserve">Dipta Bhandari</t>
  </si>
  <si>
    <t xml:space="preserve">398768</t>
  </si>
  <si>
    <t xml:space="preserve">Engg Services Service Line</t>
  </si>
  <si>
    <t xml:space="preserve">USA TTLH</t>
  </si>
  <si>
    <t xml:space="preserve">Team Integration;Role Confidence Level;Feedback Mechanism;</t>
  </si>
  <si>
    <t xml:space="preserve">Skill gaps becoming visible during execution;</t>
  </si>
  <si>
    <t xml:space="preserve">Include in team rituals (scrum, meetings, discussions);</t>
  </si>
  <si>
    <t xml:space="preserve">YW638289@techmahindra.com</t>
  </si>
  <si>
    <t xml:space="preserve">Yadavi Wali</t>
  </si>
  <si>
    <t xml:space="preserve">Dakshesh Trivedi</t>
  </si>
  <si>
    <t xml:space="preserve">638289</t>
  </si>
  <si>
    <t xml:space="preserve">Cadence with IBU Head.</t>
  </si>
  <si>
    <t xml:space="preserve">Capture workload hotspots and review with delivery leads for rebalancing;</t>
  </si>
  <si>
    <t xml:space="preserve">Queries with regards with access card were raised.</t>
  </si>
  <si>
    <t xml:space="preserve">EB862560@techmahindra.com</t>
  </si>
  <si>
    <t xml:space="preserve">Ekapad Bir</t>
  </si>
  <si>
    <t xml:space="preserve">862560</t>
  </si>
  <si>
    <t xml:space="preserve">CIS-D-4007</t>
  </si>
  <si>
    <t xml:space="preserve">Paragon Project</t>
  </si>
  <si>
    <t xml:space="preserve">Recognition Visibility;Work-Life &amp; Sustainability Signals;Business &amp; Strategy Clarity;</t>
  </si>
  <si>
    <t xml:space="preserve">Add a ‘What changes for teams’ section with 3–5 concrete takeaways;Publish role-based learning paths (beginner/intermediate/advanced) with links;</t>
  </si>
  <si>
    <t xml:space="preserve">ND121322@techmahindra.com</t>
  </si>
  <si>
    <t xml:space="preserve">Netra Dar</t>
  </si>
  <si>
    <t xml:space="preserve">121322</t>
  </si>
  <si>
    <t xml:space="preserve">IBU Head liked the concept of Cadence and appreciated the efforts we are putting into publishing this data. He also wanted to work on retention strategies and diversity going forward.</t>
  </si>
  <si>
    <t xml:space="preserve">BB850827@techmahindra.com</t>
  </si>
  <si>
    <t xml:space="preserve">Balveer Bumb</t>
  </si>
  <si>
    <t xml:space="preserve">850827</t>
  </si>
  <si>
    <t xml:space="preserve">Comms Vertical</t>
  </si>
  <si>
    <t xml:space="preserve">DEA-D-4028</t>
  </si>
  <si>
    <t xml:space="preserve">On Hybrid/WFO Rules And Monthly Compliance Expectations;Queries On Performance Cycle Steps And Deadlines;</t>
  </si>
  <si>
    <t xml:space="preserve">Need simplified updates on policy changes and timelines;</t>
  </si>
  <si>
    <t xml:space="preserve">Feedback to be shared with IBU head;NA;</t>
  </si>
  <si>
    <t xml:space="preserve">AJ940064@techmahindra.com</t>
  </si>
  <si>
    <t xml:space="preserve">Advika Jayaraman</t>
  </si>
  <si>
    <t xml:space="preserve">William Lanka</t>
  </si>
  <si>
    <t xml:space="preserve">940064</t>
  </si>
  <si>
    <t xml:space="preserve">SAP Sell To - Non PS</t>
  </si>
  <si>
    <t xml:space="preserve">Timesheet Submission/approval Process Inconsistencies Create;Recognition &amp; Engagement within Project;On Leave/comp-off Due To Client Calendar Mismatches;</t>
  </si>
  <si>
    <t xml:space="preserve">associates want clear routes;</t>
  </si>
  <si>
    <t xml:space="preserve">NA;Define issue escalation ladder and response SLAs;</t>
  </si>
  <si>
    <t xml:space="preserve">CS;</t>
  </si>
  <si>
    <t xml:space="preserve">TM249715@techmahindra.com</t>
  </si>
  <si>
    <t xml:space="preserve">Tanvi Mutti</t>
  </si>
  <si>
    <t xml:space="preserve">249715</t>
  </si>
  <si>
    <t xml:space="preserve">DIG-D-4003</t>
  </si>
  <si>
    <t xml:space="preserve">New Joiners Connect - 60 Days</t>
  </si>
  <si>
    <t xml:space="preserve">Communication &amp; Transparency;Learning/cert Support Requests;</t>
  </si>
  <si>
    <t xml:space="preserve">Set comms cadence;Team recognition cadence;</t>
  </si>
  <si>
    <t xml:space="preserve">AS615060@techmahindra.com</t>
  </si>
  <si>
    <t xml:space="preserve">Aditya Shanker</t>
  </si>
  <si>
    <t xml:space="preserve">615060</t>
  </si>
  <si>
    <t xml:space="preserve">Discussion on team dynamics;Review of ongoing concerns;General wellbeing check-in;</t>
  </si>
  <si>
    <t xml:space="preserve">Associates are settling in well;</t>
  </si>
  <si>
    <t xml:space="preserve">EY168941@techmahindra.com</t>
  </si>
  <si>
    <t xml:space="preserve">Ethan Yogi</t>
  </si>
  <si>
    <t xml:space="preserve">168941</t>
  </si>
  <si>
    <t xml:space="preserve">Rating Calibration Call</t>
  </si>
  <si>
    <t xml:space="preserve">Review of ongoing concerns;Feedback on recent processes;General wellbeing check-in;</t>
  </si>
  <si>
    <t xml:space="preserve">Positive feedback overall;NA;</t>
  </si>
  <si>
    <t xml:space="preserve">KP677599@techmahindra.com</t>
  </si>
  <si>
    <t xml:space="preserve">Kevin Palla</t>
  </si>
  <si>
    <t xml:space="preserve">677599</t>
  </si>
  <si>
    <t xml:space="preserve">DEA-D-4011</t>
  </si>
  <si>
    <t xml:space="preserve">SAP Manufacturing</t>
  </si>
  <si>
    <t xml:space="preserve">Team will start having SAP Syniti related training shortly</t>
  </si>
  <si>
    <t xml:space="preserve">KM575575@techmahindra.com</t>
  </si>
  <si>
    <t xml:space="preserve">Kala Mane</t>
  </si>
  <si>
    <t xml:space="preserve">Raksha Mittal</t>
  </si>
  <si>
    <t xml:space="preserve">575575</t>
  </si>
  <si>
    <t xml:space="preserve">Review of ongoing concerns;General wellbeing check-in;</t>
  </si>
  <si>
    <t xml:space="preserve">Monitor and follow up in next cycle;</t>
  </si>
  <si>
    <t xml:space="preserve">DEA-D-4011, Suresh Boddu</t>
  </si>
  <si>
    <t xml:space="preserve">CC427905@techmahindra.com</t>
  </si>
  <si>
    <t xml:space="preserve">Chandani Chawla</t>
  </si>
  <si>
    <t xml:space="preserve">427905</t>
  </si>
  <si>
    <t xml:space="preserve">Ford</t>
  </si>
  <si>
    <t xml:space="preserve">Career Visibility &amp; Skill Roadmap;</t>
  </si>
  <si>
    <t xml:space="preserve">associates seek practical relevance;Associates seek clarity on role progression and career paths within the unit;</t>
  </si>
  <si>
    <t xml:space="preserve">Share a 1-page business snapshot (targets, priorities, key wins) post townhall;</t>
  </si>
  <si>
    <t xml:space="preserve">AD177103@techmahindra.com</t>
  </si>
  <si>
    <t xml:space="preserve">Aishani D’Alia</t>
  </si>
  <si>
    <t xml:space="preserve">177103</t>
  </si>
  <si>
    <t xml:space="preserve">Learning &amp; Skill Building;</t>
  </si>
  <si>
    <t xml:space="preserve">Need equitable recognition;Female assocaites in Haleon office are quite happy with the setup;</t>
  </si>
  <si>
    <t xml:space="preserve">Leadership acknowledgment;</t>
  </si>
  <si>
    <t xml:space="preserve">AM875232@techmahindra.com</t>
  </si>
  <si>
    <t xml:space="preserve">Anita Manda</t>
  </si>
  <si>
    <t xml:space="preserve">875232</t>
  </si>
  <si>
    <t xml:space="preserve">SAP PS- Connect with P&amp;I team</t>
  </si>
  <si>
    <t xml:space="preserve">Leadership Communication &amp; Q&amp;A Effectiveness;Career Visibility &amp; Skill Roadmap;Business &amp; Strategy Clarity;</t>
  </si>
  <si>
    <t xml:space="preserve">associates seek practical relevance;</t>
  </si>
  <si>
    <t xml:space="preserve">Had a walkthrough of the DEA line and provided an overview of the following:
RTO (Return to Office) guidelines
Timesheet process
Training structure
Medical insurance details</t>
  </si>
  <si>
    <t xml:space="preserve">SL428930@techmahindra.com</t>
  </si>
  <si>
    <t xml:space="preserve">Samar Lalla</t>
  </si>
  <si>
    <t xml:space="preserve">428930</t>
  </si>
  <si>
    <t xml:space="preserve">PEGA</t>
  </si>
  <si>
    <t xml:space="preserve">Project Allocation Clarity;</t>
  </si>
  <si>
    <t xml:space="preserve">Most of the associates are undergoing trainings as there are FCTP's;Difficulty in understanding tools/processes;</t>
  </si>
  <si>
    <t xml:space="preserve">NA;Ensure weekly  :  connect with manager;</t>
  </si>
  <si>
    <t xml:space="preserve">CC603110@techmahindra.com</t>
  </si>
  <si>
    <t xml:space="preserve">Charan Chanda</t>
  </si>
  <si>
    <t xml:space="preserve">603110</t>
  </si>
  <si>
    <t xml:space="preserve">DEA-D-4006</t>
  </si>
  <si>
    <t xml:space="preserve">Systra</t>
  </si>
  <si>
    <t xml:space="preserve">Career Clarity &amp; Growth Continuity;Engagement &amp; Motivation Across Stages;Allocation &amp; Deployment Transparency;</t>
  </si>
  <si>
    <t xml:space="preserve">Variation in how learning is translating into actual delivery readiness across different ELTP stages (early-stage ready, mid-stage struggling, late-stage stagnation);</t>
  </si>
  <si>
    <t xml:space="preserve">CA205428@techmahindra.com</t>
  </si>
  <si>
    <t xml:space="preserve">Chaitanya Aggarwal</t>
  </si>
  <si>
    <t xml:space="preserve">205428</t>
  </si>
  <si>
    <t xml:space="preserve">Visibility on Allocation &amp; Demand;Business &amp; Practice Awareness;Engagement with Leadership &amp; Confidence Level;</t>
  </si>
  <si>
    <t xml:space="preserve">Associates lack clarity on practice goals and IBU priorities;</t>
  </si>
  <si>
    <t xml:space="preserve">Create consistent onboarding framework across practice;Checked the action plan for pending allocation of new joiners and highlighted to IBU head and it was closed;</t>
  </si>
  <si>
    <t xml:space="preserve">AE451317@techmahindra.com</t>
  </si>
  <si>
    <t xml:space="preserve">Adweta Edwin</t>
  </si>
  <si>
    <t xml:space="preserve">451317</t>
  </si>
  <si>
    <t xml:space="preserve">Salesforce Comms</t>
  </si>
  <si>
    <t xml:space="preserve">Recognition &amp; Engagement within Project;</t>
  </si>
  <si>
    <t xml:space="preserve">Seat availability and office logistics impact productivity;Timesheet submission/approval process inconsistencies create compliance risk;</t>
  </si>
  <si>
    <t xml:space="preserve">All the queries were resolved in the session;</t>
  </si>
  <si>
    <t xml:space="preserve">AC107161@techmahindra.com</t>
  </si>
  <si>
    <t xml:space="preserve">Aditya Choudhury</t>
  </si>
  <si>
    <t xml:space="preserve">107161</t>
  </si>
  <si>
    <t xml:space="preserve">Oracle HCM ¿ UKG &amp; Workday</t>
  </si>
  <si>
    <t xml:space="preserve">Team Integration;Queries related to BGV check;BGV queries;</t>
  </si>
  <si>
    <t xml:space="preserve">NA;Skill gaps becoming visible during execution;</t>
  </si>
  <si>
    <t xml:space="preserve">Explained the complete process to associates;</t>
  </si>
  <si>
    <t xml:space="preserve">BP359486@techmahindra.com</t>
  </si>
  <si>
    <t xml:space="preserve">Balendra Pingle</t>
  </si>
  <si>
    <t xml:space="preserve">359486</t>
  </si>
  <si>
    <t xml:space="preserve">Feedback on recent processes;</t>
  </si>
  <si>
    <t xml:space="preserve">Positive feedback overall;Minor process related queries;</t>
  </si>
  <si>
    <t xml:space="preserve">Continue regular check-ins;</t>
  </si>
  <si>
    <t xml:space="preserve">Queries related to compensation.</t>
  </si>
  <si>
    <t xml:space="preserve">QD805448@techmahindra.com</t>
  </si>
  <si>
    <t xml:space="preserve">Qushi Datta</t>
  </si>
  <si>
    <t xml:space="preserve">805448</t>
  </si>
  <si>
    <t xml:space="preserve">CIS D 4001,4004,4021,4025,4026</t>
  </si>
  <si>
    <t xml:space="preserve">Wellness Session</t>
  </si>
  <si>
    <t xml:space="preserve">Stress &amp; Burnout Management;</t>
  </si>
  <si>
    <t xml:space="preserve">Low awareness;Flexibility alignment;</t>
  </si>
  <si>
    <t xml:space="preserve">Workshops;Wellbeing check-ins;</t>
  </si>
  <si>
    <t xml:space="preserve">BP512151@techmahindra.com</t>
  </si>
  <si>
    <t xml:space="preserve">Balveer Parmar</t>
  </si>
  <si>
    <t xml:space="preserve">512151</t>
  </si>
  <si>
    <t xml:space="preserve">DEA-D-4013</t>
  </si>
  <si>
    <t xml:space="preserve">HR / WFM / Training Communication Effectiveness;</t>
  </si>
  <si>
    <t xml:space="preserve">Checked the action plan for pending allocation of new joiners and highlighted to IBU head and it was closed;</t>
  </si>
  <si>
    <t xml:space="preserve">HP159185@techmahindra.com</t>
  </si>
  <si>
    <t xml:space="preserve">Harshil Pandya</t>
  </si>
  <si>
    <t xml:space="preserve">Mohammed Khalsa</t>
  </si>
  <si>
    <t xml:space="preserve">159185</t>
  </si>
  <si>
    <t xml:space="preserve">NS MT Intern connect with Ahmed Bilal</t>
  </si>
  <si>
    <t xml:space="preserve">Recognition Visibility;Business &amp; Strategy Clarity;Leadership Communication &amp; Q&amp;A Effectiveness;</t>
  </si>
  <si>
    <t xml:space="preserve">AI/future readiness messaging is high-level;Associates seek clarity on role progression and career paths within the unit;</t>
  </si>
  <si>
    <t xml:space="preserve">Share a 1-page business snapshot (targets, priorities, key wins) post townhall;Publish role-based learning paths (beginner/intermediate/advanced) with links;</t>
  </si>
  <si>
    <t xml:space="preserve">NB585517@techmahindra.com</t>
  </si>
  <si>
    <t xml:space="preserve">Nitara Bakshi</t>
  </si>
  <si>
    <t xml:space="preserve">585517</t>
  </si>
  <si>
    <t xml:space="preserve">slows improvement;Feedback is irregular or not tied to a rubric;</t>
  </si>
  <si>
    <t xml:space="preserve">NK877493@techmahindra.com</t>
  </si>
  <si>
    <t xml:space="preserve">Nisha Kothari</t>
  </si>
  <si>
    <t xml:space="preserve">Nathaniel Chokshi</t>
  </si>
  <si>
    <t xml:space="preserve">877493</t>
  </si>
  <si>
    <t xml:space="preserve">Location-Mixed</t>
  </si>
  <si>
    <t xml:space="preserve">Salesforce Practice</t>
  </si>
  <si>
    <t xml:space="preserve">New Joiner Connect (7 Days)</t>
  </si>
  <si>
    <t xml:space="preserve">Tool &amp; System Access;Initial Organization Understanding;</t>
  </si>
  <si>
    <t xml:space="preserve">Delays in access to systems/tools required for work;New joiners feel overwhelmed or unclear post induction;</t>
  </si>
  <si>
    <t xml:space="preserve">Hybrid working policy was explained in detail;Implement Day-1 access checklist tracking (IT + Admin);</t>
  </si>
  <si>
    <t xml:space="preserve">UK445888@techmahindra.com</t>
  </si>
  <si>
    <t xml:space="preserve">Upma Kapadia</t>
  </si>
  <si>
    <t xml:space="preserve">445888</t>
  </si>
  <si>
    <t xml:space="preserve">Learning Curve Support;</t>
  </si>
  <si>
    <t xml:space="preserve">Delay or lack of clarity in project onboarding;Associates undergoing project training;</t>
  </si>
  <si>
    <t xml:space="preserve">Define timeline for project allocation (max  0 days);</t>
  </si>
  <si>
    <t xml:space="preserve">Queries on timesheet/attendance compliance during bench</t>
  </si>
  <si>
    <t xml:space="preserve">IM491329@techmahindra.com</t>
  </si>
  <si>
    <t xml:space="preserve">Inaya Mody</t>
  </si>
  <si>
    <t xml:space="preserve">Udant Bajwa</t>
  </si>
  <si>
    <t xml:space="preserve">491329</t>
  </si>
  <si>
    <t xml:space="preserve">Tool &amp; System Access;</t>
  </si>
  <si>
    <t xml:space="preserve">Limited clarity on policies (leave, WFO, reporting);Delays in access to systems/tools required for work;</t>
  </si>
  <si>
    <t xml:space="preserve">Share org structure + “who does what” quick guide;</t>
  </si>
  <si>
    <t xml:space="preserve">FM336828@techmahindra.com</t>
  </si>
  <si>
    <t xml:space="preserve">Falguni Mallick</t>
  </si>
  <si>
    <t xml:space="preserve">336828</t>
  </si>
  <si>
    <t xml:space="preserve">All SAP IBU's</t>
  </si>
  <si>
    <t xml:space="preserve">Internal Growth Opportunities;Long-Term Role Alignment;</t>
  </si>
  <si>
    <t xml:space="preserve">Improve team engagement (inclusion, recognition);</t>
  </si>
  <si>
    <t xml:space="preserve">IU134500@techmahindra.com</t>
  </si>
  <si>
    <t xml:space="preserve">Indali Upadhyay</t>
  </si>
  <si>
    <t xml:space="preserve">134500</t>
  </si>
  <si>
    <t xml:space="preserve">Jorhat</t>
  </si>
  <si>
    <t xml:space="preserve">Monthly Cadence DEA-D-4011</t>
  </si>
  <si>
    <t xml:space="preserve">Clarity on expectations;Feedback on recent processes;</t>
  </si>
  <si>
    <t xml:space="preserve">Positive feedback overall;</t>
  </si>
  <si>
    <t xml:space="preserve">NA;No specific action required;</t>
  </si>
  <si>
    <t xml:space="preserve">JL614435@techmahindra.com</t>
  </si>
  <si>
    <t xml:space="preserve">Jack Lal</t>
  </si>
  <si>
    <t xml:space="preserve">614435</t>
  </si>
  <si>
    <t xml:space="preserve">Workshop/Session</t>
  </si>
  <si>
    <t xml:space="preserve">Workload Management;Feedback Mechanism;Role Confidence Level;</t>
  </si>
  <si>
    <t xml:space="preserve">NA;BGV;</t>
  </si>
  <si>
    <t xml:space="preserve">BGV;</t>
  </si>
  <si>
    <t xml:space="preserve">BC193972@techmahindra.com</t>
  </si>
  <si>
    <t xml:space="preserve">Balvan Chopra</t>
  </si>
  <si>
    <t xml:space="preserve">193972</t>
  </si>
  <si>
    <t xml:space="preserve">DEA-D-4030</t>
  </si>
  <si>
    <t xml:space="preserve">Haleon</t>
  </si>
  <si>
    <t xml:space="preserve">Strategic Connect;Manager Support &amp; Local Leadership Effectiveness;Infrastructure / Workplace Enablement;</t>
  </si>
  <si>
    <t xml:space="preserve">Generic discussion about the account with the leads;associates want clear routes;</t>
  </si>
  <si>
    <t xml:space="preserve">All the queries were resolved in the session;All the queries were resolved in the ODC COnnect;</t>
  </si>
  <si>
    <t xml:space="preserve">DS212168@techmahindra.com</t>
  </si>
  <si>
    <t xml:space="preserve">Dipta Sarin</t>
  </si>
  <si>
    <t xml:space="preserve">Lekha Gupta</t>
  </si>
  <si>
    <t xml:space="preserve">212168</t>
  </si>
  <si>
    <t xml:space="preserve">DIG USA Minus TTLH</t>
  </si>
  <si>
    <t xml:space="preserve">Monthly Cadence IBU Head coverage on HC, Attrition, eltp and Bench;Connect for recognition;</t>
  </si>
  <si>
    <t xml:space="preserve">Need simplified updates on policy changes and timelines;Need guidance on leave, travel, and exception approvals;</t>
  </si>
  <si>
    <t xml:space="preserve">Send monthly HR bulletin with key updates and links;It was a general discussion with the IBU Head on the pulse at ground level;</t>
  </si>
  <si>
    <t xml:space="preserve">QUERIES ON Travel post allocation</t>
  </si>
  <si>
    <t xml:space="preserve">AV128223@techmahindra.com</t>
  </si>
  <si>
    <t xml:space="preserve">Aarav Venkatesh</t>
  </si>
  <si>
    <t xml:space="preserve">128223</t>
  </si>
  <si>
    <t xml:space="preserve">DEA-D-3027</t>
  </si>
  <si>
    <t xml:space="preserve">Salesforce practice</t>
  </si>
  <si>
    <t xml:space="preserve">BGV queries;Role Confidence Level;</t>
  </si>
  <si>
    <t xml:space="preserve">Skill gaps becoming visible during execution;Not fully integrated with team collaboration channels;</t>
  </si>
  <si>
    <t xml:space="preserve">JS778428@techmahindra.com</t>
  </si>
  <si>
    <t xml:space="preserve">Januja Sankar</t>
  </si>
  <si>
    <t xml:space="preserve">778428</t>
  </si>
  <si>
    <t xml:space="preserve">Monthly Cadence</t>
  </si>
  <si>
    <t xml:space="preserve">On Hybrid/WFO Rules And Monthly Compliance Expectations;Guidance On Leave, Travel, And Exception Approvals;</t>
  </si>
  <si>
    <t xml:space="preserve">na;NA;</t>
  </si>
  <si>
    <t xml:space="preserve">Connect for recognition;No Action;</t>
  </si>
  <si>
    <t xml:space="preserve">Clarity on Performance cycle</t>
  </si>
  <si>
    <t xml:space="preserve">DD606384@techmahindra.com</t>
  </si>
  <si>
    <t xml:space="preserve">Dipta Dash</t>
  </si>
  <si>
    <t xml:space="preserve">606384</t>
  </si>
  <si>
    <t xml:space="preserve">DIG-D-4001</t>
  </si>
  <si>
    <t xml:space="preserve">On Leave/comp-off Due To Client Calendar Mismatches;Manager Support &amp; Local Leadership Effectiveness;Policy &amp; Process Clarity;</t>
  </si>
  <si>
    <t xml:space="preserve">Issues with respect to applying leaves and communication regarding leaves to the managers;</t>
  </si>
  <si>
    <t xml:space="preserve">HR and Delivery Head clarified on org level communication on appraisals;All were resolved in the ODC connect;</t>
  </si>
  <si>
    <t xml:space="preserve">YM838968@techmahindra.com</t>
  </si>
  <si>
    <t xml:space="preserve">Yashica More</t>
  </si>
  <si>
    <t xml:space="preserve">838968</t>
  </si>
  <si>
    <t xml:space="preserve">Khammam</t>
  </si>
  <si>
    <t xml:space="preserve">DEA -D-4006</t>
  </si>
  <si>
    <t xml:space="preserve">Not happy with the inconsistent hike, but happy with the project as he is learning new technologies like S4 HANA</t>
  </si>
  <si>
    <t xml:space="preserve">JH291936@techmahindra.com</t>
  </si>
  <si>
    <t xml:space="preserve">Joshua Handa</t>
  </si>
  <si>
    <t xml:space="preserve">291936</t>
  </si>
  <si>
    <t xml:space="preserve">Nadiad</t>
  </si>
  <si>
    <t xml:space="preserve">Engagement &amp; Belonging;Career Path Visibility;</t>
  </si>
  <si>
    <t xml:space="preserve">Lack of awareness of internal opportunities;Connect with Practice head, associates were happy with the session and interaction opportunity with practice head.;</t>
  </si>
  <si>
    <t xml:space="preserve">Align role expectations vs aspiration through discussion;Improve team engagement (inclusion, recognition);</t>
  </si>
  <si>
    <t xml:space="preserve">CR186686@techmahindra.com</t>
  </si>
  <si>
    <t xml:space="preserve">Charvi Ravi</t>
  </si>
  <si>
    <t xml:space="preserve">186686</t>
  </si>
  <si>
    <t xml:space="preserve">DEA-D-4024</t>
  </si>
  <si>
    <t xml:space="preserve">DEA Ops</t>
  </si>
  <si>
    <t xml:space="preserve">Induction Effectiveness;Buddy / Support System;Tool &amp; System Access;</t>
  </si>
  <si>
    <t xml:space="preserve">none;Limited clarity on policies (leave, WFO, reporting);</t>
  </si>
  <si>
    <t xml:space="preserve">Assign buddy with defined responsibilities for 2 weeks;Hybrid working policy was explained in detail;</t>
  </si>
  <si>
    <t xml:space="preserve">Delivery;HRBP;WFM;</t>
  </si>
  <si>
    <t xml:space="preserve">DM467663@techmahindra.com</t>
  </si>
  <si>
    <t xml:space="preserve">Daksha Mangat</t>
  </si>
  <si>
    <t xml:space="preserve">467663</t>
  </si>
  <si>
    <t xml:space="preserve">Chinsurah</t>
  </si>
  <si>
    <t xml:space="preserve">IFS Project</t>
  </si>
  <si>
    <t xml:space="preserve">Policy &amp; Process Clarity;Workload &amp; Work-Life Balance;</t>
  </si>
  <si>
    <t xml:space="preserve">Recurring questions on WFO/WFH expectations and exception handling;Timesheet submission/approval process inconsistencies create compliance risk;</t>
  </si>
  <si>
    <t xml:space="preserve">No specific queries</t>
  </si>
  <si>
    <t xml:space="preserve">US898462@techmahindra.com</t>
  </si>
  <si>
    <t xml:space="preserve">Udyati Sathe</t>
  </si>
  <si>
    <t xml:space="preserve">898462</t>
  </si>
  <si>
    <t xml:space="preserve">Kakinada</t>
  </si>
  <si>
    <t xml:space="preserve">D&amp;AI BFSI IBG</t>
  </si>
  <si>
    <t xml:space="preserve">Induction Effectiveness;Initial Organization Understanding;HR Process Clarity;</t>
  </si>
  <si>
    <t xml:space="preserve">none;Delays in access to systems/tools required for work;</t>
  </si>
  <si>
    <t xml:space="preserve">Standardize induction deck + post-induction summary mail;</t>
  </si>
  <si>
    <t xml:space="preserve">All were resolved</t>
  </si>
  <si>
    <t xml:space="preserve">FM454161@techmahindra.com</t>
  </si>
  <si>
    <t xml:space="preserve">Frado Mander</t>
  </si>
  <si>
    <t xml:space="preserve">454161</t>
  </si>
  <si>
    <t xml:space="preserve">Business &amp; Strategy Clarity;Work-Life &amp; Sustainability Signals;</t>
  </si>
  <si>
    <t xml:space="preserve">Associates seek clarity on role progression and career paths within the unit;Org/structural updates are heard but not fully understood (what changes for me?);</t>
  </si>
  <si>
    <t xml:space="preserve">Add a ‘What changes for teams’ section with 3–5 concrete takeaways;Run a follow-up FAQ mailer and route unanswered questions to SPOCs;</t>
  </si>
  <si>
    <t xml:space="preserve">GK195629@techmahindra.com</t>
  </si>
  <si>
    <t xml:space="preserve">Girik Keer</t>
  </si>
  <si>
    <t xml:space="preserve">195629</t>
  </si>
  <si>
    <t xml:space="preserve">New Joiner 30 Day Connect</t>
  </si>
  <si>
    <t xml:space="preserve">Engagement &amp; Belonging;</t>
  </si>
  <si>
    <t xml:space="preserve">Connect with Practice head, associates were happy with the session and interaction opportunity with practice head.;seat allocation;</t>
  </si>
  <si>
    <t xml:space="preserve">Share internal job/cross-skill opportunities;</t>
  </si>
  <si>
    <t xml:space="preserve">RD781595@techmahindra.com</t>
  </si>
  <si>
    <t xml:space="preserve">Rushil Din</t>
  </si>
  <si>
    <t xml:space="preserve">781595</t>
  </si>
  <si>
    <t xml:space="preserve">Ranchi</t>
  </si>
  <si>
    <t xml:space="preserve">DEA</t>
  </si>
  <si>
    <t xml:space="preserve">HR / WFM / Training Communication Effectiveness;Engagement with Leadership &amp; Confidence Level;Business &amp; Practice Awareness;</t>
  </si>
  <si>
    <t xml:space="preserve">Associates lack clarity on practice goals and IBU priorities;NA;</t>
  </si>
  <si>
    <t xml:space="preserve">TLS SPOC had cleared all the queries w.r.t learning;Checked the action plan for pending allocation of new joiners and highlighted to IBU head and it was closed;</t>
  </si>
  <si>
    <t xml:space="preserve">No specific queries - Associate participation HC was very low.</t>
  </si>
  <si>
    <t xml:space="preserve">ES736408@techmahindra.com</t>
  </si>
  <si>
    <t xml:space="preserve">Elijah Shah</t>
  </si>
  <si>
    <t xml:space="preserve">736408</t>
  </si>
  <si>
    <t xml:space="preserve">NA;Action Closure Discipline;</t>
  </si>
  <si>
    <t xml:space="preserve">Rating Calibration Call;NA;</t>
  </si>
  <si>
    <t xml:space="preserve">Work with AI Agents;</t>
  </si>
  <si>
    <t xml:space="preserve">LT847245@techmahindra.com</t>
  </si>
  <si>
    <t xml:space="preserve">Leena Talwar</t>
  </si>
  <si>
    <t xml:space="preserve">847245</t>
  </si>
  <si>
    <t xml:space="preserve">MFG Vertical</t>
  </si>
  <si>
    <t xml:space="preserve">NGS,D-4013, NGS-D-4014</t>
  </si>
  <si>
    <t xml:space="preserve">Workload Management;BGV queries;Queries related to BGV check;</t>
  </si>
  <si>
    <t xml:space="preserve">The associates had questions around WFH and leaves.;BGV related queries;</t>
  </si>
  <si>
    <t xml:space="preserve">AC111901@techmahindra.com</t>
  </si>
  <si>
    <t xml:space="preserve">Abdul Chhabra</t>
  </si>
  <si>
    <t xml:space="preserve">111901</t>
  </si>
  <si>
    <t xml:space="preserve">NWS-D-4019 &amp; NWS-D-4020</t>
  </si>
  <si>
    <t xml:space="preserve">Celebrated Priyanka Das’s 20th LSA in the Hyderabad location. We organized a virtual session as well where everyone appreciated her, followed by a cake-cutting ceremony and presentation of a memento. Overall, the associate was very happy and expressed her gratitude to the BHR team.</t>
  </si>
  <si>
    <t xml:space="preserve">PV274987@techmahindra.com</t>
  </si>
  <si>
    <t xml:space="preserve">Patrick Vasa</t>
  </si>
  <si>
    <t xml:space="preserve">274987</t>
  </si>
  <si>
    <t xml:space="preserve">Feedback on recent processes;Review of ongoing concerns;</t>
  </si>
  <si>
    <t xml:space="preserve">Continue regular check-ins;Monitor and follow up in next cycle;</t>
  </si>
  <si>
    <t xml:space="preserve">JS148159@techmahindra.com</t>
  </si>
  <si>
    <t xml:space="preserve">Jairaj Shan</t>
  </si>
  <si>
    <t xml:space="preserve">148159</t>
  </si>
  <si>
    <t xml:space="preserve">IBU Level Connect</t>
  </si>
  <si>
    <t xml:space="preserve">ES125071@techmahindra.com</t>
  </si>
  <si>
    <t xml:space="preserve">Edhitha Savant</t>
  </si>
  <si>
    <t xml:space="preserve">125071</t>
  </si>
  <si>
    <t xml:space="preserve">Motihari</t>
  </si>
  <si>
    <t xml:space="preserve">ENS-D-4001</t>
  </si>
  <si>
    <t xml:space="preserve">Clarity on expectations;</t>
  </si>
  <si>
    <t xml:space="preserve">NA;No major concerns raised;</t>
  </si>
  <si>
    <t xml:space="preserve">VS513507@techmahindra.com</t>
  </si>
  <si>
    <t xml:space="preserve">Vaishnavi Sengupta</t>
  </si>
  <si>
    <t xml:space="preserve">Yug Malhotra</t>
  </si>
  <si>
    <t xml:space="preserve">513507</t>
  </si>
  <si>
    <t xml:space="preserve">Mathura</t>
  </si>
  <si>
    <t xml:space="preserve">The connect was celebrate the success of a senior leader where even the SL head joined for the celebrations</t>
  </si>
  <si>
    <t xml:space="preserve">Connect with Practice head, associates were happy with the session and interaction opportunity with practice head.;</t>
  </si>
  <si>
    <t xml:space="preserve">BK265271@techmahindra.com</t>
  </si>
  <si>
    <t xml:space="preserve">Bhavika Keer</t>
  </si>
  <si>
    <t xml:space="preserve">265271</t>
  </si>
  <si>
    <t xml:space="preserve">Thanjavur</t>
  </si>
  <si>
    <t xml:space="preserve">PureStorage</t>
  </si>
  <si>
    <t xml:space="preserve">Feedback on recent processes;General wellbeing check-in;</t>
  </si>
  <si>
    <t xml:space="preserve">Share update with relevant stakeholder;</t>
  </si>
  <si>
    <t xml:space="preserve">LD188121@techmahindra.com</t>
  </si>
  <si>
    <t xml:space="preserve">Lakshit Dora</t>
  </si>
  <si>
    <t xml:space="preserve">188121</t>
  </si>
  <si>
    <t xml:space="preserve">MFG SL</t>
  </si>
  <si>
    <t xml:space="preserve">Allocation &amp; Deployment Transparency;</t>
  </si>
  <si>
    <t xml:space="preserve">Variation in how learning is translating into actual delivery readiness across different ELTP stages (early-stage ready, mid-stage struggling, late-stage stagnation);Lack of continuous career communication leads to: confusion in early stage, direction gap in mid-stage, retention risk in later stage;</t>
  </si>
  <si>
    <t xml:space="preserve">Introduce ELTP engagement framework by stage: 0–6M → onboarding support, 6–M → performance alignment, –M → growth &amp; retention;Work with work force management and delivery closely to ensure the ELTP associates are mapped to projects once their trainings are completed;</t>
  </si>
  <si>
    <t xml:space="preserve">TB623125@techmahindra.com</t>
  </si>
  <si>
    <t xml:space="preserve">Tanish Bhatt</t>
  </si>
  <si>
    <t xml:space="preserve">623125</t>
  </si>
  <si>
    <t xml:space="preserve">Discussion on team dynamics;Clarity on expectations;Review of ongoing concerns;</t>
  </si>
  <si>
    <t xml:space="preserve">Associates are settling in well;Positive feedback overall;</t>
  </si>
  <si>
    <t xml:space="preserve">Monitor and follow up in next cycle;Continue regular check-ins;</t>
  </si>
  <si>
    <t xml:space="preserve">US267378@techmahindra.com</t>
  </si>
  <si>
    <t xml:space="preserve">Unnati Sagar</t>
  </si>
  <si>
    <t xml:space="preserve">Samuel Salvi</t>
  </si>
  <si>
    <t xml:space="preserve">267378</t>
  </si>
  <si>
    <t xml:space="preserve">Manager Connect Effectiveness;Initial Engagement Level;Role Expectation Clarity;</t>
  </si>
  <si>
    <t xml:space="preserve">Ensure weekly  :  connect with manager;</t>
  </si>
  <si>
    <t xml:space="preserve">LS236828@techmahindra.com</t>
  </si>
  <si>
    <t xml:space="preserve">Lajita Sood</t>
  </si>
  <si>
    <t xml:space="preserve">236828</t>
  </si>
  <si>
    <t xml:space="preserve">Rating Calibration Call;AI Workshop By Natesh;</t>
  </si>
  <si>
    <t xml:space="preserve">Need budget clarity;NA;</t>
  </si>
  <si>
    <t xml:space="preserve">Identify hotspots;</t>
  </si>
  <si>
    <t xml:space="preserve">Questions on team formation , Timesheet related queries etc</t>
  </si>
  <si>
    <t xml:space="preserve">SAP Sell To NON PS</t>
  </si>
  <si>
    <t xml:space="preserve">CR334081@techmahindra.com</t>
  </si>
  <si>
    <t xml:space="preserve">Chanchal Ramakrishnan</t>
  </si>
  <si>
    <t xml:space="preserve">334081</t>
  </si>
  <si>
    <t xml:space="preserve">Siwan</t>
  </si>
  <si>
    <t xml:space="preserve">Positive feedback overall;No major concerns raised;</t>
  </si>
  <si>
    <t xml:space="preserve">VK568325@techmahindra.com</t>
  </si>
  <si>
    <t xml:space="preserve">Vinaya Kanda</t>
  </si>
  <si>
    <t xml:space="preserve">Rajata Sunder</t>
  </si>
  <si>
    <t xml:space="preserve">568325</t>
  </si>
  <si>
    <t xml:space="preserve">Pali</t>
  </si>
  <si>
    <t xml:space="preserve">Digital Enterprise Applications</t>
  </si>
  <si>
    <t xml:space="preserve">Discussion on team dynamics;Clarity on expectations;</t>
  </si>
  <si>
    <t xml:space="preserve">NS673619@techmahindra.com</t>
  </si>
  <si>
    <t xml:space="preserve">Noah Sibal</t>
  </si>
  <si>
    <t xml:space="preserve">673619</t>
  </si>
  <si>
    <t xml:space="preserve">DEA - D - 4025</t>
  </si>
  <si>
    <t xml:space="preserve">BU head connect</t>
  </si>
  <si>
    <t xml:space="preserve">For Role Rotation (PM/PGM/architect);</t>
  </si>
  <si>
    <t xml:space="preserve">Answer FAQs in next connect;Run quarterly nominations;</t>
  </si>
  <si>
    <t xml:space="preserve">Had an introductory call with PL Head - Ajay Chawla</t>
  </si>
  <si>
    <t xml:space="preserve">MB309374@techmahindra.com</t>
  </si>
  <si>
    <t xml:space="preserve">Meera Bala</t>
  </si>
  <si>
    <t xml:space="preserve">Priya Deshmukh</t>
  </si>
  <si>
    <t xml:space="preserve">309374</t>
  </si>
  <si>
    <t xml:space="preserve">South Dumdum</t>
  </si>
  <si>
    <t xml:space="preserve">Feedback on recent processes;Discussion on team dynamics;</t>
  </si>
  <si>
    <t xml:space="preserve">NA;Monitor and follow up in next cycle;</t>
  </si>
  <si>
    <t xml:space="preserve">Upskilling, promotions and support related queries</t>
  </si>
  <si>
    <t xml:space="preserve">FK534096@techmahindra.com</t>
  </si>
  <si>
    <t xml:space="preserve">Falak Kakar</t>
  </si>
  <si>
    <t xml:space="preserve">534096</t>
  </si>
  <si>
    <t xml:space="preserve">No major concerns raised;Positive feedback overall;</t>
  </si>
  <si>
    <t xml:space="preserve">Queries related to Increments and Work from home exceptions</t>
  </si>
  <si>
    <t xml:space="preserve">LM946561@techmahindra.com</t>
  </si>
  <si>
    <t xml:space="preserve">Ladli Mall</t>
  </si>
  <si>
    <t xml:space="preserve">Zayyan Bumb</t>
  </si>
  <si>
    <t xml:space="preserve">946561</t>
  </si>
  <si>
    <t xml:space="preserve">Infrastructure / Workplace Enablement;Workload &amp; Work-Life Balance;Policy &amp; Process Clarity;</t>
  </si>
  <si>
    <t xml:space="preserve">Generic discussion about the account with the leads;</t>
  </si>
  <si>
    <t xml:space="preserve">Define issue escalation ladder and response SLAs;Coach managers on feedback, delegation, and communication;</t>
  </si>
  <si>
    <t xml:space="preserve">Adani is under allocation issues, associates are expressing stress over the allocation issue.
IBU head has assured to sort the technicalities.</t>
  </si>
  <si>
    <t xml:space="preserve">IK447596@techmahindra.com</t>
  </si>
  <si>
    <t xml:space="preserve">Inaya Kapur</t>
  </si>
  <si>
    <t xml:space="preserve">447596</t>
  </si>
  <si>
    <t xml:space="preserve">DEA-D-4023,DEA-D-4024, DEA-D-4025</t>
  </si>
  <si>
    <t xml:space="preserve">Learning &amp; Career Enablement;</t>
  </si>
  <si>
    <t xml:space="preserve">Need simplified updates on policy changes and timelines;Need guidance on learning platforms and certification options;</t>
  </si>
  <si>
    <t xml:space="preserve">Send monthly HR bulletin with key updates and links;Share role-based learning pathways and recommended certifications;</t>
  </si>
  <si>
    <t xml:space="preserve">AK168804@techmahindra.com</t>
  </si>
  <si>
    <t xml:space="preserve">Azaan Kota</t>
  </si>
  <si>
    <t xml:space="preserve">168804</t>
  </si>
  <si>
    <t xml:space="preserve">BESCOM</t>
  </si>
  <si>
    <t xml:space="preserve">Learning Curve Support;Manager Connect Effectiveness;Role Expectation Clarity;</t>
  </si>
  <si>
    <t xml:space="preserve">Most of the associates are undergoing trainings as there are FCTP's;Limited structured interaction with reporting manager;</t>
  </si>
  <si>
    <t xml:space="preserve">MK971230@techmahindra.com</t>
  </si>
  <si>
    <t xml:space="preserve">Michael Khare</t>
  </si>
  <si>
    <t xml:space="preserve">971230</t>
  </si>
  <si>
    <t xml:space="preserve">Career Progression &amp; Next-Level Readiness;Internal Mobility / Rotation Opportunities;Recognition &amp; Visibility of Growth;</t>
  </si>
  <si>
    <t xml:space="preserve">TS416822@techmahindra.com</t>
  </si>
  <si>
    <t xml:space="preserve">Tejas Shroff</t>
  </si>
  <si>
    <t xml:space="preserve">416822</t>
  </si>
  <si>
    <t xml:space="preserve">SAP sell Tto(PS and non PS)</t>
  </si>
  <si>
    <t xml:space="preserve">Induction Effectiveness;HR Process Clarity;</t>
  </si>
  <si>
    <t xml:space="preserve">none;</t>
  </si>
  <si>
    <t xml:space="preserve">Assign buddy with defined responsibilities for 2 weeks;</t>
  </si>
  <si>
    <t xml:space="preserve">the associates had queries related to timesheet which was cleared during the call</t>
  </si>
  <si>
    <t xml:space="preserve">OC524252@techmahindra.com</t>
  </si>
  <si>
    <t xml:space="preserve">Oliver Contractor</t>
  </si>
  <si>
    <t xml:space="preserve">524252</t>
  </si>
  <si>
    <t xml:space="preserve">Mastercard</t>
  </si>
  <si>
    <t xml:space="preserve">Workload &amp; Work-Life Balance;Manager Support &amp; Local Leadership Effectiveness;Timesheet Submission/approval Process Inconsistencies Create;</t>
  </si>
  <si>
    <t xml:space="preserve">Need faster issue resolution and proactive manager check-ins;</t>
  </si>
  <si>
    <t xml:space="preserve">Run a monthly policy + compliance refresher for the project;</t>
  </si>
  <si>
    <t xml:space="preserve">Leave encashment, Gratuity,Exit guidelines</t>
  </si>
  <si>
    <t xml:space="preserve">DC540897@techmahindra.com</t>
  </si>
  <si>
    <t xml:space="preserve">Deepa Chokshi</t>
  </si>
  <si>
    <t xml:space="preserve">540897</t>
  </si>
  <si>
    <t xml:space="preserve">Cadence</t>
  </si>
  <si>
    <t xml:space="preserve">Culture &amp; Engagement;Queries On Performance Cycle Steps And Deadlines;Monthly Cadence IBU Head coverage on HC, Attrition, eltp and Bench;</t>
  </si>
  <si>
    <t xml:space="preserve">na;Need guidance on leave, travel, and exception approvals;</t>
  </si>
  <si>
    <t xml:space="preserve">Connect for recognition;Host open house hour for Q&amp;A and log unanswered items;</t>
  </si>
  <si>
    <t xml:space="preserve">KR448787@techmahindra.com</t>
  </si>
  <si>
    <t xml:space="preserve">Keya Ranganathan</t>
  </si>
  <si>
    <t xml:space="preserve">448787</t>
  </si>
  <si>
    <t xml:space="preserve">Lack of continuous career communication leads to: confusion in early stage, direction gap in mid-stage, retention risk in later stage;Inconsistent visibility on allocation timelines and decision-making creates confusion across all ELTP groups;</t>
  </si>
  <si>
    <t xml:space="preserve">Introduce ELTP engagement framework by stage: 0–6M → onboarding support, 6–M → performance alignment, –M → growth &amp; retention;</t>
  </si>
  <si>
    <t xml:space="preserve">Streamline of WFH in ServiceNow</t>
  </si>
  <si>
    <t xml:space="preserve">FK427252@techmahindra.com</t>
  </si>
  <si>
    <t xml:space="preserve">Faqid Kibe</t>
  </si>
  <si>
    <t xml:space="preserve">Charvi Dara</t>
  </si>
  <si>
    <t xml:space="preserve">427252</t>
  </si>
  <si>
    <t xml:space="preserve">Sri Ganganagar</t>
  </si>
  <si>
    <t xml:space="preserve">Timesheet Submission/approval Process Inconsistencies Create;Recognition &amp; Engagement within Project;</t>
  </si>
  <si>
    <t xml:space="preserve">Escalation handling is inconsistent;</t>
  </si>
  <si>
    <t xml:space="preserve">Addressing concerns on allocation issues;All were resolved in the ODC connect;</t>
  </si>
  <si>
    <t xml:space="preserve">CS;HRBP;</t>
  </si>
  <si>
    <t xml:space="preserve">ET368214@techmahindra.com</t>
  </si>
  <si>
    <t xml:space="preserve">Ekapad Toor</t>
  </si>
  <si>
    <t xml:space="preserve">368214</t>
  </si>
  <si>
    <t xml:space="preserve">IBU</t>
  </si>
  <si>
    <t xml:space="preserve">Clarity On Appraisal/performance Timelines And Edge Cases;</t>
  </si>
  <si>
    <t xml:space="preserve">Need clarity on appraisal/performance timelines and edge cases;Timesheet submission/approval process inconsistencies create compliance risk;</t>
  </si>
  <si>
    <t xml:space="preserve">Review workload hotspots with PGM/RM and rebalance capacity;</t>
  </si>
  <si>
    <t xml:space="preserve">Queries regarding payslips, work from office and PF</t>
  </si>
  <si>
    <t xml:space="preserve">OS621917@techmahindra.com</t>
  </si>
  <si>
    <t xml:space="preserve">Osha Suri</t>
  </si>
  <si>
    <t xml:space="preserve">621917</t>
  </si>
  <si>
    <t xml:space="preserve">Suncorp AHM</t>
  </si>
  <si>
    <t xml:space="preserve">Communication &amp; Transparency;</t>
  </si>
  <si>
    <t xml:space="preserve">Mixed stakeholder messages;</t>
  </si>
  <si>
    <t xml:space="preserve">TD376955@techmahindra.com</t>
  </si>
  <si>
    <t xml:space="preserve">Tripti Dua</t>
  </si>
  <si>
    <t xml:space="preserve">376955</t>
  </si>
  <si>
    <t xml:space="preserve">BOSCH Rollout Project -  T&amp;M</t>
  </si>
  <si>
    <t xml:space="preserve">Recognition Equity &amp; Visibility;Clarity on Org Changes &amp; Priorities;Compensation &amp; Retention Risk;</t>
  </si>
  <si>
    <t xml:space="preserve">Run quarterly nominations;Answer FAQs in next connect;</t>
  </si>
  <si>
    <t xml:space="preserve">VS274880@techmahindra.com</t>
  </si>
  <si>
    <t xml:space="preserve">Veda Shroff</t>
  </si>
  <si>
    <t xml:space="preserve">Amrita Naidu</t>
  </si>
  <si>
    <t xml:space="preserve">274880</t>
  </si>
  <si>
    <t xml:space="preserve">Chandigarh</t>
  </si>
  <si>
    <t xml:space="preserve">Various Projects</t>
  </si>
  <si>
    <t xml:space="preserve">Work-Life &amp; Sustainability Signals;Business &amp; Strategy Clarity;Leadership Communication &amp; Q&amp;A Effectiveness;</t>
  </si>
  <si>
    <t xml:space="preserve">Associates are unsure how unit goals translate into day-to-day delivery expectations;Associates were curious to know about salary increments;</t>
  </si>
  <si>
    <t xml:space="preserve">Add a ‘What changes for teams’ section with 3–5 concrete takeaways;Share a 1-page business snapshot (targets, priorities, key wins) post townhall;</t>
  </si>
  <si>
    <t xml:space="preserve">YS644315@techmahindra.com</t>
  </si>
  <si>
    <t xml:space="preserve">Yagnesh Shetty</t>
  </si>
  <si>
    <t xml:space="preserve">644315</t>
  </si>
  <si>
    <t xml:space="preserve">Naihati</t>
  </si>
  <si>
    <t xml:space="preserve">QS152796@techmahindra.com</t>
  </si>
  <si>
    <t xml:space="preserve">Qabil Sura</t>
  </si>
  <si>
    <t xml:space="preserve">152796</t>
  </si>
  <si>
    <t xml:space="preserve">Raichur</t>
  </si>
  <si>
    <t xml:space="preserve">Career Path Visibility;Long-Term Role Alignment;Engagement &amp; Belonging;</t>
  </si>
  <si>
    <t xml:space="preserve">Queries related to policies and the SPOC details</t>
  </si>
  <si>
    <t xml:space="preserve">AM904694@techmahindra.com</t>
  </si>
  <si>
    <t xml:space="preserve">Ati Majumdar</t>
  </si>
  <si>
    <t xml:space="preserve">904694</t>
  </si>
  <si>
    <t xml:space="preserve">IFS Sell TO</t>
  </si>
  <si>
    <t xml:space="preserve">Initial Engagement Level;Role Expectation Clarity;Project Allocation Clarity;</t>
  </si>
  <si>
    <t xml:space="preserve">Delay or lack of clarity in project onboarding;Limited structured interaction with reporting manager;</t>
  </si>
  <si>
    <t xml:space="preserve">Queries on Timesheet, Leaves and Staff welfare budget</t>
  </si>
  <si>
    <t xml:space="preserve">FK764000@techmahindra.com</t>
  </si>
  <si>
    <t xml:space="preserve">Frederick Khurana</t>
  </si>
  <si>
    <t xml:space="preserve">764000</t>
  </si>
  <si>
    <t xml:space="preserve">DEA-D-4020</t>
  </si>
  <si>
    <t xml:space="preserve">WS408463@techmahindra.com</t>
  </si>
  <si>
    <t xml:space="preserve">Wridesh Soni</t>
  </si>
  <si>
    <t xml:space="preserve">408463</t>
  </si>
  <si>
    <t xml:space="preserve">Enbridge</t>
  </si>
  <si>
    <t xml:space="preserve">Induction Effectiveness;HR Process Clarity;Tool &amp; System Access;</t>
  </si>
  <si>
    <t xml:space="preserve">Standardize induction deck + post-induction summary mail;Assign buddy with defined responsibilities for 2 weeks;</t>
  </si>
  <si>
    <t xml:space="preserve">SB947568@techmahindra.com</t>
  </si>
  <si>
    <t xml:space="preserve">Sara Badal</t>
  </si>
  <si>
    <t xml:space="preserve">Chaitaly Kant</t>
  </si>
  <si>
    <t xml:space="preserve">947568</t>
  </si>
  <si>
    <t xml:space="preserve">Timely Policy/process Updates;</t>
  </si>
  <si>
    <t xml:space="preserve">Need more appreciation;</t>
  </si>
  <si>
    <t xml:space="preserve">DP818430@techmahindra.com</t>
  </si>
  <si>
    <t xml:space="preserve">Damini Pillay</t>
  </si>
  <si>
    <t xml:space="preserve">818430</t>
  </si>
  <si>
    <t xml:space="preserve">Begusarai</t>
  </si>
  <si>
    <t xml:space="preserve">GP236384@techmahindra.com</t>
  </si>
  <si>
    <t xml:space="preserve">Ganga Pandey</t>
  </si>
  <si>
    <t xml:space="preserve">236384</t>
  </si>
  <si>
    <t xml:space="preserve">SAP SellTo</t>
  </si>
  <si>
    <t xml:space="preserve">Timely Policy/process Updates;Manager Effectiveness &amp; Delegation;</t>
  </si>
  <si>
    <t xml:space="preserve">Set comms cadence;</t>
  </si>
  <si>
    <t xml:space="preserve">DK329056@techmahindra.com</t>
  </si>
  <si>
    <t xml:space="preserve">Damini Krishnamurthy</t>
  </si>
  <si>
    <t xml:space="preserve">329056</t>
  </si>
  <si>
    <t xml:space="preserve">SAP Sellto</t>
  </si>
  <si>
    <t xml:space="preserve">Career Visibility &amp; Skill Roadmap;Leadership Communication &amp; Q&amp;A Effectiveness;AI/future Readiness Messaging Is High-level;</t>
  </si>
  <si>
    <t xml:space="preserve">NA;associates seek practical relevance;</t>
  </si>
  <si>
    <t xml:space="preserve">DD275526@techmahindra.com</t>
  </si>
  <si>
    <t xml:space="preserve">Diya Dar</t>
  </si>
  <si>
    <t xml:space="preserve">275526</t>
  </si>
  <si>
    <t xml:space="preserve">Nellore</t>
  </si>
  <si>
    <t xml:space="preserve">General wellbeing check-in;Feedback on recent processes;Review of ongoing concerns;</t>
  </si>
  <si>
    <t xml:space="preserve">AV508422@techmahindra.com</t>
  </si>
  <si>
    <t xml:space="preserve">Aradhana Vohra</t>
  </si>
  <si>
    <t xml:space="preserve">508422</t>
  </si>
  <si>
    <t xml:space="preserve">Salem</t>
  </si>
  <si>
    <t xml:space="preserve">CIS D 4021</t>
  </si>
  <si>
    <t xml:space="preserve">Communication &amp; Transparency;Manager Effectiveness &amp; Delegation;Learning/cert Support Requests;</t>
  </si>
  <si>
    <t xml:space="preserve">Need timely policy/process updates;Need more appreciation;</t>
  </si>
  <si>
    <t xml:space="preserve">Standardize messaging;</t>
  </si>
  <si>
    <t xml:space="preserve">UP779414@techmahindra.com</t>
  </si>
  <si>
    <t xml:space="preserve">Utkarsh Patel</t>
  </si>
  <si>
    <t xml:space="preserve">779414</t>
  </si>
  <si>
    <t xml:space="preserve">Barasat</t>
  </si>
  <si>
    <t xml:space="preserve">CIS D 4002,4005,4024</t>
  </si>
  <si>
    <t xml:space="preserve">Delay or lack of clarity in project onboarding;</t>
  </si>
  <si>
    <t xml:space="preserve">AB676365@techmahindra.com</t>
  </si>
  <si>
    <t xml:space="preserve">Anusha Bath</t>
  </si>
  <si>
    <t xml:space="preserve">Brinda Date</t>
  </si>
  <si>
    <t xml:space="preserve">676365</t>
  </si>
  <si>
    <t xml:space="preserve">Recognition &amp; Motivation;Manager Effectiveness &amp; Delegation;</t>
  </si>
  <si>
    <t xml:space="preserve">Need clarity on growth opportunities;Need more appreciation;</t>
  </si>
  <si>
    <t xml:space="preserve">Standardize messaging;Team recognition cadence;</t>
  </si>
  <si>
    <t xml:space="preserve">queries related top RTO guidelines and bench wait threshold.</t>
  </si>
  <si>
    <t xml:space="preserve">HA566991@techmahindra.com</t>
  </si>
  <si>
    <t xml:space="preserve">Harshil Arora</t>
  </si>
  <si>
    <t xml:space="preserve">566991</t>
  </si>
  <si>
    <t xml:space="preserve">AI Workshop By Natesh;AI Session;Rating Calibration Call;</t>
  </si>
  <si>
    <t xml:space="preserve">Rating Calibration Call;</t>
  </si>
  <si>
    <t xml:space="preserve">Define capability targets;</t>
  </si>
  <si>
    <t xml:space="preserve">VS240384@techmahindra.com</t>
  </si>
  <si>
    <t xml:space="preserve">Varenya Sastry</t>
  </si>
  <si>
    <t xml:space="preserve">240384</t>
  </si>
  <si>
    <t xml:space="preserve">Udaipur</t>
  </si>
  <si>
    <t xml:space="preserve">USA Retail, USA E&amp;U, USA Professional Services</t>
  </si>
  <si>
    <t xml:space="preserve">VC141843@techmahindra.com</t>
  </si>
  <si>
    <t xml:space="preserve">Vanya Comar</t>
  </si>
  <si>
    <t xml:space="preserve">141843</t>
  </si>
  <si>
    <t xml:space="preserve">Mix</t>
  </si>
  <si>
    <t xml:space="preserve">Engagement with Leadership &amp; Confidence Level;HR / WFM / Training Communication Effectiveness;Alignment on Role in Business Context;</t>
  </si>
  <si>
    <t xml:space="preserve">Associates unclear how their role contributes to business;NA;</t>
  </si>
  <si>
    <t xml:space="preserve">Provide FAQs, guides, refresher sessions;Publish post-induction roadmap (Day 1–30);</t>
  </si>
  <si>
    <t xml:space="preserve">VB224078@techmahindra.com</t>
  </si>
  <si>
    <t xml:space="preserve">Vyanjana Borah</t>
  </si>
  <si>
    <t xml:space="preserve">224078</t>
  </si>
  <si>
    <t xml:space="preserve">BFS-D-4001</t>
  </si>
  <si>
    <t xml:space="preserve">Feedback on recent processes;Review of ongoing concerns;Discussion on team dynamics;</t>
  </si>
  <si>
    <t xml:space="preserve">MD327114@techmahindra.com</t>
  </si>
  <si>
    <t xml:space="preserve">Max Dixit</t>
  </si>
  <si>
    <t xml:space="preserve">327114</t>
  </si>
  <si>
    <t xml:space="preserve">MFG SL interns</t>
  </si>
  <si>
    <t xml:space="preserve">FK744610@techmahindra.com</t>
  </si>
  <si>
    <t xml:space="preserve">Frederick Kothari</t>
  </si>
  <si>
    <t xml:space="preserve">744610</t>
  </si>
  <si>
    <t xml:space="preserve">NS MT Interns connect with Abhishek Malhotra (SL Head)</t>
  </si>
  <si>
    <t xml:space="preserve">Recognition Visibility;Leadership Communication &amp; Q&amp;A Effectiveness;Business &amp; Strategy Clarity;</t>
  </si>
  <si>
    <t xml:space="preserve">Org/structural updates are heard but not fully understood (what changes for me?);Associates seek clarity on role progression and career paths within the unit;</t>
  </si>
  <si>
    <t xml:space="preserve">UV107459@techmahindra.com</t>
  </si>
  <si>
    <t xml:space="preserve">Upkaar Virk</t>
  </si>
  <si>
    <t xml:space="preserve">107459</t>
  </si>
  <si>
    <t xml:space="preserve">Hospet</t>
  </si>
  <si>
    <t xml:space="preserve">Review of ongoing concerns;Discussion on team dynamics;</t>
  </si>
  <si>
    <t xml:space="preserve">No specific action required;Share update with relevant stakeholder;</t>
  </si>
  <si>
    <t xml:space="preserve">PM884140@techmahindra.com</t>
  </si>
  <si>
    <t xml:space="preserve">Pushti Mody</t>
  </si>
  <si>
    <t xml:space="preserve">884140</t>
  </si>
  <si>
    <t xml:space="preserve">BGV queries;</t>
  </si>
  <si>
    <t xml:space="preserve">BGV related queries;NA;</t>
  </si>
  <si>
    <t xml:space="preserve">na</t>
  </si>
  <si>
    <t xml:space="preserve">DEA-D-4009, RAMKI, Discussed on Bench cased, HC optimization band wise and RTO</t>
  </si>
  <si>
    <t xml:space="preserve">HJ618382@techmahindra.com</t>
  </si>
  <si>
    <t xml:space="preserve">Hardik Johal</t>
  </si>
  <si>
    <t xml:space="preserve">618382</t>
  </si>
  <si>
    <t xml:space="preserve">Initial Engagement Level;</t>
  </si>
  <si>
    <t xml:space="preserve">Associates undergoing project training;</t>
  </si>
  <si>
    <t xml:space="preserve">Ensure weekly  :  connect with manager;NA;</t>
  </si>
  <si>
    <t xml:space="preserve">FD465004@techmahindra.com</t>
  </si>
  <si>
    <t xml:space="preserve">Finn Dugar</t>
  </si>
  <si>
    <t xml:space="preserve">465004</t>
  </si>
  <si>
    <t xml:space="preserve">Engagement with Leadership &amp; Confidence Level;Visibility on Allocation &amp; Demand;HR / WFM / Training Communication Effectiveness;</t>
  </si>
  <si>
    <t xml:space="preserve">HR/WFM/Training updates not actionable;Low interaction and hesitation in raising questions;</t>
  </si>
  <si>
    <t xml:space="preserve">Create consistent onboarding framework across practice;NA;</t>
  </si>
  <si>
    <t xml:space="preserve">NA835236@techmahindra.com</t>
  </si>
  <si>
    <t xml:space="preserve">Naksh Agate</t>
  </si>
  <si>
    <t xml:space="preserve">835236</t>
  </si>
  <si>
    <t xml:space="preserve">Recognition &amp; Engagement within Project;Workload &amp; Work-Life Balance;</t>
  </si>
  <si>
    <t xml:space="preserve">All the queries were resolved in the session;Run a monthly policy + compliance refresher for the project;</t>
  </si>
  <si>
    <t xml:space="preserve">BB473321@techmahindra.com</t>
  </si>
  <si>
    <t xml:space="preserve">Bishakha Bali</t>
  </si>
  <si>
    <t xml:space="preserve">473321</t>
  </si>
  <si>
    <t xml:space="preserve">Internal Growth Opportunities;Engagement &amp; Belonging;Career Path Visibility;</t>
  </si>
  <si>
    <t xml:space="preserve">Align role expectations vs aspiration through discussion;</t>
  </si>
  <si>
    <t xml:space="preserve">SB643377@techmahindra.com</t>
  </si>
  <si>
    <t xml:space="preserve">Sudiksha Bobal</t>
  </si>
  <si>
    <t xml:space="preserve">643377</t>
  </si>
  <si>
    <t xml:space="preserve">Learning Curve Support;Project Allocation Clarity;</t>
  </si>
  <si>
    <t xml:space="preserve">RS305587@techmahindra.com</t>
  </si>
  <si>
    <t xml:space="preserve">Rudra Sandal</t>
  </si>
  <si>
    <t xml:space="preserve">Umang Dixit</t>
  </si>
  <si>
    <t xml:space="preserve">305587</t>
  </si>
  <si>
    <t xml:space="preserve">AI Workshop By Natesh;Action Closure Discipline;</t>
  </si>
  <si>
    <t xml:space="preserve">Work with AI Agents;Rating Calibration Call;</t>
  </si>
  <si>
    <t xml:space="preserve">EB734992@techmahindra.com</t>
  </si>
  <si>
    <t xml:space="preserve">Ekbal Bhasin</t>
  </si>
  <si>
    <t xml:space="preserve">734992</t>
  </si>
  <si>
    <t xml:space="preserve">HR Process Clarity;Tool &amp; System Access;</t>
  </si>
  <si>
    <t xml:space="preserve">New joiners feel overwhelmed or unclear post induction;none;</t>
  </si>
  <si>
    <t xml:space="preserve">BS884225@techmahindra.com</t>
  </si>
  <si>
    <t xml:space="preserve">Bhavya Sarna</t>
  </si>
  <si>
    <t xml:space="preserve">884225</t>
  </si>
  <si>
    <t xml:space="preserve">Bhind</t>
  </si>
  <si>
    <t xml:space="preserve">Alignment on Role in Business Context;</t>
  </si>
  <si>
    <t xml:space="preserve">Low interaction and hesitation in raising questions;All the queries were answered in the sessions;</t>
  </si>
  <si>
    <t xml:space="preserve">Provide FAQs, guides, refresher sessions;</t>
  </si>
  <si>
    <t xml:space="preserve">AT756912@techmahindra.com</t>
  </si>
  <si>
    <t xml:space="preserve">Anita Tella</t>
  </si>
  <si>
    <t xml:space="preserve">Raksha Buch</t>
  </si>
  <si>
    <t xml:space="preserve">756912</t>
  </si>
  <si>
    <t xml:space="preserve">New Joiners Connect - 30 Days</t>
  </si>
  <si>
    <t xml:space="preserve">Monitor and follow up in next cycle;Share update with relevant stakeholder;</t>
  </si>
  <si>
    <t xml:space="preserve">EK400692@techmahindra.com</t>
  </si>
  <si>
    <t xml:space="preserve">Ekantika Krishna</t>
  </si>
  <si>
    <t xml:space="preserve">400692</t>
  </si>
  <si>
    <t xml:space="preserve">ABCD</t>
  </si>
  <si>
    <t xml:space="preserve">Queries On Performance Cycle Steps And Deadlines;Guidance On Leave, Travel, And Exception Approvals;</t>
  </si>
  <si>
    <t xml:space="preserve">Need clarity on role-based learning expectations;</t>
  </si>
  <si>
    <t xml:space="preserve">New IBU- Introduction to HR Team and new leadership;It was a general discussion with the IBU Head on the pulse at ground level;</t>
  </si>
  <si>
    <t xml:space="preserve">AL381880@techmahindra.com</t>
  </si>
  <si>
    <t xml:space="preserve">Ansh Luthra</t>
  </si>
  <si>
    <t xml:space="preserve">381880</t>
  </si>
  <si>
    <t xml:space="preserve">UV984522@techmahindra.com</t>
  </si>
  <si>
    <t xml:space="preserve">Upma Venkataraman</t>
  </si>
  <si>
    <t xml:space="preserve">984522</t>
  </si>
  <si>
    <t xml:space="preserve">VC880900@techmahindra.com</t>
  </si>
  <si>
    <t xml:space="preserve">Vyanjana Chand</t>
  </si>
  <si>
    <t xml:space="preserve">880900</t>
  </si>
  <si>
    <t xml:space="preserve">Karnal</t>
  </si>
  <si>
    <t xml:space="preserve">HAL</t>
  </si>
  <si>
    <t xml:space="preserve">Most of the associates are undergoing trainings as there are FCTP's;Associates undergoing project training;</t>
  </si>
  <si>
    <t xml:space="preserve">discussed regarding hike and increments, training and certification program, additional roles and responsibilities if they are looking .</t>
  </si>
  <si>
    <t xml:space="preserve">HD896456@techmahindra.com</t>
  </si>
  <si>
    <t xml:space="preserve">Henry Dyal</t>
  </si>
  <si>
    <t xml:space="preserve">896456</t>
  </si>
  <si>
    <t xml:space="preserve">Engagement &amp; Belonging;Career Path Visibility;Long-Term Role Alignment;</t>
  </si>
  <si>
    <t xml:space="preserve">seat allocation;Connect with Practice head, associates were happy with the session and interaction opportunity with practice head.;</t>
  </si>
  <si>
    <t xml:space="preserve">BR681456@techmahindra.com</t>
  </si>
  <si>
    <t xml:space="preserve">Bhavya Rattan</t>
  </si>
  <si>
    <t xml:space="preserve">681456</t>
  </si>
  <si>
    <t xml:space="preserve">Malda</t>
  </si>
  <si>
    <t xml:space="preserve">EY</t>
  </si>
  <si>
    <t xml:space="preserve">ED742818@techmahindra.com</t>
  </si>
  <si>
    <t xml:space="preserve">Ekiya D’Alia</t>
  </si>
  <si>
    <t xml:space="preserve">742818</t>
  </si>
  <si>
    <t xml:space="preserve">NA;HR/WFM/Training updates not actionable;</t>
  </si>
  <si>
    <t xml:space="preserve">Checked the action plan for pending allocation of new joiners and highlighted to IBU head and it was closed;NA;</t>
  </si>
  <si>
    <t xml:space="preserve">YA685126@techmahindra.com</t>
  </si>
  <si>
    <t xml:space="preserve">Yoshita Agarwal</t>
  </si>
  <si>
    <t xml:space="preserve">685126</t>
  </si>
  <si>
    <t xml:space="preserve">Haridwar</t>
  </si>
  <si>
    <t xml:space="preserve">WS209159@techmahindra.com</t>
  </si>
  <si>
    <t xml:space="preserve">Wishi Sathe</t>
  </si>
  <si>
    <t xml:space="preserve">209159</t>
  </si>
  <si>
    <t xml:space="preserve">BFSI Vertical</t>
  </si>
  <si>
    <t xml:space="preserve">Queries related to BGV check;Team Integration;Feedback Mechanism;</t>
  </si>
  <si>
    <t xml:space="preserve">Not fully integrated with team collaboration channels;</t>
  </si>
  <si>
    <t xml:space="preserve">Include in team rituals (scrum, meetings, discussions);Mandate structured monthly feedback from manager;</t>
  </si>
  <si>
    <t xml:space="preserve">AD997287@techmahindra.com</t>
  </si>
  <si>
    <t xml:space="preserve">Amara Deep</t>
  </si>
  <si>
    <t xml:space="preserve">997287</t>
  </si>
  <si>
    <t xml:space="preserve">Buddy / Support System;Initial Organization Understanding;</t>
  </si>
  <si>
    <t xml:space="preserve">Delays in access to systems/tools required for work;</t>
  </si>
  <si>
    <t xml:space="preserve">Share HR FAQ document + SPOC contact sheet;Hybrid working policy was explained in detail;</t>
  </si>
  <si>
    <t xml:space="preserve">Associate wanted a release from the project since he was unhappy in the current role.</t>
  </si>
  <si>
    <t xml:space="preserve">VD908348@techmahindra.com</t>
  </si>
  <si>
    <t xml:space="preserve">Vedhika Dara</t>
  </si>
  <si>
    <t xml:space="preserve">908348</t>
  </si>
  <si>
    <t xml:space="preserve">Workload &amp; Work-Life Balance;On Leave/comp-off Due To Client Calendar Mismatches;</t>
  </si>
  <si>
    <t xml:space="preserve">All the queries were resolved in the ODC Connect;</t>
  </si>
  <si>
    <t xml:space="preserve">HR and Delivery Head clarified on org level communication on appraisals;NA;</t>
  </si>
  <si>
    <t xml:space="preserve">NM189211@techmahindra.com</t>
  </si>
  <si>
    <t xml:space="preserve">Nathan Mukhopadhyay</t>
  </si>
  <si>
    <t xml:space="preserve">189211</t>
  </si>
  <si>
    <t xml:space="preserve">Suryapet</t>
  </si>
  <si>
    <t xml:space="preserve">Had one on one with IBU head first time of SNOW Europe;</t>
  </si>
  <si>
    <t xml:space="preserve">Need simplified updates on policy changes and timelines;Discussed on how to simply WFH exception requests and about various projects;</t>
  </si>
  <si>
    <t xml:space="preserve">IS563690@techmahindra.com</t>
  </si>
  <si>
    <t xml:space="preserve">Ishaan Shenoy</t>
  </si>
  <si>
    <t xml:space="preserve">563690</t>
  </si>
  <si>
    <t xml:space="preserve">Jamnagar</t>
  </si>
  <si>
    <t xml:space="preserve">Clarity On Appraisal/performance Timelines And Edge Cases;Recognition &amp; Engagement within Project;</t>
  </si>
  <si>
    <t xml:space="preserve">HR and Delivery Head clarified on org level communication on appraisals;Addressing concerns on allocation issues;</t>
  </si>
  <si>
    <t xml:space="preserve">YM119281@techmahindra.com</t>
  </si>
  <si>
    <t xml:space="preserve">Yashodhara Mahajan</t>
  </si>
  <si>
    <t xml:space="preserve">119281</t>
  </si>
  <si>
    <t xml:space="preserve">Karawal Nagar</t>
  </si>
  <si>
    <t xml:space="preserve">Limited structured interaction with reporting manager;Delay or lack of clarity in project onboarding;</t>
  </si>
  <si>
    <t xml:space="preserve">NA;Define timeline for project allocation (max  0 days);</t>
  </si>
  <si>
    <t xml:space="preserve">TD419739@techmahindra.com</t>
  </si>
  <si>
    <t xml:space="preserve">Tanmayi Dhillon</t>
  </si>
  <si>
    <t xml:space="preserve">419739</t>
  </si>
  <si>
    <t xml:space="preserve">Bench</t>
  </si>
  <si>
    <t xml:space="preserve">Team Integration;</t>
  </si>
  <si>
    <t xml:space="preserve">BGV related queries;The associates had questions around WFH and leaves.;</t>
  </si>
  <si>
    <t xml:space="preserve">Mandate structured monthly feedback from manager;Explained the complete process to associates;</t>
  </si>
  <si>
    <t xml:space="preserve">EM734775@techmahindra.com</t>
  </si>
  <si>
    <t xml:space="preserve">Ekaraj Majumdar</t>
  </si>
  <si>
    <t xml:space="preserve">734775</t>
  </si>
  <si>
    <t xml:space="preserve">CIS-D-4022</t>
  </si>
  <si>
    <t xml:space="preserve">Nothing</t>
  </si>
  <si>
    <t xml:space="preserve">HT874205@techmahindra.com</t>
  </si>
  <si>
    <t xml:space="preserve">Harini Tripathi</t>
  </si>
  <si>
    <t xml:space="preserve">874205</t>
  </si>
  <si>
    <t xml:space="preserve">Work-Life Balance &amp; Flexibility;Learning &amp; Skill Building;Inclusive Team Practices;</t>
  </si>
  <si>
    <t xml:space="preserve">Grievance/speak-up clarity;Need empathy and communication;</t>
  </si>
  <si>
    <t xml:space="preserve">BM169348@techmahindra.com</t>
  </si>
  <si>
    <t xml:space="preserve">Barkha Misra</t>
  </si>
  <si>
    <t xml:space="preserve">169348</t>
  </si>
  <si>
    <t xml:space="preserve">Mixed-UKG project</t>
  </si>
  <si>
    <t xml:space="preserve">Workload Management;Team Integration;BGV queries;</t>
  </si>
  <si>
    <t xml:space="preserve">BGV;Explained the complete process to associates;</t>
  </si>
  <si>
    <t xml:space="preserve">Timesheet queries, shift allowance</t>
  </si>
  <si>
    <t xml:space="preserve">MS911259@techmahindra.com</t>
  </si>
  <si>
    <t xml:space="preserve">Manthan Sekhon</t>
  </si>
  <si>
    <t xml:space="preserve">911259</t>
  </si>
  <si>
    <t xml:space="preserve">GP846030@techmahindra.com</t>
  </si>
  <si>
    <t xml:space="preserve">Gaurangi Purohit</t>
  </si>
  <si>
    <t xml:space="preserve">846030</t>
  </si>
  <si>
    <t xml:space="preserve">TMC Service Line</t>
  </si>
  <si>
    <t xml:space="preserve">Feedback Mechanism;</t>
  </si>
  <si>
    <t xml:space="preserve">Skill gaps becoming visible during execution;BGV related queries;</t>
  </si>
  <si>
    <t xml:space="preserve">RK103704@techmahindra.com</t>
  </si>
  <si>
    <t xml:space="preserve">Ranbir Khare</t>
  </si>
  <si>
    <t xml:space="preserve">103704</t>
  </si>
  <si>
    <t xml:space="preserve">NB286906@techmahindra.com</t>
  </si>
  <si>
    <t xml:space="preserve">Nirja Bassi</t>
  </si>
  <si>
    <t xml:space="preserve">286906</t>
  </si>
  <si>
    <t xml:space="preserve">Role Confidence Level;</t>
  </si>
  <si>
    <t xml:space="preserve">Explained the complete process to associates;BGV;</t>
  </si>
  <si>
    <t xml:space="preserve">LR607157@techmahindra.com</t>
  </si>
  <si>
    <t xml:space="preserve">Lakshmi Raju</t>
  </si>
  <si>
    <t xml:space="preserve">607157</t>
  </si>
  <si>
    <t xml:space="preserve">Shimla</t>
  </si>
  <si>
    <t xml:space="preserve">Clarity on expectations;Review of ongoing concerns;General wellbeing check-in;</t>
  </si>
  <si>
    <t xml:space="preserve">YN322652@techmahindra.com</t>
  </si>
  <si>
    <t xml:space="preserve">Yadavi Narula</t>
  </si>
  <si>
    <t xml:space="preserve">Ria Chaudhry</t>
  </si>
  <si>
    <t xml:space="preserve">322652</t>
  </si>
  <si>
    <t xml:space="preserve">Kanpur</t>
  </si>
  <si>
    <t xml:space="preserve">Need clearer articulation of business direction and priorities for the quarter;associates seek practical relevance;</t>
  </si>
  <si>
    <t xml:space="preserve">NA;Add a ‘What changes for teams’ section with 3–5 concrete takeaways;</t>
  </si>
  <si>
    <t xml:space="preserve">MB413884@techmahindra.com</t>
  </si>
  <si>
    <t xml:space="preserve">Mohammed Borde</t>
  </si>
  <si>
    <t xml:space="preserve">413884</t>
  </si>
  <si>
    <t xml:space="preserve">Strategic Connect;Manager Support &amp; Local Leadership Effectiveness;Policy &amp; Process Clarity;</t>
  </si>
  <si>
    <t xml:space="preserve">Run a monthly policy + compliance refresher for the project;Addressing concerns on allocation issues;</t>
  </si>
  <si>
    <t xml:space="preserve">Queries like WFH, timesheet, guidance on ML</t>
  </si>
  <si>
    <t xml:space="preserve">HR139211@techmahindra.com</t>
  </si>
  <si>
    <t xml:space="preserve">Hamsini Rao</t>
  </si>
  <si>
    <t xml:space="preserve">139211</t>
  </si>
  <si>
    <t xml:space="preserve">Business &amp; Practice Awareness;Visibility on Allocation &amp; Demand;Engagement with Leadership &amp; Confidence Level;</t>
  </si>
  <si>
    <t xml:space="preserve">HR/WFM/Training updates not actionable;</t>
  </si>
  <si>
    <t xml:space="preserve">TLS SPOC had cleared all the queries w.r.t learning;Publish post-induction roadmap (Day 1–30);</t>
  </si>
  <si>
    <t xml:space="preserve">LN427659@techmahindra.com</t>
  </si>
  <si>
    <t xml:space="preserve">Lajita Nadig</t>
  </si>
  <si>
    <t xml:space="preserve">Balendra Biswas</t>
  </si>
  <si>
    <t xml:space="preserve">427659</t>
  </si>
  <si>
    <t xml:space="preserve">Tumkur</t>
  </si>
  <si>
    <t xml:space="preserve">Buddy / Support System;</t>
  </si>
  <si>
    <t xml:space="preserve">Limited clarity on policies (leave, WFO, reporting);</t>
  </si>
  <si>
    <t xml:space="preserve">Share org structure + “who does what” quick guide;Implement Day-1 access checklist tracking (IT + Admin);</t>
  </si>
  <si>
    <t xml:space="preserve">WFH queries</t>
  </si>
  <si>
    <t xml:space="preserve">RC130401@techmahindra.com</t>
  </si>
  <si>
    <t xml:space="preserve">Radha Chaudhari</t>
  </si>
  <si>
    <t xml:space="preserve">130401</t>
  </si>
  <si>
    <t xml:space="preserve">DIG-D-4007</t>
  </si>
  <si>
    <t xml:space="preserve">USA Retail, cpg, ttlh</t>
  </si>
  <si>
    <t xml:space="preserve">SG292259@techmahindra.com</t>
  </si>
  <si>
    <t xml:space="preserve">Sachi Ganesan</t>
  </si>
  <si>
    <t xml:space="preserve">292259</t>
  </si>
  <si>
    <t xml:space="preserve">CN674566@techmahindra.com</t>
  </si>
  <si>
    <t xml:space="preserve">Chakradhar Nair</t>
  </si>
  <si>
    <t xml:space="preserve">674566</t>
  </si>
  <si>
    <t xml:space="preserve">DEA - D- 4024</t>
  </si>
  <si>
    <t xml:space="preserve">Long-Term Role Alignment;</t>
  </si>
  <si>
    <t xml:space="preserve">Improve team engagement (inclusion, recognition);shared CS SPOC details;</t>
  </si>
  <si>
    <t xml:space="preserve">JP245664@techmahindra.com</t>
  </si>
  <si>
    <t xml:space="preserve">Jagrati Prasad</t>
  </si>
  <si>
    <t xml:space="preserve">245664</t>
  </si>
  <si>
    <t xml:space="preserve">Induction Effectiveness;Buddy / Support System;</t>
  </si>
  <si>
    <t xml:space="preserve">-</t>
  </si>
  <si>
    <t xml:space="preserve">NG552686@techmahindra.com</t>
  </si>
  <si>
    <t xml:space="preserve">Nisha Gole</t>
  </si>
  <si>
    <t xml:space="preserve">552686</t>
  </si>
  <si>
    <t xml:space="preserve">Work-Life Balance &amp; Flexibility;Recognition &amp; Visibility;</t>
  </si>
  <si>
    <t xml:space="preserve">Grievance/speak-up clarity;</t>
  </si>
  <si>
    <t xml:space="preserve">LK927251@techmahindra.com</t>
  </si>
  <si>
    <t xml:space="preserve">Lavanya Khosla</t>
  </si>
  <si>
    <t xml:space="preserve">927251</t>
  </si>
  <si>
    <t xml:space="preserve">Female assocaites in Haleon office are quite happy with the setup;Upskilling for future roles;</t>
  </si>
  <si>
    <t xml:space="preserve">Reinforce speak-up channels;Leadership acknowledgment;</t>
  </si>
  <si>
    <t xml:space="preserve">Supervisor</t>
  </si>
  <si>
    <t xml:space="preserve">VS739705@techmahindra.com</t>
  </si>
  <si>
    <t xml:space="preserve">Vincent Shenoy</t>
  </si>
  <si>
    <t xml:space="preserve">Tripti Kumer</t>
  </si>
  <si>
    <t xml:space="preserve">739705</t>
  </si>
  <si>
    <t xml:space="preserve">BD164401@techmahindra.com</t>
  </si>
  <si>
    <t xml:space="preserve">Bhavna Dugar</t>
  </si>
  <si>
    <t xml:space="preserve">164401</t>
  </si>
  <si>
    <t xml:space="preserve">CS252117@techmahindra.com</t>
  </si>
  <si>
    <t xml:space="preserve">Chandani Samra</t>
  </si>
  <si>
    <t xml:space="preserve">252117</t>
  </si>
  <si>
    <t xml:space="preserve">Know your Service Line 'AI Strategy &amp; Business Vision' from Mr. Natesh P;AI Workshop By Natesh;AI Session;</t>
  </si>
  <si>
    <t xml:space="preserve">need to have diversity;</t>
  </si>
  <si>
    <t xml:space="preserve">Work with AI Agents;Identify hotspots;</t>
  </si>
  <si>
    <t xml:space="preserve">No Queries</t>
  </si>
  <si>
    <t xml:space="preserve">CI402820@techmahindra.com</t>
  </si>
  <si>
    <t xml:space="preserve">Chasmum Issac</t>
  </si>
  <si>
    <t xml:space="preserve">402820</t>
  </si>
  <si>
    <t xml:space="preserve">Manager Effectiveness &amp; Delegation;Timely Policy/process Updates;</t>
  </si>
  <si>
    <t xml:space="preserve">Standardize messaging;Set comms cadence;</t>
  </si>
  <si>
    <t xml:space="preserve">HK531225@techmahindra.com</t>
  </si>
  <si>
    <t xml:space="preserve">Hredhaan Khalsa</t>
  </si>
  <si>
    <t xml:space="preserve">Jagrati Merchant</t>
  </si>
  <si>
    <t xml:space="preserve">531225</t>
  </si>
  <si>
    <t xml:space="preserve">Recognition &amp; Visibility;Career Support &amp; Sponsorship;Work-Life Balance &amp; Flexibility;</t>
  </si>
  <si>
    <t xml:space="preserve">Upskilling for future roles;</t>
  </si>
  <si>
    <t xml:space="preserve">There werenot much queries;</t>
  </si>
  <si>
    <t xml:space="preserve">AR575470@techmahindra.com</t>
  </si>
  <si>
    <t xml:space="preserve">Anthony Randhawa</t>
  </si>
  <si>
    <t xml:space="preserve">575470</t>
  </si>
  <si>
    <t xml:space="preserve">Career Visibility &amp; Skill Roadmap;Business &amp; Strategy Clarity;</t>
  </si>
  <si>
    <t xml:space="preserve">WM176461@techmahindra.com</t>
  </si>
  <si>
    <t xml:space="preserve">Watika Mangat</t>
  </si>
  <si>
    <t xml:space="preserve">Indira Kanda</t>
  </si>
  <si>
    <t xml:space="preserve">176461</t>
  </si>
  <si>
    <t xml:space="preserve">Multiple projects</t>
  </si>
  <si>
    <t xml:space="preserve">Clarity on expectations;Review of ongoing concerns;Feedback on recent processes;</t>
  </si>
  <si>
    <t xml:space="preserve">LC195071@techmahindra.com</t>
  </si>
  <si>
    <t xml:space="preserve">Laksh Chatterjee</t>
  </si>
  <si>
    <t xml:space="preserve">195071</t>
  </si>
  <si>
    <t xml:space="preserve">NA;Associates lack clarity on practice goals and IBU priorities;</t>
  </si>
  <si>
    <t xml:space="preserve">DS117215@techmahindra.com</t>
  </si>
  <si>
    <t xml:space="preserve">Dayamai Sastry</t>
  </si>
  <si>
    <t xml:space="preserve">Janya Deep</t>
  </si>
  <si>
    <t xml:space="preserve">117215</t>
  </si>
  <si>
    <t xml:space="preserve">NA;All the queries were answered in the sessions;</t>
  </si>
  <si>
    <t xml:space="preserve">Publish post-induction roadmap (Day 1–30);Checked the action plan for pending allocation of new joiners and highlighted to IBU head and it was closed;</t>
  </si>
  <si>
    <t xml:space="preserve">ES957525@techmahindra.com</t>
  </si>
  <si>
    <t xml:space="preserve">Eta Sagar</t>
  </si>
  <si>
    <t xml:space="preserve">957525</t>
  </si>
  <si>
    <t xml:space="preserve">Kollam</t>
  </si>
  <si>
    <t xml:space="preserve">Discussion on team dynamics;</t>
  </si>
  <si>
    <t xml:space="preserve">YM929478@techmahindra.com</t>
  </si>
  <si>
    <t xml:space="preserve">Yachana Mahajan</t>
  </si>
  <si>
    <t xml:space="preserve">929478</t>
  </si>
  <si>
    <t xml:space="preserve">Engagement &amp; Belonging;Career Path Visibility;Internal Growth Opportunities;</t>
  </si>
  <si>
    <t xml:space="preserve">Improve team engagement (inclusion, recognition);Align role expectations vs aspiration through discussion;</t>
  </si>
  <si>
    <t xml:space="preserve">VM301224@techmahindra.com</t>
  </si>
  <si>
    <t xml:space="preserve">Vasatika Merchant</t>
  </si>
  <si>
    <t xml:space="preserve">Ishwar Sidhu</t>
  </si>
  <si>
    <t xml:space="preserve">301224</t>
  </si>
  <si>
    <t xml:space="preserve">UR221703@techmahindra.com</t>
  </si>
  <si>
    <t xml:space="preserve">Upkaar Ranganathan</t>
  </si>
  <si>
    <t xml:space="preserve">Gautam Rana</t>
  </si>
  <si>
    <t xml:space="preserve">221703</t>
  </si>
  <si>
    <t xml:space="preserve">Guidance on timesheet;Clarity On Role-based Learning Expectations;</t>
  </si>
  <si>
    <t xml:space="preserve">detailed discussion on monthly cadence;Connect for recognition;</t>
  </si>
  <si>
    <t xml:space="preserve">Host open house hour for Q&amp;A and log unanswered items;It was a general discussion with the IBU Head on the pulse at ground level;</t>
  </si>
  <si>
    <t xml:space="preserve">SP162549@techmahindra.com</t>
  </si>
  <si>
    <t xml:space="preserve">Suhani Pillay</t>
  </si>
  <si>
    <t xml:space="preserve">162549</t>
  </si>
  <si>
    <t xml:space="preserve">Bhimavaram</t>
  </si>
  <si>
    <t xml:space="preserve">Learning &amp; Skill Building;Empathy And Communication;Career Support &amp; Sponsorship;</t>
  </si>
  <si>
    <t xml:space="preserve">Upskilling for future roles;Need equitable recognition;</t>
  </si>
  <si>
    <t xml:space="preserve">HK701568@techmahindra.com</t>
  </si>
  <si>
    <t xml:space="preserve">Hritik Kaur</t>
  </si>
  <si>
    <t xml:space="preserve">701568</t>
  </si>
  <si>
    <t xml:space="preserve">Benefits, Insurance &amp; Wellbeing;</t>
  </si>
  <si>
    <t xml:space="preserve">Need faster resolution for HR tickets and queries;NA;</t>
  </si>
  <si>
    <t xml:space="preserve">Maintain a live FAQ for hybrid/WFO and exceptions;It was a general discussion with the IBU Head on the pulse at ground level;</t>
  </si>
  <si>
    <t xml:space="preserve">TB245357@techmahindra.com</t>
  </si>
  <si>
    <t xml:space="preserve">Timothy Bhatnagar</t>
  </si>
  <si>
    <t xml:space="preserve">245357</t>
  </si>
  <si>
    <t xml:space="preserve">Relocation policy</t>
  </si>
  <si>
    <t xml:space="preserve">CR142859@techmahindra.com</t>
  </si>
  <si>
    <t xml:space="preserve">Chasmum Rege</t>
  </si>
  <si>
    <t xml:space="preserve">142859</t>
  </si>
  <si>
    <t xml:space="preserve">BM652266@techmahindra.com</t>
  </si>
  <si>
    <t xml:space="preserve">Baljiwan Modi</t>
  </si>
  <si>
    <t xml:space="preserve">652266</t>
  </si>
  <si>
    <t xml:space="preserve">Connect with Practice head, associates were happy with the session and interaction opportunity with practice head.;Lack of awareness of internal opportunities;</t>
  </si>
  <si>
    <t xml:space="preserve">GK596925@techmahindra.com</t>
  </si>
  <si>
    <t xml:space="preserve">Gunbir Keer</t>
  </si>
  <si>
    <t xml:space="preserve">596925</t>
  </si>
  <si>
    <t xml:space="preserve">Munger</t>
  </si>
  <si>
    <t xml:space="preserve">Manager Connect Effectiveness;Project Allocation Clarity;Role Expectation Clarity;</t>
  </si>
  <si>
    <t xml:space="preserve">Limited structured interaction with reporting manager;Difficulty in understanding tools/processes;</t>
  </si>
  <si>
    <t xml:space="preserve">MS846389@techmahindra.com</t>
  </si>
  <si>
    <t xml:space="preserve">Mohammed Sachdeva</t>
  </si>
  <si>
    <t xml:space="preserve">846389</t>
  </si>
  <si>
    <t xml:space="preserve">New Joiner Induction</t>
  </si>
  <si>
    <t xml:space="preserve">Workload &amp; Work-Life Balance;</t>
  </si>
  <si>
    <t xml:space="preserve">Communicated to the teams on the importance of communication and transparency;All the queries were resolved in the session;</t>
  </si>
  <si>
    <t xml:space="preserve">NM263633@techmahindra.com</t>
  </si>
  <si>
    <t xml:space="preserve">Nikita Mammen</t>
  </si>
  <si>
    <t xml:space="preserve">Kamala Kalla</t>
  </si>
  <si>
    <t xml:space="preserve">263633</t>
  </si>
  <si>
    <t xml:space="preserve">General wellbeing check-in;Clarity on expectations;</t>
  </si>
  <si>
    <t xml:space="preserve">JC391427@techmahindra.com</t>
  </si>
  <si>
    <t xml:space="preserve">Janani Chaudhary</t>
  </si>
  <si>
    <t xml:space="preserve">391427</t>
  </si>
  <si>
    <t xml:space="preserve">Learning/cert Support Requests;Recognition &amp; Motivation;</t>
  </si>
  <si>
    <t xml:space="preserve">JB944809@techmahindra.com</t>
  </si>
  <si>
    <t xml:space="preserve">Jagrati Bhat</t>
  </si>
  <si>
    <t xml:space="preserve">944809</t>
  </si>
  <si>
    <t xml:space="preserve">JS403524@techmahindra.com</t>
  </si>
  <si>
    <t xml:space="preserve">Jason Sha</t>
  </si>
  <si>
    <t xml:space="preserve">403524</t>
  </si>
  <si>
    <t xml:space="preserve">AB599164@techmahindra.com</t>
  </si>
  <si>
    <t xml:space="preserve">Ansh Bedi</t>
  </si>
  <si>
    <t xml:space="preserve">599164</t>
  </si>
  <si>
    <t xml:space="preserve">Latur</t>
  </si>
  <si>
    <t xml:space="preserve">Policy &amp; Process Clarity;</t>
  </si>
  <si>
    <t xml:space="preserve">Addressing concerns on allocation issues;Coach managers on feedback, delegation, and communication;</t>
  </si>
  <si>
    <t xml:space="preserve">EJ966985@techmahindra.com</t>
  </si>
  <si>
    <t xml:space="preserve">Ekapad Johal</t>
  </si>
  <si>
    <t xml:space="preserve">966985</t>
  </si>
  <si>
    <t xml:space="preserve">On Leave/comp-off Due To Client Calendar Mismatches;</t>
  </si>
  <si>
    <t xml:space="preserve">Recurring questions on WFO/WFH expectations and exception handling;</t>
  </si>
  <si>
    <t xml:space="preserve">All were resolved in the ODC connect;</t>
  </si>
  <si>
    <t xml:space="preserve">FD222227@techmahindra.com</t>
  </si>
  <si>
    <t xml:space="preserve">Falguni Divan</t>
  </si>
  <si>
    <t xml:space="preserve">222227</t>
  </si>
  <si>
    <t xml:space="preserve">USA Retail &amp; CPG, Energy and Utilities, Professional services</t>
  </si>
  <si>
    <t xml:space="preserve">Work-Life Balance &amp; Flexibility;</t>
  </si>
  <si>
    <t xml:space="preserve">Need flexible arrangements during caregiving;</t>
  </si>
  <si>
    <t xml:space="preserve">AD134385@techmahindra.com</t>
  </si>
  <si>
    <t xml:space="preserve">Aradhana Dhillon</t>
  </si>
  <si>
    <t xml:space="preserve">134385</t>
  </si>
  <si>
    <t xml:space="preserve">On Hybrid/WFO Rules And Monthly Compliance Expectations;</t>
  </si>
  <si>
    <t xml:space="preserve">Discussed on how to simply WFH exception requests and about various projects;</t>
  </si>
  <si>
    <t xml:space="preserve">no specific requisites.;</t>
  </si>
  <si>
    <t xml:space="preserve">OC900319@techmahindra.com</t>
  </si>
  <si>
    <t xml:space="preserve">Owen Choudhary</t>
  </si>
  <si>
    <t xml:space="preserve">Karan Aurora</t>
  </si>
  <si>
    <t xml:space="preserve">900319</t>
  </si>
  <si>
    <t xml:space="preserve">Patiala</t>
  </si>
  <si>
    <t xml:space="preserve">Survitec</t>
  </si>
  <si>
    <t xml:space="preserve">Infrastructure / Workplace Enablement;Manager Support &amp; Local Leadership Effectiveness;</t>
  </si>
  <si>
    <t xml:space="preserve">Need clarity on appraisal/performance timelines and edge cases;associates want clear routes;</t>
  </si>
  <si>
    <t xml:space="preserve">Implement monthly recognition cadence (kudos, spotlight, customer praise);</t>
  </si>
  <si>
    <t xml:space="preserve">Compensation concerns and wants to move to middle east</t>
  </si>
  <si>
    <t xml:space="preserve">OL142581@techmahindra.com</t>
  </si>
  <si>
    <t xml:space="preserve">Owen Lanka</t>
  </si>
  <si>
    <t xml:space="preserve">Jonathan Sama</t>
  </si>
  <si>
    <t xml:space="preserve">142581</t>
  </si>
  <si>
    <t xml:space="preserve">Discussion on team dynamics;Feedback on recent processes;General wellbeing check-in;</t>
  </si>
  <si>
    <t xml:space="preserve">NA;Minor process related queries;</t>
  </si>
  <si>
    <t xml:space="preserve">No specific action required;NA;</t>
  </si>
  <si>
    <t xml:space="preserve">VS723861@techmahindra.com</t>
  </si>
  <si>
    <t xml:space="preserve">Vamakshi Sen</t>
  </si>
  <si>
    <t xml:space="preserve">723861</t>
  </si>
  <si>
    <t xml:space="preserve">Exit guidelines ,Early release process</t>
  </si>
  <si>
    <t xml:space="preserve">ST501219@techmahindra.com</t>
  </si>
  <si>
    <t xml:space="preserve">Siya Thakur</t>
  </si>
  <si>
    <t xml:space="preserve">501219</t>
  </si>
  <si>
    <t xml:space="preserve">Srikakulam</t>
  </si>
  <si>
    <t xml:space="preserve">Emerging BPM Lowcode</t>
  </si>
  <si>
    <t xml:space="preserve">shared CS SPOC details;</t>
  </si>
  <si>
    <t xml:space="preserve">TB272117@techmahindra.com</t>
  </si>
  <si>
    <t xml:space="preserve">Tara Balasubramanian</t>
  </si>
  <si>
    <t xml:space="preserve">272117</t>
  </si>
  <si>
    <t xml:space="preserve">Workload Management;Queries related to BGV check;Team Integration;</t>
  </si>
  <si>
    <t xml:space="preserve">BGV;The associates had questions around WFH and leaves.;</t>
  </si>
  <si>
    <t xml:space="preserve">NS468332@techmahindra.com</t>
  </si>
  <si>
    <t xml:space="preserve">Neelima Sandhu</t>
  </si>
  <si>
    <t xml:space="preserve">Vritti Sawhney</t>
  </si>
  <si>
    <t xml:space="preserve">468332</t>
  </si>
  <si>
    <t xml:space="preserve">Team Integration;Role Confidence Level;Queries related to BGV check;</t>
  </si>
  <si>
    <t xml:space="preserve">The associates had questions around WFH and leaves.;</t>
  </si>
  <si>
    <t xml:space="preserve">ED799806@techmahindra.com</t>
  </si>
  <si>
    <t xml:space="preserve">Ekanta Divan</t>
  </si>
  <si>
    <t xml:space="preserve">799806</t>
  </si>
  <si>
    <t xml:space="preserve">Cuttack</t>
  </si>
  <si>
    <t xml:space="preserve">Flexibility Alignment;</t>
  </si>
  <si>
    <t xml:space="preserve">Workload escalation guidance;</t>
  </si>
  <si>
    <t xml:space="preserve">Wellbeing check-ins;Workshops;</t>
  </si>
  <si>
    <t xml:space="preserve">LW755322@techmahindra.com</t>
  </si>
  <si>
    <t xml:space="preserve">Lakshmi Wali</t>
  </si>
  <si>
    <t xml:space="preserve">755322</t>
  </si>
  <si>
    <t xml:space="preserve">HC434132@techmahindra.com</t>
  </si>
  <si>
    <t xml:space="preserve">Hardik Contractor</t>
  </si>
  <si>
    <t xml:space="preserve">434132</t>
  </si>
  <si>
    <t xml:space="preserve">Run quarterly nominations;Not happy with no hike;</t>
  </si>
  <si>
    <t xml:space="preserve">ON857568@techmahindra.com</t>
  </si>
  <si>
    <t xml:space="preserve">Odika Nori</t>
  </si>
  <si>
    <t xml:space="preserve">857568</t>
  </si>
  <si>
    <t xml:space="preserve">Infrastructure / Workplace Enablement;</t>
  </si>
  <si>
    <t xml:space="preserve">HR and Delivery Head clarified on org level communication on appraisals;All the queries were resolved in the ODC COnnect;</t>
  </si>
  <si>
    <t xml:space="preserve">Overall feedback from all the employees was good</t>
  </si>
  <si>
    <t xml:space="preserve">OC251286@techmahindra.com</t>
  </si>
  <si>
    <t xml:space="preserve">Ojasvi Chandran</t>
  </si>
  <si>
    <t xml:space="preserve">Prisha Munshi</t>
  </si>
  <si>
    <t xml:space="preserve">251286</t>
  </si>
  <si>
    <t xml:space="preserve">Dindigul</t>
  </si>
  <si>
    <t xml:space="preserve">For Consolidated HR Communications Rather Than Scattered Upd;Generic Queries;</t>
  </si>
  <si>
    <t xml:space="preserve">Others;Need guidance on leave, travel, and exception approvals;</t>
  </si>
  <si>
    <t xml:space="preserve">EC769986@techmahindra.com</t>
  </si>
  <si>
    <t xml:space="preserve">Ekalinga Chand</t>
  </si>
  <si>
    <t xml:space="preserve">769986</t>
  </si>
  <si>
    <t xml:space="preserve">Internal Mobility / Rotation Opportunities;</t>
  </si>
  <si>
    <t xml:space="preserve">ELTPs want clarity on progression timelines and competencies for the next band/role;</t>
  </si>
  <si>
    <t xml:space="preserve">Run structured mobility/rotation sessions with examples and process FAQs;Highlight ELTP success stories + learning milestones in leadership forums/townhalls;</t>
  </si>
  <si>
    <t xml:space="preserve">RC205272@techmahindra.com</t>
  </si>
  <si>
    <t xml:space="preserve">Rachana Char</t>
  </si>
  <si>
    <t xml:space="preserve">205272</t>
  </si>
  <si>
    <t xml:space="preserve">SAP product support</t>
  </si>
  <si>
    <t xml:space="preserve">Strategic Connect;</t>
  </si>
  <si>
    <t xml:space="preserve">Communicated to the teams on the importance of communication and transparency;NA;</t>
  </si>
  <si>
    <t xml:space="preserve">KB573421@techmahindra.com</t>
  </si>
  <si>
    <t xml:space="preserve">Kalpit Bhasin</t>
  </si>
  <si>
    <t xml:space="preserve">573421</t>
  </si>
  <si>
    <t xml:space="preserve">SAP PE CSI Support</t>
  </si>
  <si>
    <t xml:space="preserve">Work-Life &amp; Sustainability Signals;Recognition Visibility;Business &amp; Strategy Clarity;</t>
  </si>
  <si>
    <t xml:space="preserve">JR651380@techmahindra.com</t>
  </si>
  <si>
    <t xml:space="preserve">Jason Roy</t>
  </si>
  <si>
    <t xml:space="preserve">651380</t>
  </si>
  <si>
    <t xml:space="preserve">Bhusawal</t>
  </si>
  <si>
    <t xml:space="preserve">On Leave/comp-off Due To Client Calendar Mismatches;Workload &amp; Work-Life Balance;</t>
  </si>
  <si>
    <t xml:space="preserve">associates want clear routes;Timesheet submission/approval process inconsistencies create compliance risk;</t>
  </si>
  <si>
    <t xml:space="preserve">Define issue escalation ladder and response SLAs;</t>
  </si>
  <si>
    <t xml:space="preserve">BM110821@techmahindra.com</t>
  </si>
  <si>
    <t xml:space="preserve">Bhavna Muni</t>
  </si>
  <si>
    <t xml:space="preserve">110821</t>
  </si>
  <si>
    <t xml:space="preserve">Vasai-Virar</t>
  </si>
  <si>
    <t xml:space="preserve">the queries were addressed in the call</t>
  </si>
  <si>
    <t xml:space="preserve">MS616780@techmahindra.com</t>
  </si>
  <si>
    <t xml:space="preserve">Mohammed Subramaniam</t>
  </si>
  <si>
    <t xml:space="preserve">616780</t>
  </si>
  <si>
    <t xml:space="preserve">Project Connect</t>
  </si>
  <si>
    <t xml:space="preserve">IP682667@techmahindra.com</t>
  </si>
  <si>
    <t xml:space="preserve">Inaya Pillai</t>
  </si>
  <si>
    <t xml:space="preserve">682667</t>
  </si>
  <si>
    <t xml:space="preserve">Career Clarity &amp; Growth Continuity;</t>
  </si>
  <si>
    <t xml:space="preserve">AL714127@techmahindra.com</t>
  </si>
  <si>
    <t xml:space="preserve">Atharv Loke</t>
  </si>
  <si>
    <t xml:space="preserve">714127</t>
  </si>
  <si>
    <t xml:space="preserve">Engagement with Leadership &amp; Confidence Level;Alignment on Role in Business Context;</t>
  </si>
  <si>
    <t xml:space="preserve">Associates lack clarity on practice goals and IBU priorities;All the queries were answered in the sessions;</t>
  </si>
  <si>
    <t xml:space="preserve">DN869989@techmahindra.com</t>
  </si>
  <si>
    <t xml:space="preserve">Dayamai Nori</t>
  </si>
  <si>
    <t xml:space="preserve">869989</t>
  </si>
  <si>
    <t xml:space="preserve">NA;Positive feedback overall;</t>
  </si>
  <si>
    <t xml:space="preserve">LR732829@techmahindra.com</t>
  </si>
  <si>
    <t xml:space="preserve">Luke Rattan</t>
  </si>
  <si>
    <t xml:space="preserve">Lucky Balasubramanian</t>
  </si>
  <si>
    <t xml:space="preserve">732829</t>
  </si>
  <si>
    <t xml:space="preserve">Role Confidence Level;BGV queries;Team Integration;</t>
  </si>
  <si>
    <t xml:space="preserve">Not fully integrated with team collaboration channels;BGV related queries;</t>
  </si>
  <si>
    <t xml:space="preserve">Mandate structured monthly feedback from manager;</t>
  </si>
  <si>
    <t xml:space="preserve">KS982416@techmahindra.com</t>
  </si>
  <si>
    <t xml:space="preserve">Krisha Saini</t>
  </si>
  <si>
    <t xml:space="preserve">982416</t>
  </si>
  <si>
    <t xml:space="preserve">Hybrid working policy was explained in detail;Standardize induction deck + post-induction summary mail;</t>
  </si>
  <si>
    <t xml:space="preserve">EC949352@techmahindra.com</t>
  </si>
  <si>
    <t xml:space="preserve">Ekta Chad</t>
  </si>
  <si>
    <t xml:space="preserve">949352</t>
  </si>
  <si>
    <t xml:space="preserve">Bhatpara</t>
  </si>
  <si>
    <t xml:space="preserve">Long-Term Role Alignment;Internal Growth Opportunities;Engagement &amp; Belonging;</t>
  </si>
  <si>
    <t xml:space="preserve">FM982995@techmahindra.com</t>
  </si>
  <si>
    <t xml:space="preserve">Finn Magar</t>
  </si>
  <si>
    <t xml:space="preserve">982995</t>
  </si>
  <si>
    <t xml:space="preserve">Support Program Utilization;</t>
  </si>
  <si>
    <t xml:space="preserve">Low awareness;</t>
  </si>
  <si>
    <t xml:space="preserve">VS138815@techmahindra.com</t>
  </si>
  <si>
    <t xml:space="preserve">Vedika Sathe</t>
  </si>
  <si>
    <t xml:space="preserve">138815</t>
  </si>
  <si>
    <t xml:space="preserve">YC994911@techmahindra.com</t>
  </si>
  <si>
    <t xml:space="preserve">Yauvani Comar</t>
  </si>
  <si>
    <t xml:space="preserve">994911</t>
  </si>
  <si>
    <t xml:space="preserve">HR / WFM / Training Communication Effectiveness;Business &amp; Practice Awareness;Alignment on Role in Business Context;</t>
  </si>
  <si>
    <t xml:space="preserve">Checked the action plan for pending allocation of new joiners and highlighted to IBU head and it was closed;Provide FAQs, guides, refresher sessions;</t>
  </si>
  <si>
    <t xml:space="preserve">BS133522@techmahindra.com</t>
  </si>
  <si>
    <t xml:space="preserve">Bhanumati Sur</t>
  </si>
  <si>
    <t xml:space="preserve">133522</t>
  </si>
  <si>
    <t xml:space="preserve">mmmm</t>
  </si>
  <si>
    <t xml:space="preserve">AJ216319@techmahindra.com</t>
  </si>
  <si>
    <t xml:space="preserve">Abhimanyu Jayaraman</t>
  </si>
  <si>
    <t xml:space="preserve">216319</t>
  </si>
  <si>
    <t xml:space="preserve">Initial Organization Understanding;Tool &amp; System Access;Induction Effectiveness;</t>
  </si>
  <si>
    <t xml:space="preserve">Implement Day-1 access checklist tracking (IT + Admin);Hybrid working policy was explained in detail;</t>
  </si>
  <si>
    <t xml:space="preserve">BN849941@techmahindra.com</t>
  </si>
  <si>
    <t xml:space="preserve">Bimala Narang</t>
  </si>
  <si>
    <t xml:space="preserve">849941</t>
  </si>
  <si>
    <t xml:space="preserve">Resignation during bench, seat issue in Hyderabad</t>
  </si>
  <si>
    <t xml:space="preserve">QG512369@techmahindra.com</t>
  </si>
  <si>
    <t xml:space="preserve">Qushi Gill</t>
  </si>
  <si>
    <t xml:space="preserve">512369</t>
  </si>
  <si>
    <t xml:space="preserve">XP563621@techmahindra.com</t>
  </si>
  <si>
    <t xml:space="preserve">Xiti Pandya</t>
  </si>
  <si>
    <t xml:space="preserve">563621</t>
  </si>
  <si>
    <t xml:space="preserve">Visibility on Allocation &amp; Demand;Engagement with Leadership &amp; Confidence Level;HR / WFM / Training Communication Effectiveness;</t>
  </si>
  <si>
    <t xml:space="preserve">RB757446@techmahindra.com</t>
  </si>
  <si>
    <t xml:space="preserve">Rajata Bahl</t>
  </si>
  <si>
    <t xml:space="preserve">757446</t>
  </si>
  <si>
    <t xml:space="preserve">Solapur</t>
  </si>
  <si>
    <t xml:space="preserve">ISR Activity</t>
  </si>
  <si>
    <t xml:space="preserve">Volunteer Enablement;CSR Alignment;Pride &amp; Purpose;</t>
  </si>
  <si>
    <t xml:space="preserve">Need structured roles;Align with company values;</t>
  </si>
  <si>
    <t xml:space="preserve">CSR champions;Skill volunteering catalog;</t>
  </si>
  <si>
    <t xml:space="preserve">NS236381@techmahindra.com</t>
  </si>
  <si>
    <t xml:space="preserve">Nidhi Sahni</t>
  </si>
  <si>
    <t xml:space="preserve">236381</t>
  </si>
  <si>
    <t xml:space="preserve">AN134191@techmahindra.com</t>
  </si>
  <si>
    <t xml:space="preserve">Ansh Nair</t>
  </si>
  <si>
    <t xml:space="preserve">134191</t>
  </si>
  <si>
    <t xml:space="preserve">Manager Connect Effectiveness;Project Allocation Clarity;</t>
  </si>
  <si>
    <t xml:space="preserve">JC537859@techmahindra.com</t>
  </si>
  <si>
    <t xml:space="preserve">Janaki Chakrabarti</t>
  </si>
  <si>
    <t xml:space="preserve">537859</t>
  </si>
  <si>
    <t xml:space="preserve">Role Expectation Clarity;</t>
  </si>
  <si>
    <t xml:space="preserve">Ensure weekly  :  connect with manager;Define timeline for project allocation (max  0 days);</t>
  </si>
  <si>
    <t xml:space="preserve">YS688297@techmahindra.com</t>
  </si>
  <si>
    <t xml:space="preserve">Yagnesh Sarin</t>
  </si>
  <si>
    <t xml:space="preserve">688297</t>
  </si>
  <si>
    <t xml:space="preserve">Grievance/speak-up Clarity;</t>
  </si>
  <si>
    <t xml:space="preserve">MM195446@techmahindra.com</t>
  </si>
  <si>
    <t xml:space="preserve">Meghana Mukherjee</t>
  </si>
  <si>
    <t xml:space="preserve">Timothy Nath</t>
  </si>
  <si>
    <t xml:space="preserve">195446</t>
  </si>
  <si>
    <t xml:space="preserve">Minor process related queries;NA;</t>
  </si>
  <si>
    <t xml:space="preserve">Continue regular check-ins;Share update with relevant stakeholder;</t>
  </si>
  <si>
    <t xml:space="preserve">YH503752@techmahindra.com</t>
  </si>
  <si>
    <t xml:space="preserve">Yashvi Hari</t>
  </si>
  <si>
    <t xml:space="preserve">503752</t>
  </si>
  <si>
    <t xml:space="preserve">CSR Alignment;</t>
  </si>
  <si>
    <t xml:space="preserve">Need structured roles;</t>
  </si>
  <si>
    <t xml:space="preserve">Skill volunteering catalog;CSR champions;</t>
  </si>
  <si>
    <t xml:space="preserve">ID573685@techmahindra.com</t>
  </si>
  <si>
    <t xml:space="preserve">Indali Divan</t>
  </si>
  <si>
    <t xml:space="preserve">Harshil Dhingra</t>
  </si>
  <si>
    <t xml:space="preserve">573685</t>
  </si>
  <si>
    <t xml:space="preserve">Learning Curve Support;Manager Connect Effectiveness;Initial Engagement Level;</t>
  </si>
  <si>
    <t xml:space="preserve">Most of the associates are undergoing trainings as there are FCTP's;</t>
  </si>
  <si>
    <t xml:space="preserve">MB459279@techmahindra.com</t>
  </si>
  <si>
    <t xml:space="preserve">Michael Borra</t>
  </si>
  <si>
    <t xml:space="preserve">459279</t>
  </si>
  <si>
    <t xml:space="preserve">US181288@techmahindra.com</t>
  </si>
  <si>
    <t xml:space="preserve">Ucchal Sen</t>
  </si>
  <si>
    <t xml:space="preserve">181288</t>
  </si>
  <si>
    <t xml:space="preserve">Benefits, Insurance &amp; Wellbeing;Culture &amp; Engagement;</t>
  </si>
  <si>
    <t xml:space="preserve">Need guidance on learning platforms and certification options;</t>
  </si>
  <si>
    <t xml:space="preserve">It was a general discussion with the IBU Head on the pulse at ground level;Feedback to be shared with IBU head;</t>
  </si>
  <si>
    <t xml:space="preserve">DD735465@techmahindra.com</t>
  </si>
  <si>
    <t xml:space="preserve">Diya Dora</t>
  </si>
  <si>
    <t xml:space="preserve">735465</t>
  </si>
  <si>
    <t xml:space="preserve">Jabalpur</t>
  </si>
  <si>
    <t xml:space="preserve">Manager Support &amp; Local Leadership Effectiveness;</t>
  </si>
  <si>
    <t xml:space="preserve">NA;All were resolved in the ODC connect;</t>
  </si>
  <si>
    <t xml:space="preserve">AB102049@techmahindra.com</t>
  </si>
  <si>
    <t xml:space="preserve">Anvi Bhalla</t>
  </si>
  <si>
    <t xml:space="preserve">102049</t>
  </si>
  <si>
    <t xml:space="preserve">DS306440@techmahindra.com</t>
  </si>
  <si>
    <t xml:space="preserve">Dayita Shenoy</t>
  </si>
  <si>
    <t xml:space="preserve">306440</t>
  </si>
  <si>
    <t xml:space="preserve">Agra</t>
  </si>
  <si>
    <t xml:space="preserve">Lack of awareness of internal opportunities;</t>
  </si>
  <si>
    <t xml:space="preserve">org structure was explained, HR policy was explained ,Q/A</t>
  </si>
  <si>
    <t xml:space="preserve">FC168187@techmahindra.com</t>
  </si>
  <si>
    <t xml:space="preserve">Faraj Chana</t>
  </si>
  <si>
    <t xml:space="preserve">168187</t>
  </si>
  <si>
    <t xml:space="preserve">TB847948@techmahindra.com</t>
  </si>
  <si>
    <t xml:space="preserve">Turvi Barman</t>
  </si>
  <si>
    <t xml:space="preserve">Raghav Nagy</t>
  </si>
  <si>
    <t xml:space="preserve">847948</t>
  </si>
  <si>
    <t xml:space="preserve">it was a Connect with SL Head</t>
  </si>
  <si>
    <t xml:space="preserve">Manager/Leadership Support;For Role Rotation (PM/PGM/architect);</t>
  </si>
  <si>
    <t xml:space="preserve">Answer FAQs in next connect;</t>
  </si>
  <si>
    <t xml:space="preserve">DS157259@techmahindra.com</t>
  </si>
  <si>
    <t xml:space="preserve">David Seshadri</t>
  </si>
  <si>
    <t xml:space="preserve">157259</t>
  </si>
  <si>
    <t xml:space="preserve">Tiruvottiyur</t>
  </si>
  <si>
    <t xml:space="preserve">Manager Connect Effectiveness;Project Allocation Clarity;Learning Curve Support;</t>
  </si>
  <si>
    <t xml:space="preserve">YG494172@techmahindra.com</t>
  </si>
  <si>
    <t xml:space="preserve">Yamini Gera</t>
  </si>
  <si>
    <t xml:space="preserve">494172</t>
  </si>
  <si>
    <t xml:space="preserve">Shahjahanpur</t>
  </si>
  <si>
    <t xml:space="preserve">NP243910@techmahindra.com</t>
  </si>
  <si>
    <t xml:space="preserve">Nathan Patla</t>
  </si>
  <si>
    <t xml:space="preserve">243910</t>
  </si>
  <si>
    <t xml:space="preserve">Action Closure Discipline;</t>
  </si>
  <si>
    <t xml:space="preserve">LR443598@techmahindra.com</t>
  </si>
  <si>
    <t xml:space="preserve">Lila Rege</t>
  </si>
  <si>
    <t xml:space="preserve">443598</t>
  </si>
  <si>
    <t xml:space="preserve">Team Integration;Queries related to BGV check;Role Confidence Level;</t>
  </si>
  <si>
    <t xml:space="preserve">NA;Mandate structured monthly feedback from manager;</t>
  </si>
  <si>
    <t xml:space="preserve">GB515131@techmahindra.com</t>
  </si>
  <si>
    <t xml:space="preserve">Gaurika Bhatti</t>
  </si>
  <si>
    <t xml:space="preserve">515131</t>
  </si>
  <si>
    <t xml:space="preserve">Recognition Visibility;Work-Life &amp; Sustainability Signals;</t>
  </si>
  <si>
    <t xml:space="preserve">Org/structural updates are heard but not fully understood (what changes for me?);Associates were curious to know about salary increments;</t>
  </si>
  <si>
    <t xml:space="preserve">NA;Share a 1-page business snapshot (targets, priorities, key wins) post townhall;</t>
  </si>
  <si>
    <t xml:space="preserve">BK637700@techmahindra.com</t>
  </si>
  <si>
    <t xml:space="preserve">Bhanumati Krishnan</t>
  </si>
  <si>
    <t xml:space="preserve">637700</t>
  </si>
  <si>
    <t xml:space="preserve">Thoothukudi</t>
  </si>
  <si>
    <t xml:space="preserve">Assign buddy with defined responsibilities for 2 weeks;Implement Day-1 access checklist tracking (IT + Admin);</t>
  </si>
  <si>
    <t xml:space="preserve">Queries on compensation revision and hikes</t>
  </si>
  <si>
    <t xml:space="preserve">IM516814@techmahindra.com</t>
  </si>
  <si>
    <t xml:space="preserve">Inaya Mukherjee</t>
  </si>
  <si>
    <t xml:space="preserve">516814</t>
  </si>
  <si>
    <t xml:space="preserve">Continue regular check-ins;No specific action required;</t>
  </si>
  <si>
    <t xml:space="preserve">KC663718@techmahindra.com</t>
  </si>
  <si>
    <t xml:space="preserve">Kai Chad</t>
  </si>
  <si>
    <t xml:space="preserve">663718</t>
  </si>
  <si>
    <t xml:space="preserve">Associate is looking for promotion and stated that there needs to be a forum for connecting with competency groups</t>
  </si>
  <si>
    <t xml:space="preserve">FD295760@techmahindra.com</t>
  </si>
  <si>
    <t xml:space="preserve">Falguni Datta</t>
  </si>
  <si>
    <t xml:space="preserve">295760</t>
  </si>
  <si>
    <t xml:space="preserve">HR/WFM/Training updates not actionable;All the queries were answered in the sessions;</t>
  </si>
  <si>
    <t xml:space="preserve">Create consistent onboarding framework across practice;TLS SPOC had cleared all the queries w.r.t learning;</t>
  </si>
  <si>
    <t xml:space="preserve">PT388820@techmahindra.com</t>
  </si>
  <si>
    <t xml:space="preserve">Pallavi Trivedi</t>
  </si>
  <si>
    <t xml:space="preserve">388820</t>
  </si>
  <si>
    <t xml:space="preserve">Business Wait Connect</t>
  </si>
  <si>
    <t xml:space="preserve">Rules On Working Without Formal Allocation/PID;Job Security &amp; Anxiety Management;</t>
  </si>
  <si>
    <t xml:space="preserve">Delay in interview feedback creates uncertainty and repeated follow-ups;Prolonged bench duration triggers anxiety about future within the org;</t>
  </si>
  <si>
    <t xml:space="preserve">No specific action, discussion closed during the connect;</t>
  </si>
  <si>
    <t xml:space="preserve">DG351338@techmahindra.com</t>
  </si>
  <si>
    <t xml:space="preserve">Dayamai Gole</t>
  </si>
  <si>
    <t xml:space="preserve">351338</t>
  </si>
  <si>
    <t xml:space="preserve">Pride &amp; Purpose;</t>
  </si>
  <si>
    <t xml:space="preserve">Align with company values;</t>
  </si>
  <si>
    <t xml:space="preserve">RK515943@techmahindra.com</t>
  </si>
  <si>
    <t xml:space="preserve">Rehaan Kara</t>
  </si>
  <si>
    <t xml:space="preserve">Mohammed Brahmbhatt</t>
  </si>
  <si>
    <t xml:space="preserve">515943</t>
  </si>
  <si>
    <t xml:space="preserve">HR Process Clarity;</t>
  </si>
  <si>
    <t xml:space="preserve">Hybrid working policy was explained in detail;</t>
  </si>
  <si>
    <t xml:space="preserve">YZ807835@techmahindra.com</t>
  </si>
  <si>
    <t xml:space="preserve">Yashica Zacharia</t>
  </si>
  <si>
    <t xml:space="preserve">807835</t>
  </si>
  <si>
    <t xml:space="preserve">Need faster resolution for HR tickets and queries;</t>
  </si>
  <si>
    <t xml:space="preserve">Connect for recognition;</t>
  </si>
  <si>
    <t xml:space="preserve">GD859181@techmahindra.com</t>
  </si>
  <si>
    <t xml:space="preserve">Gayathri Deep</t>
  </si>
  <si>
    <t xml:space="preserve">859181</t>
  </si>
  <si>
    <t xml:space="preserve">NG847143@techmahindra.com</t>
  </si>
  <si>
    <t xml:space="preserve">Nicholas Golla</t>
  </si>
  <si>
    <t xml:space="preserve">847143</t>
  </si>
  <si>
    <t xml:space="preserve">RB259038@techmahindra.com</t>
  </si>
  <si>
    <t xml:space="preserve">Raksha Bassi</t>
  </si>
  <si>
    <t xml:space="preserve">259038</t>
  </si>
  <si>
    <t xml:space="preserve">Discussion on team dynamics;General wellbeing check-in;Clarity on expectations;</t>
  </si>
  <si>
    <t xml:space="preserve">SM173384@techmahindra.com</t>
  </si>
  <si>
    <t xml:space="preserve">Sachi Mane</t>
  </si>
  <si>
    <t xml:space="preserve">173384</t>
  </si>
  <si>
    <t xml:space="preserve">Muzaffarpur</t>
  </si>
  <si>
    <t xml:space="preserve">Role Confidence Level;Queries related to BGV check;Feedback Mechanism;</t>
  </si>
  <si>
    <t xml:space="preserve">BGV related queries;</t>
  </si>
  <si>
    <t xml:space="preserve">Explained the complete process to associates;NA;</t>
  </si>
  <si>
    <t xml:space="preserve">UH593578@techmahindra.com</t>
  </si>
  <si>
    <t xml:space="preserve">Upasna Hari</t>
  </si>
  <si>
    <t xml:space="preserve">593578</t>
  </si>
  <si>
    <t xml:space="preserve">Aurangabad</t>
  </si>
  <si>
    <t xml:space="preserve">Manager Support &amp; Local Leadership Effectiveness;Policy &amp; Process Clarity;On Leave/comp-off Due To Client Calendar Mismatches;</t>
  </si>
  <si>
    <t xml:space="preserve">Generic discussion about the account with the leads;Need faster issue resolution and proactive manager check-ins;</t>
  </si>
  <si>
    <t xml:space="preserve">Define issue escalation ladder and response SLAs;Implement monthly recognition cadence (kudos, spotlight, customer praise);</t>
  </si>
  <si>
    <t xml:space="preserve">BR524206@techmahindra.com</t>
  </si>
  <si>
    <t xml:space="preserve">Baghyawati Raja</t>
  </si>
  <si>
    <t xml:space="preserve">524206</t>
  </si>
  <si>
    <t xml:space="preserve">Workload Management;Queries related to BGV check;</t>
  </si>
  <si>
    <t xml:space="preserve">The associates had questions around WFH and leaves.;NA;</t>
  </si>
  <si>
    <t xml:space="preserve">The associates had queries mainly related to WFH and leaves.;</t>
  </si>
  <si>
    <t xml:space="preserve">NI374025@techmahindra.com</t>
  </si>
  <si>
    <t xml:space="preserve">Neel Iyengar</t>
  </si>
  <si>
    <t xml:space="preserve">374025</t>
  </si>
  <si>
    <t xml:space="preserve">Business &amp; Practice Awareness;HR / WFM / Training Communication Effectiveness;Alignment on Role in Business Context;</t>
  </si>
  <si>
    <t xml:space="preserve">Publish post-induction roadmap (Day 1–30);NA;</t>
  </si>
  <si>
    <t xml:space="preserve">ZB884639@techmahindra.com</t>
  </si>
  <si>
    <t xml:space="preserve">Zashil Ben</t>
  </si>
  <si>
    <t xml:space="preserve">884639</t>
  </si>
  <si>
    <t xml:space="preserve">Manager Support &amp; Local Leadership Effectiveness;Workload &amp; Work-Life Balance;</t>
  </si>
  <si>
    <t xml:space="preserve">HV562139@techmahindra.com</t>
  </si>
  <si>
    <t xml:space="preserve">Harshil Varty</t>
  </si>
  <si>
    <t xml:space="preserve">562139</t>
  </si>
  <si>
    <t xml:space="preserve">Anantapuram</t>
  </si>
  <si>
    <t xml:space="preserve">All the queries were answered in the sessions;Low interaction and hesitation in raising questions;</t>
  </si>
  <si>
    <t xml:space="preserve">AS488796@techmahindra.com</t>
  </si>
  <si>
    <t xml:space="preserve">Anjali Sengupta</t>
  </si>
  <si>
    <t xml:space="preserve">488796</t>
  </si>
  <si>
    <t xml:space="preserve">LSA</t>
  </si>
  <si>
    <t xml:space="preserve">Internal Mobility / Rotation Opportunities;Career Progression &amp; Next-Level Readiness;Recognition &amp; Visibility of Growth;</t>
  </si>
  <si>
    <t xml:space="preserve">RC946785@techmahindra.com</t>
  </si>
  <si>
    <t xml:space="preserve">Rajeshri Chand</t>
  </si>
  <si>
    <t xml:space="preserve">946785</t>
  </si>
  <si>
    <t xml:space="preserve">This was more of a TMC location council connect</t>
  </si>
  <si>
    <t xml:space="preserve">SP352603@techmahindra.com</t>
  </si>
  <si>
    <t xml:space="preserve">Shravya Palla</t>
  </si>
  <si>
    <t xml:space="preserve">352603</t>
  </si>
  <si>
    <t xml:space="preserve">Vijayanagaram</t>
  </si>
  <si>
    <t xml:space="preserve">WR703950@techmahindra.com</t>
  </si>
  <si>
    <t xml:space="preserve">Warinder Raju</t>
  </si>
  <si>
    <t xml:space="preserve">703950</t>
  </si>
  <si>
    <t xml:space="preserve">UB232442@techmahindra.com</t>
  </si>
  <si>
    <t xml:space="preserve">Udarsh Bala</t>
  </si>
  <si>
    <t xml:space="preserve">232442</t>
  </si>
  <si>
    <t xml:space="preserve">Navi Mumbai</t>
  </si>
  <si>
    <t xml:space="preserve">Policy &amp; Process Clarity;Manager Support &amp; Local Leadership Effectiveness;Recognition &amp; Engagement within Project;</t>
  </si>
  <si>
    <t xml:space="preserve">Coach managers on feedback, delegation, and communication;Implement monthly recognition cadence (kudos, spotlight, customer praise);</t>
  </si>
  <si>
    <t xml:space="preserve">MD449327@techmahindra.com</t>
  </si>
  <si>
    <t xml:space="preserve">Madhav Devan</t>
  </si>
  <si>
    <t xml:space="preserve">449327</t>
  </si>
  <si>
    <t xml:space="preserve">Baranagar</t>
  </si>
  <si>
    <t xml:space="preserve">Issues with respect to applying leaves and communication regarding leaves to the managers;Need clarity on appraisal/performance timelines and edge cases;</t>
  </si>
  <si>
    <t xml:space="preserve">Communicated to the teams on the importance of communication and transparency;Define issue escalation ladder and response SLAs;</t>
  </si>
  <si>
    <t xml:space="preserve">LS944178@techmahindra.com</t>
  </si>
  <si>
    <t xml:space="preserve">Liam Singh</t>
  </si>
  <si>
    <t xml:space="preserve">Abdul Buch</t>
  </si>
  <si>
    <t xml:space="preserve">944178</t>
  </si>
  <si>
    <t xml:space="preserve">Bardhaman</t>
  </si>
  <si>
    <t xml:space="preserve">PC596894@techmahindra.com</t>
  </si>
  <si>
    <t xml:space="preserve">Pallavi Choudhry</t>
  </si>
  <si>
    <t xml:space="preserve">596894</t>
  </si>
  <si>
    <t xml:space="preserve">Strategic Connect;Infrastructure / Workplace Enablement;Workload &amp; Work-Life Balance;</t>
  </si>
  <si>
    <t xml:space="preserve">Timesheet submission/approval process inconsistencies create compliance risk;Need clarity on appraisal/performance timelines and edge cases;</t>
  </si>
  <si>
    <t xml:space="preserve">Review workload hotspots with PGM/RM and rebalance capacity;Share project-specific policy FAQ (WFO, exceptions, leave, timesheet);</t>
  </si>
  <si>
    <t xml:space="preserve">CD387021@techmahindra.com</t>
  </si>
  <si>
    <t xml:space="preserve">387021</t>
  </si>
  <si>
    <t xml:space="preserve">BGV queries;Role Confidence Level;Team Integration;</t>
  </si>
  <si>
    <t xml:space="preserve">TB784343@techmahindra.com</t>
  </si>
  <si>
    <t xml:space="preserve">Tanvi Bhatnagar</t>
  </si>
  <si>
    <t xml:space="preserve">784343</t>
  </si>
  <si>
    <t xml:space="preserve">Panchkula</t>
  </si>
  <si>
    <t xml:space="preserve">Proactive inputs from HR</t>
  </si>
  <si>
    <t xml:space="preserve">YK297209@techmahindra.com</t>
  </si>
  <si>
    <t xml:space="preserve">Yutika Khurana</t>
  </si>
  <si>
    <t xml:space="preserve">Bishakha Sanghvi</t>
  </si>
  <si>
    <t xml:space="preserve">297209</t>
  </si>
  <si>
    <t xml:space="preserve">Timesheet Submission/approval Process Inconsistencies Create;Infrastructure / Workplace Enablement;</t>
  </si>
  <si>
    <t xml:space="preserve">RC540073@techmahindra.com</t>
  </si>
  <si>
    <t xml:space="preserve">Rachit Chada</t>
  </si>
  <si>
    <t xml:space="preserve">540073</t>
  </si>
  <si>
    <t xml:space="preserve">Bench Connect</t>
  </si>
  <si>
    <t xml:space="preserve">Queries on Bench Guidelines, Timesheets, Leave Management, Trainings, and Project allocation</t>
  </si>
  <si>
    <t xml:space="preserve">MS961240@techmahindra.com</t>
  </si>
  <si>
    <t xml:space="preserve">Madhavi Singhal</t>
  </si>
  <si>
    <t xml:space="preserve">961240</t>
  </si>
  <si>
    <t xml:space="preserve">Review of ongoing concerns;Clarity on expectations;Feedback on recent processes;</t>
  </si>
  <si>
    <t xml:space="preserve">KK738271@techmahindra.com</t>
  </si>
  <si>
    <t xml:space="preserve">Kashvi Kulkarni</t>
  </si>
  <si>
    <t xml:space="preserve">738271</t>
  </si>
  <si>
    <t xml:space="preserve">GSK</t>
  </si>
  <si>
    <t xml:space="preserve">EP809920@techmahindra.com</t>
  </si>
  <si>
    <t xml:space="preserve">Ekansh Pai</t>
  </si>
  <si>
    <t xml:space="preserve">809920</t>
  </si>
  <si>
    <t xml:space="preserve">Discussion on team dynamics;Feedback on recent processes;Review of ongoing concerns;</t>
  </si>
  <si>
    <t xml:space="preserve">GD361897@techmahindra.com</t>
  </si>
  <si>
    <t xml:space="preserve">Gaurangi Deol</t>
  </si>
  <si>
    <t xml:space="preserve">361897</t>
  </si>
  <si>
    <t xml:space="preserve">Nagercoil</t>
  </si>
  <si>
    <t xml:space="preserve">Recognition Visibility;Leadership Communication &amp; Q&amp;A Effectiveness;</t>
  </si>
  <si>
    <t xml:space="preserve">Need clearer articulation of business direction and priorities for the quarter;</t>
  </si>
  <si>
    <t xml:space="preserve">US639302@techmahindra.com</t>
  </si>
  <si>
    <t xml:space="preserve">Ucchal Srinivas</t>
  </si>
  <si>
    <t xml:space="preserve">639302</t>
  </si>
  <si>
    <t xml:space="preserve">Bhavnagar</t>
  </si>
  <si>
    <t xml:space="preserve">Initial Organization Understanding;</t>
  </si>
  <si>
    <t xml:space="preserve">Limited clarity on policies (leave, WFO, reporting);none;</t>
  </si>
  <si>
    <t xml:space="preserve">Standardize induction deck + post-induction summary mail;Share HR FAQ document + SPOC contact sheet;</t>
  </si>
  <si>
    <t xml:space="preserve">BM798566@techmahindra.com</t>
  </si>
  <si>
    <t xml:space="preserve">Balhaar Memon</t>
  </si>
  <si>
    <t xml:space="preserve">798566</t>
  </si>
  <si>
    <t xml:space="preserve">Varanasi</t>
  </si>
  <si>
    <t xml:space="preserve">Queries on Increments</t>
  </si>
  <si>
    <t xml:space="preserve">DM904661@techmahindra.com</t>
  </si>
  <si>
    <t xml:space="preserve">Diya Mukherjee</t>
  </si>
  <si>
    <t xml:space="preserve">904661</t>
  </si>
  <si>
    <t xml:space="preserve">NA;Associates are settling in well;</t>
  </si>
  <si>
    <t xml:space="preserve">ZB238722@techmahindra.com</t>
  </si>
  <si>
    <t xml:space="preserve">Zehaan Bansal</t>
  </si>
  <si>
    <t xml:space="preserve">238722</t>
  </si>
  <si>
    <t xml:space="preserve">BP322274@techmahindra.com</t>
  </si>
  <si>
    <t xml:space="preserve">Bhavika Parikh</t>
  </si>
  <si>
    <t xml:space="preserve">322274</t>
  </si>
  <si>
    <t xml:space="preserve">Everything was fine, people were having general queries;Timesheet submission/approval process inconsistencies create compliance risk;</t>
  </si>
  <si>
    <t xml:space="preserve">All were resolved in the ODC connect;NA;</t>
  </si>
  <si>
    <t xml:space="preserve">RR203428@techmahindra.com</t>
  </si>
  <si>
    <t xml:space="preserve">Rajeshri Ratta</t>
  </si>
  <si>
    <t xml:space="preserve">Libni Nori</t>
  </si>
  <si>
    <t xml:space="preserve">203428</t>
  </si>
  <si>
    <t xml:space="preserve">WP830549@techmahindra.com</t>
  </si>
  <si>
    <t xml:space="preserve">Widisha Pillai</t>
  </si>
  <si>
    <t xml:space="preserve">830549</t>
  </si>
  <si>
    <t xml:space="preserve">Positive feedback overall;Associates are settling in well;</t>
  </si>
  <si>
    <t xml:space="preserve">FS410759@techmahindra.com</t>
  </si>
  <si>
    <t xml:space="preserve">Fitan Samra</t>
  </si>
  <si>
    <t xml:space="preserve">410759</t>
  </si>
  <si>
    <t xml:space="preserve">Engagement Plan Alignment;Talent Pipeline &amp; Capability Building;Know your Service Line 'AI Strategy &amp; Business Vision' from Mr. Natesh P;</t>
  </si>
  <si>
    <t xml:space="preserve">Burnout signals;</t>
  </si>
  <si>
    <t xml:space="preserve">CN329931@techmahindra.com</t>
  </si>
  <si>
    <t xml:space="preserve">Chaaya Nagi</t>
  </si>
  <si>
    <t xml:space="preserve">329931</t>
  </si>
  <si>
    <t xml:space="preserve">CM864915@techmahindra.com</t>
  </si>
  <si>
    <t xml:space="preserve">Chakrika Mohan</t>
  </si>
  <si>
    <t xml:space="preserve">864915</t>
  </si>
  <si>
    <t xml:space="preserve">Madanapalle</t>
  </si>
  <si>
    <t xml:space="preserve">SP728765@techmahindra.com</t>
  </si>
  <si>
    <t xml:space="preserve">Sachi Panchal</t>
  </si>
  <si>
    <t xml:space="preserve">Brijesh Pandit</t>
  </si>
  <si>
    <t xml:space="preserve">728765</t>
  </si>
  <si>
    <t xml:space="preserve">AB787199@techmahindra.com</t>
  </si>
  <si>
    <t xml:space="preserve">Anvi Bhandari</t>
  </si>
  <si>
    <t xml:space="preserve">787199</t>
  </si>
  <si>
    <t xml:space="preserve">JV623502@techmahindra.com</t>
  </si>
  <si>
    <t xml:space="preserve">Januja Varghese</t>
  </si>
  <si>
    <t xml:space="preserve">623502</t>
  </si>
  <si>
    <t xml:space="preserve">Ludhiana</t>
  </si>
  <si>
    <t xml:space="preserve">Long-Term Role Alignment;Career Path Visibility;Internal Growth Opportunities;</t>
  </si>
  <si>
    <t xml:space="preserve">BD244935@techmahindra.com</t>
  </si>
  <si>
    <t xml:space="preserve">Bakhshi Date</t>
  </si>
  <si>
    <t xml:space="preserve">244935</t>
  </si>
  <si>
    <t xml:space="preserve">Connect for recognition;Culture &amp; Engagement;Generic Queries;</t>
  </si>
  <si>
    <t xml:space="preserve">JR251141@techmahindra.com</t>
  </si>
  <si>
    <t xml:space="preserve">Janaki Rajagopal</t>
  </si>
  <si>
    <t xml:space="preserve">251141</t>
  </si>
  <si>
    <t xml:space="preserve">Mahbubnagar</t>
  </si>
  <si>
    <t xml:space="preserve">Leadership Communication &amp; Q&amp;A Effectiveness;Career Visibility &amp; Skill Roadmap;AI/future Readiness Messaging Is High-level;</t>
  </si>
  <si>
    <t xml:space="preserve">KP246918@techmahindra.com</t>
  </si>
  <si>
    <t xml:space="preserve">Kamala Prabhu</t>
  </si>
  <si>
    <t xml:space="preserve">246918</t>
  </si>
  <si>
    <t xml:space="preserve">Timesheet submission/approval process inconsistencies create compliance risk;Need faster issue resolution and proactive manager check-ins;</t>
  </si>
  <si>
    <t xml:space="preserve">NA;Implement monthly recognition cadence (kudos, spotlight, customer praise);</t>
  </si>
  <si>
    <t xml:space="preserve">No specific Action, Issue addressed in meeting</t>
  </si>
  <si>
    <t xml:space="preserve">LW329540@techmahindra.com</t>
  </si>
  <si>
    <t xml:space="preserve">Laksh Wagle</t>
  </si>
  <si>
    <t xml:space="preserve">329540</t>
  </si>
  <si>
    <t xml:space="preserve">Queries related to BGV check;</t>
  </si>
  <si>
    <t xml:space="preserve">AK311524@techmahindra.com</t>
  </si>
  <si>
    <t xml:space="preserve">Arya Krish</t>
  </si>
  <si>
    <t xml:space="preserve">311524</t>
  </si>
  <si>
    <t xml:space="preserve">QT946719@techmahindra.com</t>
  </si>
  <si>
    <t xml:space="preserve">Quincy Tata</t>
  </si>
  <si>
    <t xml:space="preserve">946719</t>
  </si>
  <si>
    <t xml:space="preserve">AL736356@techmahindra.com</t>
  </si>
  <si>
    <t xml:space="preserve">Adweta Lad</t>
  </si>
  <si>
    <t xml:space="preserve">Tanish Mangal</t>
  </si>
  <si>
    <t xml:space="preserve">736356</t>
  </si>
  <si>
    <t xml:space="preserve">No major concerns raised;Associates are settling in well;</t>
  </si>
  <si>
    <t xml:space="preserve">SG247269@techmahindra.com</t>
  </si>
  <si>
    <t xml:space="preserve">Siya Gera</t>
  </si>
  <si>
    <t xml:space="preserve">247269</t>
  </si>
  <si>
    <t xml:space="preserve">Communication &amp; Transparency;Recognition &amp; Motivation;</t>
  </si>
  <si>
    <t xml:space="preserve">Need more appreciation;Need timely policy/process updates;</t>
  </si>
  <si>
    <t xml:space="preserve">IB333886@techmahindra.com</t>
  </si>
  <si>
    <t xml:space="preserve">Idika Bhattacharyya</t>
  </si>
  <si>
    <t xml:space="preserve">333886</t>
  </si>
  <si>
    <t xml:space="preserve">BGV queries;Queries related to BGV check;</t>
  </si>
  <si>
    <t xml:space="preserve">CD498757@techmahindra.com</t>
  </si>
  <si>
    <t xml:space="preserve">Charita Dugar</t>
  </si>
  <si>
    <t xml:space="preserve">Janaki Trivedi</t>
  </si>
  <si>
    <t xml:space="preserve">498757</t>
  </si>
  <si>
    <t xml:space="preserve">Bhilai</t>
  </si>
  <si>
    <t xml:space="preserve">WT272525@techmahindra.com</t>
  </si>
  <si>
    <t xml:space="preserve">Warjas Tak</t>
  </si>
  <si>
    <t xml:space="preserve">272525</t>
  </si>
  <si>
    <t xml:space="preserve">Recognition &amp; Visibility;</t>
  </si>
  <si>
    <t xml:space="preserve">UD765104@techmahindra.com</t>
  </si>
  <si>
    <t xml:space="preserve">Unni Dayal</t>
  </si>
  <si>
    <t xml:space="preserve">765104</t>
  </si>
  <si>
    <t xml:space="preserve">ServiceNow</t>
  </si>
  <si>
    <t xml:space="preserve">Career Visibility &amp; Skill Roadmap;AI/future Readiness Messaging Is High-level;</t>
  </si>
  <si>
    <t xml:space="preserve">Run a follow-up FAQ mailer and route unanswered questions to SPOCs;</t>
  </si>
  <si>
    <t xml:space="preserve">DM491246@techmahindra.com</t>
  </si>
  <si>
    <t xml:space="preserve">Dominic More</t>
  </si>
  <si>
    <t xml:space="preserve">491246</t>
  </si>
  <si>
    <t xml:space="preserve">Nangloi Jat</t>
  </si>
  <si>
    <t xml:space="preserve">ED467645@techmahindra.com</t>
  </si>
  <si>
    <t xml:space="preserve">Ethan Dass</t>
  </si>
  <si>
    <t xml:space="preserve">467645</t>
  </si>
  <si>
    <t xml:space="preserve">Feedback Mechanism;BGV queries;Role Confidence Level;</t>
  </si>
  <si>
    <t xml:space="preserve">SS302019@techmahindra.com</t>
  </si>
  <si>
    <t xml:space="preserve">Shivani Shukla</t>
  </si>
  <si>
    <t xml:space="preserve">302019</t>
  </si>
  <si>
    <t xml:space="preserve">Business &amp; Practice Awareness;Alignment on Role in Business Context;Engagement with Leadership &amp; Confidence Level;</t>
  </si>
  <si>
    <t xml:space="preserve">NA;Associates unclear how their role contributes to business;</t>
  </si>
  <si>
    <t xml:space="preserve">KG126518@techmahindra.com</t>
  </si>
  <si>
    <t xml:space="preserve">Kabir Gopal</t>
  </si>
  <si>
    <t xml:space="preserve">126518</t>
  </si>
  <si>
    <t xml:space="preserve">RT228643@techmahindra.com</t>
  </si>
  <si>
    <t xml:space="preserve">Rachita Thakkar</t>
  </si>
  <si>
    <t xml:space="preserve">Jeet Vasa</t>
  </si>
  <si>
    <t xml:space="preserve">228643</t>
  </si>
  <si>
    <t xml:space="preserve">Avadi</t>
  </si>
  <si>
    <t xml:space="preserve">Ahlstrom DEA SAP Support Svcs</t>
  </si>
  <si>
    <t xml:space="preserve">Lack of awareness of internal opportunities;seat allocation;</t>
  </si>
  <si>
    <t xml:space="preserve">UP105258@techmahindra.com</t>
  </si>
  <si>
    <t xml:space="preserve">Umang Pal</t>
  </si>
  <si>
    <t xml:space="preserve">105258</t>
  </si>
  <si>
    <t xml:space="preserve">Vijayawada</t>
  </si>
  <si>
    <t xml:space="preserve">Action Closure Discipline;Engagement Plan Alignment;</t>
  </si>
  <si>
    <t xml:space="preserve">NA;Monthly dashboard review;</t>
  </si>
  <si>
    <t xml:space="preserve">JM362241@techmahindra.com</t>
  </si>
  <si>
    <t xml:space="preserve">Jeremiah Mitter</t>
  </si>
  <si>
    <t xml:space="preserve">362241</t>
  </si>
  <si>
    <t xml:space="preserve">Tool &amp; System Access;Buddy / Support System;</t>
  </si>
  <si>
    <t xml:space="preserve">New joiners feel overwhelmed or unclear post induction;Limited clarity on policies (leave, WFO, reporting);</t>
  </si>
  <si>
    <t xml:space="preserve">Implement Day-1 access checklist tracking (IT + Admin);Assign buddy with defined responsibilities for 2 weeks;</t>
  </si>
  <si>
    <t xml:space="preserve">No proper communication on hike and No hike since 2 years</t>
  </si>
  <si>
    <t xml:space="preserve">YG517654@techmahindra.com</t>
  </si>
  <si>
    <t xml:space="preserve">Yadavi Ganguly</t>
  </si>
  <si>
    <t xml:space="preserve">Onveer Nazareth</t>
  </si>
  <si>
    <t xml:space="preserve">517654</t>
  </si>
  <si>
    <t xml:space="preserve">Bhopal</t>
  </si>
  <si>
    <t xml:space="preserve">General wellbeing check-in;Discussion on team dynamics;Review of ongoing concerns;</t>
  </si>
  <si>
    <t xml:space="preserve">SS815267@techmahindra.com</t>
  </si>
  <si>
    <t xml:space="preserve">Shivansh Saha</t>
  </si>
  <si>
    <t xml:space="preserve">815267</t>
  </si>
  <si>
    <t xml:space="preserve">Mehsana</t>
  </si>
  <si>
    <t xml:space="preserve">Project Allocation Clarity;Learning Curve Support;Manager Connect Effectiveness;</t>
  </si>
  <si>
    <t xml:space="preserve">Difficulty in understanding tools/processes;</t>
  </si>
  <si>
    <t xml:space="preserve">CS776096@techmahindra.com</t>
  </si>
  <si>
    <t xml:space="preserve">Chasmum Subramanian</t>
  </si>
  <si>
    <t xml:space="preserve">Nidra Mishra</t>
  </si>
  <si>
    <t xml:space="preserve">776096</t>
  </si>
  <si>
    <t xml:space="preserve">Workload Management;Role Confidence Level;</t>
  </si>
  <si>
    <t xml:space="preserve">The associates had questions around WFH and leaves.;BGV;</t>
  </si>
  <si>
    <t xml:space="preserve">NS486798@techmahindra.com</t>
  </si>
  <si>
    <t xml:space="preserve">Nakul Sarraf</t>
  </si>
  <si>
    <t xml:space="preserve">486798</t>
  </si>
  <si>
    <t xml:space="preserve">Workload Management;Feedback Mechanism;</t>
  </si>
  <si>
    <t xml:space="preserve">SO793390@techmahindra.com</t>
  </si>
  <si>
    <t xml:space="preserve">Samar Oak</t>
  </si>
  <si>
    <t xml:space="preserve">793390</t>
  </si>
  <si>
    <t xml:space="preserve">Satara</t>
  </si>
  <si>
    <t xml:space="preserve">Connect for recognition;Clarity On Role-based Learning Expectations;Guidance on timesheet;</t>
  </si>
  <si>
    <t xml:space="preserve">HR842929@techmahindra.com</t>
  </si>
  <si>
    <t xml:space="preserve">Hemani Rastogi</t>
  </si>
  <si>
    <t xml:space="preserve">842929</t>
  </si>
  <si>
    <t xml:space="preserve">Uluberia</t>
  </si>
  <si>
    <t xml:space="preserve">EK188150@techmahindra.com</t>
  </si>
  <si>
    <t xml:space="preserve">Eiravati Khurana</t>
  </si>
  <si>
    <t xml:space="preserve">188150</t>
  </si>
  <si>
    <t xml:space="preserve">Generic Queries;Learning &amp; Career Enablement;</t>
  </si>
  <si>
    <t xml:space="preserve">na;detailed discussion on monthly cadence;</t>
  </si>
  <si>
    <t xml:space="preserve">Feedback to be shared with IBU head;Share role-based learning pathways and recommended certifications;</t>
  </si>
  <si>
    <t xml:space="preserve">SK833491@techmahindra.com</t>
  </si>
  <si>
    <t xml:space="preserve">Shivani Kota</t>
  </si>
  <si>
    <t xml:space="preserve">833491</t>
  </si>
  <si>
    <t xml:space="preserve">NA;Org/structural updates are heard but not fully understood (what changes for me?);</t>
  </si>
  <si>
    <t xml:space="preserve">BR180716@techmahindra.com</t>
  </si>
  <si>
    <t xml:space="preserve">Bina Rajagopalan</t>
  </si>
  <si>
    <t xml:space="preserve">180716</t>
  </si>
  <si>
    <t xml:space="preserve">YD481985@techmahindra.com</t>
  </si>
  <si>
    <t xml:space="preserve">Yuvraj Dutta</t>
  </si>
  <si>
    <t xml:space="preserve">481985</t>
  </si>
  <si>
    <t xml:space="preserve">Inclusive Team Practices;Career Support &amp; Sponsorship;</t>
  </si>
  <si>
    <t xml:space="preserve">Need equitable recognition;</t>
  </si>
  <si>
    <t xml:space="preserve">queries related to Comp restructure were raised</t>
  </si>
  <si>
    <t xml:space="preserve">RD283450@techmahindra.com</t>
  </si>
  <si>
    <t xml:space="preserve">Ranveer Dutta</t>
  </si>
  <si>
    <t xml:space="preserve">283450</t>
  </si>
  <si>
    <t xml:space="preserve">Recognition &amp; Visibility of Growth;Internal Mobility / Rotation Opportunities;</t>
  </si>
  <si>
    <t xml:space="preserve">WM396765@techmahindra.com</t>
  </si>
  <si>
    <t xml:space="preserve">Wishi Morar</t>
  </si>
  <si>
    <t xml:space="preserve">396765</t>
  </si>
  <si>
    <t xml:space="preserve">No Specific Queries</t>
  </si>
  <si>
    <t xml:space="preserve">MT416693@techmahindra.com</t>
  </si>
  <si>
    <t xml:space="preserve">Maya Tiwari</t>
  </si>
  <si>
    <t xml:space="preserve">416693</t>
  </si>
  <si>
    <t xml:space="preserve">Engagement &amp; Belonging;Long-Term Role Alignment;Internal Growth Opportunities;</t>
  </si>
  <si>
    <t xml:space="preserve">Share internal job/cross-skill opportunities;shared CS SPOC details;</t>
  </si>
  <si>
    <t xml:space="preserve">TP192724@techmahindra.com</t>
  </si>
  <si>
    <t xml:space="preserve">Tanveer Pandit</t>
  </si>
  <si>
    <t xml:space="preserve">192724</t>
  </si>
  <si>
    <t xml:space="preserve">Recognition &amp; Visibility;Career Support &amp; Sponsorship;</t>
  </si>
  <si>
    <t xml:space="preserve">WS876442@techmahindra.com</t>
  </si>
  <si>
    <t xml:space="preserve">Warda Singhal</t>
  </si>
  <si>
    <t xml:space="preserve">876442</t>
  </si>
  <si>
    <t xml:space="preserve">Policy &amp; Process Clarity;Clarity On Appraisal/performance Timelines And Edge Cases;</t>
  </si>
  <si>
    <t xml:space="preserve">Seat availability and office logistics impact productivity;Everything was fine, people were having general queries;</t>
  </si>
  <si>
    <t xml:space="preserve">All the queries were resolved in the ODC COnnect;</t>
  </si>
  <si>
    <t xml:space="preserve">RD414492@techmahindra.com</t>
  </si>
  <si>
    <t xml:space="preserve">Raagini Desai</t>
  </si>
  <si>
    <t xml:space="preserve">414492</t>
  </si>
  <si>
    <t xml:space="preserve">Workload &amp; Work-Life Balance;On Leave/comp-off Due To Client Calendar Mismatches;Timesheet Submission/approval Process Inconsistencies Create;</t>
  </si>
  <si>
    <t xml:space="preserve">NP508346@techmahindra.com</t>
  </si>
  <si>
    <t xml:space="preserve">Neha Pau</t>
  </si>
  <si>
    <t xml:space="preserve">Nandini Behl</t>
  </si>
  <si>
    <t xml:space="preserve">508346</t>
  </si>
  <si>
    <t xml:space="preserve">Publish role-based learning paths (beginner/intermediate/advanced) with links;Add a ‘What changes for teams’ section with 3–5 concrete takeaways;</t>
  </si>
  <si>
    <t xml:space="preserve">JM513064@techmahindra.com</t>
  </si>
  <si>
    <t xml:space="preserve">Janani Mani</t>
  </si>
  <si>
    <t xml:space="preserve">Libni Thaman</t>
  </si>
  <si>
    <t xml:space="preserve">513064</t>
  </si>
  <si>
    <t xml:space="preserve">SAP Retail TL, SAP TME PS, SAP Communications</t>
  </si>
  <si>
    <t xml:space="preserve">Timely Policy/process Updates;Recognition &amp; Motivation;Communication &amp; Transparency;</t>
  </si>
  <si>
    <t xml:space="preserve">JD282450@techmahindra.com</t>
  </si>
  <si>
    <t xml:space="preserve">Jagat Dave</t>
  </si>
  <si>
    <t xml:space="preserve">282450</t>
  </si>
  <si>
    <t xml:space="preserve">Singrauli</t>
  </si>
  <si>
    <t xml:space="preserve">Add ‘Wall of Fame’ segment: delivery wins, customer shoutouts, milestone highlights;Run a follow-up FAQ mailer and route unanswered questions to SPOCs;</t>
  </si>
  <si>
    <t xml:space="preserve">JD190196@techmahindra.com</t>
  </si>
  <si>
    <t xml:space="preserve">Jasmit Dhawan</t>
  </si>
  <si>
    <t xml:space="preserve">190196</t>
  </si>
  <si>
    <t xml:space="preserve">No specific action required;Continue regular check-ins;</t>
  </si>
  <si>
    <t xml:space="preserve">CB730707@techmahindra.com</t>
  </si>
  <si>
    <t xml:space="preserve">Chakradev Barad</t>
  </si>
  <si>
    <t xml:space="preserve">730707</t>
  </si>
  <si>
    <t xml:space="preserve">Learning &amp; Career Enablement;Guidance On Leave, Travel, And Exception Approvals;Self-Service &amp; Issue Resolution;</t>
  </si>
  <si>
    <t xml:space="preserve">General HR connect;</t>
  </si>
  <si>
    <t xml:space="preserve">Maintain a live FAQ for hybrid/WFO and exceptions;Share role-based learning pathways and recommended certifications;</t>
  </si>
  <si>
    <t xml:space="preserve">UV165356@techmahindra.com</t>
  </si>
  <si>
    <t xml:space="preserve">Urvi Venkataraman</t>
  </si>
  <si>
    <t xml:space="preserve">165356</t>
  </si>
  <si>
    <t xml:space="preserve">FN305703@techmahindra.com</t>
  </si>
  <si>
    <t xml:space="preserve">Falak Nagar</t>
  </si>
  <si>
    <t xml:space="preserve">305703</t>
  </si>
  <si>
    <t xml:space="preserve">GT362062@techmahindra.com</t>
  </si>
  <si>
    <t xml:space="preserve">Gayathri Tripathi</t>
  </si>
  <si>
    <t xml:space="preserve">362062</t>
  </si>
  <si>
    <t xml:space="preserve">Phusro</t>
  </si>
  <si>
    <t xml:space="preserve">DIG</t>
  </si>
  <si>
    <t xml:space="preserve">Career Path Visibility;Internal Growth Opportunities;Long-Term Role Alignment;</t>
  </si>
  <si>
    <t xml:space="preserve">JN652436@techmahindra.com</t>
  </si>
  <si>
    <t xml:space="preserve">Jyoti Narula</t>
  </si>
  <si>
    <t xml:space="preserve">652436</t>
  </si>
  <si>
    <t xml:space="preserve">Erode</t>
  </si>
  <si>
    <t xml:space="preserve">UL122323@techmahindra.com</t>
  </si>
  <si>
    <t xml:space="preserve">Urvi Lanka</t>
  </si>
  <si>
    <t xml:space="preserve">122323</t>
  </si>
  <si>
    <t xml:space="preserve">Associates seek clarity on role progression and career paths within the unit;Need clearer articulation of business direction and priorities for the quarter;</t>
  </si>
  <si>
    <t xml:space="preserve">CS719665@techmahindra.com</t>
  </si>
  <si>
    <t xml:space="preserve">Charan Srinivasan</t>
  </si>
  <si>
    <t xml:space="preserve">719665</t>
  </si>
  <si>
    <t xml:space="preserve">MK394335@techmahindra.com</t>
  </si>
  <si>
    <t xml:space="preserve">Manbir Kibe</t>
  </si>
  <si>
    <t xml:space="preserve">394335</t>
  </si>
  <si>
    <t xml:space="preserve">RB739975@techmahindra.com</t>
  </si>
  <si>
    <t xml:space="preserve">Rayaan Bahl</t>
  </si>
  <si>
    <t xml:space="preserve">739975</t>
  </si>
  <si>
    <t xml:space="preserve">Allocation Visibility &amp; Process;Delay In Interview Feedback Creates Uncertainty And Repeated;Job Security &amp; Anxiety Management;</t>
  </si>
  <si>
    <t xml:space="preserve">Prolonged bench duration triggers anxiety about future within the org;Confusion on WFO mandate and expectations during bench;</t>
  </si>
  <si>
    <t xml:space="preserve">Set realistic milestones (profile update, learning, interviews) per associate;</t>
  </si>
  <si>
    <t xml:space="preserve">MS729752@techmahindra.com</t>
  </si>
  <si>
    <t xml:space="preserve">Max Sachar</t>
  </si>
  <si>
    <t xml:space="preserve">729752</t>
  </si>
  <si>
    <t xml:space="preserve">none;Limited understanding of organization structure and functions;</t>
  </si>
  <si>
    <t xml:space="preserve">Share HR FAQ document + SPOC contact sheet;Implement Day-1 access checklist tracking (IT + Admin);</t>
  </si>
  <si>
    <t xml:space="preserve">HRBP</t>
  </si>
  <si>
    <t xml:space="preserve">Have highlighted about the ARC and diversity ratio point</t>
  </si>
  <si>
    <t xml:space="preserve">YS947285@techmahindra.com</t>
  </si>
  <si>
    <t xml:space="preserve">Yachana Sinha</t>
  </si>
  <si>
    <t xml:space="preserve">947285</t>
  </si>
  <si>
    <t xml:space="preserve">Learning &amp; Skill Building;Work-Life Balance &amp; Flexibility;Recognition &amp; Visibility;</t>
  </si>
  <si>
    <t xml:space="preserve">Need equitable recognition;Need flexible arrangements during caregiving;</t>
  </si>
  <si>
    <t xml:space="preserve">LV342106@techmahindra.com</t>
  </si>
  <si>
    <t xml:space="preserve">Lakshit Venkataraman</t>
  </si>
  <si>
    <t xml:space="preserve">342106</t>
  </si>
  <si>
    <t xml:space="preserve">Queries On Performance Cycle Steps And Deadlines;Culture &amp; Engagement;</t>
  </si>
  <si>
    <t xml:space="preserve">Need forums that make associates feel heard and included;</t>
  </si>
  <si>
    <t xml:space="preserve">Share role-based learning pathways and recommended certifications;Send monthly HR bulletin with key updates and links;</t>
  </si>
  <si>
    <t xml:space="preserve">Policy and Project allocation relates queries</t>
  </si>
  <si>
    <t xml:space="preserve">VV910176@techmahindra.com</t>
  </si>
  <si>
    <t xml:space="preserve">Vanya Vora</t>
  </si>
  <si>
    <t xml:space="preserve">910176</t>
  </si>
  <si>
    <t xml:space="preserve">Share update with relevant stakeholder;Monitor and follow up in next cycle;</t>
  </si>
  <si>
    <t xml:space="preserve">HP147435@techmahindra.com</t>
  </si>
  <si>
    <t xml:space="preserve">Hema Pandya</t>
  </si>
  <si>
    <t xml:space="preserve">Veda Handa</t>
  </si>
  <si>
    <t xml:space="preserve">147435</t>
  </si>
  <si>
    <t xml:space="preserve">Share update with relevant stakeholder;No specific action required;</t>
  </si>
  <si>
    <t xml:space="preserve">CK707993@techmahindra.com</t>
  </si>
  <si>
    <t xml:space="preserve">Chanchal Kar</t>
  </si>
  <si>
    <t xml:space="preserve">707993</t>
  </si>
  <si>
    <t xml:space="preserve">Manager Connect Effectiveness;</t>
  </si>
  <si>
    <t xml:space="preserve">BJ979535@techmahindra.com</t>
  </si>
  <si>
    <t xml:space="preserve">Bhavya Johal</t>
  </si>
  <si>
    <t xml:space="preserve">979535</t>
  </si>
  <si>
    <t xml:space="preserve">ES443005@techmahindra.com</t>
  </si>
  <si>
    <t xml:space="preserve">Edhitha Srinivasan</t>
  </si>
  <si>
    <t xml:space="preserve">443005</t>
  </si>
  <si>
    <t xml:space="preserve">Clarity On Role-based Learning Expectations;Monthly Cadence IBU Head coverage on HC, Attrition, eltp and Bench;SL org structure;</t>
  </si>
  <si>
    <t xml:space="preserve">Send monthly HR bulletin with key updates and links;</t>
  </si>
  <si>
    <t xml:space="preserve">BD193020@techmahindra.com</t>
  </si>
  <si>
    <t xml:space="preserve">Bhavna Dara</t>
  </si>
  <si>
    <t xml:space="preserve">193020</t>
  </si>
  <si>
    <t xml:space="preserve">Role Expectation Clarity;Learning Curve Support;</t>
  </si>
  <si>
    <t xml:space="preserve">Delay or lack of clarity in project onboarding;Difficulty in understanding tools/processes;</t>
  </si>
  <si>
    <t xml:space="preserve">MP794595@techmahindra.com</t>
  </si>
  <si>
    <t xml:space="preserve">Megha Pai</t>
  </si>
  <si>
    <t xml:space="preserve">794595</t>
  </si>
  <si>
    <t xml:space="preserve">Ramagundam</t>
  </si>
  <si>
    <t xml:space="preserve">na;Need faster resolution for HR tickets and queries;</t>
  </si>
  <si>
    <t xml:space="preserve">Connect for recognition;Publish a calendar of HR deadlines (PMS, insurance, declarations);</t>
  </si>
  <si>
    <t xml:space="preserve">HS958285@techmahindra.com</t>
  </si>
  <si>
    <t xml:space="preserve">Hiral Sathe</t>
  </si>
  <si>
    <t xml:space="preserve">Varenya Kala</t>
  </si>
  <si>
    <t xml:space="preserve">958285</t>
  </si>
  <si>
    <t xml:space="preserve">LC447605@techmahindra.com</t>
  </si>
  <si>
    <t xml:space="preserve">Laksh Chopra</t>
  </si>
  <si>
    <t xml:space="preserve">447605</t>
  </si>
  <si>
    <t xml:space="preserve">General wellbeing check-in;Feedback on recent processes;</t>
  </si>
  <si>
    <t xml:space="preserve">VB115457@techmahindra.com</t>
  </si>
  <si>
    <t xml:space="preserve">Viraj Ben</t>
  </si>
  <si>
    <t xml:space="preserve">115457</t>
  </si>
  <si>
    <t xml:space="preserve">UC398239@techmahindra.com</t>
  </si>
  <si>
    <t xml:space="preserve">Urmi Chaudhry</t>
  </si>
  <si>
    <t xml:space="preserve">398239</t>
  </si>
  <si>
    <t xml:space="preserve">All</t>
  </si>
  <si>
    <t xml:space="preserve">On Hybrid/WFO Rules And Monthly Compliance Expectations;Guidance on timesheet;</t>
  </si>
  <si>
    <t xml:space="preserve">Need guidance on leave, travel, and exception approvals;</t>
  </si>
  <si>
    <t xml:space="preserve">Host open house hour for Q&amp;A and log unanswered items;Share role-based learning pathways and recommended certifications;</t>
  </si>
  <si>
    <t xml:space="preserve">AD980436@techmahindra.com</t>
  </si>
  <si>
    <t xml:space="preserve">Abdul Dugar</t>
  </si>
  <si>
    <t xml:space="preserve">980436</t>
  </si>
  <si>
    <t xml:space="preserve">Self-Service &amp; Issue Resolution;Had one on one with IBU head first time of SNOW Europe;Guidance on timesheet;</t>
  </si>
  <si>
    <t xml:space="preserve">Need forums that make associates feel heard and included;Need simplified updates on policy changes and timelines;</t>
  </si>
  <si>
    <t xml:space="preserve">no specific requisites.;No Action;</t>
  </si>
  <si>
    <t xml:space="preserve">Appraisals, WFO, Leave and Timesheet, Variable Pay</t>
  </si>
  <si>
    <t xml:space="preserve">VI884490@techmahindra.com</t>
  </si>
  <si>
    <t xml:space="preserve">Vansha Iyengar</t>
  </si>
  <si>
    <t xml:space="preserve">Ekani Mangal</t>
  </si>
  <si>
    <t xml:space="preserve">884490</t>
  </si>
  <si>
    <t xml:space="preserve">Hubli–Dharwad</t>
  </si>
  <si>
    <t xml:space="preserve">General wellbeing check-in;Discussion on team dynamics;</t>
  </si>
  <si>
    <t xml:space="preserve">Monitor and follow up in next cycle;No specific action required;</t>
  </si>
  <si>
    <t xml:space="preserve">BG363443@techmahindra.com</t>
  </si>
  <si>
    <t xml:space="preserve">Baljiwan Gill</t>
  </si>
  <si>
    <t xml:space="preserve">363443</t>
  </si>
  <si>
    <t xml:space="preserve">Engagement with Leadership &amp; Confidence Level;</t>
  </si>
  <si>
    <t xml:space="preserve">Publish post-induction roadmap (Day 1–30);</t>
  </si>
  <si>
    <t xml:space="preserve">BR387918@techmahindra.com</t>
  </si>
  <si>
    <t xml:space="preserve">Balhaar Ranganathan</t>
  </si>
  <si>
    <t xml:space="preserve">387918</t>
  </si>
  <si>
    <t xml:space="preserve">Clarity on Org Changes &amp; Priorities;Compensation &amp; Retention Risk;</t>
  </si>
  <si>
    <t xml:space="preserve">Not happy with no hike;Run quarterly nominations;</t>
  </si>
  <si>
    <t xml:space="preserve">BB253607@techmahindra.com</t>
  </si>
  <si>
    <t xml:space="preserve">Bimala Barad</t>
  </si>
  <si>
    <t xml:space="preserve">Chanchal Chhabra</t>
  </si>
  <si>
    <t xml:space="preserve">253607</t>
  </si>
  <si>
    <t xml:space="preserve">NA;TLS SPOC had cleared all the queries w.r.t learning;</t>
  </si>
  <si>
    <t xml:space="preserve">BS687712@techmahindra.com</t>
  </si>
  <si>
    <t xml:space="preserve">Bhavani Sha</t>
  </si>
  <si>
    <t xml:space="preserve">687712</t>
  </si>
  <si>
    <t xml:space="preserve">-Queries raised on TS considerations &amp; payroll timelines
-showcased interest in the learning opportunities
-clarity asked regarding BU structure</t>
  </si>
  <si>
    <t xml:space="preserve">KT366086@techmahindra.com</t>
  </si>
  <si>
    <t xml:space="preserve">Krish Thaman</t>
  </si>
  <si>
    <t xml:space="preserve">366086</t>
  </si>
  <si>
    <t xml:space="preserve">Darbhanga</t>
  </si>
  <si>
    <t xml:space="preserve">GG158770@techmahindra.com</t>
  </si>
  <si>
    <t xml:space="preserve">Ganga Gaba</t>
  </si>
  <si>
    <t xml:space="preserve">158770</t>
  </si>
  <si>
    <t xml:space="preserve">Recognition &amp; Visibility;Grievance/speak-up Clarity;Learning &amp; Skill Building;</t>
  </si>
  <si>
    <t xml:space="preserve">There werenot much queries;Reinforce speak-up channels;</t>
  </si>
  <si>
    <t xml:space="preserve">GM630019@techmahindra.com</t>
  </si>
  <si>
    <t xml:space="preserve">Geetika Merchant</t>
  </si>
  <si>
    <t xml:space="preserve">630019</t>
  </si>
  <si>
    <t xml:space="preserve">Akola</t>
  </si>
  <si>
    <t xml:space="preserve">PV977981@techmahindra.com</t>
  </si>
  <si>
    <t xml:space="preserve">Prisha Varma</t>
  </si>
  <si>
    <t xml:space="preserve">977981</t>
  </si>
  <si>
    <t xml:space="preserve">Request for consolidated HR communications rather than scattered updates;Need guidance on learning platforms and certification options;</t>
  </si>
  <si>
    <t xml:space="preserve">No Action;</t>
  </si>
  <si>
    <t xml:space="preserve">GG263267@techmahindra.com</t>
  </si>
  <si>
    <t xml:space="preserve">Girish Goyal</t>
  </si>
  <si>
    <t xml:space="preserve">263267</t>
  </si>
  <si>
    <t xml:space="preserve">EK760049@techmahindra.com</t>
  </si>
  <si>
    <t xml:space="preserve">Ekiya Kothari</t>
  </si>
  <si>
    <t xml:space="preserve">760049</t>
  </si>
  <si>
    <t xml:space="preserve">ELTPs want clarity on progression timelines and competencies for the next band/role;Rotation/mobility interest is high but process and eligibility are unclear;</t>
  </si>
  <si>
    <t xml:space="preserve">WS520216@techmahindra.com</t>
  </si>
  <si>
    <t xml:space="preserve">Warinder Sekhon</t>
  </si>
  <si>
    <t xml:space="preserve">520216</t>
  </si>
  <si>
    <t xml:space="preserve">Inclusive Team Practices;Work-Life Balance &amp; Flexibility;</t>
  </si>
  <si>
    <t xml:space="preserve">Promote DEI initiatives;</t>
  </si>
  <si>
    <t xml:space="preserve">CA492437@techmahindra.com</t>
  </si>
  <si>
    <t xml:space="preserve">Chasmum Apte</t>
  </si>
  <si>
    <t xml:space="preserve">Jagvi Keer</t>
  </si>
  <si>
    <t xml:space="preserve">492437</t>
  </si>
  <si>
    <t xml:space="preserve">Difficulty in understanding tools/processes;Limited structured interaction with reporting manager;</t>
  </si>
  <si>
    <t xml:space="preserve">UM740225@techmahindra.com</t>
  </si>
  <si>
    <t xml:space="preserve">Udyati Mohanty</t>
  </si>
  <si>
    <t xml:space="preserve">740225</t>
  </si>
  <si>
    <t xml:space="preserve">Machilipatnam</t>
  </si>
  <si>
    <t xml:space="preserve">All the queries were resolved in the ODC Connect;Generic discussion about the account with the leads;</t>
  </si>
  <si>
    <t xml:space="preserve">All the queries were resolved in the session;Share project-specific policy FAQ (WFO, exceptions, leave, timesheet);</t>
  </si>
  <si>
    <t xml:space="preserve">JM434522@techmahindra.com</t>
  </si>
  <si>
    <t xml:space="preserve">Jacob Merchant</t>
  </si>
  <si>
    <t xml:space="preserve">Timothy Kanda</t>
  </si>
  <si>
    <t xml:space="preserve">434522</t>
  </si>
  <si>
    <t xml:space="preserve">Internal Growth Opportunities;Engagement &amp; Belonging;Long-Term Role Alignment;</t>
  </si>
  <si>
    <t xml:space="preserve">shared CS SPOC details;Share internal job/cross-skill opportunities;</t>
  </si>
  <si>
    <t xml:space="preserve">MS395398@techmahindra.com</t>
  </si>
  <si>
    <t xml:space="preserve">Michael Sha</t>
  </si>
  <si>
    <t xml:space="preserve">Ojasvi Sinha</t>
  </si>
  <si>
    <t xml:space="preserve">395398</t>
  </si>
  <si>
    <t xml:space="preserve">Initial Organization Understanding;Buddy / Support System;</t>
  </si>
  <si>
    <t xml:space="preserve">Limited understanding of organization structure and functions;none;</t>
  </si>
  <si>
    <t xml:space="preserve">YB462163@techmahindra.com</t>
  </si>
  <si>
    <t xml:space="preserve">Yug Bumb</t>
  </si>
  <si>
    <t xml:space="preserve">462163</t>
  </si>
  <si>
    <t xml:space="preserve">Talent Pipeline &amp; Capability Building;AI Workshop By Natesh;</t>
  </si>
  <si>
    <t xml:space="preserve">Need budget clarity;Need AI/skill readiness;</t>
  </si>
  <si>
    <t xml:space="preserve">Define capability targets;Finalize plan with owners/deadlines;</t>
  </si>
  <si>
    <t xml:space="preserve">FC745483@techmahindra.com</t>
  </si>
  <si>
    <t xml:space="preserve">Faras Choudhury</t>
  </si>
  <si>
    <t xml:space="preserve">745483</t>
  </si>
  <si>
    <t xml:space="preserve">Engagement &amp; Motivation Across Stages;</t>
  </si>
  <si>
    <t xml:space="preserve">MG166817@techmahindra.com</t>
  </si>
  <si>
    <t xml:space="preserve">Mason Gala</t>
  </si>
  <si>
    <t xml:space="preserve">166817</t>
  </si>
  <si>
    <t xml:space="preserve">Grievance/speak-up clarity;Need equitable recognition;</t>
  </si>
  <si>
    <t xml:space="preserve">JJ418801@techmahindra.com</t>
  </si>
  <si>
    <t xml:space="preserve">Jackson Jha</t>
  </si>
  <si>
    <t xml:space="preserve">418801</t>
  </si>
  <si>
    <t xml:space="preserve">Mysore</t>
  </si>
  <si>
    <t xml:space="preserve">CS698469@techmahindra.com</t>
  </si>
  <si>
    <t xml:space="preserve">Christopher Setty</t>
  </si>
  <si>
    <t xml:space="preserve">698469</t>
  </si>
  <si>
    <t xml:space="preserve">Provide FAQs, guides, refresher sessions;Create consistent onboarding framework across practice;</t>
  </si>
  <si>
    <t xml:space="preserve">TB538409@techmahindra.com</t>
  </si>
  <si>
    <t xml:space="preserve">Tanmayi Bhardwaj</t>
  </si>
  <si>
    <t xml:space="preserve">538409</t>
  </si>
  <si>
    <t xml:space="preserve">Aizawl</t>
  </si>
  <si>
    <t xml:space="preserve">Timesheet Submission/approval Process Inconsistencies Create;Infrastructure / Workplace Enablement;Manager Support &amp; Local Leadership Effectiveness;</t>
  </si>
  <si>
    <t xml:space="preserve">Implement monthly recognition cadence (kudos, spotlight, customer praise);Share project-specific policy FAQ (WFO, exceptions, leave, timesheet);</t>
  </si>
  <si>
    <t xml:space="preserve">AA317062@techmahindra.com</t>
  </si>
  <si>
    <t xml:space="preserve">Aachal Aggarwal</t>
  </si>
  <si>
    <t xml:space="preserve">317062</t>
  </si>
  <si>
    <t xml:space="preserve">Low interaction and hesitation in raising questions;HR/WFM/Training updates not actionable;</t>
  </si>
  <si>
    <t xml:space="preserve">CS407194@techmahindra.com</t>
  </si>
  <si>
    <t xml:space="preserve">Chakradev Sampath</t>
  </si>
  <si>
    <t xml:space="preserve">407194</t>
  </si>
  <si>
    <t xml:space="preserve">20 yrs LSA GB</t>
  </si>
  <si>
    <t xml:space="preserve">DB615455@techmahindra.com</t>
  </si>
  <si>
    <t xml:space="preserve">Darpan Biswas</t>
  </si>
  <si>
    <t xml:space="preserve">615455</t>
  </si>
  <si>
    <t xml:space="preserve">On Hybrid/WFO Rules And Monthly Compliance Expectations;Self-Service &amp; Issue Resolution;</t>
  </si>
  <si>
    <t xml:space="preserve">Need guidance on leave, travel, and exception approvals;Need clarity on role-based learning expectations;</t>
  </si>
  <si>
    <t xml:space="preserve">No Action;no specific requisites.;</t>
  </si>
  <si>
    <t xml:space="preserve">Doubts on SAP calendar and leaves, Appraisal cycle, Hikes, Flexi declaration were taken and cleared</t>
  </si>
  <si>
    <t xml:space="preserve">AM711561@techmahindra.com</t>
  </si>
  <si>
    <t xml:space="preserve">Azad Mangat</t>
  </si>
  <si>
    <t xml:space="preserve">711561</t>
  </si>
  <si>
    <t xml:space="preserve">Manager Effectiveness &amp; Delegation;Recognition &amp; Motivation;Learning/cert Support Requests;</t>
  </si>
  <si>
    <t xml:space="preserve">OP781570@techmahindra.com</t>
  </si>
  <si>
    <t xml:space="preserve">Osha Prasad</t>
  </si>
  <si>
    <t xml:space="preserve">781570</t>
  </si>
  <si>
    <t xml:space="preserve">Review of ongoing concerns;General wellbeing check-in;Clarity on expectations;</t>
  </si>
  <si>
    <t xml:space="preserve">SP195797@techmahindra.com</t>
  </si>
  <si>
    <t xml:space="preserve">Saumya Purohit</t>
  </si>
  <si>
    <t xml:space="preserve">195797</t>
  </si>
  <si>
    <t xml:space="preserve">AI Workshop By Natesh;Engagement Plan Alignment;</t>
  </si>
  <si>
    <t xml:space="preserve">Know your Service Line 'AI Strategy &amp; Business Vision' from Mr. Natesh P;Need AI/skill readiness;</t>
  </si>
  <si>
    <t xml:space="preserve">ID773843@techmahindra.com</t>
  </si>
  <si>
    <t xml:space="preserve">Ijaya Dani</t>
  </si>
  <si>
    <t xml:space="preserve">773843</t>
  </si>
  <si>
    <t xml:space="preserve">Tool &amp; System Access;HR Process Clarity;</t>
  </si>
  <si>
    <t xml:space="preserve">UA459065@techmahindra.com</t>
  </si>
  <si>
    <t xml:space="preserve">Udant Aggarwal</t>
  </si>
  <si>
    <t xml:space="preserve">459065</t>
  </si>
  <si>
    <t xml:space="preserve">Bihar Sharif</t>
  </si>
  <si>
    <t xml:space="preserve">Feedback on recent processes;Review of ongoing concerns;Clarity on expectations;</t>
  </si>
  <si>
    <t xml:space="preserve">LK997830@techmahindra.com</t>
  </si>
  <si>
    <t xml:space="preserve">Ladli Karpe</t>
  </si>
  <si>
    <t xml:space="preserve">997830</t>
  </si>
  <si>
    <t xml:space="preserve">Need budget clarity;Burnout signals;</t>
  </si>
  <si>
    <t xml:space="preserve">Monthly dashboard review;</t>
  </si>
  <si>
    <t xml:space="preserve">MM747554@techmahindra.com</t>
  </si>
  <si>
    <t xml:space="preserve">Mohammed Majumdar</t>
  </si>
  <si>
    <t xml:space="preserve">747554</t>
  </si>
  <si>
    <t xml:space="preserve">CSR Alignment;Pride &amp; Purpose;</t>
  </si>
  <si>
    <t xml:space="preserve">Align with company values;Pride in social impact;</t>
  </si>
  <si>
    <t xml:space="preserve">Skill volunteering catalog;</t>
  </si>
  <si>
    <t xml:space="preserve">AS257726@techmahindra.com</t>
  </si>
  <si>
    <t xml:space="preserve">Azad Saini</t>
  </si>
  <si>
    <t xml:space="preserve">257726</t>
  </si>
  <si>
    <t xml:space="preserve">New Delhi</t>
  </si>
  <si>
    <t xml:space="preserve">BS371608@techmahindra.com</t>
  </si>
  <si>
    <t xml:space="preserve">Bahadurjit Sekhon</t>
  </si>
  <si>
    <t xml:space="preserve">371608</t>
  </si>
  <si>
    <t xml:space="preserve">Career Visibility &amp; Skill Roadmap;Recognition Visibility;Leadership Communication &amp; Q&amp;A Effectiveness;</t>
  </si>
  <si>
    <t xml:space="preserve">YB300160@techmahindra.com</t>
  </si>
  <si>
    <t xml:space="preserve">Yash Basu</t>
  </si>
  <si>
    <t xml:space="preserve">300160</t>
  </si>
  <si>
    <t xml:space="preserve">BGV;Skill gaps becoming visible during execution;</t>
  </si>
  <si>
    <t xml:space="preserve">BGV;The associates had queries mainly related to WFH and leaves.;</t>
  </si>
  <si>
    <t xml:space="preserve">TB471872@techmahindra.com</t>
  </si>
  <si>
    <t xml:space="preserve">Teerth Bhalla</t>
  </si>
  <si>
    <t xml:space="preserve">471872</t>
  </si>
  <si>
    <t xml:space="preserve">Ambala</t>
  </si>
  <si>
    <t xml:space="preserve">EN126658@techmahindra.com</t>
  </si>
  <si>
    <t xml:space="preserve">Eiravati Nagi</t>
  </si>
  <si>
    <t xml:space="preserve">126658</t>
  </si>
  <si>
    <t xml:space="preserve">TS601197@techmahindra.com</t>
  </si>
  <si>
    <t xml:space="preserve">Timothy Sachdev</t>
  </si>
  <si>
    <t xml:space="preserve">601197</t>
  </si>
  <si>
    <t xml:space="preserve">New joiners feel overwhelmed or unclear post induction;Delays in access to systems/tools required for work;</t>
  </si>
  <si>
    <t xml:space="preserve">Standardize induction deck + post-induction summary mail;Implement Day-1 access checklist tracking (IT + Admin);</t>
  </si>
  <si>
    <t xml:space="preserve">PS875788@techmahindra.com</t>
  </si>
  <si>
    <t xml:space="preserve">Parth Sane</t>
  </si>
  <si>
    <t xml:space="preserve">875788</t>
  </si>
  <si>
    <t xml:space="preserve">AI Session;</t>
  </si>
  <si>
    <t xml:space="preserve">Need AI/skill readiness;NA;</t>
  </si>
  <si>
    <t xml:space="preserve">Publish budget guidelines;Rating Calibration Call;</t>
  </si>
  <si>
    <t xml:space="preserve">HR495351@techmahindra.com</t>
  </si>
  <si>
    <t xml:space="preserve">Hemangini Raj</t>
  </si>
  <si>
    <t xml:space="preserve">495351</t>
  </si>
  <si>
    <t xml:space="preserve">Not specific queries.</t>
  </si>
  <si>
    <t xml:space="preserve">OR800901@techmahindra.com</t>
  </si>
  <si>
    <t xml:space="preserve">Omaja Rege</t>
  </si>
  <si>
    <t xml:space="preserve">800901</t>
  </si>
  <si>
    <t xml:space="preserve">QY705203@techmahindra.com</t>
  </si>
  <si>
    <t xml:space="preserve">Qarin Yogi</t>
  </si>
  <si>
    <t xml:space="preserve">705203</t>
  </si>
  <si>
    <t xml:space="preserve">CD561229@techmahindra.com</t>
  </si>
  <si>
    <t xml:space="preserve">Charita Dhawan</t>
  </si>
  <si>
    <t xml:space="preserve">Dalbir Sachar</t>
  </si>
  <si>
    <t xml:space="preserve">561229</t>
  </si>
  <si>
    <t xml:space="preserve">Rotation/mobility interest is high but process and eligibility are unclear;</t>
  </si>
  <si>
    <t xml:space="preserve">LK629241@techmahindra.com</t>
  </si>
  <si>
    <t xml:space="preserve">Lipika Kibe</t>
  </si>
  <si>
    <t xml:space="preserve">629241</t>
  </si>
  <si>
    <t xml:space="preserve">Kurnool</t>
  </si>
  <si>
    <t xml:space="preserve">none</t>
  </si>
  <si>
    <t xml:space="preserve">SP999987@techmahindra.com</t>
  </si>
  <si>
    <t xml:space="preserve">Shivani Prabhakar</t>
  </si>
  <si>
    <t xml:space="preserve">999987</t>
  </si>
  <si>
    <t xml:space="preserve">Know your Service Line 'AI Strategy &amp; Business Vision' from Mr. Natesh P;</t>
  </si>
  <si>
    <t xml:space="preserve">Need AI/skill readiness;Practice Head Connect with P1 and Above at Pune;</t>
  </si>
  <si>
    <t xml:space="preserve">CL720145@techmahindra.com</t>
  </si>
  <si>
    <t xml:space="preserve">Charan Loyal</t>
  </si>
  <si>
    <t xml:space="preserve">720145</t>
  </si>
  <si>
    <t xml:space="preserve">Buddy / Support System;Tool &amp; System Access;</t>
  </si>
  <si>
    <t xml:space="preserve">Hybrid working policy was explained in detail;Share HR FAQ document + SPOC contact sheet;</t>
  </si>
  <si>
    <t xml:space="preserve">RK500033@techmahindra.com</t>
  </si>
  <si>
    <t xml:space="preserve">Raghav Kalla</t>
  </si>
  <si>
    <t xml:space="preserve">500033</t>
  </si>
  <si>
    <t xml:space="preserve">Inclusive Team Practices;Recognition &amp; Visibility;Work-Life Balance &amp; Flexibility;</t>
  </si>
  <si>
    <t xml:space="preserve">Female assocaites in Haleon office are quite happy with the setup;Need flexible arrangements during caregiving;</t>
  </si>
  <si>
    <t xml:space="preserve">CA847734@techmahindra.com</t>
  </si>
  <si>
    <t xml:space="preserve">Chavvi Aurora</t>
  </si>
  <si>
    <t xml:space="preserve">847734</t>
  </si>
  <si>
    <t xml:space="preserve">Clarity on expectations;General wellbeing check-in;Discussion on team dynamics;</t>
  </si>
  <si>
    <t xml:space="preserve">JS926420@techmahindra.com</t>
  </si>
  <si>
    <t xml:space="preserve">Jacob Srinivas</t>
  </si>
  <si>
    <t xml:space="preserve">926420</t>
  </si>
  <si>
    <t xml:space="preserve">NA;The associates had questions around WFH and leaves.;</t>
  </si>
  <si>
    <t xml:space="preserve">Include in team rituals (scrum, meetings, discussions);Explained the complete process to associates;</t>
  </si>
  <si>
    <t xml:space="preserve">MK437516@techmahindra.com</t>
  </si>
  <si>
    <t xml:space="preserve">Mekhala Khatri</t>
  </si>
  <si>
    <t xml:space="preserve">437516</t>
  </si>
  <si>
    <t xml:space="preserve">AI Workshop By Natesh;Rating Calibration Call;Action Closure Discipline;</t>
  </si>
  <si>
    <t xml:space="preserve">NA;Rating Calibration Call;</t>
  </si>
  <si>
    <t xml:space="preserve">Monthly dashboard review;Identify hotspots;</t>
  </si>
  <si>
    <t xml:space="preserve">LS630704@techmahindra.com</t>
  </si>
  <si>
    <t xml:space="preserve">Lajita Shukla</t>
  </si>
  <si>
    <t xml:space="preserve">630704</t>
  </si>
  <si>
    <t xml:space="preserve">Induction Effectiveness;</t>
  </si>
  <si>
    <t xml:space="preserve">UC973723@techmahindra.com</t>
  </si>
  <si>
    <t xml:space="preserve">Unnati Chaudhari</t>
  </si>
  <si>
    <t xml:space="preserve">973723</t>
  </si>
  <si>
    <t xml:space="preserve">EJ241025@techmahindra.com</t>
  </si>
  <si>
    <t xml:space="preserve">Ekaja Jani</t>
  </si>
  <si>
    <t xml:space="preserve">241025</t>
  </si>
  <si>
    <t xml:space="preserve">Role Expectation Clarity;Learning Curve Support;Project Allocation Clarity;</t>
  </si>
  <si>
    <t xml:space="preserve">MB255063@techmahindra.com</t>
  </si>
  <si>
    <t xml:space="preserve">Madhav Babu</t>
  </si>
  <si>
    <t xml:space="preserve">Omisha Merchant</t>
  </si>
  <si>
    <t xml:space="preserve">255063</t>
  </si>
  <si>
    <t xml:space="preserve">Induction Effectiveness;Tool &amp; System Access;Buddy / Support System;</t>
  </si>
  <si>
    <t xml:space="preserve">Limited clarity on policies (leave, WFO, reporting);Limited understanding of organization structure and functions;</t>
  </si>
  <si>
    <t xml:space="preserve">VR911319@techmahindra.com</t>
  </si>
  <si>
    <t xml:space="preserve">Victor Raghavan</t>
  </si>
  <si>
    <t xml:space="preserve">911319</t>
  </si>
  <si>
    <t xml:space="preserve">Clarity on expectations;Feedback on recent processes;Review of ongoing concerns;</t>
  </si>
  <si>
    <t xml:space="preserve">XN649314@techmahindra.com</t>
  </si>
  <si>
    <t xml:space="preserve">Xalak Nazareth</t>
  </si>
  <si>
    <t xml:space="preserve">649314</t>
  </si>
  <si>
    <t xml:space="preserve">VS631972@techmahindra.com</t>
  </si>
  <si>
    <t xml:space="preserve">Vritti Sharma</t>
  </si>
  <si>
    <t xml:space="preserve">Indira Gara</t>
  </si>
  <si>
    <t xml:space="preserve">631972</t>
  </si>
  <si>
    <t xml:space="preserve">Business &amp; Practice Awareness;Visibility on Allocation &amp; Demand;</t>
  </si>
  <si>
    <t xml:space="preserve">Provide FAQs, guides, refresher sessions;Checked the action plan for pending allocation of new joiners and highlighted to IBU head and it was closed;</t>
  </si>
  <si>
    <t xml:space="preserve">QB950297@techmahindra.com</t>
  </si>
  <si>
    <t xml:space="preserve">Qarin Bhargava</t>
  </si>
  <si>
    <t xml:space="preserve">950297</t>
  </si>
  <si>
    <t xml:space="preserve">HR Process Clarity;Initial Organization Understanding;</t>
  </si>
  <si>
    <t xml:space="preserve">Limited understanding of organization structure and functions;</t>
  </si>
  <si>
    <t xml:space="preserve">Share HR FAQ document + SPOC contact sheet;Standardize induction deck + post-induction summary mail;</t>
  </si>
  <si>
    <t xml:space="preserve">CA832851@techmahindra.com</t>
  </si>
  <si>
    <t xml:space="preserve">Chanakya Ahuja</t>
  </si>
  <si>
    <t xml:space="preserve">Laksh Kashyap</t>
  </si>
  <si>
    <t xml:space="preserve">832851</t>
  </si>
  <si>
    <t xml:space="preserve">AK316037@techmahindra.com</t>
  </si>
  <si>
    <t xml:space="preserve">Aditya Kamdar</t>
  </si>
  <si>
    <t xml:space="preserve">316037</t>
  </si>
  <si>
    <t xml:space="preserve">Clarity on Org Changes &amp; Priorities;Manager/Leadership Support;Compensation &amp; Retention Risk;</t>
  </si>
  <si>
    <t xml:space="preserve">VB729281@techmahindra.com</t>
  </si>
  <si>
    <t xml:space="preserve">Vinaya Babu</t>
  </si>
  <si>
    <t xml:space="preserve">Nisha Arora</t>
  </si>
  <si>
    <t xml:space="preserve">729281</t>
  </si>
  <si>
    <t xml:space="preserve">Bettiah</t>
  </si>
  <si>
    <t xml:space="preserve">Most of the queries were related to salary hikes, band changes, and WFH approvals.</t>
  </si>
  <si>
    <t xml:space="preserve">AT602078@techmahindra.com</t>
  </si>
  <si>
    <t xml:space="preserve">Anay Thakkar</t>
  </si>
  <si>
    <t xml:space="preserve">Praneel Chhabra</t>
  </si>
  <si>
    <t xml:space="preserve">602078</t>
  </si>
  <si>
    <t xml:space="preserve">Loni</t>
  </si>
  <si>
    <t xml:space="preserve">Recognition Visibility;Business &amp; Strategy Clarity;Work-Life &amp; Sustainability Signals;</t>
  </si>
  <si>
    <t xml:space="preserve">AI/future readiness messaging is high-level;NA;</t>
  </si>
  <si>
    <t xml:space="preserve">Policy and claims related queries 
Allocation and TS related queries</t>
  </si>
  <si>
    <t xml:space="preserve">ZP166741@techmahindra.com</t>
  </si>
  <si>
    <t xml:space="preserve">Zayyan Pandya</t>
  </si>
  <si>
    <t xml:space="preserve">166741</t>
  </si>
  <si>
    <t xml:space="preserve">Limited structured interaction with reporting manager;</t>
  </si>
  <si>
    <t xml:space="preserve">FP906035@techmahindra.com</t>
  </si>
  <si>
    <t xml:space="preserve">Farhan Prakash</t>
  </si>
  <si>
    <t xml:space="preserve">906035</t>
  </si>
  <si>
    <t xml:space="preserve">Self-Service &amp; Issue Resolution;Learning &amp; Career Enablement;For Consolidated HR Communications Rather Than Scattered Upd;</t>
  </si>
  <si>
    <t xml:space="preserve">Request for consolidated HR communications rather than scattered updates;detailed discussion on monthly cadence;</t>
  </si>
  <si>
    <t xml:space="preserve">YK414423@techmahindra.com</t>
  </si>
  <si>
    <t xml:space="preserve">Yagnesh Kara</t>
  </si>
  <si>
    <t xml:space="preserve">Faris Balay</t>
  </si>
  <si>
    <t xml:space="preserve">414423</t>
  </si>
  <si>
    <t xml:space="preserve">Long-Term Role Alignment;Engagement &amp; Belonging;</t>
  </si>
  <si>
    <t xml:space="preserve">Improve team engagement (inclusion, recognition);Share internal job/cross-skill opportunities;</t>
  </si>
  <si>
    <t xml:space="preserve">KS901087@techmahindra.com</t>
  </si>
  <si>
    <t xml:space="preserve">Krishna Soni</t>
  </si>
  <si>
    <t xml:space="preserve">901087</t>
  </si>
  <si>
    <t xml:space="preserve">Bangalore</t>
  </si>
  <si>
    <t xml:space="preserve">Monthly Cadence IBU Head coverage on HC, Attrition, eltp and Bench;</t>
  </si>
  <si>
    <t xml:space="preserve">Queries on medical insurance options, premium deductions, lock-in rules;</t>
  </si>
  <si>
    <t xml:space="preserve">Host open house hour for Q&amp;A and log unanswered items;No Action;</t>
  </si>
  <si>
    <t xml:space="preserve">XS307418@techmahindra.com</t>
  </si>
  <si>
    <t xml:space="preserve">Xalak Saraf</t>
  </si>
  <si>
    <t xml:space="preserve">307418</t>
  </si>
  <si>
    <t xml:space="preserve">Buxar</t>
  </si>
  <si>
    <t xml:space="preserve">AI Workshop By Natesh;</t>
  </si>
  <si>
    <t xml:space="preserve">Publish budget guidelines;</t>
  </si>
  <si>
    <t xml:space="preserve">BK711790@techmahindra.com</t>
  </si>
  <si>
    <t xml:space="preserve">Brijesh Karpe</t>
  </si>
  <si>
    <t xml:space="preserve">711790</t>
  </si>
  <si>
    <t xml:space="preserve">Tezpur</t>
  </si>
  <si>
    <t xml:space="preserve">Feedback on recent processes;Clarity on expectations;</t>
  </si>
  <si>
    <t xml:space="preserve">No major concerns raised;NA;</t>
  </si>
  <si>
    <t xml:space="preserve">FM713302@techmahindra.com</t>
  </si>
  <si>
    <t xml:space="preserve">Falan Mand</t>
  </si>
  <si>
    <t xml:space="preserve">713302</t>
  </si>
  <si>
    <t xml:space="preserve">Include in team rituals (scrum, meetings, discussions);BGV;</t>
  </si>
  <si>
    <t xml:space="preserve">PM124583@techmahindra.com</t>
  </si>
  <si>
    <t xml:space="preserve">Praneel Murty</t>
  </si>
  <si>
    <t xml:space="preserve">124583</t>
  </si>
  <si>
    <t xml:space="preserve">Initial Engagement Level;Learning Curve Support;Manager Connect Effectiveness;</t>
  </si>
  <si>
    <t xml:space="preserve">MR545135@techmahindra.com</t>
  </si>
  <si>
    <t xml:space="preserve">Maanas Rao</t>
  </si>
  <si>
    <t xml:space="preserve">545135</t>
  </si>
  <si>
    <t xml:space="preserve">Dewas</t>
  </si>
  <si>
    <t xml:space="preserve">Communication &amp; Transparency;Timely Policy/process Updates;Recognition &amp; Motivation;</t>
  </si>
  <si>
    <t xml:space="preserve">LZ173801@techmahindra.com</t>
  </si>
  <si>
    <t xml:space="preserve">Lopa Zachariah</t>
  </si>
  <si>
    <t xml:space="preserve">173801</t>
  </si>
  <si>
    <t xml:space="preserve">Connect with Women Associates</t>
  </si>
  <si>
    <t xml:space="preserve">TLS SPOC had cleared all the queries w.r.t learning;</t>
  </si>
  <si>
    <t xml:space="preserve">FT720559@techmahindra.com</t>
  </si>
  <si>
    <t xml:space="preserve">Farhan Tella</t>
  </si>
  <si>
    <t xml:space="preserve">720559</t>
  </si>
  <si>
    <t xml:space="preserve">FO786651@techmahindra.com</t>
  </si>
  <si>
    <t xml:space="preserve">Faqid Oak</t>
  </si>
  <si>
    <t xml:space="preserve">786651</t>
  </si>
  <si>
    <t xml:space="preserve">na;Rotation/mobility interest is high but process and eligibility are unclear;</t>
  </si>
  <si>
    <t xml:space="preserve">Run structured mobility/rotation sessions with examples and process FAQs;</t>
  </si>
  <si>
    <t xml:space="preserve">SS715754@techmahindra.com</t>
  </si>
  <si>
    <t xml:space="preserve">Shravya Swaminathan</t>
  </si>
  <si>
    <t xml:space="preserve">715754</t>
  </si>
  <si>
    <t xml:space="preserve">Associates seek clarity on role progression and career paths within the unit;Associates were curious to know about salary increments;</t>
  </si>
  <si>
    <t xml:space="preserve">Add a ‘What changes for teams’ section with 3–5 concrete takeaways;NA;</t>
  </si>
  <si>
    <t xml:space="preserve">RG621480@techmahindra.com</t>
  </si>
  <si>
    <t xml:space="preserve">Rachana Grewal</t>
  </si>
  <si>
    <t xml:space="preserve">621480</t>
  </si>
  <si>
    <t xml:space="preserve">Guwahati</t>
  </si>
  <si>
    <t xml:space="preserve">AI/future Readiness Messaging Is High-level;Work-Life &amp; Sustainability Signals;</t>
  </si>
  <si>
    <t xml:space="preserve">associates seek practical relevance;NA;</t>
  </si>
  <si>
    <t xml:space="preserve">Add ‘Wall of Fame’ segment: delivery wins, customer shoutouts, milestone highlights;Share a 1-page business snapshot (targets, priorities, key wins) post townhall;</t>
  </si>
  <si>
    <t xml:space="preserve">YB227766@techmahindra.com</t>
  </si>
  <si>
    <t xml:space="preserve">Yatin Borah</t>
  </si>
  <si>
    <t xml:space="preserve">227766</t>
  </si>
  <si>
    <t xml:space="preserve">Learning Curve Support;Manager Connect Effectiveness;Project Allocation Clarity;</t>
  </si>
  <si>
    <t xml:space="preserve">Difficulty in understanding tools/processes;Most of the associates are undergoing trainings as there are FCTP's;</t>
  </si>
  <si>
    <t xml:space="preserve">LD690660@techmahindra.com</t>
  </si>
  <si>
    <t xml:space="preserve">Lajita Dube</t>
  </si>
  <si>
    <t xml:space="preserve">690660</t>
  </si>
  <si>
    <t xml:space="preserve">Engagement &amp; Belonging;Long-Term Role Alignment;</t>
  </si>
  <si>
    <t xml:space="preserve">JC662361@techmahindra.com</t>
  </si>
  <si>
    <t xml:space="preserve">Jalsa Chhabra</t>
  </si>
  <si>
    <t xml:space="preserve">662361</t>
  </si>
  <si>
    <t xml:space="preserve">General wellbeing check-in;Discussion on team dynamics;Feedback on recent processes;</t>
  </si>
  <si>
    <t xml:space="preserve">SP429344@techmahindra.com</t>
  </si>
  <si>
    <t xml:space="preserve">Sai Parsa</t>
  </si>
  <si>
    <t xml:space="preserve">Harsh Deo</t>
  </si>
  <si>
    <t xml:space="preserve">429344</t>
  </si>
  <si>
    <t xml:space="preserve">SV852112@techmahindra.com</t>
  </si>
  <si>
    <t xml:space="preserve">Saumya Vala</t>
  </si>
  <si>
    <t xml:space="preserve">852112</t>
  </si>
  <si>
    <t xml:space="preserve">Kota</t>
  </si>
  <si>
    <t xml:space="preserve">Skill gaps becoming visible during execution;BGV;</t>
  </si>
  <si>
    <t xml:space="preserve">The associates had queries mainly related to WFH and leaves.;Mandate structured monthly feedback from manager;</t>
  </si>
  <si>
    <t xml:space="preserve">GN684774@techmahindra.com</t>
  </si>
  <si>
    <t xml:space="preserve">Girik Nair</t>
  </si>
  <si>
    <t xml:space="preserve">Advik Manne</t>
  </si>
  <si>
    <t xml:space="preserve">684774</t>
  </si>
  <si>
    <t xml:space="preserve">Workload Management;Role Confidence Level;BGV queries;</t>
  </si>
  <si>
    <t xml:space="preserve">Not fully integrated with team collaboration channels;BGV;</t>
  </si>
  <si>
    <t xml:space="preserve">OR516474@techmahindra.com</t>
  </si>
  <si>
    <t xml:space="preserve">Omkaar Rai</t>
  </si>
  <si>
    <t xml:space="preserve">516474</t>
  </si>
  <si>
    <t xml:space="preserve">Project Allocation Clarity;Initial Engagement Level;</t>
  </si>
  <si>
    <t xml:space="preserve">Limited structured interaction with reporting manager;Associates undergoing project training;</t>
  </si>
  <si>
    <t xml:space="preserve">CL806956@techmahindra.com</t>
  </si>
  <si>
    <t xml:space="preserve">Charvi Loyal</t>
  </si>
  <si>
    <t xml:space="preserve">806956</t>
  </si>
  <si>
    <t xml:space="preserve">Ulhasnagar</t>
  </si>
  <si>
    <t xml:space="preserve">detailed discussion on monthly cadence;</t>
  </si>
  <si>
    <t xml:space="preserve">no specific requisites.;NA;</t>
  </si>
  <si>
    <t xml:space="preserve">AS746311@techmahindra.com</t>
  </si>
  <si>
    <t xml:space="preserve">Anya Sama</t>
  </si>
  <si>
    <t xml:space="preserve">Veda Bose</t>
  </si>
  <si>
    <t xml:space="preserve">746311</t>
  </si>
  <si>
    <t xml:space="preserve">Clarity on Org Changes &amp; Priorities;For Role Rotation (PM/PGM/architect);Compensation &amp; Retention Risk;</t>
  </si>
  <si>
    <t xml:space="preserve">WH931271@techmahindra.com</t>
  </si>
  <si>
    <t xml:space="preserve">Warhi Hayre</t>
  </si>
  <si>
    <t xml:space="preserve">Hredhaan Deshmukh</t>
  </si>
  <si>
    <t xml:space="preserve">931271</t>
  </si>
  <si>
    <t xml:space="preserve">HR / WFM / Training Communication Effectiveness;Alignment on Role in Business Context;</t>
  </si>
  <si>
    <t xml:space="preserve">Provide FAQs, guides, refresher sessions;TLS SPOC had cleared all the queries w.r.t learning;</t>
  </si>
  <si>
    <t xml:space="preserve">GR380268@techmahindra.com</t>
  </si>
  <si>
    <t xml:space="preserve">Gaurangi Rai</t>
  </si>
  <si>
    <t xml:space="preserve">Ria Natt</t>
  </si>
  <si>
    <t xml:space="preserve">380268</t>
  </si>
  <si>
    <t xml:space="preserve">NA;AI Workshop By Natesh;</t>
  </si>
  <si>
    <t xml:space="preserve">need to have diversity;Rating Calibration Call;</t>
  </si>
  <si>
    <t xml:space="preserve">Identify hotspots;Work with AI Agents;</t>
  </si>
  <si>
    <t xml:space="preserve">CN904586@techmahindra.com</t>
  </si>
  <si>
    <t xml:space="preserve">Charita Nagi</t>
  </si>
  <si>
    <t xml:space="preserve">904586</t>
  </si>
  <si>
    <t xml:space="preserve">VM955908@techmahindra.com</t>
  </si>
  <si>
    <t xml:space="preserve">Varenya Murthy</t>
  </si>
  <si>
    <t xml:space="preserve">955908</t>
  </si>
  <si>
    <t xml:space="preserve">Sikar</t>
  </si>
  <si>
    <t xml:space="preserve">On Leave/comp-off Due To Client Calendar Mismatches;Recognition &amp; Engagement within Project;Workload &amp; Work-Life Balance;</t>
  </si>
  <si>
    <t xml:space="preserve">Implement monthly recognition cadence (kudos, spotlight, customer praise);Define issue escalation ladder and response SLAs;</t>
  </si>
  <si>
    <t xml:space="preserve">VK889912@techmahindra.com</t>
  </si>
  <si>
    <t xml:space="preserve">Vritti Kibe</t>
  </si>
  <si>
    <t xml:space="preserve">889912</t>
  </si>
  <si>
    <t xml:space="preserve">Culture &amp; Engagement;Queries On Performance Cycle Steps And Deadlines;Self-Service &amp; Issue Resolution;</t>
  </si>
  <si>
    <t xml:space="preserve">Confusion on hybrid/WFO rules and monthly compliance expectations;</t>
  </si>
  <si>
    <t xml:space="preserve">Maintain a live FAQ for hybrid/WFO and exceptions;</t>
  </si>
  <si>
    <t xml:space="preserve">MP831715@techmahindra.com</t>
  </si>
  <si>
    <t xml:space="preserve">Maya Patla</t>
  </si>
  <si>
    <t xml:space="preserve">831715</t>
  </si>
  <si>
    <t xml:space="preserve">Career Path Visibility;Engagement &amp; Belonging;</t>
  </si>
  <si>
    <t xml:space="preserve">PB576773@techmahindra.com</t>
  </si>
  <si>
    <t xml:space="preserve">Pranit Bala</t>
  </si>
  <si>
    <t xml:space="preserve">576773</t>
  </si>
  <si>
    <t xml:space="preserve">Bhagalpur</t>
  </si>
  <si>
    <t xml:space="preserve">Feedback is irregular or not tied to a rubric;slows improvement;</t>
  </si>
  <si>
    <t xml:space="preserve">ER407641@techmahindra.com</t>
  </si>
  <si>
    <t xml:space="preserve">Ekapad Rege</t>
  </si>
  <si>
    <t xml:space="preserve">407641</t>
  </si>
  <si>
    <t xml:space="preserve">Kolhapur</t>
  </si>
  <si>
    <t xml:space="preserve">Clarity On Appraisal/performance Timelines And Edge Cases;Policy &amp; Process Clarity;</t>
  </si>
  <si>
    <t xml:space="preserve">Everything was fine, people were having general queries;</t>
  </si>
  <si>
    <t xml:space="preserve">Review workload hotspots with PGM/RM and rebalance capacity;NA;</t>
  </si>
  <si>
    <t xml:space="preserve">ZD124828@techmahindra.com</t>
  </si>
  <si>
    <t xml:space="preserve">Zayyan Dube</t>
  </si>
  <si>
    <t xml:space="preserve">124828</t>
  </si>
  <si>
    <t xml:space="preserve">Job Security &amp; Anxiety Management;Rules On Working Without Formal Allocation/PID;</t>
  </si>
  <si>
    <t xml:space="preserve">No specific Action, Issue addressed in meeting;Bench associates feel disconnected from teams and recognition cycles;</t>
  </si>
  <si>
    <t xml:space="preserve">Answered all the queries;</t>
  </si>
  <si>
    <t xml:space="preserve">ES294521@techmahindra.com</t>
  </si>
  <si>
    <t xml:space="preserve">Ethan Sen</t>
  </si>
  <si>
    <t xml:space="preserve">294521</t>
  </si>
  <si>
    <t xml:space="preserve">Ballia</t>
  </si>
  <si>
    <t xml:space="preserve">Discussion on team dynamics;General wellbeing check-in;Feedback on recent processes;</t>
  </si>
  <si>
    <t xml:space="preserve">BP799486@techmahindra.com</t>
  </si>
  <si>
    <t xml:space="preserve">Balhaar Parsa</t>
  </si>
  <si>
    <t xml:space="preserve">Ikbal Kothari</t>
  </si>
  <si>
    <t xml:space="preserve">799486</t>
  </si>
  <si>
    <t xml:space="preserve">OB777423@techmahindra.com</t>
  </si>
  <si>
    <t xml:space="preserve">Ojas Basu</t>
  </si>
  <si>
    <t xml:space="preserve">777423</t>
  </si>
  <si>
    <t xml:space="preserve">Career Support &amp; Sponsorship;Grievance/speak-up Clarity;Recognition &amp; Visibility;</t>
  </si>
  <si>
    <t xml:space="preserve">Inclusive team practices;Need empathy and communication;</t>
  </si>
  <si>
    <t xml:space="preserve">Reinforce speak-up channels;There werenot much queries;</t>
  </si>
  <si>
    <t xml:space="preserve">HA734603@techmahindra.com</t>
  </si>
  <si>
    <t xml:space="preserve">Hitesh Anne</t>
  </si>
  <si>
    <t xml:space="preserve">734603</t>
  </si>
  <si>
    <t xml:space="preserve">Monthly Cadence IBU Head coverage on HC, Attrition, eltp and Bench;SL org structure;</t>
  </si>
  <si>
    <t xml:space="preserve">YV821768@techmahindra.com</t>
  </si>
  <si>
    <t xml:space="preserve">Yashvi Venkataraman</t>
  </si>
  <si>
    <t xml:space="preserve">821768</t>
  </si>
  <si>
    <t xml:space="preserve">Amroha</t>
  </si>
  <si>
    <t xml:space="preserve">Monthly Cadence IBU Head coverage on HC, Attrition, eltp and Bench;Connect for recognition;Self-Service &amp; Issue Resolution;</t>
  </si>
  <si>
    <t xml:space="preserve">Others;Need forums that make associates feel heard and included;</t>
  </si>
  <si>
    <t xml:space="preserve">No Action;Maintain a live FAQ for hybrid/WFO and exceptions;</t>
  </si>
  <si>
    <t xml:space="preserve">XD298105@techmahindra.com</t>
  </si>
  <si>
    <t xml:space="preserve">Xiti Dora</t>
  </si>
  <si>
    <t xml:space="preserve">298105</t>
  </si>
  <si>
    <t xml:space="preserve">Need structured roles;Pride in social impact;</t>
  </si>
  <si>
    <t xml:space="preserve">CSR champions;</t>
  </si>
  <si>
    <t xml:space="preserve">All the queries were answered in the sessions</t>
  </si>
  <si>
    <t xml:space="preserve">VC879116@techmahindra.com</t>
  </si>
  <si>
    <t xml:space="preserve">Vasudha Cheema</t>
  </si>
  <si>
    <t xml:space="preserve">879116</t>
  </si>
  <si>
    <t xml:space="preserve">Induction Effectiveness;HR Process Clarity;Buddy / Support System;</t>
  </si>
  <si>
    <t xml:space="preserve">JD230614@techmahindra.com</t>
  </si>
  <si>
    <t xml:space="preserve">Jack Dhar</t>
  </si>
  <si>
    <t xml:space="preserve">Devika Oza</t>
  </si>
  <si>
    <t xml:space="preserve">230614</t>
  </si>
  <si>
    <t xml:space="preserve">Tiruppur</t>
  </si>
  <si>
    <t xml:space="preserve">Feedback Mechanism;Workload Management;</t>
  </si>
  <si>
    <t xml:space="preserve">VC649386@techmahindra.com</t>
  </si>
  <si>
    <t xml:space="preserve">Vamakshi Chatterjee</t>
  </si>
  <si>
    <t xml:space="preserve">649386</t>
  </si>
  <si>
    <t xml:space="preserve">NA;Not fully integrated with team collaboration channels;</t>
  </si>
  <si>
    <t xml:space="preserve">Explained the complete process to associates;Include in team rituals (scrum, meetings, discussions);</t>
  </si>
  <si>
    <t xml:space="preserve">EB507759@techmahindra.com</t>
  </si>
  <si>
    <t xml:space="preserve">Eiravati Bhavsar</t>
  </si>
  <si>
    <t xml:space="preserve">507759</t>
  </si>
  <si>
    <t xml:space="preserve">Guidance On Leave, Travel, And Exception Approvals;Queries On Performance Cycle Steps And Deadlines;Benefits, Insurance &amp; Wellbeing;</t>
  </si>
  <si>
    <t xml:space="preserve">Others;Connect for recognition;</t>
  </si>
  <si>
    <t xml:space="preserve">Feedback to be shared with IBU head;</t>
  </si>
  <si>
    <t xml:space="preserve">AO392042@techmahindra.com</t>
  </si>
  <si>
    <t xml:space="preserve">Arin Oza</t>
  </si>
  <si>
    <t xml:space="preserve">392042</t>
  </si>
  <si>
    <t xml:space="preserve">YV659580@techmahindra.com</t>
  </si>
  <si>
    <t xml:space="preserve">Yagnesh Varty</t>
  </si>
  <si>
    <t xml:space="preserve">659580</t>
  </si>
  <si>
    <t xml:space="preserve">NA;Add ‘Wall of Fame’ segment: delivery wins, customer shoutouts, milestone highlights;</t>
  </si>
  <si>
    <t xml:space="preserve">TK654584@techmahindra.com</t>
  </si>
  <si>
    <t xml:space="preserve">Turvi Kata</t>
  </si>
  <si>
    <t xml:space="preserve">654584</t>
  </si>
  <si>
    <t xml:space="preserve">QS494206@techmahindra.com</t>
  </si>
  <si>
    <t xml:space="preserve">Quincy Sankaran</t>
  </si>
  <si>
    <t xml:space="preserve">494206</t>
  </si>
  <si>
    <t xml:space="preserve">Queries related to WFO policy for bench associates and working without allocation.</t>
  </si>
  <si>
    <t xml:space="preserve">SS535997@techmahindra.com</t>
  </si>
  <si>
    <t xml:space="preserve">Shivani Sanghvi</t>
  </si>
  <si>
    <t xml:space="preserve">535997</t>
  </si>
  <si>
    <t xml:space="preserve">SM646403@techmahindra.com</t>
  </si>
  <si>
    <t xml:space="preserve">Samesh Mallick</t>
  </si>
  <si>
    <t xml:space="preserve">646403</t>
  </si>
  <si>
    <t xml:space="preserve">HY561228@techmahindra.com</t>
  </si>
  <si>
    <t xml:space="preserve">Harsh Yadav</t>
  </si>
  <si>
    <t xml:space="preserve">561228</t>
  </si>
  <si>
    <t xml:space="preserve">For Consolidated HR Communications Rather Than Scattered Upd;Guidance On Leave, Travel, And Exception Approvals;</t>
  </si>
  <si>
    <t xml:space="preserve">Need faster resolution for HR tickets and queries;Confusion on hybrid/WFO rules and monthly compliance expectations;</t>
  </si>
  <si>
    <t xml:space="preserve">Host open house hour for Q&amp;A and log unanswered items;</t>
  </si>
  <si>
    <t xml:space="preserve">RS459385@techmahindra.com</t>
  </si>
  <si>
    <t xml:space="preserve">Ronith Shankar</t>
  </si>
  <si>
    <t xml:space="preserve">459385</t>
  </si>
  <si>
    <t xml:space="preserve">HR Process Clarity;Tool &amp; System Access;Buddy / Support System;</t>
  </si>
  <si>
    <t xml:space="preserve">New joiners feel overwhelmed or unclear post induction;Limited understanding of organization structure and functions;</t>
  </si>
  <si>
    <t xml:space="preserve">DR329588@techmahindra.com</t>
  </si>
  <si>
    <t xml:space="preserve">Dhriti Rama</t>
  </si>
  <si>
    <t xml:space="preserve">329588</t>
  </si>
  <si>
    <t xml:space="preserve">Dharmavaram</t>
  </si>
  <si>
    <t xml:space="preserve">For Role Rotation (PM/PGM/architect);Aspirations &amp; Role Enhancement;Compensation &amp; Retention Risk;</t>
  </si>
  <si>
    <t xml:space="preserve">Not happy with no hike;Answer FAQs in next connect;</t>
  </si>
  <si>
    <t xml:space="preserve">TG400383@techmahindra.com</t>
  </si>
  <si>
    <t xml:space="preserve">Tanvi Gera</t>
  </si>
  <si>
    <t xml:space="preserve">400383</t>
  </si>
  <si>
    <t xml:space="preserve">Business &amp; Practice Awareness;Alignment on Role in Business Context;HR / WFM / Training Communication Effectiveness;</t>
  </si>
  <si>
    <t xml:space="preserve">FD186345@techmahindra.com</t>
  </si>
  <si>
    <t xml:space="preserve">Frado Desai</t>
  </si>
  <si>
    <t xml:space="preserve">186345</t>
  </si>
  <si>
    <t xml:space="preserve">Need more appreciation;Mixed stakeholder messages;</t>
  </si>
  <si>
    <t xml:space="preserve">DD785233@techmahindra.com</t>
  </si>
  <si>
    <t xml:space="preserve">Dalaja Dada</t>
  </si>
  <si>
    <t xml:space="preserve">785233</t>
  </si>
  <si>
    <t xml:space="preserve">Bench Policy &amp; Compliance Clarity;</t>
  </si>
  <si>
    <t xml:space="preserve">Associates request a single source of truth for bench guidelines;Unclear rules on working without formal allocation/PID;</t>
  </si>
  <si>
    <t xml:space="preserve">Explain timesheet/swipe exceptions process and escalation SPOCs;</t>
  </si>
  <si>
    <t xml:space="preserve">YR417242@techmahindra.com</t>
  </si>
  <si>
    <t xml:space="preserve">Yasti Rama</t>
  </si>
  <si>
    <t xml:space="preserve">417242</t>
  </si>
  <si>
    <t xml:space="preserve">Long-Term Role Alignment;Internal Growth Opportunities;</t>
  </si>
  <si>
    <t xml:space="preserve">LS255365@techmahindra.com</t>
  </si>
  <si>
    <t xml:space="preserve">Leela Sampath</t>
  </si>
  <si>
    <t xml:space="preserve">Vidhi Yogi</t>
  </si>
  <si>
    <t xml:space="preserve">255365</t>
  </si>
  <si>
    <t xml:space="preserve">Communication &amp; Transparency;Timely Policy/process Updates;</t>
  </si>
  <si>
    <t xml:space="preserve">Need clarity on growth opportunities;Mixed stakeholder messages;</t>
  </si>
  <si>
    <t xml:space="preserve">OS866793@techmahindra.com</t>
  </si>
  <si>
    <t xml:space="preserve">Ojas Suri</t>
  </si>
  <si>
    <t xml:space="preserve">866793</t>
  </si>
  <si>
    <t xml:space="preserve">Internal Mobility / Rotation Opportunities;Career Progression &amp; Next-Level Readiness;</t>
  </si>
  <si>
    <t xml:space="preserve">na;ELTPs want clarity on progression timelines and competencies for the next band/role;</t>
  </si>
  <si>
    <t xml:space="preserve">CP350588@techmahindra.com</t>
  </si>
  <si>
    <t xml:space="preserve">Chatresh Parmer</t>
  </si>
  <si>
    <t xml:space="preserve">350588</t>
  </si>
  <si>
    <t xml:space="preserve">Recognition Visibility;Business &amp; Strategy Clarity;</t>
  </si>
  <si>
    <t xml:space="preserve">Associates are unsure how unit goals translate into day-to-day delivery expectations;Org/structural updates are heard but not fully understood (what changes for me?);</t>
  </si>
  <si>
    <t xml:space="preserve">LH885813@techmahindra.com</t>
  </si>
  <si>
    <t xml:space="preserve">Laban Hayer</t>
  </si>
  <si>
    <t xml:space="preserve">885813</t>
  </si>
  <si>
    <t xml:space="preserve">NS660560@techmahindra.com</t>
  </si>
  <si>
    <t xml:space="preserve">Nilima Swamy</t>
  </si>
  <si>
    <t xml:space="preserve">660560</t>
  </si>
  <si>
    <t xml:space="preserve">VG522009@techmahindra.com</t>
  </si>
  <si>
    <t xml:space="preserve">Vrinda Ganesh</t>
  </si>
  <si>
    <t xml:space="preserve">522009</t>
  </si>
  <si>
    <t xml:space="preserve">Manager Connect Effectiveness;Learning Curve Support;Initial Engagement Level;</t>
  </si>
  <si>
    <t xml:space="preserve">TM240592@techmahindra.com</t>
  </si>
  <si>
    <t xml:space="preserve">Thomas Master</t>
  </si>
  <si>
    <t xml:space="preserve">240592</t>
  </si>
  <si>
    <t xml:space="preserve">Manager Effectiveness &amp; Delegation;</t>
  </si>
  <si>
    <t xml:space="preserve">BG481456@techmahindra.com</t>
  </si>
  <si>
    <t xml:space="preserve">Bhavya Ganguly</t>
  </si>
  <si>
    <t xml:space="preserve">Warhi Vaidya</t>
  </si>
  <si>
    <t xml:space="preserve">481456</t>
  </si>
  <si>
    <t xml:space="preserve">Chapra</t>
  </si>
  <si>
    <t xml:space="preserve">Alignment on Role in Business Context;Visibility on Allocation &amp; Demand;</t>
  </si>
  <si>
    <t xml:space="preserve">BS675601@techmahindra.com</t>
  </si>
  <si>
    <t xml:space="preserve">Benjamin Sastry</t>
  </si>
  <si>
    <t xml:space="preserve">675601</t>
  </si>
  <si>
    <t xml:space="preserve">Khandwa</t>
  </si>
  <si>
    <t xml:space="preserve">Buddy / Support System;HR Process Clarity;Tool &amp; System Access;</t>
  </si>
  <si>
    <t xml:space="preserve">CB450290@techmahindra.com</t>
  </si>
  <si>
    <t xml:space="preserve">Chameli Bali</t>
  </si>
  <si>
    <t xml:space="preserve">450290</t>
  </si>
  <si>
    <t xml:space="preserve">NA;Explained the complete process to associates;</t>
  </si>
  <si>
    <t xml:space="preserve">MMMM</t>
  </si>
  <si>
    <t xml:space="preserve">RD401636@techmahindra.com</t>
  </si>
  <si>
    <t xml:space="preserve">Reva Dalal</t>
  </si>
  <si>
    <t xml:space="preserve">401636</t>
  </si>
  <si>
    <t xml:space="preserve">Manager/Leadership Support;Aspirations &amp; Role Enhancement;Clarity on Org Changes &amp; Priorities;</t>
  </si>
  <si>
    <t xml:space="preserve">SP970287@techmahindra.com</t>
  </si>
  <si>
    <t xml:space="preserve">Shaurya Panchal</t>
  </si>
  <si>
    <t xml:space="preserve">970287</t>
  </si>
  <si>
    <t xml:space="preserve">Dehradun</t>
  </si>
  <si>
    <t xml:space="preserve">Engagement &amp; Belonging;Internal Growth Opportunities;Career Path Visibility;</t>
  </si>
  <si>
    <t xml:space="preserve">SB884674@techmahindra.com</t>
  </si>
  <si>
    <t xml:space="preserve">Samuel Bhargava</t>
  </si>
  <si>
    <t xml:space="preserve">884674</t>
  </si>
  <si>
    <t xml:space="preserve">Katihar</t>
  </si>
  <si>
    <t xml:space="preserve">KPI FORMULAS</t>
  </si>
  <si>
    <t xml:space="preserve">ENGAGEMENT TYPE</t>
  </si>
  <si>
    <t xml:space="preserve">SL x SEVERITY</t>
  </si>
  <si>
    <t xml:space="preserve">COVERAGE ISSUES (self-populating from Data_Summary)</t>
  </si>
  <si>
    <t xml:space="preserve">COVERAGE BREAKDOWN</t>
  </si>
  <si>
    <t xml:space="preserve">SESSION DISTRIBUTION BY COHORT</t>
  </si>
  <si>
    <t xml:space="preserve">TOP ORGANIZATIONAL CONCERNS (chart feed)</t>
  </si>
  <si>
    <t xml:space="preserve">ENGAGEMENT TYPE (sorted feed)</t>
  </si>
  <si>
    <t xml:space="preserve">COVERAGE STATEMENT FREQ</t>
  </si>
  <si>
    <t xml:space="preserve">KPI</t>
  </si>
  <si>
    <t xml:space="preserve">Value</t>
  </si>
  <si>
    <t xml:space="preserve">Type</t>
  </si>
  <si>
    <t xml:space="preserve">Count</t>
  </si>
  <si>
    <t xml:space="preserve">Total</t>
  </si>
  <si>
    <t xml:space="preserve">Coverage Issue</t>
  </si>
  <si>
    <t xml:space="preserve">BHR Count</t>
  </si>
  <si>
    <t xml:space="preserve">% of Sessions</t>
  </si>
  <si>
    <t xml:space="preserve">Top Engagement Type</t>
  </si>
  <si>
    <t xml:space="preserve">Engagement / Coverage Area</t>
  </si>
  <si>
    <t xml:space="preserve">Sessions Covered</t>
  </si>
  <si>
    <t xml:space="preserve">Cohort</t>
  </si>
  <si>
    <t xml:space="preserve">Sessions</t>
  </si>
  <si>
    <t xml:space="preserve">Concern</t>
  </si>
  <si>
    <t xml:space="preserve">Mentions</t>
  </si>
  <si>
    <t xml:space="preserve">Statement</t>
  </si>
  <si>
    <t xml:space="preserve">Total Sessions</t>
  </si>
  <si>
    <t xml:space="preserve">Open Concerns</t>
  </si>
  <si>
    <t xml:space="preserve">HR Connect (Project-Wise)</t>
  </si>
  <si>
    <t xml:space="preserve">In Progress</t>
  </si>
  <si>
    <t xml:space="preserve">New Joinee Connect (7 Days)</t>
  </si>
  <si>
    <t xml:space="preserve">Closed Actions</t>
  </si>
  <si>
    <t xml:space="preserve">High Severity</t>
  </si>
  <si>
    <t xml:space="preserve">Moderate Severity</t>
  </si>
  <si>
    <t xml:space="preserve">Low Severity</t>
  </si>
  <si>
    <t xml:space="preserve">Positive Sentiment</t>
  </si>
  <si>
    <t xml:space="preserve">Mixed Sentiment</t>
  </si>
  <si>
    <t xml:space="preserve">Account Based</t>
  </si>
  <si>
    <t xml:space="preserve">Neutral Sentiment</t>
  </si>
  <si>
    <t xml:space="preserve">Action Closure %</t>
  </si>
  <si>
    <t xml:space="preserve">Top Talent Connect (One to One) (Exclusives/Ascend/WLP/Mentor)</t>
  </si>
  <si>
    <t xml:space="preserve">Sentiment Score</t>
  </si>
  <si>
    <t xml:space="preserve">Top Talent FGD Connect (Exclusives/Ascend/WLP/Mentor)</t>
  </si>
  <si>
    <t xml:space="preserve">Total BHRs</t>
  </si>
  <si>
    <t xml:space="preserve">Total SLs</t>
  </si>
  <si>
    <t xml:space="preserve">Exclusives Award Ceremony (Not part of Townhall)</t>
  </si>
  <si>
    <t xml:space="preserve">Most Active SL</t>
  </si>
  <si>
    <t xml:space="preserve">ELTP Connect - Practice Level</t>
  </si>
  <si>
    <t xml:space="preserve">Top CARES Lever</t>
  </si>
  <si>
    <t xml:space="preserve">ELTP Connect (6- 12m)</t>
  </si>
  <si>
    <t xml:space="preserve">Open+InProgress</t>
  </si>
  <si>
    <t xml:space="preserve">SENTIMENT</t>
  </si>
  <si>
    <t xml:space="preserve">Label</t>
  </si>
  <si>
    <t xml:space="preserve">Top Talent FGD Connect (Ascend/WLP/Mentor)</t>
  </si>
  <si>
    <t xml:space="preserve">IBU Cadence Connect</t>
  </si>
  <si>
    <t xml:space="preserve">SEVERITY</t>
  </si>
  <si>
    <t xml:space="preserve">STATUS</t>
  </si>
  <si>
    <t xml:space="preserve">CARES</t>
  </si>
  <si>
    <t xml:space="preserve">ENGAGEMENT MODE</t>
  </si>
  <si>
    <t xml:space="preserve">Mode</t>
  </si>
  <si>
    <t xml:space="preserve">Raw</t>
  </si>
  <si>
    <t xml:space="preserve">In-person (Tech/Office)</t>
  </si>
  <si>
    <t xml:space="preserve">Virtual + In-person</t>
  </si>
  <si>
    <t xml:space="preserve">In-person (Client)</t>
  </si>
  <si>
    <t xml:space="preserve">ACTION ITEMS STATUS × SEVERITY  |  Data for Dashboard Chart</t>
  </si>
  <si>
    <t xml:space="preserve">TOP 10 OPEN + HIGH SEVERITY ISSUES  |  Dynamic — Auto-updates from SummaryData</t>
  </si>
  <si>
    <t xml:space="preserve">#</t>
  </si>
  <si>
    <t xml:space="preserve">Engagement Cohort</t>
  </si>
  <si>
    <t xml:space="preserve">Key Issue / Query</t>
  </si>
  <si>
    <t xml:space="preserve">EMPLOYEE PULSE  &amp;  ENGAGEMENT DASHBOARD</t>
  </si>
  <si>
    <t xml:space="preserve">May 2026  |  IBU: All</t>
  </si>
  <si>
    <t xml:space="preserve">Monthly HRBP–Business Cadence  |  Action-Oriented People Review</t>
  </si>
  <si>
    <t xml:space="preserve">TOTAL SESSIONS</t>
  </si>
  <si>
    <t xml:space="preserve">OPEN CONCERNS</t>
  </si>
  <si>
    <t xml:space="preserve">HIGH SEVERITY</t>
  </si>
  <si>
    <t xml:space="preserve">IN-PROGRESS</t>
  </si>
  <si>
    <t xml:space="preserve">ACTION CLOSURE %</t>
  </si>
  <si>
    <t xml:space="preserve">SENTIMENT SCORE</t>
  </si>
  <si>
    <t xml:space="preserve">ACTIVE BHRs</t>
  </si>
  <si>
    <t xml:space="preserve">SLs COVERED</t>
  </si>
  <si>
    <t xml:space="preserve">f</t>
  </si>
  <si>
    <t xml:space="preserve">MOST ACTIVE SERVICE LINE</t>
  </si>
  <si>
    <t xml:space="preserve">TOP CARES LEVER</t>
  </si>
  <si>
    <t xml:space="preserve">OPEN + IN-PROGRESS</t>
  </si>
  <si>
    <t xml:space="preserve">  ENGAGEMENT OVERVIEW</t>
  </si>
  <si>
    <t xml:space="preserve">  ENGAGEMENT MIX  |  Mode · Connect Type · Service-Line Risk</t>
  </si>
  <si>
    <t xml:space="preserve">  SERVICE LINE RISK HEATMAP  |  Severity by SL </t>
  </si>
  <si>
    <t xml:space="preserve">🍩  SESSION DISTRIBUTION  |  Share of sessions across engagement cohorts</t>
  </si>
  <si>
    <t xml:space="preserve">🚨  TOP 10 PRIORITY ISSUES  |  Ranked: High→Moderate→Low  ×  Open→In-Progress</t>
  </si>
  <si>
    <t xml:space="preserve">Key Issue / Engagement Query</t>
  </si>
  <si>
    <t xml:space="preserve">📊  ACTION ITEMS STATUS  |  Open · In-Progress · Closed  ×  Severity Level</t>
  </si>
  <si>
    <t xml:space="preserve">🔴 High</t>
  </si>
  <si>
    <t xml:space="preserve">🟡 Moderate</t>
  </si>
  <si>
    <t xml:space="preserve">🟢 Low</t>
  </si>
  <si>
    <t xml:space="preserve">🔍  TOP 10 COVERAGE ISSUES  |  Organization-wide discussion themes ranked by BHR coverage</t>
  </si>
  <si>
    <t xml:space="preserve">Coverage Area</t>
  </si>
  <si>
    <t xml:space="preserve">Associated Engagement Type</t>
  </si>
  <si>
    <t xml:space="preserve">🗣️  TOP ORGANIZATIONAL CONCERNS  |  What employees are talking about (top 10 recurring themes)</t>
  </si>
  <si>
    <t xml:space="preserve">⚖️  CARES LEVER BREAKDOWN  |  Sessions by Framework Pillar  ×  Severity + Action Owner</t>
  </si>
  <si>
    <t xml:space="preserve">CARES Lever</t>
  </si>
  <si>
    <t xml:space="preserve">High Sev</t>
  </si>
  <si>
    <t xml:space="preserve">Mod Sev</t>
  </si>
  <si>
    <t xml:space="preserve">Low Sev</t>
  </si>
  <si>
    <t xml:space="preserve">% of Total</t>
  </si>
  <si>
    <t xml:space="preserve">📍  ENGAGEMENT MODE &amp; TYPE  |  How and through what formats engagement happens</t>
  </si>
  <si>
    <t xml:space="preserve">Location Mentioned</t>
  </si>
  <si>
    <t xml:space="preserve">Practice Code</t>
  </si>
  <si>
    <t xml:space="preserve">Employee IBU Code</t>
  </si>
  <si>
    <t xml:space="preserve">Project Description</t>
  </si>
  <si>
    <t xml:space="preserve">Record Type</t>
  </si>
  <si>
    <t xml:space="preserve">Statement Order</t>
  </si>
  <si>
    <t xml:space="preserve">Coverage</t>
  </si>
  <si>
    <t xml:space="preserve">Review of ongoing concerns</t>
  </si>
  <si>
    <t xml:space="preserve">Key Insight</t>
  </si>
  <si>
    <t xml:space="preserve">No major concerns raised</t>
  </si>
  <si>
    <t xml:space="preserve">Minor process related queries</t>
  </si>
  <si>
    <t xml:space="preserve">Action Plan</t>
  </si>
  <si>
    <t xml:space="preserve">Continue regular check-ins</t>
  </si>
  <si>
    <t xml:space="preserve">Business &amp; Strategy Clarity</t>
  </si>
  <si>
    <t xml:space="preserve">Career Visibility &amp; Skill Roadmap</t>
  </si>
  <si>
    <t xml:space="preserve">AI/future Readiness Messaging Is High-level</t>
  </si>
  <si>
    <t xml:space="preserve">Associates are unsure how unit goals translate into day-to-day delivery expectations</t>
  </si>
  <si>
    <t xml:space="preserve">Capture workload hotspots and review with delivery leads for rebalancing</t>
  </si>
  <si>
    <t xml:space="preserve">Visibility on Allocation &amp; Demand</t>
  </si>
  <si>
    <t xml:space="preserve">Associates lack clarity on practice goals and IBU priorities</t>
  </si>
  <si>
    <t xml:space="preserve">HR/WFM/Training updates not actionable</t>
  </si>
  <si>
    <t xml:space="preserve">TLS SPOC had cleared all the queries w.r.t learning</t>
  </si>
  <si>
    <t xml:space="preserve">Provide FAQs, guides, refresher sessions</t>
  </si>
  <si>
    <t xml:space="preserve">General wellbeing check-in</t>
  </si>
  <si>
    <t xml:space="preserve">Associates are settling in well</t>
  </si>
  <si>
    <t xml:space="preserve">Share update with relevant stakeholder</t>
  </si>
  <si>
    <t xml:space="preserve">Connect for recognition</t>
  </si>
  <si>
    <t xml:space="preserve">Clarity On Role-based Learning Expectations</t>
  </si>
  <si>
    <t xml:space="preserve">On Hybrid/WFO Rules And Monthly Compliance Expectations</t>
  </si>
  <si>
    <t xml:space="preserve">Discussed on how to simply WFH exception requests and about various projects</t>
  </si>
  <si>
    <t xml:space="preserve">Share role-based learning pathways and recommended certifications</t>
  </si>
  <si>
    <t xml:space="preserve">Business Context &amp; Org Awareness</t>
  </si>
  <si>
    <t xml:space="preserve">Feedback is irregular or not tied to a rubric</t>
  </si>
  <si>
    <t xml:space="preserve">Run fortnightly utilization reviews with WFM + delivery owners to rebalance work</t>
  </si>
  <si>
    <t xml:space="preserve">Business &amp; Practice Awareness</t>
  </si>
  <si>
    <t xml:space="preserve">Low interaction and hesitation in raising questions</t>
  </si>
  <si>
    <t xml:space="preserve">Create consistent onboarding framework across practice</t>
  </si>
  <si>
    <t xml:space="preserve">Clarity on expectations</t>
  </si>
  <si>
    <t xml:space="preserve">Recognition &amp; Visibility</t>
  </si>
  <si>
    <t xml:space="preserve">Grievance/speak-up Clarity</t>
  </si>
  <si>
    <t xml:space="preserve">Empathy And Communication</t>
  </si>
  <si>
    <t xml:space="preserve">Need empathy and communication</t>
  </si>
  <si>
    <t xml:space="preserve">Grievance/speak-up clarity</t>
  </si>
  <si>
    <t xml:space="preserve">There werenot much queries</t>
  </si>
  <si>
    <t xml:space="preserve">Promote DEI initiatives</t>
  </si>
  <si>
    <t xml:space="preserve">Career Support &amp; Sponsorship</t>
  </si>
  <si>
    <t xml:space="preserve">Work-Life Balance &amp; Flexibility</t>
  </si>
  <si>
    <t xml:space="preserve">Inclusive team practices</t>
  </si>
  <si>
    <t xml:space="preserve">Reinforce speak-up channels</t>
  </si>
  <si>
    <t xml:space="preserve">Feedback on recent processes</t>
  </si>
  <si>
    <t xml:space="preserve">Monitor and follow up in next cycle</t>
  </si>
  <si>
    <t xml:space="preserve">AI Session</t>
  </si>
  <si>
    <t xml:space="preserve">Review Cadence</t>
  </si>
  <si>
    <t xml:space="preserve">Need AI/skill readiness</t>
  </si>
  <si>
    <t xml:space="preserve">Publish budget guidelines</t>
  </si>
  <si>
    <t xml:space="preserve">Identify hotspots</t>
  </si>
  <si>
    <t xml:space="preserve">Role Expectation Clarity</t>
  </si>
  <si>
    <t xml:space="preserve">Initial Engagement Level</t>
  </si>
  <si>
    <t xml:space="preserve">Most of the associates are undergoing trainings as there are FCTP's</t>
  </si>
  <si>
    <t xml:space="preserve">Delay or lack of clarity in project onboarding</t>
  </si>
  <si>
    <t xml:space="preserve">Define timeline for project allocation (max  0 days)</t>
  </si>
  <si>
    <t xml:space="preserve">Ensure weekly  :  connect with manager</t>
  </si>
  <si>
    <t xml:space="preserve">Learning &amp; Skill Building</t>
  </si>
  <si>
    <t xml:space="preserve">Inclusive Team Practices</t>
  </si>
  <si>
    <t xml:space="preserve">HR / WFM / Training Communication Effectiveness</t>
  </si>
  <si>
    <t xml:space="preserve">Timesheet Submission/approval Process Inconsistencies Create</t>
  </si>
  <si>
    <t xml:space="preserve">Workload &amp; Work-Life Balance</t>
  </si>
  <si>
    <t xml:space="preserve">Manager Support &amp; Local Leadership Effectiveness</t>
  </si>
  <si>
    <t xml:space="preserve">Timesheet submission/approval process inconsistencies create compliance risk</t>
  </si>
  <si>
    <t xml:space="preserve">Share project-specific policy FAQ (WFO, exceptions, leave, timesheet)</t>
  </si>
  <si>
    <t xml:space="preserve">Implement monthly recognition cadence (kudos, spotlight, customer praise)</t>
  </si>
  <si>
    <t xml:space="preserve">Internal Mobility / Rotation Opportunities</t>
  </si>
  <si>
    <t xml:space="preserve">Recognition &amp; Visibility of Growth</t>
  </si>
  <si>
    <t xml:space="preserve">Career Progression &amp; Next-Level Readiness</t>
  </si>
  <si>
    <t xml:space="preserve">Rotation/mobility interest is high but process and eligibility are unclear</t>
  </si>
  <si>
    <t xml:space="preserve">Highlight ELTP success stories + learning milestones in leadership forums/townhalls</t>
  </si>
  <si>
    <t xml:space="preserve">Run structured mobility/rotation sessions with examples and process FAQs</t>
  </si>
  <si>
    <t xml:space="preserve">Project Allocation Clarity</t>
  </si>
  <si>
    <t xml:space="preserve">Manager Connect Effectiveness</t>
  </si>
  <si>
    <t xml:space="preserve">Difficulty in understanding tools/processes</t>
  </si>
  <si>
    <t xml:space="preserve">Associates undergoing project training</t>
  </si>
  <si>
    <t xml:space="preserve">Discussion on team dynamics</t>
  </si>
  <si>
    <t xml:space="preserve">No specific action required</t>
  </si>
  <si>
    <t xml:space="preserve">Workload Management</t>
  </si>
  <si>
    <t xml:space="preserve">Skill gaps becoming visible during execution</t>
  </si>
  <si>
    <t xml:space="preserve">The associates had questions around WFH and leaves.</t>
  </si>
  <si>
    <t xml:space="preserve">Mandate structured monthly feedback from manager</t>
  </si>
  <si>
    <t xml:space="preserve">The associates had queries mainly related to WFH and leaves.</t>
  </si>
  <si>
    <t xml:space="preserve">Clarity on Org Changes &amp; Priorities</t>
  </si>
  <si>
    <t xml:space="preserve">No hike/VP alignment with performance</t>
  </si>
  <si>
    <t xml:space="preserve">Run quarterly nominations</t>
  </si>
  <si>
    <t xml:space="preserve">Need flexible arrangements during caregiving</t>
  </si>
  <si>
    <t xml:space="preserve">Leadership acknowledgment</t>
  </si>
  <si>
    <t xml:space="preserve">associates seek practical relevance</t>
  </si>
  <si>
    <t xml:space="preserve">Publish role-based learning paths (beginner/intermediate/advanced) with links</t>
  </si>
  <si>
    <t xml:space="preserve">Engagement &amp; Motivation Across Stages</t>
  </si>
  <si>
    <t xml:space="preserve">Career Clarity &amp; Growth Continuity</t>
  </si>
  <si>
    <t xml:space="preserve">Allocation &amp; Deployment Transparency</t>
  </si>
  <si>
    <t xml:space="preserve">Inconsistent visibility on allocation timelines and decision-making creates confusion across all ELTP groups</t>
  </si>
  <si>
    <t xml:space="preserve">Work with work force management and delivery closely to ensure the ELTP associates are mapped to projects once their trainings are completed</t>
  </si>
  <si>
    <t xml:space="preserve">Introduce ELTP engagement framework by stage: 0–6M → onboarding support, 6–M → performance alignment, –M → growth &amp; retention</t>
  </si>
  <si>
    <t xml:space="preserve">Career Path Visibility</t>
  </si>
  <si>
    <t xml:space="preserve">seat allocation</t>
  </si>
  <si>
    <t xml:space="preserve">Lack of awareness of internal opportunities</t>
  </si>
  <si>
    <t xml:space="preserve">Align role expectations vs aspiration through discussion</t>
  </si>
  <si>
    <t xml:space="preserve">shared CS SPOC details</t>
  </si>
  <si>
    <t xml:space="preserve">For Role Rotation (PM/PGM/architect)</t>
  </si>
  <si>
    <t xml:space="preserve">Recognition Equity &amp; Visibility</t>
  </si>
  <si>
    <t xml:space="preserve">Not happy with no hike</t>
  </si>
  <si>
    <t xml:space="preserve">slows improvement</t>
  </si>
  <si>
    <t xml:space="preserve">Team Integration</t>
  </si>
  <si>
    <t xml:space="preserve">Queries related to BGV check</t>
  </si>
  <si>
    <t xml:space="preserve">Upskilling for future roles</t>
  </si>
  <si>
    <t xml:space="preserve">Female assocaites in Haleon office are quite happy with the setup</t>
  </si>
  <si>
    <t xml:space="preserve">Description</t>
  </si>
  <si>
    <t xml:space="preserve">Timely Policy/process Updates</t>
  </si>
  <si>
    <t xml:space="preserve">Manager Effectiveness &amp; Delegation</t>
  </si>
  <si>
    <t xml:space="preserve">Communication &amp; Transparency</t>
  </si>
  <si>
    <t xml:space="preserve">Need timely policy/process updates</t>
  </si>
  <si>
    <t xml:space="preserve">Need clarity on growth opportunities</t>
  </si>
  <si>
    <t xml:space="preserve">Set comms cadence</t>
  </si>
  <si>
    <t xml:space="preserve">Standardize messaging</t>
  </si>
  <si>
    <t xml:space="preserve">Internal Growth Opportunities</t>
  </si>
  <si>
    <t xml:space="preserve">Share internal job/cross-skill opportunities</t>
  </si>
  <si>
    <t xml:space="preserve">ELTPs want clarity on progression timelines and competencies for the next band/role</t>
  </si>
  <si>
    <t xml:space="preserve">Leadership Communication &amp; Q&amp;A Effectiveness</t>
  </si>
  <si>
    <t xml:space="preserve">Org/structural updates are heard but not fully understood (what changes for me?)</t>
  </si>
  <si>
    <t xml:space="preserve">Need clearer articulation of business direction and priorities for the quarter</t>
  </si>
  <si>
    <t xml:space="preserve">Engagement with Leadership &amp; Confidence Level</t>
  </si>
  <si>
    <t xml:space="preserve">Associates unclear how their role contributes to business</t>
  </si>
  <si>
    <t xml:space="preserve">Checked the action plan for pending allocation of new joiners and highlighted to IBU head and it was closed</t>
  </si>
  <si>
    <t xml:space="preserve">Learning/cert Support Requests</t>
  </si>
  <si>
    <t xml:space="preserve">Team recognition cadence</t>
  </si>
  <si>
    <t xml:space="preserve">Recognition &amp; Motivation</t>
  </si>
  <si>
    <t xml:space="preserve">Associates seek clarity on role progression and career paths within the unit</t>
  </si>
  <si>
    <t xml:space="preserve">Add ‘Wall of Fame’ segment: delivery wins, customer shoutouts, milestone highlights</t>
  </si>
  <si>
    <t xml:space="preserve">Policy &amp; Process Clarity</t>
  </si>
  <si>
    <t xml:space="preserve">Strategic Connect</t>
  </si>
  <si>
    <t xml:space="preserve">Seat availability and office logistics impact productivity</t>
  </si>
  <si>
    <t xml:space="preserve">Coach managers on feedback, delegation, and communication</t>
  </si>
  <si>
    <t xml:space="preserve">Role Confidence Level</t>
  </si>
  <si>
    <t xml:space="preserve">Feedback Mechanism</t>
  </si>
  <si>
    <t xml:space="preserve">Include in team rituals (scrum, meetings, discussions)</t>
  </si>
  <si>
    <t xml:space="preserve">Recognition Visibility</t>
  </si>
  <si>
    <t xml:space="preserve">Work-Life &amp; Sustainability Signals</t>
  </si>
  <si>
    <t xml:space="preserve">Add a ‘What changes for teams’ section with 3–5 concrete takeaways</t>
  </si>
  <si>
    <t xml:space="preserve">Queries On Performance Cycle Steps And Deadlines</t>
  </si>
  <si>
    <t xml:space="preserve">Need simplified updates on policy changes and timelines</t>
  </si>
  <si>
    <t xml:space="preserve">Feedback to be shared with IBU head</t>
  </si>
  <si>
    <t xml:space="preserve">Recognition &amp; Engagement within Project</t>
  </si>
  <si>
    <t xml:space="preserve">On Leave/comp-off Due To Client Calendar Mismatches</t>
  </si>
  <si>
    <t xml:space="preserve">associates want clear routes</t>
  </si>
  <si>
    <t xml:space="preserve">Define issue escalation ladder and response SLAs</t>
  </si>
  <si>
    <t xml:space="preserve">Positive feedback overall</t>
  </si>
  <si>
    <t xml:space="preserve">Share a 1-page business snapshot (targets, priorities, key wins) post townhall</t>
  </si>
  <si>
    <t xml:space="preserve">Need equitable recognition</t>
  </si>
  <si>
    <t xml:space="preserve">Variation in how learning is translating into actual delivery readiness across different ELTP stages (early-stage ready, mid-stage struggling, late-stage stagnation)</t>
  </si>
  <si>
    <t xml:space="preserve">All the queries were resolved in the session</t>
  </si>
  <si>
    <t xml:space="preserve">BGV queries</t>
  </si>
  <si>
    <t xml:space="preserve">Explained the complete process to associates</t>
  </si>
  <si>
    <t xml:space="preserve">Stress &amp; Burnout Management</t>
  </si>
  <si>
    <t xml:space="preserve">Low awareness</t>
  </si>
  <si>
    <t xml:space="preserve">Flexibility alignment</t>
  </si>
  <si>
    <t xml:space="preserve">Workshops</t>
  </si>
  <si>
    <t xml:space="preserve">Wellbeing check-ins</t>
  </si>
  <si>
    <t xml:space="preserve">AI/future readiness messaging is high-level</t>
  </si>
  <si>
    <t xml:space="preserve">Tool &amp; System Access</t>
  </si>
  <si>
    <t xml:space="preserve">Initial Organization Understanding</t>
  </si>
  <si>
    <t xml:space="preserve">Delays in access to systems/tools required for work</t>
  </si>
  <si>
    <t xml:space="preserve">New joiners feel overwhelmed or unclear post induction</t>
  </si>
  <si>
    <t xml:space="preserve">Hybrid working policy was explained in detail</t>
  </si>
  <si>
    <t xml:space="preserve">Implement Day-1 access checklist tracking (IT + Admin)</t>
  </si>
  <si>
    <t xml:space="preserve">Learning Curve Support</t>
  </si>
  <si>
    <t xml:space="preserve">Limited clarity on policies (leave, WFO, reporting)</t>
  </si>
  <si>
    <t xml:space="preserve">Share org structure + “who does what” quick guide</t>
  </si>
  <si>
    <t xml:space="preserve">Long-Term Role Alignment</t>
  </si>
  <si>
    <t xml:space="preserve">Improve team engagement (inclusion, recognition)</t>
  </si>
  <si>
    <t xml:space="preserve">BGV</t>
  </si>
  <si>
    <t xml:space="preserve">Infrastructure / Workplace Enablement</t>
  </si>
  <si>
    <t xml:space="preserve">Generic discussion about the account with the leads</t>
  </si>
  <si>
    <t xml:space="preserve">All the queries were resolved in the ODC COnnect</t>
  </si>
  <si>
    <t xml:space="preserve">Monthly Cadence IBU Head coverage on HC, Attrition, eltp and Bench</t>
  </si>
  <si>
    <t xml:space="preserve">Need guidance on leave, travel, and exception approvals</t>
  </si>
  <si>
    <t xml:space="preserve">Send monthly HR bulletin with key updates and links</t>
  </si>
  <si>
    <t xml:space="preserve">It was a general discussion with the IBU Head on the pulse at ground level</t>
  </si>
  <si>
    <t xml:space="preserve">Not fully integrated with team collaboration channels</t>
  </si>
  <si>
    <t xml:space="preserve">Guidance On Leave, Travel, And Exception Approvals</t>
  </si>
  <si>
    <t xml:space="preserve">No Action</t>
  </si>
  <si>
    <t xml:space="preserve">Issues with respect to applying leaves and communication regarding leaves to the managers</t>
  </si>
  <si>
    <t xml:space="preserve">HR and Delivery Head clarified on org level communication on appraisals</t>
  </si>
  <si>
    <t xml:space="preserve">All were resolved in the ODC connect</t>
  </si>
  <si>
    <t xml:space="preserve">Engagement &amp; Belonging</t>
  </si>
  <si>
    <t xml:space="preserve">Connect with Practice head, associates were happy with the session and interaction opportunity with practice head.</t>
  </si>
  <si>
    <t xml:space="preserve">Induction Effectiveness</t>
  </si>
  <si>
    <t xml:space="preserve">Buddy / Support System</t>
  </si>
  <si>
    <t xml:space="preserve">Assign buddy with defined responsibilities for 2 weeks</t>
  </si>
  <si>
    <t xml:space="preserve">Recurring questions on WFO/WFH expectations and exception handling</t>
  </si>
  <si>
    <t xml:space="preserve">HR Process Clarity</t>
  </si>
  <si>
    <t xml:space="preserve">Standardize induction deck + post-induction summary mail</t>
  </si>
  <si>
    <t xml:space="preserve">Run a follow-up FAQ mailer and route unanswered questions to SPOCs</t>
  </si>
  <si>
    <t xml:space="preserve">Action Closure Discipline</t>
  </si>
  <si>
    <t xml:space="preserve">Work with AI Agents</t>
  </si>
  <si>
    <t xml:space="preserve">BGV related queries</t>
  </si>
  <si>
    <t xml:space="preserve">Lack of continuous career communication leads to: confusion in early stage, direction gap in mid-stage, retention risk in later stage</t>
  </si>
  <si>
    <t xml:space="preserve">AI Workshop By Natesh</t>
  </si>
  <si>
    <t xml:space="preserve">Answer FAQs in next connect</t>
  </si>
  <si>
    <t xml:space="preserve">Learning &amp; Career Enablement</t>
  </si>
  <si>
    <t xml:space="preserve">Need guidance on learning platforms and certification options</t>
  </si>
  <si>
    <t xml:space="preserve">Limited structured interaction with reporting manager</t>
  </si>
  <si>
    <t xml:space="preserve">Need faster issue resolution and proactive manager check-ins</t>
  </si>
  <si>
    <t xml:space="preserve">Run a monthly policy + compliance refresher for the project</t>
  </si>
  <si>
    <t xml:space="preserve">Culture &amp; Engagement</t>
  </si>
  <si>
    <t xml:space="preserve">Host open house hour for Q&amp;A and log unanswered items</t>
  </si>
  <si>
    <t xml:space="preserve">Escalation handling is inconsistent</t>
  </si>
  <si>
    <t xml:space="preserve">Addressing concerns on allocation issues</t>
  </si>
  <si>
    <t xml:space="preserve">Clarity On Appraisal/performance Timelines And Edge Cases</t>
  </si>
  <si>
    <t xml:space="preserve">Need clarity on appraisal/performance timelines and edge cases</t>
  </si>
  <si>
    <t xml:space="preserve">Review workload hotspots with PGM/RM and rebalance capacity</t>
  </si>
  <si>
    <t xml:space="preserve">Mixed stakeholder messages</t>
  </si>
  <si>
    <t xml:space="preserve">Compensation &amp; Retention Risk</t>
  </si>
  <si>
    <t xml:space="preserve">Associates were curious to know about salary increments</t>
  </si>
  <si>
    <t xml:space="preserve">Need more appreciation</t>
  </si>
  <si>
    <t xml:space="preserve">Define capability targets</t>
  </si>
  <si>
    <t xml:space="preserve">Alignment on Role in Business Context</t>
  </si>
  <si>
    <t xml:space="preserve">Publish post-induction roadmap (Day 1–30)</t>
  </si>
  <si>
    <t xml:space="preserve">Need clarity on role-based learning expectations</t>
  </si>
  <si>
    <t xml:space="preserve">New IBU- Introduction to HR Team and new leadership</t>
  </si>
  <si>
    <t xml:space="preserve">Share HR FAQ document + SPOC contact sheet</t>
  </si>
  <si>
    <t xml:space="preserve">All the queries were resolved in the ODC Connect</t>
  </si>
  <si>
    <t xml:space="preserve">Had one on one with IBU head first time of SNOW Europe</t>
  </si>
  <si>
    <t xml:space="preserve">Know your Service Line 'AI Strategy &amp; Business Vision' from Mr. Natesh P</t>
  </si>
  <si>
    <t xml:space="preserve">need to have diversity</t>
  </si>
  <si>
    <t xml:space="preserve">Guidance on timesheet</t>
  </si>
  <si>
    <t xml:space="preserve">detailed discussion on monthly cadence</t>
  </si>
  <si>
    <t xml:space="preserve">Benefits, Insurance &amp; Wellbeing</t>
  </si>
  <si>
    <t xml:space="preserve">Need faster resolution for HR tickets and queries</t>
  </si>
  <si>
    <t xml:space="preserve">Maintain a live FAQ for hybrid/WFO and exceptions</t>
  </si>
  <si>
    <t xml:space="preserve">Communicated to the teams on the importance of communication and transparency</t>
  </si>
  <si>
    <t xml:space="preserve">no specific requisites.</t>
  </si>
  <si>
    <t xml:space="preserve">Flexibility Alignment</t>
  </si>
  <si>
    <t xml:space="preserve">Workload escalation guidance</t>
  </si>
  <si>
    <t xml:space="preserve">For Consolidated HR Communications Rather Than Scattered Upd</t>
  </si>
  <si>
    <t xml:space="preserve">Generic Queries</t>
  </si>
  <si>
    <t xml:space="preserve">Others</t>
  </si>
  <si>
    <t xml:space="preserve">Support Program Utilization</t>
  </si>
  <si>
    <t xml:space="preserve">Volunteer Enablement</t>
  </si>
  <si>
    <t xml:space="preserve">CSR Alignment</t>
  </si>
  <si>
    <t xml:space="preserve">Pride &amp; Purpose</t>
  </si>
  <si>
    <t xml:space="preserve">Need structured roles</t>
  </si>
  <si>
    <t xml:space="preserve">Align with company values</t>
  </si>
  <si>
    <t xml:space="preserve">CSR champions</t>
  </si>
  <si>
    <t xml:space="preserve">Skill volunteering catalog</t>
  </si>
  <si>
    <t xml:space="preserve">Manager/Leadership Support</t>
  </si>
  <si>
    <t xml:space="preserve">Rules On Working Without Formal Allocation/PID</t>
  </si>
  <si>
    <t xml:space="preserve">Job Security &amp; Anxiety Management</t>
  </si>
  <si>
    <t xml:space="preserve">Delay in interview feedback creates uncertainty and repeated follow-ups</t>
  </si>
  <si>
    <t xml:space="preserve">Prolonged bench duration triggers anxiety about future within the org</t>
  </si>
  <si>
    <t xml:space="preserve">No specific action, discussion closed during the connect</t>
  </si>
  <si>
    <t xml:space="preserve">Everything was fine, people were having general queries</t>
  </si>
  <si>
    <t xml:space="preserve">Engagement Plan Alignment</t>
  </si>
  <si>
    <t xml:space="preserve">Talent Pipeline &amp; Capability Building</t>
  </si>
  <si>
    <t xml:space="preserve">Burnout signals</t>
  </si>
  <si>
    <t xml:space="preserve">Monthly dashboard review</t>
  </si>
  <si>
    <t xml:space="preserve">Self-Service &amp; Issue Resolution</t>
  </si>
  <si>
    <t xml:space="preserve">General HR connect</t>
  </si>
  <si>
    <t xml:space="preserve">Allocation Visibility &amp; Process</t>
  </si>
  <si>
    <t xml:space="preserve">Delay In Interview Feedback Creates Uncertainty And Repeated</t>
  </si>
  <si>
    <t xml:space="preserve">Confusion on WFO mandate and expectations during bench</t>
  </si>
  <si>
    <t xml:space="preserve">Set realistic milestones (profile update, learning, interviews) per associate</t>
  </si>
  <si>
    <t xml:space="preserve">Limited understanding of organization structure and functions</t>
  </si>
  <si>
    <t xml:space="preserve">Need forums that make associates feel heard and included</t>
  </si>
  <si>
    <t xml:space="preserve">SL org structure</t>
  </si>
  <si>
    <t xml:space="preserve">Publish a calendar of HR deadlines (PMS, insurance, declarations)</t>
  </si>
  <si>
    <t xml:space="preserve">Request for consolidated HR communications rather than scattered updates</t>
  </si>
  <si>
    <t xml:space="preserve">Finalize plan with owners/deadlines</t>
  </si>
  <si>
    <t xml:space="preserve">Pride in social impact</t>
  </si>
  <si>
    <t xml:space="preserve">Practice Head Connect with P1 and Above at Pune</t>
  </si>
  <si>
    <t xml:space="preserve">Queries on medical insurance options, premium deductions, lock-in rules</t>
  </si>
  <si>
    <t xml:space="preserve">Confusion on hybrid/WFO rules and monthly compliance expectations</t>
  </si>
  <si>
    <t xml:space="preserve">Bench associates feel disconnected from teams and recognition cycles</t>
  </si>
  <si>
    <t xml:space="preserve">Answered all the queries</t>
  </si>
  <si>
    <t xml:space="preserve">Aspirations &amp; Role Enhancement</t>
  </si>
  <si>
    <t xml:space="preserve">Bench Policy &amp; Compliance Clarity</t>
  </si>
  <si>
    <t xml:space="preserve">Associates request a single source of truth for bench guidelines</t>
  </si>
  <si>
    <t xml:space="preserve">Unclear rules on working without formal allocation/PID</t>
  </si>
  <si>
    <t xml:space="preserve">Explain timesheet/swipe exceptions process and escalation SPOCs</t>
  </si>
  <si>
    <t xml:space="preserve">Selected Connect</t>
  </si>
  <si>
    <t xml:space="preserve">Matched Connect Name</t>
  </si>
  <si>
    <t xml:space="preserve">Coverage 2</t>
  </si>
  <si>
    <t xml:space="preserve">Coverage 3</t>
  </si>
  <si>
    <t xml:space="preserve">Coverage 4</t>
  </si>
  <si>
    <t xml:space="preserve">Coverage 5</t>
  </si>
  <si>
    <t xml:space="preserve">Coverage 6</t>
  </si>
  <si>
    <t xml:space="preserve">Coverage 7</t>
  </si>
  <si>
    <t xml:space="preserve">Action Plan 2</t>
  </si>
  <si>
    <t xml:space="preserve">Action Plan 3</t>
  </si>
  <si>
    <t xml:space="preserve">Action Plan 4</t>
  </si>
  <si>
    <t xml:space="preserve">Column1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</si>
</sst>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m/d/yyyy"/>
    <numFmt numFmtId="166" formatCode="General"/>
    <numFmt numFmtId="167" formatCode="0.0%"/>
    <numFmt numFmtId="168" formatCode="0%"/>
    <numFmt numFmtId="169" formatCode="0.00%"/>
    <numFmt numFmtId="170" formatCode="0"/>
    <numFmt numFmtId="171" formatCode="0.0"/>
    <numFmt numFmtId="172" formatCode="yyyy\-mm\-dd\ hh:mm:ss"/>
    <numFmt numFmtId="173" formatCode="yyyy\-mm\-dd\ h:mm:ss"/>
    <numFmt numFmtId="174" formatCode="h:mm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2"/>
      <charset val="1"/>
    </font>
    <font>
      <sz val="8"/>
      <color theme="1"/>
      <name val="Arial"/>
      <family val="2"/>
      <charset val="1"/>
    </font>
    <font>
      <b val="true"/>
      <sz val="8"/>
      <color rgb="FFFFFFFF"/>
      <name val="Arial"/>
      <family val="2"/>
      <charset val="1"/>
    </font>
    <font>
      <b val="true"/>
      <sz val="8"/>
      <color theme="0"/>
      <name val="Arial"/>
      <family val="2"/>
      <charset val="1"/>
    </font>
    <font>
      <sz val="10"/>
      <color theme="1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0"/>
      <color theme="0"/>
      <name val="Arial"/>
      <family val="2"/>
      <charset val="1"/>
    </font>
    <font>
      <b val="true"/>
      <sz val="10"/>
      <color rgb="FF1A1A2E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10"/>
      <color rgb="FF1A1A2E"/>
      <name val="Calibri"/>
      <family val="2"/>
      <charset val="1"/>
    </font>
    <font>
      <sz val="10"/>
      <color rgb="FF0070C0"/>
      <name val="Calibri"/>
      <family val="2"/>
      <charset val="1"/>
    </font>
    <font>
      <sz val="10"/>
      <color rgb="FF1A1A2E"/>
      <name val="Calibri"/>
      <family val="2"/>
      <charset val="1"/>
    </font>
    <font>
      <b val="true"/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999999"/>
      <name val="Calibri"/>
      <family val="2"/>
      <charset val="1"/>
    </font>
    <font>
      <sz val="10"/>
      <color rgb="FFBFBFBF"/>
      <name val="Calibri"/>
      <family val="2"/>
      <charset val="1"/>
    </font>
    <font>
      <b val="true"/>
      <sz val="10"/>
      <color rgb="FFC00000"/>
      <name val="Calibri"/>
      <family val="2"/>
      <charset val="1"/>
    </font>
    <font>
      <b val="true"/>
      <sz val="10"/>
      <color rgb="FFFF9900"/>
      <name val="Calibri"/>
      <family val="2"/>
      <charset val="1"/>
    </font>
    <font>
      <b val="true"/>
      <sz val="10"/>
      <color rgb="FF375623"/>
      <name val="Calibri"/>
      <family val="2"/>
      <charset val="1"/>
    </font>
    <font>
      <i val="true"/>
      <sz val="10"/>
      <color rgb="FF595959"/>
      <name val="Calibri"/>
      <family val="2"/>
      <charset val="1"/>
    </font>
    <font>
      <sz val="10"/>
      <color rgb="FF7B3F00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595959"/>
      <name val="Calibri"/>
      <family val="2"/>
    </font>
    <font>
      <b val="true"/>
      <sz val="20"/>
      <color rgb="FFFFFFFF"/>
      <name val="Arial"/>
      <family val="2"/>
      <charset val="1"/>
    </font>
    <font>
      <sz val="9"/>
      <color rgb="FF9999BB"/>
      <name val="Arial"/>
      <family val="2"/>
      <charset val="1"/>
    </font>
    <font>
      <i val="true"/>
      <sz val="10"/>
      <color rgb="FFBBBBDD"/>
      <name val="Arial"/>
      <family val="2"/>
      <charset val="1"/>
    </font>
    <font>
      <sz val="8"/>
      <color rgb="FF70C070"/>
      <name val="Arial"/>
      <family val="2"/>
      <charset val="1"/>
    </font>
    <font>
      <b val="true"/>
      <sz val="26"/>
      <color rgb="FF1A1A2E"/>
      <name val="Arial"/>
      <family val="2"/>
      <charset val="1"/>
    </font>
    <font>
      <b val="true"/>
      <sz val="26"/>
      <color rgb="FFE31837"/>
      <name val="Arial"/>
      <family val="2"/>
      <charset val="1"/>
    </font>
    <font>
      <b val="true"/>
      <sz val="26"/>
      <color rgb="FFF5A623"/>
      <name val="Arial"/>
      <family val="2"/>
      <charset val="1"/>
    </font>
    <font>
      <b val="true"/>
      <sz val="26"/>
      <color rgb="FF27AE60"/>
      <name val="Arial"/>
      <family val="2"/>
      <charset val="1"/>
    </font>
    <font>
      <b val="true"/>
      <sz val="26"/>
      <color rgb="FF2980B9"/>
      <name val="Arial"/>
      <family val="2"/>
      <charset val="1"/>
    </font>
    <font>
      <b val="true"/>
      <sz val="10"/>
      <color rgb="FF4A4A6A"/>
      <name val="Arial"/>
      <family val="2"/>
      <charset val="1"/>
    </font>
    <font>
      <b val="true"/>
      <sz val="11"/>
      <color rgb="FFC00000"/>
      <name val="Arial"/>
      <family val="2"/>
      <charset val="1"/>
    </font>
    <font>
      <b val="true"/>
      <sz val="11"/>
      <color rgb="FFE31837"/>
      <name val="Arial"/>
      <family val="2"/>
      <charset val="1"/>
    </font>
    <font>
      <b val="true"/>
      <sz val="16"/>
      <color rgb="FFE31837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1"/>
      <name val="Cambria"/>
      <family val="1"/>
      <charset val="1"/>
    </font>
    <font>
      <b val="true"/>
      <sz val="11"/>
      <color rgb="FFFFFFFF"/>
      <name val="Cambria"/>
      <family val="1"/>
      <charset val="1"/>
    </font>
    <font>
      <b val="true"/>
      <sz val="8"/>
      <color rgb="FFC0392B"/>
      <name val="Arial"/>
      <family val="2"/>
      <charset val="1"/>
    </font>
    <font>
      <sz val="8"/>
      <color rgb="FF999999"/>
      <name val="Arial"/>
      <family val="2"/>
      <charset val="1"/>
    </font>
    <font>
      <b val="true"/>
      <sz val="9"/>
      <color rgb="FFFFFFFF"/>
      <name val="Cambria"/>
      <family val="1"/>
      <charset val="1"/>
    </font>
    <font>
      <b val="true"/>
      <sz val="11"/>
      <name val="Cambria"/>
      <family val="1"/>
      <charset val="1"/>
    </font>
    <font>
      <b val="true"/>
      <sz val="11"/>
      <color rgb="FFC00000"/>
      <name val="Cambria"/>
      <family val="1"/>
      <charset val="1"/>
    </font>
    <font>
      <sz val="11"/>
      <color rgb="FF7B3F00"/>
      <name val="Cambria"/>
      <family val="1"/>
      <charset val="1"/>
    </font>
    <font>
      <b val="true"/>
      <sz val="10"/>
      <color rgb="FFFFFFFF"/>
      <name val="Cambria"/>
      <family val="1"/>
      <charset val="1"/>
    </font>
    <font>
      <sz val="9"/>
      <color rgb="FF1A1A2E"/>
      <name val="Arial"/>
      <family val="2"/>
      <charset val="1"/>
    </font>
    <font>
      <b val="true"/>
      <sz val="11"/>
      <color rgb="FF4472C4"/>
      <name val="Cambria"/>
      <family val="1"/>
      <charset val="1"/>
    </font>
    <font>
      <sz val="11"/>
      <color rgb="FFC00000"/>
      <name val="Cambria"/>
      <family val="1"/>
      <charset val="1"/>
    </font>
    <font>
      <sz val="11"/>
      <color rgb="FFFF9900"/>
      <name val="Cambria"/>
      <family val="1"/>
      <charset val="1"/>
    </font>
    <font>
      <sz val="11"/>
      <color rgb="FF375623"/>
      <name val="Cambria"/>
      <family val="1"/>
      <charset val="1"/>
    </font>
    <font>
      <b val="true"/>
      <sz val="11"/>
      <color rgb="FF70AD47"/>
      <name val="Cambria"/>
      <family val="1"/>
      <charset val="1"/>
    </font>
    <font>
      <b val="true"/>
      <sz val="11"/>
      <color rgb="FFFF9900"/>
      <name val="Cambria"/>
      <family val="1"/>
      <charset val="1"/>
    </font>
    <font>
      <b val="true"/>
      <sz val="11"/>
      <color rgb="FFED7D31"/>
      <name val="Cambria"/>
      <family val="1"/>
      <charset val="1"/>
    </font>
    <font>
      <b val="true"/>
      <sz val="11"/>
      <color rgb="FFFF0000"/>
      <name val="Cambria"/>
      <family val="1"/>
      <charset val="1"/>
    </font>
    <font>
      <i val="true"/>
      <sz val="9"/>
      <color rgb="FF595959"/>
      <name val="Cambria"/>
      <family val="1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000000"/>
      <name val="Calibri"/>
      <family val="2"/>
    </font>
    <font>
      <b val="true"/>
      <sz val="8"/>
      <color rgb="FF000000"/>
      <name val="Calibri"/>
      <family val="2"/>
    </font>
    <font>
      <b val="true"/>
      <sz val="10.5"/>
      <color rgb="FF000000"/>
      <name val="Calibri"/>
      <family val="2"/>
    </font>
    <font>
      <b val="true"/>
      <sz val="11"/>
      <color rgb="FFFFFFFF"/>
      <name val="Calibri"/>
      <family val="2"/>
      <charset val="1"/>
    </font>
  </fonts>
  <fills count="28">
    <fill>
      <patternFill patternType="none"/>
    </fill>
    <fill>
      <patternFill patternType="gray125"/>
    </fill>
    <fill>
      <patternFill patternType="solid">
        <fgColor rgb="FF1A1A2E"/>
        <bgColor rgb="FF153063"/>
      </patternFill>
    </fill>
    <fill>
      <patternFill patternType="solid">
        <fgColor theme="0"/>
        <bgColor rgb="FFF9FAFB"/>
      </patternFill>
    </fill>
    <fill>
      <patternFill patternType="solid">
        <fgColor rgb="FF153063"/>
        <bgColor rgb="FF1D3664"/>
      </patternFill>
    </fill>
    <fill>
      <patternFill patternType="solid">
        <fgColor rgb="FF484868"/>
        <bgColor rgb="FF4A4A6A"/>
      </patternFill>
    </fill>
    <fill>
      <patternFill patternType="solid">
        <fgColor rgb="FF375623"/>
        <bgColor rgb="FF5A595B"/>
      </patternFill>
    </fill>
    <fill>
      <patternFill patternType="solid">
        <fgColor rgb="FFF0FFF0"/>
        <bgColor rgb="FFF9FAFB"/>
      </patternFill>
    </fill>
    <fill>
      <patternFill patternType="solid">
        <fgColor rgb="FFBC0001"/>
        <bgColor rgb="FFC00000"/>
      </patternFill>
    </fill>
    <fill>
      <patternFill patternType="solid">
        <fgColor rgb="FFFFF2CC"/>
        <bgColor rgb="FFFDECEA"/>
      </patternFill>
    </fill>
    <fill>
      <patternFill patternType="solid">
        <fgColor rgb="FFE31837"/>
        <bgColor rgb="FFFF0000"/>
      </patternFill>
    </fill>
    <fill>
      <patternFill patternType="mediumGray">
        <fgColor rgb="FFBC3B2F"/>
        <bgColor rgb="FFC0392B"/>
      </patternFill>
    </fill>
    <fill>
      <patternFill patternType="solid">
        <fgColor rgb="FFF9AB13"/>
        <bgColor rgb="FFF6A424"/>
      </patternFill>
    </fill>
    <fill>
      <patternFill patternType="solid">
        <fgColor rgb="FF27AE60"/>
        <bgColor rgb="FF3995B3"/>
      </patternFill>
    </fill>
    <fill>
      <patternFill patternType="solid">
        <fgColor rgb="FF3B82B9"/>
        <bgColor rgb="FF2980B9"/>
      </patternFill>
    </fill>
    <fill>
      <patternFill patternType="solid">
        <fgColor rgb="FFF5F5F7"/>
        <bgColor rgb="FFEFF5FB"/>
      </patternFill>
    </fill>
    <fill>
      <patternFill patternType="solid">
        <fgColor rgb="FF1D3664"/>
        <bgColor rgb="FF153063"/>
      </patternFill>
    </fill>
    <fill>
      <patternFill patternType="solid">
        <fgColor rgb="FFF9FAFB"/>
        <bgColor rgb="FFF5F5F7"/>
      </patternFill>
    </fill>
    <fill>
      <patternFill patternType="solid">
        <fgColor rgb="FFFDECEA"/>
        <bgColor rgb="FFF3E5F5"/>
      </patternFill>
    </fill>
    <fill>
      <patternFill patternType="solid">
        <fgColor rgb="FFFCE4D6"/>
        <bgColor rgb="FFFDECEA"/>
      </patternFill>
    </fill>
    <fill>
      <patternFill patternType="solid">
        <fgColor rgb="FFE2EFDA"/>
        <bgColor rgb="FFE1EAF1"/>
      </patternFill>
    </fill>
    <fill>
      <patternFill patternType="solid">
        <fgColor rgb="FF4A77C4"/>
        <bgColor rgb="FF4471C0"/>
      </patternFill>
    </fill>
    <fill>
      <patternFill patternType="solid">
        <fgColor rgb="FF6A0572"/>
        <bgColor rgb="FF1A1A2E"/>
      </patternFill>
    </fill>
    <fill>
      <patternFill patternType="solid">
        <fgColor rgb="FFF3E5F5"/>
        <bgColor rgb="FFFDECEA"/>
      </patternFill>
    </fill>
    <fill>
      <patternFill patternType="solid">
        <fgColor rgb="FF264478"/>
        <bgColor rgb="FF1F4E78"/>
      </patternFill>
    </fill>
    <fill>
      <patternFill patternType="solid">
        <fgColor rgb="FFE1EAF1"/>
        <bgColor rgb="FFE2EFDA"/>
      </patternFill>
    </fill>
    <fill>
      <patternFill patternType="solid">
        <fgColor rgb="FFEFF5FB"/>
        <bgColor rgb="FFF5F5F7"/>
      </patternFill>
    </fill>
    <fill>
      <patternFill patternType="solid">
        <fgColor rgb="FF1F4E78"/>
        <bgColor rgb="FF264478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rgb="FFBFBFC6"/>
      </left>
      <right style="thin">
        <color rgb="FFBFBFC6"/>
      </right>
      <top style="thin">
        <color rgb="FFBFBFC6"/>
      </top>
      <bottom style="thin">
        <color rgb="FFBFBFC6"/>
      </bottom>
      <diagonal/>
    </border>
    <border diagonalUp="false" diagonalDown="false">
      <left style="thin">
        <color rgb="FFE0E0E1"/>
      </left>
      <right style="thin">
        <color rgb="FFE0E0E1"/>
      </right>
      <top style="thin">
        <color rgb="FFE0E0E1"/>
      </top>
      <bottom style="thin">
        <color rgb="FFE0E0E1"/>
      </bottom>
      <diagonal/>
    </border>
    <border diagonalUp="false" diagonalDown="false">
      <left style="thin">
        <color rgb="FFD7D8D8"/>
      </left>
      <right style="thin">
        <color rgb="FFD7D8D8"/>
      </right>
      <top style="thin">
        <color rgb="FFD7D8D8"/>
      </top>
      <bottom style="thin">
        <color rgb="FFD7D8D8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 diagonalUp="false" diagonalDown="false"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 diagonalUp="false" diagonalDown="false"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9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2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4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0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1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2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2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2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3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0" fillId="6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7" fillId="19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19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9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9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2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2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2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1" fillId="1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15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1" fillId="1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1" fillId="1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3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1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1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1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5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3" fillId="22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3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3" fillId="2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0" fillId="22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2" fillId="2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7" fillId="2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3" fillId="2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4" fillId="2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5" fillId="2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6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7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3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4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5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7" fillId="2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2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2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3" fillId="2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2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24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2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2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7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7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7" fillId="2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7" fillId="2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7" fillId="2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7" fillId="27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5">
    <dxf>
      <fill>
        <patternFill patternType="solid">
          <fgColor rgb="FF1A1A2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4E78"/>
          <bgColor rgb="FF000000"/>
        </patternFill>
      </fill>
    </dxf>
  </dxfs>
  <colors>
    <indexedColors>
      <rgbColor rgb="FF000000"/>
      <rgbColor rgb="FFFFFFFF"/>
      <rgbColor rgb="FFFF0000"/>
      <rgbColor rgb="FF77C06C"/>
      <rgbColor rgb="FF4A77C4"/>
      <rgbColor rgb="FFE0E0E1"/>
      <rgbColor rgb="FFC0504D"/>
      <rgbColor rgb="FFD7D8D8"/>
      <rgbColor rgb="FFBC0001"/>
      <rgbColor rgb="FF1F4E78"/>
      <rgbColor rgb="FF4A4A6A"/>
      <rgbColor rgb="FF7C9740"/>
      <rgbColor rgb="FFE31837"/>
      <rgbColor rgb="FF2980B9"/>
      <rgbColor rgb="FFBFBFBF"/>
      <rgbColor rgb="FF86808C"/>
      <rgbColor rgb="FF9999BB"/>
      <rgbColor rgb="FFBC3B2F"/>
      <rgbColor rgb="FFFFF2CC"/>
      <rgbColor rgb="FFE1EAF1"/>
      <rgbColor rgb="FF6A0572"/>
      <rgbColor rgb="FFF6A424"/>
      <rgbColor rgb="FF0070C0"/>
      <rgbColor rgb="FFD0D0D0"/>
      <rgbColor rgb="FFF9FAFB"/>
      <rgbColor rgb="FFF3E5F5"/>
      <rgbColor rgb="FFD9D9D9"/>
      <rgbColor rgb="FFEFF5FB"/>
      <rgbColor rgb="FF484868"/>
      <rgbColor rgb="FFC00000"/>
      <rgbColor rgb="FF3B82B9"/>
      <rgbColor rgb="FFF5F5F7"/>
      <rgbColor rgb="FF4F81BD"/>
      <rgbColor rgb="FFF0FFF0"/>
      <rgbColor rgb="FFE2EFDA"/>
      <rgbColor rgb="FFFDECEA"/>
      <rgbColor rgb="FFB8BBDD"/>
      <rgbColor rgb="FFBFBFC6"/>
      <rgbColor rgb="FFBCB2B2"/>
      <rgbColor rgb="FFFCE4D6"/>
      <rgbColor rgb="FF4471C0"/>
      <rgbColor rgb="FF3995B3"/>
      <rgbColor rgb="FF70AD47"/>
      <rgbColor rgb="FFF9AB13"/>
      <rgbColor rgb="FFFF9900"/>
      <rgbColor rgb="FFEB7D32"/>
      <rgbColor rgb="FF5A595B"/>
      <rgbColor rgb="FF999999"/>
      <rgbColor rgb="FF153063"/>
      <rgbColor rgb="FF27AE60"/>
      <rgbColor rgb="FF375623"/>
      <rgbColor rgb="FF1A1A2E"/>
      <rgbColor rgb="FF7B3F00"/>
      <rgbColor rgb="FFC0392B"/>
      <rgbColor rgb="FF264478"/>
      <rgbColor rgb="FF1D36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Feedback by IBU — Total vs Open &amp; High Severity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Total Feedback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Open &amp; High Severity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gapWidth val="182"/>
        <c:overlap val="0"/>
        <c:axId val="65616104"/>
        <c:axId val="16825901"/>
      </c:barChart>
      <c:catAx>
        <c:axId val="6561610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Number of Sessions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6825901"/>
        <c:crosses val="autoZero"/>
        <c:auto val="1"/>
        <c:lblAlgn val="ctr"/>
        <c:lblOffset val="100"/>
        <c:noMultiLvlLbl val="0"/>
      </c:catAx>
      <c:valAx>
        <c:axId val="1682590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IBU Code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56161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Engagement Type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Calc!$AH$2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Calc!$AG$3:$AG$15</c:f>
              <c:strCache>
                <c:ptCount val="13"/>
                <c:pt idx="0">
                  <c:v>Large Connect</c:v>
                </c:pt>
                <c:pt idx="1">
                  <c:v>FGD</c:v>
                </c:pt>
                <c:pt idx="2">
                  <c:v>1:1</c:v>
                </c:pt>
                <c:pt idx="3">
                  <c:v>Floor Connect</c:v>
                </c:pt>
                <c:pt idx="4">
                  <c:v>Location-Offshore</c:v>
                </c:pt>
                <c:pt idx="5">
                  <c:v>Location-Mixed</c:v>
                </c:pt>
                <c:pt idx="6">
                  <c:v>Workshop/Session</c:v>
                </c:pt>
                <c:pt idx="7">
                  <c:v>Leadership Connect</c:v>
                </c:pt>
                <c:pt idx="8">
                  <c:v>Induction</c:v>
                </c:pt>
                <c:pt idx="9">
                  <c:v>New Joiner Induction</c:v>
                </c:pt>
                <c:pt idx="10">
                  <c:v>Monthly Cadence</c:v>
                </c:pt>
                <c:pt idx="11">
                  <c:v>Connect with Women Associates</c:v>
                </c:pt>
                <c:pt idx="12">
                  <c:v>Account Based</c:v>
                </c:pt>
              </c:strCache>
            </c:strRef>
          </c:cat>
          <c:val>
            <c:numRef>
              <c:f>Calc!$AH$3:$AH$15</c:f>
              <c:numCache>
                <c:formatCode>General</c:formatCode>
                <c:ptCount val="13"/>
                <c:pt idx="0">
                  <c:v>162</c:v>
                </c:pt>
                <c:pt idx="1">
                  <c:v>104</c:v>
                </c:pt>
                <c:pt idx="2">
                  <c:v>85</c:v>
                </c:pt>
                <c:pt idx="3">
                  <c:v>64</c:v>
                </c:pt>
                <c:pt idx="4">
                  <c:v>30</c:v>
                </c:pt>
                <c:pt idx="5">
                  <c:v>17</c:v>
                </c:pt>
                <c:pt idx="6">
                  <c:v>8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0</c:v>
                </c:pt>
              </c:numCache>
            </c:numRef>
          </c:val>
        </c:ser>
        <c:gapWidth val="150"/>
        <c:overlap val="0"/>
        <c:axId val="39685873"/>
        <c:axId val="6165560"/>
      </c:barChart>
      <c:catAx>
        <c:axId val="3968587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65560"/>
        <c:crosses val="autoZero"/>
        <c:auto val="1"/>
        <c:lblAlgn val="ctr"/>
        <c:lblOffset val="100"/>
        <c:noMultiLvlLbl val="0"/>
      </c:catAx>
      <c:valAx>
        <c:axId val="61655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6858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Session Distribution by Cohort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Calc!$AB$2</c:f>
              <c:strCache>
                <c:ptCount val="1"/>
                <c:pt idx="0">
                  <c:v>Sessions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16a9c"/>
              </a:solidFill>
              <a:ln w="0">
                <a:noFill/>
              </a:ln>
            </c:spPr>
          </c:dPt>
          <c:dPt>
            <c:idx val="1"/>
            <c:spPr>
              <a:solidFill>
                <a:srgbClr val="9f423f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09b4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6a5286"/>
              </a:solidFill>
              <a:ln w="0">
                <a:noFill/>
              </a:ln>
            </c:spPr>
          </c:dPt>
          <c:dPt>
            <c:idx val="4"/>
            <c:spPr>
              <a:solidFill>
                <a:srgbClr val="3e8ea4"/>
              </a:solidFill>
              <a:ln w="0">
                <a:noFill/>
              </a:ln>
            </c:spPr>
          </c:dPt>
          <c:dPt>
            <c:idx val="5"/>
            <c:spPr>
              <a:solidFill>
                <a:srgbClr val="cc7c3a"/>
              </a:solidFill>
              <a:ln w="0">
                <a:noFill/>
              </a:ln>
            </c:spPr>
          </c:dPt>
          <c:dPt>
            <c:idx val="6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7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8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9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f79646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aabad7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d8aaa9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c5d6ac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Calc!$AA$3:$AA$17</c:f>
              <c:strCache>
                <c:ptCount val="15"/>
                <c:pt idx="0">
                  <c:v>HR Connect (Project Wise)</c:v>
                </c:pt>
                <c:pt idx="1">
                  <c:v>New Joiner Connect (60 Days)</c:v>
                </c:pt>
                <c:pt idx="2">
                  <c:v>New Joiner Connect (30 Days)</c:v>
                </c:pt>
                <c:pt idx="3">
                  <c:v>New Joiner Connect (90 Days)</c:v>
                </c:pt>
                <c:pt idx="4">
                  <c:v>New Joiner Connect (7 Days)</c:v>
                </c:pt>
                <c:pt idx="5">
                  <c:v>Skip Meeting</c:v>
                </c:pt>
                <c:pt idx="6">
                  <c:v>Leadership Connect</c:v>
                </c:pt>
                <c:pt idx="7">
                  <c:v>Cadence Connect</c:v>
                </c:pt>
                <c:pt idx="8">
                  <c:v>ELTP Connect (12-24m)</c:v>
                </c:pt>
                <c:pt idx="9">
                  <c:v>Top Talent FGD Connect</c:v>
                </c:pt>
                <c:pt idx="10">
                  <c:v>ELTP Connect (&lt;6m)</c:v>
                </c:pt>
                <c:pt idx="11">
                  <c:v>Josh (Fun Engagements)</c:v>
                </c:pt>
                <c:pt idx="12">
                  <c:v>Top Talent Connect</c:v>
                </c:pt>
                <c:pt idx="13">
                  <c:v>Exclusive Award Ceremony</c:v>
                </c:pt>
                <c:pt idx="14">
                  <c:v>ELTP Connect (Practice Level)</c:v>
                </c:pt>
              </c:strCache>
            </c:strRef>
          </c:cat>
          <c:val>
            <c:numRef>
              <c:f>Calc!$AB$3:$AB$17</c:f>
              <c:numCache>
                <c:formatCode>General</c:formatCode>
                <c:ptCount val="15"/>
                <c:pt idx="0">
                  <c:v>37</c:v>
                </c:pt>
                <c:pt idx="1">
                  <c:v>36</c:v>
                </c:pt>
                <c:pt idx="2">
                  <c:v>31</c:v>
                </c:pt>
                <c:pt idx="3">
                  <c:v>31</c:v>
                </c:pt>
                <c:pt idx="4">
                  <c:v>28</c:v>
                </c:pt>
                <c:pt idx="5">
                  <c:v>18</c:v>
                </c:pt>
                <c:pt idx="6">
                  <c:v>17</c:v>
                </c:pt>
                <c:pt idx="7">
                  <c:v>16</c:v>
                </c:pt>
                <c:pt idx="8">
                  <c:v>14</c:v>
                </c:pt>
                <c:pt idx="9">
                  <c:v>13</c:v>
                </c:pt>
                <c:pt idx="10">
                  <c:v>13</c:v>
                </c:pt>
                <c:pt idx="11">
                  <c:v>11</c:v>
                </c:pt>
                <c:pt idx="12">
                  <c:v>11</c:v>
                </c:pt>
                <c:pt idx="13">
                  <c:v>8</c:v>
                </c:pt>
                <c:pt idx="14">
                  <c:v>7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Sentiment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Calc!$B$23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7ae6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31859c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5a623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0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1"/>
            <c:showCatName val="0"/>
            <c:showSerName val="1"/>
            <c:showPercent val="1"/>
            <c:separator>; </c:separator>
            <c:showLeaderLines val="1"/>
          </c:dLbls>
          <c:cat>
            <c:strRef>
              <c:f>Calc!$A$24:$A$26</c:f>
              <c:strCache>
                <c:ptCount val="3"/>
                <c:pt idx="0">
                  <c:v>Positive</c:v>
                </c:pt>
                <c:pt idx="1">
                  <c:v>Neutral</c:v>
                </c:pt>
                <c:pt idx="2">
                  <c:v>Mixed</c:v>
                </c:pt>
              </c:strCache>
            </c:strRef>
          </c:cat>
          <c:val>
            <c:numRef>
              <c:f>Calc!$B$24:$B$26</c:f>
              <c:numCache>
                <c:formatCode>General</c:formatCode>
                <c:ptCount val="3"/>
                <c:pt idx="0">
                  <c:v>317</c:v>
                </c:pt>
                <c:pt idx="1">
                  <c:v>141</c:v>
                </c:pt>
                <c:pt idx="2">
                  <c:v>38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Severity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Calc!$B$29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e31837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f5a623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27ae60"/>
              </a:solidFill>
              <a:ln w="0">
                <a:noFill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Calc!$A$30:$A$32</c:f>
              <c:strCache>
                <c:ptCount val="3"/>
                <c:pt idx="0">
                  <c:v>High</c:v>
                </c:pt>
                <c:pt idx="1">
                  <c:v>Moderate</c:v>
                </c:pt>
                <c:pt idx="2">
                  <c:v>Low</c:v>
                </c:pt>
              </c:strCache>
            </c:strRef>
          </c:cat>
          <c:val>
            <c:numRef>
              <c:f>Calc!$B$30:$B$32</c:f>
              <c:numCache>
                <c:formatCode>0%</c:formatCode>
                <c:ptCount val="3"/>
                <c:pt idx="0">
                  <c:v>0.22</c:v>
                </c:pt>
                <c:pt idx="1">
                  <c:v>0.44</c:v>
                </c:pt>
                <c:pt idx="2">
                  <c:v>0.35</c:v>
                </c:pt>
              </c:numCache>
            </c:numRef>
          </c:val>
        </c:ser>
        <c:gapWidth val="150"/>
        <c:overlap val="0"/>
        <c:axId val="96539096"/>
        <c:axId val="81036084"/>
      </c:barChart>
      <c:catAx>
        <c:axId val="965390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036084"/>
        <c:crosses val="autoZero"/>
        <c:auto val="1"/>
        <c:lblAlgn val="ctr"/>
        <c:lblOffset val="100"/>
        <c:noMultiLvlLbl val="0"/>
      </c:catAx>
      <c:valAx>
        <c:axId val="810360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5390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43872190888683"/>
          <c:y val="0.411782721756718"/>
          <c:w val="0.23194942211434"/>
          <c:h val="0.221181739381682"/>
        </c:manualLayout>
      </c:layout>
      <c:overlay val="0"/>
      <c:spPr>
        <a:solidFill>
          <a:srgbClr val="ffffff"/>
        </a:solidFill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CARES Levers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Calc!$B$41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e31837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2980b9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27ae60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f5a623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4a4a6a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Calc!$A$42:$A$46</c:f>
              <c:strCache>
                <c:ptCount val="5"/>
                <c:pt idx="0">
                  <c:v>Alignment</c:v>
                </c:pt>
                <c:pt idx="1">
                  <c:v>Career</c:v>
                </c:pt>
                <c:pt idx="2">
                  <c:v>Empowerment</c:v>
                </c:pt>
                <c:pt idx="3">
                  <c:v>Recognition</c:v>
                </c:pt>
                <c:pt idx="4">
                  <c:v>Strive</c:v>
                </c:pt>
              </c:strCache>
            </c:strRef>
          </c:cat>
          <c:val>
            <c:numRef>
              <c:f>Calc!$B$42:$B$46</c:f>
              <c:numCache>
                <c:formatCode>General</c:formatCode>
                <c:ptCount val="5"/>
                <c:pt idx="0">
                  <c:v>286</c:v>
                </c:pt>
                <c:pt idx="1">
                  <c:v>70</c:v>
                </c:pt>
                <c:pt idx="2">
                  <c:v>97</c:v>
                </c:pt>
                <c:pt idx="3">
                  <c:v>27</c:v>
                </c:pt>
                <c:pt idx="4">
                  <c:v>20</c:v>
                </c:pt>
              </c:numCache>
            </c:numRef>
          </c:val>
        </c:ser>
        <c:gapWidth val="150"/>
        <c:overlap val="0"/>
        <c:axId val="31991900"/>
        <c:axId val="71511197"/>
      </c:barChart>
      <c:catAx>
        <c:axId val="319919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511197"/>
        <c:crosses val="autoZero"/>
        <c:auto val="1"/>
        <c:lblAlgn val="ctr"/>
        <c:lblOffset val="100"/>
        <c:noMultiLvlLbl val="0"/>
      </c:catAx>
      <c:valAx>
        <c:axId val="715111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9919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6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600" spc="-1" strike="noStrike">
                <a:solidFill>
                  <a:srgbClr val="000000"/>
                </a:solidFill>
                <a:latin typeface="Calibri"/>
              </a:rPr>
              <a:t>Engagement Mode</a:t>
            </a:r>
          </a:p>
        </c:rich>
      </c:tx>
      <c:layout>
        <c:manualLayout>
          <c:xMode val="edge"/>
          <c:yMode val="edge"/>
          <c:x val="0.219292097424216"/>
          <c:y val="0.012612402195492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0751708428246"/>
          <c:y val="0.170384211140955"/>
          <c:w val="0.577361135447696"/>
          <c:h val="0.549456966016583"/>
        </c:manualLayout>
      </c:layout>
      <c:doughnutChart>
        <c:varyColors val="1"/>
        <c:ser>
          <c:idx val="0"/>
          <c:order val="0"/>
          <c:tx>
            <c:strRef>
              <c:f>Calc!$B$49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e31837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7933c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5a623"/>
              </a:solidFill>
              <a:ln w="0">
                <a:noFill/>
              </a:ln>
            </c:spPr>
          </c:dPt>
          <c:dPt>
            <c:idx val="3"/>
            <c:spPr>
              <a:solidFill>
                <a:srgbClr val="2980b9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1" sz="8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Calc!$A$50:$A$53</c:f>
              <c:strCache>
                <c:ptCount val="4"/>
                <c:pt idx="0">
                  <c:v>Virtual</c:v>
                </c:pt>
                <c:pt idx="1">
                  <c:v>In-person (Tech/Office)</c:v>
                </c:pt>
                <c:pt idx="2">
                  <c:v>Virtual + In-person</c:v>
                </c:pt>
                <c:pt idx="3">
                  <c:v>In-person (Client)</c:v>
                </c:pt>
              </c:strCache>
            </c:strRef>
          </c:cat>
          <c:val>
            <c:numRef>
              <c:f>Calc!$B$50:$B$53</c:f>
              <c:numCache>
                <c:formatCode>General</c:formatCode>
                <c:ptCount val="4"/>
                <c:pt idx="0">
                  <c:v>332</c:v>
                </c:pt>
                <c:pt idx="1">
                  <c:v>122</c:v>
                </c:pt>
                <c:pt idx="2">
                  <c:v>33</c:v>
                </c:pt>
                <c:pt idx="3">
                  <c:v>13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26297289297667"/>
          <c:y val="0.563175124650522"/>
          <c:w val="0.343116977051573"/>
          <c:h val="0.417211644557273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05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050" spc="-1" strike="noStrike">
                <a:solidFill>
                  <a:srgbClr val="000000"/>
                </a:solidFill>
                <a:latin typeface="Calibri"/>
              </a:rPr>
              <a:t>Coverage by Connect Type</a:t>
            </a:r>
          </a:p>
        </c:rich>
      </c:tx>
      <c:layout>
        <c:manualLayout>
          <c:xMode val="edge"/>
          <c:yMode val="edge"/>
          <c:x val="0.565658301821932"/>
          <c:y val="0.0680103870409299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8484015125473"/>
          <c:y val="0.065042661060962"/>
          <c:w val="0.580096253007907"/>
          <c:h val="0.89180165698033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Calc!$X$2</c:f>
              <c:strCache>
                <c:ptCount val="1"/>
                <c:pt idx="0">
                  <c:v>Sessions Covered</c:v>
                </c:pt>
              </c:strCache>
            </c:strRef>
          </c:tx>
          <c:spPr>
            <a:solidFill>
              <a:srgbClr val="e31837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Calc!$W$3:$W$10</c:f>
              <c:strCache>
                <c:ptCount val="8"/>
                <c:pt idx="0">
                  <c:v>HR Connect (General)</c:v>
                </c:pt>
                <c:pt idx="1">
                  <c:v>HR Connect (Project-Wise)</c:v>
                </c:pt>
                <c:pt idx="2">
                  <c:v>New Joinee Connect (7 Days)</c:v>
                </c:pt>
                <c:pt idx="3">
                  <c:v>New Joiner Connect (30 Days)</c:v>
                </c:pt>
                <c:pt idx="4">
                  <c:v>New Joiner Connect (60 Days)</c:v>
                </c:pt>
                <c:pt idx="5">
                  <c:v>New Joiner Connect (90 Days)</c:v>
                </c:pt>
                <c:pt idx="6">
                  <c:v>SL Induction</c:v>
                </c:pt>
                <c:pt idx="7">
                  <c:v>Townhall</c:v>
                </c:pt>
              </c:strCache>
            </c:strRef>
          </c:cat>
          <c:val>
            <c:numRef>
              <c:f>Calc!$X$3:$X$10</c:f>
              <c:numCache>
                <c:formatCode>General</c:formatCode>
                <c:ptCount val="8"/>
                <c:pt idx="0">
                  <c:v>33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36</c:v>
                </c:pt>
                <c:pt idx="5">
                  <c:v>31</c:v>
                </c:pt>
                <c:pt idx="6">
                  <c:v>33</c:v>
                </c:pt>
                <c:pt idx="7">
                  <c:v>31</c:v>
                </c:pt>
              </c:numCache>
            </c:numRef>
          </c:val>
        </c:ser>
        <c:gapWidth val="150"/>
        <c:overlap val="0"/>
        <c:axId val="35181527"/>
        <c:axId val="82608096"/>
      </c:barChart>
      <c:catAx>
        <c:axId val="351815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608096"/>
        <c:crosses val="autoZero"/>
        <c:auto val="1"/>
        <c:lblAlgn val="ctr"/>
        <c:lblOffset val="100"/>
        <c:noMultiLvlLbl val="0"/>
      </c:catAx>
      <c:valAx>
        <c:axId val="8260809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1815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Action Items: Status × Severity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Dashboard!$D$107</c:f>
              <c:strCache>
                <c:ptCount val="1"/>
                <c:pt idx="0">
                  <c:v>🔴 High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Dashboard!$C$108:$C$110</c:f>
              <c:strCache>
                <c:ptCount val="3"/>
                <c:pt idx="0">
                  <c:v>Open</c:v>
                </c:pt>
                <c:pt idx="1">
                  <c:v>In-progress</c:v>
                </c:pt>
                <c:pt idx="2">
                  <c:v>Closed</c:v>
                </c:pt>
              </c:strCache>
            </c:strRef>
          </c:cat>
          <c:val>
            <c:numRef>
              <c:f>Dashboard!$D$108:$D$110</c:f>
              <c:numCache>
                <c:formatCode>General</c:formatCode>
                <c:ptCount val="3"/>
                <c:pt idx="0">
                  <c:v>8</c:v>
                </c:pt>
                <c:pt idx="1">
                  <c:v>19</c:v>
                </c:pt>
                <c:pt idx="2">
                  <c:v>81</c:v>
                </c:pt>
              </c:numCache>
            </c:numRef>
          </c:val>
        </c:ser>
        <c:ser>
          <c:idx val="1"/>
          <c:order val="1"/>
          <c:tx>
            <c:strRef>
              <c:f>Dashboard!$E$107</c:f>
              <c:strCache>
                <c:ptCount val="1"/>
                <c:pt idx="0">
                  <c:v>🟡 Moderate</c:v>
                </c:pt>
              </c:strCache>
            </c:strRef>
          </c:tx>
          <c:spPr>
            <a:solidFill>
              <a:srgbClr val="ff9900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Dashboard!$C$108:$C$110</c:f>
              <c:strCache>
                <c:ptCount val="3"/>
                <c:pt idx="0">
                  <c:v>Open</c:v>
                </c:pt>
                <c:pt idx="1">
                  <c:v>In-progress</c:v>
                </c:pt>
                <c:pt idx="2">
                  <c:v>Closed</c:v>
                </c:pt>
              </c:strCache>
            </c:strRef>
          </c:cat>
          <c:val>
            <c:numRef>
              <c:f>Dashboard!$E$108:$E$110</c:f>
              <c:numCache>
                <c:formatCode>General</c:formatCode>
                <c:ptCount val="3"/>
                <c:pt idx="0">
                  <c:v>22</c:v>
                </c:pt>
                <c:pt idx="1">
                  <c:v>35</c:v>
                </c:pt>
                <c:pt idx="2">
                  <c:v>161</c:v>
                </c:pt>
              </c:numCache>
            </c:numRef>
          </c:val>
        </c:ser>
        <c:ser>
          <c:idx val="2"/>
          <c:order val="2"/>
          <c:tx>
            <c:strRef>
              <c:f>Dashboard!$F$107</c:f>
              <c:strCache>
                <c:ptCount val="1"/>
                <c:pt idx="0">
                  <c:v>🟢 Low</c:v>
                </c:pt>
              </c:strCache>
            </c:strRef>
          </c:tx>
          <c:spPr>
            <a:solidFill>
              <a:srgbClr val="375623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Dashboard!$C$108:$C$110</c:f>
              <c:strCache>
                <c:ptCount val="3"/>
                <c:pt idx="0">
                  <c:v>Open</c:v>
                </c:pt>
                <c:pt idx="1">
                  <c:v>In-progress</c:v>
                </c:pt>
                <c:pt idx="2">
                  <c:v>Closed</c:v>
                </c:pt>
              </c:strCache>
            </c:strRef>
          </c:cat>
          <c:val>
            <c:numRef>
              <c:f>Dashboard!$F$108:$F$110</c:f>
              <c:numCache>
                <c:formatCode>General</c:formatCode>
                <c:ptCount val="3"/>
                <c:pt idx="0">
                  <c:v>14</c:v>
                </c:pt>
                <c:pt idx="1">
                  <c:v>29</c:v>
                </c:pt>
                <c:pt idx="2">
                  <c:v>131</c:v>
                </c:pt>
              </c:numCache>
            </c:numRef>
          </c:val>
        </c:ser>
        <c:gapWidth val="150"/>
        <c:overlap val="0"/>
        <c:axId val="88014278"/>
        <c:axId val="14315173"/>
      </c:barChart>
      <c:catAx>
        <c:axId val="880142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Status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315173"/>
        <c:crosses val="autoZero"/>
        <c:auto val="1"/>
        <c:lblAlgn val="ctr"/>
        <c:lblOffset val="100"/>
        <c:noMultiLvlLbl val="0"/>
      </c:catAx>
      <c:valAx>
        <c:axId val="143151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0142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CARES Lever: Sessions by Severity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577698695136"/>
          <c:y val="0.158602690222847"/>
          <c:w val="0.67628838803216"/>
          <c:h val="0.66532824733989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Dashboard!$E$148</c:f>
              <c:strCache>
                <c:ptCount val="1"/>
                <c:pt idx="0">
                  <c:v>High Sev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Dashboard!$C$149:$C$153</c:f>
              <c:strCache>
                <c:ptCount val="5"/>
                <c:pt idx="0">
                  <c:v>Alignment</c:v>
                </c:pt>
                <c:pt idx="1">
                  <c:v>Career</c:v>
                </c:pt>
                <c:pt idx="2">
                  <c:v>Empowerment</c:v>
                </c:pt>
                <c:pt idx="3">
                  <c:v>Recognition</c:v>
                </c:pt>
                <c:pt idx="4">
                  <c:v>Strive</c:v>
                </c:pt>
              </c:strCache>
            </c:strRef>
          </c:cat>
          <c:val>
            <c:numRef>
              <c:f>Dashboard!$E$149:$E$153</c:f>
              <c:numCache>
                <c:formatCode>General</c:formatCode>
                <c:ptCount val="5"/>
                <c:pt idx="0">
                  <c:v>65</c:v>
                </c:pt>
                <c:pt idx="1">
                  <c:v>14</c:v>
                </c:pt>
                <c:pt idx="2">
                  <c:v>19</c:v>
                </c:pt>
                <c:pt idx="3">
                  <c:v>3</c:v>
                </c:pt>
                <c:pt idx="4">
                  <c:v>7</c:v>
                </c:pt>
              </c:numCache>
            </c:numRef>
          </c:val>
        </c:ser>
        <c:ser>
          <c:idx val="1"/>
          <c:order val="1"/>
          <c:tx>
            <c:strRef>
              <c:f>Dashboard!$F$148</c:f>
              <c:strCache>
                <c:ptCount val="1"/>
                <c:pt idx="0">
                  <c:v>Mod Sev</c:v>
                </c:pt>
              </c:strCache>
            </c:strRef>
          </c:tx>
          <c:spPr>
            <a:solidFill>
              <a:srgbClr val="ff9900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Dashboard!$C$149:$C$153</c:f>
              <c:strCache>
                <c:ptCount val="5"/>
                <c:pt idx="0">
                  <c:v>Alignment</c:v>
                </c:pt>
                <c:pt idx="1">
                  <c:v>Career</c:v>
                </c:pt>
                <c:pt idx="2">
                  <c:v>Empowerment</c:v>
                </c:pt>
                <c:pt idx="3">
                  <c:v>Recognition</c:v>
                </c:pt>
                <c:pt idx="4">
                  <c:v>Strive</c:v>
                </c:pt>
              </c:strCache>
            </c:strRef>
          </c:cat>
          <c:val>
            <c:numRef>
              <c:f>Dashboard!$F$149:$F$153</c:f>
              <c:numCache>
                <c:formatCode>General</c:formatCode>
                <c:ptCount val="5"/>
                <c:pt idx="0">
                  <c:v>128</c:v>
                </c:pt>
                <c:pt idx="1">
                  <c:v>29</c:v>
                </c:pt>
                <c:pt idx="2">
                  <c:v>42</c:v>
                </c:pt>
                <c:pt idx="3">
                  <c:v>12</c:v>
                </c:pt>
                <c:pt idx="4">
                  <c:v>7</c:v>
                </c:pt>
              </c:numCache>
            </c:numRef>
          </c:val>
        </c:ser>
        <c:ser>
          <c:idx val="2"/>
          <c:order val="2"/>
          <c:tx>
            <c:strRef>
              <c:f>Dashboard!$G$148</c:f>
              <c:strCache>
                <c:ptCount val="1"/>
                <c:pt idx="0">
                  <c:v>Low Sev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Dashboard!$C$149:$C$153</c:f>
              <c:strCache>
                <c:ptCount val="5"/>
                <c:pt idx="0">
                  <c:v>Alignment</c:v>
                </c:pt>
                <c:pt idx="1">
                  <c:v>Career</c:v>
                </c:pt>
                <c:pt idx="2">
                  <c:v>Empowerment</c:v>
                </c:pt>
                <c:pt idx="3">
                  <c:v>Recognition</c:v>
                </c:pt>
                <c:pt idx="4">
                  <c:v>Strive</c:v>
                </c:pt>
              </c:strCache>
            </c:strRef>
          </c:cat>
          <c:val>
            <c:numRef>
              <c:f>Dashboard!$G$149:$G$153</c:f>
              <c:numCache>
                <c:formatCode>General</c:formatCode>
                <c:ptCount val="5"/>
                <c:pt idx="0">
                  <c:v>93</c:v>
                </c:pt>
                <c:pt idx="1">
                  <c:v>27</c:v>
                </c:pt>
                <c:pt idx="2">
                  <c:v>36</c:v>
                </c:pt>
                <c:pt idx="3">
                  <c:v>12</c:v>
                </c:pt>
                <c:pt idx="4">
                  <c:v>6</c:v>
                </c:pt>
              </c:numCache>
            </c:numRef>
          </c:val>
        </c:ser>
        <c:gapWidth val="150"/>
        <c:overlap val="100"/>
        <c:axId val="23015197"/>
        <c:axId val="33129864"/>
      </c:barChart>
      <c:catAx>
        <c:axId val="230151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129864"/>
        <c:crosses val="autoZero"/>
        <c:auto val="1"/>
        <c:lblAlgn val="ctr"/>
        <c:lblOffset val="100"/>
        <c:noMultiLvlLbl val="0"/>
      </c:catAx>
      <c:valAx>
        <c:axId val="331298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0151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Top Organizational Concerns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Calc!$AE$2</c:f>
              <c:strCache>
                <c:ptCount val="1"/>
                <c:pt idx="0">
                  <c:v>Mentions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Calc!$AD$3:$AD$12</c:f>
              <c:strCache>
                <c:ptCount val="10"/>
                <c:pt idx="0">
                  <c:v>Feedback on recent processes</c:v>
                </c:pt>
                <c:pt idx="1">
                  <c:v>Clarity on expectations</c:v>
                </c:pt>
                <c:pt idx="2">
                  <c:v>General wellbeing check-in</c:v>
                </c:pt>
                <c:pt idx="3">
                  <c:v>Discussion on team dynamics</c:v>
                </c:pt>
                <c:pt idx="4">
                  <c:v>Engagement &amp; Belonging</c:v>
                </c:pt>
                <c:pt idx="5">
                  <c:v>Internal Growth Opportunities</c:v>
                </c:pt>
                <c:pt idx="6">
                  <c:v>Business &amp; Strategy Clarity</c:v>
                </c:pt>
                <c:pt idx="7">
                  <c:v>HR / WFM / Training Communication Effectiveness</c:v>
                </c:pt>
                <c:pt idx="8">
                  <c:v>Long-Term Role Alignment</c:v>
                </c:pt>
                <c:pt idx="9">
                  <c:v>Buddy / Support System</c:v>
                </c:pt>
              </c:strCache>
            </c:strRef>
          </c:cat>
          <c:val>
            <c:numRef>
              <c:f>Calc!$AE$3:$AE$12</c:f>
              <c:numCache>
                <c:formatCode>General</c:formatCode>
                <c:ptCount val="10"/>
                <c:pt idx="0">
                  <c:v>36</c:v>
                </c:pt>
                <c:pt idx="1">
                  <c:v>33</c:v>
                </c:pt>
                <c:pt idx="2">
                  <c:v>29</c:v>
                </c:pt>
                <c:pt idx="3">
                  <c:v>23</c:v>
                </c:pt>
                <c:pt idx="4">
                  <c:v>18</c:v>
                </c:pt>
                <c:pt idx="5">
                  <c:v>17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</c:numCache>
            </c:numRef>
          </c:val>
        </c:ser>
        <c:gapWidth val="150"/>
        <c:overlap val="0"/>
        <c:axId val="81253184"/>
        <c:axId val="84736016"/>
      </c:barChart>
      <c:catAx>
        <c:axId val="812531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736016"/>
        <c:crosses val="autoZero"/>
        <c:auto val="1"/>
        <c:lblAlgn val="ctr"/>
        <c:lblOffset val="100"/>
        <c:noMultiLvlLbl val="0"/>
      </c:catAx>
      <c:valAx>
        <c:axId val="847360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2531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Relationship Id="rId7" Type="http://schemas.openxmlformats.org/officeDocument/2006/relationships/chart" Target="../charts/chart8.xml"/><Relationship Id="rId8" Type="http://schemas.openxmlformats.org/officeDocument/2006/relationships/chart" Target="../charts/chart9.xml"/><Relationship Id="rId9" Type="http://schemas.openxmlformats.org/officeDocument/2006/relationships/chart" Target="../charts/chart10.xml"/><Relationship Id="rId10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149</xdr:row>
      <xdr:rowOff>162000</xdr:rowOff>
    </xdr:from>
    <xdr:to>
      <xdr:col>7</xdr:col>
      <xdr:colOff>1404720</xdr:colOff>
      <xdr:row>166</xdr:row>
      <xdr:rowOff>185400</xdr:rowOff>
    </xdr:to>
    <xdr:graphicFrame>
      <xdr:nvGraphicFramePr>
        <xdr:cNvPr id="0" name="Chart 1"/>
        <xdr:cNvGraphicFramePr/>
      </xdr:nvGraphicFramePr>
      <xdr:xfrm>
        <a:off x="7924320" y="31794480"/>
        <a:ext cx="6227280" cy="348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155</xdr:row>
      <xdr:rowOff>0</xdr:rowOff>
    </xdr:from>
    <xdr:to>
      <xdr:col>17</xdr:col>
      <xdr:colOff>304200</xdr:colOff>
      <xdr:row>172</xdr:row>
      <xdr:rowOff>186840</xdr:rowOff>
    </xdr:to>
    <xdr:graphicFrame>
      <xdr:nvGraphicFramePr>
        <xdr:cNvPr id="1" name="Chart 1"/>
        <xdr:cNvGraphicFramePr/>
      </xdr:nvGraphicFramePr>
      <xdr:xfrm>
        <a:off x="181080" y="34575840"/>
        <a:ext cx="9204120" cy="5092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70</xdr:row>
      <xdr:rowOff>0</xdr:rowOff>
    </xdr:from>
    <xdr:to>
      <xdr:col>15</xdr:col>
      <xdr:colOff>304560</xdr:colOff>
      <xdr:row>88</xdr:row>
      <xdr:rowOff>187200</xdr:rowOff>
    </xdr:to>
    <xdr:graphicFrame>
      <xdr:nvGraphicFramePr>
        <xdr:cNvPr id="2" name="Chart 2"/>
        <xdr:cNvGraphicFramePr/>
      </xdr:nvGraphicFramePr>
      <xdr:xfrm>
        <a:off x="181080" y="13296960"/>
        <a:ext cx="8197560" cy="420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360</xdr:colOff>
      <xdr:row>15</xdr:row>
      <xdr:rowOff>0</xdr:rowOff>
    </xdr:from>
    <xdr:to>
      <xdr:col>5</xdr:col>
      <xdr:colOff>254160</xdr:colOff>
      <xdr:row>33</xdr:row>
      <xdr:rowOff>62280</xdr:rowOff>
    </xdr:to>
    <xdr:graphicFrame>
      <xdr:nvGraphicFramePr>
        <xdr:cNvPr id="3" name="Chart 3"/>
        <xdr:cNvGraphicFramePr/>
      </xdr:nvGraphicFramePr>
      <xdr:xfrm>
        <a:off x="181440" y="2905200"/>
        <a:ext cx="3646440" cy="314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418680</xdr:colOff>
      <xdr:row>15</xdr:row>
      <xdr:rowOff>0</xdr:rowOff>
    </xdr:from>
    <xdr:to>
      <xdr:col>13</xdr:col>
      <xdr:colOff>112320</xdr:colOff>
      <xdr:row>33</xdr:row>
      <xdr:rowOff>28440</xdr:rowOff>
    </xdr:to>
    <xdr:graphicFrame>
      <xdr:nvGraphicFramePr>
        <xdr:cNvPr id="4" name="Chart 4"/>
        <xdr:cNvGraphicFramePr/>
      </xdr:nvGraphicFramePr>
      <xdr:xfrm>
        <a:off x="3992400" y="2905200"/>
        <a:ext cx="3348000" cy="3114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204480</xdr:colOff>
      <xdr:row>15</xdr:row>
      <xdr:rowOff>33480</xdr:rowOff>
    </xdr:from>
    <xdr:to>
      <xdr:col>22</xdr:col>
      <xdr:colOff>236880</xdr:colOff>
      <xdr:row>33</xdr:row>
      <xdr:rowOff>50760</xdr:rowOff>
    </xdr:to>
    <xdr:graphicFrame>
      <xdr:nvGraphicFramePr>
        <xdr:cNvPr id="5" name="Chart 5"/>
        <xdr:cNvGraphicFramePr/>
      </xdr:nvGraphicFramePr>
      <xdr:xfrm>
        <a:off x="7432560" y="2938680"/>
        <a:ext cx="4372200" cy="310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</xdr:col>
      <xdr:colOff>0</xdr:colOff>
      <xdr:row>35</xdr:row>
      <xdr:rowOff>0</xdr:rowOff>
    </xdr:from>
    <xdr:to>
      <xdr:col>10</xdr:col>
      <xdr:colOff>303840</xdr:colOff>
      <xdr:row>52</xdr:row>
      <xdr:rowOff>167760</xdr:rowOff>
    </xdr:to>
    <xdr:graphicFrame>
      <xdr:nvGraphicFramePr>
        <xdr:cNvPr id="6" name="Chart 6"/>
        <xdr:cNvGraphicFramePr/>
      </xdr:nvGraphicFramePr>
      <xdr:xfrm>
        <a:off x="2154600" y="6315120"/>
        <a:ext cx="4108680" cy="3082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12</xdr:col>
      <xdr:colOff>0</xdr:colOff>
      <xdr:row>35</xdr:row>
      <xdr:rowOff>0</xdr:rowOff>
    </xdr:from>
    <xdr:to>
      <xdr:col>20</xdr:col>
      <xdr:colOff>423360</xdr:colOff>
      <xdr:row>51</xdr:row>
      <xdr:rowOff>167760</xdr:rowOff>
    </xdr:to>
    <xdr:graphicFrame>
      <xdr:nvGraphicFramePr>
        <xdr:cNvPr id="7" name="Chart 7"/>
        <xdr:cNvGraphicFramePr/>
      </xdr:nvGraphicFramePr>
      <xdr:xfrm>
        <a:off x="6805440" y="6315120"/>
        <a:ext cx="4188600" cy="2910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0</xdr:colOff>
      <xdr:row>105</xdr:row>
      <xdr:rowOff>62640</xdr:rowOff>
    </xdr:from>
    <xdr:to>
      <xdr:col>19</xdr:col>
      <xdr:colOff>466920</xdr:colOff>
      <xdr:row>118</xdr:row>
      <xdr:rowOff>69120</xdr:rowOff>
    </xdr:to>
    <xdr:graphicFrame>
      <xdr:nvGraphicFramePr>
        <xdr:cNvPr id="8" name="Chart 8"/>
        <xdr:cNvGraphicFramePr/>
      </xdr:nvGraphicFramePr>
      <xdr:xfrm>
        <a:off x="5113800" y="22598640"/>
        <a:ext cx="5380560" cy="2721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9</xdr:col>
      <xdr:colOff>146520</xdr:colOff>
      <xdr:row>146</xdr:row>
      <xdr:rowOff>115200</xdr:rowOff>
    </xdr:from>
    <xdr:to>
      <xdr:col>21</xdr:col>
      <xdr:colOff>151560</xdr:colOff>
      <xdr:row>152</xdr:row>
      <xdr:rowOff>212400</xdr:rowOff>
    </xdr:to>
    <xdr:graphicFrame>
      <xdr:nvGraphicFramePr>
        <xdr:cNvPr id="9" name="Chart 9"/>
        <xdr:cNvGraphicFramePr/>
      </xdr:nvGraphicFramePr>
      <xdr:xfrm>
        <a:off x="5682960" y="32252400"/>
        <a:ext cx="5462280" cy="179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</xdr:col>
      <xdr:colOff>19080</xdr:colOff>
      <xdr:row>134</xdr:row>
      <xdr:rowOff>200160</xdr:rowOff>
    </xdr:from>
    <xdr:to>
      <xdr:col>18</xdr:col>
      <xdr:colOff>75960</xdr:colOff>
      <xdr:row>143</xdr:row>
      <xdr:rowOff>275760</xdr:rowOff>
    </xdr:to>
    <xdr:graphicFrame>
      <xdr:nvGraphicFramePr>
        <xdr:cNvPr id="10" name="Chart 10"/>
        <xdr:cNvGraphicFramePr/>
      </xdr:nvGraphicFramePr>
      <xdr:xfrm>
        <a:off x="200160" y="29022840"/>
        <a:ext cx="9379800" cy="256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InsightData" displayName="InsightData" ref="A1:AL20001" headerRowCount="1" totalsRowCount="0" totalsRowShown="0">
  <autoFilter ref="A1:AL20001">
    <filterColumn colId="21">
      <filters>
        <filter val="High"/>
      </filters>
    </filterColumn>
    <filterColumn colId="22">
      <filters>
        <filter val="In-progress"/>
        <filter val="Open"/>
      </filters>
    </filterColumn>
  </autoFilter>
  <tableColumns count="38">
    <tableColumn id="1" name="ID"/>
    <tableColumn id="2" name="Start time"/>
    <tableColumn id="3" name="Completion time"/>
    <tableColumn id="4" name="Email"/>
    <tableColumn id="5" name="Name"/>
    <tableColumn id="6" name="BHR Name"/>
    <tableColumn id="7" name="BHR Employee ID"/>
    <tableColumn id="8" name="Date of Connect"/>
    <tableColumn id="9" name="Service Line"/>
    <tableColumn id="10" name="IBU/Practice/Location"/>
    <tableColumn id="11" name="Location Mentioned"/>
    <tableColumn id="12" name="Practice Code"/>
    <tableColumn id="13" name="Employee IBU Code"/>
    <tableColumn id="14" name="Project Description"/>
    <tableColumn id="15" name="Engagement Type"/>
    <tableColumn id="16" name="Band"/>
    <tableColumn id="17" name="Engagement Mode"/>
    <tableColumn id="18" name="CARES Framework"/>
    <tableColumn id="19" name="Overall Sentiment"/>
    <tableColumn id="20" name="Action Owner"/>
    <tableColumn id="21" name="Engagement related Queries"/>
    <tableColumn id="22" name="Severity"/>
    <tableColumn id="23" name="Status"/>
    <tableColumn id="24" name="Selected Connect"/>
    <tableColumn id="25" name="Matched Connect Name"/>
    <tableColumn id="26" name="Coverage"/>
    <tableColumn id="27" name="Coverage 2"/>
    <tableColumn id="28" name="Coverage 3"/>
    <tableColumn id="29" name="Coverage 4"/>
    <tableColumn id="30" name="Coverage 5"/>
    <tableColumn id="31" name="Coverage 6"/>
    <tableColumn id="32" name="Coverage 7"/>
    <tableColumn id="33" name="Action Plan"/>
    <tableColumn id="34" name="Action Plan 2"/>
    <tableColumn id="35" name="Action Plan 3"/>
    <tableColumn id="36" name="Action Plan 4"/>
    <tableColumn id="37" name="Description"/>
    <tableColumn id="38" name="Column1"/>
  </tableColumns>
</table>
</file>

<file path=xl/tables/table2.xml><?xml version="1.0" encoding="utf-8"?>
<table xmlns="http://schemas.openxmlformats.org/spreadsheetml/2006/main" id="2" name="RawData" displayName="RawData" ref="A1:CY5001" headerRowCount="1" totalsRowCount="0" totalsRowShown="0">
  <autoFilter ref="A1:CY5001"/>
  <tableColumns count="103">
    <tableColumn id="1" name="ID"/>
    <tableColumn id="2" name="Start time"/>
    <tableColumn id="3" name="Completion time"/>
    <tableColumn id="4" name="Email"/>
    <tableColumn id="5" name="Name"/>
    <tableColumn id="6" name="BHR Name"/>
    <tableColumn id="7" name="BHR Employee ID"/>
    <tableColumn id="8" name="Date of Connect"/>
    <tableColumn id="9" name="Engagement Type"/>
    <tableColumn id="10" name="IBU/Practice/Location"/>
    <tableColumn id="11" name="Mention your location {Ex. Noida}"/>
    <tableColumn id="12" name="PRACTICE CODE (As per head count report) {Ex. DEA-D-2007}"/>
    <tableColumn id="13" name="Band"/>
    <tableColumn id="14" name="Engagement Mode"/>
    <tableColumn id="15" name="Service Line"/>
    <tableColumn id="16" name="EMPLOYEE IBU CODE (As per head count report) {Ex. DEA-D-4031}"/>
    <tableColumn id="17" name="PROJECT DESCRIPTION (As per head count report) {If Mixed then list down all the Project name/Practice/ SL}"/>
    <tableColumn id="18" name="LSA Connect (In detail)"/>
    <tableColumn id="19" name="Exclusive Award Ceremony (Not part of Townhall) (In detail)"/>
    <tableColumn id="20" name="Cadence Connect"/>
    <tableColumn id="21" name="CARES Framework"/>
    <tableColumn id="22" name="Career"/>
    <tableColumn id="23" name="Alignment"/>
    <tableColumn id="24" name="Recognition"/>
    <tableColumn id="25" name="Empowerment"/>
    <tableColumn id="26" name="Strive"/>
    <tableColumn id="27" name="Townhall - Coverage"/>
    <tableColumn id="28" name="Townhall - Key Insight&#10;"/>
    <tableColumn id="29" name=" Townhall - Action Plan"/>
    <tableColumn id="30" name="SL Induction - Coverage"/>
    <tableColumn id="31" name="SL Induction - Key Insight"/>
    <tableColumn id="32" name="SL Induction - Action Plan"/>
    <tableColumn id="33" name="Business Wait Connect - Coverage"/>
    <tableColumn id="34" name="Business Wait Connect - Key Insight"/>
    <tableColumn id="35" name="Business Wait Connect - Action Plan"/>
    <tableColumn id="36" name="ELTP Connect (Practice Level) - Coverage"/>
    <tableColumn id="37" name="ELTP Connect (Practice Level) - Key Insight"/>
    <tableColumn id="38" name="ELTP Connect (Practice Level) - Action Plan&#10;"/>
    <tableColumn id="39" name="ELTP Connect (&lt;6m) - Coverage"/>
    <tableColumn id="40" name="ELTP Connect (&lt;6m) - Key Insight"/>
    <tableColumn id="41" name="ELTP Connect (&lt;6m) - Action Plan"/>
    <tableColumn id="42" name="ELTP Connect (6-12m) - Coverage"/>
    <tableColumn id="43" name="ELTP Connect (6-12m) - Key Insight"/>
    <tableColumn id="44" name="ELTP Connect (6-12m) - Action Plan"/>
    <tableColumn id="45" name="ELTP Connect (12-24m) - Coverage"/>
    <tableColumn id="46" name="ELTP Connect (12-24m) - Key Insight"/>
    <tableColumn id="47" name="ELTP Connect (12-24m) - Action Plan"/>
    <tableColumn id="48" name="HR Connect (Project Wise) - Coverage"/>
    <tableColumn id="49" name="HR Connect (Project Wise) - Key Insights "/>
    <tableColumn id="50" name="HR Connect (Project Wise) - Action Plan"/>
    <tableColumn id="51" name="HR Connect (General) - Coverage"/>
    <tableColumn id="52" name="HR Connect (General) - Key Insights"/>
    <tableColumn id="53" name="HR Connect (General) - Action Plan"/>
    <tableColumn id="54" name="Top Talent Connect - Coverage"/>
    <tableColumn id="55" name="Top Talent Connect - Key Insights"/>
    <tableColumn id="56" name="Top Talent Connect - Action Plan"/>
    <tableColumn id="57" name="Top Talent FGD Connect - Coverage"/>
    <tableColumn id="58" name="Top Talent FGD Connect - Key Insights"/>
    <tableColumn id="59" name="Top Talent FGD Connect - Action Plan"/>
    <tableColumn id="60" name="New Joiner Connect (7 Days) - Coverage"/>
    <tableColumn id="61" name="New Joiner Connect (7 Days) - Key Insights"/>
    <tableColumn id="62" name="New Joiner Connect (7 Days) - Action Plan"/>
    <tableColumn id="63" name="New Joiner Connect (30 Days) - Coverage"/>
    <tableColumn id="64" name="New Joiner Connect (30 Days) - Key Insights"/>
    <tableColumn id="65" name="New Joiner Connect (30 Days) - Action Plan"/>
    <tableColumn id="66" name="New Joiner Connect (60 Days) - Coverage"/>
    <tableColumn id="67" name="New Joiner Connect (60 Days) - Key Insights"/>
    <tableColumn id="68" name="New Joiner Connect (60 Days) - Action Plan"/>
    <tableColumn id="69" name="New Joiner Connect (90 Days) - Coverage"/>
    <tableColumn id="70" name="New Joiner Connect (90 Days) - Key Insights"/>
    <tableColumn id="71" name="New Joiner Connect (90 Days) - Action Plan"/>
    <tableColumn id="72" name="ML Returnee Connect - Coverage"/>
    <tableColumn id="73" name="ML Returnee Connect - Key Insights"/>
    <tableColumn id="74" name="ML Returnee Connect - Action Plan"/>
    <tableColumn id="75" name="Skip Meeting - Coverage"/>
    <tableColumn id="76" name="Skip Meeting - Key Insights"/>
    <tableColumn id="77" name="Skip Meeting - Action Plan"/>
    <tableColumn id="78" name="Women Associate Connect - Coverage"/>
    <tableColumn id="79" name="Women Associate Connect - Key Insights"/>
    <tableColumn id="80" name="Women Associate Connect - Action Plan"/>
    <tableColumn id="81" name="Band Specific FGD Connect - Coverage"/>
    <tableColumn id="82" name="Band Specific FGD Connect - Key Insights"/>
    <tableColumn id="83" name="Band Specific FGD Connect - Action Plan"/>
    <tableColumn id="84" name="Leadership Connect - Coverage"/>
    <tableColumn id="85" name="Leadership Connect - Key Insights"/>
    <tableColumn id="86" name="Leadership Connect - Action Plan"/>
    <tableColumn id="87" name="Josh (Fun Engagements) - Coverage"/>
    <tableColumn id="88" name="Josh (Fun Engagements) - Key Insights"/>
    <tableColumn id="89" name="Josh (Fun Engagements) - Action Plan"/>
    <tableColumn id="90" name="Wellness Session - Coverage"/>
    <tableColumn id="91" name="Wellness Session - Key Insights"/>
    <tableColumn id="92" name="Wellness Session - Action Plan"/>
    <tableColumn id="93" name="ISR Activity - Coverage"/>
    <tableColumn id="94" name="ISR Activity - Key Insights"/>
    <tableColumn id="95" name="ISR Activity - Action Plan"/>
    <tableColumn id="96" name="Overall Sentiment"/>
    <tableColumn id="97" name="Action Owner"/>
    <tableColumn id="98" name="Engagement related Queries"/>
    <tableColumn id="99" name="Severity"/>
    <tableColumn id="100" name="Status"/>
    <tableColumn id="101" name="IBU Level Connect (Points discussed if any)"/>
    <tableColumn id="102" name="SL Level Connect (Points discussed if any)"/>
    <tableColumn id="103" name="Practice Level Connect ( (Points discussed if any)"/>
  </tableColumns>
</table>
</file>

<file path=xl/tables/table3.xml><?xml version="1.0" encoding="utf-8"?>
<table xmlns="http://schemas.openxmlformats.org/spreadsheetml/2006/main" id="3" name="SummaryData" displayName="SummaryData" ref="A1:AA20001" headerRowCount="1" totalsRowCount="0" totalsRowShown="0">
  <tableColumns count="27">
    <tableColumn id="1" name="ID"/>
    <tableColumn id="2" name="Start time"/>
    <tableColumn id="3" name="Completion time"/>
    <tableColumn id="4" name="Email"/>
    <tableColumn id="5" name="Name"/>
    <tableColumn id="6" name="BHR Name"/>
    <tableColumn id="7" name="BHR Employee ID"/>
    <tableColumn id="8" name="Date of Connect"/>
    <tableColumn id="9" name="Service Line"/>
    <tableColumn id="10" name="IBU/Practice/Location"/>
    <tableColumn id="11" name="Location Mentioned"/>
    <tableColumn id="12" name="Practice Code"/>
    <tableColumn id="13" name="Employee IBU Code"/>
    <tableColumn id="14" name="Project Description"/>
    <tableColumn id="15" name="Engagement Type"/>
    <tableColumn id="16" name="Band"/>
    <tableColumn id="17" name="Engagement Mode"/>
    <tableColumn id="18" name="CARES Framework"/>
    <tableColumn id="19" name="Overall Sentiment"/>
    <tableColumn id="20" name="Action Owner"/>
    <tableColumn id="21" name="Engagement related Queries"/>
    <tableColumn id="22" name="Severity"/>
    <tableColumn id="23" name="Status"/>
    <tableColumn id="24" name="Engagement Cohort"/>
    <tableColumn id="25" name="Record Type"/>
    <tableColumn id="26" name="Statement Order"/>
    <tableColumn id="27" name="Statement"/>
  </tableColumns>
</table>
</file>

<file path=xl/tables/table4.xml><?xml version="1.0" encoding="utf-8"?>
<table xmlns="http://schemas.openxmlformats.org/spreadsheetml/2006/main" id="4" name="UnmatchedData" displayName="UnmatchedData" ref="A1:C20001" headerRowCount="1" totalsRowCount="0" totalsRowShown="0">
  <autoFilter ref="A1:C20001"/>
  <tableColumns count="3">
    <tableColumn id="1" name="ID"/>
    <tableColumn id="2" name="Selected Connect"/>
    <tableColumn id="3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G1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CK176" activePane="bottomRight" state="frozen"/>
      <selection pane="topLeft" activeCell="A1" activeCellId="0" sqref="A1"/>
      <selection pane="topRight" activeCell="CK1" activeCellId="0" sqref="CK1"/>
      <selection pane="bottomLeft" activeCell="A176" activeCellId="0" sqref="A176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2" width="15.42"/>
    <col collapsed="false" customWidth="true" hidden="false" outlineLevel="0" max="4" min="4" style="1" width="8"/>
    <col collapsed="false" customWidth="true" hidden="false" outlineLevel="0" max="5" min="5" style="1" width="14.42"/>
    <col collapsed="false" customWidth="true" hidden="false" outlineLevel="0" max="6" min="6" style="1" width="17.42"/>
    <col collapsed="false" customWidth="true" hidden="false" outlineLevel="0" max="7" min="7" style="1" width="8"/>
    <col collapsed="false" customWidth="true" hidden="false" outlineLevel="0" max="8" min="8" style="2" width="15"/>
    <col collapsed="false" customWidth="true" hidden="false" outlineLevel="0" max="9" min="9" style="2" width="14.71"/>
    <col collapsed="false" customWidth="true" hidden="false" outlineLevel="0" max="10" min="10" style="1" width="10.85"/>
    <col collapsed="false" customWidth="true" hidden="false" outlineLevel="0" max="11" min="11" style="1" width="28.71"/>
    <col collapsed="false" customWidth="true" hidden="false" outlineLevel="0" max="15" min="12" style="1" width="22"/>
    <col collapsed="false" customWidth="true" hidden="false" outlineLevel="0" max="16" min="16" style="1" width="13.42"/>
    <col collapsed="false" customWidth="true" hidden="false" outlineLevel="0" max="17" min="17" style="1" width="8"/>
    <col collapsed="false" customWidth="true" hidden="false" outlineLevel="0" max="18" min="18" style="1" width="9.86"/>
    <col collapsed="false" customWidth="true" hidden="false" outlineLevel="0" max="19" min="19" style="1" width="20.71"/>
    <col collapsed="false" customWidth="true" hidden="false" outlineLevel="0" max="20" min="20" style="1" width="8"/>
    <col collapsed="false" customWidth="true" hidden="false" outlineLevel="0" max="22" min="21" style="1" width="20.71"/>
    <col collapsed="false" customWidth="true" hidden="false" outlineLevel="0" max="66" min="23" style="1" width="22"/>
    <col collapsed="false" customWidth="true" hidden="false" outlineLevel="0" max="67" min="67" style="1" width="20.71"/>
    <col collapsed="false" customWidth="true" hidden="false" outlineLevel="0" max="84" min="68" style="1" width="22"/>
    <col collapsed="false" customWidth="true" hidden="false" outlineLevel="0" max="85" min="85" style="1" width="20.71"/>
    <col collapsed="false" customWidth="true" hidden="false" outlineLevel="0" max="86" min="86" style="1" width="22"/>
    <col collapsed="false" customWidth="true" hidden="false" outlineLevel="0" max="87" min="87" style="1" width="15.29"/>
    <col collapsed="false" customWidth="true" hidden="false" outlineLevel="0" max="88" min="88" style="1" width="10.85"/>
    <col collapsed="false" customWidth="true" hidden="false" outlineLevel="0" max="90" min="90" style="1" width="11.29"/>
    <col collapsed="false" customWidth="true" hidden="false" outlineLevel="0" max="91" min="91" style="1" width="12.29"/>
    <col collapsed="false" customWidth="true" hidden="false" outlineLevel="0" max="92" min="92" style="1" width="9.42"/>
    <col collapsed="false" customWidth="true" hidden="false" outlineLevel="0" max="93" min="93" style="1" width="10.14"/>
    <col collapsed="false" customWidth="true" hidden="false" outlineLevel="0" max="94" min="94" style="1" width="9.71"/>
    <col collapsed="false" customWidth="true" hidden="false" outlineLevel="0" max="95" min="95" style="1" width="10.29"/>
    <col collapsed="false" customWidth="true" hidden="false" outlineLevel="0" max="96" min="96" style="1" width="10.42"/>
    <col collapsed="false" customWidth="true" hidden="false" outlineLevel="0" max="97" min="97" style="1" width="10.29"/>
    <col collapsed="false" customWidth="true" hidden="false" outlineLevel="0" max="98" min="98" style="1" width="10.85"/>
    <col collapsed="false" customWidth="true" hidden="false" outlineLevel="0" max="99" min="99" style="1" width="22"/>
    <col collapsed="false" customWidth="false" hidden="false" outlineLevel="0" max="100" min="100" style="1" width="8.71"/>
    <col collapsed="false" customWidth="true" hidden="false" outlineLevel="0" max="101" min="101" style="1" width="14.14"/>
    <col collapsed="false" customWidth="false" hidden="false" outlineLevel="0" max="111" min="102" style="3" width="8.71"/>
    <col collapsed="false" customWidth="false" hidden="false" outlineLevel="0" max="16384" min="112" style="4" width="8.71"/>
  </cols>
  <sheetData>
    <row r="1" s="4" customFormat="true" ht="39" hidden="false" customHeight="true" outlineLevel="0" collapsed="false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7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7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5" t="s">
        <v>97</v>
      </c>
      <c r="CU1" s="8" t="s">
        <v>98</v>
      </c>
      <c r="CV1" s="8" t="s">
        <v>99</v>
      </c>
      <c r="CW1" s="4" t="s">
        <v>100</v>
      </c>
      <c r="CX1" s="4" t="s">
        <v>101</v>
      </c>
      <c r="CY1" s="4" t="s">
        <v>102</v>
      </c>
    </row>
    <row r="2" customFormat="false" ht="11.25" hidden="false" customHeight="true" outlineLevel="0" collapsed="false">
      <c r="A2" s="9" t="n">
        <v>1</v>
      </c>
      <c r="B2" s="10" t="n">
        <v>46150.5170681482</v>
      </c>
      <c r="C2" s="10" t="n">
        <v>46150.5336075</v>
      </c>
      <c r="D2" s="9" t="s">
        <v>103</v>
      </c>
      <c r="E2" s="9" t="s">
        <v>104</v>
      </c>
      <c r="F2" s="9" t="s">
        <v>105</v>
      </c>
      <c r="G2" s="9" t="s">
        <v>106</v>
      </c>
      <c r="H2" s="10" t="n">
        <v>46142</v>
      </c>
      <c r="I2" s="10" t="s">
        <v>107</v>
      </c>
      <c r="J2" s="9" t="s">
        <v>108</v>
      </c>
      <c r="K2" s="9" t="s">
        <v>109</v>
      </c>
      <c r="L2" s="9" t="s">
        <v>110</v>
      </c>
      <c r="M2" s="9" t="s">
        <v>111</v>
      </c>
      <c r="N2" s="9" t="s">
        <v>112</v>
      </c>
      <c r="O2" s="9" t="s">
        <v>113</v>
      </c>
      <c r="P2" s="9" t="s">
        <v>114</v>
      </c>
      <c r="Q2" s="9" t="s">
        <v>115</v>
      </c>
      <c r="R2" s="9"/>
      <c r="S2" s="9"/>
      <c r="T2" s="9"/>
      <c r="U2" s="9" t="s">
        <v>22</v>
      </c>
      <c r="V2" s="9"/>
      <c r="W2" s="9" t="s">
        <v>116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 t="s">
        <v>117</v>
      </c>
      <c r="BU2" s="9" t="s">
        <v>118</v>
      </c>
      <c r="BV2" s="9" t="s">
        <v>119</v>
      </c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3"/>
      <c r="CN2" s="3"/>
      <c r="CO2" s="3"/>
      <c r="CP2" s="3"/>
      <c r="CQ2" s="3"/>
      <c r="CR2" s="3" t="s">
        <v>120</v>
      </c>
      <c r="CS2" s="3" t="s">
        <v>121</v>
      </c>
      <c r="CT2" s="9" t="s">
        <v>122</v>
      </c>
      <c r="CU2" s="3" t="s">
        <v>123</v>
      </c>
      <c r="CV2" s="3" t="s">
        <v>124</v>
      </c>
      <c r="CW2" s="3"/>
      <c r="DG2" s="4"/>
    </row>
    <row r="3" customFormat="false" ht="11.25" hidden="false" customHeight="true" outlineLevel="0" collapsed="false">
      <c r="A3" s="9" t="n">
        <v>2</v>
      </c>
      <c r="B3" s="10" t="n">
        <v>46110.8180594213</v>
      </c>
      <c r="C3" s="10" t="n">
        <v>46110.8385686806</v>
      </c>
      <c r="D3" s="9" t="s">
        <v>125</v>
      </c>
      <c r="E3" s="9" t="s">
        <v>126</v>
      </c>
      <c r="F3" s="9" t="s">
        <v>126</v>
      </c>
      <c r="G3" s="9" t="s">
        <v>127</v>
      </c>
      <c r="H3" s="10" t="n">
        <v>46093</v>
      </c>
      <c r="I3" s="10" t="s">
        <v>107</v>
      </c>
      <c r="J3" s="9" t="s">
        <v>128</v>
      </c>
      <c r="K3" s="9" t="s">
        <v>129</v>
      </c>
      <c r="L3" s="9" t="s">
        <v>130</v>
      </c>
      <c r="M3" s="9" t="s">
        <v>131</v>
      </c>
      <c r="N3" s="9" t="s">
        <v>112</v>
      </c>
      <c r="O3" s="9" t="s">
        <v>132</v>
      </c>
      <c r="P3" s="9" t="s">
        <v>133</v>
      </c>
      <c r="Q3" s="9" t="s">
        <v>134</v>
      </c>
      <c r="R3" s="9"/>
      <c r="S3" s="9"/>
      <c r="T3" s="9"/>
      <c r="U3" s="9" t="s">
        <v>22</v>
      </c>
      <c r="V3" s="9"/>
      <c r="W3" s="9" t="s">
        <v>135</v>
      </c>
      <c r="X3" s="9"/>
      <c r="Y3" s="9"/>
      <c r="Z3" s="9"/>
      <c r="AA3" s="9" t="s">
        <v>136</v>
      </c>
      <c r="AB3" s="9" t="s">
        <v>137</v>
      </c>
      <c r="AC3" s="9" t="s">
        <v>138</v>
      </c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3"/>
      <c r="CN3" s="3"/>
      <c r="CO3" s="3"/>
      <c r="CP3" s="3"/>
      <c r="CQ3" s="3"/>
      <c r="CR3" s="3" t="s">
        <v>120</v>
      </c>
      <c r="CS3" s="3" t="s">
        <v>121</v>
      </c>
      <c r="CT3" s="9"/>
      <c r="CU3" s="3" t="s">
        <v>123</v>
      </c>
      <c r="CV3" s="3" t="s">
        <v>139</v>
      </c>
      <c r="CW3" s="3"/>
      <c r="DG3" s="4"/>
    </row>
    <row r="4" customFormat="false" ht="11.25" hidden="false" customHeight="true" outlineLevel="0" collapsed="false">
      <c r="A4" s="9" t="n">
        <v>3</v>
      </c>
      <c r="B4" s="10" t="n">
        <v>46143.6893473148</v>
      </c>
      <c r="C4" s="10" t="n">
        <v>46143.7080162963</v>
      </c>
      <c r="D4" s="9" t="s">
        <v>140</v>
      </c>
      <c r="E4" s="9" t="s">
        <v>141</v>
      </c>
      <c r="F4" s="9" t="s">
        <v>141</v>
      </c>
      <c r="G4" s="9" t="s">
        <v>142</v>
      </c>
      <c r="H4" s="10" t="n">
        <v>46131</v>
      </c>
      <c r="I4" s="10" t="s">
        <v>107</v>
      </c>
      <c r="J4" s="9" t="s">
        <v>128</v>
      </c>
      <c r="K4" s="9" t="s">
        <v>143</v>
      </c>
      <c r="L4" s="9" t="s">
        <v>144</v>
      </c>
      <c r="M4" s="9" t="s">
        <v>131</v>
      </c>
      <c r="N4" s="9" t="s">
        <v>145</v>
      </c>
      <c r="O4" s="9" t="s">
        <v>113</v>
      </c>
      <c r="P4" s="9" t="s">
        <v>146</v>
      </c>
      <c r="Q4" s="9" t="s">
        <v>147</v>
      </c>
      <c r="R4" s="9"/>
      <c r="S4" s="9"/>
      <c r="T4" s="9"/>
      <c r="U4" s="9" t="s">
        <v>22</v>
      </c>
      <c r="V4" s="9"/>
      <c r="W4" s="9" t="s">
        <v>148</v>
      </c>
      <c r="X4" s="9"/>
      <c r="Y4" s="9"/>
      <c r="Z4" s="9"/>
      <c r="AA4" s="9"/>
      <c r="AB4" s="9"/>
      <c r="AC4" s="9"/>
      <c r="AD4" s="9" t="s">
        <v>149</v>
      </c>
      <c r="AE4" s="9" t="s">
        <v>150</v>
      </c>
      <c r="AF4" s="9" t="s">
        <v>151</v>
      </c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3"/>
      <c r="CN4" s="3"/>
      <c r="CO4" s="3"/>
      <c r="CP4" s="3"/>
      <c r="CQ4" s="3"/>
      <c r="CR4" s="3" t="s">
        <v>152</v>
      </c>
      <c r="CS4" s="3" t="s">
        <v>121</v>
      </c>
      <c r="CT4" s="9" t="s">
        <v>153</v>
      </c>
      <c r="CU4" s="3" t="s">
        <v>123</v>
      </c>
      <c r="CV4" s="3" t="s">
        <v>124</v>
      </c>
      <c r="CW4" s="3"/>
      <c r="DG4" s="4"/>
    </row>
    <row r="5" customFormat="false" ht="11.25" hidden="false" customHeight="true" outlineLevel="0" collapsed="false">
      <c r="A5" s="9" t="n">
        <v>4</v>
      </c>
      <c r="B5" s="10" t="n">
        <v>46115.7985240162</v>
      </c>
      <c r="C5" s="10" t="n">
        <v>46115.8031883681</v>
      </c>
      <c r="D5" s="9" t="s">
        <v>154</v>
      </c>
      <c r="E5" s="9" t="s">
        <v>155</v>
      </c>
      <c r="F5" s="9" t="s">
        <v>155</v>
      </c>
      <c r="G5" s="9" t="s">
        <v>156</v>
      </c>
      <c r="H5" s="10" t="n">
        <v>46114</v>
      </c>
      <c r="I5" s="10" t="s">
        <v>157</v>
      </c>
      <c r="J5" s="9" t="s">
        <v>108</v>
      </c>
      <c r="K5" s="9" t="s">
        <v>158</v>
      </c>
      <c r="L5" s="9" t="s">
        <v>159</v>
      </c>
      <c r="M5" s="9" t="s">
        <v>111</v>
      </c>
      <c r="N5" s="9" t="s">
        <v>112</v>
      </c>
      <c r="O5" s="9" t="s">
        <v>113</v>
      </c>
      <c r="P5" s="9" t="s">
        <v>160</v>
      </c>
      <c r="Q5" s="9" t="s">
        <v>161</v>
      </c>
      <c r="R5" s="9"/>
      <c r="S5" s="9"/>
      <c r="T5" s="9"/>
      <c r="U5" s="9" t="s">
        <v>22</v>
      </c>
      <c r="V5" s="9"/>
      <c r="W5" s="9" t="s">
        <v>116</v>
      </c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 t="s">
        <v>162</v>
      </c>
      <c r="BU5" s="9" t="s">
        <v>163</v>
      </c>
      <c r="BV5" s="9" t="s">
        <v>164</v>
      </c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3"/>
      <c r="CN5" s="3"/>
      <c r="CO5" s="3"/>
      <c r="CP5" s="3"/>
      <c r="CQ5" s="3"/>
      <c r="CR5" s="3" t="s">
        <v>152</v>
      </c>
      <c r="CS5" s="3" t="s">
        <v>165</v>
      </c>
      <c r="CT5" s="9" t="s">
        <v>166</v>
      </c>
      <c r="CU5" s="3" t="s">
        <v>167</v>
      </c>
      <c r="CV5" s="3" t="s">
        <v>168</v>
      </c>
      <c r="CW5" s="3"/>
      <c r="DG5" s="4"/>
    </row>
    <row r="6" customFormat="false" ht="11.25" hidden="false" customHeight="true" outlineLevel="0" collapsed="false">
      <c r="A6" s="9" t="n">
        <v>5</v>
      </c>
      <c r="B6" s="10" t="n">
        <v>46084.525966169</v>
      </c>
      <c r="C6" s="10" t="n">
        <v>46084.5424939468</v>
      </c>
      <c r="D6" s="9" t="s">
        <v>169</v>
      </c>
      <c r="E6" s="9" t="s">
        <v>170</v>
      </c>
      <c r="F6" s="9" t="s">
        <v>170</v>
      </c>
      <c r="G6" s="9" t="s">
        <v>171</v>
      </c>
      <c r="H6" s="10" t="n">
        <v>46080</v>
      </c>
      <c r="I6" s="10" t="s">
        <v>172</v>
      </c>
      <c r="J6" s="9" t="s">
        <v>108</v>
      </c>
      <c r="K6" s="9" t="s">
        <v>173</v>
      </c>
      <c r="L6" s="9" t="s">
        <v>144</v>
      </c>
      <c r="M6" s="9" t="s">
        <v>111</v>
      </c>
      <c r="N6" s="9" t="s">
        <v>112</v>
      </c>
      <c r="O6" s="9" t="s">
        <v>113</v>
      </c>
      <c r="P6" s="9" t="s">
        <v>174</v>
      </c>
      <c r="Q6" s="9" t="s">
        <v>175</v>
      </c>
      <c r="R6" s="9"/>
      <c r="S6" s="9"/>
      <c r="T6" s="9"/>
      <c r="U6" s="9" t="s">
        <v>22</v>
      </c>
      <c r="V6" s="9"/>
      <c r="W6" s="9" t="s">
        <v>176</v>
      </c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 t="s">
        <v>177</v>
      </c>
      <c r="AZ6" s="9" t="s">
        <v>178</v>
      </c>
      <c r="BA6" s="9" t="s">
        <v>179</v>
      </c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3"/>
      <c r="CN6" s="3"/>
      <c r="CO6" s="3"/>
      <c r="CP6" s="3"/>
      <c r="CQ6" s="3"/>
      <c r="CR6" s="3" t="s">
        <v>152</v>
      </c>
      <c r="CS6" s="3" t="s">
        <v>180</v>
      </c>
      <c r="CT6" s="9" t="s">
        <v>122</v>
      </c>
      <c r="CU6" s="3" t="s">
        <v>123</v>
      </c>
      <c r="CV6" s="3" t="s">
        <v>124</v>
      </c>
      <c r="CW6" s="3"/>
      <c r="DG6" s="4"/>
    </row>
    <row r="7" customFormat="false" ht="11.25" hidden="false" customHeight="true" outlineLevel="0" collapsed="false">
      <c r="A7" s="9" t="n">
        <v>6</v>
      </c>
      <c r="B7" s="10" t="n">
        <v>46050.7368602199</v>
      </c>
      <c r="C7" s="10" t="n">
        <v>46050.7456333681</v>
      </c>
      <c r="D7" s="9" t="s">
        <v>181</v>
      </c>
      <c r="E7" s="9" t="s">
        <v>182</v>
      </c>
      <c r="F7" s="9" t="s">
        <v>182</v>
      </c>
      <c r="G7" s="9" t="s">
        <v>183</v>
      </c>
      <c r="H7" s="10" t="n">
        <v>46030</v>
      </c>
      <c r="I7" s="10" t="s">
        <v>172</v>
      </c>
      <c r="J7" s="9" t="s">
        <v>128</v>
      </c>
      <c r="K7" s="9" t="s">
        <v>143</v>
      </c>
      <c r="L7" s="9" t="s">
        <v>184</v>
      </c>
      <c r="M7" s="9" t="s">
        <v>111</v>
      </c>
      <c r="N7" s="9" t="s">
        <v>112</v>
      </c>
      <c r="O7" s="9" t="s">
        <v>113</v>
      </c>
      <c r="P7" s="9" t="s">
        <v>185</v>
      </c>
      <c r="Q7" s="9" t="s">
        <v>186</v>
      </c>
      <c r="R7" s="9"/>
      <c r="S7" s="9"/>
      <c r="T7" s="9"/>
      <c r="U7" s="9" t="s">
        <v>21</v>
      </c>
      <c r="V7" s="9" t="s">
        <v>187</v>
      </c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 t="s">
        <v>188</v>
      </c>
      <c r="AQ7" s="9" t="s">
        <v>189</v>
      </c>
      <c r="AR7" s="9" t="s">
        <v>190</v>
      </c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3"/>
      <c r="CN7" s="3"/>
      <c r="CO7" s="3"/>
      <c r="CP7" s="3"/>
      <c r="CQ7" s="3"/>
      <c r="CR7" s="3" t="s">
        <v>152</v>
      </c>
      <c r="CS7" s="3" t="s">
        <v>121</v>
      </c>
      <c r="CT7" s="9" t="s">
        <v>191</v>
      </c>
      <c r="CU7" s="3" t="s">
        <v>192</v>
      </c>
      <c r="CV7" s="3" t="s">
        <v>124</v>
      </c>
      <c r="CW7" s="3"/>
      <c r="DG7" s="4"/>
    </row>
    <row r="8" customFormat="false" ht="11.25" hidden="false" customHeight="true" outlineLevel="0" collapsed="false">
      <c r="A8" s="9" t="n">
        <v>7</v>
      </c>
      <c r="B8" s="10" t="n">
        <v>46144.0009641319</v>
      </c>
      <c r="C8" s="10" t="n">
        <v>46144.0135567245</v>
      </c>
      <c r="D8" s="9" t="s">
        <v>193</v>
      </c>
      <c r="E8" s="9" t="s">
        <v>194</v>
      </c>
      <c r="F8" s="9" t="s">
        <v>194</v>
      </c>
      <c r="G8" s="9" t="s">
        <v>195</v>
      </c>
      <c r="H8" s="10" t="n">
        <v>46141</v>
      </c>
      <c r="I8" s="10" t="s">
        <v>107</v>
      </c>
      <c r="J8" s="9" t="s">
        <v>108</v>
      </c>
      <c r="K8" s="9" t="s">
        <v>196</v>
      </c>
      <c r="L8" s="9" t="s">
        <v>197</v>
      </c>
      <c r="M8" s="9" t="s">
        <v>111</v>
      </c>
      <c r="N8" s="9" t="s">
        <v>198</v>
      </c>
      <c r="O8" s="9" t="s">
        <v>113</v>
      </c>
      <c r="P8" s="9" t="s">
        <v>199</v>
      </c>
      <c r="Q8" s="9" t="s">
        <v>200</v>
      </c>
      <c r="R8" s="9"/>
      <c r="S8" s="9"/>
      <c r="T8" s="9"/>
      <c r="U8" s="9" t="s">
        <v>22</v>
      </c>
      <c r="V8" s="9"/>
      <c r="W8" s="9" t="s">
        <v>148</v>
      </c>
      <c r="X8" s="9"/>
      <c r="Y8" s="9"/>
      <c r="Z8" s="9"/>
      <c r="AA8" s="9"/>
      <c r="AB8" s="9"/>
      <c r="AC8" s="9"/>
      <c r="AD8" s="9" t="s">
        <v>201</v>
      </c>
      <c r="AE8" s="9" t="s">
        <v>202</v>
      </c>
      <c r="AF8" s="9" t="s">
        <v>203</v>
      </c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3"/>
      <c r="CN8" s="3"/>
      <c r="CO8" s="3"/>
      <c r="CP8" s="3"/>
      <c r="CQ8" s="3"/>
      <c r="CR8" s="3" t="s">
        <v>152</v>
      </c>
      <c r="CS8" s="3" t="s">
        <v>121</v>
      </c>
      <c r="CT8" s="9" t="s">
        <v>204</v>
      </c>
      <c r="CU8" s="3" t="s">
        <v>123</v>
      </c>
      <c r="CV8" s="3" t="s">
        <v>168</v>
      </c>
      <c r="CW8" s="3"/>
      <c r="CY8" s="3" t="s">
        <v>205</v>
      </c>
      <c r="DG8" s="4"/>
    </row>
    <row r="9" customFormat="false" ht="11.25" hidden="false" customHeight="true" outlineLevel="0" collapsed="false">
      <c r="A9" s="9" t="n">
        <v>8</v>
      </c>
      <c r="B9" s="10" t="n">
        <v>46056.5921601273</v>
      </c>
      <c r="C9" s="10" t="n">
        <v>46056.5938962384</v>
      </c>
      <c r="D9" s="9" t="s">
        <v>206</v>
      </c>
      <c r="E9" s="9" t="s">
        <v>207</v>
      </c>
      <c r="F9" s="9" t="s">
        <v>207</v>
      </c>
      <c r="G9" s="9" t="s">
        <v>208</v>
      </c>
      <c r="H9" s="10" t="n">
        <v>46049</v>
      </c>
      <c r="I9" s="10" t="s">
        <v>107</v>
      </c>
      <c r="J9" s="9" t="s">
        <v>108</v>
      </c>
      <c r="K9" s="9" t="s">
        <v>209</v>
      </c>
      <c r="L9" s="9" t="s">
        <v>210</v>
      </c>
      <c r="M9" s="9" t="s">
        <v>211</v>
      </c>
      <c r="N9" s="9" t="s">
        <v>112</v>
      </c>
      <c r="O9" s="9" t="s">
        <v>113</v>
      </c>
      <c r="P9" s="9" t="s">
        <v>212</v>
      </c>
      <c r="Q9" s="9" t="s">
        <v>213</v>
      </c>
      <c r="R9" s="9"/>
      <c r="S9" s="9"/>
      <c r="T9" s="9"/>
      <c r="U9" s="9" t="s">
        <v>24</v>
      </c>
      <c r="V9" s="9"/>
      <c r="W9" s="9"/>
      <c r="X9" s="9"/>
      <c r="Y9" s="9" t="s">
        <v>214</v>
      </c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 t="s">
        <v>215</v>
      </c>
      <c r="CD9" s="9" t="s">
        <v>216</v>
      </c>
      <c r="CE9" s="9" t="s">
        <v>217</v>
      </c>
      <c r="CF9" s="9"/>
      <c r="CG9" s="9"/>
      <c r="CH9" s="9"/>
      <c r="CI9" s="9"/>
      <c r="CJ9" s="9"/>
      <c r="CK9" s="9"/>
      <c r="CL9" s="9"/>
      <c r="CM9" s="3"/>
      <c r="CN9" s="3"/>
      <c r="CO9" s="3"/>
      <c r="CP9" s="3"/>
      <c r="CQ9" s="3"/>
      <c r="CR9" s="3" t="s">
        <v>152</v>
      </c>
      <c r="CS9" s="3" t="s">
        <v>121</v>
      </c>
      <c r="CT9" s="9" t="s">
        <v>218</v>
      </c>
      <c r="CU9" s="3" t="s">
        <v>123</v>
      </c>
      <c r="CV9" s="3" t="s">
        <v>124</v>
      </c>
      <c r="CW9" s="3" t="s">
        <v>219</v>
      </c>
      <c r="DG9" s="4"/>
    </row>
    <row r="10" customFormat="false" ht="11.25" hidden="false" customHeight="true" outlineLevel="0" collapsed="false">
      <c r="A10" s="9" t="n">
        <v>9</v>
      </c>
      <c r="B10" s="10" t="n">
        <v>46068.9054023843</v>
      </c>
      <c r="C10" s="10" t="n">
        <v>46068.9086894213</v>
      </c>
      <c r="D10" s="9" t="s">
        <v>220</v>
      </c>
      <c r="E10" s="9" t="s">
        <v>221</v>
      </c>
      <c r="F10" s="9" t="s">
        <v>221</v>
      </c>
      <c r="G10" s="9" t="s">
        <v>222</v>
      </c>
      <c r="H10" s="10" t="n">
        <v>46049</v>
      </c>
      <c r="I10" s="10" t="s">
        <v>107</v>
      </c>
      <c r="J10" s="9" t="s">
        <v>128</v>
      </c>
      <c r="K10" s="9" t="s">
        <v>143</v>
      </c>
      <c r="L10" s="9" t="s">
        <v>197</v>
      </c>
      <c r="M10" s="9" t="s">
        <v>111</v>
      </c>
      <c r="N10" s="9" t="s">
        <v>112</v>
      </c>
      <c r="O10" s="9" t="s">
        <v>113</v>
      </c>
      <c r="P10" s="9" t="s">
        <v>144</v>
      </c>
      <c r="Q10" s="9" t="s">
        <v>147</v>
      </c>
      <c r="R10" s="9"/>
      <c r="S10" s="9"/>
      <c r="T10" s="9"/>
      <c r="U10" s="9" t="s">
        <v>24</v>
      </c>
      <c r="V10" s="9"/>
      <c r="W10" s="9"/>
      <c r="X10" s="9"/>
      <c r="Y10" s="9" t="s">
        <v>223</v>
      </c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 t="s">
        <v>224</v>
      </c>
      <c r="CA10" s="9" t="s">
        <v>225</v>
      </c>
      <c r="CB10" s="9" t="s">
        <v>226</v>
      </c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3"/>
      <c r="CN10" s="3"/>
      <c r="CO10" s="3"/>
      <c r="CP10" s="3"/>
      <c r="CQ10" s="3"/>
      <c r="CR10" s="3" t="s">
        <v>227</v>
      </c>
      <c r="CS10" s="3" t="s">
        <v>228</v>
      </c>
      <c r="CT10" s="9" t="s">
        <v>122</v>
      </c>
      <c r="CU10" s="3" t="s">
        <v>192</v>
      </c>
      <c r="CV10" s="3" t="s">
        <v>124</v>
      </c>
      <c r="CW10" s="3"/>
      <c r="DG10" s="4"/>
    </row>
    <row r="11" customFormat="false" ht="11.25" hidden="false" customHeight="true" outlineLevel="0" collapsed="false">
      <c r="A11" s="9" t="n">
        <v>10</v>
      </c>
      <c r="B11" s="10" t="n">
        <v>46174.9093224537</v>
      </c>
      <c r="C11" s="10" t="n">
        <v>46174.9189752315</v>
      </c>
      <c r="D11" s="9" t="s">
        <v>229</v>
      </c>
      <c r="E11" s="9" t="s">
        <v>230</v>
      </c>
      <c r="F11" s="9" t="s">
        <v>230</v>
      </c>
      <c r="G11" s="9" t="s">
        <v>231</v>
      </c>
      <c r="H11" s="10" t="n">
        <v>46163</v>
      </c>
      <c r="I11" s="10" t="s">
        <v>172</v>
      </c>
      <c r="J11" s="9" t="s">
        <v>108</v>
      </c>
      <c r="K11" s="9" t="s">
        <v>232</v>
      </c>
      <c r="L11" s="9" t="s">
        <v>233</v>
      </c>
      <c r="M11" s="9" t="s">
        <v>111</v>
      </c>
      <c r="N11" s="9" t="s">
        <v>145</v>
      </c>
      <c r="O11" s="9" t="s">
        <v>113</v>
      </c>
      <c r="P11" s="9" t="s">
        <v>234</v>
      </c>
      <c r="Q11" s="9" t="s">
        <v>235</v>
      </c>
      <c r="R11" s="9"/>
      <c r="S11" s="9"/>
      <c r="T11" s="9"/>
      <c r="U11" s="9" t="s">
        <v>24</v>
      </c>
      <c r="V11" s="9"/>
      <c r="W11" s="9"/>
      <c r="X11" s="9"/>
      <c r="Y11" s="9" t="s">
        <v>223</v>
      </c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 t="s">
        <v>236</v>
      </c>
      <c r="CA11" s="9" t="s">
        <v>237</v>
      </c>
      <c r="CB11" s="9" t="s">
        <v>238</v>
      </c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3"/>
      <c r="CN11" s="3"/>
      <c r="CO11" s="3"/>
      <c r="CP11" s="3"/>
      <c r="CQ11" s="3"/>
      <c r="CR11" s="3" t="s">
        <v>152</v>
      </c>
      <c r="CS11" s="3" t="s">
        <v>180</v>
      </c>
      <c r="CT11" s="9" t="s">
        <v>239</v>
      </c>
      <c r="CU11" s="3" t="s">
        <v>192</v>
      </c>
      <c r="CV11" s="3" t="s">
        <v>168</v>
      </c>
      <c r="CW11" s="3"/>
      <c r="DG11" s="4"/>
    </row>
    <row r="12" customFormat="false" ht="11.25" hidden="false" customHeight="true" outlineLevel="0" collapsed="false">
      <c r="A12" s="9" t="n">
        <v>11</v>
      </c>
      <c r="B12" s="10" t="n">
        <v>46103.1895274884</v>
      </c>
      <c r="C12" s="10" t="n">
        <v>46103.1974673032</v>
      </c>
      <c r="D12" s="9" t="s">
        <v>240</v>
      </c>
      <c r="E12" s="9" t="s">
        <v>241</v>
      </c>
      <c r="F12" s="9" t="s">
        <v>242</v>
      </c>
      <c r="G12" s="9" t="s">
        <v>243</v>
      </c>
      <c r="H12" s="10" t="n">
        <v>46099</v>
      </c>
      <c r="I12" s="10" t="s">
        <v>244</v>
      </c>
      <c r="J12" s="9" t="s">
        <v>108</v>
      </c>
      <c r="K12" s="9" t="s">
        <v>245</v>
      </c>
      <c r="L12" s="9" t="s">
        <v>246</v>
      </c>
      <c r="M12" s="9" t="s">
        <v>111</v>
      </c>
      <c r="N12" s="9" t="s">
        <v>247</v>
      </c>
      <c r="O12" s="9" t="s">
        <v>113</v>
      </c>
      <c r="P12" s="9" t="s">
        <v>248</v>
      </c>
      <c r="Q12" s="9" t="s">
        <v>249</v>
      </c>
      <c r="R12" s="9"/>
      <c r="S12" s="9"/>
      <c r="T12" s="9"/>
      <c r="U12" s="9" t="s">
        <v>21</v>
      </c>
      <c r="V12" s="9" t="s">
        <v>250</v>
      </c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 t="s">
        <v>251</v>
      </c>
      <c r="BF12" s="9" t="s">
        <v>252</v>
      </c>
      <c r="BG12" s="9" t="s">
        <v>253</v>
      </c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3"/>
      <c r="CN12" s="3"/>
      <c r="CO12" s="3"/>
      <c r="CP12" s="3"/>
      <c r="CQ12" s="3"/>
      <c r="CR12" s="3" t="s">
        <v>120</v>
      </c>
      <c r="CS12" s="3" t="s">
        <v>121</v>
      </c>
      <c r="CT12" s="9"/>
      <c r="CU12" s="3" t="s">
        <v>192</v>
      </c>
      <c r="CV12" s="3" t="s">
        <v>168</v>
      </c>
      <c r="CW12" s="3"/>
      <c r="DG12" s="4"/>
    </row>
    <row r="13" customFormat="false" ht="11.25" hidden="false" customHeight="true" outlineLevel="0" collapsed="false">
      <c r="A13" s="9" t="n">
        <v>12</v>
      </c>
      <c r="B13" s="10" t="n">
        <v>46156.129261713</v>
      </c>
      <c r="C13" s="10" t="n">
        <v>46156.1362524537</v>
      </c>
      <c r="D13" s="9" t="s">
        <v>254</v>
      </c>
      <c r="E13" s="9" t="s">
        <v>255</v>
      </c>
      <c r="F13" s="9" t="s">
        <v>255</v>
      </c>
      <c r="G13" s="9" t="s">
        <v>256</v>
      </c>
      <c r="H13" s="10" t="n">
        <v>46151</v>
      </c>
      <c r="I13" s="10" t="s">
        <v>157</v>
      </c>
      <c r="J13" s="9" t="s">
        <v>108</v>
      </c>
      <c r="K13" s="9" t="s">
        <v>257</v>
      </c>
      <c r="L13" s="9" t="s">
        <v>159</v>
      </c>
      <c r="M13" s="9" t="s">
        <v>131</v>
      </c>
      <c r="N13" s="9" t="s">
        <v>145</v>
      </c>
      <c r="O13" s="9" t="s">
        <v>132</v>
      </c>
      <c r="P13" s="9" t="s">
        <v>258</v>
      </c>
      <c r="Q13" s="9" t="s">
        <v>259</v>
      </c>
      <c r="R13" s="9"/>
      <c r="S13" s="9"/>
      <c r="T13" s="9"/>
      <c r="U13" s="9" t="s">
        <v>24</v>
      </c>
      <c r="V13" s="9"/>
      <c r="W13" s="9"/>
      <c r="X13" s="9"/>
      <c r="Y13" s="9" t="s">
        <v>260</v>
      </c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 t="s">
        <v>261</v>
      </c>
      <c r="CG13" s="9" t="s">
        <v>262</v>
      </c>
      <c r="CH13" s="9" t="s">
        <v>263</v>
      </c>
      <c r="CI13" s="9"/>
      <c r="CJ13" s="9"/>
      <c r="CK13" s="9"/>
      <c r="CL13" s="9"/>
      <c r="CM13" s="3"/>
      <c r="CN13" s="3"/>
      <c r="CO13" s="3"/>
      <c r="CP13" s="3"/>
      <c r="CQ13" s="3"/>
      <c r="CR13" s="3" t="s">
        <v>120</v>
      </c>
      <c r="CS13" s="3" t="s">
        <v>264</v>
      </c>
      <c r="CT13" s="9" t="s">
        <v>122</v>
      </c>
      <c r="CU13" s="3" t="s">
        <v>123</v>
      </c>
      <c r="CV13" s="3" t="s">
        <v>124</v>
      </c>
      <c r="CW13" s="3"/>
      <c r="DG13" s="4"/>
    </row>
    <row r="14" customFormat="false" ht="11.25" hidden="false" customHeight="true" outlineLevel="0" collapsed="false">
      <c r="A14" s="9" t="n">
        <v>13</v>
      </c>
      <c r="B14" s="10" t="n">
        <v>46166.8891120486</v>
      </c>
      <c r="C14" s="10" t="n">
        <v>46166.9025726968</v>
      </c>
      <c r="D14" s="9" t="s">
        <v>265</v>
      </c>
      <c r="E14" s="9" t="s">
        <v>266</v>
      </c>
      <c r="F14" s="9" t="s">
        <v>266</v>
      </c>
      <c r="G14" s="9" t="s">
        <v>267</v>
      </c>
      <c r="H14" s="10" t="n">
        <v>46149</v>
      </c>
      <c r="I14" s="10" t="s">
        <v>172</v>
      </c>
      <c r="J14" s="9" t="s">
        <v>108</v>
      </c>
      <c r="K14" s="9" t="s">
        <v>232</v>
      </c>
      <c r="L14" s="9" t="s">
        <v>268</v>
      </c>
      <c r="M14" s="9" t="s">
        <v>111</v>
      </c>
      <c r="N14" s="9" t="s">
        <v>198</v>
      </c>
      <c r="O14" s="9" t="s">
        <v>113</v>
      </c>
      <c r="P14" s="9" t="s">
        <v>269</v>
      </c>
      <c r="Q14" s="9" t="s">
        <v>270</v>
      </c>
      <c r="R14" s="9"/>
      <c r="S14" s="9"/>
      <c r="T14" s="9"/>
      <c r="U14" s="9" t="s">
        <v>22</v>
      </c>
      <c r="V14" s="9"/>
      <c r="W14" s="9" t="s">
        <v>271</v>
      </c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 t="s">
        <v>272</v>
      </c>
      <c r="BL14" s="9" t="s">
        <v>273</v>
      </c>
      <c r="BM14" s="9" t="s">
        <v>274</v>
      </c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3"/>
      <c r="CN14" s="3"/>
      <c r="CO14" s="3"/>
      <c r="CP14" s="3"/>
      <c r="CQ14" s="3"/>
      <c r="CR14" s="3" t="s">
        <v>152</v>
      </c>
      <c r="CS14" s="3" t="s">
        <v>228</v>
      </c>
      <c r="CT14" s="9" t="s">
        <v>122</v>
      </c>
      <c r="CU14" s="3" t="s">
        <v>192</v>
      </c>
      <c r="CV14" s="3" t="s">
        <v>124</v>
      </c>
      <c r="CW14" s="3"/>
      <c r="DG14" s="4"/>
    </row>
    <row r="15" customFormat="false" ht="11.25" hidden="false" customHeight="true" outlineLevel="0" collapsed="false">
      <c r="A15" s="9" t="n">
        <v>14</v>
      </c>
      <c r="B15" s="10" t="n">
        <v>46083.0797662384</v>
      </c>
      <c r="C15" s="10" t="n">
        <v>46083.0889792014</v>
      </c>
      <c r="D15" s="9" t="s">
        <v>275</v>
      </c>
      <c r="E15" s="9" t="s">
        <v>276</v>
      </c>
      <c r="F15" s="9" t="s">
        <v>276</v>
      </c>
      <c r="G15" s="9" t="s">
        <v>277</v>
      </c>
      <c r="H15" s="10" t="n">
        <v>46080</v>
      </c>
      <c r="I15" s="10" t="s">
        <v>278</v>
      </c>
      <c r="J15" s="9" t="s">
        <v>108</v>
      </c>
      <c r="K15" s="9" t="s">
        <v>245</v>
      </c>
      <c r="L15" s="9" t="s">
        <v>144</v>
      </c>
      <c r="M15" s="9" t="s">
        <v>111</v>
      </c>
      <c r="N15" s="9" t="s">
        <v>112</v>
      </c>
      <c r="O15" s="9" t="s">
        <v>113</v>
      </c>
      <c r="P15" s="9" t="s">
        <v>279</v>
      </c>
      <c r="Q15" s="9" t="s">
        <v>280</v>
      </c>
      <c r="R15" s="9"/>
      <c r="S15" s="9"/>
      <c r="T15" s="9"/>
      <c r="U15" s="9" t="s">
        <v>24</v>
      </c>
      <c r="V15" s="9"/>
      <c r="W15" s="9"/>
      <c r="X15" s="9"/>
      <c r="Y15" s="9" t="s">
        <v>223</v>
      </c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 t="s">
        <v>281</v>
      </c>
      <c r="CA15" s="9" t="s">
        <v>237</v>
      </c>
      <c r="CB15" s="9" t="s">
        <v>282</v>
      </c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3"/>
      <c r="CN15" s="3"/>
      <c r="CO15" s="3"/>
      <c r="CP15" s="3"/>
      <c r="CQ15" s="3"/>
      <c r="CR15" s="3" t="s">
        <v>120</v>
      </c>
      <c r="CS15" s="3" t="s">
        <v>180</v>
      </c>
      <c r="CT15" s="9"/>
      <c r="CU15" s="3" t="s">
        <v>192</v>
      </c>
      <c r="CV15" s="3" t="s">
        <v>124</v>
      </c>
      <c r="CW15" s="3"/>
      <c r="DG15" s="4"/>
    </row>
    <row r="16" customFormat="false" ht="11.25" hidden="false" customHeight="true" outlineLevel="0" collapsed="false">
      <c r="A16" s="9" t="n">
        <v>15</v>
      </c>
      <c r="B16" s="10" t="n">
        <v>46075.6147429861</v>
      </c>
      <c r="C16" s="10" t="n">
        <v>46075.6317453009</v>
      </c>
      <c r="D16" s="9" t="s">
        <v>283</v>
      </c>
      <c r="E16" s="9" t="s">
        <v>284</v>
      </c>
      <c r="F16" s="9" t="s">
        <v>284</v>
      </c>
      <c r="G16" s="9" t="s">
        <v>285</v>
      </c>
      <c r="H16" s="10" t="n">
        <v>46055</v>
      </c>
      <c r="I16" s="10" t="s">
        <v>244</v>
      </c>
      <c r="J16" s="9" t="s">
        <v>108</v>
      </c>
      <c r="K16" s="9" t="s">
        <v>143</v>
      </c>
      <c r="L16" s="9" t="s">
        <v>130</v>
      </c>
      <c r="M16" s="9" t="s">
        <v>111</v>
      </c>
      <c r="N16" s="9" t="s">
        <v>112</v>
      </c>
      <c r="O16" s="9" t="s">
        <v>113</v>
      </c>
      <c r="P16" s="9" t="s">
        <v>286</v>
      </c>
      <c r="Q16" s="9" t="s">
        <v>287</v>
      </c>
      <c r="R16" s="9"/>
      <c r="S16" s="9"/>
      <c r="T16" s="9"/>
      <c r="U16" s="9" t="s">
        <v>22</v>
      </c>
      <c r="V16" s="9"/>
      <c r="W16" s="9" t="s">
        <v>148</v>
      </c>
      <c r="X16" s="9"/>
      <c r="Y16" s="9"/>
      <c r="Z16" s="9"/>
      <c r="AA16" s="9"/>
      <c r="AB16" s="9"/>
      <c r="AC16" s="9"/>
      <c r="AD16" s="9" t="s">
        <v>288</v>
      </c>
      <c r="AE16" s="9" t="s">
        <v>289</v>
      </c>
      <c r="AF16" s="9" t="s">
        <v>290</v>
      </c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3"/>
      <c r="CN16" s="3"/>
      <c r="CO16" s="3"/>
      <c r="CP16" s="3"/>
      <c r="CQ16" s="3"/>
      <c r="CR16" s="3" t="s">
        <v>120</v>
      </c>
      <c r="CS16" s="3" t="s">
        <v>121</v>
      </c>
      <c r="CT16" s="9" t="s">
        <v>291</v>
      </c>
      <c r="CU16" s="3" t="s">
        <v>192</v>
      </c>
      <c r="CV16" s="3" t="s">
        <v>124</v>
      </c>
      <c r="CW16" s="3"/>
      <c r="DG16" s="4"/>
    </row>
    <row r="17" customFormat="false" ht="11.25" hidden="false" customHeight="true" outlineLevel="0" collapsed="false">
      <c r="A17" s="9" t="n">
        <v>16</v>
      </c>
      <c r="B17" s="10" t="n">
        <v>46082.6769535764</v>
      </c>
      <c r="C17" s="10" t="n">
        <v>46082.6915484838</v>
      </c>
      <c r="D17" s="9" t="s">
        <v>292</v>
      </c>
      <c r="E17" s="9" t="s">
        <v>293</v>
      </c>
      <c r="F17" s="9" t="s">
        <v>293</v>
      </c>
      <c r="G17" s="9" t="s">
        <v>294</v>
      </c>
      <c r="H17" s="10" t="n">
        <v>46079</v>
      </c>
      <c r="I17" s="10" t="s">
        <v>172</v>
      </c>
      <c r="J17" s="9" t="s">
        <v>295</v>
      </c>
      <c r="K17" s="9" t="s">
        <v>257</v>
      </c>
      <c r="L17" s="9" t="s">
        <v>296</v>
      </c>
      <c r="M17" s="9" t="s">
        <v>111</v>
      </c>
      <c r="N17" s="9" t="s">
        <v>145</v>
      </c>
      <c r="O17" s="9" t="s">
        <v>113</v>
      </c>
      <c r="P17" s="9" t="s">
        <v>174</v>
      </c>
      <c r="Q17" s="9" t="s">
        <v>297</v>
      </c>
      <c r="R17" s="9"/>
      <c r="S17" s="9"/>
      <c r="T17" s="9"/>
      <c r="U17" s="9" t="s">
        <v>22</v>
      </c>
      <c r="V17" s="9"/>
      <c r="W17" s="9" t="s">
        <v>298</v>
      </c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 t="s">
        <v>299</v>
      </c>
      <c r="AW17" s="9" t="s">
        <v>300</v>
      </c>
      <c r="AX17" s="9" t="s">
        <v>301</v>
      </c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3"/>
      <c r="CN17" s="3"/>
      <c r="CO17" s="3"/>
      <c r="CP17" s="3"/>
      <c r="CQ17" s="3"/>
      <c r="CR17" s="3" t="s">
        <v>152</v>
      </c>
      <c r="CS17" s="3" t="s">
        <v>121</v>
      </c>
      <c r="CT17" s="9" t="s">
        <v>122</v>
      </c>
      <c r="CU17" s="3" t="s">
        <v>123</v>
      </c>
      <c r="CV17" s="3" t="s">
        <v>124</v>
      </c>
      <c r="CW17" s="3"/>
      <c r="DG17" s="4"/>
    </row>
    <row r="18" customFormat="false" ht="11.25" hidden="false" customHeight="true" outlineLevel="0" collapsed="false">
      <c r="A18" s="9" t="n">
        <v>17</v>
      </c>
      <c r="B18" s="10" t="n">
        <v>46153.4395540741</v>
      </c>
      <c r="C18" s="10" t="n">
        <v>46153.450017037</v>
      </c>
      <c r="D18" s="9" t="s">
        <v>302</v>
      </c>
      <c r="E18" s="9" t="s">
        <v>303</v>
      </c>
      <c r="F18" s="9" t="s">
        <v>303</v>
      </c>
      <c r="G18" s="9" t="s">
        <v>304</v>
      </c>
      <c r="H18" s="10" t="n">
        <v>46147</v>
      </c>
      <c r="I18" s="10" t="s">
        <v>107</v>
      </c>
      <c r="J18" s="9" t="s">
        <v>108</v>
      </c>
      <c r="K18" s="9" t="s">
        <v>245</v>
      </c>
      <c r="L18" s="9" t="s">
        <v>197</v>
      </c>
      <c r="M18" s="9" t="s">
        <v>111</v>
      </c>
      <c r="N18" s="9" t="s">
        <v>112</v>
      </c>
      <c r="O18" s="9" t="s">
        <v>305</v>
      </c>
      <c r="P18" s="9" t="s">
        <v>185</v>
      </c>
      <c r="Q18" s="9" t="s">
        <v>306</v>
      </c>
      <c r="R18" s="9"/>
      <c r="S18" s="9"/>
      <c r="T18" s="9"/>
      <c r="U18" s="9" t="s">
        <v>21</v>
      </c>
      <c r="V18" s="9" t="s">
        <v>307</v>
      </c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 t="s">
        <v>308</v>
      </c>
      <c r="AT18" s="9" t="s">
        <v>309</v>
      </c>
      <c r="AU18" s="9" t="s">
        <v>310</v>
      </c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3"/>
      <c r="CN18" s="3"/>
      <c r="CO18" s="3"/>
      <c r="CP18" s="3"/>
      <c r="CQ18" s="3"/>
      <c r="CR18" s="3" t="s">
        <v>152</v>
      </c>
      <c r="CS18" s="3" t="s">
        <v>121</v>
      </c>
      <c r="CT18" s="9"/>
      <c r="CU18" s="3" t="s">
        <v>192</v>
      </c>
      <c r="CV18" s="3" t="s">
        <v>124</v>
      </c>
      <c r="CW18" s="3"/>
      <c r="DG18" s="4"/>
    </row>
    <row r="19" customFormat="false" ht="11.25" hidden="false" customHeight="true" outlineLevel="0" collapsed="false">
      <c r="A19" s="9" t="n">
        <v>18</v>
      </c>
      <c r="B19" s="10" t="n">
        <v>46082.154816875</v>
      </c>
      <c r="C19" s="10" t="n">
        <v>46082.1709511343</v>
      </c>
      <c r="D19" s="9" t="s">
        <v>311</v>
      </c>
      <c r="E19" s="9" t="s">
        <v>312</v>
      </c>
      <c r="F19" s="9" t="s">
        <v>313</v>
      </c>
      <c r="G19" s="9" t="s">
        <v>314</v>
      </c>
      <c r="H19" s="10" t="n">
        <v>46070</v>
      </c>
      <c r="I19" s="10" t="s">
        <v>244</v>
      </c>
      <c r="J19" s="9" t="s">
        <v>295</v>
      </c>
      <c r="K19" s="9" t="s">
        <v>315</v>
      </c>
      <c r="L19" s="9" t="s">
        <v>159</v>
      </c>
      <c r="M19" s="9" t="s">
        <v>111</v>
      </c>
      <c r="N19" s="9" t="s">
        <v>112</v>
      </c>
      <c r="O19" s="9" t="s">
        <v>113</v>
      </c>
      <c r="P19" s="9" t="s">
        <v>212</v>
      </c>
      <c r="Q19" s="9" t="s">
        <v>316</v>
      </c>
      <c r="R19" s="9"/>
      <c r="S19" s="9"/>
      <c r="T19" s="9"/>
      <c r="U19" s="9" t="s">
        <v>22</v>
      </c>
      <c r="V19" s="9"/>
      <c r="W19" s="9" t="s">
        <v>271</v>
      </c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 t="s">
        <v>317</v>
      </c>
      <c r="BL19" s="9" t="s">
        <v>318</v>
      </c>
      <c r="BM19" s="9" t="s">
        <v>319</v>
      </c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3"/>
      <c r="CN19" s="3"/>
      <c r="CO19" s="3"/>
      <c r="CP19" s="3"/>
      <c r="CQ19" s="3"/>
      <c r="CR19" s="3" t="s">
        <v>320</v>
      </c>
      <c r="CS19" s="3" t="s">
        <v>121</v>
      </c>
      <c r="CT19" s="9" t="s">
        <v>321</v>
      </c>
      <c r="CU19" s="3" t="s">
        <v>123</v>
      </c>
      <c r="CV19" s="3" t="s">
        <v>124</v>
      </c>
      <c r="CW19" s="3"/>
      <c r="DG19" s="4"/>
    </row>
    <row r="20" customFormat="false" ht="11.25" hidden="false" customHeight="true" outlineLevel="0" collapsed="false">
      <c r="A20" s="9" t="n">
        <v>19</v>
      </c>
      <c r="B20" s="10" t="n">
        <v>46123.8853990741</v>
      </c>
      <c r="C20" s="10" t="n">
        <v>46123.8924361111</v>
      </c>
      <c r="D20" s="9" t="s">
        <v>322</v>
      </c>
      <c r="E20" s="9" t="s">
        <v>323</v>
      </c>
      <c r="F20" s="9" t="s">
        <v>323</v>
      </c>
      <c r="G20" s="9" t="s">
        <v>324</v>
      </c>
      <c r="H20" s="10" t="n">
        <v>46120</v>
      </c>
      <c r="I20" s="10" t="s">
        <v>244</v>
      </c>
      <c r="J20" s="9" t="s">
        <v>108</v>
      </c>
      <c r="K20" s="9" t="s">
        <v>257</v>
      </c>
      <c r="L20" s="9" t="s">
        <v>268</v>
      </c>
      <c r="M20" s="9" t="s">
        <v>111</v>
      </c>
      <c r="N20" s="9" t="s">
        <v>247</v>
      </c>
      <c r="O20" s="9" t="s">
        <v>325</v>
      </c>
      <c r="P20" s="9" t="s">
        <v>326</v>
      </c>
      <c r="Q20" s="9" t="s">
        <v>259</v>
      </c>
      <c r="R20" s="9"/>
      <c r="S20" s="9"/>
      <c r="T20" s="9"/>
      <c r="U20" s="9" t="s">
        <v>25</v>
      </c>
      <c r="V20" s="9"/>
      <c r="W20" s="9"/>
      <c r="X20" s="9"/>
      <c r="Y20" s="9"/>
      <c r="Z20" s="9" t="s">
        <v>327</v>
      </c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 t="s">
        <v>328</v>
      </c>
      <c r="CJ20" s="9" t="s">
        <v>329</v>
      </c>
      <c r="CK20" s="9" t="s">
        <v>330</v>
      </c>
      <c r="CL20" s="9"/>
      <c r="CM20" s="3"/>
      <c r="CN20" s="3"/>
      <c r="CO20" s="3"/>
      <c r="CP20" s="3"/>
      <c r="CQ20" s="3"/>
      <c r="CR20" s="3" t="s">
        <v>120</v>
      </c>
      <c r="CS20" s="3" t="s">
        <v>180</v>
      </c>
      <c r="CT20" s="9" t="s">
        <v>122</v>
      </c>
      <c r="CU20" s="3" t="s">
        <v>167</v>
      </c>
      <c r="CV20" s="3" t="s">
        <v>124</v>
      </c>
      <c r="CW20" s="3"/>
      <c r="CX20" s="3" t="s">
        <v>331</v>
      </c>
      <c r="DG20" s="4"/>
    </row>
    <row r="21" customFormat="false" ht="11.25" hidden="false" customHeight="true" outlineLevel="0" collapsed="false">
      <c r="A21" s="9" t="n">
        <v>20</v>
      </c>
      <c r="B21" s="10" t="n">
        <v>46148.3303404167</v>
      </c>
      <c r="C21" s="10" t="n">
        <v>46148.3399584722</v>
      </c>
      <c r="D21" s="9" t="s">
        <v>332</v>
      </c>
      <c r="E21" s="9" t="s">
        <v>333</v>
      </c>
      <c r="F21" s="9" t="s">
        <v>333</v>
      </c>
      <c r="G21" s="9" t="s">
        <v>334</v>
      </c>
      <c r="H21" s="10" t="n">
        <v>46137</v>
      </c>
      <c r="I21" s="10" t="s">
        <v>107</v>
      </c>
      <c r="J21" s="9" t="s">
        <v>295</v>
      </c>
      <c r="K21" s="9" t="s">
        <v>335</v>
      </c>
      <c r="L21" s="9" t="s">
        <v>159</v>
      </c>
      <c r="M21" s="9" t="s">
        <v>131</v>
      </c>
      <c r="N21" s="9" t="s">
        <v>112</v>
      </c>
      <c r="O21" s="9" t="s">
        <v>336</v>
      </c>
      <c r="P21" s="9" t="s">
        <v>337</v>
      </c>
      <c r="Q21" s="9" t="s">
        <v>338</v>
      </c>
      <c r="R21" s="9"/>
      <c r="S21" s="9"/>
      <c r="T21" s="9"/>
      <c r="U21" s="9" t="s">
        <v>22</v>
      </c>
      <c r="V21" s="9"/>
      <c r="W21" s="9" t="s">
        <v>339</v>
      </c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 t="s">
        <v>340</v>
      </c>
      <c r="BO21" s="9" t="s">
        <v>341</v>
      </c>
      <c r="BP21" s="9" t="s">
        <v>342</v>
      </c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3"/>
      <c r="CN21" s="3"/>
      <c r="CO21" s="3"/>
      <c r="CP21" s="3"/>
      <c r="CQ21" s="3"/>
      <c r="CR21" s="3" t="s">
        <v>120</v>
      </c>
      <c r="CS21" s="3" t="s">
        <v>180</v>
      </c>
      <c r="CT21" s="9"/>
      <c r="CU21" s="3" t="s">
        <v>167</v>
      </c>
      <c r="CV21" s="3" t="s">
        <v>124</v>
      </c>
      <c r="CW21" s="3"/>
      <c r="DG21" s="4"/>
    </row>
    <row r="22" customFormat="false" ht="11.25" hidden="false" customHeight="true" outlineLevel="0" collapsed="false">
      <c r="A22" s="9" t="n">
        <v>21</v>
      </c>
      <c r="B22" s="10" t="n">
        <v>46215.620963206</v>
      </c>
      <c r="C22" s="10" t="n">
        <v>46215.6381854282</v>
      </c>
      <c r="D22" s="9" t="s">
        <v>343</v>
      </c>
      <c r="E22" s="9" t="s">
        <v>344</v>
      </c>
      <c r="F22" s="9" t="s">
        <v>344</v>
      </c>
      <c r="G22" s="9" t="s">
        <v>345</v>
      </c>
      <c r="H22" s="10" t="n">
        <v>46200</v>
      </c>
      <c r="I22" s="10" t="s">
        <v>157</v>
      </c>
      <c r="J22" s="9" t="s">
        <v>108</v>
      </c>
      <c r="K22" s="9" t="s">
        <v>158</v>
      </c>
      <c r="L22" s="9" t="s">
        <v>346</v>
      </c>
      <c r="M22" s="9" t="s">
        <v>111</v>
      </c>
      <c r="N22" s="9" t="s">
        <v>145</v>
      </c>
      <c r="O22" s="9" t="s">
        <v>325</v>
      </c>
      <c r="P22" s="9" t="s">
        <v>258</v>
      </c>
      <c r="Q22" s="9" t="s">
        <v>347</v>
      </c>
      <c r="R22" s="9"/>
      <c r="S22" s="9"/>
      <c r="T22" s="9"/>
      <c r="U22" s="9" t="s">
        <v>21</v>
      </c>
      <c r="V22" s="9" t="s">
        <v>348</v>
      </c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 t="s">
        <v>349</v>
      </c>
      <c r="BC22" s="9" t="s">
        <v>350</v>
      </c>
      <c r="BD22" s="9" t="s">
        <v>351</v>
      </c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3"/>
      <c r="CN22" s="3"/>
      <c r="CO22" s="3"/>
      <c r="CP22" s="3"/>
      <c r="CQ22" s="3"/>
      <c r="CR22" s="3" t="s">
        <v>152</v>
      </c>
      <c r="CS22" s="3" t="s">
        <v>352</v>
      </c>
      <c r="CT22" s="9"/>
      <c r="CU22" s="3" t="s">
        <v>123</v>
      </c>
      <c r="CV22" s="3" t="s">
        <v>124</v>
      </c>
      <c r="CW22" s="3"/>
      <c r="DG22" s="4"/>
    </row>
    <row r="23" customFormat="false" ht="11.25" hidden="false" customHeight="true" outlineLevel="0" collapsed="false">
      <c r="A23" s="9" t="n">
        <v>22</v>
      </c>
      <c r="B23" s="10" t="n">
        <v>46054.1693916088</v>
      </c>
      <c r="C23" s="10" t="n">
        <v>46054.1838939236</v>
      </c>
      <c r="D23" s="9" t="s">
        <v>353</v>
      </c>
      <c r="E23" s="9" t="s">
        <v>354</v>
      </c>
      <c r="F23" s="9" t="s">
        <v>354</v>
      </c>
      <c r="G23" s="9" t="s">
        <v>355</v>
      </c>
      <c r="H23" s="10" t="n">
        <v>46037</v>
      </c>
      <c r="I23" s="10" t="s">
        <v>172</v>
      </c>
      <c r="J23" s="9" t="s">
        <v>295</v>
      </c>
      <c r="K23" s="9" t="s">
        <v>356</v>
      </c>
      <c r="L23" s="9" t="s">
        <v>346</v>
      </c>
      <c r="M23" s="9" t="s">
        <v>111</v>
      </c>
      <c r="N23" s="9" t="s">
        <v>145</v>
      </c>
      <c r="O23" s="9" t="s">
        <v>113</v>
      </c>
      <c r="P23" s="9" t="s">
        <v>357</v>
      </c>
      <c r="Q23" s="9" t="s">
        <v>219</v>
      </c>
      <c r="R23" s="9"/>
      <c r="S23" s="9"/>
      <c r="T23" s="9"/>
      <c r="U23" s="9" t="s">
        <v>24</v>
      </c>
      <c r="V23" s="9"/>
      <c r="W23" s="9"/>
      <c r="X23" s="9"/>
      <c r="Y23" s="9" t="s">
        <v>223</v>
      </c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 t="s">
        <v>358</v>
      </c>
      <c r="CA23" s="9" t="s">
        <v>359</v>
      </c>
      <c r="CB23" s="9" t="s">
        <v>360</v>
      </c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3"/>
      <c r="CN23" s="3"/>
      <c r="CO23" s="3"/>
      <c r="CP23" s="3"/>
      <c r="CQ23" s="3"/>
      <c r="CR23" s="3" t="s">
        <v>152</v>
      </c>
      <c r="CS23" s="3" t="s">
        <v>121</v>
      </c>
      <c r="CT23" s="9" t="s">
        <v>122</v>
      </c>
      <c r="CU23" s="3" t="s">
        <v>123</v>
      </c>
      <c r="CV23" s="3" t="s">
        <v>124</v>
      </c>
      <c r="CW23" s="3"/>
      <c r="DG23" s="4"/>
    </row>
    <row r="24" customFormat="false" ht="11.25" hidden="false" customHeight="true" outlineLevel="0" collapsed="false">
      <c r="A24" s="9" t="n">
        <v>23</v>
      </c>
      <c r="B24" s="10" t="n">
        <v>46211.1979046991</v>
      </c>
      <c r="C24" s="10" t="n">
        <v>46211.2144093287</v>
      </c>
      <c r="D24" s="9" t="s">
        <v>361</v>
      </c>
      <c r="E24" s="9" t="s">
        <v>362</v>
      </c>
      <c r="F24" s="9" t="s">
        <v>362</v>
      </c>
      <c r="G24" s="9" t="s">
        <v>363</v>
      </c>
      <c r="H24" s="10" t="n">
        <v>46211</v>
      </c>
      <c r="I24" s="10" t="s">
        <v>244</v>
      </c>
      <c r="J24" s="9" t="s">
        <v>108</v>
      </c>
      <c r="K24" s="9" t="s">
        <v>364</v>
      </c>
      <c r="L24" s="9" t="s">
        <v>197</v>
      </c>
      <c r="M24" s="9" t="s">
        <v>111</v>
      </c>
      <c r="N24" s="9" t="s">
        <v>145</v>
      </c>
      <c r="O24" s="9" t="s">
        <v>113</v>
      </c>
      <c r="P24" s="9" t="s">
        <v>365</v>
      </c>
      <c r="Q24" s="9" t="s">
        <v>174</v>
      </c>
      <c r="R24" s="9"/>
      <c r="S24" s="9"/>
      <c r="T24" s="9"/>
      <c r="U24" s="9" t="s">
        <v>22</v>
      </c>
      <c r="V24" s="9"/>
      <c r="W24" s="9" t="s">
        <v>135</v>
      </c>
      <c r="X24" s="9"/>
      <c r="Y24" s="9"/>
      <c r="Z24" s="9"/>
      <c r="AA24" s="9" t="s">
        <v>366</v>
      </c>
      <c r="AB24" s="9" t="s">
        <v>367</v>
      </c>
      <c r="AC24" s="9" t="s">
        <v>368</v>
      </c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3"/>
      <c r="CN24" s="3"/>
      <c r="CO24" s="3"/>
      <c r="CP24" s="3"/>
      <c r="CQ24" s="3"/>
      <c r="CR24" s="3" t="s">
        <v>120</v>
      </c>
      <c r="CS24" s="3" t="s">
        <v>180</v>
      </c>
      <c r="CT24" s="9" t="s">
        <v>369</v>
      </c>
      <c r="CU24" s="3" t="s">
        <v>192</v>
      </c>
      <c r="CV24" s="3" t="s">
        <v>124</v>
      </c>
      <c r="CW24" s="3" t="s">
        <v>370</v>
      </c>
      <c r="CY24" s="3" t="s">
        <v>205</v>
      </c>
      <c r="DG24" s="4"/>
    </row>
    <row r="25" customFormat="false" ht="11.25" hidden="false" customHeight="true" outlineLevel="0" collapsed="false">
      <c r="A25" s="9" t="n">
        <v>24</v>
      </c>
      <c r="B25" s="10" t="n">
        <v>46192.6959382523</v>
      </c>
      <c r="C25" s="10" t="n">
        <v>46192.7045609375</v>
      </c>
      <c r="D25" s="9" t="s">
        <v>371</v>
      </c>
      <c r="E25" s="9" t="s">
        <v>372</v>
      </c>
      <c r="F25" s="9" t="s">
        <v>372</v>
      </c>
      <c r="G25" s="9" t="s">
        <v>373</v>
      </c>
      <c r="H25" s="10" t="n">
        <v>46173</v>
      </c>
      <c r="I25" s="10" t="s">
        <v>260</v>
      </c>
      <c r="J25" s="9" t="s">
        <v>108</v>
      </c>
      <c r="K25" s="9" t="s">
        <v>143</v>
      </c>
      <c r="L25" s="9" t="s">
        <v>346</v>
      </c>
      <c r="M25" s="9" t="s">
        <v>111</v>
      </c>
      <c r="N25" s="9" t="s">
        <v>112</v>
      </c>
      <c r="O25" s="9" t="s">
        <v>113</v>
      </c>
      <c r="P25" s="9" t="s">
        <v>365</v>
      </c>
      <c r="Q25" s="9" t="s">
        <v>259</v>
      </c>
      <c r="R25" s="9"/>
      <c r="S25" s="9"/>
      <c r="T25" s="9"/>
      <c r="U25" s="9" t="s">
        <v>21</v>
      </c>
      <c r="V25" s="9" t="s">
        <v>374</v>
      </c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 t="s">
        <v>375</v>
      </c>
      <c r="AK25" s="9" t="s">
        <v>376</v>
      </c>
      <c r="AL25" s="9" t="s">
        <v>377</v>
      </c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3"/>
      <c r="CN25" s="3"/>
      <c r="CO25" s="3"/>
      <c r="CP25" s="3"/>
      <c r="CQ25" s="3"/>
      <c r="CR25" s="3" t="s">
        <v>152</v>
      </c>
      <c r="CS25" s="3" t="s">
        <v>121</v>
      </c>
      <c r="CT25" s="9" t="s">
        <v>122</v>
      </c>
      <c r="CU25" s="3" t="s">
        <v>192</v>
      </c>
      <c r="CV25" s="3" t="s">
        <v>168</v>
      </c>
      <c r="CW25" s="3"/>
      <c r="DG25" s="4"/>
    </row>
    <row r="26" customFormat="false" ht="11.25" hidden="false" customHeight="true" outlineLevel="0" collapsed="false">
      <c r="A26" s="9" t="n">
        <v>25</v>
      </c>
      <c r="B26" s="10" t="n">
        <v>46061.7051121875</v>
      </c>
      <c r="C26" s="10" t="n">
        <v>46061.710031169</v>
      </c>
      <c r="D26" s="9" t="s">
        <v>378</v>
      </c>
      <c r="E26" s="9" t="s">
        <v>379</v>
      </c>
      <c r="F26" s="9" t="s">
        <v>379</v>
      </c>
      <c r="G26" s="9" t="s">
        <v>380</v>
      </c>
      <c r="H26" s="10" t="n">
        <v>46059</v>
      </c>
      <c r="I26" s="10" t="s">
        <v>107</v>
      </c>
      <c r="J26" s="9" t="s">
        <v>295</v>
      </c>
      <c r="K26" s="9" t="s">
        <v>232</v>
      </c>
      <c r="L26" s="9" t="s">
        <v>296</v>
      </c>
      <c r="M26" s="9" t="s">
        <v>111</v>
      </c>
      <c r="N26" s="9" t="s">
        <v>145</v>
      </c>
      <c r="O26" s="9" t="s">
        <v>325</v>
      </c>
      <c r="P26" s="9" t="s">
        <v>258</v>
      </c>
      <c r="Q26" s="9" t="s">
        <v>115</v>
      </c>
      <c r="R26" s="9"/>
      <c r="S26" s="9"/>
      <c r="T26" s="9"/>
      <c r="U26" s="9" t="s">
        <v>22</v>
      </c>
      <c r="V26" s="9"/>
      <c r="W26" s="9" t="s">
        <v>381</v>
      </c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 t="s">
        <v>382</v>
      </c>
      <c r="BR26" s="9" t="s">
        <v>383</v>
      </c>
      <c r="BS26" s="9" t="s">
        <v>384</v>
      </c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3"/>
      <c r="CN26" s="3"/>
      <c r="CO26" s="3"/>
      <c r="CP26" s="3"/>
      <c r="CQ26" s="3"/>
      <c r="CR26" s="3" t="s">
        <v>152</v>
      </c>
      <c r="CS26" s="3" t="s">
        <v>180</v>
      </c>
      <c r="CT26" s="9" t="s">
        <v>385</v>
      </c>
      <c r="CU26" s="3" t="s">
        <v>167</v>
      </c>
      <c r="CV26" s="3" t="s">
        <v>139</v>
      </c>
      <c r="CW26" s="3"/>
      <c r="DG26" s="4"/>
    </row>
    <row r="27" customFormat="false" ht="11.25" hidden="false" customHeight="true" outlineLevel="0" collapsed="false">
      <c r="A27" s="9" t="n">
        <v>26</v>
      </c>
      <c r="B27" s="10" t="n">
        <v>46122.9892027199</v>
      </c>
      <c r="C27" s="10" t="n">
        <v>46123.0085082755</v>
      </c>
      <c r="D27" s="9" t="s">
        <v>386</v>
      </c>
      <c r="E27" s="9" t="s">
        <v>387</v>
      </c>
      <c r="F27" s="9" t="s">
        <v>387</v>
      </c>
      <c r="G27" s="9" t="s">
        <v>388</v>
      </c>
      <c r="H27" s="10" t="n">
        <v>46102</v>
      </c>
      <c r="I27" s="10" t="s">
        <v>172</v>
      </c>
      <c r="J27" s="9" t="s">
        <v>108</v>
      </c>
      <c r="K27" s="9" t="s">
        <v>245</v>
      </c>
      <c r="L27" s="9" t="s">
        <v>389</v>
      </c>
      <c r="M27" s="9" t="s">
        <v>390</v>
      </c>
      <c r="N27" s="9" t="s">
        <v>112</v>
      </c>
      <c r="O27" s="9" t="s">
        <v>113</v>
      </c>
      <c r="P27" s="9" t="s">
        <v>391</v>
      </c>
      <c r="Q27" s="9" t="s">
        <v>280</v>
      </c>
      <c r="R27" s="9"/>
      <c r="S27" s="9"/>
      <c r="T27" s="9"/>
      <c r="U27" s="9" t="s">
        <v>21</v>
      </c>
      <c r="V27" s="9" t="s">
        <v>348</v>
      </c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 t="s">
        <v>392</v>
      </c>
      <c r="BC27" s="9" t="s">
        <v>350</v>
      </c>
      <c r="BD27" s="9" t="s">
        <v>393</v>
      </c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3"/>
      <c r="CN27" s="3"/>
      <c r="CO27" s="3"/>
      <c r="CP27" s="3"/>
      <c r="CQ27" s="3"/>
      <c r="CR27" s="3" t="s">
        <v>152</v>
      </c>
      <c r="CS27" s="3" t="s">
        <v>121</v>
      </c>
      <c r="CT27" s="9" t="s">
        <v>122</v>
      </c>
      <c r="CU27" s="3" t="s">
        <v>167</v>
      </c>
      <c r="CV27" s="3" t="s">
        <v>168</v>
      </c>
      <c r="CW27" s="3"/>
      <c r="DG27" s="4"/>
    </row>
    <row r="28" customFormat="false" ht="11.25" hidden="false" customHeight="true" outlineLevel="0" collapsed="false">
      <c r="A28" s="9" t="n">
        <v>27</v>
      </c>
      <c r="B28" s="10" t="n">
        <v>46077.5137245718</v>
      </c>
      <c r="C28" s="10" t="n">
        <v>46077.5163981829</v>
      </c>
      <c r="D28" s="9" t="s">
        <v>394</v>
      </c>
      <c r="E28" s="9" t="s">
        <v>395</v>
      </c>
      <c r="F28" s="9" t="s">
        <v>395</v>
      </c>
      <c r="G28" s="9" t="s">
        <v>396</v>
      </c>
      <c r="H28" s="10" t="n">
        <v>46058</v>
      </c>
      <c r="I28" s="10" t="s">
        <v>278</v>
      </c>
      <c r="J28" s="9" t="s">
        <v>108</v>
      </c>
      <c r="K28" s="9" t="s">
        <v>143</v>
      </c>
      <c r="L28" s="9" t="s">
        <v>346</v>
      </c>
      <c r="M28" s="9" t="s">
        <v>111</v>
      </c>
      <c r="N28" s="9" t="s">
        <v>247</v>
      </c>
      <c r="O28" s="9" t="s">
        <v>113</v>
      </c>
      <c r="P28" s="9" t="s">
        <v>397</v>
      </c>
      <c r="Q28" s="9" t="s">
        <v>398</v>
      </c>
      <c r="R28" s="9"/>
      <c r="S28" s="9"/>
      <c r="T28" s="9"/>
      <c r="U28" s="9" t="s">
        <v>21</v>
      </c>
      <c r="V28" s="9" t="s">
        <v>187</v>
      </c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 t="s">
        <v>188</v>
      </c>
      <c r="AQ28" s="9" t="s">
        <v>399</v>
      </c>
      <c r="AR28" s="9" t="s">
        <v>190</v>
      </c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3"/>
      <c r="CN28" s="3"/>
      <c r="CO28" s="3"/>
      <c r="CP28" s="3"/>
      <c r="CQ28" s="3"/>
      <c r="CR28" s="3" t="s">
        <v>152</v>
      </c>
      <c r="CS28" s="3" t="s">
        <v>400</v>
      </c>
      <c r="CT28" s="9" t="s">
        <v>401</v>
      </c>
      <c r="CU28" s="3" t="s">
        <v>167</v>
      </c>
      <c r="CV28" s="3" t="s">
        <v>124</v>
      </c>
      <c r="CW28" s="3"/>
      <c r="DG28" s="4"/>
    </row>
    <row r="29" customFormat="false" ht="11.25" hidden="false" customHeight="true" outlineLevel="0" collapsed="false">
      <c r="A29" s="9" t="n">
        <v>28</v>
      </c>
      <c r="B29" s="10" t="n">
        <v>46167.3966631019</v>
      </c>
      <c r="C29" s="10" t="n">
        <v>46167.4147649537</v>
      </c>
      <c r="D29" s="9" t="s">
        <v>402</v>
      </c>
      <c r="E29" s="9" t="s">
        <v>403</v>
      </c>
      <c r="F29" s="9" t="s">
        <v>403</v>
      </c>
      <c r="G29" s="9" t="s">
        <v>404</v>
      </c>
      <c r="H29" s="10" t="n">
        <v>46152</v>
      </c>
      <c r="I29" s="10" t="s">
        <v>405</v>
      </c>
      <c r="J29" s="9" t="s">
        <v>108</v>
      </c>
      <c r="K29" s="9" t="s">
        <v>245</v>
      </c>
      <c r="L29" s="9" t="s">
        <v>286</v>
      </c>
      <c r="M29" s="9" t="s">
        <v>211</v>
      </c>
      <c r="N29" s="9" t="s">
        <v>112</v>
      </c>
      <c r="O29" s="9" t="s">
        <v>305</v>
      </c>
      <c r="P29" s="9" t="s">
        <v>406</v>
      </c>
      <c r="Q29" s="9" t="s">
        <v>407</v>
      </c>
      <c r="R29" s="9"/>
      <c r="S29" s="9"/>
      <c r="T29" s="9"/>
      <c r="U29" s="9" t="s">
        <v>22</v>
      </c>
      <c r="V29" s="9"/>
      <c r="W29" s="9" t="s">
        <v>339</v>
      </c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 t="s">
        <v>408</v>
      </c>
      <c r="BO29" s="9" t="s">
        <v>252</v>
      </c>
      <c r="BP29" s="9" t="s">
        <v>409</v>
      </c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3"/>
      <c r="CN29" s="3"/>
      <c r="CO29" s="3"/>
      <c r="CP29" s="3"/>
      <c r="CQ29" s="3"/>
      <c r="CR29" s="3" t="s">
        <v>320</v>
      </c>
      <c r="CS29" s="3" t="s">
        <v>121</v>
      </c>
      <c r="CT29" s="9" t="s">
        <v>122</v>
      </c>
      <c r="CU29" s="3" t="s">
        <v>123</v>
      </c>
      <c r="CV29" s="3" t="s">
        <v>124</v>
      </c>
      <c r="CW29" s="3"/>
      <c r="DG29" s="4"/>
    </row>
    <row r="30" customFormat="false" ht="11.25" hidden="false" customHeight="true" outlineLevel="0" collapsed="false">
      <c r="A30" s="9" t="n">
        <v>29</v>
      </c>
      <c r="B30" s="10" t="n">
        <v>46154.2266090625</v>
      </c>
      <c r="C30" s="10" t="n">
        <v>46154.232465544</v>
      </c>
      <c r="D30" s="9" t="s">
        <v>410</v>
      </c>
      <c r="E30" s="9" t="s">
        <v>411</v>
      </c>
      <c r="F30" s="9" t="s">
        <v>411</v>
      </c>
      <c r="G30" s="9" t="s">
        <v>412</v>
      </c>
      <c r="H30" s="10" t="n">
        <v>46142</v>
      </c>
      <c r="I30" s="10" t="s">
        <v>107</v>
      </c>
      <c r="J30" s="9" t="s">
        <v>295</v>
      </c>
      <c r="K30" s="9" t="s">
        <v>413</v>
      </c>
      <c r="L30" s="9" t="s">
        <v>389</v>
      </c>
      <c r="M30" s="9" t="s">
        <v>111</v>
      </c>
      <c r="N30" s="9" t="s">
        <v>145</v>
      </c>
      <c r="O30" s="9" t="s">
        <v>113</v>
      </c>
      <c r="P30" s="9" t="s">
        <v>234</v>
      </c>
      <c r="Q30" s="9" t="s">
        <v>414</v>
      </c>
      <c r="R30" s="9"/>
      <c r="S30" s="9"/>
      <c r="T30" s="9"/>
      <c r="U30" s="9" t="s">
        <v>24</v>
      </c>
      <c r="V30" s="9"/>
      <c r="W30" s="9"/>
      <c r="X30" s="9"/>
      <c r="Y30" s="9" t="s">
        <v>223</v>
      </c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 t="s">
        <v>415</v>
      </c>
      <c r="CA30" s="9" t="s">
        <v>416</v>
      </c>
      <c r="CB30" s="9" t="s">
        <v>417</v>
      </c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3"/>
      <c r="CN30" s="3"/>
      <c r="CO30" s="3"/>
      <c r="CP30" s="3"/>
      <c r="CQ30" s="3"/>
      <c r="CR30" s="3" t="s">
        <v>120</v>
      </c>
      <c r="CS30" s="3" t="s">
        <v>121</v>
      </c>
      <c r="CT30" s="9" t="s">
        <v>122</v>
      </c>
      <c r="CU30" s="3" t="s">
        <v>167</v>
      </c>
      <c r="CV30" s="3" t="s">
        <v>124</v>
      </c>
      <c r="CW30" s="3"/>
      <c r="DG30" s="4"/>
    </row>
    <row r="31" customFormat="false" ht="11.25" hidden="false" customHeight="true" outlineLevel="0" collapsed="false">
      <c r="A31" s="9" t="n">
        <v>30</v>
      </c>
      <c r="B31" s="10" t="n">
        <v>46203.3541796296</v>
      </c>
      <c r="C31" s="10" t="n">
        <v>46203.3649898148</v>
      </c>
      <c r="D31" s="9" t="s">
        <v>418</v>
      </c>
      <c r="E31" s="9" t="s">
        <v>419</v>
      </c>
      <c r="F31" s="9" t="s">
        <v>420</v>
      </c>
      <c r="G31" s="9" t="s">
        <v>421</v>
      </c>
      <c r="H31" s="10" t="n">
        <v>46193</v>
      </c>
      <c r="I31" s="10" t="s">
        <v>157</v>
      </c>
      <c r="J31" s="9" t="s">
        <v>128</v>
      </c>
      <c r="K31" s="9" t="s">
        <v>257</v>
      </c>
      <c r="L31" s="9" t="s">
        <v>389</v>
      </c>
      <c r="M31" s="9" t="s">
        <v>131</v>
      </c>
      <c r="N31" s="9" t="s">
        <v>112</v>
      </c>
      <c r="O31" s="9" t="s">
        <v>113</v>
      </c>
      <c r="P31" s="9" t="s">
        <v>337</v>
      </c>
      <c r="Q31" s="9" t="s">
        <v>422</v>
      </c>
      <c r="R31" s="9"/>
      <c r="S31" s="9"/>
      <c r="T31" s="9"/>
      <c r="U31" s="9" t="s">
        <v>24</v>
      </c>
      <c r="V31" s="9"/>
      <c r="W31" s="9"/>
      <c r="X31" s="9"/>
      <c r="Y31" s="9" t="s">
        <v>223</v>
      </c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 t="s">
        <v>423</v>
      </c>
      <c r="CA31" s="9" t="s">
        <v>424</v>
      </c>
      <c r="CB31" s="9" t="s">
        <v>425</v>
      </c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3"/>
      <c r="CN31" s="3"/>
      <c r="CO31" s="3"/>
      <c r="CP31" s="3"/>
      <c r="CQ31" s="3"/>
      <c r="CR31" s="3" t="s">
        <v>120</v>
      </c>
      <c r="CS31" s="3" t="s">
        <v>121</v>
      </c>
      <c r="CT31" s="9" t="s">
        <v>426</v>
      </c>
      <c r="CU31" s="3" t="s">
        <v>123</v>
      </c>
      <c r="CV31" s="3" t="s">
        <v>124</v>
      </c>
      <c r="CW31" s="3"/>
      <c r="DG31" s="4"/>
    </row>
    <row r="32" customFormat="false" ht="11.25" hidden="false" customHeight="true" outlineLevel="0" collapsed="false">
      <c r="A32" s="9" t="n">
        <v>31</v>
      </c>
      <c r="B32" s="10" t="n">
        <v>46116.2141394213</v>
      </c>
      <c r="C32" s="10" t="n">
        <v>46116.2197875695</v>
      </c>
      <c r="D32" s="9" t="s">
        <v>427</v>
      </c>
      <c r="E32" s="9" t="s">
        <v>428</v>
      </c>
      <c r="F32" s="9" t="s">
        <v>428</v>
      </c>
      <c r="G32" s="9" t="s">
        <v>429</v>
      </c>
      <c r="H32" s="10" t="n">
        <v>46097</v>
      </c>
      <c r="I32" s="10" t="s">
        <v>157</v>
      </c>
      <c r="J32" s="9" t="s">
        <v>108</v>
      </c>
      <c r="K32" s="9" t="s">
        <v>430</v>
      </c>
      <c r="L32" s="9" t="s">
        <v>431</v>
      </c>
      <c r="M32" s="9" t="s">
        <v>111</v>
      </c>
      <c r="N32" s="9" t="s">
        <v>112</v>
      </c>
      <c r="O32" s="9" t="s">
        <v>113</v>
      </c>
      <c r="P32" s="9" t="s">
        <v>234</v>
      </c>
      <c r="Q32" s="9" t="s">
        <v>432</v>
      </c>
      <c r="R32" s="9"/>
      <c r="S32" s="9"/>
      <c r="T32" s="9"/>
      <c r="U32" s="9" t="s">
        <v>24</v>
      </c>
      <c r="V32" s="9"/>
      <c r="W32" s="9"/>
      <c r="X32" s="9"/>
      <c r="Y32" s="9" t="s">
        <v>214</v>
      </c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 t="s">
        <v>433</v>
      </c>
      <c r="CD32" s="9" t="s">
        <v>434</v>
      </c>
      <c r="CE32" s="9" t="s">
        <v>435</v>
      </c>
      <c r="CF32" s="9"/>
      <c r="CG32" s="9"/>
      <c r="CH32" s="9"/>
      <c r="CI32" s="9"/>
      <c r="CJ32" s="9"/>
      <c r="CK32" s="9"/>
      <c r="CL32" s="9"/>
      <c r="CM32" s="3"/>
      <c r="CN32" s="3"/>
      <c r="CO32" s="3"/>
      <c r="CP32" s="3"/>
      <c r="CQ32" s="3"/>
      <c r="CR32" s="3" t="s">
        <v>120</v>
      </c>
      <c r="CS32" s="3" t="s">
        <v>121</v>
      </c>
      <c r="CT32" s="9" t="s">
        <v>122</v>
      </c>
      <c r="CU32" s="3" t="s">
        <v>123</v>
      </c>
      <c r="CV32" s="3" t="s">
        <v>124</v>
      </c>
      <c r="CW32" s="3"/>
      <c r="DG32" s="4"/>
    </row>
    <row r="33" customFormat="false" ht="11.25" hidden="false" customHeight="true" outlineLevel="0" collapsed="false">
      <c r="A33" s="9" t="n">
        <v>32</v>
      </c>
      <c r="B33" s="10" t="n">
        <v>46141.1869961806</v>
      </c>
      <c r="C33" s="10" t="n">
        <v>46141.2020077546</v>
      </c>
      <c r="D33" s="9" t="s">
        <v>436</v>
      </c>
      <c r="E33" s="9" t="s">
        <v>437</v>
      </c>
      <c r="F33" s="9" t="s">
        <v>437</v>
      </c>
      <c r="G33" s="9" t="s">
        <v>438</v>
      </c>
      <c r="H33" s="10" t="n">
        <v>46132</v>
      </c>
      <c r="I33" s="10" t="s">
        <v>107</v>
      </c>
      <c r="J33" s="9" t="s">
        <v>295</v>
      </c>
      <c r="K33" s="9" t="s">
        <v>173</v>
      </c>
      <c r="L33" s="9" t="s">
        <v>197</v>
      </c>
      <c r="M33" s="9" t="s">
        <v>211</v>
      </c>
      <c r="N33" s="9" t="s">
        <v>145</v>
      </c>
      <c r="O33" s="9" t="s">
        <v>132</v>
      </c>
      <c r="P33" s="9" t="s">
        <v>439</v>
      </c>
      <c r="Q33" s="9" t="s">
        <v>440</v>
      </c>
      <c r="R33" s="9"/>
      <c r="S33" s="9" t="s">
        <v>441</v>
      </c>
      <c r="T33" s="9"/>
      <c r="U33" s="9" t="s">
        <v>23</v>
      </c>
      <c r="V33" s="9"/>
      <c r="W33" s="9"/>
      <c r="X33" s="9" t="s">
        <v>442</v>
      </c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3"/>
      <c r="CN33" s="3"/>
      <c r="CO33" s="3"/>
      <c r="CP33" s="3"/>
      <c r="CQ33" s="3"/>
      <c r="CR33" s="3" t="s">
        <v>152</v>
      </c>
      <c r="CS33" s="3" t="s">
        <v>121</v>
      </c>
      <c r="CT33" s="9" t="s">
        <v>122</v>
      </c>
      <c r="CU33" s="3" t="s">
        <v>192</v>
      </c>
      <c r="CV33" s="3" t="s">
        <v>124</v>
      </c>
      <c r="CW33" s="3"/>
      <c r="DG33" s="4"/>
    </row>
    <row r="34" customFormat="false" ht="11.25" hidden="false" customHeight="true" outlineLevel="0" collapsed="false">
      <c r="A34" s="9" t="n">
        <v>33</v>
      </c>
      <c r="B34" s="10" t="n">
        <v>46046.7665469445</v>
      </c>
      <c r="C34" s="10" t="n">
        <v>46046.7688617593</v>
      </c>
      <c r="D34" s="9" t="s">
        <v>443</v>
      </c>
      <c r="E34" s="9" t="s">
        <v>444</v>
      </c>
      <c r="F34" s="9" t="s">
        <v>444</v>
      </c>
      <c r="G34" s="9" t="s">
        <v>445</v>
      </c>
      <c r="H34" s="10" t="n">
        <v>46045</v>
      </c>
      <c r="I34" s="10" t="s">
        <v>244</v>
      </c>
      <c r="J34" s="9" t="s">
        <v>295</v>
      </c>
      <c r="K34" s="9" t="s">
        <v>446</v>
      </c>
      <c r="L34" s="9" t="s">
        <v>130</v>
      </c>
      <c r="M34" s="9" t="s">
        <v>111</v>
      </c>
      <c r="N34" s="9" t="s">
        <v>112</v>
      </c>
      <c r="O34" s="9" t="s">
        <v>113</v>
      </c>
      <c r="P34" s="9" t="s">
        <v>447</v>
      </c>
      <c r="Q34" s="9" t="s">
        <v>249</v>
      </c>
      <c r="R34" s="9"/>
      <c r="S34" s="9"/>
      <c r="T34" s="9"/>
      <c r="U34" s="9" t="s">
        <v>24</v>
      </c>
      <c r="V34" s="9"/>
      <c r="W34" s="9"/>
      <c r="X34" s="9"/>
      <c r="Y34" s="9" t="s">
        <v>448</v>
      </c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 t="s">
        <v>449</v>
      </c>
      <c r="BX34" s="9" t="s">
        <v>450</v>
      </c>
      <c r="BY34" s="9" t="s">
        <v>451</v>
      </c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3"/>
      <c r="CN34" s="3"/>
      <c r="CO34" s="3"/>
      <c r="CP34" s="3"/>
      <c r="CQ34" s="3"/>
      <c r="CR34" s="3" t="s">
        <v>227</v>
      </c>
      <c r="CS34" s="3" t="s">
        <v>121</v>
      </c>
      <c r="CT34" s="9" t="s">
        <v>452</v>
      </c>
      <c r="CU34" s="3" t="s">
        <v>192</v>
      </c>
      <c r="CV34" s="3" t="s">
        <v>139</v>
      </c>
      <c r="CW34" s="3" t="s">
        <v>219</v>
      </c>
      <c r="DG34" s="4"/>
    </row>
    <row r="35" customFormat="false" ht="11.25" hidden="false" customHeight="true" outlineLevel="0" collapsed="false">
      <c r="A35" s="9" t="n">
        <v>34</v>
      </c>
      <c r="B35" s="10" t="n">
        <v>46046.7417723958</v>
      </c>
      <c r="C35" s="10" t="n">
        <v>46046.7434853588</v>
      </c>
      <c r="D35" s="9" t="s">
        <v>453</v>
      </c>
      <c r="E35" s="9" t="s">
        <v>454</v>
      </c>
      <c r="F35" s="9" t="s">
        <v>454</v>
      </c>
      <c r="G35" s="9" t="s">
        <v>455</v>
      </c>
      <c r="H35" s="10" t="n">
        <v>46032</v>
      </c>
      <c r="I35" s="10" t="s">
        <v>172</v>
      </c>
      <c r="J35" s="9" t="s">
        <v>295</v>
      </c>
      <c r="K35" s="9" t="s">
        <v>456</v>
      </c>
      <c r="L35" s="9" t="s">
        <v>210</v>
      </c>
      <c r="M35" s="9" t="s">
        <v>131</v>
      </c>
      <c r="N35" s="9" t="s">
        <v>247</v>
      </c>
      <c r="O35" s="9" t="s">
        <v>113</v>
      </c>
      <c r="P35" s="9" t="s">
        <v>114</v>
      </c>
      <c r="Q35" s="9" t="s">
        <v>287</v>
      </c>
      <c r="R35" s="9"/>
      <c r="S35" s="9"/>
      <c r="T35" s="9"/>
      <c r="U35" s="9" t="s">
        <v>21</v>
      </c>
      <c r="V35" s="9" t="s">
        <v>457</v>
      </c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 t="s">
        <v>433</v>
      </c>
      <c r="AN35" s="9" t="s">
        <v>434</v>
      </c>
      <c r="AO35" s="9" t="s">
        <v>458</v>
      </c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3"/>
      <c r="CN35" s="3"/>
      <c r="CO35" s="3"/>
      <c r="CP35" s="3"/>
      <c r="CQ35" s="3"/>
      <c r="CR35" s="3" t="s">
        <v>152</v>
      </c>
      <c r="CS35" s="3" t="s">
        <v>228</v>
      </c>
      <c r="CT35" s="9"/>
      <c r="CU35" s="3" t="s">
        <v>123</v>
      </c>
      <c r="CV35" s="3" t="s">
        <v>168</v>
      </c>
      <c r="CW35" s="3"/>
      <c r="DG35" s="4"/>
    </row>
    <row r="36" customFormat="false" ht="11.25" hidden="false" customHeight="true" outlineLevel="0" collapsed="false">
      <c r="A36" s="9" t="n">
        <v>35</v>
      </c>
      <c r="B36" s="10" t="n">
        <v>46057.9584475232</v>
      </c>
      <c r="C36" s="10" t="n">
        <v>46057.9774405787</v>
      </c>
      <c r="D36" s="9" t="s">
        <v>459</v>
      </c>
      <c r="E36" s="9" t="s">
        <v>460</v>
      </c>
      <c r="F36" s="9" t="s">
        <v>460</v>
      </c>
      <c r="G36" s="9" t="s">
        <v>461</v>
      </c>
      <c r="H36" s="10" t="n">
        <v>46044</v>
      </c>
      <c r="I36" s="10" t="s">
        <v>244</v>
      </c>
      <c r="J36" s="9" t="s">
        <v>295</v>
      </c>
      <c r="K36" s="9" t="s">
        <v>462</v>
      </c>
      <c r="L36" s="9" t="s">
        <v>389</v>
      </c>
      <c r="M36" s="9" t="s">
        <v>111</v>
      </c>
      <c r="N36" s="9" t="s">
        <v>247</v>
      </c>
      <c r="O36" s="9" t="s">
        <v>113</v>
      </c>
      <c r="P36" s="9" t="s">
        <v>397</v>
      </c>
      <c r="Q36" s="9" t="s">
        <v>227</v>
      </c>
      <c r="R36" s="9"/>
      <c r="S36" s="9"/>
      <c r="T36" s="9"/>
      <c r="U36" s="9" t="s">
        <v>22</v>
      </c>
      <c r="V36" s="9"/>
      <c r="W36" s="9" t="s">
        <v>381</v>
      </c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 t="s">
        <v>463</v>
      </c>
      <c r="BR36" s="9" t="s">
        <v>464</v>
      </c>
      <c r="BS36" s="9" t="s">
        <v>465</v>
      </c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3"/>
      <c r="CN36" s="3"/>
      <c r="CO36" s="3"/>
      <c r="CP36" s="3"/>
      <c r="CQ36" s="3"/>
      <c r="CR36" s="3" t="s">
        <v>152</v>
      </c>
      <c r="CS36" s="3" t="s">
        <v>121</v>
      </c>
      <c r="CT36" s="9" t="s">
        <v>122</v>
      </c>
      <c r="CU36" s="3" t="s">
        <v>192</v>
      </c>
      <c r="CV36" s="3" t="s">
        <v>124</v>
      </c>
      <c r="CW36" s="3"/>
      <c r="DG36" s="4"/>
    </row>
    <row r="37" customFormat="false" ht="11.25" hidden="false" customHeight="true" outlineLevel="0" collapsed="false">
      <c r="A37" s="9" t="n">
        <v>36</v>
      </c>
      <c r="B37" s="10" t="n">
        <v>46181.1932409259</v>
      </c>
      <c r="C37" s="10" t="n">
        <v>46181.2132756482</v>
      </c>
      <c r="D37" s="9" t="s">
        <v>466</v>
      </c>
      <c r="E37" s="9" t="s">
        <v>467</v>
      </c>
      <c r="F37" s="9" t="s">
        <v>467</v>
      </c>
      <c r="G37" s="9" t="s">
        <v>468</v>
      </c>
      <c r="H37" s="10" t="n">
        <v>46177</v>
      </c>
      <c r="I37" s="10" t="s">
        <v>278</v>
      </c>
      <c r="J37" s="9" t="s">
        <v>108</v>
      </c>
      <c r="K37" s="9" t="s">
        <v>143</v>
      </c>
      <c r="L37" s="9" t="s">
        <v>286</v>
      </c>
      <c r="M37" s="9" t="s">
        <v>131</v>
      </c>
      <c r="N37" s="9" t="s">
        <v>112</v>
      </c>
      <c r="O37" s="9" t="s">
        <v>325</v>
      </c>
      <c r="P37" s="9" t="s">
        <v>447</v>
      </c>
      <c r="Q37" s="9" t="s">
        <v>469</v>
      </c>
      <c r="R37" s="9"/>
      <c r="S37" s="9"/>
      <c r="T37" s="9"/>
      <c r="U37" s="9" t="s">
        <v>21</v>
      </c>
      <c r="V37" s="9" t="s">
        <v>307</v>
      </c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 t="s">
        <v>470</v>
      </c>
      <c r="AT37" s="9" t="s">
        <v>471</v>
      </c>
      <c r="AU37" s="9" t="s">
        <v>472</v>
      </c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3"/>
      <c r="CN37" s="3"/>
      <c r="CO37" s="3"/>
      <c r="CP37" s="3"/>
      <c r="CQ37" s="3"/>
      <c r="CR37" s="3" t="s">
        <v>152</v>
      </c>
      <c r="CS37" s="3" t="s">
        <v>352</v>
      </c>
      <c r="CT37" s="9"/>
      <c r="CU37" s="3" t="s">
        <v>123</v>
      </c>
      <c r="CV37" s="3" t="s">
        <v>124</v>
      </c>
      <c r="CW37" s="3"/>
      <c r="DG37" s="4"/>
    </row>
    <row r="38" customFormat="false" ht="11.25" hidden="false" customHeight="true" outlineLevel="0" collapsed="false">
      <c r="A38" s="9" t="n">
        <v>37</v>
      </c>
      <c r="B38" s="10" t="n">
        <v>46154.0864203357</v>
      </c>
      <c r="C38" s="10" t="n">
        <v>46154.0990939468</v>
      </c>
      <c r="D38" s="9" t="s">
        <v>473</v>
      </c>
      <c r="E38" s="9" t="s">
        <v>474</v>
      </c>
      <c r="F38" s="9" t="s">
        <v>474</v>
      </c>
      <c r="G38" s="9" t="s">
        <v>475</v>
      </c>
      <c r="H38" s="10" t="n">
        <v>46138</v>
      </c>
      <c r="I38" s="10" t="s">
        <v>244</v>
      </c>
      <c r="J38" s="9" t="s">
        <v>108</v>
      </c>
      <c r="K38" s="9" t="s">
        <v>476</v>
      </c>
      <c r="L38" s="9" t="s">
        <v>197</v>
      </c>
      <c r="M38" s="9" t="s">
        <v>111</v>
      </c>
      <c r="N38" s="9" t="s">
        <v>145</v>
      </c>
      <c r="O38" s="9" t="s">
        <v>113</v>
      </c>
      <c r="P38" s="9" t="s">
        <v>477</v>
      </c>
      <c r="Q38" s="9" t="s">
        <v>338</v>
      </c>
      <c r="R38" s="9"/>
      <c r="S38" s="9"/>
      <c r="T38" s="9"/>
      <c r="U38" s="9" t="s">
        <v>22</v>
      </c>
      <c r="V38" s="9"/>
      <c r="W38" s="9" t="s">
        <v>135</v>
      </c>
      <c r="X38" s="9"/>
      <c r="Y38" s="9"/>
      <c r="Z38" s="9"/>
      <c r="AA38" s="9" t="s">
        <v>478</v>
      </c>
      <c r="AB38" s="9" t="s">
        <v>479</v>
      </c>
      <c r="AC38" s="9" t="s">
        <v>252</v>
      </c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3"/>
      <c r="CN38" s="3"/>
      <c r="CO38" s="3"/>
      <c r="CP38" s="3"/>
      <c r="CQ38" s="3"/>
      <c r="CR38" s="3" t="s">
        <v>120</v>
      </c>
      <c r="CS38" s="3" t="s">
        <v>121</v>
      </c>
      <c r="CT38" s="9" t="s">
        <v>480</v>
      </c>
      <c r="CU38" s="3" t="s">
        <v>192</v>
      </c>
      <c r="CV38" s="3" t="s">
        <v>124</v>
      </c>
      <c r="CW38" s="3"/>
      <c r="DG38" s="4"/>
    </row>
    <row r="39" s="12" customFormat="true" ht="11.25" hidden="false" customHeight="true" outlineLevel="0" collapsed="false">
      <c r="A39" s="9" t="n">
        <v>38</v>
      </c>
      <c r="B39" s="10" t="n">
        <v>46156.7113860648</v>
      </c>
      <c r="C39" s="10" t="n">
        <v>46156.720471713</v>
      </c>
      <c r="D39" s="9" t="s">
        <v>481</v>
      </c>
      <c r="E39" s="9" t="s">
        <v>482</v>
      </c>
      <c r="F39" s="9" t="s">
        <v>482</v>
      </c>
      <c r="G39" s="9" t="s">
        <v>483</v>
      </c>
      <c r="H39" s="10" t="n">
        <v>46140</v>
      </c>
      <c r="I39" s="10" t="s">
        <v>172</v>
      </c>
      <c r="J39" s="9" t="s">
        <v>108</v>
      </c>
      <c r="K39" s="9" t="s">
        <v>462</v>
      </c>
      <c r="L39" s="9" t="s">
        <v>286</v>
      </c>
      <c r="M39" s="9" t="s">
        <v>111</v>
      </c>
      <c r="N39" s="9" t="s">
        <v>145</v>
      </c>
      <c r="O39" s="9" t="s">
        <v>113</v>
      </c>
      <c r="P39" s="9" t="s">
        <v>484</v>
      </c>
      <c r="Q39" s="9" t="s">
        <v>338</v>
      </c>
      <c r="R39" s="9"/>
      <c r="S39" s="9"/>
      <c r="T39" s="9"/>
      <c r="U39" s="9" t="s">
        <v>22</v>
      </c>
      <c r="V39" s="9"/>
      <c r="W39" s="9" t="s">
        <v>148</v>
      </c>
      <c r="X39" s="9"/>
      <c r="Y39" s="9"/>
      <c r="Z39" s="9"/>
      <c r="AA39" s="9"/>
      <c r="AB39" s="9"/>
      <c r="AC39" s="9"/>
      <c r="AD39" s="9" t="s">
        <v>485</v>
      </c>
      <c r="AE39" s="9" t="s">
        <v>486</v>
      </c>
      <c r="AF39" s="9" t="s">
        <v>487</v>
      </c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11"/>
      <c r="CN39" s="11"/>
      <c r="CO39" s="11"/>
      <c r="CP39" s="11"/>
      <c r="CQ39" s="11"/>
      <c r="CR39" s="11" t="s">
        <v>120</v>
      </c>
      <c r="CS39" s="11" t="s">
        <v>121</v>
      </c>
      <c r="CT39" s="9" t="s">
        <v>122</v>
      </c>
      <c r="CU39" s="11" t="s">
        <v>167</v>
      </c>
      <c r="CV39" s="11" t="s">
        <v>124</v>
      </c>
      <c r="CW39" s="11"/>
      <c r="CX39" s="11"/>
      <c r="CY39" s="11"/>
      <c r="CZ39" s="11"/>
      <c r="DA39" s="11"/>
      <c r="DB39" s="11"/>
      <c r="DC39" s="11"/>
      <c r="DD39" s="11"/>
      <c r="DE39" s="11"/>
      <c r="DF39" s="11"/>
    </row>
    <row r="40" customFormat="false" ht="11.25" hidden="false" customHeight="true" outlineLevel="0" collapsed="false">
      <c r="A40" s="9" t="n">
        <v>39</v>
      </c>
      <c r="B40" s="10" t="n">
        <v>46166.7224330556</v>
      </c>
      <c r="C40" s="10" t="n">
        <v>46166.726715463</v>
      </c>
      <c r="D40" s="9" t="s">
        <v>488</v>
      </c>
      <c r="E40" s="9" t="s">
        <v>489</v>
      </c>
      <c r="F40" s="9" t="s">
        <v>489</v>
      </c>
      <c r="G40" s="9" t="s">
        <v>490</v>
      </c>
      <c r="H40" s="10" t="n">
        <v>46153</v>
      </c>
      <c r="I40" s="10" t="s">
        <v>157</v>
      </c>
      <c r="J40" s="9" t="s">
        <v>295</v>
      </c>
      <c r="K40" s="9" t="s">
        <v>232</v>
      </c>
      <c r="L40" s="9" t="s">
        <v>491</v>
      </c>
      <c r="M40" s="9" t="s">
        <v>111</v>
      </c>
      <c r="N40" s="9" t="s">
        <v>112</v>
      </c>
      <c r="O40" s="9" t="s">
        <v>113</v>
      </c>
      <c r="P40" s="9" t="s">
        <v>492</v>
      </c>
      <c r="Q40" s="9" t="s">
        <v>186</v>
      </c>
      <c r="R40" s="9"/>
      <c r="S40" s="9"/>
      <c r="T40" s="9"/>
      <c r="U40" s="9" t="s">
        <v>24</v>
      </c>
      <c r="V40" s="9"/>
      <c r="W40" s="9"/>
      <c r="X40" s="9"/>
      <c r="Y40" s="9" t="s">
        <v>448</v>
      </c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 t="s">
        <v>493</v>
      </c>
      <c r="BX40" s="9" t="s">
        <v>494</v>
      </c>
      <c r="BY40" s="9" t="s">
        <v>495</v>
      </c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3"/>
      <c r="CN40" s="3"/>
      <c r="CO40" s="3"/>
      <c r="CP40" s="3"/>
      <c r="CQ40" s="3"/>
      <c r="CR40" s="3" t="s">
        <v>227</v>
      </c>
      <c r="CS40" s="3" t="s">
        <v>496</v>
      </c>
      <c r="CT40" s="9"/>
      <c r="CU40" s="3" t="s">
        <v>192</v>
      </c>
      <c r="CV40" s="3" t="s">
        <v>124</v>
      </c>
      <c r="CW40" s="3"/>
      <c r="DG40" s="4"/>
    </row>
    <row r="41" customFormat="false" ht="11.25" hidden="false" customHeight="true" outlineLevel="0" collapsed="false">
      <c r="A41" s="9" t="n">
        <v>40</v>
      </c>
      <c r="B41" s="10" t="n">
        <v>46068.5258188542</v>
      </c>
      <c r="C41" s="10" t="n">
        <v>46068.5406220949</v>
      </c>
      <c r="D41" s="9" t="s">
        <v>497</v>
      </c>
      <c r="E41" s="9" t="s">
        <v>498</v>
      </c>
      <c r="F41" s="9" t="s">
        <v>498</v>
      </c>
      <c r="G41" s="9" t="s">
        <v>499</v>
      </c>
      <c r="H41" s="10" t="n">
        <v>46064</v>
      </c>
      <c r="I41" s="10" t="s">
        <v>278</v>
      </c>
      <c r="J41" s="9" t="s">
        <v>128</v>
      </c>
      <c r="K41" s="9" t="s">
        <v>500</v>
      </c>
      <c r="L41" s="9" t="s">
        <v>233</v>
      </c>
      <c r="M41" s="9" t="s">
        <v>111</v>
      </c>
      <c r="N41" s="9" t="s">
        <v>112</v>
      </c>
      <c r="O41" s="9" t="s">
        <v>113</v>
      </c>
      <c r="P41" s="9" t="s">
        <v>501</v>
      </c>
      <c r="Q41" s="9" t="s">
        <v>175</v>
      </c>
      <c r="R41" s="9" t="s">
        <v>502</v>
      </c>
      <c r="S41" s="9"/>
      <c r="T41" s="9"/>
      <c r="U41" s="9" t="s">
        <v>23</v>
      </c>
      <c r="V41" s="9"/>
      <c r="W41" s="9"/>
      <c r="X41" s="9" t="s">
        <v>503</v>
      </c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3"/>
      <c r="CN41" s="3"/>
      <c r="CO41" s="3"/>
      <c r="CP41" s="3"/>
      <c r="CQ41" s="3"/>
      <c r="CR41" s="3" t="s">
        <v>152</v>
      </c>
      <c r="CS41" s="3" t="s">
        <v>352</v>
      </c>
      <c r="CT41" s="9"/>
      <c r="CU41" s="3" t="s">
        <v>123</v>
      </c>
      <c r="CV41" s="3" t="s">
        <v>124</v>
      </c>
      <c r="CW41" s="3"/>
      <c r="DG41" s="4"/>
    </row>
    <row r="42" customFormat="false" ht="11.25" hidden="false" customHeight="true" outlineLevel="0" collapsed="false">
      <c r="A42" s="9" t="n">
        <v>41</v>
      </c>
      <c r="B42" s="10" t="n">
        <v>46118.2477639352</v>
      </c>
      <c r="C42" s="10" t="n">
        <v>46118.2612940278</v>
      </c>
      <c r="D42" s="9" t="s">
        <v>504</v>
      </c>
      <c r="E42" s="9" t="s">
        <v>505</v>
      </c>
      <c r="F42" s="9" t="s">
        <v>505</v>
      </c>
      <c r="G42" s="9" t="s">
        <v>506</v>
      </c>
      <c r="H42" s="10" t="n">
        <v>46115</v>
      </c>
      <c r="I42" s="10" t="s">
        <v>107</v>
      </c>
      <c r="J42" s="9" t="s">
        <v>295</v>
      </c>
      <c r="K42" s="9" t="s">
        <v>232</v>
      </c>
      <c r="L42" s="9" t="s">
        <v>197</v>
      </c>
      <c r="M42" s="9" t="s">
        <v>111</v>
      </c>
      <c r="N42" s="9" t="s">
        <v>198</v>
      </c>
      <c r="O42" s="9" t="s">
        <v>113</v>
      </c>
      <c r="P42" s="9" t="s">
        <v>507</v>
      </c>
      <c r="Q42" s="9" t="s">
        <v>508</v>
      </c>
      <c r="R42" s="9"/>
      <c r="S42" s="9"/>
      <c r="T42" s="9"/>
      <c r="U42" s="9" t="s">
        <v>24</v>
      </c>
      <c r="V42" s="9"/>
      <c r="W42" s="9"/>
      <c r="X42" s="9"/>
      <c r="Y42" s="9" t="s">
        <v>223</v>
      </c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 t="s">
        <v>509</v>
      </c>
      <c r="CA42" s="9" t="s">
        <v>510</v>
      </c>
      <c r="CB42" s="9" t="s">
        <v>511</v>
      </c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3"/>
      <c r="CN42" s="3"/>
      <c r="CO42" s="3"/>
      <c r="CP42" s="3"/>
      <c r="CQ42" s="3"/>
      <c r="CR42" s="3" t="s">
        <v>152</v>
      </c>
      <c r="CS42" s="3" t="s">
        <v>121</v>
      </c>
      <c r="CT42" s="9" t="s">
        <v>122</v>
      </c>
      <c r="CU42" s="3" t="s">
        <v>192</v>
      </c>
      <c r="CV42" s="3" t="s">
        <v>124</v>
      </c>
      <c r="CW42" s="3"/>
      <c r="DG42" s="4"/>
    </row>
    <row r="43" customFormat="false" ht="11.25" hidden="false" customHeight="true" outlineLevel="0" collapsed="false">
      <c r="A43" s="9" t="n">
        <v>42</v>
      </c>
      <c r="B43" s="10" t="n">
        <v>46043.0422707986</v>
      </c>
      <c r="C43" s="10" t="n">
        <v>46043.0545508912</v>
      </c>
      <c r="D43" s="9" t="s">
        <v>512</v>
      </c>
      <c r="E43" s="9" t="s">
        <v>513</v>
      </c>
      <c r="F43" s="9" t="s">
        <v>513</v>
      </c>
      <c r="G43" s="9" t="s">
        <v>514</v>
      </c>
      <c r="H43" s="10" t="n">
        <v>46025</v>
      </c>
      <c r="I43" s="10" t="s">
        <v>172</v>
      </c>
      <c r="J43" s="9" t="s">
        <v>108</v>
      </c>
      <c r="K43" s="9" t="s">
        <v>232</v>
      </c>
      <c r="L43" s="9" t="s">
        <v>114</v>
      </c>
      <c r="M43" s="9" t="s">
        <v>111</v>
      </c>
      <c r="N43" s="9" t="s">
        <v>247</v>
      </c>
      <c r="O43" s="9" t="s">
        <v>113</v>
      </c>
      <c r="P43" s="9" t="s">
        <v>515</v>
      </c>
      <c r="Q43" s="9" t="s">
        <v>338</v>
      </c>
      <c r="R43" s="9"/>
      <c r="S43" s="9"/>
      <c r="T43" s="9"/>
      <c r="U43" s="9" t="s">
        <v>24</v>
      </c>
      <c r="V43" s="9"/>
      <c r="W43" s="9"/>
      <c r="X43" s="9"/>
      <c r="Y43" s="9" t="s">
        <v>448</v>
      </c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 t="s">
        <v>516</v>
      </c>
      <c r="BX43" s="9" t="s">
        <v>517</v>
      </c>
      <c r="BY43" s="9" t="s">
        <v>518</v>
      </c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3"/>
      <c r="CN43" s="3"/>
      <c r="CO43" s="3"/>
      <c r="CP43" s="3"/>
      <c r="CQ43" s="3"/>
      <c r="CR43" s="3" t="s">
        <v>152</v>
      </c>
      <c r="CS43" s="3" t="s">
        <v>121</v>
      </c>
      <c r="CT43" s="9"/>
      <c r="CU43" s="3" t="s">
        <v>123</v>
      </c>
      <c r="CV43" s="3" t="s">
        <v>124</v>
      </c>
      <c r="CW43" s="3"/>
      <c r="DG43" s="4"/>
    </row>
    <row r="44" customFormat="false" ht="11.25" hidden="false" customHeight="true" outlineLevel="0" collapsed="false">
      <c r="A44" s="9" t="n">
        <v>43</v>
      </c>
      <c r="B44" s="10" t="n">
        <v>46064.1639928009</v>
      </c>
      <c r="C44" s="10" t="n">
        <v>46064.1837728935</v>
      </c>
      <c r="D44" s="9" t="s">
        <v>519</v>
      </c>
      <c r="E44" s="9" t="s">
        <v>520</v>
      </c>
      <c r="F44" s="9" t="s">
        <v>520</v>
      </c>
      <c r="G44" s="9" t="s">
        <v>521</v>
      </c>
      <c r="H44" s="10" t="n">
        <v>46044</v>
      </c>
      <c r="I44" s="10" t="s">
        <v>278</v>
      </c>
      <c r="J44" s="9" t="s">
        <v>108</v>
      </c>
      <c r="K44" s="9" t="s">
        <v>522</v>
      </c>
      <c r="L44" s="9" t="s">
        <v>286</v>
      </c>
      <c r="M44" s="9" t="s">
        <v>111</v>
      </c>
      <c r="N44" s="9" t="s">
        <v>112</v>
      </c>
      <c r="O44" s="9" t="s">
        <v>325</v>
      </c>
      <c r="P44" s="9" t="s">
        <v>365</v>
      </c>
      <c r="Q44" s="9" t="s">
        <v>523</v>
      </c>
      <c r="R44" s="9"/>
      <c r="S44" s="9"/>
      <c r="T44" s="9"/>
      <c r="U44" s="9" t="s">
        <v>24</v>
      </c>
      <c r="V44" s="9"/>
      <c r="W44" s="9"/>
      <c r="X44" s="9"/>
      <c r="Y44" s="9" t="s">
        <v>214</v>
      </c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 t="s">
        <v>524</v>
      </c>
      <c r="CD44" s="9" t="s">
        <v>525</v>
      </c>
      <c r="CE44" s="9" t="s">
        <v>526</v>
      </c>
      <c r="CF44" s="9"/>
      <c r="CG44" s="9"/>
      <c r="CH44" s="9"/>
      <c r="CI44" s="9"/>
      <c r="CJ44" s="9"/>
      <c r="CK44" s="9"/>
      <c r="CL44" s="9"/>
      <c r="CM44" s="3"/>
      <c r="CN44" s="3"/>
      <c r="CO44" s="3"/>
      <c r="CP44" s="3"/>
      <c r="CQ44" s="3"/>
      <c r="CR44" s="3" t="s">
        <v>152</v>
      </c>
      <c r="CS44" s="3" t="s">
        <v>121</v>
      </c>
      <c r="CT44" s="9"/>
      <c r="CU44" s="3" t="s">
        <v>192</v>
      </c>
      <c r="CV44" s="3" t="s">
        <v>124</v>
      </c>
      <c r="CW44" s="3"/>
      <c r="DG44" s="4"/>
    </row>
    <row r="45" customFormat="false" ht="11.25" hidden="false" customHeight="true" outlineLevel="0" collapsed="false">
      <c r="A45" s="9" t="n">
        <v>44</v>
      </c>
      <c r="B45" s="10" t="n">
        <v>46063.8584562847</v>
      </c>
      <c r="C45" s="10" t="n">
        <v>46063.8616623032</v>
      </c>
      <c r="D45" s="9" t="s">
        <v>527</v>
      </c>
      <c r="E45" s="9" t="s">
        <v>528</v>
      </c>
      <c r="F45" s="9" t="s">
        <v>528</v>
      </c>
      <c r="G45" s="9" t="s">
        <v>529</v>
      </c>
      <c r="H45" s="10" t="n">
        <v>46061</v>
      </c>
      <c r="I45" s="10" t="s">
        <v>244</v>
      </c>
      <c r="J45" s="9" t="s">
        <v>108</v>
      </c>
      <c r="K45" s="9" t="s">
        <v>173</v>
      </c>
      <c r="L45" s="9" t="s">
        <v>296</v>
      </c>
      <c r="M45" s="9" t="s">
        <v>211</v>
      </c>
      <c r="N45" s="9" t="s">
        <v>112</v>
      </c>
      <c r="O45" s="9" t="s">
        <v>113</v>
      </c>
      <c r="P45" s="9" t="s">
        <v>269</v>
      </c>
      <c r="Q45" s="9" t="s">
        <v>287</v>
      </c>
      <c r="R45" s="9"/>
      <c r="S45" s="9"/>
      <c r="T45" s="9"/>
      <c r="U45" s="9" t="s">
        <v>22</v>
      </c>
      <c r="V45" s="9"/>
      <c r="W45" s="9" t="s">
        <v>135</v>
      </c>
      <c r="X45" s="9"/>
      <c r="Y45" s="9"/>
      <c r="Z45" s="9"/>
      <c r="AA45" s="9" t="s">
        <v>530</v>
      </c>
      <c r="AB45" s="9" t="s">
        <v>531</v>
      </c>
      <c r="AC45" s="9" t="s">
        <v>532</v>
      </c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3"/>
      <c r="CN45" s="3"/>
      <c r="CO45" s="3"/>
      <c r="CP45" s="3"/>
      <c r="CQ45" s="3"/>
      <c r="CR45" s="3" t="s">
        <v>120</v>
      </c>
      <c r="CS45" s="3" t="s">
        <v>400</v>
      </c>
      <c r="CT45" s="9" t="s">
        <v>122</v>
      </c>
      <c r="CU45" s="3" t="s">
        <v>123</v>
      </c>
      <c r="CV45" s="3" t="s">
        <v>139</v>
      </c>
      <c r="CW45" s="3"/>
      <c r="DG45" s="4"/>
    </row>
    <row r="46" customFormat="false" ht="11.25" hidden="false" customHeight="true" outlineLevel="0" collapsed="false">
      <c r="A46" s="9" t="n">
        <v>45</v>
      </c>
      <c r="B46" s="10" t="n">
        <v>46202.9169676736</v>
      </c>
      <c r="C46" s="10" t="n">
        <v>46202.9195949884</v>
      </c>
      <c r="D46" s="9" t="s">
        <v>533</v>
      </c>
      <c r="E46" s="9" t="s">
        <v>534</v>
      </c>
      <c r="F46" s="9" t="s">
        <v>534</v>
      </c>
      <c r="G46" s="9" t="s">
        <v>535</v>
      </c>
      <c r="H46" s="10" t="n">
        <v>46192</v>
      </c>
      <c r="I46" s="10" t="s">
        <v>107</v>
      </c>
      <c r="J46" s="9" t="s">
        <v>108</v>
      </c>
      <c r="K46" s="9" t="s">
        <v>232</v>
      </c>
      <c r="L46" s="9" t="s">
        <v>346</v>
      </c>
      <c r="M46" s="9" t="s">
        <v>111</v>
      </c>
      <c r="N46" s="9" t="s">
        <v>112</v>
      </c>
      <c r="O46" s="9" t="s">
        <v>305</v>
      </c>
      <c r="P46" s="9" t="s">
        <v>406</v>
      </c>
      <c r="Q46" s="9" t="s">
        <v>234</v>
      </c>
      <c r="R46" s="9"/>
      <c r="S46" s="9"/>
      <c r="T46" s="9"/>
      <c r="U46" s="9" t="s">
        <v>22</v>
      </c>
      <c r="V46" s="9"/>
      <c r="W46" s="9" t="s">
        <v>298</v>
      </c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 t="s">
        <v>536</v>
      </c>
      <c r="AW46" s="9" t="s">
        <v>537</v>
      </c>
      <c r="AX46" s="9" t="s">
        <v>538</v>
      </c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3"/>
      <c r="CN46" s="3"/>
      <c r="CO46" s="3"/>
      <c r="CP46" s="3"/>
      <c r="CQ46" s="3"/>
      <c r="CR46" s="3" t="s">
        <v>152</v>
      </c>
      <c r="CS46" s="3" t="s">
        <v>180</v>
      </c>
      <c r="CT46" s="9"/>
      <c r="CU46" s="3" t="s">
        <v>192</v>
      </c>
      <c r="CV46" s="3" t="s">
        <v>139</v>
      </c>
      <c r="CW46" s="3" t="s">
        <v>219</v>
      </c>
      <c r="DG46" s="4"/>
    </row>
    <row r="47" customFormat="false" ht="11.25" hidden="false" customHeight="true" outlineLevel="0" collapsed="false">
      <c r="A47" s="9" t="n">
        <v>46</v>
      </c>
      <c r="B47" s="10" t="n">
        <v>46160.9507701273</v>
      </c>
      <c r="C47" s="10" t="n">
        <v>46160.9642076273</v>
      </c>
      <c r="D47" s="9" t="s">
        <v>539</v>
      </c>
      <c r="E47" s="9" t="s">
        <v>540</v>
      </c>
      <c r="F47" s="9" t="s">
        <v>541</v>
      </c>
      <c r="G47" s="9" t="s">
        <v>542</v>
      </c>
      <c r="H47" s="10" t="n">
        <v>46151</v>
      </c>
      <c r="I47" s="10" t="s">
        <v>107</v>
      </c>
      <c r="J47" s="9" t="s">
        <v>108</v>
      </c>
      <c r="K47" s="9" t="s">
        <v>196</v>
      </c>
      <c r="L47" s="9" t="s">
        <v>286</v>
      </c>
      <c r="M47" s="9" t="s">
        <v>111</v>
      </c>
      <c r="N47" s="9" t="s">
        <v>112</v>
      </c>
      <c r="O47" s="9" t="s">
        <v>113</v>
      </c>
      <c r="P47" s="9" t="s">
        <v>543</v>
      </c>
      <c r="Q47" s="9" t="s">
        <v>544</v>
      </c>
      <c r="R47" s="9"/>
      <c r="S47" s="9"/>
      <c r="T47" s="9"/>
      <c r="U47" s="9" t="s">
        <v>21</v>
      </c>
      <c r="V47" s="9" t="s">
        <v>307</v>
      </c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 t="s">
        <v>545</v>
      </c>
      <c r="AT47" s="9" t="s">
        <v>546</v>
      </c>
      <c r="AU47" s="9" t="s">
        <v>310</v>
      </c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3"/>
      <c r="CN47" s="3"/>
      <c r="CO47" s="3"/>
      <c r="CP47" s="3"/>
      <c r="CQ47" s="3"/>
      <c r="CR47" s="3" t="s">
        <v>152</v>
      </c>
      <c r="CS47" s="3" t="s">
        <v>180</v>
      </c>
      <c r="CT47" s="9" t="s">
        <v>547</v>
      </c>
      <c r="CU47" s="3" t="s">
        <v>192</v>
      </c>
      <c r="CV47" s="3" t="s">
        <v>124</v>
      </c>
      <c r="CW47" s="3"/>
      <c r="DG47" s="4"/>
    </row>
    <row r="48" customFormat="false" ht="11.25" hidden="false" customHeight="true" outlineLevel="0" collapsed="false">
      <c r="A48" s="9" t="n">
        <v>47</v>
      </c>
      <c r="B48" s="10" t="n">
        <v>46139.5208755671</v>
      </c>
      <c r="C48" s="10" t="n">
        <v>46139.5367320486</v>
      </c>
      <c r="D48" s="9" t="s">
        <v>548</v>
      </c>
      <c r="E48" s="9" t="s">
        <v>549</v>
      </c>
      <c r="F48" s="9" t="s">
        <v>549</v>
      </c>
      <c r="G48" s="9" t="s">
        <v>550</v>
      </c>
      <c r="H48" s="10" t="n">
        <v>46125</v>
      </c>
      <c r="I48" s="10" t="s">
        <v>107</v>
      </c>
      <c r="J48" s="9" t="s">
        <v>108</v>
      </c>
      <c r="K48" s="9" t="s">
        <v>196</v>
      </c>
      <c r="L48" s="9" t="s">
        <v>286</v>
      </c>
      <c r="M48" s="9" t="s">
        <v>111</v>
      </c>
      <c r="N48" s="9" t="s">
        <v>247</v>
      </c>
      <c r="O48" s="9" t="s">
        <v>551</v>
      </c>
      <c r="P48" s="9" t="s">
        <v>160</v>
      </c>
      <c r="Q48" s="9" t="s">
        <v>552</v>
      </c>
      <c r="R48" s="9"/>
      <c r="S48" s="9"/>
      <c r="T48" s="9"/>
      <c r="U48" s="9" t="s">
        <v>22</v>
      </c>
      <c r="V48" s="9"/>
      <c r="W48" s="9" t="s">
        <v>339</v>
      </c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 t="s">
        <v>553</v>
      </c>
      <c r="BO48" s="9" t="s">
        <v>554</v>
      </c>
      <c r="BP48" s="9" t="s">
        <v>555</v>
      </c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3"/>
      <c r="CN48" s="3"/>
      <c r="CO48" s="3"/>
      <c r="CP48" s="3"/>
      <c r="CQ48" s="3"/>
      <c r="CR48" s="3" t="s">
        <v>152</v>
      </c>
      <c r="CS48" s="3" t="s">
        <v>121</v>
      </c>
      <c r="CT48" s="9" t="s">
        <v>122</v>
      </c>
      <c r="CU48" s="3" t="s">
        <v>192</v>
      </c>
      <c r="CV48" s="3" t="s">
        <v>124</v>
      </c>
      <c r="CW48" s="3"/>
      <c r="DG48" s="4"/>
    </row>
    <row r="49" customFormat="false" ht="11.25" hidden="false" customHeight="true" outlineLevel="0" collapsed="false">
      <c r="A49" s="9" t="n">
        <v>48</v>
      </c>
      <c r="B49" s="10" t="n">
        <v>46042.960868287</v>
      </c>
      <c r="C49" s="10" t="n">
        <v>46042.9729053241</v>
      </c>
      <c r="D49" s="9" t="s">
        <v>556</v>
      </c>
      <c r="E49" s="9" t="s">
        <v>557</v>
      </c>
      <c r="F49" s="9" t="s">
        <v>558</v>
      </c>
      <c r="G49" s="9" t="s">
        <v>559</v>
      </c>
      <c r="H49" s="10" t="n">
        <v>46029</v>
      </c>
      <c r="I49" s="10" t="s">
        <v>107</v>
      </c>
      <c r="J49" s="9" t="s">
        <v>128</v>
      </c>
      <c r="K49" s="9" t="s">
        <v>257</v>
      </c>
      <c r="L49" s="9" t="s">
        <v>246</v>
      </c>
      <c r="M49" s="9" t="s">
        <v>111</v>
      </c>
      <c r="N49" s="9" t="s">
        <v>112</v>
      </c>
      <c r="O49" s="9" t="s">
        <v>113</v>
      </c>
      <c r="P49" s="9" t="s">
        <v>212</v>
      </c>
      <c r="Q49" s="9" t="s">
        <v>560</v>
      </c>
      <c r="R49" s="9"/>
      <c r="S49" s="9"/>
      <c r="T49" s="9"/>
      <c r="U49" s="9" t="s">
        <v>22</v>
      </c>
      <c r="V49" s="9"/>
      <c r="W49" s="9" t="s">
        <v>135</v>
      </c>
      <c r="X49" s="9"/>
      <c r="Y49" s="9"/>
      <c r="Z49" s="9"/>
      <c r="AA49" s="9" t="s">
        <v>530</v>
      </c>
      <c r="AB49" s="9" t="s">
        <v>531</v>
      </c>
      <c r="AC49" s="9" t="s">
        <v>561</v>
      </c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3"/>
      <c r="CN49" s="3"/>
      <c r="CO49" s="3"/>
      <c r="CP49" s="3"/>
      <c r="CQ49" s="3"/>
      <c r="CR49" s="3" t="s">
        <v>120</v>
      </c>
      <c r="CS49" s="3" t="s">
        <v>121</v>
      </c>
      <c r="CT49" s="9" t="s">
        <v>562</v>
      </c>
      <c r="CU49" s="3" t="s">
        <v>192</v>
      </c>
      <c r="CV49" s="3" t="s">
        <v>124</v>
      </c>
      <c r="CW49" s="3"/>
      <c r="DG49" s="4"/>
    </row>
    <row r="50" customFormat="false" ht="11.25" hidden="false" customHeight="true" outlineLevel="0" collapsed="false">
      <c r="A50" s="9" t="n">
        <v>49</v>
      </c>
      <c r="B50" s="10" t="n">
        <v>46048.4308335301</v>
      </c>
      <c r="C50" s="10" t="n">
        <v>46048.4452201042</v>
      </c>
      <c r="D50" s="9" t="s">
        <v>563</v>
      </c>
      <c r="E50" s="9" t="s">
        <v>564</v>
      </c>
      <c r="F50" s="9" t="s">
        <v>564</v>
      </c>
      <c r="G50" s="9" t="s">
        <v>565</v>
      </c>
      <c r="H50" s="10" t="n">
        <v>46035</v>
      </c>
      <c r="I50" s="10" t="s">
        <v>107</v>
      </c>
      <c r="J50" s="9" t="s">
        <v>108</v>
      </c>
      <c r="K50" s="9" t="s">
        <v>173</v>
      </c>
      <c r="L50" s="9" t="s">
        <v>184</v>
      </c>
      <c r="M50" s="9" t="s">
        <v>111</v>
      </c>
      <c r="N50" s="9" t="s">
        <v>145</v>
      </c>
      <c r="O50" s="9" t="s">
        <v>113</v>
      </c>
      <c r="P50" s="9" t="s">
        <v>566</v>
      </c>
      <c r="Q50" s="9" t="s">
        <v>567</v>
      </c>
      <c r="R50" s="9"/>
      <c r="S50" s="9"/>
      <c r="T50" s="9"/>
      <c r="U50" s="9" t="s">
        <v>22</v>
      </c>
      <c r="V50" s="9"/>
      <c r="W50" s="9" t="s">
        <v>135</v>
      </c>
      <c r="X50" s="9"/>
      <c r="Y50" s="9"/>
      <c r="Z50" s="9"/>
      <c r="AA50" s="9" t="s">
        <v>568</v>
      </c>
      <c r="AB50" s="9" t="s">
        <v>252</v>
      </c>
      <c r="AC50" s="9" t="s">
        <v>569</v>
      </c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3"/>
      <c r="CN50" s="3"/>
      <c r="CO50" s="3"/>
      <c r="CP50" s="3"/>
      <c r="CQ50" s="3"/>
      <c r="CR50" s="3" t="s">
        <v>152</v>
      </c>
      <c r="CS50" s="3" t="s">
        <v>180</v>
      </c>
      <c r="CT50" s="9" t="s">
        <v>122</v>
      </c>
      <c r="CU50" s="3" t="s">
        <v>192</v>
      </c>
      <c r="CV50" s="3" t="s">
        <v>124</v>
      </c>
      <c r="CW50" s="3" t="s">
        <v>219</v>
      </c>
      <c r="CY50" s="3" t="s">
        <v>205</v>
      </c>
      <c r="DG50" s="4"/>
    </row>
    <row r="51" customFormat="false" ht="11.25" hidden="false" customHeight="true" outlineLevel="0" collapsed="false">
      <c r="A51" s="9" t="n">
        <v>50</v>
      </c>
      <c r="B51" s="10" t="n">
        <v>46157.0486841782</v>
      </c>
      <c r="C51" s="10" t="n">
        <v>46157.0631980671</v>
      </c>
      <c r="D51" s="9" t="s">
        <v>570</v>
      </c>
      <c r="E51" s="9" t="s">
        <v>571</v>
      </c>
      <c r="F51" s="9" t="s">
        <v>571</v>
      </c>
      <c r="G51" s="9" t="s">
        <v>572</v>
      </c>
      <c r="H51" s="10" t="n">
        <v>46142</v>
      </c>
      <c r="I51" s="10" t="s">
        <v>107</v>
      </c>
      <c r="J51" s="9" t="s">
        <v>108</v>
      </c>
      <c r="K51" s="9" t="s">
        <v>173</v>
      </c>
      <c r="L51" s="9" t="s">
        <v>491</v>
      </c>
      <c r="M51" s="9" t="s">
        <v>131</v>
      </c>
      <c r="N51" s="9" t="s">
        <v>112</v>
      </c>
      <c r="O51" s="9" t="s">
        <v>325</v>
      </c>
      <c r="P51" s="9" t="s">
        <v>337</v>
      </c>
      <c r="Q51" s="9" t="s">
        <v>235</v>
      </c>
      <c r="R51" s="9"/>
      <c r="S51" s="9"/>
      <c r="T51" s="9"/>
      <c r="U51" s="9" t="s">
        <v>23</v>
      </c>
      <c r="V51" s="9"/>
      <c r="W51" s="9"/>
      <c r="X51" s="9" t="s">
        <v>122</v>
      </c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3"/>
      <c r="CN51" s="3"/>
      <c r="CO51" s="3"/>
      <c r="CP51" s="3"/>
      <c r="CQ51" s="3"/>
      <c r="CR51" s="3" t="s">
        <v>152</v>
      </c>
      <c r="CS51" s="3" t="s">
        <v>121</v>
      </c>
      <c r="CT51" s="9" t="s">
        <v>122</v>
      </c>
      <c r="CU51" s="3" t="s">
        <v>167</v>
      </c>
      <c r="CV51" s="3" t="s">
        <v>124</v>
      </c>
      <c r="CW51" s="3" t="s">
        <v>573</v>
      </c>
      <c r="DG51" s="4"/>
    </row>
    <row r="52" customFormat="false" ht="11.25" hidden="false" customHeight="true" outlineLevel="0" collapsed="false">
      <c r="A52" s="9" t="n">
        <v>51</v>
      </c>
      <c r="B52" s="10" t="n">
        <v>46205.6690140278</v>
      </c>
      <c r="C52" s="10" t="n">
        <v>46205.6718959722</v>
      </c>
      <c r="D52" s="9" t="s">
        <v>574</v>
      </c>
      <c r="E52" s="9" t="s">
        <v>575</v>
      </c>
      <c r="F52" s="9" t="s">
        <v>575</v>
      </c>
      <c r="G52" s="9" t="s">
        <v>576</v>
      </c>
      <c r="H52" s="10" t="n">
        <v>46191</v>
      </c>
      <c r="I52" s="10" t="s">
        <v>107</v>
      </c>
      <c r="J52" s="9" t="s">
        <v>108</v>
      </c>
      <c r="K52" s="9" t="s">
        <v>173</v>
      </c>
      <c r="L52" s="9" t="s">
        <v>144</v>
      </c>
      <c r="M52" s="9" t="s">
        <v>211</v>
      </c>
      <c r="N52" s="9" t="s">
        <v>112</v>
      </c>
      <c r="O52" s="9" t="s">
        <v>577</v>
      </c>
      <c r="P52" s="9" t="s">
        <v>578</v>
      </c>
      <c r="Q52" s="9" t="s">
        <v>287</v>
      </c>
      <c r="R52" s="9"/>
      <c r="S52" s="9"/>
      <c r="T52" s="9"/>
      <c r="U52" s="9" t="s">
        <v>22</v>
      </c>
      <c r="V52" s="9"/>
      <c r="W52" s="9" t="s">
        <v>176</v>
      </c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 t="s">
        <v>579</v>
      </c>
      <c r="AZ52" s="9" t="s">
        <v>580</v>
      </c>
      <c r="BA52" s="9" t="s">
        <v>581</v>
      </c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3"/>
      <c r="CN52" s="3"/>
      <c r="CO52" s="3"/>
      <c r="CP52" s="3"/>
      <c r="CQ52" s="3"/>
      <c r="CR52" s="3" t="s">
        <v>152</v>
      </c>
      <c r="CS52" s="3" t="s">
        <v>121</v>
      </c>
      <c r="CT52" s="9" t="s">
        <v>122</v>
      </c>
      <c r="CU52" s="3" t="s">
        <v>123</v>
      </c>
      <c r="CV52" s="3" t="s">
        <v>124</v>
      </c>
      <c r="CW52" s="3"/>
      <c r="DG52" s="4"/>
    </row>
    <row r="53" customFormat="false" ht="11.25" hidden="false" customHeight="true" outlineLevel="0" collapsed="false">
      <c r="A53" s="9" t="n">
        <v>52</v>
      </c>
      <c r="B53" s="10" t="n">
        <v>46110.3258204398</v>
      </c>
      <c r="C53" s="10" t="n">
        <v>46110.3335287732</v>
      </c>
      <c r="D53" s="9" t="s">
        <v>582</v>
      </c>
      <c r="E53" s="9" t="s">
        <v>583</v>
      </c>
      <c r="F53" s="9" t="s">
        <v>584</v>
      </c>
      <c r="G53" s="9" t="s">
        <v>585</v>
      </c>
      <c r="H53" s="10" t="n">
        <v>46097</v>
      </c>
      <c r="I53" s="10" t="s">
        <v>107</v>
      </c>
      <c r="J53" s="9" t="s">
        <v>108</v>
      </c>
      <c r="K53" s="9" t="s">
        <v>232</v>
      </c>
      <c r="L53" s="9" t="s">
        <v>144</v>
      </c>
      <c r="M53" s="9" t="s">
        <v>111</v>
      </c>
      <c r="N53" s="9" t="s">
        <v>112</v>
      </c>
      <c r="O53" s="9" t="s">
        <v>113</v>
      </c>
      <c r="P53" s="9" t="s">
        <v>130</v>
      </c>
      <c r="Q53" s="9" t="s">
        <v>586</v>
      </c>
      <c r="R53" s="9"/>
      <c r="S53" s="9"/>
      <c r="T53" s="9"/>
      <c r="U53" s="9" t="s">
        <v>22</v>
      </c>
      <c r="V53" s="9"/>
      <c r="W53" s="9" t="s">
        <v>298</v>
      </c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 t="s">
        <v>587</v>
      </c>
      <c r="AW53" s="9" t="s">
        <v>588</v>
      </c>
      <c r="AX53" s="9" t="s">
        <v>589</v>
      </c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3"/>
      <c r="CN53" s="3"/>
      <c r="CO53" s="3"/>
      <c r="CP53" s="3"/>
      <c r="CQ53" s="3"/>
      <c r="CR53" s="3" t="s">
        <v>152</v>
      </c>
      <c r="CS53" s="3" t="s">
        <v>590</v>
      </c>
      <c r="CT53" s="9" t="s">
        <v>204</v>
      </c>
      <c r="CU53" s="3" t="s">
        <v>192</v>
      </c>
      <c r="CV53" s="3" t="s">
        <v>124</v>
      </c>
      <c r="CW53" s="3"/>
      <c r="DG53" s="4"/>
    </row>
    <row r="54" s="12" customFormat="true" ht="11.25" hidden="false" customHeight="true" outlineLevel="0" collapsed="false">
      <c r="A54" s="9" t="n">
        <v>53</v>
      </c>
      <c r="B54" s="10" t="n">
        <v>46106.0477216435</v>
      </c>
      <c r="C54" s="10" t="n">
        <v>46106.0498396991</v>
      </c>
      <c r="D54" s="9" t="s">
        <v>591</v>
      </c>
      <c r="E54" s="9" t="s">
        <v>592</v>
      </c>
      <c r="F54" s="9" t="s">
        <v>592</v>
      </c>
      <c r="G54" s="9" t="s">
        <v>593</v>
      </c>
      <c r="H54" s="10" t="n">
        <v>46092</v>
      </c>
      <c r="I54" s="10" t="s">
        <v>107</v>
      </c>
      <c r="J54" s="9" t="s">
        <v>108</v>
      </c>
      <c r="K54" s="9" t="s">
        <v>257</v>
      </c>
      <c r="L54" s="9" t="s">
        <v>491</v>
      </c>
      <c r="M54" s="9" t="s">
        <v>111</v>
      </c>
      <c r="N54" s="9" t="s">
        <v>112</v>
      </c>
      <c r="O54" s="9" t="s">
        <v>113</v>
      </c>
      <c r="P54" s="9" t="s">
        <v>594</v>
      </c>
      <c r="Q54" s="9" t="s">
        <v>595</v>
      </c>
      <c r="R54" s="9"/>
      <c r="S54" s="9"/>
      <c r="T54" s="9"/>
      <c r="U54" s="9" t="s">
        <v>24</v>
      </c>
      <c r="V54" s="9"/>
      <c r="W54" s="9"/>
      <c r="X54" s="9"/>
      <c r="Y54" s="9" t="s">
        <v>448</v>
      </c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 t="s">
        <v>596</v>
      </c>
      <c r="BX54" s="9" t="s">
        <v>450</v>
      </c>
      <c r="BY54" s="9" t="s">
        <v>597</v>
      </c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11"/>
      <c r="CN54" s="11"/>
      <c r="CO54" s="11"/>
      <c r="CP54" s="11"/>
      <c r="CQ54" s="11"/>
      <c r="CR54" s="11" t="s">
        <v>152</v>
      </c>
      <c r="CS54" s="11" t="s">
        <v>121</v>
      </c>
      <c r="CT54" s="9" t="s">
        <v>122</v>
      </c>
      <c r="CU54" s="11" t="s">
        <v>123</v>
      </c>
      <c r="CV54" s="11" t="s">
        <v>168</v>
      </c>
      <c r="CW54" s="11"/>
      <c r="CX54" s="11"/>
      <c r="CY54" s="11"/>
      <c r="CZ54" s="11"/>
      <c r="DA54" s="11"/>
      <c r="DB54" s="11"/>
      <c r="DC54" s="11"/>
      <c r="DD54" s="11"/>
      <c r="DE54" s="11"/>
      <c r="DF54" s="11"/>
    </row>
    <row r="55" customFormat="false" ht="11.25" hidden="false" customHeight="true" outlineLevel="0" collapsed="false">
      <c r="A55" s="9" t="n">
        <v>54</v>
      </c>
      <c r="B55" s="10" t="n">
        <v>46203.3733147917</v>
      </c>
      <c r="C55" s="10" t="n">
        <v>46203.3911504398</v>
      </c>
      <c r="D55" s="9" t="s">
        <v>598</v>
      </c>
      <c r="E55" s="9" t="s">
        <v>599</v>
      </c>
      <c r="F55" s="9" t="s">
        <v>599</v>
      </c>
      <c r="G55" s="9" t="s">
        <v>600</v>
      </c>
      <c r="H55" s="10" t="n">
        <v>46199</v>
      </c>
      <c r="I55" s="10" t="s">
        <v>157</v>
      </c>
      <c r="J55" s="9" t="s">
        <v>108</v>
      </c>
      <c r="K55" s="9" t="s">
        <v>196</v>
      </c>
      <c r="L55" s="9" t="s">
        <v>110</v>
      </c>
      <c r="M55" s="9" t="s">
        <v>131</v>
      </c>
      <c r="N55" s="9" t="s">
        <v>247</v>
      </c>
      <c r="O55" s="9" t="s">
        <v>551</v>
      </c>
      <c r="P55" s="9" t="s">
        <v>234</v>
      </c>
      <c r="Q55" s="9" t="s">
        <v>111</v>
      </c>
      <c r="R55" s="9"/>
      <c r="S55" s="9"/>
      <c r="T55" s="9"/>
      <c r="U55" s="9" t="s">
        <v>22</v>
      </c>
      <c r="V55" s="9"/>
      <c r="W55" s="9" t="s">
        <v>116</v>
      </c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 t="s">
        <v>601</v>
      </c>
      <c r="BU55" s="9" t="s">
        <v>602</v>
      </c>
      <c r="BV55" s="9" t="s">
        <v>252</v>
      </c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3"/>
      <c r="CN55" s="3"/>
      <c r="CO55" s="3"/>
      <c r="CP55" s="3"/>
      <c r="CQ55" s="3"/>
      <c r="CR55" s="3" t="s">
        <v>227</v>
      </c>
      <c r="CS55" s="3" t="s">
        <v>352</v>
      </c>
      <c r="CT55" s="9"/>
      <c r="CU55" s="3" t="s">
        <v>123</v>
      </c>
      <c r="CV55" s="3" t="s">
        <v>124</v>
      </c>
      <c r="CW55" s="3"/>
      <c r="CX55" s="3" t="s">
        <v>331</v>
      </c>
      <c r="DG55" s="4"/>
    </row>
    <row r="56" customFormat="false" ht="11.25" hidden="false" customHeight="true" outlineLevel="0" collapsed="false">
      <c r="A56" s="9" t="n">
        <v>55</v>
      </c>
      <c r="B56" s="10" t="n">
        <v>46147.1828762037</v>
      </c>
      <c r="C56" s="10" t="n">
        <v>46147.1863021296</v>
      </c>
      <c r="D56" s="9" t="s">
        <v>603</v>
      </c>
      <c r="E56" s="9" t="s">
        <v>604</v>
      </c>
      <c r="F56" s="9" t="s">
        <v>604</v>
      </c>
      <c r="G56" s="9" t="s">
        <v>605</v>
      </c>
      <c r="H56" s="10" t="n">
        <v>46132</v>
      </c>
      <c r="I56" s="10" t="s">
        <v>244</v>
      </c>
      <c r="J56" s="9" t="s">
        <v>295</v>
      </c>
      <c r="K56" s="9" t="s">
        <v>462</v>
      </c>
      <c r="L56" s="9" t="s">
        <v>431</v>
      </c>
      <c r="M56" s="9" t="s">
        <v>390</v>
      </c>
      <c r="N56" s="9" t="s">
        <v>112</v>
      </c>
      <c r="O56" s="9" t="s">
        <v>113</v>
      </c>
      <c r="P56" s="9" t="s">
        <v>594</v>
      </c>
      <c r="Q56" s="9" t="s">
        <v>606</v>
      </c>
      <c r="R56" s="9"/>
      <c r="S56" s="9"/>
      <c r="T56" s="9"/>
      <c r="U56" s="9" t="s">
        <v>22</v>
      </c>
      <c r="V56" s="9"/>
      <c r="W56" s="9" t="s">
        <v>116</v>
      </c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 t="s">
        <v>607</v>
      </c>
      <c r="BU56" s="9" t="s">
        <v>608</v>
      </c>
      <c r="BV56" s="9" t="s">
        <v>330</v>
      </c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3"/>
      <c r="CN56" s="3"/>
      <c r="CO56" s="3"/>
      <c r="CP56" s="3"/>
      <c r="CQ56" s="3"/>
      <c r="CR56" s="3" t="s">
        <v>152</v>
      </c>
      <c r="CS56" s="3" t="s">
        <v>121</v>
      </c>
      <c r="CT56" s="9" t="s">
        <v>122</v>
      </c>
      <c r="CU56" s="3" t="s">
        <v>123</v>
      </c>
      <c r="CV56" s="3" t="s">
        <v>139</v>
      </c>
      <c r="CW56" s="3"/>
      <c r="DG56" s="4"/>
    </row>
    <row r="57" customFormat="false" ht="11.25" hidden="false" customHeight="true" outlineLevel="0" collapsed="false">
      <c r="A57" s="9" t="n">
        <v>56</v>
      </c>
      <c r="B57" s="10" t="n">
        <v>46072.7138139583</v>
      </c>
      <c r="C57" s="10" t="n">
        <v>46072.7302491435</v>
      </c>
      <c r="D57" s="9" t="s">
        <v>609</v>
      </c>
      <c r="E57" s="9" t="s">
        <v>610</v>
      </c>
      <c r="F57" s="9" t="s">
        <v>610</v>
      </c>
      <c r="G57" s="9" t="s">
        <v>611</v>
      </c>
      <c r="H57" s="10" t="n">
        <v>46052</v>
      </c>
      <c r="I57" s="10" t="s">
        <v>172</v>
      </c>
      <c r="J57" s="9" t="s">
        <v>108</v>
      </c>
      <c r="K57" s="9" t="s">
        <v>364</v>
      </c>
      <c r="L57" s="9" t="s">
        <v>431</v>
      </c>
      <c r="M57" s="9" t="s">
        <v>111</v>
      </c>
      <c r="N57" s="9" t="s">
        <v>112</v>
      </c>
      <c r="O57" s="9" t="s">
        <v>305</v>
      </c>
      <c r="P57" s="9" t="s">
        <v>612</v>
      </c>
      <c r="Q57" s="9" t="s">
        <v>613</v>
      </c>
      <c r="R57" s="9"/>
      <c r="S57" s="9"/>
      <c r="T57" s="9"/>
      <c r="U57" s="9" t="s">
        <v>21</v>
      </c>
      <c r="V57" s="9" t="s">
        <v>307</v>
      </c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 t="s">
        <v>470</v>
      </c>
      <c r="AT57" s="9" t="s">
        <v>546</v>
      </c>
      <c r="AU57" s="9" t="s">
        <v>310</v>
      </c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3"/>
      <c r="CN57" s="3"/>
      <c r="CO57" s="3"/>
      <c r="CP57" s="3"/>
      <c r="CQ57" s="3"/>
      <c r="CR57" s="3" t="s">
        <v>152</v>
      </c>
      <c r="CS57" s="3" t="s">
        <v>121</v>
      </c>
      <c r="CT57" s="9" t="s">
        <v>614</v>
      </c>
      <c r="CU57" s="3" t="s">
        <v>123</v>
      </c>
      <c r="CV57" s="3" t="s">
        <v>139</v>
      </c>
      <c r="CW57" s="3"/>
      <c r="DG57" s="4"/>
    </row>
    <row r="58" customFormat="false" ht="11.25" hidden="false" customHeight="true" outlineLevel="0" collapsed="false">
      <c r="A58" s="9" t="n">
        <v>57</v>
      </c>
      <c r="B58" s="10" t="n">
        <v>46194.5842178704</v>
      </c>
      <c r="C58" s="10" t="n">
        <v>46194.5926553704</v>
      </c>
      <c r="D58" s="9" t="s">
        <v>615</v>
      </c>
      <c r="E58" s="9" t="s">
        <v>616</v>
      </c>
      <c r="F58" s="9" t="s">
        <v>617</v>
      </c>
      <c r="G58" s="9" t="s">
        <v>618</v>
      </c>
      <c r="H58" s="10" t="n">
        <v>46193</v>
      </c>
      <c r="I58" s="10" t="s">
        <v>107</v>
      </c>
      <c r="J58" s="9" t="s">
        <v>108</v>
      </c>
      <c r="K58" s="9" t="s">
        <v>257</v>
      </c>
      <c r="L58" s="9" t="s">
        <v>431</v>
      </c>
      <c r="M58" s="9" t="s">
        <v>111</v>
      </c>
      <c r="N58" s="9" t="s">
        <v>145</v>
      </c>
      <c r="O58" s="9" t="s">
        <v>325</v>
      </c>
      <c r="P58" s="9" t="s">
        <v>406</v>
      </c>
      <c r="Q58" s="9" t="s">
        <v>111</v>
      </c>
      <c r="R58" s="9"/>
      <c r="S58" s="9"/>
      <c r="T58" s="9"/>
      <c r="U58" s="9" t="s">
        <v>25</v>
      </c>
      <c r="V58" s="9"/>
      <c r="W58" s="9"/>
      <c r="X58" s="9"/>
      <c r="Y58" s="9"/>
      <c r="Z58" s="9" t="s">
        <v>327</v>
      </c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 t="s">
        <v>619</v>
      </c>
      <c r="CJ58" s="9" t="s">
        <v>118</v>
      </c>
      <c r="CK58" s="9" t="s">
        <v>620</v>
      </c>
      <c r="CL58" s="9"/>
      <c r="CM58" s="3"/>
      <c r="CN58" s="3"/>
      <c r="CO58" s="3"/>
      <c r="CP58" s="3"/>
      <c r="CQ58" s="3"/>
      <c r="CR58" s="3" t="s">
        <v>152</v>
      </c>
      <c r="CS58" s="3" t="s">
        <v>121</v>
      </c>
      <c r="CT58" s="9" t="s">
        <v>122</v>
      </c>
      <c r="CU58" s="3" t="s">
        <v>167</v>
      </c>
      <c r="CV58" s="3" t="s">
        <v>124</v>
      </c>
      <c r="CW58" s="3" t="s">
        <v>621</v>
      </c>
      <c r="DG58" s="4"/>
    </row>
    <row r="59" customFormat="false" ht="11.25" hidden="false" customHeight="true" outlineLevel="0" collapsed="false">
      <c r="A59" s="9" t="n">
        <v>58</v>
      </c>
      <c r="B59" s="10" t="n">
        <v>46145.4523146875</v>
      </c>
      <c r="C59" s="10" t="n">
        <v>46145.4707869097</v>
      </c>
      <c r="D59" s="9" t="s">
        <v>622</v>
      </c>
      <c r="E59" s="9" t="s">
        <v>623</v>
      </c>
      <c r="F59" s="9" t="s">
        <v>623</v>
      </c>
      <c r="G59" s="9" t="s">
        <v>624</v>
      </c>
      <c r="H59" s="10" t="n">
        <v>46140</v>
      </c>
      <c r="I59" s="10" t="s">
        <v>172</v>
      </c>
      <c r="J59" s="9" t="s">
        <v>108</v>
      </c>
      <c r="K59" s="9" t="s">
        <v>232</v>
      </c>
      <c r="L59" s="9" t="s">
        <v>389</v>
      </c>
      <c r="M59" s="9" t="s">
        <v>111</v>
      </c>
      <c r="N59" s="9" t="s">
        <v>247</v>
      </c>
      <c r="O59" s="9" t="s">
        <v>113</v>
      </c>
      <c r="P59" s="9" t="s">
        <v>286</v>
      </c>
      <c r="Q59" s="9" t="s">
        <v>625</v>
      </c>
      <c r="R59" s="9"/>
      <c r="S59" s="9"/>
      <c r="T59" s="9"/>
      <c r="U59" s="9" t="s">
        <v>22</v>
      </c>
      <c r="V59" s="9"/>
      <c r="W59" s="9" t="s">
        <v>135</v>
      </c>
      <c r="X59" s="9"/>
      <c r="Y59" s="9"/>
      <c r="Z59" s="9"/>
      <c r="AA59" s="9" t="s">
        <v>626</v>
      </c>
      <c r="AB59" s="9" t="s">
        <v>627</v>
      </c>
      <c r="AC59" s="9" t="s">
        <v>628</v>
      </c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3"/>
      <c r="CN59" s="3"/>
      <c r="CO59" s="3"/>
      <c r="CP59" s="3"/>
      <c r="CQ59" s="3"/>
      <c r="CR59" s="3" t="s">
        <v>152</v>
      </c>
      <c r="CS59" s="3" t="s">
        <v>121</v>
      </c>
      <c r="CT59" s="9"/>
      <c r="CU59" s="3" t="s">
        <v>123</v>
      </c>
      <c r="CV59" s="3" t="s">
        <v>124</v>
      </c>
      <c r="CW59" s="3"/>
      <c r="DG59" s="4"/>
    </row>
    <row r="60" customFormat="false" ht="11.25" hidden="false" customHeight="true" outlineLevel="0" collapsed="false">
      <c r="A60" s="9" t="n">
        <v>59</v>
      </c>
      <c r="B60" s="10" t="n">
        <v>46205.182393206</v>
      </c>
      <c r="C60" s="10" t="n">
        <v>46205.1906223727</v>
      </c>
      <c r="D60" s="9" t="s">
        <v>629</v>
      </c>
      <c r="E60" s="9" t="s">
        <v>630</v>
      </c>
      <c r="F60" s="9" t="s">
        <v>630</v>
      </c>
      <c r="G60" s="9" t="s">
        <v>631</v>
      </c>
      <c r="H60" s="10" t="n">
        <v>46191</v>
      </c>
      <c r="I60" s="10" t="s">
        <v>278</v>
      </c>
      <c r="J60" s="9" t="s">
        <v>108</v>
      </c>
      <c r="K60" s="9" t="s">
        <v>462</v>
      </c>
      <c r="L60" s="9" t="s">
        <v>431</v>
      </c>
      <c r="M60" s="9" t="s">
        <v>390</v>
      </c>
      <c r="N60" s="9" t="s">
        <v>112</v>
      </c>
      <c r="O60" s="9" t="s">
        <v>325</v>
      </c>
      <c r="P60" s="9" t="s">
        <v>612</v>
      </c>
      <c r="Q60" s="9" t="s">
        <v>347</v>
      </c>
      <c r="R60" s="9"/>
      <c r="S60" s="9"/>
      <c r="T60" s="9"/>
      <c r="U60" s="9" t="s">
        <v>24</v>
      </c>
      <c r="V60" s="9"/>
      <c r="W60" s="9"/>
      <c r="X60" s="9"/>
      <c r="Y60" s="9" t="s">
        <v>223</v>
      </c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 t="s">
        <v>632</v>
      </c>
      <c r="CA60" s="9" t="s">
        <v>633</v>
      </c>
      <c r="CB60" s="9" t="s">
        <v>634</v>
      </c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3"/>
      <c r="CN60" s="3"/>
      <c r="CO60" s="3"/>
      <c r="CP60" s="3"/>
      <c r="CQ60" s="3"/>
      <c r="CR60" s="3" t="s">
        <v>152</v>
      </c>
      <c r="CS60" s="3" t="s">
        <v>121</v>
      </c>
      <c r="CT60" s="9"/>
      <c r="CU60" s="3" t="s">
        <v>192</v>
      </c>
      <c r="CV60" s="3" t="s">
        <v>124</v>
      </c>
      <c r="CW60" s="3"/>
      <c r="DG60" s="4"/>
    </row>
    <row r="61" customFormat="false" ht="11.25" hidden="false" customHeight="true" outlineLevel="0" collapsed="false">
      <c r="A61" s="9" t="n">
        <v>60</v>
      </c>
      <c r="B61" s="10" t="n">
        <v>46196.1992521759</v>
      </c>
      <c r="C61" s="10" t="n">
        <v>46196.2152475463</v>
      </c>
      <c r="D61" s="9" t="s">
        <v>635</v>
      </c>
      <c r="E61" s="9" t="s">
        <v>636</v>
      </c>
      <c r="F61" s="9" t="s">
        <v>636</v>
      </c>
      <c r="G61" s="9" t="s">
        <v>637</v>
      </c>
      <c r="H61" s="10" t="n">
        <v>46178</v>
      </c>
      <c r="I61" s="10" t="s">
        <v>172</v>
      </c>
      <c r="J61" s="9" t="s">
        <v>295</v>
      </c>
      <c r="K61" s="9" t="s">
        <v>232</v>
      </c>
      <c r="L61" s="9" t="s">
        <v>389</v>
      </c>
      <c r="M61" s="9" t="s">
        <v>131</v>
      </c>
      <c r="N61" s="9" t="s">
        <v>112</v>
      </c>
      <c r="O61" s="9" t="s">
        <v>113</v>
      </c>
      <c r="P61" s="9" t="s">
        <v>279</v>
      </c>
      <c r="Q61" s="9" t="s">
        <v>638</v>
      </c>
      <c r="R61" s="9"/>
      <c r="S61" s="9"/>
      <c r="T61" s="9"/>
      <c r="U61" s="9" t="s">
        <v>22</v>
      </c>
      <c r="V61" s="9"/>
      <c r="W61" s="9" t="s">
        <v>135</v>
      </c>
      <c r="X61" s="9"/>
      <c r="Y61" s="9"/>
      <c r="Z61" s="9"/>
      <c r="AA61" s="9" t="s">
        <v>639</v>
      </c>
      <c r="AB61" s="9" t="s">
        <v>640</v>
      </c>
      <c r="AC61" s="9" t="s">
        <v>368</v>
      </c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3"/>
      <c r="CN61" s="3"/>
      <c r="CO61" s="3"/>
      <c r="CP61" s="3"/>
      <c r="CQ61" s="3"/>
      <c r="CR61" s="3" t="s">
        <v>120</v>
      </c>
      <c r="CS61" s="3" t="s">
        <v>180</v>
      </c>
      <c r="CT61" s="13" t="s">
        <v>641</v>
      </c>
      <c r="CU61" s="3" t="s">
        <v>167</v>
      </c>
      <c r="CV61" s="3" t="s">
        <v>124</v>
      </c>
      <c r="CW61" s="3"/>
      <c r="DG61" s="4"/>
    </row>
    <row r="62" customFormat="false" ht="11.25" hidden="false" customHeight="true" outlineLevel="0" collapsed="false">
      <c r="A62" s="9" t="n">
        <v>61</v>
      </c>
      <c r="B62" s="10" t="n">
        <v>46144.2024289236</v>
      </c>
      <c r="C62" s="10" t="n">
        <v>46144.2142692014</v>
      </c>
      <c r="D62" s="9" t="s">
        <v>642</v>
      </c>
      <c r="E62" s="9" t="s">
        <v>643</v>
      </c>
      <c r="F62" s="9" t="s">
        <v>643</v>
      </c>
      <c r="G62" s="9" t="s">
        <v>644</v>
      </c>
      <c r="H62" s="10" t="n">
        <v>46131</v>
      </c>
      <c r="I62" s="10" t="s">
        <v>244</v>
      </c>
      <c r="J62" s="9" t="s">
        <v>108</v>
      </c>
      <c r="K62" s="9" t="s">
        <v>196</v>
      </c>
      <c r="L62" s="9" t="s">
        <v>197</v>
      </c>
      <c r="M62" s="9" t="s">
        <v>111</v>
      </c>
      <c r="N62" s="9" t="s">
        <v>112</v>
      </c>
      <c r="O62" s="9" t="s">
        <v>113</v>
      </c>
      <c r="P62" s="9" t="s">
        <v>234</v>
      </c>
      <c r="Q62" s="9" t="s">
        <v>645</v>
      </c>
      <c r="R62" s="9"/>
      <c r="S62" s="9"/>
      <c r="T62" s="9"/>
      <c r="U62" s="9" t="s">
        <v>22</v>
      </c>
      <c r="V62" s="9"/>
      <c r="W62" s="9" t="s">
        <v>271</v>
      </c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 t="s">
        <v>646</v>
      </c>
      <c r="BL62" s="9" t="s">
        <v>647</v>
      </c>
      <c r="BM62" s="9" t="s">
        <v>648</v>
      </c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3"/>
      <c r="CN62" s="3"/>
      <c r="CO62" s="3"/>
      <c r="CP62" s="3"/>
      <c r="CQ62" s="3"/>
      <c r="CR62" s="3" t="s">
        <v>152</v>
      </c>
      <c r="CS62" s="3" t="s">
        <v>121</v>
      </c>
      <c r="CT62" s="9"/>
      <c r="CU62" s="3" t="s">
        <v>167</v>
      </c>
      <c r="CV62" s="3" t="s">
        <v>124</v>
      </c>
      <c r="CW62" s="3"/>
      <c r="DG62" s="4"/>
    </row>
    <row r="63" customFormat="false" ht="11.25" hidden="false" customHeight="true" outlineLevel="0" collapsed="false">
      <c r="A63" s="9" t="n">
        <v>62</v>
      </c>
      <c r="B63" s="10" t="n">
        <v>46126.0561501736</v>
      </c>
      <c r="C63" s="10" t="n">
        <v>46126.0650506366</v>
      </c>
      <c r="D63" s="9" t="s">
        <v>649</v>
      </c>
      <c r="E63" s="9" t="s">
        <v>650</v>
      </c>
      <c r="F63" s="9" t="s">
        <v>650</v>
      </c>
      <c r="G63" s="9" t="s">
        <v>651</v>
      </c>
      <c r="H63" s="10" t="n">
        <v>46118</v>
      </c>
      <c r="I63" s="10" t="s">
        <v>172</v>
      </c>
      <c r="J63" s="9" t="s">
        <v>108</v>
      </c>
      <c r="K63" s="9" t="s">
        <v>245</v>
      </c>
      <c r="L63" s="9" t="s">
        <v>491</v>
      </c>
      <c r="M63" s="9" t="s">
        <v>211</v>
      </c>
      <c r="N63" s="9" t="s">
        <v>145</v>
      </c>
      <c r="O63" s="9" t="s">
        <v>113</v>
      </c>
      <c r="P63" s="9" t="s">
        <v>652</v>
      </c>
      <c r="Q63" s="9" t="s">
        <v>653</v>
      </c>
      <c r="R63" s="9"/>
      <c r="S63" s="9"/>
      <c r="T63" s="9"/>
      <c r="U63" s="9" t="s">
        <v>21</v>
      </c>
      <c r="V63" s="9" t="s">
        <v>374</v>
      </c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 t="s">
        <v>654</v>
      </c>
      <c r="AK63" s="9" t="s">
        <v>655</v>
      </c>
      <c r="AL63" s="9" t="s">
        <v>377</v>
      </c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3"/>
      <c r="CN63" s="3"/>
      <c r="CO63" s="3"/>
      <c r="CP63" s="3"/>
      <c r="CQ63" s="3"/>
      <c r="CR63" s="3" t="s">
        <v>152</v>
      </c>
      <c r="CS63" s="3" t="s">
        <v>352</v>
      </c>
      <c r="CT63" s="9"/>
      <c r="CU63" s="3" t="s">
        <v>167</v>
      </c>
      <c r="CV63" s="3" t="s">
        <v>124</v>
      </c>
      <c r="CW63" s="3"/>
      <c r="DG63" s="4"/>
    </row>
    <row r="64" customFormat="false" ht="11.25" hidden="false" customHeight="true" outlineLevel="0" collapsed="false">
      <c r="A64" s="9" t="n">
        <v>63</v>
      </c>
      <c r="B64" s="10" t="n">
        <v>46149.5784862153</v>
      </c>
      <c r="C64" s="10" t="n">
        <v>46149.5910672338</v>
      </c>
      <c r="D64" s="9" t="s">
        <v>656</v>
      </c>
      <c r="E64" s="9" t="s">
        <v>657</v>
      </c>
      <c r="F64" s="9" t="s">
        <v>657</v>
      </c>
      <c r="G64" s="9" t="s">
        <v>658</v>
      </c>
      <c r="H64" s="10" t="n">
        <v>46145</v>
      </c>
      <c r="I64" s="10" t="s">
        <v>107</v>
      </c>
      <c r="J64" s="9" t="s">
        <v>108</v>
      </c>
      <c r="K64" s="9" t="s">
        <v>245</v>
      </c>
      <c r="L64" s="9" t="s">
        <v>389</v>
      </c>
      <c r="M64" s="9" t="s">
        <v>111</v>
      </c>
      <c r="N64" s="9" t="s">
        <v>112</v>
      </c>
      <c r="O64" s="9" t="s">
        <v>336</v>
      </c>
      <c r="P64" s="9" t="s">
        <v>391</v>
      </c>
      <c r="Q64" s="9" t="s">
        <v>440</v>
      </c>
      <c r="R64" s="9"/>
      <c r="S64" s="9"/>
      <c r="T64" s="9"/>
      <c r="U64" s="9" t="s">
        <v>22</v>
      </c>
      <c r="V64" s="9"/>
      <c r="W64" s="9" t="s">
        <v>148</v>
      </c>
      <c r="X64" s="9"/>
      <c r="Y64" s="9"/>
      <c r="Z64" s="9"/>
      <c r="AA64" s="9"/>
      <c r="AB64" s="9"/>
      <c r="AC64" s="9"/>
      <c r="AD64" s="9" t="s">
        <v>659</v>
      </c>
      <c r="AE64" s="9" t="s">
        <v>660</v>
      </c>
      <c r="AF64" s="9" t="s">
        <v>661</v>
      </c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3"/>
      <c r="CN64" s="3"/>
      <c r="CO64" s="3"/>
      <c r="CP64" s="3"/>
      <c r="CQ64" s="3"/>
      <c r="CR64" s="3" t="s">
        <v>320</v>
      </c>
      <c r="CS64" s="3" t="s">
        <v>121</v>
      </c>
      <c r="CT64" s="9" t="s">
        <v>122</v>
      </c>
      <c r="CU64" s="3" t="s">
        <v>167</v>
      </c>
      <c r="CV64" s="3" t="s">
        <v>139</v>
      </c>
      <c r="CW64" s="3"/>
      <c r="DG64" s="4"/>
    </row>
    <row r="65" customFormat="false" ht="11.25" hidden="false" customHeight="true" outlineLevel="0" collapsed="false">
      <c r="A65" s="9" t="n">
        <v>64</v>
      </c>
      <c r="B65" s="10" t="n">
        <v>46094.6896283102</v>
      </c>
      <c r="C65" s="10" t="n">
        <v>46094.6935519213</v>
      </c>
      <c r="D65" s="9" t="s">
        <v>662</v>
      </c>
      <c r="E65" s="9" t="s">
        <v>663</v>
      </c>
      <c r="F65" s="9" t="s">
        <v>663</v>
      </c>
      <c r="G65" s="9" t="s">
        <v>664</v>
      </c>
      <c r="H65" s="10" t="n">
        <v>46074</v>
      </c>
      <c r="I65" s="10" t="s">
        <v>244</v>
      </c>
      <c r="J65" s="9" t="s">
        <v>108</v>
      </c>
      <c r="K65" s="9" t="s">
        <v>196</v>
      </c>
      <c r="L65" s="9" t="s">
        <v>346</v>
      </c>
      <c r="M65" s="9" t="s">
        <v>111</v>
      </c>
      <c r="N65" s="9" t="s">
        <v>112</v>
      </c>
      <c r="O65" s="9" t="s">
        <v>113</v>
      </c>
      <c r="P65" s="9" t="s">
        <v>160</v>
      </c>
      <c r="Q65" s="9" t="s">
        <v>665</v>
      </c>
      <c r="R65" s="9"/>
      <c r="S65" s="9"/>
      <c r="T65" s="9"/>
      <c r="U65" s="9" t="s">
        <v>22</v>
      </c>
      <c r="V65" s="9"/>
      <c r="W65" s="9" t="s">
        <v>298</v>
      </c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 t="s">
        <v>666</v>
      </c>
      <c r="AW65" s="9" t="s">
        <v>667</v>
      </c>
      <c r="AX65" s="9" t="s">
        <v>668</v>
      </c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3"/>
      <c r="CN65" s="3"/>
      <c r="CO65" s="3"/>
      <c r="CP65" s="3"/>
      <c r="CQ65" s="3"/>
      <c r="CR65" s="3" t="s">
        <v>152</v>
      </c>
      <c r="CS65" s="3" t="s">
        <v>180</v>
      </c>
      <c r="CT65" s="9"/>
      <c r="CU65" s="3" t="s">
        <v>123</v>
      </c>
      <c r="CV65" s="3" t="s">
        <v>124</v>
      </c>
      <c r="CW65" s="3"/>
      <c r="CX65" s="3" t="s">
        <v>331</v>
      </c>
      <c r="DG65" s="4"/>
    </row>
    <row r="66" customFormat="false" ht="11.25" hidden="false" customHeight="true" outlineLevel="0" collapsed="false">
      <c r="A66" s="9" t="n">
        <v>65</v>
      </c>
      <c r="B66" s="10" t="n">
        <v>46169.0983542824</v>
      </c>
      <c r="C66" s="10" t="n">
        <v>46169.1056228009</v>
      </c>
      <c r="D66" s="9" t="s">
        <v>669</v>
      </c>
      <c r="E66" s="9" t="s">
        <v>670</v>
      </c>
      <c r="F66" s="9" t="s">
        <v>670</v>
      </c>
      <c r="G66" s="9" t="s">
        <v>671</v>
      </c>
      <c r="H66" s="10" t="n">
        <v>46162</v>
      </c>
      <c r="I66" s="10" t="s">
        <v>172</v>
      </c>
      <c r="J66" s="9" t="s">
        <v>108</v>
      </c>
      <c r="K66" s="9" t="s">
        <v>173</v>
      </c>
      <c r="L66" s="9" t="s">
        <v>346</v>
      </c>
      <c r="M66" s="9" t="s">
        <v>111</v>
      </c>
      <c r="N66" s="9" t="s">
        <v>145</v>
      </c>
      <c r="O66" s="9" t="s">
        <v>113</v>
      </c>
      <c r="P66" s="9" t="s">
        <v>566</v>
      </c>
      <c r="Q66" s="9" t="s">
        <v>672</v>
      </c>
      <c r="R66" s="9"/>
      <c r="S66" s="9"/>
      <c r="T66" s="9"/>
      <c r="U66" s="9" t="s">
        <v>22</v>
      </c>
      <c r="V66" s="9"/>
      <c r="W66" s="9" t="s">
        <v>339</v>
      </c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 t="s">
        <v>673</v>
      </c>
      <c r="BO66" s="9" t="s">
        <v>674</v>
      </c>
      <c r="BP66" s="9" t="s">
        <v>675</v>
      </c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3"/>
      <c r="CN66" s="3"/>
      <c r="CO66" s="3"/>
      <c r="CP66" s="3"/>
      <c r="CQ66" s="3"/>
      <c r="CR66" s="3" t="s">
        <v>227</v>
      </c>
      <c r="CS66" s="3" t="s">
        <v>121</v>
      </c>
      <c r="CT66" s="9" t="s">
        <v>122</v>
      </c>
      <c r="CU66" s="3" t="s">
        <v>123</v>
      </c>
      <c r="CV66" s="3" t="s">
        <v>124</v>
      </c>
      <c r="CW66" s="3" t="s">
        <v>219</v>
      </c>
      <c r="DG66" s="4"/>
    </row>
    <row r="67" s="12" customFormat="true" ht="11.25" hidden="false" customHeight="true" outlineLevel="0" collapsed="false">
      <c r="A67" s="9" t="n">
        <v>66</v>
      </c>
      <c r="B67" s="10" t="n">
        <v>46047.5423982292</v>
      </c>
      <c r="C67" s="10" t="n">
        <v>46047.5618426736</v>
      </c>
      <c r="D67" s="9" t="s">
        <v>676</v>
      </c>
      <c r="E67" s="9" t="s">
        <v>677</v>
      </c>
      <c r="F67" s="9" t="s">
        <v>677</v>
      </c>
      <c r="G67" s="9" t="s">
        <v>678</v>
      </c>
      <c r="H67" s="10" t="n">
        <v>46028</v>
      </c>
      <c r="I67" s="10" t="s">
        <v>157</v>
      </c>
      <c r="J67" s="9" t="s">
        <v>108</v>
      </c>
      <c r="K67" s="9" t="s">
        <v>257</v>
      </c>
      <c r="L67" s="9" t="s">
        <v>110</v>
      </c>
      <c r="M67" s="9" t="s">
        <v>211</v>
      </c>
      <c r="N67" s="9" t="s">
        <v>112</v>
      </c>
      <c r="O67" s="9" t="s">
        <v>132</v>
      </c>
      <c r="P67" s="9" t="s">
        <v>439</v>
      </c>
      <c r="Q67" s="9" t="s">
        <v>115</v>
      </c>
      <c r="R67" s="9"/>
      <c r="S67" s="9"/>
      <c r="T67" s="9"/>
      <c r="U67" s="9" t="s">
        <v>22</v>
      </c>
      <c r="V67" s="9"/>
      <c r="W67" s="9" t="s">
        <v>116</v>
      </c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 t="s">
        <v>679</v>
      </c>
      <c r="BU67" s="9" t="s">
        <v>680</v>
      </c>
      <c r="BV67" s="9" t="s">
        <v>681</v>
      </c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11"/>
      <c r="CN67" s="11"/>
      <c r="CO67" s="11"/>
      <c r="CP67" s="11"/>
      <c r="CQ67" s="11"/>
      <c r="CR67" s="11" t="s">
        <v>120</v>
      </c>
      <c r="CS67" s="11" t="s">
        <v>121</v>
      </c>
      <c r="CT67" s="9" t="s">
        <v>682</v>
      </c>
      <c r="CU67" s="11" t="s">
        <v>167</v>
      </c>
      <c r="CV67" s="11" t="s">
        <v>124</v>
      </c>
      <c r="CW67" s="11"/>
      <c r="CX67" s="11"/>
      <c r="CY67" s="11"/>
      <c r="CZ67" s="11"/>
      <c r="DA67" s="11"/>
      <c r="DB67" s="11"/>
      <c r="DC67" s="11"/>
      <c r="DD67" s="11"/>
      <c r="DE67" s="11"/>
      <c r="DF67" s="11"/>
    </row>
    <row r="68" customFormat="false" ht="11.25" hidden="false" customHeight="true" outlineLevel="0" collapsed="false">
      <c r="A68" s="9" t="n">
        <v>67</v>
      </c>
      <c r="B68" s="10" t="n">
        <v>46140.1285349653</v>
      </c>
      <c r="C68" s="10" t="n">
        <v>46140.1408729282</v>
      </c>
      <c r="D68" s="9" t="s">
        <v>683</v>
      </c>
      <c r="E68" s="9" t="s">
        <v>684</v>
      </c>
      <c r="F68" s="9" t="s">
        <v>684</v>
      </c>
      <c r="G68" s="9" t="s">
        <v>685</v>
      </c>
      <c r="H68" s="10" t="n">
        <v>46140</v>
      </c>
      <c r="I68" s="10" t="s">
        <v>172</v>
      </c>
      <c r="J68" s="9" t="s">
        <v>295</v>
      </c>
      <c r="K68" s="9" t="s">
        <v>462</v>
      </c>
      <c r="L68" s="9" t="s">
        <v>197</v>
      </c>
      <c r="M68" s="9" t="s">
        <v>111</v>
      </c>
      <c r="N68" s="9" t="s">
        <v>145</v>
      </c>
      <c r="O68" s="9" t="s">
        <v>113</v>
      </c>
      <c r="P68" s="9" t="s">
        <v>686</v>
      </c>
      <c r="Q68" s="9" t="s">
        <v>407</v>
      </c>
      <c r="R68" s="9"/>
      <c r="S68" s="9"/>
      <c r="T68" s="9"/>
      <c r="U68" s="9" t="s">
        <v>25</v>
      </c>
      <c r="V68" s="9"/>
      <c r="W68" s="9"/>
      <c r="X68" s="9"/>
      <c r="Y68" s="9"/>
      <c r="Z68" s="9" t="s">
        <v>687</v>
      </c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 t="s">
        <v>688</v>
      </c>
      <c r="CM68" s="3" t="s">
        <v>689</v>
      </c>
      <c r="CN68" s="3" t="s">
        <v>690</v>
      </c>
      <c r="CO68" s="3"/>
      <c r="CP68" s="3"/>
      <c r="CQ68" s="3"/>
      <c r="CR68" s="3" t="s">
        <v>152</v>
      </c>
      <c r="CS68" s="3" t="s">
        <v>228</v>
      </c>
      <c r="CT68" s="9"/>
      <c r="CU68" s="3" t="s">
        <v>167</v>
      </c>
      <c r="CV68" s="3" t="s">
        <v>168</v>
      </c>
      <c r="CW68" s="3"/>
      <c r="DG68" s="4"/>
    </row>
    <row r="69" customFormat="false" ht="11.25" hidden="false" customHeight="true" outlineLevel="0" collapsed="false">
      <c r="A69" s="9" t="n">
        <v>68</v>
      </c>
      <c r="B69" s="10" t="n">
        <v>46041.4434920833</v>
      </c>
      <c r="C69" s="10" t="n">
        <v>46041.4576124537</v>
      </c>
      <c r="D69" s="9" t="s">
        <v>691</v>
      </c>
      <c r="E69" s="9" t="s">
        <v>692</v>
      </c>
      <c r="F69" s="9" t="s">
        <v>692</v>
      </c>
      <c r="G69" s="9" t="s">
        <v>693</v>
      </c>
      <c r="H69" s="10" t="n">
        <v>46034</v>
      </c>
      <c r="I69" s="10" t="s">
        <v>157</v>
      </c>
      <c r="J69" s="9" t="s">
        <v>295</v>
      </c>
      <c r="K69" s="9" t="s">
        <v>196</v>
      </c>
      <c r="L69" s="9" t="s">
        <v>159</v>
      </c>
      <c r="M69" s="9" t="s">
        <v>111</v>
      </c>
      <c r="N69" s="9" t="s">
        <v>145</v>
      </c>
      <c r="O69" s="9" t="s">
        <v>113</v>
      </c>
      <c r="P69" s="9" t="s">
        <v>694</v>
      </c>
      <c r="Q69" s="9" t="s">
        <v>234</v>
      </c>
      <c r="R69" s="9"/>
      <c r="S69" s="9"/>
      <c r="T69" s="9"/>
      <c r="U69" s="9" t="s">
        <v>22</v>
      </c>
      <c r="V69" s="9"/>
      <c r="W69" s="9" t="s">
        <v>148</v>
      </c>
      <c r="X69" s="9"/>
      <c r="Y69" s="9"/>
      <c r="Z69" s="9"/>
      <c r="AA69" s="9"/>
      <c r="AB69" s="9"/>
      <c r="AC69" s="9"/>
      <c r="AD69" s="9" t="s">
        <v>695</v>
      </c>
      <c r="AE69" s="9" t="s">
        <v>660</v>
      </c>
      <c r="AF69" s="9" t="s">
        <v>696</v>
      </c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3"/>
      <c r="CN69" s="3"/>
      <c r="CO69" s="3"/>
      <c r="CP69" s="3"/>
      <c r="CQ69" s="3"/>
      <c r="CR69" s="3" t="s">
        <v>152</v>
      </c>
      <c r="CS69" s="3" t="s">
        <v>121</v>
      </c>
      <c r="CT69" s="9" t="s">
        <v>122</v>
      </c>
      <c r="CU69" s="3" t="s">
        <v>123</v>
      </c>
      <c r="CV69" s="3" t="s">
        <v>124</v>
      </c>
      <c r="CW69" s="3"/>
      <c r="DG69" s="4"/>
    </row>
    <row r="70" customFormat="false" ht="11.25" hidden="false" customHeight="true" outlineLevel="0" collapsed="false">
      <c r="A70" s="9" t="n">
        <v>69</v>
      </c>
      <c r="B70" s="10" t="n">
        <v>46072.152058669</v>
      </c>
      <c r="C70" s="10" t="n">
        <v>46072.1718387616</v>
      </c>
      <c r="D70" s="9" t="s">
        <v>697</v>
      </c>
      <c r="E70" s="9" t="s">
        <v>698</v>
      </c>
      <c r="F70" s="9" t="s">
        <v>699</v>
      </c>
      <c r="G70" s="9" t="s">
        <v>700</v>
      </c>
      <c r="H70" s="10" t="n">
        <v>46063</v>
      </c>
      <c r="I70" s="10" t="s">
        <v>107</v>
      </c>
      <c r="J70" s="9" t="s">
        <v>128</v>
      </c>
      <c r="K70" s="9" t="s">
        <v>257</v>
      </c>
      <c r="L70" s="9" t="s">
        <v>184</v>
      </c>
      <c r="M70" s="9" t="s">
        <v>111</v>
      </c>
      <c r="N70" s="9" t="s">
        <v>112</v>
      </c>
      <c r="O70" s="9" t="s">
        <v>113</v>
      </c>
      <c r="P70" s="9" t="s">
        <v>114</v>
      </c>
      <c r="Q70" s="9" t="s">
        <v>701</v>
      </c>
      <c r="R70" s="9"/>
      <c r="S70" s="9"/>
      <c r="T70" s="9"/>
      <c r="U70" s="9" t="s">
        <v>22</v>
      </c>
      <c r="V70" s="9"/>
      <c r="W70" s="9" t="s">
        <v>135</v>
      </c>
      <c r="X70" s="9"/>
      <c r="Y70" s="9"/>
      <c r="Z70" s="9"/>
      <c r="AA70" s="9" t="s">
        <v>702</v>
      </c>
      <c r="AB70" s="9" t="s">
        <v>703</v>
      </c>
      <c r="AC70" s="9" t="s">
        <v>704</v>
      </c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3"/>
      <c r="CN70" s="3"/>
      <c r="CO70" s="3"/>
      <c r="CP70" s="3"/>
      <c r="CQ70" s="3"/>
      <c r="CR70" s="3" t="s">
        <v>152</v>
      </c>
      <c r="CS70" s="3" t="s">
        <v>121</v>
      </c>
      <c r="CT70" s="9"/>
      <c r="CU70" s="3" t="s">
        <v>192</v>
      </c>
      <c r="CV70" s="3" t="s">
        <v>124</v>
      </c>
      <c r="CW70" s="3"/>
      <c r="DG70" s="4"/>
    </row>
    <row r="71" customFormat="false" ht="11.25" hidden="false" customHeight="true" outlineLevel="0" collapsed="false">
      <c r="A71" s="9" t="n">
        <v>70</v>
      </c>
      <c r="B71" s="10" t="n">
        <v>46191.6167205671</v>
      </c>
      <c r="C71" s="10" t="n">
        <v>46191.6372066782</v>
      </c>
      <c r="D71" s="9" t="s">
        <v>705</v>
      </c>
      <c r="E71" s="9" t="s">
        <v>706</v>
      </c>
      <c r="F71" s="9" t="s">
        <v>706</v>
      </c>
      <c r="G71" s="9" t="s">
        <v>707</v>
      </c>
      <c r="H71" s="10" t="n">
        <v>46174</v>
      </c>
      <c r="I71" s="10" t="s">
        <v>172</v>
      </c>
      <c r="J71" s="9" t="s">
        <v>108</v>
      </c>
      <c r="K71" s="9" t="s">
        <v>245</v>
      </c>
      <c r="L71" s="9" t="s">
        <v>184</v>
      </c>
      <c r="M71" s="9" t="s">
        <v>111</v>
      </c>
      <c r="N71" s="9" t="s">
        <v>112</v>
      </c>
      <c r="O71" s="9" t="s">
        <v>113</v>
      </c>
      <c r="P71" s="9" t="s">
        <v>130</v>
      </c>
      <c r="Q71" s="9" t="s">
        <v>227</v>
      </c>
      <c r="R71" s="9"/>
      <c r="S71" s="9"/>
      <c r="T71" s="9"/>
      <c r="U71" s="9" t="s">
        <v>21</v>
      </c>
      <c r="V71" s="9" t="s">
        <v>187</v>
      </c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 t="s">
        <v>188</v>
      </c>
      <c r="AQ71" s="9" t="s">
        <v>708</v>
      </c>
      <c r="AR71" s="9" t="s">
        <v>190</v>
      </c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3"/>
      <c r="CN71" s="3"/>
      <c r="CO71" s="3"/>
      <c r="CP71" s="3"/>
      <c r="CQ71" s="3"/>
      <c r="CR71" s="3" t="s">
        <v>120</v>
      </c>
      <c r="CS71" s="3" t="s">
        <v>180</v>
      </c>
      <c r="CT71" s="9" t="s">
        <v>191</v>
      </c>
      <c r="CU71" s="3" t="s">
        <v>192</v>
      </c>
      <c r="CV71" s="3" t="s">
        <v>168</v>
      </c>
      <c r="CW71" s="3"/>
      <c r="DG71" s="4"/>
    </row>
    <row r="72" customFormat="false" ht="11.25" hidden="false" customHeight="true" outlineLevel="0" collapsed="false">
      <c r="A72" s="9" t="n">
        <v>71</v>
      </c>
      <c r="B72" s="10" t="n">
        <v>46066.5457971759</v>
      </c>
      <c r="C72" s="10" t="n">
        <v>46066.5516883796</v>
      </c>
      <c r="D72" s="9" t="s">
        <v>709</v>
      </c>
      <c r="E72" s="9" t="s">
        <v>710</v>
      </c>
      <c r="F72" s="9" t="s">
        <v>711</v>
      </c>
      <c r="G72" s="9" t="s">
        <v>712</v>
      </c>
      <c r="H72" s="10" t="n">
        <v>46051</v>
      </c>
      <c r="I72" s="10" t="s">
        <v>713</v>
      </c>
      <c r="J72" s="9" t="s">
        <v>295</v>
      </c>
      <c r="K72" s="9" t="s">
        <v>245</v>
      </c>
      <c r="L72" s="9" t="s">
        <v>184</v>
      </c>
      <c r="M72" s="9" t="s">
        <v>111</v>
      </c>
      <c r="N72" s="9" t="s">
        <v>145</v>
      </c>
      <c r="O72" s="9" t="s">
        <v>113</v>
      </c>
      <c r="P72" s="9" t="s">
        <v>578</v>
      </c>
      <c r="Q72" s="9" t="s">
        <v>714</v>
      </c>
      <c r="R72" s="9"/>
      <c r="S72" s="9"/>
      <c r="T72" s="9"/>
      <c r="U72" s="9" t="s">
        <v>22</v>
      </c>
      <c r="V72" s="9"/>
      <c r="W72" s="9" t="s">
        <v>715</v>
      </c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 t="s">
        <v>716</v>
      </c>
      <c r="BI72" s="9" t="s">
        <v>717</v>
      </c>
      <c r="BJ72" s="9" t="s">
        <v>718</v>
      </c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3"/>
      <c r="CN72" s="3"/>
      <c r="CO72" s="3"/>
      <c r="CP72" s="3"/>
      <c r="CQ72" s="3"/>
      <c r="CR72" s="3" t="s">
        <v>152</v>
      </c>
      <c r="CS72" s="3" t="s">
        <v>121</v>
      </c>
      <c r="CT72" s="13" t="s">
        <v>641</v>
      </c>
      <c r="CU72" s="3" t="s">
        <v>123</v>
      </c>
      <c r="CV72" s="3" t="s">
        <v>124</v>
      </c>
      <c r="CW72" s="3"/>
      <c r="DG72" s="4"/>
    </row>
    <row r="73" customFormat="false" ht="11.25" hidden="false" customHeight="true" outlineLevel="0" collapsed="false">
      <c r="A73" s="9" t="n">
        <v>72</v>
      </c>
      <c r="B73" s="10" t="n">
        <v>46103.6304040972</v>
      </c>
      <c r="C73" s="10" t="n">
        <v>46103.6364341898</v>
      </c>
      <c r="D73" s="9" t="s">
        <v>719</v>
      </c>
      <c r="E73" s="9" t="s">
        <v>720</v>
      </c>
      <c r="F73" s="9" t="s">
        <v>720</v>
      </c>
      <c r="G73" s="9" t="s">
        <v>721</v>
      </c>
      <c r="H73" s="10" t="n">
        <v>46085</v>
      </c>
      <c r="I73" s="10" t="s">
        <v>157</v>
      </c>
      <c r="J73" s="9" t="s">
        <v>108</v>
      </c>
      <c r="K73" s="9" t="s">
        <v>257</v>
      </c>
      <c r="L73" s="9" t="s">
        <v>346</v>
      </c>
      <c r="M73" s="9" t="s">
        <v>111</v>
      </c>
      <c r="N73" s="9" t="s">
        <v>112</v>
      </c>
      <c r="O73" s="9" t="s">
        <v>325</v>
      </c>
      <c r="P73" s="9" t="s">
        <v>357</v>
      </c>
      <c r="Q73" s="9" t="s">
        <v>398</v>
      </c>
      <c r="R73" s="9"/>
      <c r="S73" s="9"/>
      <c r="T73" s="9"/>
      <c r="U73" s="9" t="s">
        <v>22</v>
      </c>
      <c r="V73" s="9"/>
      <c r="W73" s="9" t="s">
        <v>271</v>
      </c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 t="s">
        <v>722</v>
      </c>
      <c r="BL73" s="9" t="s">
        <v>723</v>
      </c>
      <c r="BM73" s="9" t="s">
        <v>724</v>
      </c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3"/>
      <c r="CN73" s="3"/>
      <c r="CO73" s="3"/>
      <c r="CP73" s="3"/>
      <c r="CQ73" s="3"/>
      <c r="CR73" s="3" t="s">
        <v>227</v>
      </c>
      <c r="CS73" s="3" t="s">
        <v>180</v>
      </c>
      <c r="CT73" s="9" t="s">
        <v>725</v>
      </c>
      <c r="CU73" s="3" t="s">
        <v>123</v>
      </c>
      <c r="CV73" s="3" t="s">
        <v>124</v>
      </c>
      <c r="CW73" s="3"/>
      <c r="DG73" s="4"/>
    </row>
    <row r="74" customFormat="false" ht="11.25" hidden="false" customHeight="true" outlineLevel="0" collapsed="false">
      <c r="A74" s="9" t="n">
        <v>73</v>
      </c>
      <c r="B74" s="10" t="n">
        <v>46070.2349218287</v>
      </c>
      <c r="C74" s="10" t="n">
        <v>46070.2471093287</v>
      </c>
      <c r="D74" s="9" t="s">
        <v>726</v>
      </c>
      <c r="E74" s="9" t="s">
        <v>727</v>
      </c>
      <c r="F74" s="9" t="s">
        <v>728</v>
      </c>
      <c r="G74" s="9" t="s">
        <v>729</v>
      </c>
      <c r="H74" s="10" t="n">
        <v>46050</v>
      </c>
      <c r="I74" s="10" t="s">
        <v>244</v>
      </c>
      <c r="J74" s="9" t="s">
        <v>108</v>
      </c>
      <c r="K74" s="9" t="s">
        <v>196</v>
      </c>
      <c r="L74" s="9" t="s">
        <v>246</v>
      </c>
      <c r="M74" s="9" t="s">
        <v>111</v>
      </c>
      <c r="N74" s="9" t="s">
        <v>112</v>
      </c>
      <c r="O74" s="9" t="s">
        <v>113</v>
      </c>
      <c r="P74" s="9" t="s">
        <v>144</v>
      </c>
      <c r="Q74" s="9" t="s">
        <v>389</v>
      </c>
      <c r="R74" s="9"/>
      <c r="S74" s="9"/>
      <c r="T74" s="9"/>
      <c r="U74" s="9" t="s">
        <v>22</v>
      </c>
      <c r="V74" s="9"/>
      <c r="W74" s="9" t="s">
        <v>715</v>
      </c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 t="s">
        <v>730</v>
      </c>
      <c r="BI74" s="9" t="s">
        <v>731</v>
      </c>
      <c r="BJ74" s="9" t="s">
        <v>732</v>
      </c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3"/>
      <c r="CN74" s="3"/>
      <c r="CO74" s="3"/>
      <c r="CP74" s="3"/>
      <c r="CQ74" s="3"/>
      <c r="CR74" s="3" t="s">
        <v>152</v>
      </c>
      <c r="CS74" s="3" t="s">
        <v>121</v>
      </c>
      <c r="CT74" s="9" t="s">
        <v>122</v>
      </c>
      <c r="CU74" s="3" t="s">
        <v>123</v>
      </c>
      <c r="CV74" s="3" t="s">
        <v>124</v>
      </c>
      <c r="CW74" s="3"/>
      <c r="DG74" s="4"/>
    </row>
    <row r="75" customFormat="false" ht="11.25" hidden="false" customHeight="true" outlineLevel="0" collapsed="false">
      <c r="A75" s="9" t="n">
        <v>74</v>
      </c>
      <c r="B75" s="10" t="n">
        <v>46154.2781454051</v>
      </c>
      <c r="C75" s="10" t="n">
        <v>46154.2960504977</v>
      </c>
      <c r="D75" s="9" t="s">
        <v>733</v>
      </c>
      <c r="E75" s="9" t="s">
        <v>734</v>
      </c>
      <c r="F75" s="9" t="s">
        <v>734</v>
      </c>
      <c r="G75" s="9" t="s">
        <v>735</v>
      </c>
      <c r="H75" s="10" t="n">
        <v>46152</v>
      </c>
      <c r="I75" s="10" t="s">
        <v>244</v>
      </c>
      <c r="J75" s="9" t="s">
        <v>128</v>
      </c>
      <c r="K75" s="9" t="s">
        <v>462</v>
      </c>
      <c r="L75" s="9" t="s">
        <v>210</v>
      </c>
      <c r="M75" s="9" t="s">
        <v>111</v>
      </c>
      <c r="N75" s="9" t="s">
        <v>112</v>
      </c>
      <c r="O75" s="9" t="s">
        <v>113</v>
      </c>
      <c r="P75" s="9" t="s">
        <v>736</v>
      </c>
      <c r="Q75" s="9" t="s">
        <v>306</v>
      </c>
      <c r="R75" s="9"/>
      <c r="S75" s="9"/>
      <c r="T75" s="9"/>
      <c r="U75" s="9" t="s">
        <v>22</v>
      </c>
      <c r="V75" s="9"/>
      <c r="W75" s="9" t="s">
        <v>381</v>
      </c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 t="s">
        <v>737</v>
      </c>
      <c r="BR75" s="9" t="s">
        <v>464</v>
      </c>
      <c r="BS75" s="9" t="s">
        <v>738</v>
      </c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3"/>
      <c r="CN75" s="3"/>
      <c r="CO75" s="3"/>
      <c r="CP75" s="3"/>
      <c r="CQ75" s="3"/>
      <c r="CR75" s="3" t="s">
        <v>152</v>
      </c>
      <c r="CS75" s="3" t="s">
        <v>264</v>
      </c>
      <c r="CT75" s="9" t="s">
        <v>562</v>
      </c>
      <c r="CU75" s="3" t="s">
        <v>123</v>
      </c>
      <c r="CV75" s="3" t="s">
        <v>139</v>
      </c>
      <c r="CW75" s="3"/>
      <c r="DG75" s="4"/>
    </row>
    <row r="76" customFormat="false" ht="11.25" hidden="false" customHeight="true" outlineLevel="0" collapsed="false">
      <c r="A76" s="9" t="n">
        <v>75</v>
      </c>
      <c r="B76" s="10" t="n">
        <v>46191.5705878704</v>
      </c>
      <c r="C76" s="10" t="n">
        <v>46191.587567037</v>
      </c>
      <c r="D76" s="9" t="s">
        <v>739</v>
      </c>
      <c r="E76" s="9" t="s">
        <v>740</v>
      </c>
      <c r="F76" s="9" t="s">
        <v>740</v>
      </c>
      <c r="G76" s="9" t="s">
        <v>741</v>
      </c>
      <c r="H76" s="10" t="n">
        <v>46181</v>
      </c>
      <c r="I76" s="10" t="s">
        <v>107</v>
      </c>
      <c r="J76" s="9" t="s">
        <v>108</v>
      </c>
      <c r="K76" s="9" t="s">
        <v>742</v>
      </c>
      <c r="L76" s="9" t="s">
        <v>210</v>
      </c>
      <c r="M76" s="9" t="s">
        <v>211</v>
      </c>
      <c r="N76" s="9" t="s">
        <v>112</v>
      </c>
      <c r="O76" s="9" t="s">
        <v>113</v>
      </c>
      <c r="P76" s="9" t="s">
        <v>133</v>
      </c>
      <c r="Q76" s="9" t="s">
        <v>743</v>
      </c>
      <c r="R76" s="9"/>
      <c r="S76" s="9"/>
      <c r="T76" s="9"/>
      <c r="U76" s="9" t="s">
        <v>22</v>
      </c>
      <c r="V76" s="9"/>
      <c r="W76" s="9" t="s">
        <v>116</v>
      </c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 t="s">
        <v>744</v>
      </c>
      <c r="BU76" s="9" t="s">
        <v>745</v>
      </c>
      <c r="BV76" s="9" t="s">
        <v>746</v>
      </c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11"/>
      <c r="CM76" s="3"/>
      <c r="CN76" s="3"/>
      <c r="CO76" s="3"/>
      <c r="CP76" s="3"/>
      <c r="CQ76" s="3"/>
      <c r="CR76" s="3" t="s">
        <v>152</v>
      </c>
      <c r="CS76" s="3" t="s">
        <v>496</v>
      </c>
      <c r="CT76" s="9" t="s">
        <v>122</v>
      </c>
      <c r="CU76" s="3" t="s">
        <v>167</v>
      </c>
      <c r="CV76" s="3" t="s">
        <v>124</v>
      </c>
      <c r="CW76" s="3"/>
      <c r="DG76" s="4"/>
    </row>
    <row r="77" customFormat="false" ht="11.25" hidden="false" customHeight="true" outlineLevel="0" collapsed="false">
      <c r="A77" s="9" t="n">
        <v>76</v>
      </c>
      <c r="B77" s="10" t="n">
        <v>46094.2503628357</v>
      </c>
      <c r="C77" s="10" t="n">
        <v>46094.2624230208</v>
      </c>
      <c r="D77" s="9" t="s">
        <v>747</v>
      </c>
      <c r="E77" s="9" t="s">
        <v>748</v>
      </c>
      <c r="F77" s="9" t="s">
        <v>748</v>
      </c>
      <c r="G77" s="9" t="s">
        <v>749</v>
      </c>
      <c r="H77" s="10" t="n">
        <v>46077</v>
      </c>
      <c r="I77" s="10" t="s">
        <v>750</v>
      </c>
      <c r="J77" s="9" t="s">
        <v>108</v>
      </c>
      <c r="K77" s="9" t="s">
        <v>245</v>
      </c>
      <c r="L77" s="9" t="s">
        <v>110</v>
      </c>
      <c r="M77" s="9" t="s">
        <v>111</v>
      </c>
      <c r="N77" s="9" t="s">
        <v>112</v>
      </c>
      <c r="O77" s="9" t="s">
        <v>113</v>
      </c>
      <c r="P77" s="9" t="s">
        <v>365</v>
      </c>
      <c r="Q77" s="9" t="s">
        <v>560</v>
      </c>
      <c r="R77" s="9"/>
      <c r="S77" s="9"/>
      <c r="T77" s="9"/>
      <c r="U77" s="9" t="s">
        <v>22</v>
      </c>
      <c r="V77" s="9"/>
      <c r="W77" s="9" t="s">
        <v>339</v>
      </c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 t="s">
        <v>751</v>
      </c>
      <c r="BO77" s="9" t="s">
        <v>752</v>
      </c>
      <c r="BP77" s="9" t="s">
        <v>753</v>
      </c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3"/>
      <c r="CN77" s="3"/>
      <c r="CO77" s="3"/>
      <c r="CP77" s="3"/>
      <c r="CQ77" s="3"/>
      <c r="CR77" s="3" t="s">
        <v>227</v>
      </c>
      <c r="CS77" s="3" t="s">
        <v>121</v>
      </c>
      <c r="CT77" s="9" t="s">
        <v>291</v>
      </c>
      <c r="CU77" s="3" t="s">
        <v>123</v>
      </c>
      <c r="CV77" s="3" t="s">
        <v>124</v>
      </c>
      <c r="CW77" s="3"/>
      <c r="DG77" s="4"/>
    </row>
    <row r="78" customFormat="false" ht="11.25" hidden="false" customHeight="true" outlineLevel="0" collapsed="false">
      <c r="A78" s="9" t="n">
        <v>77</v>
      </c>
      <c r="B78" s="10" t="n">
        <v>46066.4010867014</v>
      </c>
      <c r="C78" s="10" t="n">
        <v>46066.4030890162</v>
      </c>
      <c r="D78" s="9" t="s">
        <v>754</v>
      </c>
      <c r="E78" s="9" t="s">
        <v>755</v>
      </c>
      <c r="F78" s="9" t="s">
        <v>755</v>
      </c>
      <c r="G78" s="9" t="s">
        <v>756</v>
      </c>
      <c r="H78" s="10" t="n">
        <v>46064</v>
      </c>
      <c r="I78" s="10" t="s">
        <v>244</v>
      </c>
      <c r="J78" s="9" t="s">
        <v>295</v>
      </c>
      <c r="K78" s="9" t="s">
        <v>173</v>
      </c>
      <c r="L78" s="9" t="s">
        <v>130</v>
      </c>
      <c r="M78" s="9" t="s">
        <v>111</v>
      </c>
      <c r="N78" s="9" t="s">
        <v>145</v>
      </c>
      <c r="O78" s="9" t="s">
        <v>325</v>
      </c>
      <c r="P78" s="9" t="s">
        <v>757</v>
      </c>
      <c r="Q78" s="9" t="s">
        <v>758</v>
      </c>
      <c r="R78" s="9"/>
      <c r="S78" s="9"/>
      <c r="T78" s="9"/>
      <c r="U78" s="9" t="s">
        <v>22</v>
      </c>
      <c r="V78" s="9"/>
      <c r="W78" s="9" t="s">
        <v>298</v>
      </c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 t="s">
        <v>759</v>
      </c>
      <c r="AW78" s="9" t="s">
        <v>760</v>
      </c>
      <c r="AX78" s="9" t="s">
        <v>761</v>
      </c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3"/>
      <c r="CN78" s="3"/>
      <c r="CO78" s="3"/>
      <c r="CP78" s="3"/>
      <c r="CQ78" s="3"/>
      <c r="CR78" s="3" t="s">
        <v>152</v>
      </c>
      <c r="CS78" s="3" t="s">
        <v>121</v>
      </c>
      <c r="CT78" s="9" t="s">
        <v>122</v>
      </c>
      <c r="CU78" s="3" t="s">
        <v>123</v>
      </c>
      <c r="CV78" s="3" t="s">
        <v>139</v>
      </c>
      <c r="CW78" s="3"/>
      <c r="DG78" s="4"/>
    </row>
    <row r="79" customFormat="false" ht="11.25" hidden="false" customHeight="true" outlineLevel="0" collapsed="false">
      <c r="A79" s="9" t="n">
        <v>78</v>
      </c>
      <c r="B79" s="10" t="n">
        <v>46142.6950743519</v>
      </c>
      <c r="C79" s="10" t="n">
        <v>46142.7073081482</v>
      </c>
      <c r="D79" s="9" t="s">
        <v>762</v>
      </c>
      <c r="E79" s="9" t="s">
        <v>763</v>
      </c>
      <c r="F79" s="9" t="s">
        <v>764</v>
      </c>
      <c r="G79" s="9" t="s">
        <v>765</v>
      </c>
      <c r="H79" s="10" t="n">
        <v>46142</v>
      </c>
      <c r="I79" s="10" t="s">
        <v>750</v>
      </c>
      <c r="J79" s="9" t="s">
        <v>108</v>
      </c>
      <c r="K79" s="9" t="s">
        <v>257</v>
      </c>
      <c r="L79" s="9" t="s">
        <v>296</v>
      </c>
      <c r="M79" s="9" t="s">
        <v>111</v>
      </c>
      <c r="N79" s="9" t="s">
        <v>145</v>
      </c>
      <c r="O79" s="9" t="s">
        <v>132</v>
      </c>
      <c r="P79" s="9" t="s">
        <v>269</v>
      </c>
      <c r="Q79" s="9" t="s">
        <v>766</v>
      </c>
      <c r="R79" s="9"/>
      <c r="S79" s="9"/>
      <c r="T79" s="9"/>
      <c r="U79" s="9" t="s">
        <v>22</v>
      </c>
      <c r="V79" s="9"/>
      <c r="W79" s="9" t="s">
        <v>176</v>
      </c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 t="s">
        <v>767</v>
      </c>
      <c r="AZ79" s="9" t="s">
        <v>768</v>
      </c>
      <c r="BA79" s="9" t="s">
        <v>769</v>
      </c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3"/>
      <c r="CN79" s="3"/>
      <c r="CO79" s="3"/>
      <c r="CP79" s="3"/>
      <c r="CQ79" s="3"/>
      <c r="CR79" s="3" t="s">
        <v>152</v>
      </c>
      <c r="CS79" s="3" t="s">
        <v>121</v>
      </c>
      <c r="CT79" s="9" t="s">
        <v>770</v>
      </c>
      <c r="CU79" s="3" t="s">
        <v>123</v>
      </c>
      <c r="CV79" s="3" t="s">
        <v>124</v>
      </c>
      <c r="CW79" s="3"/>
      <c r="DG79" s="4"/>
    </row>
    <row r="80" customFormat="false" ht="11.25" hidden="false" customHeight="true" outlineLevel="0" collapsed="false">
      <c r="A80" s="9" t="n">
        <v>79</v>
      </c>
      <c r="B80" s="10" t="n">
        <v>46080.300840706</v>
      </c>
      <c r="C80" s="10" t="n">
        <v>46080.3152620023</v>
      </c>
      <c r="D80" s="9" t="s">
        <v>771</v>
      </c>
      <c r="E80" s="9" t="s">
        <v>772</v>
      </c>
      <c r="F80" s="9" t="s">
        <v>772</v>
      </c>
      <c r="G80" s="9" t="s">
        <v>773</v>
      </c>
      <c r="H80" s="10" t="n">
        <v>46066</v>
      </c>
      <c r="I80" s="10" t="s">
        <v>750</v>
      </c>
      <c r="J80" s="9" t="s">
        <v>108</v>
      </c>
      <c r="K80" s="9" t="s">
        <v>462</v>
      </c>
      <c r="L80" s="9" t="s">
        <v>159</v>
      </c>
      <c r="M80" s="9" t="s">
        <v>111</v>
      </c>
      <c r="N80" s="9" t="s">
        <v>112</v>
      </c>
      <c r="O80" s="9" t="s">
        <v>113</v>
      </c>
      <c r="P80" s="9" t="s">
        <v>774</v>
      </c>
      <c r="Q80" s="9" t="s">
        <v>775</v>
      </c>
      <c r="R80" s="9"/>
      <c r="S80" s="9"/>
      <c r="T80" s="9"/>
      <c r="U80" s="9" t="s">
        <v>22</v>
      </c>
      <c r="V80" s="9"/>
      <c r="W80" s="9" t="s">
        <v>339</v>
      </c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 t="s">
        <v>776</v>
      </c>
      <c r="BO80" s="9" t="s">
        <v>777</v>
      </c>
      <c r="BP80" s="9" t="s">
        <v>752</v>
      </c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11"/>
      <c r="CM80" s="3"/>
      <c r="CN80" s="3"/>
      <c r="CO80" s="3"/>
      <c r="CP80" s="3"/>
      <c r="CQ80" s="3"/>
      <c r="CR80" s="3" t="s">
        <v>120</v>
      </c>
      <c r="CS80" s="3" t="s">
        <v>121</v>
      </c>
      <c r="CT80" s="9" t="s">
        <v>153</v>
      </c>
      <c r="CU80" s="3" t="s">
        <v>192</v>
      </c>
      <c r="CV80" s="3" t="s">
        <v>139</v>
      </c>
      <c r="CW80" s="3"/>
      <c r="DG80" s="4"/>
    </row>
    <row r="81" customFormat="false" ht="11.25" hidden="false" customHeight="true" outlineLevel="0" collapsed="false">
      <c r="A81" s="9" t="n">
        <v>80</v>
      </c>
      <c r="B81" s="10" t="n">
        <v>46202.7448680903</v>
      </c>
      <c r="C81" s="10" t="n">
        <v>46202.7501921644</v>
      </c>
      <c r="D81" s="9" t="s">
        <v>778</v>
      </c>
      <c r="E81" s="9" t="s">
        <v>779</v>
      </c>
      <c r="F81" s="9" t="s">
        <v>779</v>
      </c>
      <c r="G81" s="9" t="s">
        <v>780</v>
      </c>
      <c r="H81" s="10" t="n">
        <v>46184</v>
      </c>
      <c r="I81" s="10" t="s">
        <v>781</v>
      </c>
      <c r="J81" s="9" t="s">
        <v>295</v>
      </c>
      <c r="K81" s="9" t="s">
        <v>257</v>
      </c>
      <c r="L81" s="9" t="s">
        <v>159</v>
      </c>
      <c r="M81" s="9" t="s">
        <v>111</v>
      </c>
      <c r="N81" s="9" t="s">
        <v>112</v>
      </c>
      <c r="O81" s="9" t="s">
        <v>113</v>
      </c>
      <c r="P81" s="9" t="s">
        <v>357</v>
      </c>
      <c r="Q81" s="9" t="s">
        <v>606</v>
      </c>
      <c r="R81" s="9"/>
      <c r="S81" s="9"/>
      <c r="T81" s="9"/>
      <c r="U81" s="9" t="s">
        <v>22</v>
      </c>
      <c r="V81" s="9"/>
      <c r="W81" s="9" t="s">
        <v>176</v>
      </c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 t="s">
        <v>782</v>
      </c>
      <c r="AZ81" s="9" t="s">
        <v>783</v>
      </c>
      <c r="BA81" s="9" t="s">
        <v>784</v>
      </c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3"/>
      <c r="CN81" s="3"/>
      <c r="CO81" s="3"/>
      <c r="CP81" s="3"/>
      <c r="CQ81" s="3"/>
      <c r="CR81" s="3" t="s">
        <v>152</v>
      </c>
      <c r="CS81" s="3" t="s">
        <v>121</v>
      </c>
      <c r="CT81" s="9" t="s">
        <v>785</v>
      </c>
      <c r="CU81" s="3" t="s">
        <v>167</v>
      </c>
      <c r="CV81" s="3" t="s">
        <v>124</v>
      </c>
      <c r="CW81" s="3"/>
      <c r="DG81" s="4"/>
    </row>
    <row r="82" customFormat="false" ht="11.25" hidden="false" customHeight="true" outlineLevel="0" collapsed="false">
      <c r="A82" s="14" t="n">
        <v>81</v>
      </c>
      <c r="B82" s="15" t="n">
        <v>46046.5805089005</v>
      </c>
      <c r="C82" s="15" t="n">
        <v>46046.5942473264</v>
      </c>
      <c r="D82" s="14" t="s">
        <v>786</v>
      </c>
      <c r="E82" s="14" t="s">
        <v>787</v>
      </c>
      <c r="F82" s="14" t="s">
        <v>787</v>
      </c>
      <c r="G82" s="14" t="s">
        <v>788</v>
      </c>
      <c r="H82" s="15" t="n">
        <v>46043</v>
      </c>
      <c r="I82" s="15" t="s">
        <v>172</v>
      </c>
      <c r="J82" s="14" t="s">
        <v>295</v>
      </c>
      <c r="K82" s="14" t="s">
        <v>232</v>
      </c>
      <c r="L82" s="14" t="s">
        <v>197</v>
      </c>
      <c r="M82" s="14" t="s">
        <v>131</v>
      </c>
      <c r="N82" s="14" t="s">
        <v>112</v>
      </c>
      <c r="O82" s="14" t="s">
        <v>132</v>
      </c>
      <c r="P82" s="14" t="s">
        <v>789</v>
      </c>
      <c r="Q82" s="14" t="s">
        <v>235</v>
      </c>
      <c r="R82" s="14"/>
      <c r="S82" s="14"/>
      <c r="T82" s="14"/>
      <c r="U82" s="14" t="s">
        <v>22</v>
      </c>
      <c r="V82" s="14"/>
      <c r="W82" s="14" t="s">
        <v>298</v>
      </c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 t="s">
        <v>790</v>
      </c>
      <c r="AW82" s="14" t="s">
        <v>791</v>
      </c>
      <c r="AX82" s="14" t="s">
        <v>792</v>
      </c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R82" s="1" t="s">
        <v>120</v>
      </c>
      <c r="CS82" s="1" t="s">
        <v>180</v>
      </c>
      <c r="CT82" s="14" t="s">
        <v>122</v>
      </c>
      <c r="CU82" s="1" t="s">
        <v>123</v>
      </c>
      <c r="CV82" s="1" t="s">
        <v>124</v>
      </c>
      <c r="CW82" s="3"/>
      <c r="DG82" s="4"/>
    </row>
    <row r="83" customFormat="false" ht="11.25" hidden="false" customHeight="true" outlineLevel="0" collapsed="false">
      <c r="A83" s="14" t="n">
        <v>82</v>
      </c>
      <c r="B83" s="15" t="n">
        <v>46165.1784369792</v>
      </c>
      <c r="C83" s="15" t="n">
        <v>46165.1799300347</v>
      </c>
      <c r="D83" s="14" t="s">
        <v>793</v>
      </c>
      <c r="E83" s="14" t="s">
        <v>794</v>
      </c>
      <c r="F83" s="14" t="s">
        <v>794</v>
      </c>
      <c r="G83" s="14" t="s">
        <v>795</v>
      </c>
      <c r="H83" s="15" t="n">
        <v>46157</v>
      </c>
      <c r="I83" s="15" t="s">
        <v>278</v>
      </c>
      <c r="J83" s="14" t="s">
        <v>295</v>
      </c>
      <c r="K83" s="14" t="s">
        <v>796</v>
      </c>
      <c r="L83" s="14" t="s">
        <v>114</v>
      </c>
      <c r="M83" s="14" t="s">
        <v>131</v>
      </c>
      <c r="N83" s="14" t="s">
        <v>112</v>
      </c>
      <c r="O83" s="14" t="s">
        <v>113</v>
      </c>
      <c r="P83" s="14" t="s">
        <v>797</v>
      </c>
      <c r="Q83" s="14" t="s">
        <v>338</v>
      </c>
      <c r="R83" s="14"/>
      <c r="S83" s="14"/>
      <c r="T83" s="14"/>
      <c r="U83" s="14" t="s">
        <v>21</v>
      </c>
      <c r="V83" s="14" t="s">
        <v>187</v>
      </c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 t="s">
        <v>188</v>
      </c>
      <c r="AQ83" s="14" t="s">
        <v>708</v>
      </c>
      <c r="AR83" s="14" t="s">
        <v>190</v>
      </c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R83" s="1" t="s">
        <v>120</v>
      </c>
      <c r="CS83" s="1" t="s">
        <v>180</v>
      </c>
      <c r="CT83" s="14" t="s">
        <v>798</v>
      </c>
      <c r="CU83" s="1" t="s">
        <v>167</v>
      </c>
      <c r="CV83" s="1" t="s">
        <v>124</v>
      </c>
      <c r="CW83" s="3"/>
      <c r="DG83" s="4"/>
    </row>
    <row r="84" customFormat="false" ht="11.25" hidden="false" customHeight="true" outlineLevel="0" collapsed="false">
      <c r="A84" s="14" t="n">
        <v>83</v>
      </c>
      <c r="B84" s="15" t="n">
        <v>46107.2550075347</v>
      </c>
      <c r="C84" s="15" t="n">
        <v>46107.2591626273</v>
      </c>
      <c r="D84" s="14" t="s">
        <v>799</v>
      </c>
      <c r="E84" s="14" t="s">
        <v>800</v>
      </c>
      <c r="F84" s="14" t="s">
        <v>800</v>
      </c>
      <c r="G84" s="14" t="s">
        <v>801</v>
      </c>
      <c r="H84" s="15" t="n">
        <v>46103</v>
      </c>
      <c r="I84" s="15" t="s">
        <v>172</v>
      </c>
      <c r="J84" s="14" t="s">
        <v>108</v>
      </c>
      <c r="K84" s="14" t="s">
        <v>802</v>
      </c>
      <c r="L84" s="14" t="s">
        <v>210</v>
      </c>
      <c r="M84" s="14" t="s">
        <v>111</v>
      </c>
      <c r="N84" s="14" t="s">
        <v>112</v>
      </c>
      <c r="O84" s="14" t="s">
        <v>113</v>
      </c>
      <c r="P84" s="14" t="s">
        <v>789</v>
      </c>
      <c r="Q84" s="14" t="s">
        <v>523</v>
      </c>
      <c r="R84" s="14"/>
      <c r="S84" s="14"/>
      <c r="T84" s="14"/>
      <c r="U84" s="14" t="s">
        <v>22</v>
      </c>
      <c r="V84" s="14"/>
      <c r="W84" s="14" t="s">
        <v>381</v>
      </c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 t="s">
        <v>803</v>
      </c>
      <c r="BR84" s="14" t="s">
        <v>804</v>
      </c>
      <c r="BS84" s="14" t="s">
        <v>805</v>
      </c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R84" s="1" t="s">
        <v>152</v>
      </c>
      <c r="CS84" s="1" t="s">
        <v>496</v>
      </c>
      <c r="CT84" s="14" t="s">
        <v>239</v>
      </c>
      <c r="CU84" s="1" t="s">
        <v>192</v>
      </c>
      <c r="CV84" s="1" t="s">
        <v>124</v>
      </c>
      <c r="CW84" s="3"/>
      <c r="DG84" s="4"/>
    </row>
    <row r="85" customFormat="false" ht="11.25" hidden="false" customHeight="true" outlineLevel="0" collapsed="false">
      <c r="A85" s="14" t="n">
        <v>84</v>
      </c>
      <c r="B85" s="15" t="n">
        <v>46157.4329602546</v>
      </c>
      <c r="C85" s="15" t="n">
        <v>46157.4383074769</v>
      </c>
      <c r="D85" s="14" t="s">
        <v>806</v>
      </c>
      <c r="E85" s="14" t="s">
        <v>807</v>
      </c>
      <c r="F85" s="14" t="s">
        <v>807</v>
      </c>
      <c r="G85" s="14" t="s">
        <v>808</v>
      </c>
      <c r="H85" s="15" t="n">
        <v>46150</v>
      </c>
      <c r="I85" s="15" t="s">
        <v>172</v>
      </c>
      <c r="J85" s="14" t="s">
        <v>108</v>
      </c>
      <c r="K85" s="14" t="s">
        <v>364</v>
      </c>
      <c r="L85" s="14" t="s">
        <v>296</v>
      </c>
      <c r="M85" s="14" t="s">
        <v>111</v>
      </c>
      <c r="N85" s="14" t="s">
        <v>145</v>
      </c>
      <c r="O85" s="14" t="s">
        <v>113</v>
      </c>
      <c r="P85" s="14" t="s">
        <v>809</v>
      </c>
      <c r="Q85" s="14" t="s">
        <v>810</v>
      </c>
      <c r="R85" s="14"/>
      <c r="S85" s="14"/>
      <c r="T85" s="14"/>
      <c r="U85" s="14" t="s">
        <v>22</v>
      </c>
      <c r="V85" s="14"/>
      <c r="W85" s="14" t="s">
        <v>715</v>
      </c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 t="s">
        <v>811</v>
      </c>
      <c r="BI85" s="14" t="s">
        <v>812</v>
      </c>
      <c r="BJ85" s="14" t="s">
        <v>813</v>
      </c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R85" s="1" t="s">
        <v>152</v>
      </c>
      <c r="CS85" s="1" t="s">
        <v>814</v>
      </c>
      <c r="CT85" s="14"/>
      <c r="CU85" s="1" t="s">
        <v>167</v>
      </c>
      <c r="CV85" s="1" t="s">
        <v>124</v>
      </c>
      <c r="CW85" s="3" t="s">
        <v>621</v>
      </c>
      <c r="DG85" s="4"/>
    </row>
    <row r="86" customFormat="false" ht="11.25" hidden="false" customHeight="true" outlineLevel="0" collapsed="false">
      <c r="A86" s="14" t="n">
        <v>85</v>
      </c>
      <c r="B86" s="15" t="n">
        <v>46133.8183890278</v>
      </c>
      <c r="C86" s="15" t="n">
        <v>46133.8361089352</v>
      </c>
      <c r="D86" s="14" t="s">
        <v>815</v>
      </c>
      <c r="E86" s="14" t="s">
        <v>816</v>
      </c>
      <c r="F86" s="14" t="s">
        <v>816</v>
      </c>
      <c r="G86" s="14" t="s">
        <v>817</v>
      </c>
      <c r="H86" s="15" t="n">
        <v>46114</v>
      </c>
      <c r="I86" s="15" t="s">
        <v>244</v>
      </c>
      <c r="J86" s="14" t="s">
        <v>108</v>
      </c>
      <c r="K86" s="14" t="s">
        <v>818</v>
      </c>
      <c r="L86" s="14" t="s">
        <v>286</v>
      </c>
      <c r="M86" s="14" t="s">
        <v>131</v>
      </c>
      <c r="N86" s="14" t="s">
        <v>145</v>
      </c>
      <c r="O86" s="14" t="s">
        <v>113</v>
      </c>
      <c r="P86" s="14" t="s">
        <v>578</v>
      </c>
      <c r="Q86" s="14" t="s">
        <v>819</v>
      </c>
      <c r="R86" s="14"/>
      <c r="S86" s="14"/>
      <c r="T86" s="14"/>
      <c r="U86" s="14" t="s">
        <v>22</v>
      </c>
      <c r="V86" s="14"/>
      <c r="W86" s="14" t="s">
        <v>298</v>
      </c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 t="s">
        <v>820</v>
      </c>
      <c r="AW86" s="14" t="s">
        <v>821</v>
      </c>
      <c r="AX86" s="14" t="s">
        <v>668</v>
      </c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R86" s="1" t="s">
        <v>227</v>
      </c>
      <c r="CS86" s="1" t="s">
        <v>352</v>
      </c>
      <c r="CT86" s="14" t="s">
        <v>822</v>
      </c>
      <c r="CU86" s="1" t="s">
        <v>167</v>
      </c>
      <c r="CV86" s="1" t="s">
        <v>124</v>
      </c>
      <c r="CW86" s="3"/>
      <c r="DG86" s="4"/>
    </row>
    <row r="87" customFormat="false" ht="11.25" hidden="false" customHeight="true" outlineLevel="0" collapsed="false">
      <c r="A87" s="14" t="n">
        <v>86</v>
      </c>
      <c r="B87" s="15" t="n">
        <v>46177.225590081</v>
      </c>
      <c r="C87" s="15" t="n">
        <v>46177.2328354514</v>
      </c>
      <c r="D87" s="14" t="s">
        <v>823</v>
      </c>
      <c r="E87" s="14" t="s">
        <v>824</v>
      </c>
      <c r="F87" s="14" t="s">
        <v>824</v>
      </c>
      <c r="G87" s="14" t="s">
        <v>825</v>
      </c>
      <c r="H87" s="15" t="n">
        <v>46165</v>
      </c>
      <c r="I87" s="15" t="s">
        <v>172</v>
      </c>
      <c r="J87" s="14" t="s">
        <v>108</v>
      </c>
      <c r="K87" s="14" t="s">
        <v>826</v>
      </c>
      <c r="L87" s="14" t="s">
        <v>159</v>
      </c>
      <c r="M87" s="14" t="s">
        <v>111</v>
      </c>
      <c r="N87" s="14" t="s">
        <v>112</v>
      </c>
      <c r="O87" s="14" t="s">
        <v>325</v>
      </c>
      <c r="P87" s="14" t="s">
        <v>326</v>
      </c>
      <c r="Q87" s="14" t="s">
        <v>827</v>
      </c>
      <c r="R87" s="14"/>
      <c r="S87" s="14"/>
      <c r="T87" s="14"/>
      <c r="U87" s="14" t="s">
        <v>22</v>
      </c>
      <c r="V87" s="14"/>
      <c r="W87" s="14" t="s">
        <v>715</v>
      </c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 t="s">
        <v>828</v>
      </c>
      <c r="BI87" s="14" t="s">
        <v>829</v>
      </c>
      <c r="BJ87" s="14" t="s">
        <v>830</v>
      </c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R87" s="1" t="s">
        <v>227</v>
      </c>
      <c r="CS87" s="1" t="s">
        <v>180</v>
      </c>
      <c r="CT87" s="14" t="s">
        <v>831</v>
      </c>
      <c r="CU87" s="1" t="s">
        <v>192</v>
      </c>
      <c r="CV87" s="1" t="s">
        <v>124</v>
      </c>
      <c r="CW87" s="3" t="s">
        <v>621</v>
      </c>
      <c r="DG87" s="4"/>
    </row>
    <row r="88" customFormat="false" ht="11.25" hidden="false" customHeight="true" outlineLevel="0" collapsed="false">
      <c r="A88" s="14" t="n">
        <v>87</v>
      </c>
      <c r="B88" s="15" t="n">
        <v>46127.108366794</v>
      </c>
      <c r="C88" s="15" t="n">
        <v>46127.1164686458</v>
      </c>
      <c r="D88" s="14" t="s">
        <v>832</v>
      </c>
      <c r="E88" s="14" t="s">
        <v>833</v>
      </c>
      <c r="F88" s="14" t="s">
        <v>833</v>
      </c>
      <c r="G88" s="14" t="s">
        <v>834</v>
      </c>
      <c r="H88" s="15" t="n">
        <v>46123</v>
      </c>
      <c r="I88" s="15" t="s">
        <v>244</v>
      </c>
      <c r="J88" s="14" t="s">
        <v>108</v>
      </c>
      <c r="K88" s="14" t="s">
        <v>173</v>
      </c>
      <c r="L88" s="14" t="s">
        <v>197</v>
      </c>
      <c r="M88" s="14" t="s">
        <v>111</v>
      </c>
      <c r="N88" s="14" t="s">
        <v>145</v>
      </c>
      <c r="O88" s="14" t="s">
        <v>113</v>
      </c>
      <c r="P88" s="14" t="s">
        <v>566</v>
      </c>
      <c r="Q88" s="14" t="s">
        <v>259</v>
      </c>
      <c r="R88" s="14"/>
      <c r="S88" s="14"/>
      <c r="T88" s="14"/>
      <c r="U88" s="14" t="s">
        <v>22</v>
      </c>
      <c r="V88" s="14"/>
      <c r="W88" s="14" t="s">
        <v>135</v>
      </c>
      <c r="X88" s="14"/>
      <c r="Y88" s="14"/>
      <c r="Z88" s="14"/>
      <c r="AA88" s="14" t="s">
        <v>835</v>
      </c>
      <c r="AB88" s="14" t="s">
        <v>836</v>
      </c>
      <c r="AC88" s="14" t="s">
        <v>837</v>
      </c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R88" s="1" t="s">
        <v>152</v>
      </c>
      <c r="CS88" s="1" t="s">
        <v>121</v>
      </c>
      <c r="CT88" s="14" t="s">
        <v>321</v>
      </c>
      <c r="CU88" s="1" t="s">
        <v>123</v>
      </c>
      <c r="CV88" s="1" t="s">
        <v>124</v>
      </c>
      <c r="CW88" s="3"/>
      <c r="DG88" s="4"/>
    </row>
    <row r="89" customFormat="false" ht="11.25" hidden="false" customHeight="true" outlineLevel="0" collapsed="false">
      <c r="A89" s="14" t="n">
        <v>88</v>
      </c>
      <c r="B89" s="15" t="n">
        <v>46127.8891897338</v>
      </c>
      <c r="C89" s="15" t="n">
        <v>46127.9061110301</v>
      </c>
      <c r="D89" s="14" t="s">
        <v>838</v>
      </c>
      <c r="E89" s="14" t="s">
        <v>839</v>
      </c>
      <c r="F89" s="14" t="s">
        <v>839</v>
      </c>
      <c r="G89" s="14" t="s">
        <v>840</v>
      </c>
      <c r="H89" s="15" t="n">
        <v>46127</v>
      </c>
      <c r="I89" s="15" t="s">
        <v>107</v>
      </c>
      <c r="J89" s="14" t="s">
        <v>108</v>
      </c>
      <c r="K89" s="14" t="s">
        <v>196</v>
      </c>
      <c r="L89" s="14" t="s">
        <v>246</v>
      </c>
      <c r="M89" s="14" t="s">
        <v>111</v>
      </c>
      <c r="N89" s="14" t="s">
        <v>112</v>
      </c>
      <c r="O89" s="14" t="s">
        <v>113</v>
      </c>
      <c r="P89" s="14" t="s">
        <v>406</v>
      </c>
      <c r="Q89" s="14" t="s">
        <v>841</v>
      </c>
      <c r="R89" s="14"/>
      <c r="S89" s="14"/>
      <c r="T89" s="14"/>
      <c r="U89" s="14" t="s">
        <v>22</v>
      </c>
      <c r="V89" s="14"/>
      <c r="W89" s="14" t="s">
        <v>381</v>
      </c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 t="s">
        <v>842</v>
      </c>
      <c r="BR89" s="14" t="s">
        <v>843</v>
      </c>
      <c r="BS89" s="14" t="s">
        <v>844</v>
      </c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R89" s="1" t="s">
        <v>152</v>
      </c>
      <c r="CS89" s="1" t="s">
        <v>121</v>
      </c>
      <c r="CT89" s="14" t="s">
        <v>122</v>
      </c>
      <c r="CU89" s="1" t="s">
        <v>167</v>
      </c>
      <c r="CV89" s="1" t="s">
        <v>124</v>
      </c>
      <c r="CW89" s="3"/>
      <c r="DG89" s="4"/>
    </row>
    <row r="90" customFormat="false" ht="11.25" hidden="false" customHeight="true" outlineLevel="0" collapsed="false">
      <c r="A90" s="14" t="n">
        <v>89</v>
      </c>
      <c r="B90" s="15" t="n">
        <v>46156.6075546759</v>
      </c>
      <c r="C90" s="15" t="n">
        <v>46156.6233995833</v>
      </c>
      <c r="D90" s="14" t="s">
        <v>845</v>
      </c>
      <c r="E90" s="14" t="s">
        <v>846</v>
      </c>
      <c r="F90" s="14" t="s">
        <v>846</v>
      </c>
      <c r="G90" s="14" t="s">
        <v>847</v>
      </c>
      <c r="H90" s="15" t="n">
        <v>46145</v>
      </c>
      <c r="I90" s="15" t="s">
        <v>278</v>
      </c>
      <c r="J90" s="14" t="s">
        <v>108</v>
      </c>
      <c r="K90" s="14" t="s">
        <v>848</v>
      </c>
      <c r="L90" s="14" t="s">
        <v>159</v>
      </c>
      <c r="M90" s="14" t="s">
        <v>111</v>
      </c>
      <c r="N90" s="14" t="s">
        <v>112</v>
      </c>
      <c r="O90" s="14" t="s">
        <v>113</v>
      </c>
      <c r="P90" s="14" t="s">
        <v>439</v>
      </c>
      <c r="Q90" s="14" t="s">
        <v>849</v>
      </c>
      <c r="R90" s="14"/>
      <c r="S90" s="14"/>
      <c r="T90" s="14"/>
      <c r="U90" s="14" t="s">
        <v>22</v>
      </c>
      <c r="V90" s="14"/>
      <c r="W90" s="14" t="s">
        <v>148</v>
      </c>
      <c r="X90" s="14"/>
      <c r="Y90" s="14"/>
      <c r="Z90" s="14"/>
      <c r="AA90" s="14"/>
      <c r="AB90" s="14"/>
      <c r="AC90" s="14"/>
      <c r="AD90" s="14" t="s">
        <v>850</v>
      </c>
      <c r="AE90" s="14" t="s">
        <v>851</v>
      </c>
      <c r="AF90" s="14" t="s">
        <v>852</v>
      </c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R90" s="1" t="s">
        <v>152</v>
      </c>
      <c r="CS90" s="1" t="s">
        <v>180</v>
      </c>
      <c r="CT90" s="14" t="s">
        <v>853</v>
      </c>
      <c r="CU90" s="1" t="s">
        <v>192</v>
      </c>
      <c r="CV90" s="1" t="s">
        <v>124</v>
      </c>
      <c r="CW90" s="3"/>
      <c r="DG90" s="4"/>
    </row>
    <row r="91" customFormat="false" ht="11.25" hidden="false" customHeight="true" outlineLevel="0" collapsed="false">
      <c r="A91" s="14" t="n">
        <v>90</v>
      </c>
      <c r="B91" s="15" t="n">
        <v>46078.4975500347</v>
      </c>
      <c r="C91" s="15" t="n">
        <v>46078.5112074421</v>
      </c>
      <c r="D91" s="14" t="s">
        <v>854</v>
      </c>
      <c r="E91" s="14" t="s">
        <v>855</v>
      </c>
      <c r="F91" s="14" t="s">
        <v>855</v>
      </c>
      <c r="G91" s="14" t="s">
        <v>856</v>
      </c>
      <c r="H91" s="15" t="n">
        <v>46066</v>
      </c>
      <c r="I91" s="15" t="s">
        <v>172</v>
      </c>
      <c r="J91" s="14" t="s">
        <v>108</v>
      </c>
      <c r="K91" s="14" t="s">
        <v>143</v>
      </c>
      <c r="L91" s="14" t="s">
        <v>389</v>
      </c>
      <c r="M91" s="14" t="s">
        <v>111</v>
      </c>
      <c r="N91" s="14" t="s">
        <v>112</v>
      </c>
      <c r="O91" s="14" t="s">
        <v>113</v>
      </c>
      <c r="P91" s="14" t="s">
        <v>365</v>
      </c>
      <c r="Q91" s="14" t="s">
        <v>161</v>
      </c>
      <c r="R91" s="14"/>
      <c r="S91" s="14"/>
      <c r="T91" s="14"/>
      <c r="U91" s="14" t="s">
        <v>24</v>
      </c>
      <c r="V91" s="14"/>
      <c r="W91" s="14"/>
      <c r="X91" s="14"/>
      <c r="Y91" s="14" t="s">
        <v>260</v>
      </c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 t="s">
        <v>857</v>
      </c>
      <c r="CG91" s="14" t="s">
        <v>858</v>
      </c>
      <c r="CH91" s="14" t="s">
        <v>859</v>
      </c>
      <c r="CI91" s="14"/>
      <c r="CJ91" s="14"/>
      <c r="CK91" s="14"/>
      <c r="CL91" s="14"/>
      <c r="CR91" s="1" t="s">
        <v>227</v>
      </c>
      <c r="CS91" s="1" t="s">
        <v>352</v>
      </c>
      <c r="CT91" s="14"/>
      <c r="CU91" s="1" t="s">
        <v>123</v>
      </c>
      <c r="CV91" s="1" t="s">
        <v>124</v>
      </c>
      <c r="CW91" s="3"/>
      <c r="DG91" s="4"/>
    </row>
    <row r="92" customFormat="false" ht="11.25" hidden="false" customHeight="true" outlineLevel="0" collapsed="false">
      <c r="A92" s="14" t="n">
        <v>91</v>
      </c>
      <c r="B92" s="15" t="n">
        <v>46109.4526622107</v>
      </c>
      <c r="C92" s="15" t="n">
        <v>46109.4689469329</v>
      </c>
      <c r="D92" s="14" t="s">
        <v>860</v>
      </c>
      <c r="E92" s="14" t="s">
        <v>861</v>
      </c>
      <c r="F92" s="14" t="s">
        <v>861</v>
      </c>
      <c r="G92" s="14" t="s">
        <v>862</v>
      </c>
      <c r="H92" s="15" t="n">
        <v>46096</v>
      </c>
      <c r="I92" s="15" t="s">
        <v>172</v>
      </c>
      <c r="J92" s="14" t="s">
        <v>108</v>
      </c>
      <c r="K92" s="14" t="s">
        <v>364</v>
      </c>
      <c r="L92" s="14" t="s">
        <v>346</v>
      </c>
      <c r="M92" s="14" t="s">
        <v>111</v>
      </c>
      <c r="N92" s="14" t="s">
        <v>112</v>
      </c>
      <c r="O92" s="14" t="s">
        <v>863</v>
      </c>
      <c r="P92" s="14" t="s">
        <v>864</v>
      </c>
      <c r="Q92" s="14" t="s">
        <v>234</v>
      </c>
      <c r="R92" s="14"/>
      <c r="S92" s="14"/>
      <c r="T92" s="14"/>
      <c r="U92" s="14" t="s">
        <v>22</v>
      </c>
      <c r="V92" s="14"/>
      <c r="W92" s="14" t="s">
        <v>339</v>
      </c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 t="s">
        <v>865</v>
      </c>
      <c r="BO92" s="14" t="s">
        <v>866</v>
      </c>
      <c r="BP92" s="14" t="s">
        <v>675</v>
      </c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R92" s="1" t="s">
        <v>152</v>
      </c>
      <c r="CS92" s="1" t="s">
        <v>121</v>
      </c>
      <c r="CT92" s="14" t="s">
        <v>122</v>
      </c>
      <c r="CU92" s="1" t="s">
        <v>123</v>
      </c>
      <c r="CV92" s="1" t="s">
        <v>124</v>
      </c>
      <c r="CW92" s="3"/>
      <c r="DG92" s="4"/>
    </row>
    <row r="93" customFormat="false" ht="11.25" hidden="false" customHeight="true" outlineLevel="0" collapsed="false">
      <c r="A93" s="14" t="n">
        <v>92</v>
      </c>
      <c r="B93" s="15" t="n">
        <v>46106.7535294213</v>
      </c>
      <c r="C93" s="15" t="n">
        <v>46106.7715386806</v>
      </c>
      <c r="D93" s="14" t="s">
        <v>867</v>
      </c>
      <c r="E93" s="14" t="s">
        <v>868</v>
      </c>
      <c r="F93" s="14" t="s">
        <v>868</v>
      </c>
      <c r="G93" s="14" t="s">
        <v>869</v>
      </c>
      <c r="H93" s="15" t="n">
        <v>46095</v>
      </c>
      <c r="I93" s="15" t="s">
        <v>244</v>
      </c>
      <c r="J93" s="14" t="s">
        <v>295</v>
      </c>
      <c r="K93" s="14" t="s">
        <v>364</v>
      </c>
      <c r="L93" s="14" t="s">
        <v>491</v>
      </c>
      <c r="M93" s="14" t="s">
        <v>111</v>
      </c>
      <c r="N93" s="14" t="s">
        <v>145</v>
      </c>
      <c r="O93" s="14" t="s">
        <v>113</v>
      </c>
      <c r="P93" s="14" t="s">
        <v>870</v>
      </c>
      <c r="Q93" s="14" t="s">
        <v>757</v>
      </c>
      <c r="R93" s="14" t="s">
        <v>871</v>
      </c>
      <c r="S93" s="14"/>
      <c r="T93" s="14"/>
      <c r="U93" s="14" t="s">
        <v>23</v>
      </c>
      <c r="V93" s="14"/>
      <c r="W93" s="14"/>
      <c r="X93" s="14" t="s">
        <v>503</v>
      </c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R93" s="1" t="s">
        <v>120</v>
      </c>
      <c r="CS93" s="1" t="s">
        <v>121</v>
      </c>
      <c r="CT93" s="14" t="s">
        <v>122</v>
      </c>
      <c r="CU93" s="1" t="s">
        <v>192</v>
      </c>
      <c r="CV93" s="1" t="s">
        <v>124</v>
      </c>
      <c r="CW93" s="3"/>
      <c r="DG93" s="4"/>
    </row>
    <row r="94" customFormat="false" ht="11.25" hidden="false" customHeight="true" outlineLevel="0" collapsed="false">
      <c r="A94" s="14" t="n">
        <v>93</v>
      </c>
      <c r="B94" s="15" t="n">
        <v>46175.8861815278</v>
      </c>
      <c r="C94" s="15" t="n">
        <v>46175.9009963426</v>
      </c>
      <c r="D94" s="14" t="s">
        <v>872</v>
      </c>
      <c r="E94" s="14" t="s">
        <v>873</v>
      </c>
      <c r="F94" s="14" t="s">
        <v>873</v>
      </c>
      <c r="G94" s="14" t="s">
        <v>874</v>
      </c>
      <c r="H94" s="15" t="n">
        <v>46167</v>
      </c>
      <c r="I94" s="15" t="s">
        <v>278</v>
      </c>
      <c r="J94" s="14" t="s">
        <v>128</v>
      </c>
      <c r="K94" s="14" t="s">
        <v>462</v>
      </c>
      <c r="L94" s="14" t="s">
        <v>184</v>
      </c>
      <c r="M94" s="14" t="s">
        <v>111</v>
      </c>
      <c r="N94" s="14" t="s">
        <v>112</v>
      </c>
      <c r="O94" s="14" t="s">
        <v>132</v>
      </c>
      <c r="P94" s="14" t="s">
        <v>736</v>
      </c>
      <c r="Q94" s="14" t="s">
        <v>758</v>
      </c>
      <c r="R94" s="14"/>
      <c r="S94" s="14"/>
      <c r="T94" s="14"/>
      <c r="U94" s="14" t="s">
        <v>21</v>
      </c>
      <c r="V94" s="14" t="s">
        <v>250</v>
      </c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 t="s">
        <v>875</v>
      </c>
      <c r="BF94" s="14" t="s">
        <v>745</v>
      </c>
      <c r="BG94" s="14" t="s">
        <v>876</v>
      </c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R94" s="1" t="s">
        <v>152</v>
      </c>
      <c r="CS94" s="1" t="s">
        <v>228</v>
      </c>
      <c r="CT94" s="14" t="s">
        <v>122</v>
      </c>
      <c r="CU94" s="1" t="s">
        <v>192</v>
      </c>
      <c r="CV94" s="1" t="s">
        <v>124</v>
      </c>
      <c r="CW94" s="3"/>
      <c r="DG94" s="4"/>
    </row>
    <row r="95" customFormat="false" ht="11.25" hidden="false" customHeight="true" outlineLevel="0" collapsed="false">
      <c r="A95" s="14" t="n">
        <v>94</v>
      </c>
      <c r="B95" s="15" t="n">
        <v>46118.5985338194</v>
      </c>
      <c r="C95" s="15" t="n">
        <v>46118.6121449306</v>
      </c>
      <c r="D95" s="14" t="s">
        <v>877</v>
      </c>
      <c r="E95" s="14" t="s">
        <v>878</v>
      </c>
      <c r="F95" s="14" t="s">
        <v>878</v>
      </c>
      <c r="G95" s="14" t="s">
        <v>879</v>
      </c>
      <c r="H95" s="15" t="n">
        <v>46116</v>
      </c>
      <c r="I95" s="15" t="s">
        <v>157</v>
      </c>
      <c r="J95" s="14" t="s">
        <v>128</v>
      </c>
      <c r="K95" s="14" t="s">
        <v>232</v>
      </c>
      <c r="L95" s="14" t="s">
        <v>144</v>
      </c>
      <c r="M95" s="14" t="s">
        <v>111</v>
      </c>
      <c r="N95" s="14" t="s">
        <v>112</v>
      </c>
      <c r="O95" s="14" t="s">
        <v>113</v>
      </c>
      <c r="P95" s="14" t="s">
        <v>652</v>
      </c>
      <c r="Q95" s="14" t="s">
        <v>613</v>
      </c>
      <c r="R95" s="14"/>
      <c r="S95" s="14"/>
      <c r="T95" s="14" t="s">
        <v>880</v>
      </c>
      <c r="U95" s="14" t="s">
        <v>24</v>
      </c>
      <c r="V95" s="14"/>
      <c r="W95" s="14"/>
      <c r="X95" s="14"/>
      <c r="Y95" s="14" t="s">
        <v>19</v>
      </c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R95" s="1" t="s">
        <v>152</v>
      </c>
      <c r="CS95" s="1" t="s">
        <v>180</v>
      </c>
      <c r="CT95" s="14" t="s">
        <v>122</v>
      </c>
      <c r="CU95" s="1" t="s">
        <v>123</v>
      </c>
      <c r="CV95" s="1" t="s">
        <v>168</v>
      </c>
      <c r="CW95" s="3"/>
      <c r="DG95" s="4"/>
    </row>
    <row r="96" customFormat="false" ht="11.25" hidden="false" customHeight="true" outlineLevel="0" collapsed="false">
      <c r="A96" s="14" t="n">
        <v>95</v>
      </c>
      <c r="B96" s="15" t="n">
        <v>46058.1459424306</v>
      </c>
      <c r="C96" s="15" t="n">
        <v>46058.1570419676</v>
      </c>
      <c r="D96" s="14" t="s">
        <v>881</v>
      </c>
      <c r="E96" s="14" t="s">
        <v>882</v>
      </c>
      <c r="F96" s="14" t="s">
        <v>882</v>
      </c>
      <c r="G96" s="14" t="s">
        <v>883</v>
      </c>
      <c r="H96" s="15" t="n">
        <v>46047</v>
      </c>
      <c r="I96" s="15" t="s">
        <v>244</v>
      </c>
      <c r="J96" s="14" t="s">
        <v>295</v>
      </c>
      <c r="K96" s="14" t="s">
        <v>884</v>
      </c>
      <c r="L96" s="14" t="s">
        <v>144</v>
      </c>
      <c r="M96" s="14" t="s">
        <v>111</v>
      </c>
      <c r="N96" s="14" t="s">
        <v>112</v>
      </c>
      <c r="O96" s="14" t="s">
        <v>132</v>
      </c>
      <c r="P96" s="14" t="s">
        <v>885</v>
      </c>
      <c r="Q96" s="14" t="s">
        <v>175</v>
      </c>
      <c r="R96" s="14"/>
      <c r="S96" s="14"/>
      <c r="T96" s="14"/>
      <c r="U96" s="14" t="s">
        <v>21</v>
      </c>
      <c r="V96" s="14" t="s">
        <v>457</v>
      </c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 t="s">
        <v>886</v>
      </c>
      <c r="AN96" s="14" t="s">
        <v>887</v>
      </c>
      <c r="AO96" s="14" t="s">
        <v>746</v>
      </c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R96" s="1" t="s">
        <v>227</v>
      </c>
      <c r="CS96" s="1" t="s">
        <v>264</v>
      </c>
      <c r="CT96" s="14" t="s">
        <v>122</v>
      </c>
      <c r="CU96" s="1" t="s">
        <v>123</v>
      </c>
      <c r="CV96" s="1" t="s">
        <v>139</v>
      </c>
      <c r="CW96" s="3"/>
      <c r="DG96" s="4"/>
    </row>
    <row r="97" customFormat="false" ht="11.25" hidden="false" customHeight="true" outlineLevel="0" collapsed="false">
      <c r="A97" s="14" t="n">
        <v>96</v>
      </c>
      <c r="B97" s="15" t="n">
        <v>46115.1970413657</v>
      </c>
      <c r="C97" s="15" t="n">
        <v>46115.217863125</v>
      </c>
      <c r="D97" s="14" t="s">
        <v>888</v>
      </c>
      <c r="E97" s="14" t="s">
        <v>889</v>
      </c>
      <c r="F97" s="14" t="s">
        <v>890</v>
      </c>
      <c r="G97" s="14" t="s">
        <v>891</v>
      </c>
      <c r="H97" s="15" t="n">
        <v>46097</v>
      </c>
      <c r="I97" s="10" t="s">
        <v>107</v>
      </c>
      <c r="J97" s="14" t="s">
        <v>295</v>
      </c>
      <c r="K97" s="14" t="s">
        <v>892</v>
      </c>
      <c r="L97" s="14" t="s">
        <v>130</v>
      </c>
      <c r="M97" s="14" t="s">
        <v>111</v>
      </c>
      <c r="N97" s="14" t="s">
        <v>112</v>
      </c>
      <c r="O97" s="14" t="s">
        <v>325</v>
      </c>
      <c r="P97" s="14" t="s">
        <v>397</v>
      </c>
      <c r="Q97" s="14" t="s">
        <v>893</v>
      </c>
      <c r="R97" s="14"/>
      <c r="S97" s="14"/>
      <c r="T97" s="14"/>
      <c r="U97" s="14" t="s">
        <v>22</v>
      </c>
      <c r="V97" s="14"/>
      <c r="W97" s="14" t="s">
        <v>381</v>
      </c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 t="s">
        <v>803</v>
      </c>
      <c r="BR97" s="14" t="s">
        <v>894</v>
      </c>
      <c r="BS97" s="14" t="s">
        <v>738</v>
      </c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R97" s="1" t="s">
        <v>152</v>
      </c>
      <c r="CS97" s="1" t="s">
        <v>121</v>
      </c>
      <c r="CT97" s="14"/>
      <c r="CU97" s="1" t="s">
        <v>123</v>
      </c>
      <c r="CV97" s="1" t="s">
        <v>168</v>
      </c>
      <c r="CW97" s="3"/>
      <c r="DG97" s="4"/>
    </row>
    <row r="98" customFormat="false" ht="11.25" hidden="false" customHeight="true" outlineLevel="0" collapsed="false">
      <c r="A98" s="14" t="n">
        <v>97</v>
      </c>
      <c r="B98" s="15" t="n">
        <v>46083.9284148958</v>
      </c>
      <c r="C98" s="15" t="n">
        <v>46083.9319449884</v>
      </c>
      <c r="D98" s="14" t="s">
        <v>895</v>
      </c>
      <c r="E98" s="14" t="s">
        <v>896</v>
      </c>
      <c r="F98" s="14" t="s">
        <v>896</v>
      </c>
      <c r="G98" s="14" t="s">
        <v>897</v>
      </c>
      <c r="H98" s="15" t="n">
        <v>46074</v>
      </c>
      <c r="I98" s="10" t="s">
        <v>278</v>
      </c>
      <c r="J98" s="14" t="s">
        <v>295</v>
      </c>
      <c r="K98" s="14" t="s">
        <v>898</v>
      </c>
      <c r="L98" s="14" t="s">
        <v>144</v>
      </c>
      <c r="M98" s="14" t="s">
        <v>111</v>
      </c>
      <c r="N98" s="14" t="s">
        <v>145</v>
      </c>
      <c r="O98" s="14" t="s">
        <v>336</v>
      </c>
      <c r="P98" s="14" t="s">
        <v>199</v>
      </c>
      <c r="Q98" s="14" t="s">
        <v>899</v>
      </c>
      <c r="R98" s="14"/>
      <c r="S98" s="14"/>
      <c r="T98" s="14"/>
      <c r="U98" s="14" t="s">
        <v>21</v>
      </c>
      <c r="V98" s="14" t="s">
        <v>250</v>
      </c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 t="s">
        <v>900</v>
      </c>
      <c r="BF98" s="14" t="s">
        <v>329</v>
      </c>
      <c r="BG98" s="14" t="s">
        <v>901</v>
      </c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R98" s="1" t="s">
        <v>152</v>
      </c>
      <c r="CS98" s="1" t="s">
        <v>352</v>
      </c>
      <c r="CT98" s="14"/>
      <c r="CU98" s="1" t="s">
        <v>192</v>
      </c>
      <c r="CV98" s="1" t="s">
        <v>124</v>
      </c>
      <c r="CW98" s="3"/>
      <c r="DG98" s="4"/>
    </row>
    <row r="99" customFormat="false" ht="11.25" hidden="false" customHeight="true" outlineLevel="0" collapsed="false">
      <c r="A99" s="14" t="n">
        <v>98</v>
      </c>
      <c r="B99" s="15" t="n">
        <v>46092.1622793171</v>
      </c>
      <c r="C99" s="15" t="n">
        <v>46092.1789459838</v>
      </c>
      <c r="D99" s="14" t="s">
        <v>902</v>
      </c>
      <c r="E99" s="14" t="s">
        <v>903</v>
      </c>
      <c r="F99" s="14" t="s">
        <v>903</v>
      </c>
      <c r="G99" s="14" t="s">
        <v>904</v>
      </c>
      <c r="H99" s="15" t="n">
        <v>46084</v>
      </c>
      <c r="I99" s="15" t="s">
        <v>713</v>
      </c>
      <c r="J99" s="14" t="s">
        <v>108</v>
      </c>
      <c r="K99" s="14" t="s">
        <v>143</v>
      </c>
      <c r="L99" s="14" t="s">
        <v>296</v>
      </c>
      <c r="M99" s="14" t="s">
        <v>131</v>
      </c>
      <c r="N99" s="14" t="s">
        <v>112</v>
      </c>
      <c r="O99" s="14" t="s">
        <v>132</v>
      </c>
      <c r="P99" s="14" t="s">
        <v>864</v>
      </c>
      <c r="Q99" s="14" t="s">
        <v>905</v>
      </c>
      <c r="R99" s="14"/>
      <c r="S99" s="14"/>
      <c r="T99" s="14"/>
      <c r="U99" s="14" t="s">
        <v>21</v>
      </c>
      <c r="V99" s="14" t="s">
        <v>374</v>
      </c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 t="s">
        <v>906</v>
      </c>
      <c r="AK99" s="14" t="s">
        <v>907</v>
      </c>
      <c r="AL99" s="14" t="s">
        <v>908</v>
      </c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R99" s="1" t="s">
        <v>120</v>
      </c>
      <c r="CS99" s="1" t="s">
        <v>121</v>
      </c>
      <c r="CT99" s="14"/>
      <c r="CU99" s="1" t="s">
        <v>123</v>
      </c>
      <c r="CV99" s="1" t="s">
        <v>168</v>
      </c>
      <c r="CW99" s="3"/>
      <c r="DG99" s="4"/>
    </row>
    <row r="100" customFormat="false" ht="11.25" hidden="false" customHeight="true" outlineLevel="0" collapsed="false">
      <c r="A100" s="14" t="n">
        <v>99</v>
      </c>
      <c r="B100" s="15" t="n">
        <v>46076.0187341667</v>
      </c>
      <c r="C100" s="15" t="n">
        <v>46076.0271137963</v>
      </c>
      <c r="D100" s="14" t="s">
        <v>909</v>
      </c>
      <c r="E100" s="14" t="s">
        <v>910</v>
      </c>
      <c r="F100" s="14" t="s">
        <v>910</v>
      </c>
      <c r="G100" s="14" t="s">
        <v>911</v>
      </c>
      <c r="H100" s="15" t="n">
        <v>46059</v>
      </c>
      <c r="I100" s="15" t="s">
        <v>172</v>
      </c>
      <c r="J100" s="14" t="s">
        <v>108</v>
      </c>
      <c r="K100" s="14" t="s">
        <v>245</v>
      </c>
      <c r="L100" s="14" t="s">
        <v>286</v>
      </c>
      <c r="M100" s="14" t="s">
        <v>111</v>
      </c>
      <c r="N100" s="14" t="s">
        <v>145</v>
      </c>
      <c r="O100" s="14" t="s">
        <v>113</v>
      </c>
      <c r="P100" s="14" t="s">
        <v>864</v>
      </c>
      <c r="Q100" s="14" t="s">
        <v>249</v>
      </c>
      <c r="R100" s="14"/>
      <c r="S100" s="14"/>
      <c r="T100" s="14"/>
      <c r="U100" s="14" t="s">
        <v>24</v>
      </c>
      <c r="V100" s="14"/>
      <c r="W100" s="14"/>
      <c r="X100" s="14"/>
      <c r="Y100" s="14" t="s">
        <v>214</v>
      </c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 t="s">
        <v>912</v>
      </c>
      <c r="CD100" s="14" t="s">
        <v>913</v>
      </c>
      <c r="CE100" s="14" t="s">
        <v>914</v>
      </c>
      <c r="CF100" s="14"/>
      <c r="CG100" s="14"/>
      <c r="CH100" s="14"/>
      <c r="CI100" s="14"/>
      <c r="CJ100" s="14"/>
      <c r="CK100" s="14"/>
      <c r="CL100" s="14"/>
      <c r="CR100" s="1" t="s">
        <v>152</v>
      </c>
      <c r="CS100" s="1" t="s">
        <v>180</v>
      </c>
      <c r="CT100" s="14" t="s">
        <v>122</v>
      </c>
      <c r="CU100" s="1" t="s">
        <v>123</v>
      </c>
      <c r="CV100" s="1" t="s">
        <v>168</v>
      </c>
      <c r="CW100" s="3"/>
      <c r="DG100" s="4"/>
    </row>
    <row r="101" customFormat="false" ht="11.25" hidden="false" customHeight="true" outlineLevel="0" collapsed="false">
      <c r="A101" s="14" t="n">
        <v>100</v>
      </c>
      <c r="B101" s="15" t="n">
        <v>46109.5305772454</v>
      </c>
      <c r="C101" s="15" t="n">
        <v>46109.5374753935</v>
      </c>
      <c r="D101" s="14" t="s">
        <v>915</v>
      </c>
      <c r="E101" s="14" t="s">
        <v>916</v>
      </c>
      <c r="F101" s="14" t="s">
        <v>917</v>
      </c>
      <c r="G101" s="14" t="s">
        <v>918</v>
      </c>
      <c r="H101" s="15" t="n">
        <v>46102</v>
      </c>
      <c r="I101" s="15" t="s">
        <v>107</v>
      </c>
      <c r="J101" s="14" t="s">
        <v>295</v>
      </c>
      <c r="K101" s="14" t="s">
        <v>173</v>
      </c>
      <c r="L101" s="14" t="s">
        <v>184</v>
      </c>
      <c r="M101" s="14" t="s">
        <v>111</v>
      </c>
      <c r="N101" s="14" t="s">
        <v>198</v>
      </c>
      <c r="O101" s="14" t="s">
        <v>113</v>
      </c>
      <c r="P101" s="14" t="s">
        <v>174</v>
      </c>
      <c r="Q101" s="14" t="s">
        <v>523</v>
      </c>
      <c r="R101" s="14"/>
      <c r="S101" s="14"/>
      <c r="T101" s="14"/>
      <c r="U101" s="14" t="s">
        <v>22</v>
      </c>
      <c r="V101" s="14"/>
      <c r="W101" s="14" t="s">
        <v>271</v>
      </c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 t="s">
        <v>919</v>
      </c>
      <c r="BL101" s="14" t="s">
        <v>273</v>
      </c>
      <c r="BM101" s="14" t="s">
        <v>920</v>
      </c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R101" s="1" t="s">
        <v>152</v>
      </c>
      <c r="CS101" s="1" t="s">
        <v>121</v>
      </c>
      <c r="CT101" s="14"/>
      <c r="CU101" s="1" t="s">
        <v>192</v>
      </c>
      <c r="CV101" s="1" t="s">
        <v>124</v>
      </c>
      <c r="CW101" s="3"/>
      <c r="DG101" s="4"/>
    </row>
    <row r="102" customFormat="false" ht="11.25" hidden="false" customHeight="true" outlineLevel="0" collapsed="false">
      <c r="A102" s="14" t="n">
        <v>101</v>
      </c>
      <c r="B102" s="15" t="n">
        <v>46104.8961967361</v>
      </c>
      <c r="C102" s="15" t="n">
        <v>46104.9166944213</v>
      </c>
      <c r="D102" s="14" t="s">
        <v>921</v>
      </c>
      <c r="E102" s="14" t="s">
        <v>922</v>
      </c>
      <c r="F102" s="14" t="s">
        <v>922</v>
      </c>
      <c r="G102" s="14" t="s">
        <v>923</v>
      </c>
      <c r="H102" s="15" t="n">
        <v>46099</v>
      </c>
      <c r="I102" s="15" t="s">
        <v>713</v>
      </c>
      <c r="J102" s="14" t="s">
        <v>295</v>
      </c>
      <c r="K102" s="14" t="s">
        <v>173</v>
      </c>
      <c r="L102" s="14" t="s">
        <v>431</v>
      </c>
      <c r="M102" s="14" t="s">
        <v>111</v>
      </c>
      <c r="N102" s="14" t="s">
        <v>145</v>
      </c>
      <c r="O102" s="14" t="s">
        <v>325</v>
      </c>
      <c r="P102" s="14" t="s">
        <v>543</v>
      </c>
      <c r="Q102" s="14" t="s">
        <v>161</v>
      </c>
      <c r="R102" s="14"/>
      <c r="S102" s="14"/>
      <c r="T102" s="14"/>
      <c r="U102" s="14" t="s">
        <v>24</v>
      </c>
      <c r="V102" s="14"/>
      <c r="W102" s="14"/>
      <c r="X102" s="14"/>
      <c r="Y102" s="14" t="s">
        <v>260</v>
      </c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 t="s">
        <v>924</v>
      </c>
      <c r="CG102" s="14" t="s">
        <v>925</v>
      </c>
      <c r="CH102" s="14" t="s">
        <v>926</v>
      </c>
      <c r="CI102" s="14"/>
      <c r="CJ102" s="14"/>
      <c r="CK102" s="14"/>
      <c r="CL102" s="14"/>
      <c r="CR102" s="1" t="s">
        <v>120</v>
      </c>
      <c r="CS102" s="1" t="s">
        <v>121</v>
      </c>
      <c r="CT102" s="14" t="s">
        <v>927</v>
      </c>
      <c r="CU102" s="1" t="s">
        <v>192</v>
      </c>
      <c r="CV102" s="1" t="s">
        <v>124</v>
      </c>
      <c r="CW102" s="3" t="s">
        <v>928</v>
      </c>
      <c r="DG102" s="4"/>
    </row>
    <row r="103" customFormat="false" ht="11.25" hidden="false" customHeight="true" outlineLevel="0" collapsed="false">
      <c r="A103" s="14" t="n">
        <v>102</v>
      </c>
      <c r="B103" s="15" t="n">
        <v>46034.8850420602</v>
      </c>
      <c r="C103" s="15" t="n">
        <v>46034.8948800231</v>
      </c>
      <c r="D103" s="14" t="s">
        <v>929</v>
      </c>
      <c r="E103" s="14" t="s">
        <v>930</v>
      </c>
      <c r="F103" s="14" t="s">
        <v>930</v>
      </c>
      <c r="G103" s="14" t="s">
        <v>931</v>
      </c>
      <c r="H103" s="15" t="n">
        <v>46029</v>
      </c>
      <c r="I103" s="15" t="s">
        <v>172</v>
      </c>
      <c r="J103" s="14" t="s">
        <v>295</v>
      </c>
      <c r="K103" s="14" t="s">
        <v>932</v>
      </c>
      <c r="L103" s="14" t="s">
        <v>268</v>
      </c>
      <c r="M103" s="14" t="s">
        <v>111</v>
      </c>
      <c r="N103" s="14" t="s">
        <v>247</v>
      </c>
      <c r="O103" s="14" t="s">
        <v>336</v>
      </c>
      <c r="P103" s="14" t="s">
        <v>199</v>
      </c>
      <c r="Q103" s="14" t="s">
        <v>552</v>
      </c>
      <c r="R103" s="14"/>
      <c r="S103" s="14"/>
      <c r="T103" s="14"/>
      <c r="U103" s="14" t="s">
        <v>25</v>
      </c>
      <c r="V103" s="14"/>
      <c r="W103" s="14"/>
      <c r="X103" s="14"/>
      <c r="Y103" s="14"/>
      <c r="Z103" s="14" t="s">
        <v>327</v>
      </c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 t="s">
        <v>117</v>
      </c>
      <c r="CJ103" s="14" t="s">
        <v>933</v>
      </c>
      <c r="CK103" s="14" t="s">
        <v>901</v>
      </c>
      <c r="CL103" s="14"/>
      <c r="CR103" s="1" t="s">
        <v>152</v>
      </c>
      <c r="CS103" s="1" t="s">
        <v>352</v>
      </c>
      <c r="CT103" s="14" t="s">
        <v>122</v>
      </c>
      <c r="CU103" s="1" t="s">
        <v>123</v>
      </c>
      <c r="CV103" s="1" t="s">
        <v>168</v>
      </c>
      <c r="CW103" s="3"/>
      <c r="DG103" s="4"/>
    </row>
    <row r="104" customFormat="false" ht="11.25" hidden="false" customHeight="true" outlineLevel="0" collapsed="false">
      <c r="A104" s="14" t="n">
        <v>103</v>
      </c>
      <c r="B104" s="15" t="n">
        <v>46170.2454487963</v>
      </c>
      <c r="C104" s="15" t="n">
        <v>46170.2547890741</v>
      </c>
      <c r="D104" s="14" t="s">
        <v>934</v>
      </c>
      <c r="E104" s="14" t="s">
        <v>935</v>
      </c>
      <c r="F104" s="14" t="s">
        <v>936</v>
      </c>
      <c r="G104" s="14" t="s">
        <v>937</v>
      </c>
      <c r="H104" s="15" t="n">
        <v>46164</v>
      </c>
      <c r="I104" s="15" t="s">
        <v>107</v>
      </c>
      <c r="J104" s="14" t="s">
        <v>108</v>
      </c>
      <c r="K104" s="14" t="s">
        <v>938</v>
      </c>
      <c r="L104" s="14" t="s">
        <v>114</v>
      </c>
      <c r="M104" s="14" t="s">
        <v>111</v>
      </c>
      <c r="N104" s="14" t="s">
        <v>112</v>
      </c>
      <c r="O104" s="14" t="s">
        <v>113</v>
      </c>
      <c r="P104" s="14" t="s">
        <v>279</v>
      </c>
      <c r="Q104" s="14" t="s">
        <v>939</v>
      </c>
      <c r="R104" s="14"/>
      <c r="S104" s="14"/>
      <c r="T104" s="14"/>
      <c r="U104" s="14" t="s">
        <v>24</v>
      </c>
      <c r="V104" s="14"/>
      <c r="W104" s="14"/>
      <c r="X104" s="14"/>
      <c r="Y104" s="14" t="s">
        <v>214</v>
      </c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 t="s">
        <v>940</v>
      </c>
      <c r="CD104" s="14" t="s">
        <v>434</v>
      </c>
      <c r="CE104" s="14" t="s">
        <v>681</v>
      </c>
      <c r="CF104" s="14"/>
      <c r="CG104" s="14"/>
      <c r="CH104" s="14"/>
      <c r="CI104" s="14"/>
      <c r="CJ104" s="14"/>
      <c r="CK104" s="14"/>
      <c r="CL104" s="14"/>
      <c r="CR104" s="1" t="s">
        <v>152</v>
      </c>
      <c r="CS104" s="1" t="s">
        <v>352</v>
      </c>
      <c r="CT104" s="14"/>
      <c r="CU104" s="1" t="s">
        <v>123</v>
      </c>
      <c r="CV104" s="1" t="s">
        <v>124</v>
      </c>
      <c r="CW104" s="3"/>
      <c r="DG104" s="4"/>
    </row>
    <row r="105" customFormat="false" ht="11.25" hidden="false" customHeight="true" outlineLevel="0" collapsed="false">
      <c r="A105" s="14" t="n">
        <v>104</v>
      </c>
      <c r="B105" s="15" t="n">
        <v>46095.159253206</v>
      </c>
      <c r="C105" s="15" t="n">
        <v>46095.1624129282</v>
      </c>
      <c r="D105" s="14" t="s">
        <v>941</v>
      </c>
      <c r="E105" s="14" t="s">
        <v>942</v>
      </c>
      <c r="F105" s="14" t="s">
        <v>942</v>
      </c>
      <c r="G105" s="14" t="s">
        <v>943</v>
      </c>
      <c r="H105" s="15" t="n">
        <v>46093</v>
      </c>
      <c r="I105" s="10" t="s">
        <v>172</v>
      </c>
      <c r="J105" s="14" t="s">
        <v>128</v>
      </c>
      <c r="K105" s="14" t="s">
        <v>173</v>
      </c>
      <c r="L105" s="14" t="s">
        <v>159</v>
      </c>
      <c r="M105" s="14" t="s">
        <v>211</v>
      </c>
      <c r="N105" s="14" t="s">
        <v>112</v>
      </c>
      <c r="O105" s="14" t="s">
        <v>305</v>
      </c>
      <c r="P105" s="14" t="s">
        <v>944</v>
      </c>
      <c r="Q105" s="14" t="s">
        <v>945</v>
      </c>
      <c r="R105" s="14"/>
      <c r="S105" s="14"/>
      <c r="T105" s="14"/>
      <c r="U105" s="14" t="s">
        <v>21</v>
      </c>
      <c r="V105" s="14" t="s">
        <v>348</v>
      </c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 t="s">
        <v>946</v>
      </c>
      <c r="BC105" s="14" t="s">
        <v>350</v>
      </c>
      <c r="BD105" s="14" t="s">
        <v>947</v>
      </c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R105" s="1" t="s">
        <v>152</v>
      </c>
      <c r="CS105" s="1" t="s">
        <v>180</v>
      </c>
      <c r="CT105" s="14" t="s">
        <v>948</v>
      </c>
      <c r="CU105" s="1" t="s">
        <v>123</v>
      </c>
      <c r="CV105" s="1" t="s">
        <v>124</v>
      </c>
      <c r="CW105" s="3"/>
      <c r="DG105" s="4"/>
    </row>
    <row r="106" customFormat="false" ht="11.25" hidden="false" customHeight="true" outlineLevel="0" collapsed="false">
      <c r="A106" s="14" t="n">
        <v>105</v>
      </c>
      <c r="B106" s="15" t="n">
        <v>46201.6436254977</v>
      </c>
      <c r="C106" s="15" t="n">
        <v>46201.6563917014</v>
      </c>
      <c r="D106" s="14" t="s">
        <v>949</v>
      </c>
      <c r="E106" s="14" t="s">
        <v>950</v>
      </c>
      <c r="F106" s="14" t="s">
        <v>951</v>
      </c>
      <c r="G106" s="14" t="s">
        <v>952</v>
      </c>
      <c r="H106" s="15" t="n">
        <v>46195</v>
      </c>
      <c r="I106" s="10" t="s">
        <v>107</v>
      </c>
      <c r="J106" s="14" t="s">
        <v>108</v>
      </c>
      <c r="K106" s="14" t="s">
        <v>953</v>
      </c>
      <c r="L106" s="14" t="s">
        <v>114</v>
      </c>
      <c r="M106" s="14" t="s">
        <v>111</v>
      </c>
      <c r="N106" s="14" t="s">
        <v>112</v>
      </c>
      <c r="O106" s="14" t="s">
        <v>113</v>
      </c>
      <c r="P106" s="14" t="s">
        <v>234</v>
      </c>
      <c r="Q106" s="14" t="s">
        <v>213</v>
      </c>
      <c r="R106" s="14"/>
      <c r="S106" s="14"/>
      <c r="T106" s="14"/>
      <c r="U106" s="14" t="s">
        <v>21</v>
      </c>
      <c r="V106" s="14" t="s">
        <v>457</v>
      </c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 t="s">
        <v>954</v>
      </c>
      <c r="AN106" s="14" t="s">
        <v>525</v>
      </c>
      <c r="AO106" s="14" t="s">
        <v>955</v>
      </c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R106" s="1" t="s">
        <v>152</v>
      </c>
      <c r="CS106" s="1" t="s">
        <v>121</v>
      </c>
      <c r="CT106" s="14" t="s">
        <v>956</v>
      </c>
      <c r="CU106" s="1" t="s">
        <v>123</v>
      </c>
      <c r="CV106" s="1" t="s">
        <v>168</v>
      </c>
      <c r="CW106" s="3"/>
      <c r="DG106" s="4"/>
    </row>
    <row r="107" customFormat="false" ht="11.25" hidden="false" customHeight="true" outlineLevel="0" collapsed="false">
      <c r="A107" s="14" t="n">
        <v>106</v>
      </c>
      <c r="B107" s="15" t="n">
        <v>46042.9868401968</v>
      </c>
      <c r="C107" s="15" t="n">
        <v>46043.0010531597</v>
      </c>
      <c r="D107" s="14" t="s">
        <v>957</v>
      </c>
      <c r="E107" s="14" t="s">
        <v>958</v>
      </c>
      <c r="F107" s="14" t="s">
        <v>958</v>
      </c>
      <c r="G107" s="14" t="s">
        <v>959</v>
      </c>
      <c r="H107" s="15" t="n">
        <v>46024</v>
      </c>
      <c r="I107" s="15" t="s">
        <v>107</v>
      </c>
      <c r="J107" s="14" t="s">
        <v>108</v>
      </c>
      <c r="K107" s="14" t="s">
        <v>245</v>
      </c>
      <c r="L107" s="14" t="s">
        <v>389</v>
      </c>
      <c r="M107" s="14" t="s">
        <v>111</v>
      </c>
      <c r="N107" s="14" t="s">
        <v>112</v>
      </c>
      <c r="O107" s="14" t="s">
        <v>113</v>
      </c>
      <c r="P107" s="14" t="s">
        <v>199</v>
      </c>
      <c r="Q107" s="14" t="s">
        <v>653</v>
      </c>
      <c r="R107" s="14"/>
      <c r="S107" s="14"/>
      <c r="T107" s="14"/>
      <c r="U107" s="14" t="s">
        <v>21</v>
      </c>
      <c r="V107" s="14" t="s">
        <v>457</v>
      </c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 t="s">
        <v>607</v>
      </c>
      <c r="AN107" s="14" t="s">
        <v>960</v>
      </c>
      <c r="AO107" s="14" t="s">
        <v>681</v>
      </c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R107" s="1" t="s">
        <v>152</v>
      </c>
      <c r="CS107" s="1" t="s">
        <v>121</v>
      </c>
      <c r="CT107" s="14" t="s">
        <v>961</v>
      </c>
      <c r="CU107" s="1" t="s">
        <v>123</v>
      </c>
      <c r="CV107" s="1" t="s">
        <v>168</v>
      </c>
      <c r="CW107" s="3"/>
      <c r="DG107" s="4"/>
    </row>
    <row r="108" customFormat="false" ht="11.25" hidden="false" customHeight="true" outlineLevel="0" collapsed="false">
      <c r="A108" s="14" t="n">
        <v>107</v>
      </c>
      <c r="B108" s="15" t="n">
        <v>46116.8006096875</v>
      </c>
      <c r="C108" s="15" t="n">
        <v>46116.8192323727</v>
      </c>
      <c r="D108" s="14" t="s">
        <v>962</v>
      </c>
      <c r="E108" s="14" t="s">
        <v>963</v>
      </c>
      <c r="F108" s="14" t="s">
        <v>964</v>
      </c>
      <c r="G108" s="14" t="s">
        <v>965</v>
      </c>
      <c r="H108" s="15" t="n">
        <v>46104</v>
      </c>
      <c r="I108" s="10" t="s">
        <v>244</v>
      </c>
      <c r="J108" s="14" t="s">
        <v>108</v>
      </c>
      <c r="K108" s="14" t="s">
        <v>196</v>
      </c>
      <c r="L108" s="14" t="s">
        <v>246</v>
      </c>
      <c r="M108" s="14" t="s">
        <v>111</v>
      </c>
      <c r="N108" s="14" t="s">
        <v>112</v>
      </c>
      <c r="O108" s="14" t="s">
        <v>113</v>
      </c>
      <c r="P108" s="14" t="s">
        <v>279</v>
      </c>
      <c r="Q108" s="14" t="s">
        <v>810</v>
      </c>
      <c r="R108" s="14"/>
      <c r="S108" s="14"/>
      <c r="T108" s="14"/>
      <c r="U108" s="14" t="s">
        <v>22</v>
      </c>
      <c r="V108" s="14"/>
      <c r="W108" s="14" t="s">
        <v>298</v>
      </c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 t="s">
        <v>966</v>
      </c>
      <c r="AW108" s="14" t="s">
        <v>967</v>
      </c>
      <c r="AX108" s="14" t="s">
        <v>968</v>
      </c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R108" s="1" t="s">
        <v>152</v>
      </c>
      <c r="CS108" s="1" t="s">
        <v>121</v>
      </c>
      <c r="CT108" s="16" t="s">
        <v>969</v>
      </c>
      <c r="CU108" s="1" t="s">
        <v>123</v>
      </c>
      <c r="CV108" s="1" t="s">
        <v>124</v>
      </c>
      <c r="CW108" s="3"/>
      <c r="DG108" s="4"/>
    </row>
    <row r="109" customFormat="false" ht="11.25" hidden="false" customHeight="true" outlineLevel="0" collapsed="false">
      <c r="A109" s="14" t="n">
        <v>108</v>
      </c>
      <c r="B109" s="15" t="n">
        <v>46119.6492926389</v>
      </c>
      <c r="C109" s="15" t="n">
        <v>46119.6600565278</v>
      </c>
      <c r="D109" s="14" t="s">
        <v>970</v>
      </c>
      <c r="E109" s="14" t="s">
        <v>971</v>
      </c>
      <c r="F109" s="14" t="s">
        <v>971</v>
      </c>
      <c r="G109" s="14" t="s">
        <v>972</v>
      </c>
      <c r="H109" s="15" t="n">
        <v>46118</v>
      </c>
      <c r="I109" s="10" t="s">
        <v>278</v>
      </c>
      <c r="J109" s="14" t="s">
        <v>128</v>
      </c>
      <c r="K109" s="14" t="s">
        <v>173</v>
      </c>
      <c r="L109" s="14" t="s">
        <v>144</v>
      </c>
      <c r="M109" s="14" t="s">
        <v>131</v>
      </c>
      <c r="N109" s="14" t="s">
        <v>112</v>
      </c>
      <c r="O109" s="14" t="s">
        <v>113</v>
      </c>
      <c r="P109" s="14" t="s">
        <v>973</v>
      </c>
      <c r="Q109" s="14" t="s">
        <v>306</v>
      </c>
      <c r="R109" s="14"/>
      <c r="S109" s="14"/>
      <c r="T109" s="14"/>
      <c r="U109" s="14" t="s">
        <v>22</v>
      </c>
      <c r="V109" s="14"/>
      <c r="W109" s="14" t="s">
        <v>176</v>
      </c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 t="s">
        <v>974</v>
      </c>
      <c r="AZ109" s="14" t="s">
        <v>975</v>
      </c>
      <c r="BA109" s="14" t="s">
        <v>976</v>
      </c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R109" s="1" t="s">
        <v>152</v>
      </c>
      <c r="CS109" s="1" t="s">
        <v>121</v>
      </c>
      <c r="CT109" s="14" t="s">
        <v>725</v>
      </c>
      <c r="CU109" s="1" t="s">
        <v>192</v>
      </c>
      <c r="CV109" s="1" t="s">
        <v>168</v>
      </c>
      <c r="CW109" s="3"/>
      <c r="DG109" s="4"/>
    </row>
    <row r="110" customFormat="false" ht="11.25" hidden="false" customHeight="true" outlineLevel="0" collapsed="false">
      <c r="A110" s="14" t="n">
        <v>109</v>
      </c>
      <c r="B110" s="15" t="n">
        <v>46152.4731887847</v>
      </c>
      <c r="C110" s="15" t="n">
        <v>46152.4783392477</v>
      </c>
      <c r="D110" s="14" t="s">
        <v>977</v>
      </c>
      <c r="E110" s="14" t="s">
        <v>978</v>
      </c>
      <c r="F110" s="14" t="s">
        <v>978</v>
      </c>
      <c r="G110" s="14" t="s">
        <v>979</v>
      </c>
      <c r="H110" s="15" t="n">
        <v>46136</v>
      </c>
      <c r="I110" s="15" t="s">
        <v>172</v>
      </c>
      <c r="J110" s="14" t="s">
        <v>295</v>
      </c>
      <c r="K110" s="14" t="s">
        <v>173</v>
      </c>
      <c r="L110" s="14" t="s">
        <v>268</v>
      </c>
      <c r="M110" s="14" t="s">
        <v>111</v>
      </c>
      <c r="N110" s="14" t="s">
        <v>145</v>
      </c>
      <c r="O110" s="14" t="s">
        <v>132</v>
      </c>
      <c r="P110" s="14" t="s">
        <v>286</v>
      </c>
      <c r="Q110" s="14" t="s">
        <v>980</v>
      </c>
      <c r="R110" s="14"/>
      <c r="S110" s="14"/>
      <c r="T110" s="14"/>
      <c r="U110" s="14" t="s">
        <v>22</v>
      </c>
      <c r="V110" s="14"/>
      <c r="W110" s="14" t="s">
        <v>271</v>
      </c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 t="s">
        <v>981</v>
      </c>
      <c r="BL110" s="14" t="s">
        <v>982</v>
      </c>
      <c r="BM110" s="14" t="s">
        <v>252</v>
      </c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R110" s="1" t="s">
        <v>152</v>
      </c>
      <c r="CS110" s="1" t="s">
        <v>121</v>
      </c>
      <c r="CT110" s="14"/>
      <c r="CU110" s="1" t="s">
        <v>167</v>
      </c>
      <c r="CV110" s="1" t="s">
        <v>124</v>
      </c>
      <c r="CW110" s="3"/>
      <c r="DG110" s="4"/>
    </row>
    <row r="111" customFormat="false" ht="11.25" hidden="false" customHeight="true" outlineLevel="0" collapsed="false">
      <c r="A111" s="14" t="n">
        <v>110</v>
      </c>
      <c r="B111" s="15" t="n">
        <v>46070.1962006366</v>
      </c>
      <c r="C111" s="15" t="n">
        <v>46070.215332581</v>
      </c>
      <c r="D111" s="14" t="s">
        <v>983</v>
      </c>
      <c r="E111" s="14" t="s">
        <v>984</v>
      </c>
      <c r="F111" s="14" t="s">
        <v>984</v>
      </c>
      <c r="G111" s="14" t="s">
        <v>985</v>
      </c>
      <c r="H111" s="15" t="n">
        <v>46061</v>
      </c>
      <c r="I111" s="15" t="s">
        <v>107</v>
      </c>
      <c r="J111" s="14" t="s">
        <v>108</v>
      </c>
      <c r="K111" s="14" t="s">
        <v>143</v>
      </c>
      <c r="L111" s="14" t="s">
        <v>184</v>
      </c>
      <c r="M111" s="14" t="s">
        <v>111</v>
      </c>
      <c r="N111" s="14" t="s">
        <v>112</v>
      </c>
      <c r="O111" s="14" t="s">
        <v>113</v>
      </c>
      <c r="P111" s="14" t="s">
        <v>279</v>
      </c>
      <c r="Q111" s="14" t="s">
        <v>899</v>
      </c>
      <c r="R111" s="14"/>
      <c r="S111" s="14"/>
      <c r="T111" s="14"/>
      <c r="U111" s="14" t="s">
        <v>21</v>
      </c>
      <c r="V111" s="14" t="s">
        <v>307</v>
      </c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 t="s">
        <v>986</v>
      </c>
      <c r="AT111" s="14" t="s">
        <v>546</v>
      </c>
      <c r="AU111" s="14" t="s">
        <v>472</v>
      </c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R111" s="1" t="s">
        <v>152</v>
      </c>
      <c r="CS111" s="1" t="s">
        <v>352</v>
      </c>
      <c r="CT111" s="14" t="s">
        <v>122</v>
      </c>
      <c r="CU111" s="1" t="s">
        <v>192</v>
      </c>
      <c r="CV111" s="1" t="s">
        <v>124</v>
      </c>
      <c r="CW111" s="3"/>
      <c r="DG111" s="4"/>
    </row>
    <row r="112" customFormat="false" ht="11.25" hidden="false" customHeight="true" outlineLevel="0" collapsed="false">
      <c r="A112" s="14" t="n">
        <v>111</v>
      </c>
      <c r="B112" s="15" t="n">
        <v>46056.8467412269</v>
      </c>
      <c r="C112" s="15" t="n">
        <v>46056.8591833565</v>
      </c>
      <c r="D112" s="14" t="s">
        <v>987</v>
      </c>
      <c r="E112" s="14" t="s">
        <v>988</v>
      </c>
      <c r="F112" s="14" t="s">
        <v>988</v>
      </c>
      <c r="G112" s="14" t="s">
        <v>989</v>
      </c>
      <c r="H112" s="15" t="n">
        <v>46037</v>
      </c>
      <c r="I112" s="15" t="s">
        <v>172</v>
      </c>
      <c r="J112" s="14" t="s">
        <v>108</v>
      </c>
      <c r="K112" s="14" t="s">
        <v>257</v>
      </c>
      <c r="L112" s="14" t="s">
        <v>130</v>
      </c>
      <c r="M112" s="14" t="s">
        <v>111</v>
      </c>
      <c r="N112" s="14" t="s">
        <v>112</v>
      </c>
      <c r="O112" s="14" t="s">
        <v>113</v>
      </c>
      <c r="P112" s="14" t="s">
        <v>258</v>
      </c>
      <c r="Q112" s="14" t="s">
        <v>990</v>
      </c>
      <c r="R112" s="14"/>
      <c r="S112" s="14"/>
      <c r="T112" s="14"/>
      <c r="U112" s="14" t="s">
        <v>22</v>
      </c>
      <c r="V112" s="14"/>
      <c r="W112" s="14" t="s">
        <v>715</v>
      </c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 t="s">
        <v>991</v>
      </c>
      <c r="BI112" s="14" t="s">
        <v>992</v>
      </c>
      <c r="BJ112" s="14" t="s">
        <v>993</v>
      </c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R112" s="1" t="s">
        <v>120</v>
      </c>
      <c r="CS112" s="1" t="s">
        <v>352</v>
      </c>
      <c r="CT112" s="14" t="s">
        <v>994</v>
      </c>
      <c r="CU112" s="1" t="s">
        <v>123</v>
      </c>
      <c r="CV112" s="1" t="s">
        <v>124</v>
      </c>
      <c r="CW112" s="3"/>
      <c r="DG112" s="4"/>
    </row>
    <row r="113" customFormat="false" ht="11.25" hidden="false" customHeight="true" outlineLevel="0" collapsed="false">
      <c r="A113" s="14" t="n">
        <v>112</v>
      </c>
      <c r="B113" s="15" t="n">
        <v>46161.4752354398</v>
      </c>
      <c r="C113" s="15" t="n">
        <v>46161.4865433102</v>
      </c>
      <c r="D113" s="14" t="s">
        <v>995</v>
      </c>
      <c r="E113" s="14" t="s">
        <v>996</v>
      </c>
      <c r="F113" s="14" t="s">
        <v>996</v>
      </c>
      <c r="G113" s="14" t="s">
        <v>997</v>
      </c>
      <c r="H113" s="15" t="n">
        <v>46160</v>
      </c>
      <c r="I113" s="15" t="s">
        <v>244</v>
      </c>
      <c r="J113" s="14" t="s">
        <v>128</v>
      </c>
      <c r="K113" s="14" t="s">
        <v>257</v>
      </c>
      <c r="L113" s="14" t="s">
        <v>184</v>
      </c>
      <c r="M113" s="14" t="s">
        <v>111</v>
      </c>
      <c r="N113" s="14" t="s">
        <v>112</v>
      </c>
      <c r="O113" s="14" t="s">
        <v>113</v>
      </c>
      <c r="P113" s="14" t="s">
        <v>234</v>
      </c>
      <c r="Q113" s="14" t="s">
        <v>998</v>
      </c>
      <c r="R113" s="14"/>
      <c r="S113" s="14"/>
      <c r="T113" s="14"/>
      <c r="U113" s="14" t="s">
        <v>22</v>
      </c>
      <c r="V113" s="14"/>
      <c r="W113" s="14" t="s">
        <v>298</v>
      </c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 t="s">
        <v>999</v>
      </c>
      <c r="AW113" s="14" t="s">
        <v>1000</v>
      </c>
      <c r="AX113" s="14" t="s">
        <v>1001</v>
      </c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R113" s="1" t="s">
        <v>152</v>
      </c>
      <c r="CS113" s="1" t="s">
        <v>496</v>
      </c>
      <c r="CT113" s="14" t="s">
        <v>1002</v>
      </c>
      <c r="CU113" s="1" t="s">
        <v>167</v>
      </c>
      <c r="CV113" s="1" t="s">
        <v>168</v>
      </c>
      <c r="CW113" s="3"/>
      <c r="DG113" s="4"/>
    </row>
    <row r="114" customFormat="false" ht="11.25" hidden="false" customHeight="true" outlineLevel="0" collapsed="false">
      <c r="A114" s="14" t="n">
        <v>113</v>
      </c>
      <c r="B114" s="15" t="n">
        <v>46175.7714639583</v>
      </c>
      <c r="C114" s="15" t="n">
        <v>46175.7801213657</v>
      </c>
      <c r="D114" s="14" t="s">
        <v>1003</v>
      </c>
      <c r="E114" s="14" t="s">
        <v>1004</v>
      </c>
      <c r="F114" s="14" t="s">
        <v>1004</v>
      </c>
      <c r="G114" s="14" t="s">
        <v>1005</v>
      </c>
      <c r="H114" s="15" t="n">
        <v>46165</v>
      </c>
      <c r="I114" s="10" t="s">
        <v>172</v>
      </c>
      <c r="J114" s="14" t="s">
        <v>108</v>
      </c>
      <c r="K114" s="14" t="s">
        <v>462</v>
      </c>
      <c r="L114" s="14" t="s">
        <v>389</v>
      </c>
      <c r="M114" s="14" t="s">
        <v>111</v>
      </c>
      <c r="N114" s="14" t="s">
        <v>112</v>
      </c>
      <c r="O114" s="14" t="s">
        <v>113</v>
      </c>
      <c r="P114" s="14" t="s">
        <v>515</v>
      </c>
      <c r="Q114" s="14" t="s">
        <v>1006</v>
      </c>
      <c r="R114" s="14"/>
      <c r="S114" s="14"/>
      <c r="T114" s="14"/>
      <c r="U114" s="14" t="s">
        <v>22</v>
      </c>
      <c r="V114" s="14"/>
      <c r="W114" s="14" t="s">
        <v>176</v>
      </c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 t="s">
        <v>1007</v>
      </c>
      <c r="AZ114" s="14" t="s">
        <v>1008</v>
      </c>
      <c r="BA114" s="14" t="s">
        <v>1009</v>
      </c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R114" s="1" t="s">
        <v>152</v>
      </c>
      <c r="CS114" s="1" t="s">
        <v>121</v>
      </c>
      <c r="CT114" s="14" t="s">
        <v>122</v>
      </c>
      <c r="CU114" s="1" t="s">
        <v>167</v>
      </c>
      <c r="CV114" s="1" t="s">
        <v>124</v>
      </c>
      <c r="CW114" s="3"/>
      <c r="DG114" s="4"/>
    </row>
    <row r="115" customFormat="false" ht="11.25" hidden="false" customHeight="true" outlineLevel="0" collapsed="false">
      <c r="A115" s="14" t="n">
        <v>114</v>
      </c>
      <c r="B115" s="15" t="n">
        <v>46139.4304262616</v>
      </c>
      <c r="C115" s="15" t="n">
        <v>46139.4433660764</v>
      </c>
      <c r="D115" s="14" t="s">
        <v>1010</v>
      </c>
      <c r="E115" s="14" t="s">
        <v>1011</v>
      </c>
      <c r="F115" s="14" t="s">
        <v>1011</v>
      </c>
      <c r="G115" s="14" t="s">
        <v>1012</v>
      </c>
      <c r="H115" s="15" t="n">
        <v>46134</v>
      </c>
      <c r="I115" s="10" t="s">
        <v>172</v>
      </c>
      <c r="J115" s="14" t="s">
        <v>108</v>
      </c>
      <c r="K115" s="14" t="s">
        <v>143</v>
      </c>
      <c r="L115" s="14" t="s">
        <v>268</v>
      </c>
      <c r="M115" s="14" t="s">
        <v>111</v>
      </c>
      <c r="N115" s="14" t="s">
        <v>112</v>
      </c>
      <c r="O115" s="14" t="s">
        <v>325</v>
      </c>
      <c r="P115" s="14" t="s">
        <v>326</v>
      </c>
      <c r="Q115" s="14" t="s">
        <v>827</v>
      </c>
      <c r="R115" s="14"/>
      <c r="S115" s="14"/>
      <c r="T115" s="14"/>
      <c r="U115" s="14" t="s">
        <v>21</v>
      </c>
      <c r="V115" s="14" t="s">
        <v>374</v>
      </c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 t="s">
        <v>654</v>
      </c>
      <c r="AK115" s="14" t="s">
        <v>1013</v>
      </c>
      <c r="AL115" s="14" t="s">
        <v>1014</v>
      </c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R115" s="1" t="s">
        <v>120</v>
      </c>
      <c r="CS115" s="1" t="s">
        <v>165</v>
      </c>
      <c r="CT115" s="14" t="s">
        <v>1015</v>
      </c>
      <c r="CU115" s="1" t="s">
        <v>123</v>
      </c>
      <c r="CV115" s="1" t="s">
        <v>124</v>
      </c>
      <c r="CW115" s="3"/>
      <c r="DG115" s="4"/>
    </row>
    <row r="116" customFormat="false" ht="11.25" hidden="false" customHeight="true" outlineLevel="0" collapsed="false">
      <c r="A116" s="14" t="n">
        <v>115</v>
      </c>
      <c r="B116" s="15" t="n">
        <v>46205.6461025347</v>
      </c>
      <c r="C116" s="15" t="n">
        <v>46205.6556511458</v>
      </c>
      <c r="D116" s="14" t="s">
        <v>1016</v>
      </c>
      <c r="E116" s="14" t="s">
        <v>1017</v>
      </c>
      <c r="F116" s="14" t="s">
        <v>1018</v>
      </c>
      <c r="G116" s="14" t="s">
        <v>1019</v>
      </c>
      <c r="H116" s="15" t="n">
        <v>46193</v>
      </c>
      <c r="I116" s="10" t="s">
        <v>172</v>
      </c>
      <c r="J116" s="14" t="s">
        <v>108</v>
      </c>
      <c r="K116" s="14" t="s">
        <v>1020</v>
      </c>
      <c r="L116" s="14" t="s">
        <v>197</v>
      </c>
      <c r="M116" s="14" t="s">
        <v>111</v>
      </c>
      <c r="N116" s="14" t="s">
        <v>112</v>
      </c>
      <c r="O116" s="14" t="s">
        <v>325</v>
      </c>
      <c r="P116" s="14" t="s">
        <v>269</v>
      </c>
      <c r="Q116" s="14" t="s">
        <v>161</v>
      </c>
      <c r="R116" s="14"/>
      <c r="S116" s="14"/>
      <c r="T116" s="14"/>
      <c r="U116" s="14" t="s">
        <v>22</v>
      </c>
      <c r="V116" s="14"/>
      <c r="W116" s="14" t="s">
        <v>298</v>
      </c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 t="s">
        <v>1021</v>
      </c>
      <c r="AW116" s="14" t="s">
        <v>1022</v>
      </c>
      <c r="AX116" s="14" t="s">
        <v>1023</v>
      </c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R116" s="1" t="s">
        <v>152</v>
      </c>
      <c r="CS116" s="1" t="s">
        <v>1024</v>
      </c>
      <c r="CT116" s="14"/>
      <c r="CU116" s="1" t="s">
        <v>192</v>
      </c>
      <c r="CV116" s="1" t="s">
        <v>124</v>
      </c>
      <c r="CW116" s="3"/>
      <c r="DG116" s="4"/>
    </row>
    <row r="117" customFormat="false" ht="11.25" hidden="false" customHeight="true" outlineLevel="0" collapsed="false">
      <c r="A117" s="14" t="n">
        <v>116</v>
      </c>
      <c r="B117" s="15" t="n">
        <v>46131.0455510648</v>
      </c>
      <c r="C117" s="15" t="n">
        <v>46131.0621135648</v>
      </c>
      <c r="D117" s="14" t="s">
        <v>1025</v>
      </c>
      <c r="E117" s="14" t="s">
        <v>1026</v>
      </c>
      <c r="F117" s="14" t="s">
        <v>1026</v>
      </c>
      <c r="G117" s="14" t="s">
        <v>1027</v>
      </c>
      <c r="H117" s="15" t="n">
        <v>46112</v>
      </c>
      <c r="I117" s="15" t="s">
        <v>107</v>
      </c>
      <c r="J117" s="14" t="s">
        <v>128</v>
      </c>
      <c r="K117" s="14" t="s">
        <v>173</v>
      </c>
      <c r="L117" s="14" t="s">
        <v>197</v>
      </c>
      <c r="M117" s="14" t="s">
        <v>111</v>
      </c>
      <c r="N117" s="14" t="s">
        <v>112</v>
      </c>
      <c r="O117" s="14" t="s">
        <v>113</v>
      </c>
      <c r="P117" s="14" t="s">
        <v>757</v>
      </c>
      <c r="Q117" s="14" t="s">
        <v>1028</v>
      </c>
      <c r="R117" s="14"/>
      <c r="S117" s="14"/>
      <c r="T117" s="14"/>
      <c r="U117" s="14" t="s">
        <v>22</v>
      </c>
      <c r="V117" s="14"/>
      <c r="W117" s="14" t="s">
        <v>298</v>
      </c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 t="s">
        <v>1029</v>
      </c>
      <c r="AW117" s="14" t="s">
        <v>1030</v>
      </c>
      <c r="AX117" s="14" t="s">
        <v>1031</v>
      </c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R117" s="1" t="s">
        <v>152</v>
      </c>
      <c r="CS117" s="1" t="s">
        <v>180</v>
      </c>
      <c r="CT117" s="14" t="s">
        <v>1032</v>
      </c>
      <c r="CU117" s="1" t="s">
        <v>167</v>
      </c>
      <c r="CV117" s="1" t="s">
        <v>124</v>
      </c>
      <c r="CW117" s="3"/>
      <c r="DG117" s="4"/>
    </row>
    <row r="118" customFormat="false" ht="11.25" hidden="false" customHeight="true" outlineLevel="0" collapsed="false">
      <c r="A118" s="14" t="n">
        <v>117</v>
      </c>
      <c r="B118" s="15" t="n">
        <v>46151.9984836227</v>
      </c>
      <c r="C118" s="15" t="n">
        <v>46152.0023840856</v>
      </c>
      <c r="D118" s="14" t="s">
        <v>1033</v>
      </c>
      <c r="E118" s="14" t="s">
        <v>1034</v>
      </c>
      <c r="F118" s="14" t="s">
        <v>1034</v>
      </c>
      <c r="G118" s="14" t="s">
        <v>1035</v>
      </c>
      <c r="H118" s="15" t="n">
        <v>46145</v>
      </c>
      <c r="I118" s="10" t="s">
        <v>278</v>
      </c>
      <c r="J118" s="14" t="s">
        <v>295</v>
      </c>
      <c r="K118" s="14" t="s">
        <v>257</v>
      </c>
      <c r="L118" s="14" t="s">
        <v>159</v>
      </c>
      <c r="M118" s="14" t="s">
        <v>111</v>
      </c>
      <c r="N118" s="14" t="s">
        <v>112</v>
      </c>
      <c r="O118" s="14" t="s">
        <v>113</v>
      </c>
      <c r="P118" s="14" t="s">
        <v>507</v>
      </c>
      <c r="Q118" s="14" t="s">
        <v>1036</v>
      </c>
      <c r="R118" s="14"/>
      <c r="S118" s="14"/>
      <c r="T118" s="14"/>
      <c r="U118" s="14" t="s">
        <v>24</v>
      </c>
      <c r="V118" s="14"/>
      <c r="W118" s="14"/>
      <c r="X118" s="14"/>
      <c r="Y118" s="14" t="s">
        <v>448</v>
      </c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 t="s">
        <v>1037</v>
      </c>
      <c r="BX118" s="14" t="s">
        <v>1038</v>
      </c>
      <c r="BY118" s="14" t="s">
        <v>495</v>
      </c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R118" s="1" t="s">
        <v>120</v>
      </c>
      <c r="CS118" s="1" t="s">
        <v>121</v>
      </c>
      <c r="CT118" s="14" t="s">
        <v>122</v>
      </c>
      <c r="CU118" s="1" t="s">
        <v>192</v>
      </c>
      <c r="CV118" s="1" t="s">
        <v>124</v>
      </c>
      <c r="CW118" s="3"/>
      <c r="CY118" s="3" t="s">
        <v>205</v>
      </c>
      <c r="DG118" s="4"/>
    </row>
    <row r="119" customFormat="false" ht="11.25" hidden="false" customHeight="true" outlineLevel="0" collapsed="false">
      <c r="A119" s="14" t="n">
        <v>118</v>
      </c>
      <c r="B119" s="15" t="n">
        <v>46053.0718435532</v>
      </c>
      <c r="C119" s="15" t="n">
        <v>46053.080246331</v>
      </c>
      <c r="D119" s="14" t="s">
        <v>1039</v>
      </c>
      <c r="E119" s="14" t="s">
        <v>1040</v>
      </c>
      <c r="F119" s="14" t="s">
        <v>1040</v>
      </c>
      <c r="G119" s="14" t="s">
        <v>1041</v>
      </c>
      <c r="H119" s="15" t="n">
        <v>46050</v>
      </c>
      <c r="I119" s="15" t="s">
        <v>278</v>
      </c>
      <c r="J119" s="14" t="s">
        <v>128</v>
      </c>
      <c r="K119" s="14" t="s">
        <v>257</v>
      </c>
      <c r="L119" s="14" t="s">
        <v>144</v>
      </c>
      <c r="M119" s="14" t="s">
        <v>111</v>
      </c>
      <c r="N119" s="14" t="s">
        <v>112</v>
      </c>
      <c r="O119" s="14" t="s">
        <v>132</v>
      </c>
      <c r="P119" s="14" t="s">
        <v>870</v>
      </c>
      <c r="Q119" s="14" t="s">
        <v>1042</v>
      </c>
      <c r="R119" s="14"/>
      <c r="S119" s="14"/>
      <c r="T119" s="14"/>
      <c r="U119" s="14" t="s">
        <v>21</v>
      </c>
      <c r="V119" s="14" t="s">
        <v>348</v>
      </c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 t="s">
        <v>1043</v>
      </c>
      <c r="BC119" s="14" t="s">
        <v>350</v>
      </c>
      <c r="BD119" s="14" t="s">
        <v>1044</v>
      </c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R119" s="1" t="s">
        <v>152</v>
      </c>
      <c r="CS119" s="1" t="s">
        <v>121</v>
      </c>
      <c r="CT119" s="14"/>
      <c r="CU119" s="1" t="s">
        <v>192</v>
      </c>
      <c r="CV119" s="1" t="s">
        <v>168</v>
      </c>
      <c r="CW119" s="3"/>
      <c r="DG119" s="4"/>
    </row>
    <row r="120" customFormat="false" ht="11.25" hidden="false" customHeight="true" outlineLevel="0" collapsed="false">
      <c r="A120" s="14" t="n">
        <v>119</v>
      </c>
      <c r="B120" s="15" t="n">
        <v>46113.2940025926</v>
      </c>
      <c r="C120" s="15" t="n">
        <v>46113.3142803704</v>
      </c>
      <c r="D120" s="14" t="s">
        <v>1045</v>
      </c>
      <c r="E120" s="14" t="s">
        <v>1046</v>
      </c>
      <c r="F120" s="14" t="s">
        <v>1047</v>
      </c>
      <c r="G120" s="14" t="s">
        <v>1048</v>
      </c>
      <c r="H120" s="15" t="n">
        <v>46112</v>
      </c>
      <c r="I120" s="15" t="s">
        <v>781</v>
      </c>
      <c r="J120" s="14" t="s">
        <v>295</v>
      </c>
      <c r="K120" s="14" t="s">
        <v>1049</v>
      </c>
      <c r="L120" s="14" t="s">
        <v>389</v>
      </c>
      <c r="M120" s="14" t="s">
        <v>131</v>
      </c>
      <c r="N120" s="14" t="s">
        <v>112</v>
      </c>
      <c r="O120" s="14" t="s">
        <v>113</v>
      </c>
      <c r="P120" s="14" t="s">
        <v>212</v>
      </c>
      <c r="Q120" s="14" t="s">
        <v>1050</v>
      </c>
      <c r="R120" s="14"/>
      <c r="S120" s="14"/>
      <c r="T120" s="14"/>
      <c r="U120" s="14" t="s">
        <v>22</v>
      </c>
      <c r="V120" s="14"/>
      <c r="W120" s="14" t="s">
        <v>135</v>
      </c>
      <c r="X120" s="14"/>
      <c r="Y120" s="14"/>
      <c r="Z120" s="14"/>
      <c r="AA120" s="14" t="s">
        <v>1051</v>
      </c>
      <c r="AB120" s="14" t="s">
        <v>1052</v>
      </c>
      <c r="AC120" s="14" t="s">
        <v>1053</v>
      </c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R120" s="1" t="s">
        <v>152</v>
      </c>
      <c r="CS120" s="1" t="s">
        <v>121</v>
      </c>
      <c r="CT120" s="14" t="s">
        <v>452</v>
      </c>
      <c r="CU120" s="1" t="s">
        <v>192</v>
      </c>
      <c r="CV120" s="1" t="s">
        <v>124</v>
      </c>
      <c r="CW120" s="3"/>
      <c r="DG120" s="4"/>
    </row>
    <row r="121" customFormat="false" ht="11.25" hidden="false" customHeight="true" outlineLevel="0" collapsed="false">
      <c r="A121" s="14" t="n">
        <v>120</v>
      </c>
      <c r="B121" s="15" t="n">
        <v>46084.7188729282</v>
      </c>
      <c r="C121" s="15" t="n">
        <v>46084.7282710764</v>
      </c>
      <c r="D121" s="14" t="s">
        <v>1054</v>
      </c>
      <c r="E121" s="14" t="s">
        <v>1055</v>
      </c>
      <c r="F121" s="14" t="s">
        <v>1055</v>
      </c>
      <c r="G121" s="14" t="s">
        <v>1056</v>
      </c>
      <c r="H121" s="15" t="n">
        <v>46065</v>
      </c>
      <c r="I121" s="15" t="s">
        <v>107</v>
      </c>
      <c r="J121" s="14" t="s">
        <v>295</v>
      </c>
      <c r="K121" s="14" t="s">
        <v>1057</v>
      </c>
      <c r="L121" s="14" t="s">
        <v>491</v>
      </c>
      <c r="M121" s="14" t="s">
        <v>111</v>
      </c>
      <c r="N121" s="14" t="s">
        <v>112</v>
      </c>
      <c r="O121" s="14" t="s">
        <v>113</v>
      </c>
      <c r="P121" s="14" t="s">
        <v>484</v>
      </c>
      <c r="Q121" s="14" t="s">
        <v>347</v>
      </c>
      <c r="R121" s="14"/>
      <c r="S121" s="14"/>
      <c r="T121" s="14" t="s">
        <v>880</v>
      </c>
      <c r="U121" s="14" t="s">
        <v>24</v>
      </c>
      <c r="V121" s="14"/>
      <c r="W121" s="14"/>
      <c r="X121" s="14"/>
      <c r="Y121" s="14" t="s">
        <v>19</v>
      </c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R121" s="1" t="s">
        <v>152</v>
      </c>
      <c r="CS121" s="1" t="s">
        <v>228</v>
      </c>
      <c r="CT121" s="14"/>
      <c r="CU121" s="1" t="s">
        <v>192</v>
      </c>
      <c r="CV121" s="1" t="s">
        <v>124</v>
      </c>
      <c r="CW121" s="3"/>
      <c r="DG121" s="4"/>
    </row>
    <row r="122" customFormat="false" ht="11.25" hidden="false" customHeight="true" outlineLevel="0" collapsed="false">
      <c r="A122" s="14" t="n">
        <v>121</v>
      </c>
      <c r="B122" s="15" t="n">
        <v>46039.0472124769</v>
      </c>
      <c r="C122" s="15" t="n">
        <v>46039.0551870139</v>
      </c>
      <c r="D122" s="14" t="s">
        <v>1058</v>
      </c>
      <c r="E122" s="14" t="s">
        <v>1059</v>
      </c>
      <c r="F122" s="14" t="s">
        <v>1059</v>
      </c>
      <c r="G122" s="14" t="s">
        <v>1060</v>
      </c>
      <c r="H122" s="15" t="n">
        <v>46022</v>
      </c>
      <c r="I122" s="15" t="s">
        <v>244</v>
      </c>
      <c r="J122" s="14" t="s">
        <v>108</v>
      </c>
      <c r="K122" s="14" t="s">
        <v>1061</v>
      </c>
      <c r="L122" s="14" t="s">
        <v>296</v>
      </c>
      <c r="M122" s="14" t="s">
        <v>111</v>
      </c>
      <c r="N122" s="14" t="s">
        <v>112</v>
      </c>
      <c r="O122" s="14" t="s">
        <v>113</v>
      </c>
      <c r="P122" s="14" t="s">
        <v>973</v>
      </c>
      <c r="Q122" s="14" t="s">
        <v>595</v>
      </c>
      <c r="R122" s="14"/>
      <c r="S122" s="14"/>
      <c r="T122" s="14"/>
      <c r="U122" s="14" t="s">
        <v>22</v>
      </c>
      <c r="V122" s="14"/>
      <c r="W122" s="14" t="s">
        <v>381</v>
      </c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 t="s">
        <v>1062</v>
      </c>
      <c r="BR122" s="14" t="s">
        <v>843</v>
      </c>
      <c r="BS122" s="14" t="s">
        <v>844</v>
      </c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R122" s="1" t="s">
        <v>120</v>
      </c>
      <c r="CS122" s="1" t="s">
        <v>180</v>
      </c>
      <c r="CT122" s="14" t="s">
        <v>1063</v>
      </c>
      <c r="CU122" s="1" t="s">
        <v>167</v>
      </c>
      <c r="CV122" s="1" t="s">
        <v>124</v>
      </c>
      <c r="CW122" s="3"/>
      <c r="DG122" s="4"/>
    </row>
    <row r="123" customFormat="false" ht="11.25" hidden="false" customHeight="true" outlineLevel="0" collapsed="false">
      <c r="A123" s="14" t="n">
        <v>122</v>
      </c>
      <c r="B123" s="15" t="n">
        <v>46179.4292506597</v>
      </c>
      <c r="C123" s="15" t="n">
        <v>46179.4439150116</v>
      </c>
      <c r="D123" s="14" t="s">
        <v>1064</v>
      </c>
      <c r="E123" s="14" t="s">
        <v>1065</v>
      </c>
      <c r="F123" s="14" t="s">
        <v>1065</v>
      </c>
      <c r="G123" s="14" t="s">
        <v>1066</v>
      </c>
      <c r="H123" s="15" t="n">
        <v>46164</v>
      </c>
      <c r="I123" s="15" t="s">
        <v>278</v>
      </c>
      <c r="J123" s="14" t="s">
        <v>108</v>
      </c>
      <c r="K123" s="14" t="s">
        <v>462</v>
      </c>
      <c r="L123" s="14" t="s">
        <v>184</v>
      </c>
      <c r="M123" s="14" t="s">
        <v>111</v>
      </c>
      <c r="N123" s="14" t="s">
        <v>112</v>
      </c>
      <c r="O123" s="14" t="s">
        <v>113</v>
      </c>
      <c r="P123" s="14" t="s">
        <v>864</v>
      </c>
      <c r="Q123" s="14" t="s">
        <v>1067</v>
      </c>
      <c r="R123" s="14"/>
      <c r="S123" s="14"/>
      <c r="T123" s="14"/>
      <c r="U123" s="14" t="s">
        <v>22</v>
      </c>
      <c r="V123" s="14"/>
      <c r="W123" s="14" t="s">
        <v>271</v>
      </c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 t="s">
        <v>1068</v>
      </c>
      <c r="BL123" s="14" t="s">
        <v>1069</v>
      </c>
      <c r="BM123" s="14" t="s">
        <v>920</v>
      </c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R123" s="1" t="s">
        <v>152</v>
      </c>
      <c r="CS123" s="1" t="s">
        <v>121</v>
      </c>
      <c r="CT123" s="14" t="s">
        <v>1070</v>
      </c>
      <c r="CU123" s="1" t="s">
        <v>123</v>
      </c>
      <c r="CV123" s="1" t="s">
        <v>168</v>
      </c>
      <c r="CW123" s="3"/>
      <c r="DG123" s="4"/>
    </row>
    <row r="124" customFormat="false" ht="11.25" hidden="false" customHeight="true" outlineLevel="0" collapsed="false">
      <c r="A124" s="14" t="n">
        <v>123</v>
      </c>
      <c r="B124" s="15" t="n">
        <v>46135.2518673032</v>
      </c>
      <c r="C124" s="15" t="n">
        <v>46135.2543557292</v>
      </c>
      <c r="D124" s="14" t="s">
        <v>1071</v>
      </c>
      <c r="E124" s="14" t="s">
        <v>1072</v>
      </c>
      <c r="F124" s="14" t="s">
        <v>1072</v>
      </c>
      <c r="G124" s="14" t="s">
        <v>1073</v>
      </c>
      <c r="H124" s="15" t="n">
        <v>46117</v>
      </c>
      <c r="I124" s="15" t="s">
        <v>107</v>
      </c>
      <c r="J124" s="14" t="s">
        <v>128</v>
      </c>
      <c r="K124" s="14" t="s">
        <v>364</v>
      </c>
      <c r="L124" s="14" t="s">
        <v>389</v>
      </c>
      <c r="M124" s="14" t="s">
        <v>111</v>
      </c>
      <c r="N124" s="14" t="s">
        <v>145</v>
      </c>
      <c r="O124" s="14" t="s">
        <v>113</v>
      </c>
      <c r="P124" s="14" t="s">
        <v>1074</v>
      </c>
      <c r="Q124" s="14" t="s">
        <v>638</v>
      </c>
      <c r="R124" s="14"/>
      <c r="S124" s="14"/>
      <c r="T124" s="14"/>
      <c r="U124" s="14" t="s">
        <v>22</v>
      </c>
      <c r="V124" s="14"/>
      <c r="W124" s="14" t="s">
        <v>116</v>
      </c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 t="s">
        <v>117</v>
      </c>
      <c r="BU124" s="14" t="s">
        <v>216</v>
      </c>
      <c r="BV124" s="14" t="s">
        <v>901</v>
      </c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R124" s="1" t="s">
        <v>120</v>
      </c>
      <c r="CS124" s="1" t="s">
        <v>180</v>
      </c>
      <c r="CT124" s="14" t="s">
        <v>122</v>
      </c>
      <c r="CU124" s="1" t="s">
        <v>123</v>
      </c>
      <c r="CV124" s="1" t="s">
        <v>124</v>
      </c>
      <c r="CW124" s="3"/>
      <c r="DG124" s="4"/>
    </row>
    <row r="125" customFormat="false" ht="11.25" hidden="false" customHeight="true" outlineLevel="0" collapsed="false">
      <c r="A125" s="14" t="n">
        <v>124</v>
      </c>
      <c r="B125" s="15" t="n">
        <v>46165.2369165857</v>
      </c>
      <c r="C125" s="15" t="n">
        <v>46165.2464304745</v>
      </c>
      <c r="D125" s="14" t="s">
        <v>1075</v>
      </c>
      <c r="E125" s="14" t="s">
        <v>1076</v>
      </c>
      <c r="F125" s="14" t="s">
        <v>1076</v>
      </c>
      <c r="G125" s="14" t="s">
        <v>1077</v>
      </c>
      <c r="H125" s="15" t="n">
        <v>46161</v>
      </c>
      <c r="I125" s="15" t="s">
        <v>107</v>
      </c>
      <c r="J125" s="14" t="s">
        <v>108</v>
      </c>
      <c r="K125" s="14" t="s">
        <v>232</v>
      </c>
      <c r="L125" s="14" t="s">
        <v>144</v>
      </c>
      <c r="M125" s="14" t="s">
        <v>111</v>
      </c>
      <c r="N125" s="14" t="s">
        <v>247</v>
      </c>
      <c r="O125" s="14" t="s">
        <v>113</v>
      </c>
      <c r="P125" s="14" t="s">
        <v>797</v>
      </c>
      <c r="Q125" s="14" t="s">
        <v>1078</v>
      </c>
      <c r="R125" s="14"/>
      <c r="S125" s="14"/>
      <c r="T125" s="14"/>
      <c r="U125" s="14" t="s">
        <v>22</v>
      </c>
      <c r="V125" s="14"/>
      <c r="W125" s="14" t="s">
        <v>715</v>
      </c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 t="s">
        <v>1079</v>
      </c>
      <c r="BI125" s="14" t="s">
        <v>992</v>
      </c>
      <c r="BJ125" s="14" t="s">
        <v>1080</v>
      </c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R125" s="1" t="s">
        <v>120</v>
      </c>
      <c r="CS125" s="1" t="s">
        <v>180</v>
      </c>
      <c r="CT125" s="14" t="s">
        <v>122</v>
      </c>
      <c r="CU125" s="1" t="s">
        <v>192</v>
      </c>
      <c r="CV125" s="1" t="s">
        <v>124</v>
      </c>
      <c r="CW125" s="3"/>
      <c r="DG125" s="4"/>
    </row>
    <row r="126" customFormat="false" ht="11.25" hidden="false" customHeight="true" outlineLevel="0" collapsed="false">
      <c r="A126" s="14" t="n">
        <v>125</v>
      </c>
      <c r="B126" s="15" t="n">
        <v>46151.6990861458</v>
      </c>
      <c r="C126" s="15" t="n">
        <v>46151.7104866088</v>
      </c>
      <c r="D126" s="14" t="s">
        <v>1081</v>
      </c>
      <c r="E126" s="14" t="s">
        <v>1082</v>
      </c>
      <c r="F126" s="14" t="s">
        <v>1083</v>
      </c>
      <c r="G126" s="14" t="s">
        <v>1084</v>
      </c>
      <c r="H126" s="15" t="n">
        <v>46148</v>
      </c>
      <c r="I126" s="15" t="s">
        <v>107</v>
      </c>
      <c r="J126" s="14" t="s">
        <v>108</v>
      </c>
      <c r="K126" s="14" t="s">
        <v>143</v>
      </c>
      <c r="L126" s="14" t="s">
        <v>346</v>
      </c>
      <c r="M126" s="14" t="s">
        <v>111</v>
      </c>
      <c r="N126" s="14" t="s">
        <v>112</v>
      </c>
      <c r="O126" s="14" t="s">
        <v>113</v>
      </c>
      <c r="P126" s="14" t="s">
        <v>774</v>
      </c>
      <c r="Q126" s="14" t="s">
        <v>337</v>
      </c>
      <c r="R126" s="14"/>
      <c r="S126" s="14"/>
      <c r="T126" s="14"/>
      <c r="U126" s="14" t="s">
        <v>24</v>
      </c>
      <c r="V126" s="14"/>
      <c r="W126" s="14"/>
      <c r="X126" s="14"/>
      <c r="Y126" s="14" t="s">
        <v>448</v>
      </c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 t="s">
        <v>1085</v>
      </c>
      <c r="BX126" s="14" t="s">
        <v>1086</v>
      </c>
      <c r="BY126" s="14" t="s">
        <v>597</v>
      </c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R126" s="1" t="s">
        <v>120</v>
      </c>
      <c r="CS126" s="1" t="s">
        <v>180</v>
      </c>
      <c r="CT126" s="14" t="s">
        <v>122</v>
      </c>
      <c r="CU126" s="1" t="s">
        <v>192</v>
      </c>
      <c r="CV126" s="1" t="s">
        <v>124</v>
      </c>
      <c r="CW126" s="3"/>
      <c r="DG126" s="4"/>
    </row>
    <row r="127" customFormat="false" ht="11.25" hidden="false" customHeight="true" outlineLevel="0" collapsed="false">
      <c r="A127" s="14" t="n">
        <v>126</v>
      </c>
      <c r="B127" s="15" t="n">
        <v>46107.6201828935</v>
      </c>
      <c r="C127" s="15" t="n">
        <v>46107.640252338</v>
      </c>
      <c r="D127" s="14" t="s">
        <v>1087</v>
      </c>
      <c r="E127" s="14" t="s">
        <v>1088</v>
      </c>
      <c r="F127" s="14" t="s">
        <v>1088</v>
      </c>
      <c r="G127" s="14" t="s">
        <v>1089</v>
      </c>
      <c r="H127" s="15" t="n">
        <v>46090</v>
      </c>
      <c r="I127" s="15" t="s">
        <v>107</v>
      </c>
      <c r="J127" s="14" t="s">
        <v>295</v>
      </c>
      <c r="K127" s="14" t="s">
        <v>1090</v>
      </c>
      <c r="L127" s="14" t="s">
        <v>296</v>
      </c>
      <c r="M127" s="14" t="s">
        <v>131</v>
      </c>
      <c r="N127" s="14" t="s">
        <v>145</v>
      </c>
      <c r="O127" s="14" t="s">
        <v>325</v>
      </c>
      <c r="P127" s="14" t="s">
        <v>789</v>
      </c>
      <c r="Q127" s="14" t="s">
        <v>227</v>
      </c>
      <c r="R127" s="14"/>
      <c r="S127" s="14" t="s">
        <v>441</v>
      </c>
      <c r="T127" s="14"/>
      <c r="U127" s="14" t="s">
        <v>23</v>
      </c>
      <c r="V127" s="14"/>
      <c r="W127" s="14"/>
      <c r="X127" s="14" t="s">
        <v>442</v>
      </c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R127" s="1" t="s">
        <v>152</v>
      </c>
      <c r="CS127" s="1" t="s">
        <v>121</v>
      </c>
      <c r="CT127" s="14" t="s">
        <v>1002</v>
      </c>
      <c r="CU127" s="1" t="s">
        <v>167</v>
      </c>
      <c r="CV127" s="1" t="s">
        <v>124</v>
      </c>
      <c r="CW127" s="3"/>
      <c r="DG127" s="4"/>
    </row>
    <row r="128" customFormat="false" ht="11.25" hidden="false" customHeight="true" outlineLevel="0" collapsed="false">
      <c r="A128" s="14" t="n">
        <v>127</v>
      </c>
      <c r="B128" s="15" t="n">
        <v>46130.7127597569</v>
      </c>
      <c r="C128" s="15" t="n">
        <v>46130.7204102199</v>
      </c>
      <c r="D128" s="14" t="s">
        <v>1091</v>
      </c>
      <c r="E128" s="14" t="s">
        <v>1092</v>
      </c>
      <c r="F128" s="14" t="s">
        <v>1092</v>
      </c>
      <c r="G128" s="14" t="s">
        <v>1093</v>
      </c>
      <c r="H128" s="15" t="n">
        <v>46122</v>
      </c>
      <c r="I128" s="15" t="s">
        <v>107</v>
      </c>
      <c r="J128" s="14" t="s">
        <v>108</v>
      </c>
      <c r="K128" s="14" t="s">
        <v>173</v>
      </c>
      <c r="L128" s="14" t="s">
        <v>431</v>
      </c>
      <c r="M128" s="14" t="s">
        <v>211</v>
      </c>
      <c r="N128" s="14" t="s">
        <v>112</v>
      </c>
      <c r="O128" s="14" t="s">
        <v>325</v>
      </c>
      <c r="P128" s="14" t="s">
        <v>337</v>
      </c>
      <c r="Q128" s="14" t="s">
        <v>1094</v>
      </c>
      <c r="R128" s="14"/>
      <c r="S128" s="14"/>
      <c r="T128" s="14"/>
      <c r="U128" s="14" t="s">
        <v>24</v>
      </c>
      <c r="V128" s="14"/>
      <c r="W128" s="14"/>
      <c r="X128" s="14"/>
      <c r="Y128" s="14" t="s">
        <v>448</v>
      </c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 t="s">
        <v>1095</v>
      </c>
      <c r="BX128" s="14" t="s">
        <v>1086</v>
      </c>
      <c r="BY128" s="14" t="s">
        <v>1096</v>
      </c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R128" s="1" t="s">
        <v>152</v>
      </c>
      <c r="CS128" s="1" t="s">
        <v>352</v>
      </c>
      <c r="CT128" s="14" t="s">
        <v>122</v>
      </c>
      <c r="CU128" s="1" t="s">
        <v>123</v>
      </c>
      <c r="CV128" s="1" t="s">
        <v>124</v>
      </c>
      <c r="CW128" s="3"/>
      <c r="DG128" s="4"/>
    </row>
    <row r="129" customFormat="false" ht="11.25" hidden="false" customHeight="true" outlineLevel="0" collapsed="false">
      <c r="A129" s="14" t="n">
        <v>128</v>
      </c>
      <c r="B129" s="15" t="n">
        <v>46162.0939729398</v>
      </c>
      <c r="C129" s="15" t="n">
        <v>46162.1023178472</v>
      </c>
      <c r="D129" s="14" t="s">
        <v>1097</v>
      </c>
      <c r="E129" s="14" t="s">
        <v>1098</v>
      </c>
      <c r="F129" s="14" t="s">
        <v>1098</v>
      </c>
      <c r="G129" s="14" t="s">
        <v>1099</v>
      </c>
      <c r="H129" s="15" t="n">
        <v>46143</v>
      </c>
      <c r="I129" s="15" t="s">
        <v>244</v>
      </c>
      <c r="J129" s="14" t="s">
        <v>128</v>
      </c>
      <c r="K129" s="14" t="s">
        <v>173</v>
      </c>
      <c r="L129" s="14" t="s">
        <v>114</v>
      </c>
      <c r="M129" s="14" t="s">
        <v>111</v>
      </c>
      <c r="N129" s="14" t="s">
        <v>112</v>
      </c>
      <c r="O129" s="14" t="s">
        <v>305</v>
      </c>
      <c r="P129" s="14" t="s">
        <v>515</v>
      </c>
      <c r="Q129" s="14" t="s">
        <v>1100</v>
      </c>
      <c r="R129" s="14"/>
      <c r="S129" s="14"/>
      <c r="T129" s="14"/>
      <c r="U129" s="14" t="s">
        <v>22</v>
      </c>
      <c r="V129" s="14"/>
      <c r="W129" s="14" t="s">
        <v>135</v>
      </c>
      <c r="X129" s="14"/>
      <c r="Y129" s="14"/>
      <c r="Z129" s="14"/>
      <c r="AA129" s="14" t="s">
        <v>1101</v>
      </c>
      <c r="AB129" s="14" t="s">
        <v>1102</v>
      </c>
      <c r="AC129" s="14" t="s">
        <v>569</v>
      </c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R129" s="1" t="s">
        <v>120</v>
      </c>
      <c r="CS129" s="1" t="s">
        <v>121</v>
      </c>
      <c r="CT129" s="14" t="s">
        <v>682</v>
      </c>
      <c r="CU129" s="1" t="s">
        <v>192</v>
      </c>
      <c r="CV129" s="1" t="s">
        <v>124</v>
      </c>
      <c r="CW129" s="3"/>
      <c r="DG129" s="4"/>
    </row>
    <row r="130" customFormat="false" ht="11.25" hidden="false" customHeight="true" outlineLevel="0" collapsed="false">
      <c r="A130" s="14" t="n">
        <v>129</v>
      </c>
      <c r="B130" s="15" t="n">
        <v>46075.8866921875</v>
      </c>
      <c r="C130" s="15" t="n">
        <v>46075.8903495949</v>
      </c>
      <c r="D130" s="14" t="s">
        <v>1103</v>
      </c>
      <c r="E130" s="14" t="s">
        <v>1104</v>
      </c>
      <c r="F130" s="14" t="s">
        <v>1104</v>
      </c>
      <c r="G130" s="14" t="s">
        <v>1105</v>
      </c>
      <c r="H130" s="15" t="n">
        <v>46058</v>
      </c>
      <c r="I130" s="15" t="s">
        <v>244</v>
      </c>
      <c r="J130" s="14" t="s">
        <v>108</v>
      </c>
      <c r="K130" s="14" t="s">
        <v>1106</v>
      </c>
      <c r="L130" s="14" t="s">
        <v>286</v>
      </c>
      <c r="M130" s="14" t="s">
        <v>131</v>
      </c>
      <c r="N130" s="14" t="s">
        <v>112</v>
      </c>
      <c r="O130" s="14" t="s">
        <v>113</v>
      </c>
      <c r="P130" s="14" t="s">
        <v>578</v>
      </c>
      <c r="Q130" s="14" t="s">
        <v>306</v>
      </c>
      <c r="R130" s="14"/>
      <c r="S130" s="14"/>
      <c r="T130" s="14"/>
      <c r="U130" s="14" t="s">
        <v>24</v>
      </c>
      <c r="V130" s="14"/>
      <c r="W130" s="14"/>
      <c r="X130" s="14"/>
      <c r="Y130" s="14" t="s">
        <v>214</v>
      </c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 t="s">
        <v>1107</v>
      </c>
      <c r="CD130" s="14" t="s">
        <v>163</v>
      </c>
      <c r="CE130" s="14" t="s">
        <v>252</v>
      </c>
      <c r="CF130" s="14"/>
      <c r="CG130" s="14"/>
      <c r="CH130" s="14"/>
      <c r="CI130" s="14"/>
      <c r="CJ130" s="14"/>
      <c r="CK130" s="14"/>
      <c r="CL130" s="14"/>
      <c r="CR130" s="1" t="s">
        <v>152</v>
      </c>
      <c r="CS130" s="1" t="s">
        <v>352</v>
      </c>
      <c r="CT130" s="14" t="s">
        <v>122</v>
      </c>
      <c r="CU130" s="1" t="s">
        <v>123</v>
      </c>
      <c r="CV130" s="1" t="s">
        <v>124</v>
      </c>
      <c r="CW130" s="3"/>
      <c r="DG130" s="4"/>
    </row>
    <row r="131" customFormat="false" ht="11.25" hidden="false" customHeight="true" outlineLevel="0" collapsed="false">
      <c r="A131" s="14" t="n">
        <v>130</v>
      </c>
      <c r="B131" s="15" t="n">
        <v>46073.3034133565</v>
      </c>
      <c r="C131" s="15" t="n">
        <v>46073.3051957639</v>
      </c>
      <c r="D131" s="14" t="s">
        <v>1108</v>
      </c>
      <c r="E131" s="14" t="s">
        <v>1109</v>
      </c>
      <c r="F131" s="14" t="s">
        <v>1109</v>
      </c>
      <c r="G131" s="14" t="s">
        <v>1110</v>
      </c>
      <c r="H131" s="15" t="n">
        <v>46056</v>
      </c>
      <c r="I131" s="15" t="s">
        <v>107</v>
      </c>
      <c r="J131" s="14" t="s">
        <v>295</v>
      </c>
      <c r="K131" s="14" t="s">
        <v>1111</v>
      </c>
      <c r="L131" s="14" t="s">
        <v>197</v>
      </c>
      <c r="M131" s="14" t="s">
        <v>111</v>
      </c>
      <c r="N131" s="14" t="s">
        <v>112</v>
      </c>
      <c r="O131" s="14" t="s">
        <v>863</v>
      </c>
      <c r="P131" s="14" t="s">
        <v>1112</v>
      </c>
      <c r="Q131" s="14" t="s">
        <v>1067</v>
      </c>
      <c r="R131" s="14"/>
      <c r="S131" s="14"/>
      <c r="T131" s="14"/>
      <c r="U131" s="14" t="s">
        <v>24</v>
      </c>
      <c r="V131" s="14"/>
      <c r="W131" s="14"/>
      <c r="X131" s="14"/>
      <c r="Y131" s="14" t="s">
        <v>448</v>
      </c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 t="s">
        <v>1113</v>
      </c>
      <c r="BX131" s="14" t="s">
        <v>1114</v>
      </c>
      <c r="BY131" s="14" t="s">
        <v>1115</v>
      </c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R131" s="1" t="s">
        <v>152</v>
      </c>
      <c r="CS131" s="1" t="s">
        <v>121</v>
      </c>
      <c r="CT131" s="14" t="s">
        <v>614</v>
      </c>
      <c r="CU131" s="1" t="s">
        <v>123</v>
      </c>
      <c r="CV131" s="1" t="s">
        <v>124</v>
      </c>
      <c r="CW131" s="3"/>
      <c r="DG131" s="4"/>
    </row>
    <row r="132" customFormat="false" ht="11.25" hidden="false" customHeight="true" outlineLevel="0" collapsed="false">
      <c r="A132" s="14" t="n">
        <v>131</v>
      </c>
      <c r="B132" s="15" t="n">
        <v>46185.7802177662</v>
      </c>
      <c r="C132" s="15" t="n">
        <v>46185.7988867477</v>
      </c>
      <c r="D132" s="14" t="s">
        <v>1116</v>
      </c>
      <c r="E132" s="14" t="s">
        <v>1117</v>
      </c>
      <c r="F132" s="14" t="s">
        <v>1117</v>
      </c>
      <c r="G132" s="14" t="s">
        <v>1118</v>
      </c>
      <c r="H132" s="15" t="n">
        <v>46185</v>
      </c>
      <c r="I132" s="15" t="s">
        <v>244</v>
      </c>
      <c r="J132" s="14" t="s">
        <v>108</v>
      </c>
      <c r="K132" s="14" t="s">
        <v>1119</v>
      </c>
      <c r="L132" s="14" t="s">
        <v>246</v>
      </c>
      <c r="M132" s="14" t="s">
        <v>111</v>
      </c>
      <c r="N132" s="14" t="s">
        <v>112</v>
      </c>
      <c r="O132" s="14" t="s">
        <v>113</v>
      </c>
      <c r="P132" s="14" t="s">
        <v>1120</v>
      </c>
      <c r="Q132" s="14" t="s">
        <v>175</v>
      </c>
      <c r="R132" s="14"/>
      <c r="S132" s="14"/>
      <c r="T132" s="14"/>
      <c r="U132" s="14" t="s">
        <v>22</v>
      </c>
      <c r="V132" s="14"/>
      <c r="W132" s="14" t="s">
        <v>271</v>
      </c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 t="s">
        <v>646</v>
      </c>
      <c r="BL132" s="14" t="s">
        <v>1121</v>
      </c>
      <c r="BM132" s="14" t="s">
        <v>724</v>
      </c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R132" s="1" t="s">
        <v>152</v>
      </c>
      <c r="CS132" s="1" t="s">
        <v>121</v>
      </c>
      <c r="CT132" s="14" t="s">
        <v>122</v>
      </c>
      <c r="CU132" s="1" t="s">
        <v>192</v>
      </c>
      <c r="CV132" s="1" t="s">
        <v>124</v>
      </c>
      <c r="CW132" s="3"/>
      <c r="CX132" s="3" t="s">
        <v>331</v>
      </c>
      <c r="DG132" s="4"/>
    </row>
    <row r="133" customFormat="false" ht="11.25" hidden="false" customHeight="true" outlineLevel="0" collapsed="false">
      <c r="A133" s="14" t="n">
        <v>132</v>
      </c>
      <c r="B133" s="15" t="n">
        <v>46036.3912488773</v>
      </c>
      <c r="C133" s="15" t="n">
        <v>46036.407915544</v>
      </c>
      <c r="D133" s="14" t="s">
        <v>1122</v>
      </c>
      <c r="E133" s="14" t="s">
        <v>1123</v>
      </c>
      <c r="F133" s="14" t="s">
        <v>1124</v>
      </c>
      <c r="G133" s="14" t="s">
        <v>1125</v>
      </c>
      <c r="H133" s="15" t="n">
        <v>46034</v>
      </c>
      <c r="I133" s="15" t="s">
        <v>107</v>
      </c>
      <c r="J133" s="14" t="s">
        <v>108</v>
      </c>
      <c r="K133" s="14" t="s">
        <v>257</v>
      </c>
      <c r="L133" s="14" t="s">
        <v>491</v>
      </c>
      <c r="M133" s="14" t="s">
        <v>111</v>
      </c>
      <c r="N133" s="14" t="s">
        <v>112</v>
      </c>
      <c r="O133" s="14" t="s">
        <v>113</v>
      </c>
      <c r="P133" s="14" t="s">
        <v>515</v>
      </c>
      <c r="Q133" s="14" t="s">
        <v>407</v>
      </c>
      <c r="R133" s="14"/>
      <c r="S133" s="14"/>
      <c r="T133" s="14"/>
      <c r="U133" s="14" t="s">
        <v>24</v>
      </c>
      <c r="V133" s="14"/>
      <c r="W133" s="14"/>
      <c r="X133" s="14"/>
      <c r="Y133" s="14" t="s">
        <v>448</v>
      </c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 t="s">
        <v>1126</v>
      </c>
      <c r="BX133" s="14" t="s">
        <v>1127</v>
      </c>
      <c r="BY133" s="14" t="s">
        <v>1128</v>
      </c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R133" s="1" t="s">
        <v>152</v>
      </c>
      <c r="CS133" s="1" t="s">
        <v>121</v>
      </c>
      <c r="CT133" s="14" t="s">
        <v>1129</v>
      </c>
      <c r="CU133" s="1" t="s">
        <v>123</v>
      </c>
      <c r="CV133" s="1" t="s">
        <v>168</v>
      </c>
      <c r="CW133" s="3"/>
      <c r="DG133" s="4"/>
    </row>
    <row r="134" customFormat="false" ht="11.25" hidden="false" customHeight="true" outlineLevel="0" collapsed="false">
      <c r="A134" s="14" t="n">
        <v>133</v>
      </c>
      <c r="B134" s="15" t="n">
        <v>46150.2328583333</v>
      </c>
      <c r="C134" s="15" t="n">
        <v>46150.2452078704</v>
      </c>
      <c r="D134" s="14" t="s">
        <v>1130</v>
      </c>
      <c r="E134" s="14" t="s">
        <v>1131</v>
      </c>
      <c r="F134" s="14" t="s">
        <v>1131</v>
      </c>
      <c r="G134" s="14" t="s">
        <v>1132</v>
      </c>
      <c r="H134" s="15" t="n">
        <v>46141</v>
      </c>
      <c r="I134" s="15" t="s">
        <v>172</v>
      </c>
      <c r="J134" s="14" t="s">
        <v>108</v>
      </c>
      <c r="K134" s="14" t="s">
        <v>462</v>
      </c>
      <c r="L134" s="14" t="s">
        <v>346</v>
      </c>
      <c r="M134" s="14" t="s">
        <v>131</v>
      </c>
      <c r="N134" s="14" t="s">
        <v>112</v>
      </c>
      <c r="O134" s="14" t="s">
        <v>113</v>
      </c>
      <c r="P134" s="14" t="s">
        <v>774</v>
      </c>
      <c r="Q134" s="14" t="s">
        <v>200</v>
      </c>
      <c r="R134" s="14"/>
      <c r="S134" s="14"/>
      <c r="T134" s="14"/>
      <c r="U134" s="14" t="s">
        <v>24</v>
      </c>
      <c r="V134" s="14"/>
      <c r="W134" s="14"/>
      <c r="X134" s="14"/>
      <c r="Y134" s="14" t="s">
        <v>260</v>
      </c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 t="s">
        <v>1133</v>
      </c>
      <c r="CG134" s="14" t="s">
        <v>1134</v>
      </c>
      <c r="CH134" s="14" t="s">
        <v>1135</v>
      </c>
      <c r="CI134" s="14"/>
      <c r="CJ134" s="14"/>
      <c r="CK134" s="14"/>
      <c r="CL134" s="14"/>
      <c r="CR134" s="1" t="s">
        <v>152</v>
      </c>
      <c r="CS134" s="1" t="s">
        <v>121</v>
      </c>
      <c r="CT134" s="14" t="s">
        <v>562</v>
      </c>
      <c r="CU134" s="1" t="s">
        <v>192</v>
      </c>
      <c r="CV134" s="1" t="s">
        <v>124</v>
      </c>
      <c r="CW134" s="3"/>
      <c r="DG134" s="4"/>
    </row>
    <row r="135" customFormat="false" ht="11.25" hidden="false" customHeight="true" outlineLevel="0" collapsed="false">
      <c r="A135" s="14" t="n">
        <v>134</v>
      </c>
      <c r="B135" s="15" t="n">
        <v>46138.5870902546</v>
      </c>
      <c r="C135" s="15" t="n">
        <v>46138.5953657176</v>
      </c>
      <c r="D135" s="14" t="s">
        <v>1136</v>
      </c>
      <c r="E135" s="14" t="s">
        <v>1137</v>
      </c>
      <c r="F135" s="14" t="s">
        <v>1137</v>
      </c>
      <c r="G135" s="14" t="s">
        <v>1138</v>
      </c>
      <c r="H135" s="15" t="n">
        <v>46122</v>
      </c>
      <c r="I135" s="15" t="s">
        <v>107</v>
      </c>
      <c r="J135" s="14" t="s">
        <v>108</v>
      </c>
      <c r="K135" s="14" t="s">
        <v>1139</v>
      </c>
      <c r="L135" s="14" t="s">
        <v>184</v>
      </c>
      <c r="M135" s="14" t="s">
        <v>131</v>
      </c>
      <c r="N135" s="14" t="s">
        <v>145</v>
      </c>
      <c r="O135" s="14" t="s">
        <v>113</v>
      </c>
      <c r="P135" s="14" t="s">
        <v>944</v>
      </c>
      <c r="Q135" s="14" t="s">
        <v>1140</v>
      </c>
      <c r="R135" s="14"/>
      <c r="S135" s="14"/>
      <c r="T135" s="14"/>
      <c r="U135" s="14" t="s">
        <v>22</v>
      </c>
      <c r="V135" s="14"/>
      <c r="W135" s="14" t="s">
        <v>381</v>
      </c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 t="s">
        <v>842</v>
      </c>
      <c r="BR135" s="14" t="s">
        <v>464</v>
      </c>
      <c r="BS135" s="14" t="s">
        <v>465</v>
      </c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R135" s="1" t="s">
        <v>152</v>
      </c>
      <c r="CS135" s="1" t="s">
        <v>121</v>
      </c>
      <c r="CT135" s="14"/>
      <c r="CU135" s="1" t="s">
        <v>123</v>
      </c>
      <c r="CV135" s="1" t="s">
        <v>124</v>
      </c>
      <c r="CW135" s="3" t="s">
        <v>370</v>
      </c>
      <c r="DG135" s="4"/>
    </row>
    <row r="136" customFormat="false" ht="11.25" hidden="false" customHeight="true" outlineLevel="0" collapsed="false">
      <c r="A136" s="14" t="n">
        <v>135</v>
      </c>
      <c r="B136" s="15" t="n">
        <v>46210.0315187153</v>
      </c>
      <c r="C136" s="15" t="n">
        <v>46210.0340071412</v>
      </c>
      <c r="D136" s="14" t="s">
        <v>1141</v>
      </c>
      <c r="E136" s="14" t="s">
        <v>1142</v>
      </c>
      <c r="F136" s="14" t="s">
        <v>1142</v>
      </c>
      <c r="G136" s="14" t="s">
        <v>1143</v>
      </c>
      <c r="H136" s="15" t="n">
        <v>46200</v>
      </c>
      <c r="I136" s="15" t="s">
        <v>107</v>
      </c>
      <c r="J136" s="14" t="s">
        <v>128</v>
      </c>
      <c r="K136" s="14" t="s">
        <v>232</v>
      </c>
      <c r="L136" s="14" t="s">
        <v>346</v>
      </c>
      <c r="M136" s="14" t="s">
        <v>111</v>
      </c>
      <c r="N136" s="14" t="s">
        <v>112</v>
      </c>
      <c r="O136" s="14" t="s">
        <v>113</v>
      </c>
      <c r="P136" s="14" t="s">
        <v>212</v>
      </c>
      <c r="Q136" s="14" t="s">
        <v>1144</v>
      </c>
      <c r="R136" s="14"/>
      <c r="S136" s="14"/>
      <c r="T136" s="14"/>
      <c r="U136" s="14" t="s">
        <v>22</v>
      </c>
      <c r="V136" s="14"/>
      <c r="W136" s="14" t="s">
        <v>148</v>
      </c>
      <c r="X136" s="14"/>
      <c r="Y136" s="14"/>
      <c r="Z136" s="14"/>
      <c r="AA136" s="14"/>
      <c r="AB136" s="14"/>
      <c r="AC136" s="14"/>
      <c r="AD136" s="14" t="s">
        <v>1145</v>
      </c>
      <c r="AE136" s="14" t="s">
        <v>1146</v>
      </c>
      <c r="AF136" s="14" t="s">
        <v>1147</v>
      </c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R136" s="1" t="s">
        <v>152</v>
      </c>
      <c r="CS136" s="1" t="s">
        <v>264</v>
      </c>
      <c r="CT136" s="14"/>
      <c r="CU136" s="1" t="s">
        <v>192</v>
      </c>
      <c r="CV136" s="1" t="s">
        <v>124</v>
      </c>
      <c r="CW136" s="3"/>
      <c r="DG136" s="4"/>
    </row>
    <row r="137" customFormat="false" ht="11.25" hidden="false" customHeight="true" outlineLevel="0" collapsed="false">
      <c r="A137" s="14" t="n">
        <v>136</v>
      </c>
      <c r="B137" s="15" t="n">
        <v>46183.8614364699</v>
      </c>
      <c r="C137" s="15" t="n">
        <v>46183.8821887847</v>
      </c>
      <c r="D137" s="14" t="s">
        <v>1148</v>
      </c>
      <c r="E137" s="14" t="s">
        <v>1149</v>
      </c>
      <c r="F137" s="14" t="s">
        <v>1149</v>
      </c>
      <c r="G137" s="14" t="s">
        <v>1150</v>
      </c>
      <c r="H137" s="15" t="n">
        <v>46170</v>
      </c>
      <c r="I137" s="15" t="s">
        <v>278</v>
      </c>
      <c r="J137" s="14" t="s">
        <v>295</v>
      </c>
      <c r="K137" s="14" t="s">
        <v>196</v>
      </c>
      <c r="L137" s="14" t="s">
        <v>389</v>
      </c>
      <c r="M137" s="14" t="s">
        <v>111</v>
      </c>
      <c r="N137" s="14" t="s">
        <v>112</v>
      </c>
      <c r="O137" s="14" t="s">
        <v>132</v>
      </c>
      <c r="P137" s="14" t="s">
        <v>1151</v>
      </c>
      <c r="Q137" s="14" t="s">
        <v>758</v>
      </c>
      <c r="R137" s="14"/>
      <c r="S137" s="14"/>
      <c r="T137" s="14"/>
      <c r="U137" s="14" t="s">
        <v>21</v>
      </c>
      <c r="V137" s="14" t="s">
        <v>457</v>
      </c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 t="s">
        <v>1152</v>
      </c>
      <c r="AN137" s="14" t="s">
        <v>745</v>
      </c>
      <c r="AO137" s="14" t="s">
        <v>252</v>
      </c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R137" s="1" t="s">
        <v>152</v>
      </c>
      <c r="CS137" s="1" t="s">
        <v>228</v>
      </c>
      <c r="CT137" s="14"/>
      <c r="CU137" s="1" t="s">
        <v>167</v>
      </c>
      <c r="CV137" s="1" t="s">
        <v>124</v>
      </c>
      <c r="CW137" s="3"/>
      <c r="DG137" s="4"/>
    </row>
    <row r="138" customFormat="false" ht="11.25" hidden="false" customHeight="true" outlineLevel="0" collapsed="false">
      <c r="A138" s="14" t="n">
        <v>137</v>
      </c>
      <c r="B138" s="15" t="n">
        <v>46139.1267903704</v>
      </c>
      <c r="C138" s="15" t="n">
        <v>46139.1302047222</v>
      </c>
      <c r="D138" s="14" t="s">
        <v>1153</v>
      </c>
      <c r="E138" s="14" t="s">
        <v>1154</v>
      </c>
      <c r="F138" s="14" t="s">
        <v>1154</v>
      </c>
      <c r="G138" s="14" t="s">
        <v>1155</v>
      </c>
      <c r="H138" s="15" t="n">
        <v>46124</v>
      </c>
      <c r="I138" s="15" t="s">
        <v>157</v>
      </c>
      <c r="J138" s="14" t="s">
        <v>108</v>
      </c>
      <c r="K138" s="14" t="s">
        <v>364</v>
      </c>
      <c r="L138" s="14" t="s">
        <v>268</v>
      </c>
      <c r="M138" s="14" t="s">
        <v>111</v>
      </c>
      <c r="N138" s="14" t="s">
        <v>112</v>
      </c>
      <c r="O138" s="14" t="s">
        <v>113</v>
      </c>
      <c r="P138" s="14" t="s">
        <v>594</v>
      </c>
      <c r="Q138" s="14" t="s">
        <v>1156</v>
      </c>
      <c r="R138" s="14"/>
      <c r="S138" s="14"/>
      <c r="T138" s="14" t="s">
        <v>880</v>
      </c>
      <c r="U138" s="14" t="s">
        <v>24</v>
      </c>
      <c r="V138" s="14"/>
      <c r="W138" s="14"/>
      <c r="X138" s="14"/>
      <c r="Y138" s="14" t="s">
        <v>19</v>
      </c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R138" s="1" t="s">
        <v>152</v>
      </c>
      <c r="CS138" s="1" t="s">
        <v>121</v>
      </c>
      <c r="CT138" s="14"/>
      <c r="CU138" s="1" t="s">
        <v>167</v>
      </c>
      <c r="CV138" s="1" t="s">
        <v>124</v>
      </c>
      <c r="CW138" s="3"/>
      <c r="DG138" s="4"/>
    </row>
    <row r="139" customFormat="false" ht="11.25" hidden="false" customHeight="true" outlineLevel="0" collapsed="false">
      <c r="A139" s="14" t="n">
        <v>138</v>
      </c>
      <c r="B139" s="15" t="n">
        <v>46181.8585406482</v>
      </c>
      <c r="C139" s="15" t="n">
        <v>46181.8712026852</v>
      </c>
      <c r="D139" s="14" t="s">
        <v>1157</v>
      </c>
      <c r="E139" s="14" t="s">
        <v>1158</v>
      </c>
      <c r="F139" s="14" t="s">
        <v>1158</v>
      </c>
      <c r="G139" s="14" t="s">
        <v>1159</v>
      </c>
      <c r="H139" s="15" t="n">
        <v>46164</v>
      </c>
      <c r="I139" s="15" t="s">
        <v>172</v>
      </c>
      <c r="J139" s="14" t="s">
        <v>108</v>
      </c>
      <c r="K139" s="14" t="s">
        <v>364</v>
      </c>
      <c r="L139" s="14" t="s">
        <v>246</v>
      </c>
      <c r="M139" s="14" t="s">
        <v>131</v>
      </c>
      <c r="N139" s="14" t="s">
        <v>145</v>
      </c>
      <c r="O139" s="14" t="s">
        <v>113</v>
      </c>
      <c r="P139" s="14" t="s">
        <v>144</v>
      </c>
      <c r="Q139" s="14" t="s">
        <v>1160</v>
      </c>
      <c r="R139" s="14"/>
      <c r="S139" s="14"/>
      <c r="T139" s="14"/>
      <c r="U139" s="14" t="s">
        <v>22</v>
      </c>
      <c r="V139" s="14"/>
      <c r="W139" s="14" t="s">
        <v>135</v>
      </c>
      <c r="X139" s="14"/>
      <c r="Y139" s="14"/>
      <c r="Z139" s="14"/>
      <c r="AA139" s="14" t="s">
        <v>1161</v>
      </c>
      <c r="AB139" s="14" t="s">
        <v>1162</v>
      </c>
      <c r="AC139" s="14" t="s">
        <v>252</v>
      </c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R139" s="1" t="s">
        <v>152</v>
      </c>
      <c r="CS139" s="1" t="s">
        <v>121</v>
      </c>
      <c r="CT139" s="14" t="s">
        <v>122</v>
      </c>
      <c r="CU139" s="1" t="s">
        <v>123</v>
      </c>
      <c r="CV139" s="1" t="s">
        <v>168</v>
      </c>
      <c r="CW139" s="3"/>
      <c r="DG139" s="4"/>
    </row>
    <row r="140" customFormat="false" ht="11.25" hidden="false" customHeight="true" outlineLevel="0" collapsed="false">
      <c r="A140" s="14" t="n">
        <v>139</v>
      </c>
      <c r="B140" s="15" t="n">
        <v>46055.4286680208</v>
      </c>
      <c r="C140" s="15" t="n">
        <v>46055.4487606134</v>
      </c>
      <c r="D140" s="14" t="s">
        <v>1163</v>
      </c>
      <c r="E140" s="14" t="s">
        <v>1164</v>
      </c>
      <c r="F140" s="14" t="s">
        <v>1164</v>
      </c>
      <c r="G140" s="14" t="s">
        <v>1165</v>
      </c>
      <c r="H140" s="15" t="n">
        <v>46052</v>
      </c>
      <c r="I140" s="15" t="s">
        <v>244</v>
      </c>
      <c r="J140" s="14" t="s">
        <v>108</v>
      </c>
      <c r="K140" s="14" t="s">
        <v>1166</v>
      </c>
      <c r="L140" s="14" t="s">
        <v>144</v>
      </c>
      <c r="M140" s="14" t="s">
        <v>111</v>
      </c>
      <c r="N140" s="14" t="s">
        <v>112</v>
      </c>
      <c r="O140" s="14" t="s">
        <v>113</v>
      </c>
      <c r="P140" s="14" t="s">
        <v>185</v>
      </c>
      <c r="Q140" s="14" t="s">
        <v>1028</v>
      </c>
      <c r="R140" s="14"/>
      <c r="S140" s="14"/>
      <c r="T140" s="14"/>
      <c r="U140" s="14" t="s">
        <v>22</v>
      </c>
      <c r="V140" s="14"/>
      <c r="W140" s="14" t="s">
        <v>116</v>
      </c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 t="s">
        <v>1167</v>
      </c>
      <c r="BU140" s="14" t="s">
        <v>329</v>
      </c>
      <c r="BV140" s="14" t="s">
        <v>1168</v>
      </c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R140" s="1" t="s">
        <v>152</v>
      </c>
      <c r="CS140" s="1" t="s">
        <v>180</v>
      </c>
      <c r="CT140" s="14" t="s">
        <v>122</v>
      </c>
      <c r="CU140" s="1" t="s">
        <v>192</v>
      </c>
      <c r="CV140" s="1" t="s">
        <v>168</v>
      </c>
      <c r="CW140" s="3"/>
      <c r="DG140" s="4"/>
    </row>
    <row r="141" customFormat="false" ht="11.25" hidden="false" customHeight="true" outlineLevel="0" collapsed="false">
      <c r="A141" s="14" t="n">
        <v>140</v>
      </c>
      <c r="B141" s="15" t="n">
        <v>46199.6291078935</v>
      </c>
      <c r="C141" s="15" t="n">
        <v>46199.6333092824</v>
      </c>
      <c r="D141" s="14" t="s">
        <v>1169</v>
      </c>
      <c r="E141" s="14" t="s">
        <v>1170</v>
      </c>
      <c r="F141" s="14" t="s">
        <v>1170</v>
      </c>
      <c r="G141" s="14" t="s">
        <v>1171</v>
      </c>
      <c r="H141" s="15" t="n">
        <v>46194</v>
      </c>
      <c r="I141" s="15" t="s">
        <v>107</v>
      </c>
      <c r="J141" s="14" t="s">
        <v>108</v>
      </c>
      <c r="K141" s="14" t="s">
        <v>173</v>
      </c>
      <c r="L141" s="14" t="s">
        <v>268</v>
      </c>
      <c r="M141" s="14" t="s">
        <v>111</v>
      </c>
      <c r="N141" s="14" t="s">
        <v>112</v>
      </c>
      <c r="O141" s="14" t="s">
        <v>132</v>
      </c>
      <c r="P141" s="14" t="s">
        <v>484</v>
      </c>
      <c r="Q141" s="14" t="s">
        <v>337</v>
      </c>
      <c r="R141" s="14"/>
      <c r="S141" s="14"/>
      <c r="T141" s="14"/>
      <c r="U141" s="14" t="s">
        <v>22</v>
      </c>
      <c r="V141" s="14"/>
      <c r="W141" s="14" t="s">
        <v>339</v>
      </c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 t="s">
        <v>1172</v>
      </c>
      <c r="BO141" s="14" t="s">
        <v>1173</v>
      </c>
      <c r="BP141" s="14" t="s">
        <v>252</v>
      </c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R141" s="1" t="s">
        <v>152</v>
      </c>
      <c r="CS141" s="1" t="s">
        <v>121</v>
      </c>
      <c r="CT141" s="14" t="s">
        <v>1174</v>
      </c>
      <c r="CU141" s="1" t="s">
        <v>192</v>
      </c>
      <c r="CV141" s="1" t="s">
        <v>124</v>
      </c>
      <c r="CW141" s="3" t="s">
        <v>1175</v>
      </c>
      <c r="DG141" s="4"/>
    </row>
    <row r="142" customFormat="false" ht="11.25" hidden="false" customHeight="true" outlineLevel="0" collapsed="false">
      <c r="A142" s="14" t="n">
        <v>141</v>
      </c>
      <c r="B142" s="15" t="n">
        <v>46137.5951398727</v>
      </c>
      <c r="C142" s="15" t="n">
        <v>46137.6117023727</v>
      </c>
      <c r="D142" s="14" t="s">
        <v>1176</v>
      </c>
      <c r="E142" s="14" t="s">
        <v>1177</v>
      </c>
      <c r="F142" s="14" t="s">
        <v>1177</v>
      </c>
      <c r="G142" s="14" t="s">
        <v>1178</v>
      </c>
      <c r="H142" s="15" t="n">
        <v>46131</v>
      </c>
      <c r="I142" s="15" t="s">
        <v>157</v>
      </c>
      <c r="J142" s="14" t="s">
        <v>128</v>
      </c>
      <c r="K142" s="14" t="s">
        <v>143</v>
      </c>
      <c r="L142" s="14" t="s">
        <v>197</v>
      </c>
      <c r="M142" s="14" t="s">
        <v>111</v>
      </c>
      <c r="N142" s="14" t="s">
        <v>112</v>
      </c>
      <c r="O142" s="14" t="s">
        <v>113</v>
      </c>
      <c r="P142" s="14" t="s">
        <v>515</v>
      </c>
      <c r="Q142" s="14" t="s">
        <v>939</v>
      </c>
      <c r="R142" s="14"/>
      <c r="S142" s="14"/>
      <c r="T142" s="14"/>
      <c r="U142" s="14" t="s">
        <v>22</v>
      </c>
      <c r="V142" s="14"/>
      <c r="W142" s="14" t="s">
        <v>271</v>
      </c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 t="s">
        <v>1179</v>
      </c>
      <c r="BL142" s="14" t="s">
        <v>1180</v>
      </c>
      <c r="BM142" s="14" t="s">
        <v>1181</v>
      </c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R142" s="1" t="s">
        <v>120</v>
      </c>
      <c r="CS142" s="1" t="s">
        <v>121</v>
      </c>
      <c r="CT142" s="14"/>
      <c r="CU142" s="1" t="s">
        <v>192</v>
      </c>
      <c r="CV142" s="1" t="s">
        <v>139</v>
      </c>
      <c r="CW142" s="3"/>
      <c r="DG142" s="4"/>
    </row>
    <row r="143" customFormat="false" ht="11.25" hidden="false" customHeight="true" outlineLevel="0" collapsed="false">
      <c r="A143" s="14" t="n">
        <v>142</v>
      </c>
      <c r="B143" s="15" t="n">
        <v>46147.9778922338</v>
      </c>
      <c r="C143" s="15" t="n">
        <v>46147.9930889931</v>
      </c>
      <c r="D143" s="14" t="s">
        <v>1182</v>
      </c>
      <c r="E143" s="14" t="s">
        <v>1183</v>
      </c>
      <c r="F143" s="14" t="s">
        <v>1183</v>
      </c>
      <c r="G143" s="14" t="s">
        <v>1184</v>
      </c>
      <c r="H143" s="15" t="n">
        <v>46139</v>
      </c>
      <c r="I143" s="15" t="s">
        <v>107</v>
      </c>
      <c r="J143" s="14" t="s">
        <v>128</v>
      </c>
      <c r="K143" s="14" t="s">
        <v>245</v>
      </c>
      <c r="L143" s="14" t="s">
        <v>246</v>
      </c>
      <c r="M143" s="14" t="s">
        <v>111</v>
      </c>
      <c r="N143" s="14" t="s">
        <v>112</v>
      </c>
      <c r="O143" s="14" t="s">
        <v>113</v>
      </c>
      <c r="P143" s="14" t="s">
        <v>365</v>
      </c>
      <c r="Q143" s="14" t="s">
        <v>115</v>
      </c>
      <c r="R143" s="14"/>
      <c r="S143" s="14"/>
      <c r="T143" s="14"/>
      <c r="U143" s="14" t="s">
        <v>22</v>
      </c>
      <c r="V143" s="14"/>
      <c r="W143" s="14" t="s">
        <v>148</v>
      </c>
      <c r="X143" s="14"/>
      <c r="Y143" s="14"/>
      <c r="Z143" s="14"/>
      <c r="AA143" s="14"/>
      <c r="AB143" s="14"/>
      <c r="AC143" s="14"/>
      <c r="AD143" s="14" t="s">
        <v>1185</v>
      </c>
      <c r="AE143" s="14" t="s">
        <v>1186</v>
      </c>
      <c r="AF143" s="14" t="s">
        <v>1187</v>
      </c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R143" s="1" t="s">
        <v>227</v>
      </c>
      <c r="CS143" s="1" t="s">
        <v>121</v>
      </c>
      <c r="CT143" s="14" t="s">
        <v>122</v>
      </c>
      <c r="CU143" s="1" t="s">
        <v>123</v>
      </c>
      <c r="CV143" s="1" t="s">
        <v>124</v>
      </c>
      <c r="CW143" s="3"/>
      <c r="CY143" s="3" t="s">
        <v>205</v>
      </c>
      <c r="DG143" s="4"/>
    </row>
    <row r="144" customFormat="false" ht="11.25" hidden="false" customHeight="true" outlineLevel="0" collapsed="false">
      <c r="A144" s="14" t="n">
        <v>143</v>
      </c>
      <c r="B144" s="15" t="n">
        <v>46077.5890811227</v>
      </c>
      <c r="C144" s="15" t="n">
        <v>46077.6065116782</v>
      </c>
      <c r="D144" s="14" t="s">
        <v>1188</v>
      </c>
      <c r="E144" s="14" t="s">
        <v>1189</v>
      </c>
      <c r="F144" s="14" t="s">
        <v>1189</v>
      </c>
      <c r="G144" s="14" t="s">
        <v>1190</v>
      </c>
      <c r="H144" s="15" t="n">
        <v>46067</v>
      </c>
      <c r="I144" s="15" t="s">
        <v>172</v>
      </c>
      <c r="J144" s="14" t="s">
        <v>108</v>
      </c>
      <c r="K144" s="14" t="s">
        <v>232</v>
      </c>
      <c r="L144" s="14" t="s">
        <v>184</v>
      </c>
      <c r="M144" s="14" t="s">
        <v>111</v>
      </c>
      <c r="N144" s="14" t="s">
        <v>112</v>
      </c>
      <c r="O144" s="14" t="s">
        <v>325</v>
      </c>
      <c r="P144" s="14" t="s">
        <v>612</v>
      </c>
      <c r="Q144" s="14" t="s">
        <v>1006</v>
      </c>
      <c r="R144" s="14"/>
      <c r="S144" s="14"/>
      <c r="T144" s="14"/>
      <c r="U144" s="14" t="s">
        <v>22</v>
      </c>
      <c r="V144" s="14"/>
      <c r="W144" s="14" t="s">
        <v>298</v>
      </c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 t="s">
        <v>1191</v>
      </c>
      <c r="AW144" s="14" t="s">
        <v>537</v>
      </c>
      <c r="AX144" s="14" t="s">
        <v>1192</v>
      </c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R144" s="1" t="s">
        <v>120</v>
      </c>
      <c r="CS144" s="1" t="s">
        <v>228</v>
      </c>
      <c r="CT144" s="14"/>
      <c r="CU144" s="1" t="s">
        <v>192</v>
      </c>
      <c r="CV144" s="1" t="s">
        <v>168</v>
      </c>
      <c r="CW144" s="3"/>
      <c r="DG144" s="4"/>
    </row>
    <row r="145" customFormat="false" ht="11.25" hidden="false" customHeight="true" outlineLevel="0" collapsed="false">
      <c r="A145" s="14" t="n">
        <v>144</v>
      </c>
      <c r="B145" s="15" t="n">
        <v>46108.37151625</v>
      </c>
      <c r="C145" s="15" t="n">
        <v>46108.3875579167</v>
      </c>
      <c r="D145" s="14" t="s">
        <v>1193</v>
      </c>
      <c r="E145" s="14" t="s">
        <v>1194</v>
      </c>
      <c r="F145" s="14" t="s">
        <v>1194</v>
      </c>
      <c r="G145" s="14" t="s">
        <v>1195</v>
      </c>
      <c r="H145" s="15" t="n">
        <v>46105</v>
      </c>
      <c r="I145" s="15" t="s">
        <v>107</v>
      </c>
      <c r="J145" s="14" t="s">
        <v>108</v>
      </c>
      <c r="K145" s="14" t="s">
        <v>196</v>
      </c>
      <c r="L145" s="14" t="s">
        <v>246</v>
      </c>
      <c r="M145" s="14" t="s">
        <v>111</v>
      </c>
      <c r="N145" s="14" t="s">
        <v>112</v>
      </c>
      <c r="O145" s="14" t="s">
        <v>113</v>
      </c>
      <c r="P145" s="14" t="s">
        <v>492</v>
      </c>
      <c r="Q145" s="14" t="s">
        <v>227</v>
      </c>
      <c r="R145" s="14"/>
      <c r="S145" s="14"/>
      <c r="T145" s="14"/>
      <c r="U145" s="14" t="s">
        <v>22</v>
      </c>
      <c r="V145" s="14"/>
      <c r="W145" s="14" t="s">
        <v>381</v>
      </c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 t="s">
        <v>1196</v>
      </c>
      <c r="BR145" s="14" t="s">
        <v>804</v>
      </c>
      <c r="BS145" s="14" t="s">
        <v>1197</v>
      </c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R145" s="1" t="s">
        <v>152</v>
      </c>
      <c r="CS145" s="1" t="s">
        <v>121</v>
      </c>
      <c r="CT145" s="16" t="s">
        <v>969</v>
      </c>
      <c r="CU145" s="1" t="s">
        <v>192</v>
      </c>
      <c r="CV145" s="1" t="s">
        <v>124</v>
      </c>
      <c r="CW145" s="3"/>
      <c r="CY145" s="3" t="s">
        <v>205</v>
      </c>
      <c r="DG145" s="4"/>
    </row>
    <row r="146" customFormat="false" ht="11.25" hidden="false" customHeight="true" outlineLevel="0" collapsed="false">
      <c r="A146" s="14" t="n">
        <v>145</v>
      </c>
      <c r="B146" s="15" t="n">
        <v>46076.0579312153</v>
      </c>
      <c r="C146" s="15" t="n">
        <v>46076.0758710301</v>
      </c>
      <c r="D146" s="14" t="s">
        <v>1198</v>
      </c>
      <c r="E146" s="14" t="s">
        <v>1199</v>
      </c>
      <c r="F146" s="14" t="s">
        <v>1199</v>
      </c>
      <c r="G146" s="14" t="s">
        <v>1200</v>
      </c>
      <c r="H146" s="15" t="n">
        <v>46076</v>
      </c>
      <c r="I146" s="15" t="s">
        <v>107</v>
      </c>
      <c r="J146" s="14" t="s">
        <v>108</v>
      </c>
      <c r="K146" s="14" t="s">
        <v>257</v>
      </c>
      <c r="L146" s="14" t="s">
        <v>491</v>
      </c>
      <c r="M146" s="14" t="s">
        <v>111</v>
      </c>
      <c r="N146" s="14" t="s">
        <v>112</v>
      </c>
      <c r="O146" s="14" t="s">
        <v>113</v>
      </c>
      <c r="P146" s="14" t="s">
        <v>286</v>
      </c>
      <c r="Q146" s="14" t="s">
        <v>357</v>
      </c>
      <c r="R146" s="14"/>
      <c r="S146" s="14"/>
      <c r="T146" s="14"/>
      <c r="U146" s="14" t="s">
        <v>22</v>
      </c>
      <c r="V146" s="14"/>
      <c r="W146" s="14" t="s">
        <v>271</v>
      </c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 t="s">
        <v>1201</v>
      </c>
      <c r="BL146" s="14" t="s">
        <v>1069</v>
      </c>
      <c r="BM146" s="14" t="s">
        <v>1181</v>
      </c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R146" s="1" t="s">
        <v>152</v>
      </c>
      <c r="CS146" s="1" t="s">
        <v>121</v>
      </c>
      <c r="CT146" s="14" t="s">
        <v>122</v>
      </c>
      <c r="CU146" s="1" t="s">
        <v>123</v>
      </c>
      <c r="CV146" s="1" t="s">
        <v>124</v>
      </c>
      <c r="CW146" s="3"/>
      <c r="DG146" s="4"/>
    </row>
    <row r="147" customFormat="false" ht="11.25" hidden="false" customHeight="true" outlineLevel="0" collapsed="false">
      <c r="A147" s="14" t="n">
        <v>146</v>
      </c>
      <c r="B147" s="15" t="n">
        <v>46159.2703845023</v>
      </c>
      <c r="C147" s="15" t="n">
        <v>46159.280801169</v>
      </c>
      <c r="D147" s="14" t="s">
        <v>1202</v>
      </c>
      <c r="E147" s="14" t="s">
        <v>1203</v>
      </c>
      <c r="F147" s="14" t="s">
        <v>1204</v>
      </c>
      <c r="G147" s="14" t="s">
        <v>1205</v>
      </c>
      <c r="H147" s="15" t="n">
        <v>46155</v>
      </c>
      <c r="I147" s="15" t="s">
        <v>172</v>
      </c>
      <c r="J147" s="14" t="s">
        <v>108</v>
      </c>
      <c r="K147" s="14" t="s">
        <v>364</v>
      </c>
      <c r="L147" s="14" t="s">
        <v>233</v>
      </c>
      <c r="M147" s="14" t="s">
        <v>111</v>
      </c>
      <c r="N147" s="14" t="s">
        <v>112</v>
      </c>
      <c r="O147" s="14" t="s">
        <v>113</v>
      </c>
      <c r="P147" s="14" t="s">
        <v>774</v>
      </c>
      <c r="Q147" s="14" t="s">
        <v>347</v>
      </c>
      <c r="R147" s="14"/>
      <c r="S147" s="14"/>
      <c r="T147" s="14"/>
      <c r="U147" s="14" t="s">
        <v>24</v>
      </c>
      <c r="V147" s="14"/>
      <c r="W147" s="14"/>
      <c r="X147" s="14"/>
      <c r="Y147" s="14" t="s">
        <v>260</v>
      </c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 t="s">
        <v>1206</v>
      </c>
      <c r="CG147" s="14" t="s">
        <v>262</v>
      </c>
      <c r="CH147" s="14" t="s">
        <v>1207</v>
      </c>
      <c r="CI147" s="14"/>
      <c r="CJ147" s="14"/>
      <c r="CK147" s="14"/>
      <c r="CL147" s="14"/>
      <c r="CR147" s="1" t="s">
        <v>120</v>
      </c>
      <c r="CS147" s="1" t="s">
        <v>121</v>
      </c>
      <c r="CT147" s="14"/>
      <c r="CU147" s="1" t="s">
        <v>192</v>
      </c>
      <c r="CV147" s="1" t="s">
        <v>139</v>
      </c>
      <c r="CW147" s="3"/>
      <c r="DG147" s="4"/>
    </row>
    <row r="148" customFormat="false" ht="11.25" hidden="false" customHeight="true" outlineLevel="0" collapsed="false">
      <c r="A148" s="14" t="n">
        <v>147</v>
      </c>
      <c r="B148" s="15" t="n">
        <v>46199.6121458681</v>
      </c>
      <c r="C148" s="15" t="n">
        <v>46199.629634294</v>
      </c>
      <c r="D148" s="14" t="s">
        <v>1208</v>
      </c>
      <c r="E148" s="14" t="s">
        <v>1209</v>
      </c>
      <c r="F148" s="14" t="s">
        <v>1209</v>
      </c>
      <c r="G148" s="14" t="s">
        <v>1210</v>
      </c>
      <c r="H148" s="15" t="n">
        <v>46181</v>
      </c>
      <c r="I148" s="15" t="s">
        <v>244</v>
      </c>
      <c r="J148" s="14" t="s">
        <v>108</v>
      </c>
      <c r="K148" s="14" t="s">
        <v>232</v>
      </c>
      <c r="L148" s="14" t="s">
        <v>491</v>
      </c>
      <c r="M148" s="14" t="s">
        <v>111</v>
      </c>
      <c r="N148" s="14" t="s">
        <v>112</v>
      </c>
      <c r="O148" s="14" t="s">
        <v>325</v>
      </c>
      <c r="P148" s="14" t="s">
        <v>130</v>
      </c>
      <c r="Q148" s="14" t="s">
        <v>560</v>
      </c>
      <c r="R148" s="14"/>
      <c r="S148" s="14"/>
      <c r="T148" s="14"/>
      <c r="U148" s="14" t="s">
        <v>22</v>
      </c>
      <c r="V148" s="14"/>
      <c r="W148" s="14" t="s">
        <v>715</v>
      </c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 t="s">
        <v>1211</v>
      </c>
      <c r="BI148" s="14" t="s">
        <v>1212</v>
      </c>
      <c r="BJ148" s="14" t="s">
        <v>993</v>
      </c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R148" s="1" t="s">
        <v>152</v>
      </c>
      <c r="CS148" s="1" t="s">
        <v>121</v>
      </c>
      <c r="CT148" s="14"/>
      <c r="CU148" s="1" t="s">
        <v>123</v>
      </c>
      <c r="CV148" s="1" t="s">
        <v>124</v>
      </c>
      <c r="CW148" s="3"/>
      <c r="DG148" s="4"/>
    </row>
    <row r="149" customFormat="false" ht="11.25" hidden="false" customHeight="true" outlineLevel="0" collapsed="false">
      <c r="A149" s="14" t="n">
        <v>148</v>
      </c>
      <c r="B149" s="15" t="n">
        <v>46064.0931163773</v>
      </c>
      <c r="C149" s="15" t="n">
        <v>46064.1031048032</v>
      </c>
      <c r="D149" s="14" t="s">
        <v>1213</v>
      </c>
      <c r="E149" s="14" t="s">
        <v>1214</v>
      </c>
      <c r="F149" s="14" t="s">
        <v>1214</v>
      </c>
      <c r="G149" s="14" t="s">
        <v>1215</v>
      </c>
      <c r="H149" s="15" t="n">
        <v>46050</v>
      </c>
      <c r="I149" s="15" t="s">
        <v>172</v>
      </c>
      <c r="J149" s="14" t="s">
        <v>108</v>
      </c>
      <c r="K149" s="14" t="s">
        <v>1216</v>
      </c>
      <c r="L149" s="14" t="s">
        <v>184</v>
      </c>
      <c r="M149" s="14" t="s">
        <v>111</v>
      </c>
      <c r="N149" s="14" t="s">
        <v>247</v>
      </c>
      <c r="O149" s="14" t="s">
        <v>325</v>
      </c>
      <c r="P149" s="14" t="s">
        <v>1120</v>
      </c>
      <c r="Q149" s="14" t="s">
        <v>1078</v>
      </c>
      <c r="R149" s="14"/>
      <c r="S149" s="14"/>
      <c r="T149" s="14"/>
      <c r="U149" s="14" t="s">
        <v>22</v>
      </c>
      <c r="V149" s="14"/>
      <c r="W149" s="14" t="s">
        <v>148</v>
      </c>
      <c r="X149" s="14"/>
      <c r="Y149" s="14"/>
      <c r="Z149" s="14"/>
      <c r="AA149" s="14"/>
      <c r="AB149" s="14"/>
      <c r="AC149" s="14"/>
      <c r="AD149" s="14" t="s">
        <v>1217</v>
      </c>
      <c r="AE149" s="14" t="s">
        <v>1218</v>
      </c>
      <c r="AF149" s="14" t="s">
        <v>1219</v>
      </c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R149" s="1" t="s">
        <v>152</v>
      </c>
      <c r="CS149" s="1" t="s">
        <v>814</v>
      </c>
      <c r="CT149" s="14" t="s">
        <v>122</v>
      </c>
      <c r="CU149" s="1" t="s">
        <v>123</v>
      </c>
      <c r="CV149" s="1" t="s">
        <v>139</v>
      </c>
      <c r="CW149" s="3"/>
      <c r="DG149" s="4"/>
    </row>
    <row r="150" customFormat="false" ht="11.25" hidden="false" customHeight="true" outlineLevel="0" collapsed="false">
      <c r="A150" s="14" t="n">
        <v>149</v>
      </c>
      <c r="B150" s="15" t="n">
        <v>46159.5063958449</v>
      </c>
      <c r="C150" s="15" t="n">
        <v>46159.518282419</v>
      </c>
      <c r="D150" s="14" t="s">
        <v>1220</v>
      </c>
      <c r="E150" s="14" t="s">
        <v>1221</v>
      </c>
      <c r="F150" s="14" t="s">
        <v>1222</v>
      </c>
      <c r="G150" s="14" t="s">
        <v>1223</v>
      </c>
      <c r="H150" s="15" t="n">
        <v>46143</v>
      </c>
      <c r="I150" s="15" t="s">
        <v>157</v>
      </c>
      <c r="J150" s="14" t="s">
        <v>108</v>
      </c>
      <c r="K150" s="14" t="s">
        <v>257</v>
      </c>
      <c r="L150" s="14" t="s">
        <v>389</v>
      </c>
      <c r="M150" s="14" t="s">
        <v>111</v>
      </c>
      <c r="N150" s="14" t="s">
        <v>145</v>
      </c>
      <c r="O150" s="14" t="s">
        <v>863</v>
      </c>
      <c r="P150" s="14" t="s">
        <v>757</v>
      </c>
      <c r="Q150" s="14" t="s">
        <v>1224</v>
      </c>
      <c r="R150" s="14"/>
      <c r="S150" s="14"/>
      <c r="T150" s="14"/>
      <c r="U150" s="14" t="s">
        <v>22</v>
      </c>
      <c r="V150" s="14"/>
      <c r="W150" s="14" t="s">
        <v>116</v>
      </c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 t="s">
        <v>117</v>
      </c>
      <c r="BU150" s="14" t="s">
        <v>680</v>
      </c>
      <c r="BV150" s="14" t="s">
        <v>1225</v>
      </c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R150" s="1" t="s">
        <v>152</v>
      </c>
      <c r="CS150" s="1" t="s">
        <v>352</v>
      </c>
      <c r="CT150" s="14"/>
      <c r="CU150" s="1" t="s">
        <v>123</v>
      </c>
      <c r="CV150" s="1" t="s">
        <v>124</v>
      </c>
      <c r="CW150" s="3"/>
      <c r="DG150" s="4"/>
    </row>
    <row r="151" customFormat="false" ht="11.25" hidden="false" customHeight="true" outlineLevel="0" collapsed="false">
      <c r="A151" s="14" t="n">
        <v>150</v>
      </c>
      <c r="B151" s="15" t="n">
        <v>46142.9625404398</v>
      </c>
      <c r="C151" s="15" t="n">
        <v>46142.9720774769</v>
      </c>
      <c r="D151" s="14" t="s">
        <v>1226</v>
      </c>
      <c r="E151" s="14" t="s">
        <v>1227</v>
      </c>
      <c r="F151" s="14" t="s">
        <v>1227</v>
      </c>
      <c r="G151" s="14" t="s">
        <v>1228</v>
      </c>
      <c r="H151" s="15" t="n">
        <v>46142</v>
      </c>
      <c r="I151" s="15" t="s">
        <v>244</v>
      </c>
      <c r="J151" s="14" t="s">
        <v>108</v>
      </c>
      <c r="K151" s="14" t="s">
        <v>232</v>
      </c>
      <c r="L151" s="14" t="s">
        <v>246</v>
      </c>
      <c r="M151" s="14" t="s">
        <v>111</v>
      </c>
      <c r="N151" s="14" t="s">
        <v>145</v>
      </c>
      <c r="O151" s="14" t="s">
        <v>113</v>
      </c>
      <c r="P151" s="14" t="s">
        <v>447</v>
      </c>
      <c r="Q151" s="14" t="s">
        <v>1229</v>
      </c>
      <c r="R151" s="14"/>
      <c r="S151" s="14"/>
      <c r="T151" s="14"/>
      <c r="U151" s="14" t="s">
        <v>22</v>
      </c>
      <c r="V151" s="14"/>
      <c r="W151" s="14" t="s">
        <v>176</v>
      </c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 t="s">
        <v>1230</v>
      </c>
      <c r="AZ151" s="14" t="s">
        <v>1231</v>
      </c>
      <c r="BA151" s="14" t="s">
        <v>1232</v>
      </c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R151" s="1" t="s">
        <v>152</v>
      </c>
      <c r="CS151" s="1" t="s">
        <v>121</v>
      </c>
      <c r="CT151" s="14" t="s">
        <v>122</v>
      </c>
      <c r="CU151" s="1" t="s">
        <v>167</v>
      </c>
      <c r="CV151" s="1" t="s">
        <v>168</v>
      </c>
      <c r="CW151" s="3"/>
      <c r="DG151" s="4"/>
    </row>
    <row r="152" customFormat="false" ht="11.25" hidden="false" customHeight="true" outlineLevel="0" collapsed="false">
      <c r="A152" s="14" t="n">
        <v>151</v>
      </c>
      <c r="B152" s="15" t="n">
        <v>46038.5297490509</v>
      </c>
      <c r="C152" s="15" t="n">
        <v>46038.5503046065</v>
      </c>
      <c r="D152" s="14" t="s">
        <v>1233</v>
      </c>
      <c r="E152" s="14" t="s">
        <v>1234</v>
      </c>
      <c r="F152" s="14" t="s">
        <v>1234</v>
      </c>
      <c r="G152" s="14" t="s">
        <v>1235</v>
      </c>
      <c r="H152" s="15" t="n">
        <v>46036</v>
      </c>
      <c r="I152" s="15" t="s">
        <v>107</v>
      </c>
      <c r="J152" s="14" t="s">
        <v>108</v>
      </c>
      <c r="K152" s="14" t="s">
        <v>196</v>
      </c>
      <c r="L152" s="14" t="s">
        <v>346</v>
      </c>
      <c r="M152" s="14" t="s">
        <v>111</v>
      </c>
      <c r="N152" s="14" t="s">
        <v>112</v>
      </c>
      <c r="O152" s="14" t="s">
        <v>113</v>
      </c>
      <c r="P152" s="14" t="s">
        <v>248</v>
      </c>
      <c r="Q152" s="14" t="s">
        <v>945</v>
      </c>
      <c r="R152" s="14"/>
      <c r="S152" s="14"/>
      <c r="T152" s="14"/>
      <c r="U152" s="14" t="s">
        <v>25</v>
      </c>
      <c r="V152" s="14"/>
      <c r="W152" s="14"/>
      <c r="X152" s="14"/>
      <c r="Y152" s="14"/>
      <c r="Z152" s="14" t="s">
        <v>327</v>
      </c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 t="s">
        <v>162</v>
      </c>
      <c r="CJ152" s="14" t="s">
        <v>525</v>
      </c>
      <c r="CK152" s="14" t="s">
        <v>119</v>
      </c>
      <c r="CL152" s="14"/>
      <c r="CR152" s="1" t="s">
        <v>152</v>
      </c>
      <c r="CS152" s="1" t="s">
        <v>121</v>
      </c>
      <c r="CT152" s="14"/>
      <c r="CU152" s="1" t="s">
        <v>192</v>
      </c>
      <c r="CV152" s="1" t="s">
        <v>124</v>
      </c>
      <c r="CW152" s="3"/>
      <c r="DG152" s="4"/>
    </row>
    <row r="153" customFormat="false" ht="11.25" hidden="false" customHeight="true" outlineLevel="0" collapsed="false">
      <c r="A153" s="14" t="n">
        <v>152</v>
      </c>
      <c r="B153" s="15" t="n">
        <v>46138.9854885185</v>
      </c>
      <c r="C153" s="15" t="n">
        <v>46138.9887755556</v>
      </c>
      <c r="D153" s="14" t="s">
        <v>1236</v>
      </c>
      <c r="E153" s="14" t="s">
        <v>1237</v>
      </c>
      <c r="F153" s="14" t="s">
        <v>1237</v>
      </c>
      <c r="G153" s="14" t="s">
        <v>1238</v>
      </c>
      <c r="H153" s="15" t="n">
        <v>46134</v>
      </c>
      <c r="I153" s="15" t="s">
        <v>107</v>
      </c>
      <c r="J153" s="14" t="s">
        <v>295</v>
      </c>
      <c r="K153" s="14" t="s">
        <v>500</v>
      </c>
      <c r="L153" s="14" t="s">
        <v>389</v>
      </c>
      <c r="M153" s="14" t="s">
        <v>111</v>
      </c>
      <c r="N153" s="14" t="s">
        <v>145</v>
      </c>
      <c r="O153" s="14" t="s">
        <v>113</v>
      </c>
      <c r="P153" s="14" t="s">
        <v>212</v>
      </c>
      <c r="Q153" s="14" t="s">
        <v>432</v>
      </c>
      <c r="R153" s="14"/>
      <c r="S153" s="14"/>
      <c r="T153" s="14"/>
      <c r="U153" s="14" t="s">
        <v>21</v>
      </c>
      <c r="V153" s="14" t="s">
        <v>307</v>
      </c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 t="s">
        <v>986</v>
      </c>
      <c r="AT153" s="14" t="s">
        <v>546</v>
      </c>
      <c r="AU153" s="14" t="s">
        <v>472</v>
      </c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R153" s="1" t="s">
        <v>152</v>
      </c>
      <c r="CS153" s="1" t="s">
        <v>352</v>
      </c>
      <c r="CT153" s="14" t="s">
        <v>122</v>
      </c>
      <c r="CU153" s="1" t="s">
        <v>192</v>
      </c>
      <c r="CV153" s="1" t="s">
        <v>124</v>
      </c>
      <c r="CW153" s="3"/>
      <c r="DG153" s="4"/>
    </row>
    <row r="154" customFormat="false" ht="11.25" hidden="false" customHeight="true" outlineLevel="0" collapsed="false">
      <c r="A154" s="14" t="n">
        <v>153</v>
      </c>
      <c r="B154" s="15" t="n">
        <v>46066.934288044</v>
      </c>
      <c r="C154" s="15" t="n">
        <v>46066.9366723032</v>
      </c>
      <c r="D154" s="14" t="s">
        <v>1239</v>
      </c>
      <c r="E154" s="14" t="s">
        <v>1240</v>
      </c>
      <c r="F154" s="14" t="s">
        <v>1240</v>
      </c>
      <c r="G154" s="14" t="s">
        <v>1241</v>
      </c>
      <c r="H154" s="15" t="n">
        <v>46050</v>
      </c>
      <c r="I154" s="15" t="s">
        <v>107</v>
      </c>
      <c r="J154" s="14" t="s">
        <v>108</v>
      </c>
      <c r="K154" s="14" t="s">
        <v>1242</v>
      </c>
      <c r="L154" s="14" t="s">
        <v>491</v>
      </c>
      <c r="M154" s="14" t="s">
        <v>131</v>
      </c>
      <c r="N154" s="14" t="s">
        <v>145</v>
      </c>
      <c r="O154" s="14" t="s">
        <v>113</v>
      </c>
      <c r="P154" s="14" t="s">
        <v>566</v>
      </c>
      <c r="Q154" s="14" t="s">
        <v>1243</v>
      </c>
      <c r="R154" s="14"/>
      <c r="S154" s="14"/>
      <c r="T154" s="14"/>
      <c r="U154" s="14" t="s">
        <v>22</v>
      </c>
      <c r="V154" s="14"/>
      <c r="W154" s="14" t="s">
        <v>271</v>
      </c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 t="s">
        <v>722</v>
      </c>
      <c r="BL154" s="14" t="s">
        <v>1244</v>
      </c>
      <c r="BM154" s="14" t="s">
        <v>319</v>
      </c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R154" s="1" t="s">
        <v>227</v>
      </c>
      <c r="CS154" s="1" t="s">
        <v>180</v>
      </c>
      <c r="CT154" s="14" t="s">
        <v>1245</v>
      </c>
      <c r="CU154" s="1" t="s">
        <v>123</v>
      </c>
      <c r="CV154" s="1" t="s">
        <v>168</v>
      </c>
      <c r="CW154" s="3"/>
      <c r="DG154" s="4"/>
    </row>
    <row r="155" customFormat="false" ht="11.25" hidden="false" customHeight="true" outlineLevel="0" collapsed="false">
      <c r="A155" s="14" t="n">
        <v>154</v>
      </c>
      <c r="B155" s="15" t="n">
        <v>46108.3405829051</v>
      </c>
      <c r="C155" s="15" t="n">
        <v>46108.3499926273</v>
      </c>
      <c r="D155" s="14" t="s">
        <v>1246</v>
      </c>
      <c r="E155" s="14" t="s">
        <v>1247</v>
      </c>
      <c r="F155" s="14" t="s">
        <v>1247</v>
      </c>
      <c r="G155" s="14" t="s">
        <v>1248</v>
      </c>
      <c r="H155" s="15" t="n">
        <v>46107</v>
      </c>
      <c r="I155" s="15" t="s">
        <v>172</v>
      </c>
      <c r="J155" s="14" t="s">
        <v>108</v>
      </c>
      <c r="K155" s="14" t="s">
        <v>462</v>
      </c>
      <c r="L155" s="14" t="s">
        <v>431</v>
      </c>
      <c r="M155" s="14" t="s">
        <v>111</v>
      </c>
      <c r="N155" s="14" t="s">
        <v>112</v>
      </c>
      <c r="O155" s="14" t="s">
        <v>113</v>
      </c>
      <c r="P155" s="14" t="s">
        <v>789</v>
      </c>
      <c r="Q155" s="14" t="s">
        <v>1140</v>
      </c>
      <c r="R155" s="14"/>
      <c r="S155" s="14"/>
      <c r="T155" s="14"/>
      <c r="U155" s="14" t="s">
        <v>22</v>
      </c>
      <c r="V155" s="14"/>
      <c r="W155" s="14" t="s">
        <v>381</v>
      </c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 t="s">
        <v>1249</v>
      </c>
      <c r="BR155" s="14" t="s">
        <v>1250</v>
      </c>
      <c r="BS155" s="14" t="s">
        <v>805</v>
      </c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R155" s="1" t="s">
        <v>120</v>
      </c>
      <c r="CS155" s="1" t="s">
        <v>180</v>
      </c>
      <c r="CT155" s="14"/>
      <c r="CU155" s="1" t="s">
        <v>192</v>
      </c>
      <c r="CV155" s="1" t="s">
        <v>124</v>
      </c>
      <c r="CW155" s="3"/>
      <c r="DG155" s="4"/>
    </row>
    <row r="156" customFormat="false" ht="11.25" hidden="false" customHeight="true" outlineLevel="0" collapsed="false">
      <c r="A156" s="14" t="n">
        <v>155</v>
      </c>
      <c r="B156" s="15" t="n">
        <v>46094.0046535648</v>
      </c>
      <c r="C156" s="15" t="n">
        <v>46094.0202322685</v>
      </c>
      <c r="D156" s="14" t="s">
        <v>1251</v>
      </c>
      <c r="E156" s="14" t="s">
        <v>1252</v>
      </c>
      <c r="F156" s="14" t="s">
        <v>1252</v>
      </c>
      <c r="G156" s="14" t="s">
        <v>1253</v>
      </c>
      <c r="H156" s="15" t="n">
        <v>46078</v>
      </c>
      <c r="I156" s="15" t="s">
        <v>107</v>
      </c>
      <c r="J156" s="14" t="s">
        <v>108</v>
      </c>
      <c r="K156" s="14" t="s">
        <v>1254</v>
      </c>
      <c r="L156" s="14" t="s">
        <v>491</v>
      </c>
      <c r="M156" s="14" t="s">
        <v>111</v>
      </c>
      <c r="N156" s="14" t="s">
        <v>145</v>
      </c>
      <c r="O156" s="14" t="s">
        <v>113</v>
      </c>
      <c r="P156" s="14" t="s">
        <v>885</v>
      </c>
      <c r="Q156" s="14" t="s">
        <v>1255</v>
      </c>
      <c r="R156" s="14"/>
      <c r="S156" s="14"/>
      <c r="T156" s="14" t="s">
        <v>880</v>
      </c>
      <c r="U156" s="14" t="s">
        <v>24</v>
      </c>
      <c r="V156" s="14"/>
      <c r="W156" s="14"/>
      <c r="X156" s="14"/>
      <c r="Y156" s="14" t="s">
        <v>19</v>
      </c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R156" s="1" t="s">
        <v>120</v>
      </c>
      <c r="CS156" s="1" t="s">
        <v>121</v>
      </c>
      <c r="CT156" s="14" t="s">
        <v>994</v>
      </c>
      <c r="CU156" s="1" t="s">
        <v>167</v>
      </c>
      <c r="CV156" s="1" t="s">
        <v>168</v>
      </c>
      <c r="CW156" s="3"/>
      <c r="DG156" s="4"/>
    </row>
    <row r="157" customFormat="false" ht="11.25" hidden="false" customHeight="true" outlineLevel="0" collapsed="false">
      <c r="A157" s="14" t="n">
        <v>156</v>
      </c>
      <c r="B157" s="15" t="n">
        <v>46049.8815622685</v>
      </c>
      <c r="C157" s="15" t="n">
        <v>46049.8865969907</v>
      </c>
      <c r="D157" s="14" t="s">
        <v>1256</v>
      </c>
      <c r="E157" s="14" t="s">
        <v>1257</v>
      </c>
      <c r="F157" s="14" t="s">
        <v>1257</v>
      </c>
      <c r="G157" s="14" t="s">
        <v>1258</v>
      </c>
      <c r="H157" s="15" t="n">
        <v>46036</v>
      </c>
      <c r="I157" s="15" t="s">
        <v>244</v>
      </c>
      <c r="J157" s="14" t="s">
        <v>108</v>
      </c>
      <c r="K157" s="14" t="s">
        <v>462</v>
      </c>
      <c r="L157" s="14" t="s">
        <v>197</v>
      </c>
      <c r="M157" s="14" t="s">
        <v>131</v>
      </c>
      <c r="N157" s="14" t="s">
        <v>112</v>
      </c>
      <c r="O157" s="14" t="s">
        <v>305</v>
      </c>
      <c r="P157" s="14" t="s">
        <v>797</v>
      </c>
      <c r="Q157" s="14" t="s">
        <v>235</v>
      </c>
      <c r="R157" s="14"/>
      <c r="S157" s="14"/>
      <c r="T157" s="14"/>
      <c r="U157" s="14" t="s">
        <v>22</v>
      </c>
      <c r="V157" s="14"/>
      <c r="W157" s="14" t="s">
        <v>148</v>
      </c>
      <c r="X157" s="14"/>
      <c r="Y157" s="14"/>
      <c r="Z157" s="14"/>
      <c r="AA157" s="14"/>
      <c r="AB157" s="14"/>
      <c r="AC157" s="14"/>
      <c r="AD157" s="14" t="s">
        <v>149</v>
      </c>
      <c r="AE157" s="14" t="s">
        <v>1259</v>
      </c>
      <c r="AF157" s="14" t="s">
        <v>1260</v>
      </c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R157" s="1" t="s">
        <v>152</v>
      </c>
      <c r="CS157" s="1" t="s">
        <v>352</v>
      </c>
      <c r="CT157" s="14" t="s">
        <v>122</v>
      </c>
      <c r="CU157" s="1" t="s">
        <v>192</v>
      </c>
      <c r="CV157" s="1" t="s">
        <v>139</v>
      </c>
      <c r="CW157" s="3"/>
      <c r="DG157" s="4"/>
    </row>
    <row r="158" customFormat="false" ht="11.25" hidden="false" customHeight="true" outlineLevel="0" collapsed="false">
      <c r="A158" s="14" t="n">
        <v>157</v>
      </c>
      <c r="B158" s="15" t="n">
        <v>46210.8870052315</v>
      </c>
      <c r="C158" s="15" t="n">
        <v>46210.8969473611</v>
      </c>
      <c r="D158" s="14" t="s">
        <v>1261</v>
      </c>
      <c r="E158" s="14" t="s">
        <v>1262</v>
      </c>
      <c r="F158" s="14" t="s">
        <v>1262</v>
      </c>
      <c r="G158" s="14" t="s">
        <v>1263</v>
      </c>
      <c r="H158" s="15" t="n">
        <v>46197</v>
      </c>
      <c r="I158" s="15" t="s">
        <v>278</v>
      </c>
      <c r="J158" s="14" t="s">
        <v>295</v>
      </c>
      <c r="K158" s="14" t="s">
        <v>1264</v>
      </c>
      <c r="L158" s="14" t="s">
        <v>346</v>
      </c>
      <c r="M158" s="14" t="s">
        <v>111</v>
      </c>
      <c r="N158" s="14" t="s">
        <v>145</v>
      </c>
      <c r="O158" s="14" t="s">
        <v>132</v>
      </c>
      <c r="P158" s="14" t="s">
        <v>365</v>
      </c>
      <c r="Q158" s="14" t="s">
        <v>625</v>
      </c>
      <c r="R158" s="14"/>
      <c r="S158" s="14"/>
      <c r="T158" s="14"/>
      <c r="U158" s="14" t="s">
        <v>25</v>
      </c>
      <c r="V158" s="14"/>
      <c r="W158" s="14"/>
      <c r="X158" s="14"/>
      <c r="Y158" s="14"/>
      <c r="Z158" s="14" t="s">
        <v>327</v>
      </c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 t="s">
        <v>679</v>
      </c>
      <c r="CJ158" s="14" t="s">
        <v>960</v>
      </c>
      <c r="CK158" s="14" t="s">
        <v>330</v>
      </c>
      <c r="CL158" s="14"/>
      <c r="CR158" s="1" t="s">
        <v>120</v>
      </c>
      <c r="CS158" s="1" t="s">
        <v>121</v>
      </c>
      <c r="CT158" s="14" t="s">
        <v>1032</v>
      </c>
      <c r="CU158" s="1" t="s">
        <v>192</v>
      </c>
      <c r="CV158" s="1" t="s">
        <v>168</v>
      </c>
      <c r="CW158" s="3"/>
      <c r="DG158" s="4"/>
    </row>
    <row r="159" customFormat="false" ht="11.25" hidden="false" customHeight="true" outlineLevel="0" collapsed="false">
      <c r="A159" s="14" t="n">
        <v>158</v>
      </c>
      <c r="B159" s="15" t="n">
        <v>46043.7022185532</v>
      </c>
      <c r="C159" s="15" t="n">
        <v>46043.7137231829</v>
      </c>
      <c r="D159" s="14" t="s">
        <v>1265</v>
      </c>
      <c r="E159" s="14" t="s">
        <v>1266</v>
      </c>
      <c r="F159" s="14" t="s">
        <v>1266</v>
      </c>
      <c r="G159" s="14" t="s">
        <v>1267</v>
      </c>
      <c r="H159" s="15" t="n">
        <v>46038</v>
      </c>
      <c r="I159" s="15" t="s">
        <v>244</v>
      </c>
      <c r="J159" s="14" t="s">
        <v>108</v>
      </c>
      <c r="K159" s="14" t="s">
        <v>196</v>
      </c>
      <c r="L159" s="14" t="s">
        <v>491</v>
      </c>
      <c r="M159" s="14" t="s">
        <v>211</v>
      </c>
      <c r="N159" s="14" t="s">
        <v>112</v>
      </c>
      <c r="O159" s="14" t="s">
        <v>1268</v>
      </c>
      <c r="P159" s="14" t="s">
        <v>543</v>
      </c>
      <c r="Q159" s="14" t="s">
        <v>227</v>
      </c>
      <c r="R159" s="14"/>
      <c r="S159" s="14"/>
      <c r="T159" s="14"/>
      <c r="U159" s="14" t="s">
        <v>22</v>
      </c>
      <c r="V159" s="14"/>
      <c r="W159" s="14" t="s">
        <v>339</v>
      </c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 t="s">
        <v>1269</v>
      </c>
      <c r="BO159" s="14" t="s">
        <v>1270</v>
      </c>
      <c r="BP159" s="14" t="s">
        <v>1271</v>
      </c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R159" s="1" t="s">
        <v>152</v>
      </c>
      <c r="CS159" s="1" t="s">
        <v>121</v>
      </c>
      <c r="CT159" s="14" t="s">
        <v>853</v>
      </c>
      <c r="CU159" s="1" t="s">
        <v>192</v>
      </c>
      <c r="CV159" s="1" t="s">
        <v>124</v>
      </c>
      <c r="CW159" s="3" t="s">
        <v>370</v>
      </c>
      <c r="CY159" s="3" t="s">
        <v>205</v>
      </c>
      <c r="DG159" s="4"/>
    </row>
    <row r="160" customFormat="false" ht="11.25" hidden="false" customHeight="true" outlineLevel="0" collapsed="false">
      <c r="A160" s="14" t="n">
        <v>159</v>
      </c>
      <c r="B160" s="15" t="n">
        <v>46172.5223615278</v>
      </c>
      <c r="C160" s="15" t="n">
        <v>46172.5288314352</v>
      </c>
      <c r="D160" s="14" t="s">
        <v>1272</v>
      </c>
      <c r="E160" s="14" t="s">
        <v>1273</v>
      </c>
      <c r="F160" s="14" t="s">
        <v>1273</v>
      </c>
      <c r="G160" s="14" t="s">
        <v>1274</v>
      </c>
      <c r="H160" s="15" t="n">
        <v>46164</v>
      </c>
      <c r="I160" s="15" t="s">
        <v>713</v>
      </c>
      <c r="J160" s="14" t="s">
        <v>108</v>
      </c>
      <c r="K160" s="14" t="s">
        <v>364</v>
      </c>
      <c r="L160" s="14" t="s">
        <v>114</v>
      </c>
      <c r="M160" s="14" t="s">
        <v>111</v>
      </c>
      <c r="N160" s="14" t="s">
        <v>112</v>
      </c>
      <c r="O160" s="14" t="s">
        <v>113</v>
      </c>
      <c r="P160" s="14" t="s">
        <v>501</v>
      </c>
      <c r="Q160" s="14" t="s">
        <v>638</v>
      </c>
      <c r="R160" s="14"/>
      <c r="S160" s="14"/>
      <c r="T160" s="14"/>
      <c r="U160" s="14" t="s">
        <v>22</v>
      </c>
      <c r="V160" s="14"/>
      <c r="W160" s="14" t="s">
        <v>715</v>
      </c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 t="s">
        <v>1275</v>
      </c>
      <c r="BI160" s="14" t="s">
        <v>1276</v>
      </c>
      <c r="BJ160" s="14" t="s">
        <v>1277</v>
      </c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R160" s="1" t="s">
        <v>152</v>
      </c>
      <c r="CS160" s="1" t="s">
        <v>264</v>
      </c>
      <c r="CT160" s="14" t="s">
        <v>1278</v>
      </c>
      <c r="CU160" s="1" t="s">
        <v>192</v>
      </c>
      <c r="CV160" s="1" t="s">
        <v>124</v>
      </c>
      <c r="CW160" s="3"/>
      <c r="DG160" s="4"/>
    </row>
    <row r="161" customFormat="false" ht="11.25" hidden="false" customHeight="true" outlineLevel="0" collapsed="false">
      <c r="A161" s="14" t="n">
        <v>160</v>
      </c>
      <c r="B161" s="15" t="n">
        <v>46203.1277212037</v>
      </c>
      <c r="C161" s="15" t="n">
        <v>46203.130429537</v>
      </c>
      <c r="D161" s="14" t="s">
        <v>1279</v>
      </c>
      <c r="E161" s="14" t="s">
        <v>1280</v>
      </c>
      <c r="F161" s="14" t="s">
        <v>1280</v>
      </c>
      <c r="G161" s="14" t="s">
        <v>1281</v>
      </c>
      <c r="H161" s="15" t="n">
        <v>46190</v>
      </c>
      <c r="I161" s="15" t="s">
        <v>172</v>
      </c>
      <c r="J161" s="14" t="s">
        <v>128</v>
      </c>
      <c r="K161" s="14" t="s">
        <v>143</v>
      </c>
      <c r="L161" s="14" t="s">
        <v>246</v>
      </c>
      <c r="M161" s="14" t="s">
        <v>111</v>
      </c>
      <c r="N161" s="14" t="s">
        <v>112</v>
      </c>
      <c r="O161" s="14" t="s">
        <v>113</v>
      </c>
      <c r="P161" s="14" t="s">
        <v>144</v>
      </c>
      <c r="Q161" s="14" t="s">
        <v>1042</v>
      </c>
      <c r="R161" s="14"/>
      <c r="S161" s="14"/>
      <c r="T161" s="14"/>
      <c r="U161" s="14" t="s">
        <v>22</v>
      </c>
      <c r="V161" s="14"/>
      <c r="W161" s="14" t="s">
        <v>298</v>
      </c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 t="s">
        <v>1282</v>
      </c>
      <c r="AW161" s="14" t="s">
        <v>1283</v>
      </c>
      <c r="AX161" s="14" t="s">
        <v>1284</v>
      </c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R161" s="1" t="s">
        <v>152</v>
      </c>
      <c r="CS161" s="1" t="s">
        <v>121</v>
      </c>
      <c r="CT161" s="14" t="s">
        <v>122</v>
      </c>
      <c r="CU161" s="1" t="s">
        <v>123</v>
      </c>
      <c r="CV161" s="1" t="s">
        <v>124</v>
      </c>
      <c r="CW161" s="3"/>
      <c r="DG161" s="4"/>
    </row>
    <row r="162" customFormat="false" ht="11.25" hidden="false" customHeight="true" outlineLevel="0" collapsed="false">
      <c r="A162" s="14" t="n">
        <v>161</v>
      </c>
      <c r="B162" s="15" t="n">
        <v>46039.0781395255</v>
      </c>
      <c r="C162" s="15" t="n">
        <v>46039.0857436921</v>
      </c>
      <c r="D162" s="14" t="s">
        <v>1285</v>
      </c>
      <c r="E162" s="14" t="s">
        <v>1286</v>
      </c>
      <c r="F162" s="14" t="s">
        <v>1286</v>
      </c>
      <c r="G162" s="14" t="s">
        <v>1287</v>
      </c>
      <c r="H162" s="15" t="n">
        <v>46026</v>
      </c>
      <c r="I162" s="15" t="s">
        <v>278</v>
      </c>
      <c r="J162" s="14" t="s">
        <v>108</v>
      </c>
      <c r="K162" s="14" t="s">
        <v>1288</v>
      </c>
      <c r="L162" s="14" t="s">
        <v>286</v>
      </c>
      <c r="M162" s="14" t="s">
        <v>111</v>
      </c>
      <c r="N162" s="14" t="s">
        <v>112</v>
      </c>
      <c r="O162" s="14" t="s">
        <v>113</v>
      </c>
      <c r="P162" s="14" t="s">
        <v>515</v>
      </c>
      <c r="Q162" s="14" t="s">
        <v>893</v>
      </c>
      <c r="R162" s="14"/>
      <c r="S162" s="14"/>
      <c r="T162" s="14"/>
      <c r="U162" s="14" t="s">
        <v>22</v>
      </c>
      <c r="V162" s="14"/>
      <c r="W162" s="14" t="s">
        <v>176</v>
      </c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 t="s">
        <v>1289</v>
      </c>
      <c r="AZ162" s="14" t="s">
        <v>1290</v>
      </c>
      <c r="BA162" s="14" t="s">
        <v>179</v>
      </c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R162" s="1" t="s">
        <v>152</v>
      </c>
      <c r="CS162" s="1" t="s">
        <v>121</v>
      </c>
      <c r="CT162" s="14"/>
      <c r="CU162" s="1" t="s">
        <v>192</v>
      </c>
      <c r="CV162" s="1" t="s">
        <v>168</v>
      </c>
      <c r="CW162" s="3"/>
      <c r="DG162" s="4"/>
    </row>
    <row r="163" customFormat="false" ht="11.25" hidden="false" customHeight="true" outlineLevel="0" collapsed="false">
      <c r="A163" s="14" t="n">
        <v>162</v>
      </c>
      <c r="B163" s="15" t="n">
        <v>46108.275349132</v>
      </c>
      <c r="C163" s="15" t="n">
        <v>46108.2957657986</v>
      </c>
      <c r="D163" s="14" t="s">
        <v>1291</v>
      </c>
      <c r="E163" s="14" t="s">
        <v>1292</v>
      </c>
      <c r="F163" s="14" t="s">
        <v>1292</v>
      </c>
      <c r="G163" s="14" t="s">
        <v>1293</v>
      </c>
      <c r="H163" s="15" t="n">
        <v>46094</v>
      </c>
      <c r="I163" s="15" t="s">
        <v>107</v>
      </c>
      <c r="J163" s="14" t="s">
        <v>295</v>
      </c>
      <c r="K163" s="14" t="s">
        <v>1294</v>
      </c>
      <c r="L163" s="14" t="s">
        <v>491</v>
      </c>
      <c r="M163" s="14" t="s">
        <v>111</v>
      </c>
      <c r="N163" s="14" t="s">
        <v>145</v>
      </c>
      <c r="O163" s="14" t="s">
        <v>113</v>
      </c>
      <c r="P163" s="14" t="s">
        <v>357</v>
      </c>
      <c r="Q163" s="14" t="s">
        <v>945</v>
      </c>
      <c r="R163" s="14"/>
      <c r="S163" s="14"/>
      <c r="T163" s="14"/>
      <c r="U163" s="14" t="s">
        <v>22</v>
      </c>
      <c r="V163" s="14"/>
      <c r="W163" s="14" t="s">
        <v>298</v>
      </c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 t="s">
        <v>1295</v>
      </c>
      <c r="AW163" s="14" t="s">
        <v>967</v>
      </c>
      <c r="AX163" s="14" t="s">
        <v>1296</v>
      </c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R163" s="1" t="s">
        <v>152</v>
      </c>
      <c r="CS163" s="1" t="s">
        <v>352</v>
      </c>
      <c r="CT163" s="14" t="s">
        <v>122</v>
      </c>
      <c r="CU163" s="1" t="s">
        <v>192</v>
      </c>
      <c r="CV163" s="1" t="s">
        <v>124</v>
      </c>
      <c r="CW163" s="3"/>
      <c r="CX163" s="3" t="s">
        <v>331</v>
      </c>
      <c r="DG163" s="4"/>
    </row>
    <row r="164" customFormat="false" ht="11.25" hidden="false" customHeight="true" outlineLevel="0" collapsed="false">
      <c r="A164" s="14" t="n">
        <v>163</v>
      </c>
      <c r="B164" s="15" t="n">
        <v>46124.772386007</v>
      </c>
      <c r="C164" s="15" t="n">
        <v>46124.7896082292</v>
      </c>
      <c r="D164" s="14" t="s">
        <v>1297</v>
      </c>
      <c r="E164" s="14" t="s">
        <v>1298</v>
      </c>
      <c r="F164" s="14" t="s">
        <v>1298</v>
      </c>
      <c r="G164" s="14" t="s">
        <v>1299</v>
      </c>
      <c r="H164" s="15" t="n">
        <v>46108</v>
      </c>
      <c r="I164" s="15" t="s">
        <v>107</v>
      </c>
      <c r="J164" s="14" t="s">
        <v>108</v>
      </c>
      <c r="K164" s="14" t="s">
        <v>1300</v>
      </c>
      <c r="L164" s="14" t="s">
        <v>346</v>
      </c>
      <c r="M164" s="14" t="s">
        <v>111</v>
      </c>
      <c r="N164" s="14" t="s">
        <v>112</v>
      </c>
      <c r="O164" s="14" t="s">
        <v>113</v>
      </c>
      <c r="P164" s="14" t="s">
        <v>212</v>
      </c>
      <c r="Q164" s="14" t="s">
        <v>775</v>
      </c>
      <c r="R164" s="14"/>
      <c r="S164" s="14"/>
      <c r="T164" s="14"/>
      <c r="U164" s="14" t="s">
        <v>22</v>
      </c>
      <c r="V164" s="14"/>
      <c r="W164" s="14" t="s">
        <v>271</v>
      </c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 t="s">
        <v>1179</v>
      </c>
      <c r="BL164" s="14" t="s">
        <v>1301</v>
      </c>
      <c r="BM164" s="14" t="s">
        <v>1302</v>
      </c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R164" s="1" t="s">
        <v>120</v>
      </c>
      <c r="CS164" s="1" t="s">
        <v>121</v>
      </c>
      <c r="CT164" s="14"/>
      <c r="CU164" s="1" t="s">
        <v>123</v>
      </c>
      <c r="CV164" s="1" t="s">
        <v>139</v>
      </c>
      <c r="CW164" s="3"/>
      <c r="DG164" s="4"/>
    </row>
    <row r="165" customFormat="false" ht="11.25" hidden="false" customHeight="true" outlineLevel="0" collapsed="false">
      <c r="A165" s="14" t="n">
        <v>164</v>
      </c>
      <c r="B165" s="15" t="n">
        <v>46212.7231392361</v>
      </c>
      <c r="C165" s="15" t="n">
        <v>46212.7370744213</v>
      </c>
      <c r="D165" s="14" t="s">
        <v>1303</v>
      </c>
      <c r="E165" s="14" t="s">
        <v>1304</v>
      </c>
      <c r="F165" s="14" t="s">
        <v>1304</v>
      </c>
      <c r="G165" s="14" t="s">
        <v>1305</v>
      </c>
      <c r="H165" s="15" t="n">
        <v>46200</v>
      </c>
      <c r="I165" s="15" t="s">
        <v>278</v>
      </c>
      <c r="J165" s="14" t="s">
        <v>108</v>
      </c>
      <c r="K165" s="14" t="s">
        <v>257</v>
      </c>
      <c r="L165" s="14" t="s">
        <v>130</v>
      </c>
      <c r="M165" s="14" t="s">
        <v>111</v>
      </c>
      <c r="N165" s="14" t="s">
        <v>198</v>
      </c>
      <c r="O165" s="14" t="s">
        <v>113</v>
      </c>
      <c r="P165" s="14" t="s">
        <v>864</v>
      </c>
      <c r="Q165" s="14" t="s">
        <v>1306</v>
      </c>
      <c r="R165" s="14"/>
      <c r="S165" s="14"/>
      <c r="T165" s="14"/>
      <c r="U165" s="14" t="s">
        <v>22</v>
      </c>
      <c r="V165" s="14"/>
      <c r="W165" s="14" t="s">
        <v>339</v>
      </c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 t="s">
        <v>1307</v>
      </c>
      <c r="BO165" s="14" t="s">
        <v>1308</v>
      </c>
      <c r="BP165" s="14" t="s">
        <v>1309</v>
      </c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R165" s="1" t="s">
        <v>152</v>
      </c>
      <c r="CS165" s="1" t="s">
        <v>121</v>
      </c>
      <c r="CT165" s="14" t="s">
        <v>1174</v>
      </c>
      <c r="CU165" s="1" t="s">
        <v>167</v>
      </c>
      <c r="CV165" s="1" t="s">
        <v>124</v>
      </c>
      <c r="CW165" s="3"/>
      <c r="DG165" s="4"/>
    </row>
    <row r="166" customFormat="false" ht="11.25" hidden="false" customHeight="true" outlineLevel="0" collapsed="false">
      <c r="A166" s="14" t="n">
        <v>165</v>
      </c>
      <c r="B166" s="15" t="n">
        <v>46103.8210080324</v>
      </c>
      <c r="C166" s="15" t="n">
        <v>46103.8297927546</v>
      </c>
      <c r="D166" s="14" t="s">
        <v>1310</v>
      </c>
      <c r="E166" s="14" t="s">
        <v>1311</v>
      </c>
      <c r="F166" s="14" t="s">
        <v>1311</v>
      </c>
      <c r="G166" s="14" t="s">
        <v>1312</v>
      </c>
      <c r="H166" s="15" t="n">
        <v>46086</v>
      </c>
      <c r="I166" s="15" t="s">
        <v>107</v>
      </c>
      <c r="J166" s="14" t="s">
        <v>295</v>
      </c>
      <c r="K166" s="14" t="s">
        <v>143</v>
      </c>
      <c r="L166" s="14" t="s">
        <v>431</v>
      </c>
      <c r="M166" s="14" t="s">
        <v>111</v>
      </c>
      <c r="N166" s="14" t="s">
        <v>145</v>
      </c>
      <c r="O166" s="14" t="s">
        <v>113</v>
      </c>
      <c r="P166" s="14" t="s">
        <v>1313</v>
      </c>
      <c r="Q166" s="14" t="s">
        <v>270</v>
      </c>
      <c r="R166" s="14"/>
      <c r="S166" s="14"/>
      <c r="T166" s="14"/>
      <c r="U166" s="14" t="s">
        <v>25</v>
      </c>
      <c r="V166" s="14"/>
      <c r="W166" s="14"/>
      <c r="X166" s="14"/>
      <c r="Y166" s="14"/>
      <c r="Z166" s="14" t="s">
        <v>327</v>
      </c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 t="s">
        <v>251</v>
      </c>
      <c r="CJ166" s="14" t="s">
        <v>745</v>
      </c>
      <c r="CK166" s="14" t="s">
        <v>681</v>
      </c>
      <c r="CL166" s="14"/>
      <c r="CR166" s="1" t="s">
        <v>152</v>
      </c>
      <c r="CS166" s="1" t="s">
        <v>264</v>
      </c>
      <c r="CT166" s="14" t="s">
        <v>1314</v>
      </c>
      <c r="CU166" s="1" t="s">
        <v>167</v>
      </c>
      <c r="CV166" s="1" t="s">
        <v>124</v>
      </c>
      <c r="CW166" s="3"/>
      <c r="DG166" s="4"/>
    </row>
    <row r="167" customFormat="false" ht="11.25" hidden="false" customHeight="true" outlineLevel="0" collapsed="false">
      <c r="A167" s="14" t="n">
        <v>166</v>
      </c>
      <c r="B167" s="15" t="n">
        <v>46174.8375541088</v>
      </c>
      <c r="C167" s="15" t="n">
        <v>46174.8540355903</v>
      </c>
      <c r="D167" s="14" t="s">
        <v>1315</v>
      </c>
      <c r="E167" s="14" t="s">
        <v>1316</v>
      </c>
      <c r="F167" s="14" t="s">
        <v>1316</v>
      </c>
      <c r="G167" s="14" t="s">
        <v>1317</v>
      </c>
      <c r="H167" s="15" t="n">
        <v>46168</v>
      </c>
      <c r="I167" s="15" t="s">
        <v>107</v>
      </c>
      <c r="J167" s="14" t="s">
        <v>108</v>
      </c>
      <c r="K167" s="14" t="s">
        <v>232</v>
      </c>
      <c r="L167" s="14" t="s">
        <v>184</v>
      </c>
      <c r="M167" s="14" t="s">
        <v>111</v>
      </c>
      <c r="N167" s="14" t="s">
        <v>112</v>
      </c>
      <c r="O167" s="14" t="s">
        <v>113</v>
      </c>
      <c r="P167" s="14" t="s">
        <v>1120</v>
      </c>
      <c r="Q167" s="14" t="s">
        <v>1036</v>
      </c>
      <c r="R167" s="14"/>
      <c r="S167" s="14"/>
      <c r="T167" s="14"/>
      <c r="U167" s="14" t="s">
        <v>24</v>
      </c>
      <c r="V167" s="14"/>
      <c r="W167" s="14"/>
      <c r="X167" s="14"/>
      <c r="Y167" s="14" t="s">
        <v>223</v>
      </c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 t="s">
        <v>1318</v>
      </c>
      <c r="CA167" s="14" t="s">
        <v>1319</v>
      </c>
      <c r="CB167" s="14" t="s">
        <v>511</v>
      </c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R167" s="1" t="s">
        <v>152</v>
      </c>
      <c r="CS167" s="1" t="s">
        <v>121</v>
      </c>
      <c r="CT167" s="14" t="s">
        <v>122</v>
      </c>
      <c r="CU167" s="1" t="s">
        <v>167</v>
      </c>
      <c r="CV167" s="1" t="s">
        <v>139</v>
      </c>
      <c r="CW167" s="3"/>
      <c r="DG167" s="4"/>
    </row>
    <row r="168" customFormat="false" ht="11.25" hidden="false" customHeight="true" outlineLevel="0" collapsed="false">
      <c r="A168" s="14" t="n">
        <v>167</v>
      </c>
      <c r="B168" s="15" t="n">
        <v>46082.5732433565</v>
      </c>
      <c r="C168" s="15" t="n">
        <v>46082.5794702083</v>
      </c>
      <c r="D168" s="14" t="s">
        <v>1320</v>
      </c>
      <c r="E168" s="14" t="s">
        <v>1321</v>
      </c>
      <c r="F168" s="14" t="s">
        <v>1321</v>
      </c>
      <c r="G168" s="14" t="s">
        <v>1322</v>
      </c>
      <c r="H168" s="15" t="n">
        <v>46068</v>
      </c>
      <c r="I168" s="15" t="s">
        <v>157</v>
      </c>
      <c r="J168" s="14" t="s">
        <v>108</v>
      </c>
      <c r="K168" s="14" t="s">
        <v>196</v>
      </c>
      <c r="L168" s="14" t="s">
        <v>184</v>
      </c>
      <c r="M168" s="14" t="s">
        <v>111</v>
      </c>
      <c r="N168" s="14" t="s">
        <v>145</v>
      </c>
      <c r="O168" s="14" t="s">
        <v>113</v>
      </c>
      <c r="P168" s="14" t="s">
        <v>484</v>
      </c>
      <c r="Q168" s="14" t="s">
        <v>1323</v>
      </c>
      <c r="R168" s="14"/>
      <c r="S168" s="14"/>
      <c r="T168" s="14"/>
      <c r="U168" s="14" t="s">
        <v>22</v>
      </c>
      <c r="V168" s="14"/>
      <c r="W168" s="14" t="s">
        <v>339</v>
      </c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 t="s">
        <v>1324</v>
      </c>
      <c r="BO168" s="14" t="s">
        <v>1270</v>
      </c>
      <c r="BP168" s="14" t="s">
        <v>1325</v>
      </c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R168" s="1" t="s">
        <v>152</v>
      </c>
      <c r="CS168" s="1" t="s">
        <v>121</v>
      </c>
      <c r="CT168" s="14" t="s">
        <v>1326</v>
      </c>
      <c r="CU168" s="1" t="s">
        <v>123</v>
      </c>
      <c r="CV168" s="1" t="s">
        <v>168</v>
      </c>
      <c r="CW168" s="3" t="s">
        <v>621</v>
      </c>
      <c r="DG168" s="4"/>
    </row>
    <row r="169" customFormat="false" ht="11.25" hidden="false" customHeight="true" outlineLevel="0" collapsed="false">
      <c r="A169" s="14" t="n">
        <v>168</v>
      </c>
      <c r="B169" s="15" t="n">
        <v>46186.6649942824</v>
      </c>
      <c r="C169" s="15" t="n">
        <v>46186.6735938195</v>
      </c>
      <c r="D169" s="14" t="s">
        <v>1327</v>
      </c>
      <c r="E169" s="14" t="s">
        <v>1328</v>
      </c>
      <c r="F169" s="14" t="s">
        <v>1328</v>
      </c>
      <c r="G169" s="14" t="s">
        <v>1329</v>
      </c>
      <c r="H169" s="15" t="n">
        <v>46172</v>
      </c>
      <c r="I169" s="15" t="s">
        <v>107</v>
      </c>
      <c r="J169" s="14" t="s">
        <v>108</v>
      </c>
      <c r="K169" s="14" t="s">
        <v>364</v>
      </c>
      <c r="L169" s="14" t="s">
        <v>296</v>
      </c>
      <c r="M169" s="14" t="s">
        <v>131</v>
      </c>
      <c r="N169" s="14" t="s">
        <v>112</v>
      </c>
      <c r="O169" s="14" t="s">
        <v>325</v>
      </c>
      <c r="P169" s="14" t="s">
        <v>566</v>
      </c>
      <c r="Q169" s="14" t="s">
        <v>1255</v>
      </c>
      <c r="R169" s="14"/>
      <c r="S169" s="14"/>
      <c r="T169" s="14" t="s">
        <v>880</v>
      </c>
      <c r="U169" s="14" t="s">
        <v>24</v>
      </c>
      <c r="V169" s="14"/>
      <c r="W169" s="14"/>
      <c r="X169" s="14"/>
      <c r="Y169" s="14" t="s">
        <v>19</v>
      </c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R169" s="1" t="s">
        <v>152</v>
      </c>
      <c r="CS169" s="1" t="s">
        <v>121</v>
      </c>
      <c r="CT169" s="14"/>
      <c r="CU169" s="1" t="s">
        <v>167</v>
      </c>
      <c r="CV169" s="1" t="s">
        <v>168</v>
      </c>
      <c r="CW169" s="3"/>
      <c r="DG169" s="4"/>
    </row>
    <row r="170" customFormat="false" ht="11.25" hidden="false" customHeight="true" outlineLevel="0" collapsed="false">
      <c r="A170" s="14" t="n">
        <v>169</v>
      </c>
      <c r="B170" s="15" t="n">
        <v>46132.1106159259</v>
      </c>
      <c r="C170" s="15" t="n">
        <v>46132.1273751852</v>
      </c>
      <c r="D170" s="14" t="s">
        <v>1330</v>
      </c>
      <c r="E170" s="14" t="s">
        <v>1331</v>
      </c>
      <c r="F170" s="14" t="s">
        <v>1331</v>
      </c>
      <c r="G170" s="14" t="s">
        <v>1332</v>
      </c>
      <c r="H170" s="15" t="n">
        <v>46129</v>
      </c>
      <c r="I170" s="15" t="s">
        <v>107</v>
      </c>
      <c r="J170" s="14" t="s">
        <v>295</v>
      </c>
      <c r="K170" s="14" t="s">
        <v>462</v>
      </c>
      <c r="L170" s="14" t="s">
        <v>233</v>
      </c>
      <c r="M170" s="14" t="s">
        <v>111</v>
      </c>
      <c r="N170" s="14" t="s">
        <v>145</v>
      </c>
      <c r="O170" s="14" t="s">
        <v>1333</v>
      </c>
      <c r="P170" s="14" t="s">
        <v>515</v>
      </c>
      <c r="Q170" s="14" t="s">
        <v>259</v>
      </c>
      <c r="R170" s="14"/>
      <c r="S170" s="14"/>
      <c r="T170" s="14"/>
      <c r="U170" s="14" t="s">
        <v>22</v>
      </c>
      <c r="V170" s="14"/>
      <c r="W170" s="14" t="s">
        <v>339</v>
      </c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 t="s">
        <v>1334</v>
      </c>
      <c r="BO170" s="14" t="s">
        <v>1335</v>
      </c>
      <c r="BP170" s="14" t="s">
        <v>675</v>
      </c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R170" s="1" t="s">
        <v>152</v>
      </c>
      <c r="CS170" s="1" t="s">
        <v>352</v>
      </c>
      <c r="CT170" s="14"/>
      <c r="CU170" s="1" t="s">
        <v>192</v>
      </c>
      <c r="CV170" s="1" t="s">
        <v>124</v>
      </c>
      <c r="CW170" s="3"/>
      <c r="DG170" s="4"/>
    </row>
    <row r="171" customFormat="false" ht="11.25" hidden="false" customHeight="true" outlineLevel="0" collapsed="false">
      <c r="A171" s="14" t="n">
        <v>170</v>
      </c>
      <c r="B171" s="15" t="n">
        <v>46116.9183883565</v>
      </c>
      <c r="C171" s="15" t="n">
        <v>46116.9245804861</v>
      </c>
      <c r="D171" s="14" t="s">
        <v>1336</v>
      </c>
      <c r="E171" s="14" t="s">
        <v>1337</v>
      </c>
      <c r="F171" s="14" t="s">
        <v>1337</v>
      </c>
      <c r="G171" s="14" t="s">
        <v>1338</v>
      </c>
      <c r="H171" s="15" t="n">
        <v>46108</v>
      </c>
      <c r="I171" s="15" t="s">
        <v>107</v>
      </c>
      <c r="J171" s="14" t="s">
        <v>108</v>
      </c>
      <c r="K171" s="14" t="s">
        <v>173</v>
      </c>
      <c r="L171" s="14" t="s">
        <v>389</v>
      </c>
      <c r="M171" s="14" t="s">
        <v>111</v>
      </c>
      <c r="N171" s="14" t="s">
        <v>112</v>
      </c>
      <c r="O171" s="14" t="s">
        <v>113</v>
      </c>
      <c r="P171" s="14" t="s">
        <v>279</v>
      </c>
      <c r="Q171" s="14" t="s">
        <v>1224</v>
      </c>
      <c r="R171" s="14"/>
      <c r="S171" s="14"/>
      <c r="T171" s="14"/>
      <c r="U171" s="14" t="s">
        <v>21</v>
      </c>
      <c r="V171" s="14" t="s">
        <v>457</v>
      </c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 t="s">
        <v>679</v>
      </c>
      <c r="AN171" s="14" t="s">
        <v>933</v>
      </c>
      <c r="AO171" s="14" t="s">
        <v>681</v>
      </c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R171" s="1" t="s">
        <v>152</v>
      </c>
      <c r="CS171" s="1" t="s">
        <v>180</v>
      </c>
      <c r="CT171" s="14" t="s">
        <v>122</v>
      </c>
      <c r="CU171" s="1" t="s">
        <v>192</v>
      </c>
      <c r="CV171" s="1" t="s">
        <v>168</v>
      </c>
      <c r="CW171" s="3"/>
      <c r="DG171" s="4"/>
    </row>
    <row r="172" customFormat="false" ht="11.25" hidden="false" customHeight="true" outlineLevel="0" collapsed="false">
      <c r="A172" s="14" t="n">
        <v>171</v>
      </c>
      <c r="B172" s="15" t="n">
        <v>46138.1733945023</v>
      </c>
      <c r="C172" s="15" t="n">
        <v>46138.1846560764</v>
      </c>
      <c r="D172" s="14" t="s">
        <v>1339</v>
      </c>
      <c r="E172" s="14" t="s">
        <v>1340</v>
      </c>
      <c r="F172" s="14" t="s">
        <v>1340</v>
      </c>
      <c r="G172" s="14" t="s">
        <v>1341</v>
      </c>
      <c r="H172" s="15" t="n">
        <v>46129</v>
      </c>
      <c r="I172" s="15" t="s">
        <v>244</v>
      </c>
      <c r="J172" s="14" t="s">
        <v>295</v>
      </c>
      <c r="K172" s="14" t="s">
        <v>364</v>
      </c>
      <c r="L172" s="14" t="s">
        <v>296</v>
      </c>
      <c r="M172" s="14" t="s">
        <v>111</v>
      </c>
      <c r="N172" s="14" t="s">
        <v>112</v>
      </c>
      <c r="O172" s="14" t="s">
        <v>113</v>
      </c>
      <c r="P172" s="14" t="s">
        <v>326</v>
      </c>
      <c r="Q172" s="14" t="s">
        <v>508</v>
      </c>
      <c r="R172" s="14"/>
      <c r="S172" s="14"/>
      <c r="T172" s="14"/>
      <c r="U172" s="14" t="s">
        <v>22</v>
      </c>
      <c r="V172" s="14"/>
      <c r="W172" s="14" t="s">
        <v>339</v>
      </c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 t="s">
        <v>1342</v>
      </c>
      <c r="BO172" s="14" t="s">
        <v>252</v>
      </c>
      <c r="BP172" s="14" t="s">
        <v>1343</v>
      </c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R172" s="1" t="s">
        <v>120</v>
      </c>
      <c r="CS172" s="1" t="s">
        <v>121</v>
      </c>
      <c r="CT172" s="14" t="s">
        <v>122</v>
      </c>
      <c r="CU172" s="1" t="s">
        <v>192</v>
      </c>
      <c r="CV172" s="1" t="s">
        <v>124</v>
      </c>
      <c r="CW172" s="3"/>
      <c r="DG172" s="4"/>
    </row>
    <row r="173" customFormat="false" ht="11.25" hidden="false" customHeight="true" outlineLevel="0" collapsed="false">
      <c r="A173" s="14" t="n">
        <v>172</v>
      </c>
      <c r="B173" s="15" t="n">
        <v>46091.8824321412</v>
      </c>
      <c r="C173" s="15" t="n">
        <v>46091.8858927894</v>
      </c>
      <c r="D173" s="14" t="s">
        <v>1344</v>
      </c>
      <c r="E173" s="14" t="s">
        <v>1345</v>
      </c>
      <c r="F173" s="14" t="s">
        <v>1345</v>
      </c>
      <c r="G173" s="14" t="s">
        <v>1346</v>
      </c>
      <c r="H173" s="15" t="n">
        <v>46072</v>
      </c>
      <c r="I173" s="15" t="s">
        <v>750</v>
      </c>
      <c r="J173" s="14" t="s">
        <v>128</v>
      </c>
      <c r="K173" s="14" t="s">
        <v>1347</v>
      </c>
      <c r="L173" s="14" t="s">
        <v>144</v>
      </c>
      <c r="M173" s="14" t="s">
        <v>111</v>
      </c>
      <c r="N173" s="14" t="s">
        <v>112</v>
      </c>
      <c r="O173" s="14" t="s">
        <v>113</v>
      </c>
      <c r="P173" s="14" t="s">
        <v>1313</v>
      </c>
      <c r="Q173" s="14" t="s">
        <v>1094</v>
      </c>
      <c r="R173" s="14"/>
      <c r="S173" s="14"/>
      <c r="T173" s="14"/>
      <c r="U173" s="14" t="s">
        <v>22</v>
      </c>
      <c r="V173" s="14"/>
      <c r="W173" s="14" t="s">
        <v>116</v>
      </c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 t="s">
        <v>1348</v>
      </c>
      <c r="BU173" s="14" t="s">
        <v>602</v>
      </c>
      <c r="BV173" s="14" t="s">
        <v>252</v>
      </c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R173" s="1" t="s">
        <v>152</v>
      </c>
      <c r="CS173" s="1" t="s">
        <v>121</v>
      </c>
      <c r="CT173" s="14" t="s">
        <v>122</v>
      </c>
      <c r="CU173" s="1" t="s">
        <v>192</v>
      </c>
      <c r="CV173" s="1" t="s">
        <v>139</v>
      </c>
      <c r="CW173" s="3"/>
      <c r="DG173" s="4"/>
    </row>
    <row r="174" customFormat="false" ht="11.25" hidden="false" customHeight="true" outlineLevel="0" collapsed="false">
      <c r="A174" s="14" t="n">
        <v>173</v>
      </c>
      <c r="B174" s="15" t="n">
        <v>46209.908645382</v>
      </c>
      <c r="C174" s="15" t="n">
        <v>46209.9251384375</v>
      </c>
      <c r="D174" s="14" t="s">
        <v>1349</v>
      </c>
      <c r="E174" s="14" t="s">
        <v>1350</v>
      </c>
      <c r="F174" s="14" t="s">
        <v>1351</v>
      </c>
      <c r="G174" s="14" t="s">
        <v>1352</v>
      </c>
      <c r="H174" s="15" t="n">
        <v>46203</v>
      </c>
      <c r="I174" s="15" t="s">
        <v>244</v>
      </c>
      <c r="J174" s="14" t="s">
        <v>108</v>
      </c>
      <c r="K174" s="14" t="s">
        <v>1353</v>
      </c>
      <c r="L174" s="14" t="s">
        <v>130</v>
      </c>
      <c r="M174" s="14" t="s">
        <v>111</v>
      </c>
      <c r="N174" s="14" t="s">
        <v>112</v>
      </c>
      <c r="O174" s="14" t="s">
        <v>113</v>
      </c>
      <c r="P174" s="14" t="s">
        <v>594</v>
      </c>
      <c r="Q174" s="14" t="s">
        <v>905</v>
      </c>
      <c r="R174" s="14"/>
      <c r="S174" s="14"/>
      <c r="T174" s="14"/>
      <c r="U174" s="14" t="s">
        <v>22</v>
      </c>
      <c r="V174" s="14"/>
      <c r="W174" s="14" t="s">
        <v>135</v>
      </c>
      <c r="X174" s="14"/>
      <c r="Y174" s="14"/>
      <c r="Z174" s="14"/>
      <c r="AA174" s="14" t="s">
        <v>366</v>
      </c>
      <c r="AB174" s="14" t="s">
        <v>1354</v>
      </c>
      <c r="AC174" s="14" t="s">
        <v>1355</v>
      </c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R174" s="1" t="s">
        <v>120</v>
      </c>
      <c r="CS174" s="1" t="s">
        <v>121</v>
      </c>
      <c r="CT174" s="14" t="s">
        <v>153</v>
      </c>
      <c r="CU174" s="1" t="s">
        <v>167</v>
      </c>
      <c r="CV174" s="1" t="s">
        <v>124</v>
      </c>
      <c r="CW174" s="3"/>
      <c r="DG174" s="4"/>
    </row>
    <row r="175" customFormat="false" ht="11.25" hidden="false" customHeight="true" outlineLevel="0" collapsed="false">
      <c r="A175" s="14" t="n">
        <v>174</v>
      </c>
      <c r="B175" s="15" t="n">
        <v>46165.6693362963</v>
      </c>
      <c r="C175" s="15" t="n">
        <v>46165.6830747222</v>
      </c>
      <c r="D175" s="14" t="s">
        <v>1356</v>
      </c>
      <c r="E175" s="14" t="s">
        <v>1357</v>
      </c>
      <c r="F175" s="14" t="s">
        <v>1357</v>
      </c>
      <c r="G175" s="14" t="s">
        <v>1358</v>
      </c>
      <c r="H175" s="15" t="n">
        <v>46155</v>
      </c>
      <c r="I175" s="15" t="s">
        <v>244</v>
      </c>
      <c r="J175" s="14" t="s">
        <v>108</v>
      </c>
      <c r="K175" s="14" t="s">
        <v>257</v>
      </c>
      <c r="L175" s="14" t="s">
        <v>491</v>
      </c>
      <c r="M175" s="14" t="s">
        <v>111</v>
      </c>
      <c r="N175" s="14" t="s">
        <v>112</v>
      </c>
      <c r="O175" s="14" t="s">
        <v>132</v>
      </c>
      <c r="P175" s="14" t="s">
        <v>612</v>
      </c>
      <c r="Q175" s="14" t="s">
        <v>1323</v>
      </c>
      <c r="R175" s="14"/>
      <c r="S175" s="14"/>
      <c r="T175" s="14"/>
      <c r="U175" s="14" t="s">
        <v>22</v>
      </c>
      <c r="V175" s="14"/>
      <c r="W175" s="14" t="s">
        <v>298</v>
      </c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 t="s">
        <v>1359</v>
      </c>
      <c r="AW175" s="14" t="s">
        <v>967</v>
      </c>
      <c r="AX175" s="14" t="s">
        <v>1360</v>
      </c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R175" s="1" t="s">
        <v>152</v>
      </c>
      <c r="CS175" s="1" t="s">
        <v>121</v>
      </c>
      <c r="CT175" s="14" t="s">
        <v>1361</v>
      </c>
      <c r="CU175" s="1" t="s">
        <v>192</v>
      </c>
      <c r="CV175" s="1" t="s">
        <v>139</v>
      </c>
      <c r="CW175" s="3"/>
      <c r="DG175" s="4"/>
    </row>
    <row r="176" customFormat="false" ht="11.25" hidden="false" customHeight="true" outlineLevel="0" collapsed="false">
      <c r="A176" s="14" t="n">
        <v>175</v>
      </c>
      <c r="B176" s="15" t="n">
        <v>46119.5003133796</v>
      </c>
      <c r="C176" s="15" t="n">
        <v>46119.5203018056</v>
      </c>
      <c r="D176" s="14" t="s">
        <v>1362</v>
      </c>
      <c r="E176" s="14" t="s">
        <v>1363</v>
      </c>
      <c r="F176" s="14" t="s">
        <v>1363</v>
      </c>
      <c r="G176" s="14" t="s">
        <v>1364</v>
      </c>
      <c r="H176" s="15" t="n">
        <v>46117</v>
      </c>
      <c r="I176" s="15" t="s">
        <v>172</v>
      </c>
      <c r="J176" s="14" t="s">
        <v>108</v>
      </c>
      <c r="K176" s="14" t="s">
        <v>364</v>
      </c>
      <c r="L176" s="14" t="s">
        <v>286</v>
      </c>
      <c r="M176" s="14" t="s">
        <v>111</v>
      </c>
      <c r="N176" s="14" t="s">
        <v>112</v>
      </c>
      <c r="O176" s="14" t="s">
        <v>305</v>
      </c>
      <c r="P176" s="14" t="s">
        <v>477</v>
      </c>
      <c r="Q176" s="14" t="s">
        <v>1050</v>
      </c>
      <c r="R176" s="14"/>
      <c r="S176" s="14"/>
      <c r="T176" s="14"/>
      <c r="U176" s="14" t="s">
        <v>22</v>
      </c>
      <c r="V176" s="14"/>
      <c r="W176" s="14" t="s">
        <v>148</v>
      </c>
      <c r="X176" s="14"/>
      <c r="Y176" s="14"/>
      <c r="Z176" s="14"/>
      <c r="AA176" s="14"/>
      <c r="AB176" s="14"/>
      <c r="AC176" s="14"/>
      <c r="AD176" s="14" t="s">
        <v>1365</v>
      </c>
      <c r="AE176" s="14" t="s">
        <v>1366</v>
      </c>
      <c r="AF176" s="14" t="s">
        <v>1367</v>
      </c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R176" s="1" t="s">
        <v>152</v>
      </c>
      <c r="CS176" s="1" t="s">
        <v>121</v>
      </c>
      <c r="CT176" s="14" t="s">
        <v>122</v>
      </c>
      <c r="CU176" s="1" t="s">
        <v>167</v>
      </c>
      <c r="CV176" s="1" t="s">
        <v>124</v>
      </c>
      <c r="CW176" s="3"/>
      <c r="DG176" s="4"/>
    </row>
    <row r="177" customFormat="false" ht="11.25" hidden="false" customHeight="true" outlineLevel="0" collapsed="false">
      <c r="A177" s="14" t="n">
        <v>176</v>
      </c>
      <c r="B177" s="15" t="n">
        <v>46152.4170747222</v>
      </c>
      <c r="C177" s="15" t="n">
        <v>46152.4361256482</v>
      </c>
      <c r="D177" s="14" t="s">
        <v>1368</v>
      </c>
      <c r="E177" s="14" t="s">
        <v>1369</v>
      </c>
      <c r="F177" s="14" t="s">
        <v>1370</v>
      </c>
      <c r="G177" s="14" t="s">
        <v>1371</v>
      </c>
      <c r="H177" s="15" t="n">
        <v>46143</v>
      </c>
      <c r="I177" s="15" t="s">
        <v>244</v>
      </c>
      <c r="J177" s="14" t="s">
        <v>108</v>
      </c>
      <c r="K177" s="14" t="s">
        <v>1372</v>
      </c>
      <c r="L177" s="14" t="s">
        <v>130</v>
      </c>
      <c r="M177" s="14" t="s">
        <v>111</v>
      </c>
      <c r="N177" s="14" t="s">
        <v>112</v>
      </c>
      <c r="O177" s="14" t="s">
        <v>113</v>
      </c>
      <c r="P177" s="14" t="s">
        <v>566</v>
      </c>
      <c r="Q177" s="14" t="s">
        <v>357</v>
      </c>
      <c r="R177" s="14"/>
      <c r="S177" s="14"/>
      <c r="T177" s="14"/>
      <c r="U177" s="14" t="s">
        <v>22</v>
      </c>
      <c r="V177" s="14"/>
      <c r="W177" s="14" t="s">
        <v>715</v>
      </c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 t="s">
        <v>1373</v>
      </c>
      <c r="BI177" s="14" t="s">
        <v>1374</v>
      </c>
      <c r="BJ177" s="14" t="s">
        <v>1375</v>
      </c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R177" s="1" t="s">
        <v>152</v>
      </c>
      <c r="CS177" s="1" t="s">
        <v>228</v>
      </c>
      <c r="CT177" s="14" t="s">
        <v>1376</v>
      </c>
      <c r="CU177" s="1" t="s">
        <v>123</v>
      </c>
      <c r="CV177" s="1" t="s">
        <v>124</v>
      </c>
      <c r="CW177" s="3"/>
      <c r="DG177" s="4"/>
    </row>
    <row r="178" customFormat="false" ht="11.25" hidden="false" customHeight="true" outlineLevel="0" collapsed="false">
      <c r="A178" s="14" t="n">
        <v>177</v>
      </c>
      <c r="B178" s="15" t="n">
        <v>46215.8590683449</v>
      </c>
      <c r="C178" s="15" t="n">
        <v>46215.8635359375</v>
      </c>
      <c r="D178" s="14" t="s">
        <v>1377</v>
      </c>
      <c r="E178" s="14" t="s">
        <v>1378</v>
      </c>
      <c r="F178" s="14" t="s">
        <v>1378</v>
      </c>
      <c r="G178" s="14" t="s">
        <v>1379</v>
      </c>
      <c r="H178" s="15" t="n">
        <v>46214</v>
      </c>
      <c r="I178" s="15" t="s">
        <v>107</v>
      </c>
      <c r="J178" s="14" t="s">
        <v>108</v>
      </c>
      <c r="K178" s="14" t="s">
        <v>364</v>
      </c>
      <c r="L178" s="14" t="s">
        <v>296</v>
      </c>
      <c r="M178" s="14" t="s">
        <v>111</v>
      </c>
      <c r="N178" s="14" t="s">
        <v>112</v>
      </c>
      <c r="O178" s="14" t="s">
        <v>132</v>
      </c>
      <c r="P178" s="14" t="s">
        <v>1380</v>
      </c>
      <c r="Q178" s="14" t="s">
        <v>1381</v>
      </c>
      <c r="R178" s="14"/>
      <c r="S178" s="14"/>
      <c r="T178" s="14"/>
      <c r="U178" s="14" t="s">
        <v>22</v>
      </c>
      <c r="V178" s="14"/>
      <c r="W178" s="14" t="s">
        <v>116</v>
      </c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 t="s">
        <v>886</v>
      </c>
      <c r="BU178" s="14" t="s">
        <v>252</v>
      </c>
      <c r="BV178" s="14" t="s">
        <v>526</v>
      </c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R178" s="1" t="s">
        <v>152</v>
      </c>
      <c r="CS178" s="1" t="s">
        <v>180</v>
      </c>
      <c r="CT178" s="14" t="s">
        <v>562</v>
      </c>
      <c r="CU178" s="1" t="s">
        <v>123</v>
      </c>
      <c r="CV178" s="1" t="s">
        <v>124</v>
      </c>
      <c r="CW178" s="3"/>
      <c r="DG178" s="4"/>
    </row>
    <row r="179" customFormat="false" ht="11.25" hidden="false" customHeight="true" outlineLevel="0" collapsed="false">
      <c r="A179" s="14" t="n">
        <v>178</v>
      </c>
      <c r="B179" s="15" t="n">
        <v>46172.5915652546</v>
      </c>
      <c r="C179" s="15" t="n">
        <v>46172.6022365509</v>
      </c>
      <c r="D179" s="14" t="s">
        <v>1382</v>
      </c>
      <c r="E179" s="14" t="s">
        <v>1383</v>
      </c>
      <c r="F179" s="14" t="s">
        <v>1383</v>
      </c>
      <c r="G179" s="14" t="s">
        <v>1384</v>
      </c>
      <c r="H179" s="15" t="n">
        <v>46162</v>
      </c>
      <c r="I179" s="15" t="s">
        <v>278</v>
      </c>
      <c r="J179" s="14" t="s">
        <v>128</v>
      </c>
      <c r="K179" s="14" t="s">
        <v>173</v>
      </c>
      <c r="L179" s="14" t="s">
        <v>110</v>
      </c>
      <c r="M179" s="14" t="s">
        <v>111</v>
      </c>
      <c r="N179" s="14" t="s">
        <v>112</v>
      </c>
      <c r="O179" s="14" t="s">
        <v>113</v>
      </c>
      <c r="P179" s="14" t="s">
        <v>944</v>
      </c>
      <c r="Q179" s="14" t="s">
        <v>440</v>
      </c>
      <c r="R179" s="14"/>
      <c r="S179" s="14" t="s">
        <v>441</v>
      </c>
      <c r="T179" s="14"/>
      <c r="U179" s="14" t="s">
        <v>23</v>
      </c>
      <c r="V179" s="14"/>
      <c r="W179" s="14"/>
      <c r="X179" s="14" t="s">
        <v>442</v>
      </c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R179" s="1" t="s">
        <v>152</v>
      </c>
      <c r="CS179" s="1" t="s">
        <v>352</v>
      </c>
      <c r="CT179" s="14" t="s">
        <v>122</v>
      </c>
      <c r="CU179" s="1" t="s">
        <v>123</v>
      </c>
      <c r="CV179" s="1" t="s">
        <v>124</v>
      </c>
      <c r="CW179" s="3"/>
      <c r="DG179" s="4"/>
    </row>
    <row r="180" customFormat="false" ht="11.25" hidden="false" customHeight="true" outlineLevel="0" collapsed="false">
      <c r="A180" s="14" t="n">
        <v>179</v>
      </c>
      <c r="B180" s="15" t="n">
        <v>46160.4779811227</v>
      </c>
      <c r="C180" s="15" t="n">
        <v>46160.4851454745</v>
      </c>
      <c r="D180" s="14" t="s">
        <v>1385</v>
      </c>
      <c r="E180" s="14" t="s">
        <v>1386</v>
      </c>
      <c r="F180" s="14" t="s">
        <v>1386</v>
      </c>
      <c r="G180" s="14" t="s">
        <v>1387</v>
      </c>
      <c r="H180" s="15" t="n">
        <v>46145</v>
      </c>
      <c r="I180" s="15" t="s">
        <v>172</v>
      </c>
      <c r="J180" s="14" t="s">
        <v>108</v>
      </c>
      <c r="K180" s="14" t="s">
        <v>245</v>
      </c>
      <c r="L180" s="14" t="s">
        <v>159</v>
      </c>
      <c r="M180" s="14" t="s">
        <v>111</v>
      </c>
      <c r="N180" s="14" t="s">
        <v>112</v>
      </c>
      <c r="O180" s="14" t="s">
        <v>113</v>
      </c>
      <c r="P180" s="14" t="s">
        <v>1388</v>
      </c>
      <c r="Q180" s="14" t="s">
        <v>775</v>
      </c>
      <c r="R180" s="14"/>
      <c r="S180" s="14"/>
      <c r="T180" s="14"/>
      <c r="U180" s="14" t="s">
        <v>22</v>
      </c>
      <c r="V180" s="14"/>
      <c r="W180" s="14" t="s">
        <v>381</v>
      </c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 t="s">
        <v>1389</v>
      </c>
      <c r="BR180" s="14" t="s">
        <v>1250</v>
      </c>
      <c r="BS180" s="14" t="s">
        <v>1390</v>
      </c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R180" s="1" t="s">
        <v>227</v>
      </c>
      <c r="CS180" s="1" t="s">
        <v>121</v>
      </c>
      <c r="CT180" s="14" t="s">
        <v>122</v>
      </c>
      <c r="CU180" s="1" t="s">
        <v>192</v>
      </c>
      <c r="CV180" s="1" t="s">
        <v>124</v>
      </c>
      <c r="CW180" s="3"/>
      <c r="DG180" s="4"/>
    </row>
    <row r="181" customFormat="false" ht="11.25" hidden="false" customHeight="true" outlineLevel="0" collapsed="false">
      <c r="A181" s="14" t="n">
        <v>180</v>
      </c>
      <c r="B181" s="15" t="n">
        <v>46179.1209941551</v>
      </c>
      <c r="C181" s="15" t="n">
        <v>46179.1417464699</v>
      </c>
      <c r="D181" s="14" t="s">
        <v>1391</v>
      </c>
      <c r="E181" s="14" t="s">
        <v>1392</v>
      </c>
      <c r="F181" s="14" t="s">
        <v>1392</v>
      </c>
      <c r="G181" s="14" t="s">
        <v>1393</v>
      </c>
      <c r="H181" s="15" t="n">
        <v>46159</v>
      </c>
      <c r="I181" s="15" t="s">
        <v>278</v>
      </c>
      <c r="J181" s="14" t="s">
        <v>295</v>
      </c>
      <c r="K181" s="14" t="s">
        <v>196</v>
      </c>
      <c r="L181" s="14" t="s">
        <v>130</v>
      </c>
      <c r="M181" s="14" t="s">
        <v>111</v>
      </c>
      <c r="N181" s="14" t="s">
        <v>112</v>
      </c>
      <c r="O181" s="14" t="s">
        <v>113</v>
      </c>
      <c r="P181" s="14" t="s">
        <v>594</v>
      </c>
      <c r="Q181" s="14" t="s">
        <v>147</v>
      </c>
      <c r="R181" s="14"/>
      <c r="S181" s="14"/>
      <c r="T181" s="14"/>
      <c r="U181" s="14" t="s">
        <v>22</v>
      </c>
      <c r="V181" s="14"/>
      <c r="W181" s="14" t="s">
        <v>715</v>
      </c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 t="s">
        <v>1394</v>
      </c>
      <c r="BI181" s="14" t="s">
        <v>992</v>
      </c>
      <c r="BJ181" s="14" t="s">
        <v>718</v>
      </c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R181" s="1" t="s">
        <v>152</v>
      </c>
      <c r="CS181" s="1" t="s">
        <v>264</v>
      </c>
      <c r="CT181" s="14" t="s">
        <v>1395</v>
      </c>
      <c r="CU181" s="1" t="s">
        <v>192</v>
      </c>
      <c r="CV181" s="1" t="s">
        <v>168</v>
      </c>
      <c r="CW181" s="3"/>
      <c r="DG181" s="4"/>
    </row>
    <row r="182" customFormat="false" ht="11.25" hidden="false" customHeight="true" outlineLevel="0" collapsed="false">
      <c r="A182" s="14" t="n">
        <v>181</v>
      </c>
      <c r="B182" s="15" t="n">
        <v>46112.417841412</v>
      </c>
      <c r="C182" s="15" t="n">
        <v>46112.4247974306</v>
      </c>
      <c r="D182" s="14" t="s">
        <v>1396</v>
      </c>
      <c r="E182" s="14" t="s">
        <v>1397</v>
      </c>
      <c r="F182" s="14" t="s">
        <v>1397</v>
      </c>
      <c r="G182" s="14" t="s">
        <v>1398</v>
      </c>
      <c r="H182" s="15" t="n">
        <v>46100</v>
      </c>
      <c r="I182" s="15" t="s">
        <v>244</v>
      </c>
      <c r="J182" s="14" t="s">
        <v>295</v>
      </c>
      <c r="K182" s="14" t="s">
        <v>245</v>
      </c>
      <c r="L182" s="14" t="s">
        <v>286</v>
      </c>
      <c r="M182" s="14" t="s">
        <v>111</v>
      </c>
      <c r="N182" s="14" t="s">
        <v>112</v>
      </c>
      <c r="O182" s="14" t="s">
        <v>113</v>
      </c>
      <c r="P182" s="14" t="s">
        <v>212</v>
      </c>
      <c r="Q182" s="14" t="s">
        <v>1144</v>
      </c>
      <c r="R182" s="14"/>
      <c r="S182" s="14"/>
      <c r="T182" s="14"/>
      <c r="U182" s="14" t="s">
        <v>24</v>
      </c>
      <c r="V182" s="14"/>
      <c r="W182" s="14"/>
      <c r="X182" s="14"/>
      <c r="Y182" s="14" t="s">
        <v>223</v>
      </c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 t="s">
        <v>1399</v>
      </c>
      <c r="CA182" s="14" t="s">
        <v>1400</v>
      </c>
      <c r="CB182" s="14" t="s">
        <v>634</v>
      </c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R182" s="1" t="s">
        <v>120</v>
      </c>
      <c r="CS182" s="1" t="s">
        <v>121</v>
      </c>
      <c r="CT182" s="14" t="s">
        <v>994</v>
      </c>
      <c r="CU182" s="1" t="s">
        <v>123</v>
      </c>
      <c r="CV182" s="1" t="s">
        <v>139</v>
      </c>
      <c r="CW182" s="3"/>
      <c r="DG182" s="4"/>
    </row>
    <row r="183" customFormat="false" ht="11.25" hidden="false" customHeight="true" outlineLevel="0" collapsed="false">
      <c r="A183" s="14" t="n">
        <v>182</v>
      </c>
      <c r="B183" s="15" t="n">
        <v>46064.8343045139</v>
      </c>
      <c r="C183" s="15" t="n">
        <v>46064.8464920139</v>
      </c>
      <c r="D183" s="14" t="s">
        <v>1401</v>
      </c>
      <c r="E183" s="14" t="s">
        <v>1402</v>
      </c>
      <c r="F183" s="14" t="s">
        <v>1402</v>
      </c>
      <c r="G183" s="14" t="s">
        <v>1403</v>
      </c>
      <c r="H183" s="15" t="n">
        <v>46051</v>
      </c>
      <c r="I183" s="15" t="s">
        <v>244</v>
      </c>
      <c r="J183" s="14" t="s">
        <v>108</v>
      </c>
      <c r="K183" s="14" t="s">
        <v>196</v>
      </c>
      <c r="L183" s="14" t="s">
        <v>210</v>
      </c>
      <c r="M183" s="14" t="s">
        <v>111</v>
      </c>
      <c r="N183" s="14" t="s">
        <v>112</v>
      </c>
      <c r="O183" s="14" t="s">
        <v>113</v>
      </c>
      <c r="P183" s="14" t="s">
        <v>133</v>
      </c>
      <c r="Q183" s="14" t="s">
        <v>567</v>
      </c>
      <c r="R183" s="14"/>
      <c r="S183" s="14"/>
      <c r="T183" s="14"/>
      <c r="U183" s="14" t="s">
        <v>24</v>
      </c>
      <c r="V183" s="14"/>
      <c r="W183" s="14"/>
      <c r="X183" s="14"/>
      <c r="Y183" s="14" t="s">
        <v>223</v>
      </c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 t="s">
        <v>281</v>
      </c>
      <c r="CA183" s="14" t="s">
        <v>1404</v>
      </c>
      <c r="CB183" s="14" t="s">
        <v>1405</v>
      </c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R183" s="1" t="s">
        <v>152</v>
      </c>
      <c r="CS183" s="1" t="s">
        <v>1406</v>
      </c>
      <c r="CT183" s="14" t="s">
        <v>122</v>
      </c>
      <c r="CU183" s="1" t="s">
        <v>192</v>
      </c>
      <c r="CV183" s="1" t="s">
        <v>168</v>
      </c>
      <c r="CW183" s="3"/>
      <c r="DG183" s="4"/>
    </row>
    <row r="184" customFormat="false" ht="11.25" hidden="false" customHeight="true" outlineLevel="0" collapsed="false">
      <c r="A184" s="14" t="n">
        <v>183</v>
      </c>
      <c r="B184" s="15" t="n">
        <v>46124.643115787</v>
      </c>
      <c r="C184" s="15" t="n">
        <v>46124.6569005093</v>
      </c>
      <c r="D184" s="14" t="s">
        <v>1407</v>
      </c>
      <c r="E184" s="14" t="s">
        <v>1408</v>
      </c>
      <c r="F184" s="14" t="s">
        <v>1409</v>
      </c>
      <c r="G184" s="14" t="s">
        <v>1410</v>
      </c>
      <c r="H184" s="15" t="n">
        <v>46109</v>
      </c>
      <c r="I184" s="15" t="s">
        <v>244</v>
      </c>
      <c r="J184" s="14" t="s">
        <v>295</v>
      </c>
      <c r="K184" s="14" t="s">
        <v>232</v>
      </c>
      <c r="L184" s="14" t="s">
        <v>197</v>
      </c>
      <c r="M184" s="14" t="s">
        <v>211</v>
      </c>
      <c r="N184" s="14" t="s">
        <v>112</v>
      </c>
      <c r="O184" s="14" t="s">
        <v>113</v>
      </c>
      <c r="P184" s="14" t="s">
        <v>160</v>
      </c>
      <c r="Q184" s="14" t="s">
        <v>899</v>
      </c>
      <c r="R184" s="14"/>
      <c r="S184" s="14"/>
      <c r="T184" s="14" t="s">
        <v>880</v>
      </c>
      <c r="U184" s="14" t="s">
        <v>24</v>
      </c>
      <c r="V184" s="14"/>
      <c r="W184" s="14"/>
      <c r="X184" s="14"/>
      <c r="Y184" s="14" t="s">
        <v>19</v>
      </c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R184" s="1" t="s">
        <v>152</v>
      </c>
      <c r="CS184" s="1" t="s">
        <v>165</v>
      </c>
      <c r="CT184" s="14" t="s">
        <v>426</v>
      </c>
      <c r="CU184" s="1" t="s">
        <v>123</v>
      </c>
      <c r="CV184" s="1" t="s">
        <v>124</v>
      </c>
      <c r="CW184" s="3"/>
      <c r="DG184" s="4"/>
    </row>
    <row r="185" customFormat="false" ht="11.25" hidden="false" customHeight="true" outlineLevel="0" collapsed="false">
      <c r="A185" s="14" t="n">
        <v>184</v>
      </c>
      <c r="B185" s="15" t="n">
        <v>46155.5206566088</v>
      </c>
      <c r="C185" s="15" t="n">
        <v>46155.5282144792</v>
      </c>
      <c r="D185" s="14" t="s">
        <v>1411</v>
      </c>
      <c r="E185" s="14" t="s">
        <v>1412</v>
      </c>
      <c r="F185" s="14" t="s">
        <v>1412</v>
      </c>
      <c r="G185" s="14" t="s">
        <v>1413</v>
      </c>
      <c r="H185" s="15" t="n">
        <v>46137</v>
      </c>
      <c r="I185" s="15" t="s">
        <v>107</v>
      </c>
      <c r="J185" s="14" t="s">
        <v>108</v>
      </c>
      <c r="K185" s="14" t="s">
        <v>173</v>
      </c>
      <c r="L185" s="14" t="s">
        <v>130</v>
      </c>
      <c r="M185" s="14" t="s">
        <v>111</v>
      </c>
      <c r="N185" s="14" t="s">
        <v>112</v>
      </c>
      <c r="O185" s="14" t="s">
        <v>113</v>
      </c>
      <c r="P185" s="14" t="s">
        <v>447</v>
      </c>
      <c r="Q185" s="14" t="s">
        <v>819</v>
      </c>
      <c r="R185" s="14"/>
      <c r="S185" s="14"/>
      <c r="T185" s="14"/>
      <c r="U185" s="14" t="s">
        <v>22</v>
      </c>
      <c r="V185" s="14"/>
      <c r="W185" s="14" t="s">
        <v>715</v>
      </c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 t="s">
        <v>1394</v>
      </c>
      <c r="BI185" s="14" t="s">
        <v>992</v>
      </c>
      <c r="BJ185" s="14" t="s">
        <v>732</v>
      </c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R185" s="1" t="s">
        <v>120</v>
      </c>
      <c r="CS185" s="1" t="s">
        <v>180</v>
      </c>
      <c r="CT185" s="14"/>
      <c r="CU185" s="1" t="s">
        <v>192</v>
      </c>
      <c r="CV185" s="1" t="s">
        <v>124</v>
      </c>
      <c r="CW185" s="3"/>
      <c r="DG185" s="4"/>
    </row>
    <row r="186" customFormat="false" ht="11.25" hidden="false" customHeight="true" outlineLevel="0" collapsed="false">
      <c r="A186" s="14" t="n">
        <v>185</v>
      </c>
      <c r="B186" s="15" t="n">
        <v>46047.2901629282</v>
      </c>
      <c r="C186" s="15" t="n">
        <v>46047.2935425579</v>
      </c>
      <c r="D186" s="14" t="s">
        <v>1414</v>
      </c>
      <c r="E186" s="14" t="s">
        <v>1415</v>
      </c>
      <c r="F186" s="14" t="s">
        <v>1415</v>
      </c>
      <c r="G186" s="14" t="s">
        <v>1416</v>
      </c>
      <c r="H186" s="15" t="n">
        <v>46043</v>
      </c>
      <c r="I186" s="15" t="s">
        <v>157</v>
      </c>
      <c r="J186" s="14" t="s">
        <v>295</v>
      </c>
      <c r="K186" s="14" t="s">
        <v>245</v>
      </c>
      <c r="L186" s="14" t="s">
        <v>184</v>
      </c>
      <c r="M186" s="14" t="s">
        <v>111</v>
      </c>
      <c r="N186" s="14" t="s">
        <v>145</v>
      </c>
      <c r="O186" s="14" t="s">
        <v>113</v>
      </c>
      <c r="P186" s="14" t="s">
        <v>133</v>
      </c>
      <c r="Q186" s="14" t="s">
        <v>200</v>
      </c>
      <c r="R186" s="14"/>
      <c r="S186" s="14"/>
      <c r="T186" s="14"/>
      <c r="U186" s="14" t="s">
        <v>24</v>
      </c>
      <c r="V186" s="14"/>
      <c r="W186" s="14"/>
      <c r="X186" s="14"/>
      <c r="Y186" s="14" t="s">
        <v>260</v>
      </c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 t="s">
        <v>1417</v>
      </c>
      <c r="CG186" s="14" t="s">
        <v>1418</v>
      </c>
      <c r="CH186" s="14" t="s">
        <v>1419</v>
      </c>
      <c r="CI186" s="14"/>
      <c r="CJ186" s="14"/>
      <c r="CK186" s="14"/>
      <c r="CL186" s="14"/>
      <c r="CR186" s="1" t="s">
        <v>152</v>
      </c>
      <c r="CS186" s="1" t="s">
        <v>228</v>
      </c>
      <c r="CT186" s="14" t="s">
        <v>1420</v>
      </c>
      <c r="CU186" s="1" t="s">
        <v>123</v>
      </c>
      <c r="CV186" s="1" t="s">
        <v>124</v>
      </c>
      <c r="CW186" s="3"/>
      <c r="DG186" s="4"/>
    </row>
    <row r="187" customFormat="false" ht="11.25" hidden="false" customHeight="true" outlineLevel="0" collapsed="false">
      <c r="A187" s="14" t="n">
        <v>186</v>
      </c>
      <c r="B187" s="15" t="n">
        <v>46159.8049111806</v>
      </c>
      <c r="C187" s="15" t="n">
        <v>46159.8065778472</v>
      </c>
      <c r="D187" s="14" t="s">
        <v>1421</v>
      </c>
      <c r="E187" s="14" t="s">
        <v>1422</v>
      </c>
      <c r="F187" s="14" t="s">
        <v>1422</v>
      </c>
      <c r="G187" s="14" t="s">
        <v>1423</v>
      </c>
      <c r="H187" s="15" t="n">
        <v>46145</v>
      </c>
      <c r="I187" s="15" t="s">
        <v>172</v>
      </c>
      <c r="J187" s="14" t="s">
        <v>108</v>
      </c>
      <c r="K187" s="14" t="s">
        <v>173</v>
      </c>
      <c r="L187" s="14" t="s">
        <v>114</v>
      </c>
      <c r="M187" s="14" t="s">
        <v>211</v>
      </c>
      <c r="N187" s="14" t="s">
        <v>112</v>
      </c>
      <c r="O187" s="14" t="s">
        <v>336</v>
      </c>
      <c r="P187" s="14" t="s">
        <v>1074</v>
      </c>
      <c r="Q187" s="14" t="s">
        <v>1094</v>
      </c>
      <c r="R187" s="14"/>
      <c r="S187" s="14"/>
      <c r="T187" s="14"/>
      <c r="U187" s="14" t="s">
        <v>24</v>
      </c>
      <c r="V187" s="14"/>
      <c r="W187" s="14"/>
      <c r="X187" s="14"/>
      <c r="Y187" s="14" t="s">
        <v>448</v>
      </c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 t="s">
        <v>1424</v>
      </c>
      <c r="BX187" s="14" t="s">
        <v>1086</v>
      </c>
      <c r="BY187" s="14" t="s">
        <v>1425</v>
      </c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R187" s="1" t="s">
        <v>120</v>
      </c>
      <c r="CS187" s="1" t="s">
        <v>180</v>
      </c>
      <c r="CT187" s="14"/>
      <c r="CU187" s="1" t="s">
        <v>192</v>
      </c>
      <c r="CV187" s="1" t="s">
        <v>124</v>
      </c>
      <c r="CW187" s="3"/>
      <c r="DG187" s="4"/>
    </row>
    <row r="188" customFormat="false" ht="11.25" hidden="false" customHeight="true" outlineLevel="0" collapsed="false">
      <c r="A188" s="14" t="n">
        <v>187</v>
      </c>
      <c r="B188" s="15" t="n">
        <v>46216.2145520602</v>
      </c>
      <c r="C188" s="15" t="n">
        <v>46216.2162187269</v>
      </c>
      <c r="D188" s="14" t="s">
        <v>1426</v>
      </c>
      <c r="E188" s="14" t="s">
        <v>1427</v>
      </c>
      <c r="F188" s="14" t="s">
        <v>1428</v>
      </c>
      <c r="G188" s="14" t="s">
        <v>1429</v>
      </c>
      <c r="H188" s="15" t="n">
        <v>46213</v>
      </c>
      <c r="I188" s="15" t="s">
        <v>244</v>
      </c>
      <c r="J188" s="14" t="s">
        <v>108</v>
      </c>
      <c r="K188" s="14" t="s">
        <v>232</v>
      </c>
      <c r="L188" s="14" t="s">
        <v>286</v>
      </c>
      <c r="M188" s="14" t="s">
        <v>111</v>
      </c>
      <c r="N188" s="14" t="s">
        <v>112</v>
      </c>
      <c r="O188" s="14" t="s">
        <v>113</v>
      </c>
      <c r="P188" s="14" t="s">
        <v>269</v>
      </c>
      <c r="Q188" s="14" t="s">
        <v>775</v>
      </c>
      <c r="R188" s="14"/>
      <c r="S188" s="14"/>
      <c r="T188" s="14"/>
      <c r="U188" s="14" t="s">
        <v>24</v>
      </c>
      <c r="V188" s="14"/>
      <c r="W188" s="14"/>
      <c r="X188" s="14"/>
      <c r="Y188" s="14" t="s">
        <v>223</v>
      </c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 t="s">
        <v>1430</v>
      </c>
      <c r="CA188" s="14" t="s">
        <v>1431</v>
      </c>
      <c r="CB188" s="14" t="s">
        <v>1432</v>
      </c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R188" s="1" t="s">
        <v>120</v>
      </c>
      <c r="CS188" s="1" t="s">
        <v>264</v>
      </c>
      <c r="CT188" s="14" t="s">
        <v>122</v>
      </c>
      <c r="CU188" s="1" t="s">
        <v>167</v>
      </c>
      <c r="CV188" s="1" t="s">
        <v>124</v>
      </c>
      <c r="CW188" s="3"/>
      <c r="DG188" s="4"/>
    </row>
    <row r="189" customFormat="false" ht="11.25" hidden="false" customHeight="true" outlineLevel="0" collapsed="false">
      <c r="A189" s="14" t="n">
        <v>188</v>
      </c>
      <c r="B189" s="15" t="n">
        <v>46214.9950406944</v>
      </c>
      <c r="C189" s="15" t="n">
        <v>46215.0115684722</v>
      </c>
      <c r="D189" s="14" t="s">
        <v>1433</v>
      </c>
      <c r="E189" s="14" t="s">
        <v>1434</v>
      </c>
      <c r="F189" s="14" t="s">
        <v>1434</v>
      </c>
      <c r="G189" s="14" t="s">
        <v>1435</v>
      </c>
      <c r="H189" s="15" t="n">
        <v>46206</v>
      </c>
      <c r="I189" s="15" t="s">
        <v>278</v>
      </c>
      <c r="J189" s="14" t="s">
        <v>295</v>
      </c>
      <c r="K189" s="14" t="s">
        <v>257</v>
      </c>
      <c r="L189" s="14" t="s">
        <v>346</v>
      </c>
      <c r="M189" s="14" t="s">
        <v>111</v>
      </c>
      <c r="N189" s="14" t="s">
        <v>112</v>
      </c>
      <c r="O189" s="14" t="s">
        <v>325</v>
      </c>
      <c r="P189" s="14" t="s">
        <v>212</v>
      </c>
      <c r="Q189" s="14" t="s">
        <v>743</v>
      </c>
      <c r="R189" s="14"/>
      <c r="S189" s="14"/>
      <c r="T189" s="14"/>
      <c r="U189" s="14" t="s">
        <v>22</v>
      </c>
      <c r="V189" s="14"/>
      <c r="W189" s="14" t="s">
        <v>135</v>
      </c>
      <c r="X189" s="14"/>
      <c r="Y189" s="14"/>
      <c r="Z189" s="14"/>
      <c r="AA189" s="14" t="s">
        <v>1436</v>
      </c>
      <c r="AB189" s="14" t="s">
        <v>1052</v>
      </c>
      <c r="AC189" s="14" t="s">
        <v>368</v>
      </c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R189" s="1" t="s">
        <v>152</v>
      </c>
      <c r="CS189" s="1" t="s">
        <v>180</v>
      </c>
      <c r="CT189" s="14" t="s">
        <v>122</v>
      </c>
      <c r="CU189" s="1" t="s">
        <v>123</v>
      </c>
      <c r="CV189" s="1" t="s">
        <v>124</v>
      </c>
      <c r="CW189" s="3"/>
      <c r="DG189" s="4"/>
    </row>
    <row r="190" customFormat="false" ht="11.25" hidden="false" customHeight="true" outlineLevel="0" collapsed="false">
      <c r="A190" s="14" t="n">
        <v>189</v>
      </c>
      <c r="B190" s="15" t="n">
        <v>46083.9070478819</v>
      </c>
      <c r="C190" s="15" t="n">
        <v>46083.9092585301</v>
      </c>
      <c r="D190" s="14" t="s">
        <v>1437</v>
      </c>
      <c r="E190" s="14" t="s">
        <v>1438</v>
      </c>
      <c r="F190" s="14" t="s">
        <v>1439</v>
      </c>
      <c r="G190" s="14" t="s">
        <v>1440</v>
      </c>
      <c r="H190" s="15" t="n">
        <v>46075</v>
      </c>
      <c r="I190" s="15" t="s">
        <v>278</v>
      </c>
      <c r="J190" s="14" t="s">
        <v>108</v>
      </c>
      <c r="K190" s="14" t="s">
        <v>173</v>
      </c>
      <c r="L190" s="14" t="s">
        <v>197</v>
      </c>
      <c r="M190" s="14" t="s">
        <v>111</v>
      </c>
      <c r="N190" s="14" t="s">
        <v>112</v>
      </c>
      <c r="O190" s="14" t="s">
        <v>325</v>
      </c>
      <c r="P190" s="14" t="s">
        <v>439</v>
      </c>
      <c r="Q190" s="14" t="s">
        <v>1441</v>
      </c>
      <c r="R190" s="14"/>
      <c r="S190" s="14"/>
      <c r="T190" s="14"/>
      <c r="U190" s="14" t="s">
        <v>22</v>
      </c>
      <c r="V190" s="14"/>
      <c r="W190" s="14" t="s">
        <v>116</v>
      </c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 t="s">
        <v>1442</v>
      </c>
      <c r="BU190" s="14" t="s">
        <v>887</v>
      </c>
      <c r="BV190" s="14" t="s">
        <v>901</v>
      </c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R190" s="1" t="s">
        <v>227</v>
      </c>
      <c r="CS190" s="1" t="s">
        <v>496</v>
      </c>
      <c r="CT190" s="14" t="s">
        <v>122</v>
      </c>
      <c r="CU190" s="1" t="s">
        <v>167</v>
      </c>
      <c r="CV190" s="1" t="s">
        <v>124</v>
      </c>
      <c r="CW190" s="3"/>
      <c r="DG190" s="4"/>
    </row>
    <row r="191" customFormat="false" ht="11.25" hidden="false" customHeight="true" outlineLevel="0" collapsed="false">
      <c r="A191" s="14" t="n">
        <v>190</v>
      </c>
      <c r="B191" s="15" t="n">
        <v>46150.0043839815</v>
      </c>
      <c r="C191" s="15" t="n">
        <v>46150.0211085185</v>
      </c>
      <c r="D191" s="14" t="s">
        <v>1443</v>
      </c>
      <c r="E191" s="14" t="s">
        <v>1444</v>
      </c>
      <c r="F191" s="14" t="s">
        <v>1444</v>
      </c>
      <c r="G191" s="14" t="s">
        <v>1445</v>
      </c>
      <c r="H191" s="15" t="n">
        <v>46140</v>
      </c>
      <c r="I191" s="15" t="s">
        <v>107</v>
      </c>
      <c r="J191" s="14" t="s">
        <v>108</v>
      </c>
      <c r="K191" s="14" t="s">
        <v>143</v>
      </c>
      <c r="L191" s="14" t="s">
        <v>268</v>
      </c>
      <c r="M191" s="14" t="s">
        <v>111</v>
      </c>
      <c r="N191" s="14" t="s">
        <v>247</v>
      </c>
      <c r="O191" s="14" t="s">
        <v>113</v>
      </c>
      <c r="P191" s="14" t="s">
        <v>477</v>
      </c>
      <c r="Q191" s="14" t="s">
        <v>306</v>
      </c>
      <c r="R191" s="14"/>
      <c r="S191" s="14"/>
      <c r="T191" s="14"/>
      <c r="U191" s="14" t="s">
        <v>22</v>
      </c>
      <c r="V191" s="14"/>
      <c r="W191" s="14" t="s">
        <v>148</v>
      </c>
      <c r="X191" s="14"/>
      <c r="Y191" s="14"/>
      <c r="Z191" s="14"/>
      <c r="AA191" s="14"/>
      <c r="AB191" s="14"/>
      <c r="AC191" s="14"/>
      <c r="AD191" s="14" t="s">
        <v>1145</v>
      </c>
      <c r="AE191" s="14" t="s">
        <v>1446</v>
      </c>
      <c r="AF191" s="14" t="s">
        <v>696</v>
      </c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R191" s="1" t="s">
        <v>152</v>
      </c>
      <c r="CS191" s="1" t="s">
        <v>352</v>
      </c>
      <c r="CT191" s="14"/>
      <c r="CU191" s="1" t="s">
        <v>123</v>
      </c>
      <c r="CV191" s="1" t="s">
        <v>124</v>
      </c>
      <c r="CW191" s="3"/>
      <c r="DG191" s="4"/>
    </row>
    <row r="192" customFormat="false" ht="11.25" hidden="false" customHeight="true" outlineLevel="0" collapsed="false">
      <c r="A192" s="14" t="n">
        <v>191</v>
      </c>
      <c r="B192" s="15" t="n">
        <v>46198.6981329514</v>
      </c>
      <c r="C192" s="15" t="n">
        <v>46198.7101699884</v>
      </c>
      <c r="D192" s="14" t="s">
        <v>1447</v>
      </c>
      <c r="E192" s="14" t="s">
        <v>1448</v>
      </c>
      <c r="F192" s="14" t="s">
        <v>1449</v>
      </c>
      <c r="G192" s="14" t="s">
        <v>1450</v>
      </c>
      <c r="H192" s="15" t="n">
        <v>46197</v>
      </c>
      <c r="I192" s="15" t="s">
        <v>172</v>
      </c>
      <c r="J192" s="14" t="s">
        <v>295</v>
      </c>
      <c r="K192" s="14" t="s">
        <v>143</v>
      </c>
      <c r="L192" s="14" t="s">
        <v>233</v>
      </c>
      <c r="M192" s="14" t="s">
        <v>111</v>
      </c>
      <c r="N192" s="14" t="s">
        <v>112</v>
      </c>
      <c r="O192" s="14" t="s">
        <v>305</v>
      </c>
      <c r="P192" s="14" t="s">
        <v>248</v>
      </c>
      <c r="Q192" s="14" t="s">
        <v>893</v>
      </c>
      <c r="R192" s="14"/>
      <c r="S192" s="14"/>
      <c r="T192" s="14"/>
      <c r="U192" s="14" t="s">
        <v>22</v>
      </c>
      <c r="V192" s="14"/>
      <c r="W192" s="14" t="s">
        <v>148</v>
      </c>
      <c r="X192" s="14"/>
      <c r="Y192" s="14"/>
      <c r="Z192" s="14"/>
      <c r="AA192" s="14"/>
      <c r="AB192" s="14"/>
      <c r="AC192" s="14"/>
      <c r="AD192" s="14" t="s">
        <v>201</v>
      </c>
      <c r="AE192" s="14" t="s">
        <v>1451</v>
      </c>
      <c r="AF192" s="14" t="s">
        <v>1452</v>
      </c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R192" s="1" t="s">
        <v>152</v>
      </c>
      <c r="CS192" s="1" t="s">
        <v>180</v>
      </c>
      <c r="CT192" s="14" t="s">
        <v>122</v>
      </c>
      <c r="CU192" s="1" t="s">
        <v>167</v>
      </c>
      <c r="CV192" s="1" t="s">
        <v>168</v>
      </c>
      <c r="CW192" s="3"/>
      <c r="DG192" s="4"/>
    </row>
    <row r="193" customFormat="false" ht="11.25" hidden="false" customHeight="true" outlineLevel="0" collapsed="false">
      <c r="A193" s="14" t="n">
        <v>192</v>
      </c>
      <c r="B193" s="15" t="n">
        <v>46050.2600326273</v>
      </c>
      <c r="C193" s="15" t="n">
        <v>46050.2629261458</v>
      </c>
      <c r="D193" s="14" t="s">
        <v>1453</v>
      </c>
      <c r="E193" s="14" t="s">
        <v>1454</v>
      </c>
      <c r="F193" s="14" t="s">
        <v>1454</v>
      </c>
      <c r="G193" s="14" t="s">
        <v>1455</v>
      </c>
      <c r="H193" s="15" t="n">
        <v>46047</v>
      </c>
      <c r="I193" s="15" t="s">
        <v>172</v>
      </c>
      <c r="J193" s="14" t="s">
        <v>295</v>
      </c>
      <c r="K193" s="14" t="s">
        <v>1456</v>
      </c>
      <c r="L193" s="14" t="s">
        <v>286</v>
      </c>
      <c r="M193" s="14" t="s">
        <v>111</v>
      </c>
      <c r="N193" s="14" t="s">
        <v>145</v>
      </c>
      <c r="O193" s="14" t="s">
        <v>551</v>
      </c>
      <c r="P193" s="14" t="s">
        <v>594</v>
      </c>
      <c r="Q193" s="14" t="s">
        <v>174</v>
      </c>
      <c r="R193" s="14"/>
      <c r="S193" s="14"/>
      <c r="T193" s="14"/>
      <c r="U193" s="14" t="s">
        <v>22</v>
      </c>
      <c r="V193" s="14"/>
      <c r="W193" s="14" t="s">
        <v>116</v>
      </c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 t="s">
        <v>1457</v>
      </c>
      <c r="BU193" s="14" t="s">
        <v>252</v>
      </c>
      <c r="BV193" s="14" t="s">
        <v>620</v>
      </c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R193" s="1" t="s">
        <v>152</v>
      </c>
      <c r="CS193" s="1" t="s">
        <v>121</v>
      </c>
      <c r="CT193" s="14" t="s">
        <v>547</v>
      </c>
      <c r="CU193" s="1" t="s">
        <v>192</v>
      </c>
      <c r="CV193" s="1" t="s">
        <v>124</v>
      </c>
      <c r="CW193" s="3"/>
      <c r="DG193" s="4"/>
    </row>
    <row r="194" customFormat="false" ht="11.25" hidden="false" customHeight="true" outlineLevel="0" collapsed="false">
      <c r="A194" s="14" t="n">
        <v>193</v>
      </c>
      <c r="B194" s="15" t="n">
        <v>46057.9306951736</v>
      </c>
      <c r="C194" s="15" t="n">
        <v>46057.9344451736</v>
      </c>
      <c r="D194" s="14" t="s">
        <v>1458</v>
      </c>
      <c r="E194" s="14" t="s">
        <v>1459</v>
      </c>
      <c r="F194" s="14" t="s">
        <v>1459</v>
      </c>
      <c r="G194" s="14" t="s">
        <v>1460</v>
      </c>
      <c r="H194" s="15" t="n">
        <v>46038</v>
      </c>
      <c r="I194" s="15" t="s">
        <v>172</v>
      </c>
      <c r="J194" s="14" t="s">
        <v>108</v>
      </c>
      <c r="K194" s="14" t="s">
        <v>462</v>
      </c>
      <c r="L194" s="14" t="s">
        <v>246</v>
      </c>
      <c r="M194" s="14" t="s">
        <v>111</v>
      </c>
      <c r="N194" s="14" t="s">
        <v>247</v>
      </c>
      <c r="O194" s="14" t="s">
        <v>325</v>
      </c>
      <c r="P194" s="14" t="s">
        <v>185</v>
      </c>
      <c r="Q194" s="14" t="s">
        <v>440</v>
      </c>
      <c r="R194" s="14"/>
      <c r="S194" s="14"/>
      <c r="T194" s="14"/>
      <c r="U194" s="14" t="s">
        <v>22</v>
      </c>
      <c r="V194" s="14"/>
      <c r="W194" s="14" t="s">
        <v>381</v>
      </c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 t="s">
        <v>1461</v>
      </c>
      <c r="BR194" s="14" t="s">
        <v>383</v>
      </c>
      <c r="BS194" s="14" t="s">
        <v>1462</v>
      </c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R194" s="1" t="s">
        <v>152</v>
      </c>
      <c r="CS194" s="1" t="s">
        <v>121</v>
      </c>
      <c r="CT194" s="14"/>
      <c r="CU194" s="1" t="s">
        <v>167</v>
      </c>
      <c r="CV194" s="1" t="s">
        <v>124</v>
      </c>
      <c r="CW194" s="3"/>
      <c r="DG194" s="4"/>
    </row>
    <row r="195" customFormat="false" ht="11.25" hidden="false" customHeight="true" outlineLevel="0" collapsed="false">
      <c r="A195" s="14" t="n">
        <v>194</v>
      </c>
      <c r="B195" s="15" t="n">
        <v>46185.386751412</v>
      </c>
      <c r="C195" s="15" t="n">
        <v>46185.3937190046</v>
      </c>
      <c r="D195" s="14" t="s">
        <v>1463</v>
      </c>
      <c r="E195" s="14" t="s">
        <v>1464</v>
      </c>
      <c r="F195" s="14" t="s">
        <v>1465</v>
      </c>
      <c r="G195" s="14" t="s">
        <v>1466</v>
      </c>
      <c r="H195" s="15" t="n">
        <v>46169</v>
      </c>
      <c r="I195" s="15" t="s">
        <v>405</v>
      </c>
      <c r="J195" s="14" t="s">
        <v>108</v>
      </c>
      <c r="K195" s="14" t="s">
        <v>143</v>
      </c>
      <c r="L195" s="14" t="s">
        <v>296</v>
      </c>
      <c r="M195" s="14" t="s">
        <v>111</v>
      </c>
      <c r="N195" s="14" t="s">
        <v>112</v>
      </c>
      <c r="O195" s="14" t="s">
        <v>113</v>
      </c>
      <c r="P195" s="14" t="s">
        <v>797</v>
      </c>
      <c r="Q195" s="14" t="s">
        <v>810</v>
      </c>
      <c r="R195" s="14"/>
      <c r="S195" s="14"/>
      <c r="T195" s="14"/>
      <c r="U195" s="14" t="s">
        <v>24</v>
      </c>
      <c r="V195" s="14"/>
      <c r="W195" s="14"/>
      <c r="X195" s="14"/>
      <c r="Y195" s="14" t="s">
        <v>214</v>
      </c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 t="s">
        <v>875</v>
      </c>
      <c r="CD195" s="14" t="s">
        <v>252</v>
      </c>
      <c r="CE195" s="14" t="s">
        <v>914</v>
      </c>
      <c r="CF195" s="14"/>
      <c r="CG195" s="14"/>
      <c r="CH195" s="14"/>
      <c r="CI195" s="14"/>
      <c r="CJ195" s="14"/>
      <c r="CK195" s="14"/>
      <c r="CL195" s="14"/>
      <c r="CR195" s="1" t="s">
        <v>152</v>
      </c>
      <c r="CS195" s="1" t="s">
        <v>121</v>
      </c>
      <c r="CT195" s="14" t="s">
        <v>1063</v>
      </c>
      <c r="CU195" s="1" t="s">
        <v>123</v>
      </c>
      <c r="CV195" s="1" t="s">
        <v>124</v>
      </c>
      <c r="CW195" s="3" t="s">
        <v>621</v>
      </c>
      <c r="DG195" s="4"/>
    </row>
    <row r="196" customFormat="false" ht="11.25" hidden="false" customHeight="true" outlineLevel="0" collapsed="false">
      <c r="A196" s="14" t="n">
        <v>195</v>
      </c>
      <c r="B196" s="15" t="n">
        <v>46209.5561727083</v>
      </c>
      <c r="C196" s="15" t="n">
        <v>46209.5697606713</v>
      </c>
      <c r="D196" s="14" t="s">
        <v>1467</v>
      </c>
      <c r="E196" s="14" t="s">
        <v>1468</v>
      </c>
      <c r="F196" s="14" t="s">
        <v>1469</v>
      </c>
      <c r="G196" s="14" t="s">
        <v>1470</v>
      </c>
      <c r="H196" s="15" t="n">
        <v>46202</v>
      </c>
      <c r="I196" s="15" t="s">
        <v>278</v>
      </c>
      <c r="J196" s="14" t="s">
        <v>108</v>
      </c>
      <c r="K196" s="14" t="s">
        <v>143</v>
      </c>
      <c r="L196" s="14" t="s">
        <v>144</v>
      </c>
      <c r="M196" s="14" t="s">
        <v>111</v>
      </c>
      <c r="N196" s="14" t="s">
        <v>112</v>
      </c>
      <c r="O196" s="14" t="s">
        <v>113</v>
      </c>
      <c r="P196" s="14" t="s">
        <v>286</v>
      </c>
      <c r="Q196" s="14" t="s">
        <v>893</v>
      </c>
      <c r="R196" s="14"/>
      <c r="S196" s="14"/>
      <c r="T196" s="14"/>
      <c r="U196" s="14" t="s">
        <v>22</v>
      </c>
      <c r="V196" s="14"/>
      <c r="W196" s="14" t="s">
        <v>176</v>
      </c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 t="s">
        <v>1471</v>
      </c>
      <c r="AZ196" s="14" t="s">
        <v>1472</v>
      </c>
      <c r="BA196" s="14" t="s">
        <v>1473</v>
      </c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R196" s="1" t="s">
        <v>227</v>
      </c>
      <c r="CS196" s="1" t="s">
        <v>121</v>
      </c>
      <c r="CT196" s="14"/>
      <c r="CU196" s="1" t="s">
        <v>192</v>
      </c>
      <c r="CV196" s="1" t="s">
        <v>124</v>
      </c>
      <c r="CW196" s="3" t="s">
        <v>621</v>
      </c>
      <c r="DG196" s="4"/>
    </row>
    <row r="197" customFormat="false" ht="11.25" hidden="false" customHeight="true" outlineLevel="0" collapsed="false">
      <c r="A197" s="14" t="n">
        <v>196</v>
      </c>
      <c r="B197" s="15" t="n">
        <v>46036.3493218171</v>
      </c>
      <c r="C197" s="15" t="n">
        <v>46036.3641829282</v>
      </c>
      <c r="D197" s="14" t="s">
        <v>1474</v>
      </c>
      <c r="E197" s="14" t="s">
        <v>1475</v>
      </c>
      <c r="F197" s="14" t="s">
        <v>1475</v>
      </c>
      <c r="G197" s="14" t="s">
        <v>1476</v>
      </c>
      <c r="H197" s="15" t="n">
        <v>46033</v>
      </c>
      <c r="I197" s="15" t="s">
        <v>157</v>
      </c>
      <c r="J197" s="14" t="s">
        <v>108</v>
      </c>
      <c r="K197" s="14" t="s">
        <v>1477</v>
      </c>
      <c r="L197" s="14" t="s">
        <v>144</v>
      </c>
      <c r="M197" s="14" t="s">
        <v>111</v>
      </c>
      <c r="N197" s="14" t="s">
        <v>112</v>
      </c>
      <c r="O197" s="14" t="s">
        <v>113</v>
      </c>
      <c r="P197" s="14" t="s">
        <v>447</v>
      </c>
      <c r="Q197" s="14" t="s">
        <v>990</v>
      </c>
      <c r="R197" s="14"/>
      <c r="S197" s="14"/>
      <c r="T197" s="14"/>
      <c r="U197" s="14" t="s">
        <v>24</v>
      </c>
      <c r="V197" s="14"/>
      <c r="W197" s="14"/>
      <c r="X197" s="14"/>
      <c r="Y197" s="14" t="s">
        <v>223</v>
      </c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 t="s">
        <v>1478</v>
      </c>
      <c r="CA197" s="14" t="s">
        <v>1479</v>
      </c>
      <c r="CB197" s="14" t="s">
        <v>238</v>
      </c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R197" s="1" t="s">
        <v>152</v>
      </c>
      <c r="CS197" s="1" t="s">
        <v>121</v>
      </c>
      <c r="CT197" s="14"/>
      <c r="CU197" s="1" t="s">
        <v>167</v>
      </c>
      <c r="CV197" s="1" t="s">
        <v>124</v>
      </c>
      <c r="CW197" s="3"/>
      <c r="DG197" s="4"/>
    </row>
    <row r="198" customFormat="false" ht="11.25" hidden="false" customHeight="true" outlineLevel="0" collapsed="false">
      <c r="A198" s="14" t="n">
        <v>197</v>
      </c>
      <c r="B198" s="15" t="n">
        <v>46103.3536630208</v>
      </c>
      <c r="C198" s="15" t="n">
        <v>46103.3585820023</v>
      </c>
      <c r="D198" s="14" t="s">
        <v>1480</v>
      </c>
      <c r="E198" s="14" t="s">
        <v>1481</v>
      </c>
      <c r="F198" s="14" t="s">
        <v>1481</v>
      </c>
      <c r="G198" s="14" t="s">
        <v>1482</v>
      </c>
      <c r="H198" s="15" t="n">
        <v>46090</v>
      </c>
      <c r="I198" s="15" t="s">
        <v>405</v>
      </c>
      <c r="J198" s="14" t="s">
        <v>108</v>
      </c>
      <c r="K198" s="14" t="s">
        <v>173</v>
      </c>
      <c r="L198" s="14" t="s">
        <v>159</v>
      </c>
      <c r="M198" s="14" t="s">
        <v>111</v>
      </c>
      <c r="N198" s="14" t="s">
        <v>112</v>
      </c>
      <c r="O198" s="14" t="s">
        <v>325</v>
      </c>
      <c r="P198" s="14" t="s">
        <v>484</v>
      </c>
      <c r="Q198" s="14" t="s">
        <v>849</v>
      </c>
      <c r="R198" s="14"/>
      <c r="S198" s="14"/>
      <c r="T198" s="14"/>
      <c r="U198" s="14" t="s">
        <v>22</v>
      </c>
      <c r="V198" s="14"/>
      <c r="W198" s="14" t="s">
        <v>176</v>
      </c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 t="s">
        <v>1483</v>
      </c>
      <c r="AZ198" s="14" t="s">
        <v>1484</v>
      </c>
      <c r="BA198" s="14" t="s">
        <v>1485</v>
      </c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R198" s="1" t="s">
        <v>120</v>
      </c>
      <c r="CS198" s="1" t="s">
        <v>121</v>
      </c>
      <c r="CT198" s="14"/>
      <c r="CU198" s="1" t="s">
        <v>192</v>
      </c>
      <c r="CV198" s="1" t="s">
        <v>168</v>
      </c>
      <c r="CW198" s="3"/>
      <c r="DG198" s="4"/>
    </row>
    <row r="199" customFormat="false" ht="11.25" hidden="false" customHeight="true" outlineLevel="0" collapsed="false">
      <c r="A199" s="14" t="n">
        <v>198</v>
      </c>
      <c r="B199" s="15" t="n">
        <v>46119.8628468287</v>
      </c>
      <c r="C199" s="15" t="n">
        <v>46119.8825227546</v>
      </c>
      <c r="D199" s="14" t="s">
        <v>1486</v>
      </c>
      <c r="E199" s="14" t="s">
        <v>1487</v>
      </c>
      <c r="F199" s="14" t="s">
        <v>1487</v>
      </c>
      <c r="G199" s="14" t="s">
        <v>1488</v>
      </c>
      <c r="H199" s="15" t="n">
        <v>46107</v>
      </c>
      <c r="I199" s="15" t="s">
        <v>107</v>
      </c>
      <c r="J199" s="14" t="s">
        <v>128</v>
      </c>
      <c r="K199" s="14" t="s">
        <v>173</v>
      </c>
      <c r="L199" s="14" t="s">
        <v>110</v>
      </c>
      <c r="M199" s="14" t="s">
        <v>111</v>
      </c>
      <c r="N199" s="14" t="s">
        <v>145</v>
      </c>
      <c r="O199" s="14" t="s">
        <v>113</v>
      </c>
      <c r="P199" s="14" t="s">
        <v>652</v>
      </c>
      <c r="Q199" s="14" t="s">
        <v>841</v>
      </c>
      <c r="R199" s="14"/>
      <c r="S199" s="14" t="s">
        <v>441</v>
      </c>
      <c r="T199" s="14"/>
      <c r="U199" s="14" t="s">
        <v>23</v>
      </c>
      <c r="V199" s="14"/>
      <c r="W199" s="14"/>
      <c r="X199" s="14" t="s">
        <v>442</v>
      </c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R199" s="1" t="s">
        <v>120</v>
      </c>
      <c r="CS199" s="1" t="s">
        <v>121</v>
      </c>
      <c r="CT199" s="14" t="s">
        <v>1489</v>
      </c>
      <c r="CU199" s="1" t="s">
        <v>167</v>
      </c>
      <c r="CV199" s="1" t="s">
        <v>124</v>
      </c>
      <c r="CW199" s="3"/>
      <c r="DG199" s="4"/>
    </row>
    <row r="200" customFormat="false" ht="11.25" hidden="false" customHeight="true" outlineLevel="0" collapsed="false">
      <c r="A200" s="14" t="n">
        <v>199</v>
      </c>
      <c r="B200" s="15" t="n">
        <v>46149.7828128009</v>
      </c>
      <c r="C200" s="15" t="n">
        <v>46149.7988660417</v>
      </c>
      <c r="D200" s="14" t="s">
        <v>1490</v>
      </c>
      <c r="E200" s="14" t="s">
        <v>1491</v>
      </c>
      <c r="F200" s="14" t="s">
        <v>1491</v>
      </c>
      <c r="G200" s="14" t="s">
        <v>1492</v>
      </c>
      <c r="H200" s="15" t="n">
        <v>46144</v>
      </c>
      <c r="I200" s="15" t="s">
        <v>244</v>
      </c>
      <c r="J200" s="14" t="s">
        <v>295</v>
      </c>
      <c r="K200" s="14" t="s">
        <v>143</v>
      </c>
      <c r="L200" s="14" t="s">
        <v>431</v>
      </c>
      <c r="M200" s="14" t="s">
        <v>390</v>
      </c>
      <c r="N200" s="14" t="s">
        <v>112</v>
      </c>
      <c r="O200" s="14" t="s">
        <v>113</v>
      </c>
      <c r="P200" s="14" t="s">
        <v>492</v>
      </c>
      <c r="Q200" s="14" t="s">
        <v>893</v>
      </c>
      <c r="R200" s="14"/>
      <c r="S200" s="14"/>
      <c r="T200" s="14" t="s">
        <v>880</v>
      </c>
      <c r="U200" s="14" t="s">
        <v>24</v>
      </c>
      <c r="V200" s="14"/>
      <c r="W200" s="14"/>
      <c r="X200" s="14"/>
      <c r="Y200" s="14" t="s">
        <v>19</v>
      </c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R200" s="1" t="s">
        <v>120</v>
      </c>
      <c r="CS200" s="1" t="s">
        <v>352</v>
      </c>
      <c r="CT200" s="14" t="s">
        <v>122</v>
      </c>
      <c r="CU200" s="1" t="s">
        <v>192</v>
      </c>
      <c r="CV200" s="1" t="s">
        <v>124</v>
      </c>
      <c r="CW200" s="3"/>
      <c r="DG200" s="4"/>
    </row>
    <row r="201" customFormat="false" ht="11.25" hidden="false" customHeight="true" outlineLevel="0" collapsed="false">
      <c r="A201" s="14" t="n">
        <v>200</v>
      </c>
      <c r="B201" s="15" t="n">
        <v>46055.1045808565</v>
      </c>
      <c r="C201" s="15" t="n">
        <v>46055.1178447454</v>
      </c>
      <c r="D201" s="14" t="s">
        <v>1493</v>
      </c>
      <c r="E201" s="14" t="s">
        <v>1494</v>
      </c>
      <c r="F201" s="14" t="s">
        <v>1494</v>
      </c>
      <c r="G201" s="14" t="s">
        <v>1495</v>
      </c>
      <c r="H201" s="15" t="n">
        <v>46040</v>
      </c>
      <c r="I201" s="15" t="s">
        <v>278</v>
      </c>
      <c r="J201" s="14" t="s">
        <v>295</v>
      </c>
      <c r="K201" s="14" t="s">
        <v>232</v>
      </c>
      <c r="L201" s="14" t="s">
        <v>296</v>
      </c>
      <c r="M201" s="14" t="s">
        <v>111</v>
      </c>
      <c r="N201" s="14" t="s">
        <v>145</v>
      </c>
      <c r="O201" s="14" t="s">
        <v>336</v>
      </c>
      <c r="P201" s="14" t="s">
        <v>864</v>
      </c>
      <c r="Q201" s="14" t="s">
        <v>407</v>
      </c>
      <c r="R201" s="14"/>
      <c r="S201" s="14"/>
      <c r="T201" s="14"/>
      <c r="U201" s="14" t="s">
        <v>22</v>
      </c>
      <c r="V201" s="14"/>
      <c r="W201" s="14" t="s">
        <v>381</v>
      </c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 t="s">
        <v>382</v>
      </c>
      <c r="BR201" s="14" t="s">
        <v>1496</v>
      </c>
      <c r="BS201" s="14" t="s">
        <v>1197</v>
      </c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R201" s="1" t="s">
        <v>152</v>
      </c>
      <c r="CS201" s="1" t="s">
        <v>121</v>
      </c>
      <c r="CT201" s="14"/>
      <c r="CU201" s="1" t="s">
        <v>123</v>
      </c>
      <c r="CV201" s="1" t="s">
        <v>139</v>
      </c>
      <c r="CW201" s="3"/>
      <c r="DG201" s="4"/>
    </row>
    <row r="202" customFormat="false" ht="11.25" hidden="false" customHeight="true" outlineLevel="0" collapsed="false">
      <c r="A202" s="14" t="n">
        <v>201</v>
      </c>
      <c r="B202" s="15" t="n">
        <v>46215.5855533333</v>
      </c>
      <c r="C202" s="15" t="n">
        <v>46215.5900672222</v>
      </c>
      <c r="D202" s="14" t="s">
        <v>1497</v>
      </c>
      <c r="E202" s="14" t="s">
        <v>1498</v>
      </c>
      <c r="F202" s="14" t="s">
        <v>1498</v>
      </c>
      <c r="G202" s="14" t="s">
        <v>1499</v>
      </c>
      <c r="H202" s="15" t="n">
        <v>46201</v>
      </c>
      <c r="I202" s="15" t="s">
        <v>278</v>
      </c>
      <c r="J202" s="14" t="s">
        <v>108</v>
      </c>
      <c r="K202" s="14" t="s">
        <v>1500</v>
      </c>
      <c r="L202" s="14" t="s">
        <v>246</v>
      </c>
      <c r="M202" s="14" t="s">
        <v>131</v>
      </c>
      <c r="N202" s="14" t="s">
        <v>112</v>
      </c>
      <c r="O202" s="14" t="s">
        <v>336</v>
      </c>
      <c r="P202" s="14" t="s">
        <v>789</v>
      </c>
      <c r="Q202" s="14" t="s">
        <v>905</v>
      </c>
      <c r="R202" s="14"/>
      <c r="S202" s="14"/>
      <c r="T202" s="14"/>
      <c r="U202" s="14" t="s">
        <v>22</v>
      </c>
      <c r="V202" s="14"/>
      <c r="W202" s="14" t="s">
        <v>271</v>
      </c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 t="s">
        <v>1501</v>
      </c>
      <c r="BL202" s="14" t="s">
        <v>1502</v>
      </c>
      <c r="BM202" s="14" t="s">
        <v>920</v>
      </c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R202" s="1" t="s">
        <v>152</v>
      </c>
      <c r="CS202" s="1" t="s">
        <v>121</v>
      </c>
      <c r="CT202" s="14" t="s">
        <v>122</v>
      </c>
      <c r="CU202" s="1" t="s">
        <v>192</v>
      </c>
      <c r="CV202" s="1" t="s">
        <v>124</v>
      </c>
      <c r="CW202" s="3"/>
      <c r="DG202" s="4"/>
    </row>
    <row r="203" customFormat="false" ht="11.25" hidden="false" customHeight="true" outlineLevel="0" collapsed="false">
      <c r="A203" s="14" t="n">
        <v>202</v>
      </c>
      <c r="B203" s="15" t="n">
        <v>46116.6079473958</v>
      </c>
      <c r="C203" s="15" t="n">
        <v>46116.6131441551</v>
      </c>
      <c r="D203" s="14" t="s">
        <v>1503</v>
      </c>
      <c r="E203" s="14" t="s">
        <v>1504</v>
      </c>
      <c r="F203" s="14" t="s">
        <v>1504</v>
      </c>
      <c r="G203" s="14" t="s">
        <v>1505</v>
      </c>
      <c r="H203" s="15" t="n">
        <v>46111</v>
      </c>
      <c r="I203" s="15" t="s">
        <v>1506</v>
      </c>
      <c r="J203" s="14" t="s">
        <v>295</v>
      </c>
      <c r="K203" s="14" t="s">
        <v>364</v>
      </c>
      <c r="L203" s="14" t="s">
        <v>268</v>
      </c>
      <c r="M203" s="14" t="s">
        <v>111</v>
      </c>
      <c r="N203" s="14" t="s">
        <v>112</v>
      </c>
      <c r="O203" s="14" t="s">
        <v>113</v>
      </c>
      <c r="P203" s="14" t="s">
        <v>1313</v>
      </c>
      <c r="Q203" s="14" t="s">
        <v>1224</v>
      </c>
      <c r="R203" s="14"/>
      <c r="S203" s="14"/>
      <c r="T203" s="14"/>
      <c r="U203" s="14" t="s">
        <v>22</v>
      </c>
      <c r="V203" s="14"/>
      <c r="W203" s="14" t="s">
        <v>298</v>
      </c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 t="s">
        <v>1507</v>
      </c>
      <c r="AW203" s="14" t="s">
        <v>300</v>
      </c>
      <c r="AX203" s="14" t="s">
        <v>1508</v>
      </c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R203" s="1" t="s">
        <v>152</v>
      </c>
      <c r="CS203" s="1" t="s">
        <v>121</v>
      </c>
      <c r="CT203" s="14"/>
      <c r="CU203" s="1" t="s">
        <v>167</v>
      </c>
      <c r="CV203" s="1" t="s">
        <v>124</v>
      </c>
      <c r="CW203" s="3"/>
      <c r="DG203" s="4"/>
    </row>
    <row r="204" customFormat="false" ht="11.25" hidden="false" customHeight="true" outlineLevel="0" collapsed="false">
      <c r="A204" s="14" t="n">
        <v>203</v>
      </c>
      <c r="B204" s="15" t="n">
        <v>46153.3452336227</v>
      </c>
      <c r="C204" s="15" t="n">
        <v>46153.3542035301</v>
      </c>
      <c r="D204" s="14" t="s">
        <v>1509</v>
      </c>
      <c r="E204" s="14" t="s">
        <v>1510</v>
      </c>
      <c r="F204" s="14" t="s">
        <v>1511</v>
      </c>
      <c r="G204" s="14" t="s">
        <v>1512</v>
      </c>
      <c r="H204" s="15" t="n">
        <v>46136</v>
      </c>
      <c r="I204" s="15" t="s">
        <v>405</v>
      </c>
      <c r="J204" s="14" t="s">
        <v>108</v>
      </c>
      <c r="K204" s="14" t="s">
        <v>196</v>
      </c>
      <c r="L204" s="14" t="s">
        <v>130</v>
      </c>
      <c r="M204" s="14" t="s">
        <v>390</v>
      </c>
      <c r="N204" s="14" t="s">
        <v>145</v>
      </c>
      <c r="O204" s="14" t="s">
        <v>1268</v>
      </c>
      <c r="P204" s="14" t="s">
        <v>234</v>
      </c>
      <c r="Q204" s="14" t="s">
        <v>337</v>
      </c>
      <c r="R204" s="14"/>
      <c r="S204" s="14"/>
      <c r="T204" s="14"/>
      <c r="U204" s="14" t="s">
        <v>24</v>
      </c>
      <c r="V204" s="14"/>
      <c r="W204" s="14"/>
      <c r="X204" s="14"/>
      <c r="Y204" s="14" t="s">
        <v>214</v>
      </c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 t="s">
        <v>1513</v>
      </c>
      <c r="CD204" s="14" t="s">
        <v>216</v>
      </c>
      <c r="CE204" s="14" t="s">
        <v>620</v>
      </c>
      <c r="CF204" s="14"/>
      <c r="CG204" s="14"/>
      <c r="CH204" s="14"/>
      <c r="CI204" s="14"/>
      <c r="CJ204" s="14"/>
      <c r="CK204" s="14"/>
      <c r="CL204" s="14"/>
      <c r="CR204" s="1" t="s">
        <v>152</v>
      </c>
      <c r="CS204" s="1" t="s">
        <v>180</v>
      </c>
      <c r="CT204" s="14"/>
      <c r="CU204" s="1" t="s">
        <v>123</v>
      </c>
      <c r="CV204" s="1" t="s">
        <v>124</v>
      </c>
      <c r="CW204" s="3"/>
      <c r="DG204" s="4"/>
    </row>
    <row r="205" customFormat="false" ht="11.25" hidden="false" customHeight="true" outlineLevel="0" collapsed="false">
      <c r="A205" s="14" t="n">
        <v>204</v>
      </c>
      <c r="B205" s="15" t="n">
        <v>46114.735169757</v>
      </c>
      <c r="C205" s="15" t="n">
        <v>46114.7547415162</v>
      </c>
      <c r="D205" s="14" t="s">
        <v>1514</v>
      </c>
      <c r="E205" s="14" t="s">
        <v>1515</v>
      </c>
      <c r="F205" s="14" t="s">
        <v>1515</v>
      </c>
      <c r="G205" s="14" t="s">
        <v>1516</v>
      </c>
      <c r="H205" s="15" t="n">
        <v>46112</v>
      </c>
      <c r="I205" s="15" t="s">
        <v>244</v>
      </c>
      <c r="J205" s="14" t="s">
        <v>108</v>
      </c>
      <c r="K205" s="14" t="s">
        <v>462</v>
      </c>
      <c r="L205" s="14" t="s">
        <v>233</v>
      </c>
      <c r="M205" s="14" t="s">
        <v>111</v>
      </c>
      <c r="N205" s="14" t="s">
        <v>112</v>
      </c>
      <c r="O205" s="14" t="s">
        <v>113</v>
      </c>
      <c r="P205" s="14" t="s">
        <v>809</v>
      </c>
      <c r="Q205" s="14" t="s">
        <v>1306</v>
      </c>
      <c r="R205" s="14"/>
      <c r="S205" s="14"/>
      <c r="T205" s="14"/>
      <c r="U205" s="14" t="s">
        <v>24</v>
      </c>
      <c r="V205" s="14"/>
      <c r="W205" s="14"/>
      <c r="X205" s="14"/>
      <c r="Y205" s="14" t="s">
        <v>448</v>
      </c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 t="s">
        <v>1517</v>
      </c>
      <c r="BX205" s="14" t="s">
        <v>450</v>
      </c>
      <c r="BY205" s="14" t="s">
        <v>1115</v>
      </c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R205" s="1" t="s">
        <v>152</v>
      </c>
      <c r="CS205" s="1" t="s">
        <v>121</v>
      </c>
      <c r="CT205" s="14" t="s">
        <v>122</v>
      </c>
      <c r="CU205" s="1" t="s">
        <v>123</v>
      </c>
      <c r="CV205" s="1" t="s">
        <v>168</v>
      </c>
      <c r="CW205" s="3"/>
      <c r="DG205" s="4"/>
    </row>
    <row r="206" customFormat="false" ht="11.25" hidden="false" customHeight="true" outlineLevel="0" collapsed="false">
      <c r="A206" s="14" t="n">
        <v>205</v>
      </c>
      <c r="B206" s="15" t="n">
        <v>46212.8478160417</v>
      </c>
      <c r="C206" s="15" t="n">
        <v>46212.8530822454</v>
      </c>
      <c r="D206" s="14" t="s">
        <v>1518</v>
      </c>
      <c r="E206" s="14" t="s">
        <v>1519</v>
      </c>
      <c r="F206" s="14" t="s">
        <v>1519</v>
      </c>
      <c r="G206" s="14" t="s">
        <v>1520</v>
      </c>
      <c r="H206" s="15" t="n">
        <v>46199</v>
      </c>
      <c r="I206" s="15" t="s">
        <v>278</v>
      </c>
      <c r="J206" s="14" t="s">
        <v>108</v>
      </c>
      <c r="K206" s="14" t="s">
        <v>462</v>
      </c>
      <c r="L206" s="14" t="s">
        <v>431</v>
      </c>
      <c r="M206" s="14" t="s">
        <v>111</v>
      </c>
      <c r="N206" s="14" t="s">
        <v>112</v>
      </c>
      <c r="O206" s="14" t="s">
        <v>305</v>
      </c>
      <c r="P206" s="14" t="s">
        <v>612</v>
      </c>
      <c r="Q206" s="14" t="s">
        <v>407</v>
      </c>
      <c r="R206" s="14"/>
      <c r="S206" s="14"/>
      <c r="T206" s="14" t="s">
        <v>880</v>
      </c>
      <c r="U206" s="14" t="s">
        <v>24</v>
      </c>
      <c r="V206" s="14"/>
      <c r="W206" s="14"/>
      <c r="X206" s="14"/>
      <c r="Y206" s="14" t="s">
        <v>19</v>
      </c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R206" s="1" t="s">
        <v>152</v>
      </c>
      <c r="CS206" s="1" t="s">
        <v>121</v>
      </c>
      <c r="CT206" s="14" t="s">
        <v>1032</v>
      </c>
      <c r="CU206" s="1" t="s">
        <v>123</v>
      </c>
      <c r="CV206" s="1" t="s">
        <v>124</v>
      </c>
      <c r="CW206" s="3"/>
      <c r="DG206" s="4"/>
    </row>
    <row r="207" customFormat="false" ht="11.25" hidden="false" customHeight="true" outlineLevel="0" collapsed="false">
      <c r="A207" s="14" t="n">
        <v>206</v>
      </c>
      <c r="B207" s="15" t="n">
        <v>46106.4773364815</v>
      </c>
      <c r="C207" s="15" t="n">
        <v>46106.4877647222</v>
      </c>
      <c r="D207" s="14" t="s">
        <v>1521</v>
      </c>
      <c r="E207" s="14" t="s">
        <v>1522</v>
      </c>
      <c r="F207" s="14" t="s">
        <v>1522</v>
      </c>
      <c r="G207" s="14" t="s">
        <v>1523</v>
      </c>
      <c r="H207" s="15" t="n">
        <v>46105</v>
      </c>
      <c r="I207" s="15" t="s">
        <v>278</v>
      </c>
      <c r="J207" s="14" t="s">
        <v>108</v>
      </c>
      <c r="K207" s="14" t="s">
        <v>196</v>
      </c>
      <c r="L207" s="14" t="s">
        <v>296</v>
      </c>
      <c r="M207" s="14" t="s">
        <v>111</v>
      </c>
      <c r="N207" s="14" t="s">
        <v>145</v>
      </c>
      <c r="O207" s="14" t="s">
        <v>113</v>
      </c>
      <c r="P207" s="14" t="s">
        <v>477</v>
      </c>
      <c r="Q207" s="14" t="s">
        <v>990</v>
      </c>
      <c r="R207" s="14"/>
      <c r="S207" s="14"/>
      <c r="T207" s="14"/>
      <c r="U207" s="14" t="s">
        <v>24</v>
      </c>
      <c r="V207" s="14"/>
      <c r="W207" s="14"/>
      <c r="X207" s="14"/>
      <c r="Y207" s="14" t="s">
        <v>214</v>
      </c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 t="s">
        <v>1457</v>
      </c>
      <c r="CD207" s="14" t="s">
        <v>118</v>
      </c>
      <c r="CE207" s="14" t="s">
        <v>252</v>
      </c>
      <c r="CF207" s="14"/>
      <c r="CG207" s="14"/>
      <c r="CH207" s="14"/>
      <c r="CI207" s="14"/>
      <c r="CJ207" s="14"/>
      <c r="CK207" s="14"/>
      <c r="CL207" s="14"/>
      <c r="CR207" s="1" t="s">
        <v>152</v>
      </c>
      <c r="CS207" s="1" t="s">
        <v>121</v>
      </c>
      <c r="CT207" s="14" t="s">
        <v>831</v>
      </c>
      <c r="CU207" s="1" t="s">
        <v>192</v>
      </c>
      <c r="CV207" s="1" t="s">
        <v>124</v>
      </c>
      <c r="CW207" s="3"/>
      <c r="DG207" s="4"/>
    </row>
    <row r="208" customFormat="false" ht="11.25" hidden="false" customHeight="true" outlineLevel="0" collapsed="false">
      <c r="A208" s="14" t="n">
        <v>207</v>
      </c>
      <c r="B208" s="15" t="n">
        <v>46050.5411221991</v>
      </c>
      <c r="C208" s="15" t="n">
        <v>46050.558761088</v>
      </c>
      <c r="D208" s="14" t="s">
        <v>1524</v>
      </c>
      <c r="E208" s="14" t="s">
        <v>1525</v>
      </c>
      <c r="F208" s="14" t="s">
        <v>1525</v>
      </c>
      <c r="G208" s="14" t="s">
        <v>1526</v>
      </c>
      <c r="H208" s="15" t="n">
        <v>46047</v>
      </c>
      <c r="I208" s="15" t="s">
        <v>172</v>
      </c>
      <c r="J208" s="14" t="s">
        <v>295</v>
      </c>
      <c r="K208" s="14" t="s">
        <v>1527</v>
      </c>
      <c r="L208" s="14" t="s">
        <v>346</v>
      </c>
      <c r="M208" s="14" t="s">
        <v>111</v>
      </c>
      <c r="N208" s="14" t="s">
        <v>112</v>
      </c>
      <c r="O208" s="14" t="s">
        <v>113</v>
      </c>
      <c r="P208" s="14" t="s">
        <v>870</v>
      </c>
      <c r="Q208" s="14" t="s">
        <v>1036</v>
      </c>
      <c r="R208" s="14"/>
      <c r="S208" s="14"/>
      <c r="T208" s="14"/>
      <c r="U208" s="14" t="s">
        <v>22</v>
      </c>
      <c r="V208" s="14"/>
      <c r="W208" s="14" t="s">
        <v>298</v>
      </c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 t="s">
        <v>1528</v>
      </c>
      <c r="AW208" s="14" t="s">
        <v>1030</v>
      </c>
      <c r="AX208" s="14" t="s">
        <v>1529</v>
      </c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R208" s="1" t="s">
        <v>152</v>
      </c>
      <c r="CS208" s="1" t="s">
        <v>180</v>
      </c>
      <c r="CT208" s="14"/>
      <c r="CU208" s="1" t="s">
        <v>192</v>
      </c>
      <c r="CV208" s="1" t="s">
        <v>168</v>
      </c>
      <c r="CW208" s="3"/>
      <c r="DG208" s="4"/>
    </row>
    <row r="209" customFormat="false" ht="11.25" hidden="false" customHeight="true" outlineLevel="0" collapsed="false">
      <c r="A209" s="14" t="n">
        <v>208</v>
      </c>
      <c r="B209" s="15" t="n">
        <v>46214.2884802778</v>
      </c>
      <c r="C209" s="15" t="n">
        <v>46214.2973575926</v>
      </c>
      <c r="D209" s="14" t="s">
        <v>1530</v>
      </c>
      <c r="E209" s="14" t="s">
        <v>1531</v>
      </c>
      <c r="F209" s="14" t="s">
        <v>1531</v>
      </c>
      <c r="G209" s="14" t="s">
        <v>1532</v>
      </c>
      <c r="H209" s="15" t="n">
        <v>46205</v>
      </c>
      <c r="I209" s="15" t="s">
        <v>107</v>
      </c>
      <c r="J209" s="14" t="s">
        <v>295</v>
      </c>
      <c r="K209" s="14" t="s">
        <v>257</v>
      </c>
      <c r="L209" s="14" t="s">
        <v>431</v>
      </c>
      <c r="M209" s="14" t="s">
        <v>111</v>
      </c>
      <c r="N209" s="14" t="s">
        <v>112</v>
      </c>
      <c r="O209" s="14" t="s">
        <v>113</v>
      </c>
      <c r="P209" s="14" t="s">
        <v>973</v>
      </c>
      <c r="Q209" s="14" t="s">
        <v>701</v>
      </c>
      <c r="R209" s="14"/>
      <c r="S209" s="14"/>
      <c r="T209" s="14"/>
      <c r="U209" s="14" t="s">
        <v>22</v>
      </c>
      <c r="V209" s="14"/>
      <c r="W209" s="14" t="s">
        <v>298</v>
      </c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 t="s">
        <v>1533</v>
      </c>
      <c r="AW209" s="14" t="s">
        <v>1534</v>
      </c>
      <c r="AX209" s="14" t="s">
        <v>1535</v>
      </c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R209" s="1" t="s">
        <v>120</v>
      </c>
      <c r="CS209" s="1" t="s">
        <v>180</v>
      </c>
      <c r="CT209" s="14" t="s">
        <v>1015</v>
      </c>
      <c r="CU209" s="1" t="s">
        <v>167</v>
      </c>
      <c r="CV209" s="1" t="s">
        <v>124</v>
      </c>
      <c r="CW209" s="3"/>
      <c r="DG209" s="4"/>
    </row>
    <row r="210" customFormat="false" ht="11.25" hidden="false" customHeight="true" outlineLevel="0" collapsed="false">
      <c r="A210" s="14" t="n">
        <v>209</v>
      </c>
      <c r="B210" s="15" t="n">
        <v>46140.8355293056</v>
      </c>
      <c r="C210" s="15" t="n">
        <v>46140.83872375</v>
      </c>
      <c r="D210" s="14" t="s">
        <v>1536</v>
      </c>
      <c r="E210" s="14" t="s">
        <v>1537</v>
      </c>
      <c r="F210" s="14" t="s">
        <v>1537</v>
      </c>
      <c r="G210" s="14" t="s">
        <v>1538</v>
      </c>
      <c r="H210" s="15" t="n">
        <v>46140</v>
      </c>
      <c r="I210" s="15" t="s">
        <v>172</v>
      </c>
      <c r="J210" s="14" t="s">
        <v>108</v>
      </c>
      <c r="K210" s="14" t="s">
        <v>196</v>
      </c>
      <c r="L210" s="14" t="s">
        <v>233</v>
      </c>
      <c r="M210" s="14" t="s">
        <v>111</v>
      </c>
      <c r="N210" s="14" t="s">
        <v>112</v>
      </c>
      <c r="O210" s="14" t="s">
        <v>325</v>
      </c>
      <c r="P210" s="14" t="s">
        <v>1151</v>
      </c>
      <c r="Q210" s="14" t="s">
        <v>1539</v>
      </c>
      <c r="R210" s="14"/>
      <c r="S210" s="14"/>
      <c r="T210" s="14"/>
      <c r="U210" s="14" t="s">
        <v>24</v>
      </c>
      <c r="V210" s="14"/>
      <c r="W210" s="14"/>
      <c r="X210" s="14"/>
      <c r="Y210" s="14" t="s">
        <v>223</v>
      </c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 t="s">
        <v>1540</v>
      </c>
      <c r="CA210" s="14" t="s">
        <v>1541</v>
      </c>
      <c r="CB210" s="14" t="s">
        <v>425</v>
      </c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R210" s="1" t="s">
        <v>152</v>
      </c>
      <c r="CS210" s="1" t="s">
        <v>121</v>
      </c>
      <c r="CT210" s="14" t="s">
        <v>122</v>
      </c>
      <c r="CU210" s="1" t="s">
        <v>192</v>
      </c>
      <c r="CV210" s="1" t="s">
        <v>124</v>
      </c>
      <c r="CW210" s="3"/>
      <c r="DG210" s="4"/>
    </row>
    <row r="211" customFormat="false" ht="11.25" hidden="false" customHeight="true" outlineLevel="0" collapsed="false">
      <c r="A211" s="14" t="n">
        <v>210</v>
      </c>
      <c r="B211" s="15" t="n">
        <v>46177.7521469213</v>
      </c>
      <c r="C211" s="15" t="n">
        <v>46177.7560821065</v>
      </c>
      <c r="D211" s="14" t="s">
        <v>1542</v>
      </c>
      <c r="E211" s="14" t="s">
        <v>1543</v>
      </c>
      <c r="F211" s="14" t="s">
        <v>1543</v>
      </c>
      <c r="G211" s="14" t="s">
        <v>1544</v>
      </c>
      <c r="H211" s="15" t="n">
        <v>46161</v>
      </c>
      <c r="I211" s="15" t="s">
        <v>244</v>
      </c>
      <c r="J211" s="14" t="s">
        <v>108</v>
      </c>
      <c r="K211" s="14" t="s">
        <v>173</v>
      </c>
      <c r="L211" s="14" t="s">
        <v>110</v>
      </c>
      <c r="M211" s="14" t="s">
        <v>111</v>
      </c>
      <c r="N211" s="14" t="s">
        <v>112</v>
      </c>
      <c r="O211" s="14" t="s">
        <v>113</v>
      </c>
      <c r="P211" s="14" t="s">
        <v>566</v>
      </c>
      <c r="Q211" s="14" t="s">
        <v>586</v>
      </c>
      <c r="R211" s="14"/>
      <c r="S211" s="14"/>
      <c r="T211" s="14"/>
      <c r="U211" s="14" t="s">
        <v>22</v>
      </c>
      <c r="V211" s="14"/>
      <c r="W211" s="14" t="s">
        <v>176</v>
      </c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 t="s">
        <v>1545</v>
      </c>
      <c r="AZ211" s="14" t="s">
        <v>1546</v>
      </c>
      <c r="BA211" s="14" t="s">
        <v>1547</v>
      </c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R211" s="1" t="s">
        <v>227</v>
      </c>
      <c r="CS211" s="1" t="s">
        <v>165</v>
      </c>
      <c r="CT211" s="14"/>
      <c r="CU211" s="1" t="s">
        <v>192</v>
      </c>
      <c r="CV211" s="1" t="s">
        <v>124</v>
      </c>
      <c r="CW211" s="3"/>
      <c r="DG211" s="4"/>
    </row>
    <row r="212" customFormat="false" ht="11.25" hidden="false" customHeight="true" outlineLevel="0" collapsed="false">
      <c r="A212" s="14" t="n">
        <v>211</v>
      </c>
      <c r="B212" s="15" t="n">
        <v>46214.0523724769</v>
      </c>
      <c r="C212" s="15" t="n">
        <v>46214.0674650694</v>
      </c>
      <c r="D212" s="14" t="s">
        <v>1548</v>
      </c>
      <c r="E212" s="14" t="s">
        <v>1549</v>
      </c>
      <c r="F212" s="14" t="s">
        <v>1550</v>
      </c>
      <c r="G212" s="14" t="s">
        <v>1551</v>
      </c>
      <c r="H212" s="15" t="n">
        <v>46208</v>
      </c>
      <c r="I212" s="15" t="s">
        <v>278</v>
      </c>
      <c r="J212" s="14" t="s">
        <v>128</v>
      </c>
      <c r="K212" s="14" t="s">
        <v>1552</v>
      </c>
      <c r="L212" s="14" t="s">
        <v>246</v>
      </c>
      <c r="M212" s="14" t="s">
        <v>390</v>
      </c>
      <c r="N212" s="14" t="s">
        <v>112</v>
      </c>
      <c r="O212" s="14" t="s">
        <v>113</v>
      </c>
      <c r="P212" s="14" t="s">
        <v>809</v>
      </c>
      <c r="Q212" s="14" t="s">
        <v>1553</v>
      </c>
      <c r="R212" s="14"/>
      <c r="S212" s="14"/>
      <c r="T212" s="14"/>
      <c r="U212" s="14" t="s">
        <v>22</v>
      </c>
      <c r="V212" s="14"/>
      <c r="W212" s="14" t="s">
        <v>298</v>
      </c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 t="s">
        <v>1554</v>
      </c>
      <c r="AW212" s="14" t="s">
        <v>1555</v>
      </c>
      <c r="AX212" s="14" t="s">
        <v>1556</v>
      </c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R212" s="1" t="s">
        <v>152</v>
      </c>
      <c r="CS212" s="1" t="s">
        <v>121</v>
      </c>
      <c r="CT212" s="14" t="s">
        <v>1557</v>
      </c>
      <c r="CU212" s="1" t="s">
        <v>192</v>
      </c>
      <c r="CV212" s="1" t="s">
        <v>124</v>
      </c>
      <c r="CW212" s="3"/>
      <c r="DG212" s="4"/>
    </row>
    <row r="213" customFormat="false" ht="11.25" hidden="false" customHeight="true" outlineLevel="0" collapsed="false">
      <c r="A213" s="14" t="n">
        <v>212</v>
      </c>
      <c r="B213" s="15" t="n">
        <v>46141.2863242245</v>
      </c>
      <c r="C213" s="15" t="n">
        <v>46141.3048195949</v>
      </c>
      <c r="D213" s="14" t="s">
        <v>1558</v>
      </c>
      <c r="E213" s="14" t="s">
        <v>1559</v>
      </c>
      <c r="F213" s="14" t="s">
        <v>1560</v>
      </c>
      <c r="G213" s="14" t="s">
        <v>1561</v>
      </c>
      <c r="H213" s="15" t="n">
        <v>46126</v>
      </c>
      <c r="I213" s="15" t="s">
        <v>107</v>
      </c>
      <c r="J213" s="14" t="s">
        <v>108</v>
      </c>
      <c r="K213" s="14" t="s">
        <v>232</v>
      </c>
      <c r="L213" s="14" t="s">
        <v>296</v>
      </c>
      <c r="M213" s="14" t="s">
        <v>111</v>
      </c>
      <c r="N213" s="14" t="s">
        <v>112</v>
      </c>
      <c r="O213" s="14" t="s">
        <v>551</v>
      </c>
      <c r="P213" s="14" t="s">
        <v>1074</v>
      </c>
      <c r="Q213" s="14" t="s">
        <v>134</v>
      </c>
      <c r="R213" s="14"/>
      <c r="S213" s="14"/>
      <c r="T213" s="14"/>
      <c r="U213" s="14" t="s">
        <v>24</v>
      </c>
      <c r="V213" s="14"/>
      <c r="W213" s="14"/>
      <c r="X213" s="14"/>
      <c r="Y213" s="14" t="s">
        <v>214</v>
      </c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 t="s">
        <v>1562</v>
      </c>
      <c r="CD213" s="14" t="s">
        <v>1563</v>
      </c>
      <c r="CE213" s="14" t="s">
        <v>1564</v>
      </c>
      <c r="CF213" s="14"/>
      <c r="CG213" s="14"/>
      <c r="CH213" s="14"/>
      <c r="CI213" s="14"/>
      <c r="CJ213" s="14"/>
      <c r="CK213" s="14"/>
      <c r="CL213" s="14"/>
      <c r="CR213" s="1" t="s">
        <v>152</v>
      </c>
      <c r="CS213" s="1" t="s">
        <v>121</v>
      </c>
      <c r="CT213" s="14" t="s">
        <v>291</v>
      </c>
      <c r="CU213" s="1" t="s">
        <v>192</v>
      </c>
      <c r="CV213" s="1" t="s">
        <v>168</v>
      </c>
      <c r="CW213" s="3"/>
      <c r="DG213" s="4"/>
    </row>
    <row r="214" customFormat="false" ht="11.25" hidden="false" customHeight="true" outlineLevel="0" collapsed="false">
      <c r="A214" s="14" t="n">
        <v>213</v>
      </c>
      <c r="B214" s="15" t="n">
        <v>46129.8300192014</v>
      </c>
      <c r="C214" s="15" t="n">
        <v>46129.8361534606</v>
      </c>
      <c r="D214" s="14" t="s">
        <v>1565</v>
      </c>
      <c r="E214" s="14" t="s">
        <v>1566</v>
      </c>
      <c r="F214" s="14" t="s">
        <v>1566</v>
      </c>
      <c r="G214" s="14" t="s">
        <v>1567</v>
      </c>
      <c r="H214" s="15" t="n">
        <v>46117</v>
      </c>
      <c r="I214" s="15" t="s">
        <v>107</v>
      </c>
      <c r="J214" s="14" t="s">
        <v>295</v>
      </c>
      <c r="K214" s="14" t="s">
        <v>232</v>
      </c>
      <c r="L214" s="14" t="s">
        <v>346</v>
      </c>
      <c r="M214" s="14" t="s">
        <v>111</v>
      </c>
      <c r="N214" s="14" t="s">
        <v>145</v>
      </c>
      <c r="O214" s="14" t="s">
        <v>863</v>
      </c>
      <c r="P214" s="14" t="s">
        <v>694</v>
      </c>
      <c r="Q214" s="14" t="s">
        <v>287</v>
      </c>
      <c r="R214" s="14"/>
      <c r="S214" s="14"/>
      <c r="T214" s="14"/>
      <c r="U214" s="14" t="s">
        <v>22</v>
      </c>
      <c r="V214" s="14"/>
      <c r="W214" s="14" t="s">
        <v>339</v>
      </c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 t="s">
        <v>408</v>
      </c>
      <c r="BO214" s="14" t="s">
        <v>1270</v>
      </c>
      <c r="BP214" s="14" t="s">
        <v>753</v>
      </c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R214" s="1" t="s">
        <v>152</v>
      </c>
      <c r="CS214" s="1" t="s">
        <v>121</v>
      </c>
      <c r="CT214" s="14" t="s">
        <v>1568</v>
      </c>
      <c r="CU214" s="1" t="s">
        <v>123</v>
      </c>
      <c r="CV214" s="1" t="s">
        <v>124</v>
      </c>
      <c r="CW214" s="3"/>
      <c r="DG214" s="4"/>
    </row>
    <row r="215" customFormat="false" ht="11.25" hidden="false" customHeight="true" outlineLevel="0" collapsed="false">
      <c r="A215" s="14" t="n">
        <v>214</v>
      </c>
      <c r="B215" s="15" t="n">
        <v>46175.8125589005</v>
      </c>
      <c r="C215" s="15" t="n">
        <v>46175.8181839005</v>
      </c>
      <c r="D215" s="14" t="s">
        <v>1569</v>
      </c>
      <c r="E215" s="14" t="s">
        <v>1570</v>
      </c>
      <c r="F215" s="14" t="s">
        <v>1570</v>
      </c>
      <c r="G215" s="14" t="s">
        <v>1571</v>
      </c>
      <c r="H215" s="15" t="n">
        <v>46165</v>
      </c>
      <c r="I215" s="15" t="s">
        <v>107</v>
      </c>
      <c r="J215" s="14" t="s">
        <v>108</v>
      </c>
      <c r="K215" s="14" t="s">
        <v>1572</v>
      </c>
      <c r="L215" s="14" t="s">
        <v>110</v>
      </c>
      <c r="M215" s="14" t="s">
        <v>111</v>
      </c>
      <c r="N215" s="14" t="s">
        <v>112</v>
      </c>
      <c r="O215" s="14" t="s">
        <v>113</v>
      </c>
      <c r="P215" s="14" t="s">
        <v>160</v>
      </c>
      <c r="Q215" s="14" t="s">
        <v>1573</v>
      </c>
      <c r="R215" s="14"/>
      <c r="S215" s="14"/>
      <c r="T215" s="14"/>
      <c r="U215" s="14" t="s">
        <v>22</v>
      </c>
      <c r="V215" s="14"/>
      <c r="W215" s="14" t="s">
        <v>381</v>
      </c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 t="s">
        <v>737</v>
      </c>
      <c r="BR215" s="14" t="s">
        <v>1250</v>
      </c>
      <c r="BS215" s="14" t="s">
        <v>1574</v>
      </c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R215" s="1" t="s">
        <v>120</v>
      </c>
      <c r="CS215" s="1" t="s">
        <v>121</v>
      </c>
      <c r="CT215" s="14" t="s">
        <v>122</v>
      </c>
      <c r="CU215" s="1" t="s">
        <v>123</v>
      </c>
      <c r="CV215" s="1" t="s">
        <v>124</v>
      </c>
      <c r="CW215" s="3"/>
      <c r="DG215" s="4"/>
    </row>
    <row r="216" customFormat="false" ht="11.25" hidden="false" customHeight="true" outlineLevel="0" collapsed="false">
      <c r="A216" s="14" t="n">
        <v>215</v>
      </c>
      <c r="B216" s="15" t="n">
        <v>46041.7238754282</v>
      </c>
      <c r="C216" s="15" t="n">
        <v>46041.7420004282</v>
      </c>
      <c r="D216" s="14" t="s">
        <v>1575</v>
      </c>
      <c r="E216" s="14" t="s">
        <v>1576</v>
      </c>
      <c r="F216" s="14" t="s">
        <v>1576</v>
      </c>
      <c r="G216" s="14" t="s">
        <v>1577</v>
      </c>
      <c r="H216" s="15" t="n">
        <v>46037</v>
      </c>
      <c r="I216" s="15" t="s">
        <v>172</v>
      </c>
      <c r="J216" s="14" t="s">
        <v>108</v>
      </c>
      <c r="K216" s="14" t="s">
        <v>196</v>
      </c>
      <c r="L216" s="14" t="s">
        <v>389</v>
      </c>
      <c r="M216" s="14" t="s">
        <v>111</v>
      </c>
      <c r="N216" s="14" t="s">
        <v>145</v>
      </c>
      <c r="O216" s="14" t="s">
        <v>113</v>
      </c>
      <c r="P216" s="14" t="s">
        <v>199</v>
      </c>
      <c r="Q216" s="14" t="s">
        <v>213</v>
      </c>
      <c r="R216" s="14"/>
      <c r="S216" s="14"/>
      <c r="T216" s="14"/>
      <c r="U216" s="14" t="s">
        <v>22</v>
      </c>
      <c r="V216" s="14"/>
      <c r="W216" s="14" t="s">
        <v>339</v>
      </c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 t="s">
        <v>1578</v>
      </c>
      <c r="BO216" s="14" t="s">
        <v>1579</v>
      </c>
      <c r="BP216" s="14" t="s">
        <v>675</v>
      </c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R216" s="1" t="s">
        <v>120</v>
      </c>
      <c r="CS216" s="1" t="s">
        <v>121</v>
      </c>
      <c r="CT216" s="14" t="s">
        <v>1229</v>
      </c>
      <c r="CU216" s="1" t="s">
        <v>192</v>
      </c>
      <c r="CV216" s="1" t="s">
        <v>124</v>
      </c>
      <c r="CW216" s="3"/>
      <c r="CY216" s="3" t="s">
        <v>205</v>
      </c>
      <c r="DG216" s="4"/>
    </row>
    <row r="217" customFormat="false" ht="11.25" hidden="false" customHeight="true" outlineLevel="0" collapsed="false">
      <c r="A217" s="14" t="n">
        <v>216</v>
      </c>
      <c r="B217" s="15" t="n">
        <v>46044.9107422685</v>
      </c>
      <c r="C217" s="15" t="n">
        <v>46044.9218881019</v>
      </c>
      <c r="D217" s="14" t="s">
        <v>1580</v>
      </c>
      <c r="E217" s="14" t="s">
        <v>1581</v>
      </c>
      <c r="F217" s="14" t="s">
        <v>1582</v>
      </c>
      <c r="G217" s="14" t="s">
        <v>1583</v>
      </c>
      <c r="H217" s="15" t="n">
        <v>46037</v>
      </c>
      <c r="I217" s="15" t="s">
        <v>107</v>
      </c>
      <c r="J217" s="14" t="s">
        <v>295</v>
      </c>
      <c r="K217" s="14" t="s">
        <v>462</v>
      </c>
      <c r="L217" s="14" t="s">
        <v>130</v>
      </c>
      <c r="M217" s="14" t="s">
        <v>111</v>
      </c>
      <c r="N217" s="14" t="s">
        <v>112</v>
      </c>
      <c r="O217" s="14" t="s">
        <v>113</v>
      </c>
      <c r="P217" s="14" t="s">
        <v>146</v>
      </c>
      <c r="Q217" s="14" t="s">
        <v>338</v>
      </c>
      <c r="R217" s="14"/>
      <c r="S217" s="14"/>
      <c r="T217" s="14"/>
      <c r="U217" s="14" t="s">
        <v>22</v>
      </c>
      <c r="V217" s="14"/>
      <c r="W217" s="14" t="s">
        <v>339</v>
      </c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 t="s">
        <v>1584</v>
      </c>
      <c r="BO217" s="14" t="s">
        <v>1585</v>
      </c>
      <c r="BP217" s="14" t="s">
        <v>752</v>
      </c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R217" s="1" t="s">
        <v>227</v>
      </c>
      <c r="CS217" s="1" t="s">
        <v>121</v>
      </c>
      <c r="CT217" s="14" t="s">
        <v>122</v>
      </c>
      <c r="CU217" s="1" t="s">
        <v>167</v>
      </c>
      <c r="CV217" s="1" t="s">
        <v>124</v>
      </c>
      <c r="CW217" s="3"/>
      <c r="DG217" s="4"/>
    </row>
    <row r="218" customFormat="false" ht="11.25" hidden="false" customHeight="true" outlineLevel="0" collapsed="false">
      <c r="A218" s="14" t="n">
        <v>217</v>
      </c>
      <c r="B218" s="15" t="n">
        <v>46047.2224143287</v>
      </c>
      <c r="C218" s="15" t="n">
        <v>46047.2419282176</v>
      </c>
      <c r="D218" s="14" t="s">
        <v>1586</v>
      </c>
      <c r="E218" s="14" t="s">
        <v>1587</v>
      </c>
      <c r="F218" s="14" t="s">
        <v>1587</v>
      </c>
      <c r="G218" s="14" t="s">
        <v>1588</v>
      </c>
      <c r="H218" s="15" t="n">
        <v>46028</v>
      </c>
      <c r="I218" s="15" t="s">
        <v>172</v>
      </c>
      <c r="J218" s="14" t="s">
        <v>128</v>
      </c>
      <c r="K218" s="14" t="s">
        <v>1589</v>
      </c>
      <c r="L218" s="14" t="s">
        <v>110</v>
      </c>
      <c r="M218" s="14" t="s">
        <v>131</v>
      </c>
      <c r="N218" s="14" t="s">
        <v>112</v>
      </c>
      <c r="O218" s="14" t="s">
        <v>113</v>
      </c>
      <c r="P218" s="14" t="s">
        <v>686</v>
      </c>
      <c r="Q218" s="14" t="s">
        <v>508</v>
      </c>
      <c r="R218" s="14"/>
      <c r="S218" s="14"/>
      <c r="T218" s="14"/>
      <c r="U218" s="14" t="s">
        <v>25</v>
      </c>
      <c r="V218" s="14"/>
      <c r="W218" s="14"/>
      <c r="X218" s="14"/>
      <c r="Y218" s="14"/>
      <c r="Z218" s="14" t="s">
        <v>687</v>
      </c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 t="s">
        <v>1590</v>
      </c>
      <c r="CM218" s="1" t="s">
        <v>1591</v>
      </c>
      <c r="CN218" s="1" t="s">
        <v>1592</v>
      </c>
      <c r="CR218" s="1" t="s">
        <v>152</v>
      </c>
      <c r="CS218" s="1" t="s">
        <v>121</v>
      </c>
      <c r="CT218" s="14" t="s">
        <v>122</v>
      </c>
      <c r="CU218" s="1" t="s">
        <v>192</v>
      </c>
      <c r="CV218" s="1" t="s">
        <v>124</v>
      </c>
      <c r="CW218" s="3"/>
      <c r="DG218" s="4"/>
    </row>
    <row r="219" customFormat="false" ht="11.25" hidden="false" customHeight="true" outlineLevel="0" collapsed="false">
      <c r="A219" s="14" t="n">
        <v>218</v>
      </c>
      <c r="B219" s="15" t="n">
        <v>46084.004809132</v>
      </c>
      <c r="C219" s="15" t="n">
        <v>46084.0121470949</v>
      </c>
      <c r="D219" s="14" t="s">
        <v>1593</v>
      </c>
      <c r="E219" s="14" t="s">
        <v>1594</v>
      </c>
      <c r="F219" s="14" t="s">
        <v>1594</v>
      </c>
      <c r="G219" s="14" t="s">
        <v>1595</v>
      </c>
      <c r="H219" s="15" t="n">
        <v>46067</v>
      </c>
      <c r="I219" s="15" t="s">
        <v>107</v>
      </c>
      <c r="J219" s="14" t="s">
        <v>108</v>
      </c>
      <c r="K219" s="14" t="s">
        <v>364</v>
      </c>
      <c r="L219" s="14" t="s">
        <v>389</v>
      </c>
      <c r="M219" s="14" t="s">
        <v>111</v>
      </c>
      <c r="N219" s="14" t="s">
        <v>247</v>
      </c>
      <c r="O219" s="14" t="s">
        <v>325</v>
      </c>
      <c r="P219" s="14" t="s">
        <v>160</v>
      </c>
      <c r="Q219" s="14" t="s">
        <v>357</v>
      </c>
      <c r="R219" s="14"/>
      <c r="S219" s="14"/>
      <c r="T219" s="14" t="s">
        <v>880</v>
      </c>
      <c r="U219" s="14" t="s">
        <v>24</v>
      </c>
      <c r="V219" s="14"/>
      <c r="W219" s="14"/>
      <c r="X219" s="14"/>
      <c r="Y219" s="14" t="s">
        <v>19</v>
      </c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R219" s="1" t="s">
        <v>227</v>
      </c>
      <c r="CS219" s="1" t="s">
        <v>352</v>
      </c>
      <c r="CT219" s="14"/>
      <c r="CU219" s="1" t="s">
        <v>192</v>
      </c>
      <c r="CV219" s="1" t="s">
        <v>124</v>
      </c>
      <c r="CW219" s="3"/>
      <c r="DG219" s="4"/>
    </row>
    <row r="220" customFormat="false" ht="11.25" hidden="false" customHeight="true" outlineLevel="0" collapsed="false">
      <c r="A220" s="14" t="n">
        <v>219</v>
      </c>
      <c r="B220" s="15" t="n">
        <v>46087.6336254745</v>
      </c>
      <c r="C220" s="15" t="n">
        <v>46087.6447365857</v>
      </c>
      <c r="D220" s="14" t="s">
        <v>1596</v>
      </c>
      <c r="E220" s="14" t="s">
        <v>1597</v>
      </c>
      <c r="F220" s="14" t="s">
        <v>1597</v>
      </c>
      <c r="G220" s="14" t="s">
        <v>1598</v>
      </c>
      <c r="H220" s="15" t="n">
        <v>46085</v>
      </c>
      <c r="I220" s="15" t="s">
        <v>244</v>
      </c>
      <c r="J220" s="14" t="s">
        <v>295</v>
      </c>
      <c r="K220" s="14" t="s">
        <v>818</v>
      </c>
      <c r="L220" s="14" t="s">
        <v>130</v>
      </c>
      <c r="M220" s="14" t="s">
        <v>111</v>
      </c>
      <c r="N220" s="14" t="s">
        <v>112</v>
      </c>
      <c r="O220" s="14" t="s">
        <v>113</v>
      </c>
      <c r="P220" s="14" t="s">
        <v>199</v>
      </c>
      <c r="Q220" s="14" t="s">
        <v>1243</v>
      </c>
      <c r="R220" s="14"/>
      <c r="S220" s="14"/>
      <c r="T220" s="14"/>
      <c r="U220" s="14" t="s">
        <v>21</v>
      </c>
      <c r="V220" s="14" t="s">
        <v>348</v>
      </c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 t="s">
        <v>349</v>
      </c>
      <c r="BC220" s="14" t="s">
        <v>350</v>
      </c>
      <c r="BD220" s="14" t="s">
        <v>1599</v>
      </c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R220" s="1" t="s">
        <v>152</v>
      </c>
      <c r="CS220" s="1" t="s">
        <v>264</v>
      </c>
      <c r="CT220" s="14"/>
      <c r="CU220" s="1" t="s">
        <v>123</v>
      </c>
      <c r="CV220" s="1" t="s">
        <v>168</v>
      </c>
      <c r="CW220" s="3"/>
      <c r="DG220" s="4"/>
    </row>
    <row r="221" customFormat="false" ht="11.25" hidden="false" customHeight="true" outlineLevel="0" collapsed="false">
      <c r="A221" s="14" t="n">
        <v>220</v>
      </c>
      <c r="B221" s="15" t="n">
        <v>46116.2266921528</v>
      </c>
      <c r="C221" s="15" t="n">
        <v>46116.229076412</v>
      </c>
      <c r="D221" s="14" t="s">
        <v>1600</v>
      </c>
      <c r="E221" s="14" t="s">
        <v>1601</v>
      </c>
      <c r="F221" s="14" t="s">
        <v>1601</v>
      </c>
      <c r="G221" s="14" t="s">
        <v>1602</v>
      </c>
      <c r="H221" s="15" t="n">
        <v>46116</v>
      </c>
      <c r="I221" s="15" t="s">
        <v>107</v>
      </c>
      <c r="J221" s="14" t="s">
        <v>128</v>
      </c>
      <c r="K221" s="14" t="s">
        <v>232</v>
      </c>
      <c r="L221" s="14" t="s">
        <v>110</v>
      </c>
      <c r="M221" s="14" t="s">
        <v>211</v>
      </c>
      <c r="N221" s="14" t="s">
        <v>112</v>
      </c>
      <c r="O221" s="14" t="s">
        <v>113</v>
      </c>
      <c r="P221" s="14" t="s">
        <v>234</v>
      </c>
      <c r="Q221" s="14" t="s">
        <v>827</v>
      </c>
      <c r="R221" s="14"/>
      <c r="S221" s="14"/>
      <c r="T221" s="14"/>
      <c r="U221" s="14" t="s">
        <v>22</v>
      </c>
      <c r="V221" s="14"/>
      <c r="W221" s="14" t="s">
        <v>298</v>
      </c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 t="s">
        <v>1603</v>
      </c>
      <c r="AW221" s="14" t="s">
        <v>1534</v>
      </c>
      <c r="AX221" s="14" t="s">
        <v>1604</v>
      </c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R221" s="1" t="s">
        <v>152</v>
      </c>
      <c r="CS221" s="1" t="s">
        <v>121</v>
      </c>
      <c r="CT221" s="14" t="s">
        <v>1605</v>
      </c>
      <c r="CU221" s="1" t="s">
        <v>167</v>
      </c>
      <c r="CV221" s="1" t="s">
        <v>124</v>
      </c>
      <c r="CW221" s="3"/>
      <c r="DG221" s="4"/>
    </row>
    <row r="222" customFormat="false" ht="11.25" hidden="false" customHeight="true" outlineLevel="0" collapsed="false">
      <c r="A222" s="14" t="n">
        <v>221</v>
      </c>
      <c r="B222" s="15" t="n">
        <v>46184.8294457986</v>
      </c>
      <c r="C222" s="15" t="n">
        <v>46184.8359967245</v>
      </c>
      <c r="D222" s="14" t="s">
        <v>1606</v>
      </c>
      <c r="E222" s="14" t="s">
        <v>1607</v>
      </c>
      <c r="F222" s="14" t="s">
        <v>1608</v>
      </c>
      <c r="G222" s="14" t="s">
        <v>1609</v>
      </c>
      <c r="H222" s="15" t="n">
        <v>46178</v>
      </c>
      <c r="I222" s="15" t="s">
        <v>1506</v>
      </c>
      <c r="J222" s="14" t="s">
        <v>108</v>
      </c>
      <c r="K222" s="14" t="s">
        <v>1610</v>
      </c>
      <c r="L222" s="14" t="s">
        <v>197</v>
      </c>
      <c r="M222" s="14" t="s">
        <v>111</v>
      </c>
      <c r="N222" s="14" t="s">
        <v>112</v>
      </c>
      <c r="O222" s="14" t="s">
        <v>336</v>
      </c>
      <c r="P222" s="14" t="s">
        <v>391</v>
      </c>
      <c r="Q222" s="14" t="s">
        <v>249</v>
      </c>
      <c r="R222" s="14"/>
      <c r="S222" s="14"/>
      <c r="T222" s="14"/>
      <c r="U222" s="14" t="s">
        <v>22</v>
      </c>
      <c r="V222" s="14"/>
      <c r="W222" s="14" t="s">
        <v>176</v>
      </c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 t="s">
        <v>1611</v>
      </c>
      <c r="AZ222" s="14" t="s">
        <v>1612</v>
      </c>
      <c r="BA222" s="14" t="s">
        <v>179</v>
      </c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R222" s="1" t="s">
        <v>227</v>
      </c>
      <c r="CS222" s="1" t="s">
        <v>180</v>
      </c>
      <c r="CT222" s="14" t="s">
        <v>994</v>
      </c>
      <c r="CU222" s="1" t="s">
        <v>192</v>
      </c>
      <c r="CV222" s="1" t="s">
        <v>124</v>
      </c>
      <c r="CW222" s="3" t="s">
        <v>928</v>
      </c>
      <c r="DG222" s="4"/>
    </row>
    <row r="223" customFormat="false" ht="11.25" hidden="false" customHeight="true" outlineLevel="0" collapsed="false">
      <c r="A223" s="14" t="n">
        <v>222</v>
      </c>
      <c r="B223" s="15" t="n">
        <v>46207.8585952083</v>
      </c>
      <c r="C223" s="15" t="n">
        <v>46207.8673104861</v>
      </c>
      <c r="D223" s="14" t="s">
        <v>1613</v>
      </c>
      <c r="E223" s="14" t="s">
        <v>1614</v>
      </c>
      <c r="F223" s="14" t="s">
        <v>1614</v>
      </c>
      <c r="G223" s="14" t="s">
        <v>1615</v>
      </c>
      <c r="H223" s="15" t="n">
        <v>46196</v>
      </c>
      <c r="I223" s="15" t="s">
        <v>713</v>
      </c>
      <c r="J223" s="14" t="s">
        <v>295</v>
      </c>
      <c r="K223" s="14" t="s">
        <v>143</v>
      </c>
      <c r="L223" s="14" t="s">
        <v>296</v>
      </c>
      <c r="M223" s="14" t="s">
        <v>111</v>
      </c>
      <c r="N223" s="14" t="s">
        <v>145</v>
      </c>
      <c r="O223" s="14" t="s">
        <v>113</v>
      </c>
      <c r="P223" s="14" t="s">
        <v>774</v>
      </c>
      <c r="Q223" s="14" t="s">
        <v>508</v>
      </c>
      <c r="R223" s="14"/>
      <c r="S223" s="14"/>
      <c r="T223" s="14"/>
      <c r="U223" s="14" t="s">
        <v>21</v>
      </c>
      <c r="V223" s="14" t="s">
        <v>307</v>
      </c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 t="s">
        <v>1616</v>
      </c>
      <c r="AT223" s="14" t="s">
        <v>1617</v>
      </c>
      <c r="AU223" s="14" t="s">
        <v>1618</v>
      </c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R223" s="1" t="s">
        <v>120</v>
      </c>
      <c r="CS223" s="1" t="s">
        <v>121</v>
      </c>
      <c r="CT223" s="14" t="s">
        <v>122</v>
      </c>
      <c r="CU223" s="1" t="s">
        <v>192</v>
      </c>
      <c r="CV223" s="1" t="s">
        <v>124</v>
      </c>
      <c r="CW223" s="3" t="s">
        <v>370</v>
      </c>
      <c r="DG223" s="4"/>
    </row>
    <row r="224" customFormat="false" ht="11.25" hidden="false" customHeight="true" outlineLevel="0" collapsed="false">
      <c r="A224" s="14" t="n">
        <v>223</v>
      </c>
      <c r="B224" s="15" t="n">
        <v>46185.6238939699</v>
      </c>
      <c r="C224" s="15" t="n">
        <v>46185.6447157292</v>
      </c>
      <c r="D224" s="14" t="s">
        <v>1619</v>
      </c>
      <c r="E224" s="14" t="s">
        <v>1620</v>
      </c>
      <c r="F224" s="14" t="s">
        <v>1620</v>
      </c>
      <c r="G224" s="14" t="s">
        <v>1621</v>
      </c>
      <c r="H224" s="15" t="n">
        <v>46177</v>
      </c>
      <c r="I224" s="15" t="s">
        <v>172</v>
      </c>
      <c r="J224" s="14" t="s">
        <v>108</v>
      </c>
      <c r="K224" s="14" t="s">
        <v>257</v>
      </c>
      <c r="L224" s="14" t="s">
        <v>296</v>
      </c>
      <c r="M224" s="14" t="s">
        <v>111</v>
      </c>
      <c r="N224" s="14" t="s">
        <v>145</v>
      </c>
      <c r="O224" s="14" t="s">
        <v>113</v>
      </c>
      <c r="P224" s="14" t="s">
        <v>1388</v>
      </c>
      <c r="Q224" s="14" t="s">
        <v>1622</v>
      </c>
      <c r="R224" s="14"/>
      <c r="S224" s="14"/>
      <c r="T224" s="14"/>
      <c r="U224" s="14" t="s">
        <v>22</v>
      </c>
      <c r="V224" s="14"/>
      <c r="W224" s="14" t="s">
        <v>298</v>
      </c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 t="s">
        <v>1623</v>
      </c>
      <c r="AW224" s="14" t="s">
        <v>300</v>
      </c>
      <c r="AX224" s="14" t="s">
        <v>1624</v>
      </c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R224" s="1" t="s">
        <v>152</v>
      </c>
      <c r="CS224" s="1" t="s">
        <v>121</v>
      </c>
      <c r="CT224" s="14" t="s">
        <v>122</v>
      </c>
      <c r="CU224" s="1" t="s">
        <v>167</v>
      </c>
      <c r="CV224" s="1" t="s">
        <v>168</v>
      </c>
      <c r="CW224" s="3"/>
      <c r="DG224" s="4"/>
    </row>
    <row r="225" customFormat="false" ht="11.25" hidden="false" customHeight="true" outlineLevel="0" collapsed="false">
      <c r="A225" s="14" t="n">
        <v>224</v>
      </c>
      <c r="B225" s="15" t="n">
        <v>46169.7112675463</v>
      </c>
      <c r="C225" s="15" t="n">
        <v>46169.7202258796</v>
      </c>
      <c r="D225" s="14" t="s">
        <v>1625</v>
      </c>
      <c r="E225" s="14" t="s">
        <v>1626</v>
      </c>
      <c r="F225" s="14" t="s">
        <v>1626</v>
      </c>
      <c r="G225" s="14" t="s">
        <v>1627</v>
      </c>
      <c r="H225" s="15" t="n">
        <v>46165</v>
      </c>
      <c r="I225" s="15" t="s">
        <v>107</v>
      </c>
      <c r="J225" s="14" t="s">
        <v>295</v>
      </c>
      <c r="K225" s="14" t="s">
        <v>232</v>
      </c>
      <c r="L225" s="14" t="s">
        <v>286</v>
      </c>
      <c r="M225" s="14" t="s">
        <v>111</v>
      </c>
      <c r="N225" s="14" t="s">
        <v>112</v>
      </c>
      <c r="O225" s="14" t="s">
        <v>113</v>
      </c>
      <c r="P225" s="14" t="s">
        <v>212</v>
      </c>
      <c r="Q225" s="14" t="s">
        <v>1628</v>
      </c>
      <c r="R225" s="14"/>
      <c r="S225" s="14"/>
      <c r="T225" s="14"/>
      <c r="U225" s="14" t="s">
        <v>22</v>
      </c>
      <c r="V225" s="14"/>
      <c r="W225" s="14" t="s">
        <v>135</v>
      </c>
      <c r="X225" s="14"/>
      <c r="Y225" s="14"/>
      <c r="Z225" s="14"/>
      <c r="AA225" s="14" t="s">
        <v>1629</v>
      </c>
      <c r="AB225" s="14" t="s">
        <v>640</v>
      </c>
      <c r="AC225" s="14" t="s">
        <v>561</v>
      </c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R225" s="1" t="s">
        <v>120</v>
      </c>
      <c r="CS225" s="1" t="s">
        <v>121</v>
      </c>
      <c r="CT225" s="14"/>
      <c r="CU225" s="1" t="s">
        <v>123</v>
      </c>
      <c r="CV225" s="1" t="s">
        <v>124</v>
      </c>
      <c r="CW225" s="3"/>
      <c r="DG225" s="4"/>
    </row>
    <row r="226" customFormat="false" ht="11.25" hidden="false" customHeight="true" outlineLevel="0" collapsed="false">
      <c r="A226" s="14" t="n">
        <v>225</v>
      </c>
      <c r="B226" s="15" t="n">
        <v>46140.850495787</v>
      </c>
      <c r="C226" s="15" t="n">
        <v>46140.8689101389</v>
      </c>
      <c r="D226" s="14" t="s">
        <v>1630</v>
      </c>
      <c r="E226" s="14" t="s">
        <v>1631</v>
      </c>
      <c r="F226" s="14" t="s">
        <v>1631</v>
      </c>
      <c r="G226" s="14" t="s">
        <v>1632</v>
      </c>
      <c r="H226" s="15" t="n">
        <v>46126</v>
      </c>
      <c r="I226" s="15" t="s">
        <v>278</v>
      </c>
      <c r="J226" s="14" t="s">
        <v>108</v>
      </c>
      <c r="K226" s="14" t="s">
        <v>1633</v>
      </c>
      <c r="L226" s="14" t="s">
        <v>286</v>
      </c>
      <c r="M226" s="14" t="s">
        <v>111</v>
      </c>
      <c r="N226" s="14" t="s">
        <v>145</v>
      </c>
      <c r="O226" s="14" t="s">
        <v>325</v>
      </c>
      <c r="P226" s="14" t="s">
        <v>652</v>
      </c>
      <c r="Q226" s="14" t="s">
        <v>1539</v>
      </c>
      <c r="R226" s="14"/>
      <c r="S226" s="14"/>
      <c r="T226" s="14"/>
      <c r="U226" s="14" t="s">
        <v>22</v>
      </c>
      <c r="V226" s="14"/>
      <c r="W226" s="14" t="s">
        <v>298</v>
      </c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 t="s">
        <v>1634</v>
      </c>
      <c r="AW226" s="14" t="s">
        <v>1635</v>
      </c>
      <c r="AX226" s="14" t="s">
        <v>1636</v>
      </c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R226" s="1" t="s">
        <v>152</v>
      </c>
      <c r="CS226" s="1" t="s">
        <v>352</v>
      </c>
      <c r="CT226" s="14" t="s">
        <v>122</v>
      </c>
      <c r="CU226" s="1" t="s">
        <v>123</v>
      </c>
      <c r="CV226" s="1" t="s">
        <v>124</v>
      </c>
      <c r="CW226" s="3"/>
      <c r="DG226" s="4"/>
    </row>
    <row r="227" customFormat="false" ht="11.25" hidden="false" customHeight="true" outlineLevel="0" collapsed="false">
      <c r="A227" s="14" t="n">
        <v>226</v>
      </c>
      <c r="B227" s="15" t="n">
        <v>46192.2530679051</v>
      </c>
      <c r="C227" s="15" t="n">
        <v>46192.256482257</v>
      </c>
      <c r="D227" s="14" t="s">
        <v>1637</v>
      </c>
      <c r="E227" s="14" t="s">
        <v>1638</v>
      </c>
      <c r="F227" s="14" t="s">
        <v>1638</v>
      </c>
      <c r="G227" s="14" t="s">
        <v>1639</v>
      </c>
      <c r="H227" s="15" t="n">
        <v>46182</v>
      </c>
      <c r="I227" s="15" t="s">
        <v>1506</v>
      </c>
      <c r="J227" s="14" t="s">
        <v>108</v>
      </c>
      <c r="K227" s="14" t="s">
        <v>1640</v>
      </c>
      <c r="L227" s="14" t="s">
        <v>210</v>
      </c>
      <c r="M227" s="14" t="s">
        <v>111</v>
      </c>
      <c r="N227" s="14" t="s">
        <v>145</v>
      </c>
      <c r="O227" s="14" t="s">
        <v>113</v>
      </c>
      <c r="P227" s="14" t="s">
        <v>1112</v>
      </c>
      <c r="Q227" s="14" t="s">
        <v>347</v>
      </c>
      <c r="R227" s="14"/>
      <c r="S227" s="14"/>
      <c r="T227" s="14"/>
      <c r="U227" s="14" t="s">
        <v>21</v>
      </c>
      <c r="V227" s="14" t="s">
        <v>250</v>
      </c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 t="s">
        <v>886</v>
      </c>
      <c r="BF227" s="14" t="s">
        <v>608</v>
      </c>
      <c r="BG227" s="14" t="s">
        <v>620</v>
      </c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R227" s="1" t="s">
        <v>152</v>
      </c>
      <c r="CS227" s="1" t="s">
        <v>121</v>
      </c>
      <c r="CT227" s="14" t="s">
        <v>1641</v>
      </c>
      <c r="CU227" s="1" t="s">
        <v>123</v>
      </c>
      <c r="CV227" s="1" t="s">
        <v>139</v>
      </c>
      <c r="CW227" s="3"/>
      <c r="DG227" s="4"/>
    </row>
    <row r="228" customFormat="false" ht="11.25" hidden="false" customHeight="true" outlineLevel="0" collapsed="false">
      <c r="A228" s="14" t="n">
        <v>227</v>
      </c>
      <c r="B228" s="15" t="n">
        <v>46139.2905768634</v>
      </c>
      <c r="C228" s="15" t="n">
        <v>46139.3038986227</v>
      </c>
      <c r="D228" s="14" t="s">
        <v>1642</v>
      </c>
      <c r="E228" s="14" t="s">
        <v>1643</v>
      </c>
      <c r="F228" s="14" t="s">
        <v>1643</v>
      </c>
      <c r="G228" s="14" t="s">
        <v>1644</v>
      </c>
      <c r="H228" s="15" t="n">
        <v>46125</v>
      </c>
      <c r="I228" s="15" t="s">
        <v>107</v>
      </c>
      <c r="J228" s="14" t="s">
        <v>108</v>
      </c>
      <c r="K228" s="14" t="s">
        <v>364</v>
      </c>
      <c r="L228" s="14" t="s">
        <v>346</v>
      </c>
      <c r="M228" s="14" t="s">
        <v>111</v>
      </c>
      <c r="N228" s="14" t="s">
        <v>112</v>
      </c>
      <c r="O228" s="14" t="s">
        <v>113</v>
      </c>
      <c r="P228" s="14" t="s">
        <v>406</v>
      </c>
      <c r="Q228" s="14" t="s">
        <v>819</v>
      </c>
      <c r="R228" s="14"/>
      <c r="S228" s="14"/>
      <c r="T228" s="14"/>
      <c r="U228" s="14" t="s">
        <v>23</v>
      </c>
      <c r="V228" s="14"/>
      <c r="W228" s="14"/>
      <c r="X228" s="14" t="s">
        <v>1645</v>
      </c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R228" s="1" t="s">
        <v>152</v>
      </c>
      <c r="CS228" s="1" t="s">
        <v>264</v>
      </c>
      <c r="CT228" s="14" t="s">
        <v>166</v>
      </c>
      <c r="CU228" s="1" t="s">
        <v>192</v>
      </c>
      <c r="CV228" s="1" t="s">
        <v>124</v>
      </c>
      <c r="CW228" s="3"/>
      <c r="DG228" s="4"/>
    </row>
    <row r="229" customFormat="false" ht="11.25" hidden="false" customHeight="true" outlineLevel="0" collapsed="false">
      <c r="A229" s="14" t="n">
        <v>228</v>
      </c>
      <c r="B229" s="15" t="n">
        <v>46074.7380623958</v>
      </c>
      <c r="C229" s="15" t="n">
        <v>46074.7430276736</v>
      </c>
      <c r="D229" s="14" t="s">
        <v>1646</v>
      </c>
      <c r="E229" s="14" t="s">
        <v>1647</v>
      </c>
      <c r="F229" s="14" t="s">
        <v>1647</v>
      </c>
      <c r="G229" s="14" t="s">
        <v>1648</v>
      </c>
      <c r="H229" s="15" t="n">
        <v>46054</v>
      </c>
      <c r="I229" s="15" t="s">
        <v>278</v>
      </c>
      <c r="J229" s="14" t="s">
        <v>108</v>
      </c>
      <c r="K229" s="14" t="s">
        <v>500</v>
      </c>
      <c r="L229" s="14" t="s">
        <v>184</v>
      </c>
      <c r="M229" s="14" t="s">
        <v>111</v>
      </c>
      <c r="N229" s="14" t="s">
        <v>112</v>
      </c>
      <c r="O229" s="14" t="s">
        <v>113</v>
      </c>
      <c r="P229" s="14" t="s">
        <v>160</v>
      </c>
      <c r="Q229" s="14" t="s">
        <v>270</v>
      </c>
      <c r="R229" s="14"/>
      <c r="S229" s="14"/>
      <c r="T229" s="14"/>
      <c r="U229" s="14" t="s">
        <v>21</v>
      </c>
      <c r="V229" s="14" t="s">
        <v>374</v>
      </c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 t="s">
        <v>1649</v>
      </c>
      <c r="AK229" s="14" t="s">
        <v>907</v>
      </c>
      <c r="AL229" s="14" t="s">
        <v>377</v>
      </c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R229" s="1" t="s">
        <v>120</v>
      </c>
      <c r="CS229" s="1" t="s">
        <v>264</v>
      </c>
      <c r="CT229" s="14"/>
      <c r="CU229" s="1" t="s">
        <v>167</v>
      </c>
      <c r="CV229" s="1" t="s">
        <v>124</v>
      </c>
      <c r="CW229" s="3"/>
      <c r="DG229" s="4"/>
    </row>
    <row r="230" customFormat="false" ht="11.25" hidden="false" customHeight="true" outlineLevel="0" collapsed="false">
      <c r="A230" s="14" t="n">
        <v>229</v>
      </c>
      <c r="B230" s="15" t="n">
        <v>46138.5936216782</v>
      </c>
      <c r="C230" s="15" t="n">
        <v>46138.6107281597</v>
      </c>
      <c r="D230" s="14" t="s">
        <v>1650</v>
      </c>
      <c r="E230" s="14" t="s">
        <v>1651</v>
      </c>
      <c r="F230" s="14" t="s">
        <v>1651</v>
      </c>
      <c r="G230" s="14" t="s">
        <v>1652</v>
      </c>
      <c r="H230" s="15" t="n">
        <v>46138</v>
      </c>
      <c r="I230" s="15" t="s">
        <v>244</v>
      </c>
      <c r="J230" s="14" t="s">
        <v>108</v>
      </c>
      <c r="K230" s="14" t="s">
        <v>462</v>
      </c>
      <c r="L230" s="14" t="s">
        <v>184</v>
      </c>
      <c r="M230" s="14" t="s">
        <v>111</v>
      </c>
      <c r="N230" s="14" t="s">
        <v>112</v>
      </c>
      <c r="O230" s="14" t="s">
        <v>305</v>
      </c>
      <c r="P230" s="14" t="s">
        <v>1151</v>
      </c>
      <c r="Q230" s="14" t="s">
        <v>440</v>
      </c>
      <c r="R230" s="14"/>
      <c r="S230" s="14"/>
      <c r="T230" s="14"/>
      <c r="U230" s="14" t="s">
        <v>22</v>
      </c>
      <c r="V230" s="14"/>
      <c r="W230" s="14" t="s">
        <v>148</v>
      </c>
      <c r="X230" s="14"/>
      <c r="Y230" s="14"/>
      <c r="Z230" s="14"/>
      <c r="AA230" s="14"/>
      <c r="AB230" s="14"/>
      <c r="AC230" s="14"/>
      <c r="AD230" s="14" t="s">
        <v>1653</v>
      </c>
      <c r="AE230" s="14" t="s">
        <v>1654</v>
      </c>
      <c r="AF230" s="14" t="s">
        <v>1219</v>
      </c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R230" s="1" t="s">
        <v>120</v>
      </c>
      <c r="CS230" s="1" t="s">
        <v>180</v>
      </c>
      <c r="CT230" s="14" t="s">
        <v>122</v>
      </c>
      <c r="CU230" s="1" t="s">
        <v>192</v>
      </c>
      <c r="CV230" s="1" t="s">
        <v>124</v>
      </c>
      <c r="CW230" s="3" t="s">
        <v>928</v>
      </c>
      <c r="DG230" s="4"/>
    </row>
    <row r="231" customFormat="false" ht="11.25" hidden="false" customHeight="true" outlineLevel="0" collapsed="false">
      <c r="A231" s="14" t="n">
        <v>230</v>
      </c>
      <c r="B231" s="15" t="n">
        <v>46039.0934234954</v>
      </c>
      <c r="C231" s="15" t="n">
        <v>46039.1121503472</v>
      </c>
      <c r="D231" s="14" t="s">
        <v>1655</v>
      </c>
      <c r="E231" s="14" t="s">
        <v>1656</v>
      </c>
      <c r="F231" s="14" t="s">
        <v>1656</v>
      </c>
      <c r="G231" s="14" t="s">
        <v>1657</v>
      </c>
      <c r="H231" s="15" t="n">
        <v>46021</v>
      </c>
      <c r="I231" s="15" t="s">
        <v>107</v>
      </c>
      <c r="J231" s="14" t="s">
        <v>128</v>
      </c>
      <c r="K231" s="14" t="s">
        <v>232</v>
      </c>
      <c r="L231" s="14" t="s">
        <v>144</v>
      </c>
      <c r="M231" s="14" t="s">
        <v>131</v>
      </c>
      <c r="N231" s="14" t="s">
        <v>145</v>
      </c>
      <c r="O231" s="14" t="s">
        <v>113</v>
      </c>
      <c r="P231" s="14" t="s">
        <v>269</v>
      </c>
      <c r="Q231" s="14" t="s">
        <v>1323</v>
      </c>
      <c r="R231" s="14"/>
      <c r="S231" s="14"/>
      <c r="T231" s="14"/>
      <c r="U231" s="14" t="s">
        <v>21</v>
      </c>
      <c r="V231" s="14" t="s">
        <v>250</v>
      </c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 t="s">
        <v>679</v>
      </c>
      <c r="BF231" s="14" t="s">
        <v>1658</v>
      </c>
      <c r="BG231" s="14" t="s">
        <v>681</v>
      </c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R231" s="1" t="s">
        <v>152</v>
      </c>
      <c r="CS231" s="1" t="s">
        <v>121</v>
      </c>
      <c r="CT231" s="14" t="s">
        <v>321</v>
      </c>
      <c r="CU231" s="1" t="s">
        <v>123</v>
      </c>
      <c r="CV231" s="1" t="s">
        <v>124</v>
      </c>
      <c r="CW231" s="3"/>
      <c r="DG231" s="4"/>
    </row>
    <row r="232" customFormat="false" ht="11.25" hidden="false" customHeight="true" outlineLevel="0" collapsed="false">
      <c r="A232" s="14" t="n">
        <v>231</v>
      </c>
      <c r="B232" s="15" t="n">
        <v>46097.8776836458</v>
      </c>
      <c r="C232" s="15" t="n">
        <v>46097.8952993866</v>
      </c>
      <c r="D232" s="14" t="s">
        <v>1659</v>
      </c>
      <c r="E232" s="14" t="s">
        <v>1660</v>
      </c>
      <c r="F232" s="14" t="s">
        <v>1661</v>
      </c>
      <c r="G232" s="14" t="s">
        <v>1662</v>
      </c>
      <c r="H232" s="15" t="n">
        <v>46094</v>
      </c>
      <c r="I232" s="15" t="s">
        <v>278</v>
      </c>
      <c r="J232" s="14" t="s">
        <v>108</v>
      </c>
      <c r="K232" s="14" t="s">
        <v>245</v>
      </c>
      <c r="L232" s="14" t="s">
        <v>389</v>
      </c>
      <c r="M232" s="14" t="s">
        <v>111</v>
      </c>
      <c r="N232" s="14" t="s">
        <v>112</v>
      </c>
      <c r="O232" s="14" t="s">
        <v>113</v>
      </c>
      <c r="P232" s="14" t="s">
        <v>1074</v>
      </c>
      <c r="Q232" s="14" t="s">
        <v>227</v>
      </c>
      <c r="R232" s="14"/>
      <c r="S232" s="14"/>
      <c r="T232" s="14"/>
      <c r="U232" s="14" t="s">
        <v>22</v>
      </c>
      <c r="V232" s="14"/>
      <c r="W232" s="14" t="s">
        <v>339</v>
      </c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 t="s">
        <v>1663</v>
      </c>
      <c r="BO232" s="14" t="s">
        <v>1664</v>
      </c>
      <c r="BP232" s="14" t="s">
        <v>1665</v>
      </c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R232" s="1" t="s">
        <v>152</v>
      </c>
      <c r="CS232" s="1" t="s">
        <v>180</v>
      </c>
      <c r="CT232" s="14"/>
      <c r="CU232" s="1" t="s">
        <v>123</v>
      </c>
      <c r="CV232" s="1" t="s">
        <v>168</v>
      </c>
      <c r="CW232" s="3"/>
      <c r="CX232" s="3" t="s">
        <v>331</v>
      </c>
      <c r="DG232" s="4"/>
    </row>
    <row r="233" customFormat="false" ht="11.25" hidden="false" customHeight="true" outlineLevel="0" collapsed="false">
      <c r="A233" s="14" t="n">
        <v>232</v>
      </c>
      <c r="B233" s="15" t="n">
        <v>46050.5565012037</v>
      </c>
      <c r="C233" s="15" t="n">
        <v>46050.5650081482</v>
      </c>
      <c r="D233" s="14" t="s">
        <v>1666</v>
      </c>
      <c r="E233" s="14" t="s">
        <v>1667</v>
      </c>
      <c r="F233" s="14" t="s">
        <v>1667</v>
      </c>
      <c r="G233" s="14" t="s">
        <v>1668</v>
      </c>
      <c r="H233" s="15" t="n">
        <v>46037</v>
      </c>
      <c r="I233" s="15" t="s">
        <v>172</v>
      </c>
      <c r="J233" s="14" t="s">
        <v>108</v>
      </c>
      <c r="K233" s="14" t="s">
        <v>158</v>
      </c>
      <c r="L233" s="14" t="s">
        <v>197</v>
      </c>
      <c r="M233" s="14" t="s">
        <v>111</v>
      </c>
      <c r="N233" s="14" t="s">
        <v>112</v>
      </c>
      <c r="O233" s="14" t="s">
        <v>113</v>
      </c>
      <c r="P233" s="14" t="s">
        <v>160</v>
      </c>
      <c r="Q233" s="14" t="s">
        <v>775</v>
      </c>
      <c r="R233" s="14"/>
      <c r="S233" s="14"/>
      <c r="T233" s="14"/>
      <c r="U233" s="14" t="s">
        <v>22</v>
      </c>
      <c r="V233" s="14"/>
      <c r="W233" s="14" t="s">
        <v>715</v>
      </c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 t="s">
        <v>1394</v>
      </c>
      <c r="BI233" s="14" t="s">
        <v>1276</v>
      </c>
      <c r="BJ233" s="14" t="s">
        <v>1669</v>
      </c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R233" s="1" t="s">
        <v>120</v>
      </c>
      <c r="CS233" s="1" t="s">
        <v>121</v>
      </c>
      <c r="CT233" s="14" t="s">
        <v>122</v>
      </c>
      <c r="CU233" s="1" t="s">
        <v>123</v>
      </c>
      <c r="CV233" s="1" t="s">
        <v>124</v>
      </c>
      <c r="CW233" s="3"/>
      <c r="DG233" s="4"/>
    </row>
    <row r="234" customFormat="false" ht="11.25" hidden="false" customHeight="true" outlineLevel="0" collapsed="false">
      <c r="A234" s="14" t="n">
        <v>233</v>
      </c>
      <c r="B234" s="15" t="n">
        <v>46062.539229919</v>
      </c>
      <c r="C234" s="15" t="n">
        <v>46062.5487090857</v>
      </c>
      <c r="D234" s="14" t="s">
        <v>1670</v>
      </c>
      <c r="E234" s="14" t="s">
        <v>1671</v>
      </c>
      <c r="F234" s="14" t="s">
        <v>1671</v>
      </c>
      <c r="G234" s="14" t="s">
        <v>1672</v>
      </c>
      <c r="H234" s="15" t="n">
        <v>46057</v>
      </c>
      <c r="I234" s="15" t="s">
        <v>107</v>
      </c>
      <c r="J234" s="14" t="s">
        <v>128</v>
      </c>
      <c r="K234" s="14" t="s">
        <v>1673</v>
      </c>
      <c r="L234" s="14" t="s">
        <v>114</v>
      </c>
      <c r="M234" s="14" t="s">
        <v>111</v>
      </c>
      <c r="N234" s="14" t="s">
        <v>112</v>
      </c>
      <c r="O234" s="14" t="s">
        <v>113</v>
      </c>
      <c r="P234" s="14" t="s">
        <v>736</v>
      </c>
      <c r="Q234" s="14" t="s">
        <v>939</v>
      </c>
      <c r="R234" s="14"/>
      <c r="S234" s="14"/>
      <c r="T234" s="14"/>
      <c r="U234" s="14" t="s">
        <v>22</v>
      </c>
      <c r="V234" s="14"/>
      <c r="W234" s="14" t="s">
        <v>381</v>
      </c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 t="s">
        <v>1674</v>
      </c>
      <c r="BR234" s="14" t="s">
        <v>383</v>
      </c>
      <c r="BS234" s="14" t="s">
        <v>465</v>
      </c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R234" s="1" t="s">
        <v>152</v>
      </c>
      <c r="CS234" s="1" t="s">
        <v>121</v>
      </c>
      <c r="CT234" s="14"/>
      <c r="CU234" s="1" t="s">
        <v>167</v>
      </c>
      <c r="CV234" s="1" t="s">
        <v>168</v>
      </c>
      <c r="CW234" s="3"/>
      <c r="DG234" s="4"/>
    </row>
    <row r="235" customFormat="false" ht="11.25" hidden="false" customHeight="true" outlineLevel="0" collapsed="false">
      <c r="A235" s="14" t="n">
        <v>234</v>
      </c>
      <c r="B235" s="15" t="n">
        <v>46062.5393433102</v>
      </c>
      <c r="C235" s="15" t="n">
        <v>46062.5510562732</v>
      </c>
      <c r="D235" s="14" t="s">
        <v>1675</v>
      </c>
      <c r="E235" s="14" t="s">
        <v>1676</v>
      </c>
      <c r="F235" s="14" t="s">
        <v>1676</v>
      </c>
      <c r="G235" s="14" t="s">
        <v>1677</v>
      </c>
      <c r="H235" s="15" t="n">
        <v>46045</v>
      </c>
      <c r="I235" s="15" t="s">
        <v>107</v>
      </c>
      <c r="J235" s="14" t="s">
        <v>108</v>
      </c>
      <c r="K235" s="14" t="s">
        <v>196</v>
      </c>
      <c r="L235" s="14" t="s">
        <v>159</v>
      </c>
      <c r="M235" s="14" t="s">
        <v>111</v>
      </c>
      <c r="N235" s="14" t="s">
        <v>112</v>
      </c>
      <c r="O235" s="14" t="s">
        <v>113</v>
      </c>
      <c r="P235" s="14" t="s">
        <v>397</v>
      </c>
      <c r="Q235" s="14" t="s">
        <v>1224</v>
      </c>
      <c r="R235" s="14"/>
      <c r="S235" s="14"/>
      <c r="T235" s="14"/>
      <c r="U235" s="14" t="s">
        <v>25</v>
      </c>
      <c r="V235" s="14"/>
      <c r="W235" s="14"/>
      <c r="X235" s="14"/>
      <c r="Y235" s="14"/>
      <c r="Z235" s="14" t="s">
        <v>687</v>
      </c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 t="s">
        <v>1678</v>
      </c>
      <c r="CM235" s="1" t="s">
        <v>1679</v>
      </c>
      <c r="CN235" s="1" t="s">
        <v>690</v>
      </c>
      <c r="CR235" s="1" t="s">
        <v>152</v>
      </c>
      <c r="CS235" s="1" t="s">
        <v>121</v>
      </c>
      <c r="CT235" s="14" t="s">
        <v>961</v>
      </c>
      <c r="CU235" s="1" t="s">
        <v>167</v>
      </c>
      <c r="CV235" s="1" t="s">
        <v>168</v>
      </c>
      <c r="CW235" s="3"/>
      <c r="DG235" s="4"/>
    </row>
    <row r="236" customFormat="false" ht="11.25" hidden="false" customHeight="true" outlineLevel="0" collapsed="false">
      <c r="A236" s="14" t="n">
        <v>235</v>
      </c>
      <c r="B236" s="15" t="n">
        <v>46114.6858689583</v>
      </c>
      <c r="C236" s="15" t="n">
        <v>46114.6941444213</v>
      </c>
      <c r="D236" s="14" t="s">
        <v>1680</v>
      </c>
      <c r="E236" s="14" t="s">
        <v>1681</v>
      </c>
      <c r="F236" s="14" t="s">
        <v>1681</v>
      </c>
      <c r="G236" s="14" t="s">
        <v>1682</v>
      </c>
      <c r="H236" s="15" t="n">
        <v>46099</v>
      </c>
      <c r="I236" s="15" t="s">
        <v>244</v>
      </c>
      <c r="J236" s="14" t="s">
        <v>295</v>
      </c>
      <c r="K236" s="14" t="s">
        <v>196</v>
      </c>
      <c r="L236" s="14" t="s">
        <v>184</v>
      </c>
      <c r="M236" s="14" t="s">
        <v>111</v>
      </c>
      <c r="N236" s="14" t="s">
        <v>112</v>
      </c>
      <c r="O236" s="14" t="s">
        <v>113</v>
      </c>
      <c r="P236" s="14" t="s">
        <v>391</v>
      </c>
      <c r="Q236" s="14" t="s">
        <v>297</v>
      </c>
      <c r="R236" s="14"/>
      <c r="S236" s="14"/>
      <c r="T236" s="14"/>
      <c r="U236" s="14" t="s">
        <v>21</v>
      </c>
      <c r="V236" s="14" t="s">
        <v>187</v>
      </c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 t="s">
        <v>188</v>
      </c>
      <c r="AQ236" s="14" t="s">
        <v>399</v>
      </c>
      <c r="AR236" s="14" t="s">
        <v>190</v>
      </c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R236" s="1" t="s">
        <v>120</v>
      </c>
      <c r="CS236" s="1" t="s">
        <v>121</v>
      </c>
      <c r="CT236" s="14"/>
      <c r="CU236" s="1" t="s">
        <v>123</v>
      </c>
      <c r="CV236" s="1" t="s">
        <v>124</v>
      </c>
      <c r="CW236" s="3"/>
      <c r="DG236" s="4"/>
    </row>
    <row r="237" customFormat="false" ht="11.25" hidden="false" customHeight="true" outlineLevel="0" collapsed="false">
      <c r="A237" s="14" t="n">
        <v>236</v>
      </c>
      <c r="B237" s="15" t="n">
        <v>46109.4057047222</v>
      </c>
      <c r="C237" s="15" t="n">
        <v>46109.4213644445</v>
      </c>
      <c r="D237" s="14" t="s">
        <v>1683</v>
      </c>
      <c r="E237" s="14" t="s">
        <v>1684</v>
      </c>
      <c r="F237" s="14" t="s">
        <v>1684</v>
      </c>
      <c r="G237" s="14" t="s">
        <v>1685</v>
      </c>
      <c r="H237" s="15" t="n">
        <v>46095</v>
      </c>
      <c r="I237" s="15" t="s">
        <v>107</v>
      </c>
      <c r="J237" s="14" t="s">
        <v>108</v>
      </c>
      <c r="K237" s="14" t="s">
        <v>245</v>
      </c>
      <c r="L237" s="14" t="s">
        <v>491</v>
      </c>
      <c r="M237" s="14" t="s">
        <v>131</v>
      </c>
      <c r="N237" s="14" t="s">
        <v>145</v>
      </c>
      <c r="O237" s="14" t="s">
        <v>132</v>
      </c>
      <c r="P237" s="14" t="s">
        <v>515</v>
      </c>
      <c r="Q237" s="14" t="s">
        <v>1078</v>
      </c>
      <c r="R237" s="14"/>
      <c r="S237" s="14"/>
      <c r="T237" s="14"/>
      <c r="U237" s="14" t="s">
        <v>22</v>
      </c>
      <c r="V237" s="14"/>
      <c r="W237" s="14" t="s">
        <v>148</v>
      </c>
      <c r="X237" s="14"/>
      <c r="Y237" s="14"/>
      <c r="Z237" s="14"/>
      <c r="AA237" s="14"/>
      <c r="AB237" s="14"/>
      <c r="AC237" s="14"/>
      <c r="AD237" s="14" t="s">
        <v>1686</v>
      </c>
      <c r="AE237" s="14" t="s">
        <v>660</v>
      </c>
      <c r="AF237" s="14" t="s">
        <v>1687</v>
      </c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R237" s="1" t="s">
        <v>227</v>
      </c>
      <c r="CS237" s="1" t="s">
        <v>121</v>
      </c>
      <c r="CT237" s="14" t="s">
        <v>122</v>
      </c>
      <c r="CU237" s="1" t="s">
        <v>167</v>
      </c>
      <c r="CV237" s="1" t="s">
        <v>124</v>
      </c>
      <c r="CW237" s="3"/>
      <c r="DG237" s="4"/>
    </row>
    <row r="238" customFormat="false" ht="11.25" hidden="false" customHeight="true" outlineLevel="0" collapsed="false">
      <c r="A238" s="14" t="n">
        <v>237</v>
      </c>
      <c r="B238" s="15" t="n">
        <v>46096.8098384722</v>
      </c>
      <c r="C238" s="15" t="n">
        <v>46096.8231602315</v>
      </c>
      <c r="D238" s="14" t="s">
        <v>1688</v>
      </c>
      <c r="E238" s="14" t="s">
        <v>1689</v>
      </c>
      <c r="F238" s="14" t="s">
        <v>1689</v>
      </c>
      <c r="G238" s="14" t="s">
        <v>1690</v>
      </c>
      <c r="H238" s="15" t="n">
        <v>46086</v>
      </c>
      <c r="I238" s="15" t="s">
        <v>172</v>
      </c>
      <c r="J238" s="14" t="s">
        <v>108</v>
      </c>
      <c r="K238" s="14" t="s">
        <v>848</v>
      </c>
      <c r="L238" s="14" t="s">
        <v>184</v>
      </c>
      <c r="M238" s="14" t="s">
        <v>111</v>
      </c>
      <c r="N238" s="14" t="s">
        <v>198</v>
      </c>
      <c r="O238" s="14" t="s">
        <v>325</v>
      </c>
      <c r="P238" s="14" t="s">
        <v>326</v>
      </c>
      <c r="Q238" s="14" t="s">
        <v>1042</v>
      </c>
      <c r="R238" s="14"/>
      <c r="S238" s="14"/>
      <c r="T238" s="14"/>
      <c r="U238" s="14" t="s">
        <v>23</v>
      </c>
      <c r="V238" s="14"/>
      <c r="W238" s="14"/>
      <c r="X238" s="14" t="s">
        <v>122</v>
      </c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R238" s="1" t="s">
        <v>120</v>
      </c>
      <c r="CS238" s="1" t="s">
        <v>496</v>
      </c>
      <c r="CT238" s="14" t="s">
        <v>1691</v>
      </c>
      <c r="CU238" s="1" t="s">
        <v>192</v>
      </c>
      <c r="CV238" s="1" t="s">
        <v>124</v>
      </c>
      <c r="CW238" s="3" t="s">
        <v>573</v>
      </c>
      <c r="DG238" s="4"/>
    </row>
    <row r="239" customFormat="false" ht="11.25" hidden="false" customHeight="true" outlineLevel="0" collapsed="false">
      <c r="A239" s="14" t="n">
        <v>238</v>
      </c>
      <c r="B239" s="15" t="n">
        <v>46074.0579137384</v>
      </c>
      <c r="C239" s="15" t="n">
        <v>46074.0772077199</v>
      </c>
      <c r="D239" s="14" t="s">
        <v>1692</v>
      </c>
      <c r="E239" s="14" t="s">
        <v>1693</v>
      </c>
      <c r="F239" s="14" t="s">
        <v>1693</v>
      </c>
      <c r="G239" s="14" t="s">
        <v>1694</v>
      </c>
      <c r="H239" s="15" t="n">
        <v>46055</v>
      </c>
      <c r="I239" s="15" t="s">
        <v>244</v>
      </c>
      <c r="J239" s="14" t="s">
        <v>128</v>
      </c>
      <c r="K239" s="14" t="s">
        <v>413</v>
      </c>
      <c r="L239" s="14" t="s">
        <v>197</v>
      </c>
      <c r="M239" s="14" t="s">
        <v>111</v>
      </c>
      <c r="N239" s="14" t="s">
        <v>112</v>
      </c>
      <c r="O239" s="14" t="s">
        <v>113</v>
      </c>
      <c r="P239" s="14" t="s">
        <v>507</v>
      </c>
      <c r="Q239" s="14" t="s">
        <v>1144</v>
      </c>
      <c r="R239" s="14"/>
      <c r="S239" s="14"/>
      <c r="T239" s="14"/>
      <c r="U239" s="14" t="s">
        <v>22</v>
      </c>
      <c r="V239" s="14"/>
      <c r="W239" s="14" t="s">
        <v>715</v>
      </c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 t="s">
        <v>1695</v>
      </c>
      <c r="BI239" s="14" t="s">
        <v>1374</v>
      </c>
      <c r="BJ239" s="14" t="s">
        <v>1696</v>
      </c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R239" s="1" t="s">
        <v>152</v>
      </c>
      <c r="CS239" s="1" t="s">
        <v>121</v>
      </c>
      <c r="CT239" s="14" t="s">
        <v>1395</v>
      </c>
      <c r="CU239" s="1" t="s">
        <v>123</v>
      </c>
      <c r="CV239" s="1" t="s">
        <v>168</v>
      </c>
      <c r="CW239" s="3"/>
      <c r="DG239" s="4"/>
    </row>
    <row r="240" customFormat="false" ht="11.25" hidden="false" customHeight="true" outlineLevel="0" collapsed="false">
      <c r="A240" s="14" t="n">
        <v>239</v>
      </c>
      <c r="B240" s="15" t="n">
        <v>46173.8655246181</v>
      </c>
      <c r="C240" s="15" t="n">
        <v>46173.8757329514</v>
      </c>
      <c r="D240" s="14" t="s">
        <v>1697</v>
      </c>
      <c r="E240" s="14" t="s">
        <v>1698</v>
      </c>
      <c r="F240" s="14" t="s">
        <v>1698</v>
      </c>
      <c r="G240" s="14" t="s">
        <v>1699</v>
      </c>
      <c r="H240" s="15" t="n">
        <v>46162</v>
      </c>
      <c r="I240" s="15" t="s">
        <v>244</v>
      </c>
      <c r="J240" s="14" t="s">
        <v>108</v>
      </c>
      <c r="K240" s="14" t="s">
        <v>245</v>
      </c>
      <c r="L240" s="14" t="s">
        <v>184</v>
      </c>
      <c r="M240" s="14" t="s">
        <v>111</v>
      </c>
      <c r="N240" s="14" t="s">
        <v>112</v>
      </c>
      <c r="O240" s="14" t="s">
        <v>305</v>
      </c>
      <c r="P240" s="14" t="s">
        <v>439</v>
      </c>
      <c r="Q240" s="14" t="s">
        <v>338</v>
      </c>
      <c r="R240" s="14"/>
      <c r="S240" s="14"/>
      <c r="T240" s="14" t="s">
        <v>880</v>
      </c>
      <c r="U240" s="14" t="s">
        <v>24</v>
      </c>
      <c r="V240" s="14"/>
      <c r="W240" s="14"/>
      <c r="X240" s="14"/>
      <c r="Y240" s="14" t="s">
        <v>19</v>
      </c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R240" s="1" t="s">
        <v>227</v>
      </c>
      <c r="CS240" s="1" t="s">
        <v>121</v>
      </c>
      <c r="CT240" s="14" t="s">
        <v>1700</v>
      </c>
      <c r="CU240" s="1" t="s">
        <v>167</v>
      </c>
      <c r="CV240" s="1" t="s">
        <v>124</v>
      </c>
      <c r="CW240" s="3"/>
      <c r="CX240" s="3" t="s">
        <v>331</v>
      </c>
      <c r="DG240" s="4"/>
    </row>
    <row r="241" customFormat="false" ht="11.25" hidden="false" customHeight="true" outlineLevel="0" collapsed="false">
      <c r="A241" s="14" t="n">
        <v>240</v>
      </c>
      <c r="B241" s="15" t="n">
        <v>46055.7084312963</v>
      </c>
      <c r="C241" s="15" t="n">
        <v>46055.7112669445</v>
      </c>
      <c r="D241" s="14" t="s">
        <v>1701</v>
      </c>
      <c r="E241" s="14" t="s">
        <v>1702</v>
      </c>
      <c r="F241" s="14" t="s">
        <v>1702</v>
      </c>
      <c r="G241" s="14" t="s">
        <v>1703</v>
      </c>
      <c r="H241" s="15" t="n">
        <v>46035</v>
      </c>
      <c r="I241" s="15" t="s">
        <v>107</v>
      </c>
      <c r="J241" s="14" t="s">
        <v>108</v>
      </c>
      <c r="K241" s="14" t="s">
        <v>232</v>
      </c>
      <c r="L241" s="14" t="s">
        <v>159</v>
      </c>
      <c r="M241" s="14" t="s">
        <v>111</v>
      </c>
      <c r="N241" s="14" t="s">
        <v>145</v>
      </c>
      <c r="O241" s="14" t="s">
        <v>113</v>
      </c>
      <c r="P241" s="14" t="s">
        <v>477</v>
      </c>
      <c r="Q241" s="14" t="s">
        <v>389</v>
      </c>
      <c r="R241" s="14"/>
      <c r="S241" s="14"/>
      <c r="T241" s="14"/>
      <c r="U241" s="14" t="s">
        <v>23</v>
      </c>
      <c r="V241" s="14"/>
      <c r="W241" s="14"/>
      <c r="X241" s="14" t="s">
        <v>122</v>
      </c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R241" s="1" t="s">
        <v>152</v>
      </c>
      <c r="CS241" s="1" t="s">
        <v>121</v>
      </c>
      <c r="CT241" s="14" t="s">
        <v>122</v>
      </c>
      <c r="CU241" s="1" t="s">
        <v>192</v>
      </c>
      <c r="CV241" s="1" t="s">
        <v>124</v>
      </c>
      <c r="CW241" s="3"/>
      <c r="DG241" s="4"/>
    </row>
    <row r="242" customFormat="false" ht="11.25" hidden="false" customHeight="true" outlineLevel="0" collapsed="false">
      <c r="A242" s="14" t="n">
        <v>241</v>
      </c>
      <c r="B242" s="15" t="n">
        <v>46057.3878631713</v>
      </c>
      <c r="C242" s="15" t="n">
        <v>46057.4047034491</v>
      </c>
      <c r="D242" s="14" t="s">
        <v>1704</v>
      </c>
      <c r="E242" s="14" t="s">
        <v>1705</v>
      </c>
      <c r="F242" s="14" t="s">
        <v>1705</v>
      </c>
      <c r="G242" s="14" t="s">
        <v>1706</v>
      </c>
      <c r="H242" s="15" t="n">
        <v>46037</v>
      </c>
      <c r="I242" s="15" t="s">
        <v>172</v>
      </c>
      <c r="J242" s="14" t="s">
        <v>108</v>
      </c>
      <c r="K242" s="14" t="s">
        <v>173</v>
      </c>
      <c r="L242" s="14" t="s">
        <v>144</v>
      </c>
      <c r="M242" s="14" t="s">
        <v>111</v>
      </c>
      <c r="N242" s="14" t="s">
        <v>145</v>
      </c>
      <c r="O242" s="14" t="s">
        <v>305</v>
      </c>
      <c r="P242" s="14" t="s">
        <v>144</v>
      </c>
      <c r="Q242" s="14" t="s">
        <v>249</v>
      </c>
      <c r="R242" s="14"/>
      <c r="S242" s="14"/>
      <c r="T242" s="14"/>
      <c r="U242" s="14" t="s">
        <v>22</v>
      </c>
      <c r="V242" s="14"/>
      <c r="W242" s="14" t="s">
        <v>148</v>
      </c>
      <c r="X242" s="14"/>
      <c r="Y242" s="14"/>
      <c r="Z242" s="14"/>
      <c r="AA242" s="14"/>
      <c r="AB242" s="14"/>
      <c r="AC242" s="14"/>
      <c r="AD242" s="14" t="s">
        <v>1707</v>
      </c>
      <c r="AE242" s="14" t="s">
        <v>1446</v>
      </c>
      <c r="AF242" s="14" t="s">
        <v>696</v>
      </c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R242" s="1" t="s">
        <v>120</v>
      </c>
      <c r="CS242" s="1" t="s">
        <v>121</v>
      </c>
      <c r="CT242" s="14" t="s">
        <v>122</v>
      </c>
      <c r="CU242" s="1" t="s">
        <v>123</v>
      </c>
      <c r="CV242" s="1" t="s">
        <v>124</v>
      </c>
      <c r="CW242" s="3"/>
      <c r="DG242" s="4"/>
    </row>
    <row r="243" customFormat="false" ht="11.25" hidden="false" customHeight="true" outlineLevel="0" collapsed="false">
      <c r="A243" s="14" t="n">
        <v>242</v>
      </c>
      <c r="B243" s="15" t="n">
        <v>46046.9641085301</v>
      </c>
      <c r="C243" s="15" t="n">
        <v>46046.9716432523</v>
      </c>
      <c r="D243" s="14" t="s">
        <v>1708</v>
      </c>
      <c r="E243" s="14" t="s">
        <v>1709</v>
      </c>
      <c r="F243" s="14" t="s">
        <v>1709</v>
      </c>
      <c r="G243" s="14" t="s">
        <v>1710</v>
      </c>
      <c r="H243" s="15" t="n">
        <v>46043</v>
      </c>
      <c r="I243" s="15" t="s">
        <v>107</v>
      </c>
      <c r="J243" s="14" t="s">
        <v>295</v>
      </c>
      <c r="K243" s="14" t="s">
        <v>1711</v>
      </c>
      <c r="L243" s="14" t="s">
        <v>130</v>
      </c>
      <c r="M243" s="14" t="s">
        <v>111</v>
      </c>
      <c r="N243" s="14" t="s">
        <v>112</v>
      </c>
      <c r="O243" s="14" t="s">
        <v>113</v>
      </c>
      <c r="P243" s="14" t="s">
        <v>286</v>
      </c>
      <c r="Q243" s="14" t="s">
        <v>1539</v>
      </c>
      <c r="R243" s="14"/>
      <c r="S243" s="14"/>
      <c r="T243" s="14"/>
      <c r="U243" s="14" t="s">
        <v>25</v>
      </c>
      <c r="V243" s="14"/>
      <c r="W243" s="14"/>
      <c r="X243" s="14"/>
      <c r="Y243" s="14"/>
      <c r="Z243" s="14" t="s">
        <v>1712</v>
      </c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O243" s="1" t="s">
        <v>1713</v>
      </c>
      <c r="CP243" s="1" t="s">
        <v>1714</v>
      </c>
      <c r="CQ243" s="1" t="s">
        <v>1715</v>
      </c>
      <c r="CR243" s="1" t="s">
        <v>152</v>
      </c>
      <c r="CS243" s="1" t="s">
        <v>180</v>
      </c>
      <c r="CT243" s="14" t="s">
        <v>770</v>
      </c>
      <c r="CU243" s="1" t="s">
        <v>192</v>
      </c>
      <c r="CV243" s="1" t="s">
        <v>124</v>
      </c>
      <c r="CW243" s="3"/>
      <c r="DG243" s="4"/>
    </row>
    <row r="244" customFormat="false" ht="11.25" hidden="false" customHeight="true" outlineLevel="0" collapsed="false">
      <c r="A244" s="14" t="n">
        <v>243</v>
      </c>
      <c r="B244" s="15" t="n">
        <v>46191.1612085764</v>
      </c>
      <c r="C244" s="15" t="n">
        <v>46191.1726669097</v>
      </c>
      <c r="D244" s="14" t="s">
        <v>1716</v>
      </c>
      <c r="E244" s="14" t="s">
        <v>1717</v>
      </c>
      <c r="F244" s="14" t="s">
        <v>1717</v>
      </c>
      <c r="G244" s="14" t="s">
        <v>1718</v>
      </c>
      <c r="H244" s="15" t="n">
        <v>46177</v>
      </c>
      <c r="I244" s="15" t="s">
        <v>107</v>
      </c>
      <c r="J244" s="14" t="s">
        <v>295</v>
      </c>
      <c r="K244" s="14" t="s">
        <v>245</v>
      </c>
      <c r="L244" s="14" t="s">
        <v>346</v>
      </c>
      <c r="M244" s="14" t="s">
        <v>111</v>
      </c>
      <c r="N244" s="14" t="s">
        <v>112</v>
      </c>
      <c r="O244" s="14" t="s">
        <v>1268</v>
      </c>
      <c r="P244" s="14" t="s">
        <v>397</v>
      </c>
      <c r="Q244" s="14" t="s">
        <v>398</v>
      </c>
      <c r="R244" s="14"/>
      <c r="S244" s="14"/>
      <c r="T244" s="14"/>
      <c r="U244" s="14" t="s">
        <v>23</v>
      </c>
      <c r="V244" s="14"/>
      <c r="W244" s="14"/>
      <c r="X244" s="14" t="s">
        <v>1645</v>
      </c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R244" s="1" t="s">
        <v>120</v>
      </c>
      <c r="CS244" s="1" t="s">
        <v>121</v>
      </c>
      <c r="CT244" s="14" t="s">
        <v>122</v>
      </c>
      <c r="CU244" s="1" t="s">
        <v>123</v>
      </c>
      <c r="CV244" s="1" t="s">
        <v>124</v>
      </c>
      <c r="CW244" s="3"/>
      <c r="DG244" s="4"/>
    </row>
    <row r="245" customFormat="false" ht="11.25" hidden="false" customHeight="true" outlineLevel="0" collapsed="false">
      <c r="A245" s="14" t="n">
        <v>244</v>
      </c>
      <c r="B245" s="15" t="n">
        <v>46086.651204213</v>
      </c>
      <c r="C245" s="15" t="n">
        <v>46086.6638083796</v>
      </c>
      <c r="D245" s="14" t="s">
        <v>1719</v>
      </c>
      <c r="E245" s="14" t="s">
        <v>1720</v>
      </c>
      <c r="F245" s="14" t="s">
        <v>1720</v>
      </c>
      <c r="G245" s="14" t="s">
        <v>1721</v>
      </c>
      <c r="H245" s="15" t="n">
        <v>46069</v>
      </c>
      <c r="I245" s="15" t="s">
        <v>172</v>
      </c>
      <c r="J245" s="14" t="s">
        <v>128</v>
      </c>
      <c r="K245" s="14" t="s">
        <v>245</v>
      </c>
      <c r="L245" s="14" t="s">
        <v>114</v>
      </c>
      <c r="M245" s="14" t="s">
        <v>111</v>
      </c>
      <c r="N245" s="14" t="s">
        <v>112</v>
      </c>
      <c r="O245" s="14" t="s">
        <v>113</v>
      </c>
      <c r="P245" s="14" t="s">
        <v>248</v>
      </c>
      <c r="Q245" s="14" t="s">
        <v>757</v>
      </c>
      <c r="R245" s="14"/>
      <c r="S245" s="14"/>
      <c r="T245" s="14"/>
      <c r="U245" s="14" t="s">
        <v>22</v>
      </c>
      <c r="V245" s="14"/>
      <c r="W245" s="14" t="s">
        <v>271</v>
      </c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 t="s">
        <v>1722</v>
      </c>
      <c r="BL245" s="14" t="s">
        <v>1121</v>
      </c>
      <c r="BM245" s="14" t="s">
        <v>252</v>
      </c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R245" s="1" t="s">
        <v>152</v>
      </c>
      <c r="CS245" s="1" t="s">
        <v>228</v>
      </c>
      <c r="CT245" s="14"/>
      <c r="CU245" s="1" t="s">
        <v>123</v>
      </c>
      <c r="CV245" s="1" t="s">
        <v>124</v>
      </c>
      <c r="CW245" s="3"/>
      <c r="DG245" s="4"/>
    </row>
    <row r="246" customFormat="false" ht="11.25" hidden="false" customHeight="true" outlineLevel="0" collapsed="false">
      <c r="A246" s="14" t="n">
        <v>245</v>
      </c>
      <c r="B246" s="15" t="n">
        <v>46065.1791818056</v>
      </c>
      <c r="C246" s="15" t="n">
        <v>46065.1816239352</v>
      </c>
      <c r="D246" s="14" t="s">
        <v>1723</v>
      </c>
      <c r="E246" s="14" t="s">
        <v>1724</v>
      </c>
      <c r="F246" s="14" t="s">
        <v>1724</v>
      </c>
      <c r="G246" s="14" t="s">
        <v>1725</v>
      </c>
      <c r="H246" s="15" t="n">
        <v>46056</v>
      </c>
      <c r="I246" s="15" t="s">
        <v>244</v>
      </c>
      <c r="J246" s="14" t="s">
        <v>128</v>
      </c>
      <c r="K246" s="14" t="s">
        <v>196</v>
      </c>
      <c r="L246" s="14" t="s">
        <v>431</v>
      </c>
      <c r="M246" s="14" t="s">
        <v>111</v>
      </c>
      <c r="N246" s="14" t="s">
        <v>112</v>
      </c>
      <c r="O246" s="14" t="s">
        <v>113</v>
      </c>
      <c r="P246" s="14" t="s">
        <v>130</v>
      </c>
      <c r="Q246" s="14" t="s">
        <v>280</v>
      </c>
      <c r="R246" s="14"/>
      <c r="S246" s="14"/>
      <c r="T246" s="14"/>
      <c r="U246" s="14" t="s">
        <v>22</v>
      </c>
      <c r="V246" s="14"/>
      <c r="W246" s="14" t="s">
        <v>271</v>
      </c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 t="s">
        <v>1726</v>
      </c>
      <c r="BL246" s="14" t="s">
        <v>1301</v>
      </c>
      <c r="BM246" s="14" t="s">
        <v>1727</v>
      </c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R246" s="1" t="s">
        <v>227</v>
      </c>
      <c r="CS246" s="1" t="s">
        <v>264</v>
      </c>
      <c r="CT246" s="14" t="s">
        <v>1129</v>
      </c>
      <c r="CU246" s="1" t="s">
        <v>123</v>
      </c>
      <c r="CV246" s="1" t="s">
        <v>124</v>
      </c>
      <c r="CW246" s="3"/>
      <c r="DG246" s="4"/>
    </row>
    <row r="247" customFormat="false" ht="11.25" hidden="false" customHeight="true" outlineLevel="0" collapsed="false">
      <c r="A247" s="14" t="n">
        <v>246</v>
      </c>
      <c r="B247" s="15" t="n">
        <v>46113.5175228935</v>
      </c>
      <c r="C247" s="15" t="n">
        <v>46113.5262265972</v>
      </c>
      <c r="D247" s="14" t="s">
        <v>1728</v>
      </c>
      <c r="E247" s="14" t="s">
        <v>1729</v>
      </c>
      <c r="F247" s="14" t="s">
        <v>1729</v>
      </c>
      <c r="G247" s="14" t="s">
        <v>1730</v>
      </c>
      <c r="H247" s="15" t="n">
        <v>46093</v>
      </c>
      <c r="I247" s="15" t="s">
        <v>244</v>
      </c>
      <c r="J247" s="14" t="s">
        <v>108</v>
      </c>
      <c r="K247" s="14" t="s">
        <v>173</v>
      </c>
      <c r="L247" s="14" t="s">
        <v>233</v>
      </c>
      <c r="M247" s="14" t="s">
        <v>111</v>
      </c>
      <c r="N247" s="14" t="s">
        <v>112</v>
      </c>
      <c r="O247" s="14" t="s">
        <v>305</v>
      </c>
      <c r="P247" s="14" t="s">
        <v>566</v>
      </c>
      <c r="Q247" s="14" t="s">
        <v>775</v>
      </c>
      <c r="R247" s="14"/>
      <c r="S247" s="14"/>
      <c r="T247" s="14"/>
      <c r="U247" s="14" t="s">
        <v>24</v>
      </c>
      <c r="V247" s="14"/>
      <c r="W247" s="14"/>
      <c r="X247" s="14"/>
      <c r="Y247" s="14" t="s">
        <v>223</v>
      </c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 t="s">
        <v>1731</v>
      </c>
      <c r="CA247" s="14" t="s">
        <v>1400</v>
      </c>
      <c r="CB247" s="14" t="s">
        <v>417</v>
      </c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R247" s="1" t="s">
        <v>152</v>
      </c>
      <c r="CS247" s="1" t="s">
        <v>121</v>
      </c>
      <c r="CT247" s="14" t="s">
        <v>122</v>
      </c>
      <c r="CU247" s="1" t="s">
        <v>123</v>
      </c>
      <c r="CV247" s="1" t="s">
        <v>124</v>
      </c>
      <c r="CW247" s="3"/>
      <c r="DG247" s="4"/>
    </row>
    <row r="248" customFormat="false" ht="11.25" hidden="false" customHeight="true" outlineLevel="0" collapsed="false">
      <c r="A248" s="14" t="n">
        <v>247</v>
      </c>
      <c r="B248" s="15" t="n">
        <v>46141.2896764352</v>
      </c>
      <c r="C248" s="15" t="n">
        <v>46141.297153287</v>
      </c>
      <c r="D248" s="14" t="s">
        <v>1732</v>
      </c>
      <c r="E248" s="14" t="s">
        <v>1733</v>
      </c>
      <c r="F248" s="14" t="s">
        <v>1734</v>
      </c>
      <c r="G248" s="14" t="s">
        <v>1735</v>
      </c>
      <c r="H248" s="15" t="n">
        <v>46138</v>
      </c>
      <c r="I248" s="15" t="s">
        <v>244</v>
      </c>
      <c r="J248" s="14" t="s">
        <v>108</v>
      </c>
      <c r="K248" s="14" t="s">
        <v>1711</v>
      </c>
      <c r="L248" s="14" t="s">
        <v>110</v>
      </c>
      <c r="M248" s="14" t="s">
        <v>111</v>
      </c>
      <c r="N248" s="14" t="s">
        <v>247</v>
      </c>
      <c r="O248" s="14" t="s">
        <v>113</v>
      </c>
      <c r="P248" s="14" t="s">
        <v>686</v>
      </c>
      <c r="Q248" s="14" t="s">
        <v>1094</v>
      </c>
      <c r="R248" s="14"/>
      <c r="S248" s="14"/>
      <c r="T248" s="14"/>
      <c r="U248" s="14" t="s">
        <v>25</v>
      </c>
      <c r="V248" s="14"/>
      <c r="W248" s="14"/>
      <c r="X248" s="14"/>
      <c r="Y248" s="14"/>
      <c r="Z248" s="14" t="s">
        <v>327</v>
      </c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 t="s">
        <v>162</v>
      </c>
      <c r="CJ248" s="14" t="s">
        <v>1736</v>
      </c>
      <c r="CK248" s="14" t="s">
        <v>1737</v>
      </c>
      <c r="CL248" s="14"/>
      <c r="CR248" s="1" t="s">
        <v>120</v>
      </c>
      <c r="CS248" s="1" t="s">
        <v>121</v>
      </c>
      <c r="CT248" s="14" t="s">
        <v>1557</v>
      </c>
      <c r="CU248" s="1" t="s">
        <v>123</v>
      </c>
      <c r="CV248" s="1" t="s">
        <v>124</v>
      </c>
      <c r="CW248" s="3"/>
      <c r="DG248" s="4"/>
    </row>
    <row r="249" customFormat="false" ht="11.25" hidden="false" customHeight="true" outlineLevel="0" collapsed="false">
      <c r="A249" s="14" t="n">
        <v>248</v>
      </c>
      <c r="B249" s="15" t="n">
        <v>46126.9822979861</v>
      </c>
      <c r="C249" s="15" t="n">
        <v>46126.9956428935</v>
      </c>
      <c r="D249" s="14" t="s">
        <v>1738</v>
      </c>
      <c r="E249" s="14" t="s">
        <v>1739</v>
      </c>
      <c r="F249" s="14" t="s">
        <v>1739</v>
      </c>
      <c r="G249" s="14" t="s">
        <v>1740</v>
      </c>
      <c r="H249" s="15" t="n">
        <v>46118</v>
      </c>
      <c r="I249" s="15" t="s">
        <v>107</v>
      </c>
      <c r="J249" s="14" t="s">
        <v>108</v>
      </c>
      <c r="K249" s="14" t="s">
        <v>196</v>
      </c>
      <c r="L249" s="14" t="s">
        <v>246</v>
      </c>
      <c r="M249" s="14" t="s">
        <v>111</v>
      </c>
      <c r="N249" s="14" t="s">
        <v>112</v>
      </c>
      <c r="O249" s="14" t="s">
        <v>305</v>
      </c>
      <c r="P249" s="14" t="s">
        <v>258</v>
      </c>
      <c r="Q249" s="14" t="s">
        <v>297</v>
      </c>
      <c r="R249" s="14"/>
      <c r="S249" s="14"/>
      <c r="T249" s="14"/>
      <c r="U249" s="14" t="s">
        <v>25</v>
      </c>
      <c r="V249" s="14"/>
      <c r="W249" s="14"/>
      <c r="X249" s="14"/>
      <c r="Y249" s="14"/>
      <c r="Z249" s="14" t="s">
        <v>1712</v>
      </c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O249" s="1" t="s">
        <v>1741</v>
      </c>
      <c r="CP249" s="1" t="s">
        <v>1742</v>
      </c>
      <c r="CQ249" s="1" t="s">
        <v>1743</v>
      </c>
      <c r="CR249" s="1" t="s">
        <v>120</v>
      </c>
      <c r="CS249" s="1" t="s">
        <v>121</v>
      </c>
      <c r="CT249" s="16" t="s">
        <v>641</v>
      </c>
      <c r="CU249" s="1" t="s">
        <v>123</v>
      </c>
      <c r="CV249" s="1" t="s">
        <v>139</v>
      </c>
      <c r="CW249" s="3"/>
      <c r="DG249" s="4"/>
    </row>
    <row r="250" customFormat="false" ht="11.25" hidden="false" customHeight="true" outlineLevel="0" collapsed="false">
      <c r="A250" s="14" t="n">
        <v>249</v>
      </c>
      <c r="B250" s="15" t="n">
        <v>46199.1579058565</v>
      </c>
      <c r="C250" s="15" t="n">
        <v>46199.1724428935</v>
      </c>
      <c r="D250" s="14" t="s">
        <v>1744</v>
      </c>
      <c r="E250" s="14" t="s">
        <v>1745</v>
      </c>
      <c r="F250" s="14" t="s">
        <v>1746</v>
      </c>
      <c r="G250" s="14" t="s">
        <v>1747</v>
      </c>
      <c r="H250" s="15" t="n">
        <v>46185</v>
      </c>
      <c r="I250" s="15" t="s">
        <v>260</v>
      </c>
      <c r="J250" s="14" t="s">
        <v>108</v>
      </c>
      <c r="K250" s="14" t="s">
        <v>364</v>
      </c>
      <c r="L250" s="14" t="s">
        <v>246</v>
      </c>
      <c r="M250" s="14" t="s">
        <v>111</v>
      </c>
      <c r="N250" s="14" t="s">
        <v>247</v>
      </c>
      <c r="O250" s="14" t="s">
        <v>113</v>
      </c>
      <c r="P250" s="14" t="s">
        <v>774</v>
      </c>
      <c r="Q250" s="14" t="s">
        <v>422</v>
      </c>
      <c r="R250" s="14"/>
      <c r="S250" s="14"/>
      <c r="T250" s="14"/>
      <c r="U250" s="14" t="s">
        <v>22</v>
      </c>
      <c r="V250" s="14"/>
      <c r="W250" s="14" t="s">
        <v>271</v>
      </c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 t="s">
        <v>1748</v>
      </c>
      <c r="BL250" s="14" t="s">
        <v>1749</v>
      </c>
      <c r="BM250" s="14" t="s">
        <v>920</v>
      </c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R250" s="1" t="s">
        <v>152</v>
      </c>
      <c r="CS250" s="1" t="s">
        <v>352</v>
      </c>
      <c r="CT250" s="14" t="s">
        <v>1326</v>
      </c>
      <c r="CU250" s="1" t="s">
        <v>167</v>
      </c>
      <c r="CV250" s="1" t="s">
        <v>168</v>
      </c>
      <c r="CW250" s="3"/>
      <c r="DG250" s="4"/>
    </row>
    <row r="251" customFormat="false" ht="11.25" hidden="false" customHeight="true" outlineLevel="0" collapsed="false">
      <c r="A251" s="14" t="n">
        <v>250</v>
      </c>
      <c r="B251" s="15" t="n">
        <v>46080.5282087732</v>
      </c>
      <c r="C251" s="15" t="n">
        <v>46080.5457550694</v>
      </c>
      <c r="D251" s="14" t="s">
        <v>1750</v>
      </c>
      <c r="E251" s="14" t="s">
        <v>1751</v>
      </c>
      <c r="F251" s="14" t="s">
        <v>1751</v>
      </c>
      <c r="G251" s="14" t="s">
        <v>1752</v>
      </c>
      <c r="H251" s="15" t="n">
        <v>46066</v>
      </c>
      <c r="I251" s="15" t="s">
        <v>107</v>
      </c>
      <c r="J251" s="14" t="s">
        <v>295</v>
      </c>
      <c r="K251" s="14" t="s">
        <v>143</v>
      </c>
      <c r="L251" s="14" t="s">
        <v>296</v>
      </c>
      <c r="M251" s="14" t="s">
        <v>211</v>
      </c>
      <c r="N251" s="14" t="s">
        <v>112</v>
      </c>
      <c r="O251" s="14" t="s">
        <v>305</v>
      </c>
      <c r="P251" s="14" t="s">
        <v>1313</v>
      </c>
      <c r="Q251" s="14" t="s">
        <v>665</v>
      </c>
      <c r="R251" s="14"/>
      <c r="S251" s="14"/>
      <c r="T251" s="14" t="s">
        <v>880</v>
      </c>
      <c r="U251" s="14" t="s">
        <v>24</v>
      </c>
      <c r="V251" s="14"/>
      <c r="W251" s="14"/>
      <c r="X251" s="14"/>
      <c r="Y251" s="14" t="s">
        <v>19</v>
      </c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R251" s="1" t="s">
        <v>152</v>
      </c>
      <c r="CS251" s="1" t="s">
        <v>121</v>
      </c>
      <c r="CT251" s="14" t="s">
        <v>122</v>
      </c>
      <c r="CU251" s="1" t="s">
        <v>192</v>
      </c>
      <c r="CV251" s="1" t="s">
        <v>124</v>
      </c>
      <c r="CW251" s="3"/>
      <c r="DG251" s="4"/>
    </row>
    <row r="252" customFormat="false" ht="11.25" hidden="false" customHeight="true" outlineLevel="0" collapsed="false">
      <c r="A252" s="14" t="n">
        <v>251</v>
      </c>
      <c r="B252" s="15" t="n">
        <v>46066.1416003472</v>
      </c>
      <c r="C252" s="15" t="n">
        <v>46066.1584174769</v>
      </c>
      <c r="D252" s="14" t="s">
        <v>1753</v>
      </c>
      <c r="E252" s="14" t="s">
        <v>1754</v>
      </c>
      <c r="F252" s="14" t="s">
        <v>1754</v>
      </c>
      <c r="G252" s="14" t="s">
        <v>1755</v>
      </c>
      <c r="H252" s="15" t="n">
        <v>46052</v>
      </c>
      <c r="I252" s="15" t="s">
        <v>244</v>
      </c>
      <c r="J252" s="14" t="s">
        <v>108</v>
      </c>
      <c r="K252" s="14" t="s">
        <v>257</v>
      </c>
      <c r="L252" s="14" t="s">
        <v>210</v>
      </c>
      <c r="M252" s="14" t="s">
        <v>111</v>
      </c>
      <c r="N252" s="14" t="s">
        <v>145</v>
      </c>
      <c r="O252" s="14" t="s">
        <v>113</v>
      </c>
      <c r="P252" s="14" t="s">
        <v>736</v>
      </c>
      <c r="Q252" s="14" t="s">
        <v>757</v>
      </c>
      <c r="R252" s="14"/>
      <c r="S252" s="14"/>
      <c r="T252" s="14"/>
      <c r="U252" s="14" t="s">
        <v>22</v>
      </c>
      <c r="V252" s="14"/>
      <c r="W252" s="14" t="s">
        <v>176</v>
      </c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 t="s">
        <v>1756</v>
      </c>
      <c r="AZ252" s="14" t="s">
        <v>1757</v>
      </c>
      <c r="BA252" s="14" t="s">
        <v>1758</v>
      </c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R252" s="1" t="s">
        <v>120</v>
      </c>
      <c r="CS252" s="1" t="s">
        <v>180</v>
      </c>
      <c r="CT252" s="14" t="s">
        <v>369</v>
      </c>
      <c r="CU252" s="1" t="s">
        <v>123</v>
      </c>
      <c r="CV252" s="1" t="s">
        <v>124</v>
      </c>
      <c r="CW252" s="3"/>
      <c r="DG252" s="4"/>
    </row>
    <row r="253" customFormat="false" ht="11.25" hidden="false" customHeight="true" outlineLevel="0" collapsed="false">
      <c r="A253" s="14" t="n">
        <v>252</v>
      </c>
      <c r="B253" s="15" t="n">
        <v>46158.1293713542</v>
      </c>
      <c r="C253" s="15" t="n">
        <v>46158.1475079282</v>
      </c>
      <c r="D253" s="14" t="s">
        <v>1759</v>
      </c>
      <c r="E253" s="14" t="s">
        <v>1760</v>
      </c>
      <c r="F253" s="14" t="s">
        <v>1760</v>
      </c>
      <c r="G253" s="14" t="s">
        <v>1761</v>
      </c>
      <c r="H253" s="15" t="n">
        <v>46152</v>
      </c>
      <c r="I253" s="15" t="s">
        <v>781</v>
      </c>
      <c r="J253" s="14" t="s">
        <v>295</v>
      </c>
      <c r="K253" s="14" t="s">
        <v>1762</v>
      </c>
      <c r="L253" s="14" t="s">
        <v>346</v>
      </c>
      <c r="M253" s="14" t="s">
        <v>111</v>
      </c>
      <c r="N253" s="14" t="s">
        <v>112</v>
      </c>
      <c r="O253" s="14" t="s">
        <v>113</v>
      </c>
      <c r="P253" s="14" t="s">
        <v>234</v>
      </c>
      <c r="Q253" s="14" t="s">
        <v>893</v>
      </c>
      <c r="R253" s="14"/>
      <c r="S253" s="14"/>
      <c r="T253" s="14"/>
      <c r="U253" s="14" t="s">
        <v>22</v>
      </c>
      <c r="V253" s="14"/>
      <c r="W253" s="14" t="s">
        <v>298</v>
      </c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 t="s">
        <v>1763</v>
      </c>
      <c r="AW253" s="14" t="s">
        <v>1022</v>
      </c>
      <c r="AX253" s="14" t="s">
        <v>1764</v>
      </c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R253" s="1" t="s">
        <v>120</v>
      </c>
      <c r="CS253" s="1" t="s">
        <v>352</v>
      </c>
      <c r="CT253" s="14" t="s">
        <v>122</v>
      </c>
      <c r="CU253" s="1" t="s">
        <v>123</v>
      </c>
      <c r="CV253" s="1" t="s">
        <v>139</v>
      </c>
      <c r="CW253" s="3"/>
      <c r="DG253" s="4"/>
    </row>
    <row r="254" customFormat="false" ht="11.25" hidden="false" customHeight="true" outlineLevel="0" collapsed="false">
      <c r="A254" s="14" t="n">
        <v>253</v>
      </c>
      <c r="B254" s="15" t="n">
        <v>46119.3963650579</v>
      </c>
      <c r="C254" s="15" t="n">
        <v>46119.4085062616</v>
      </c>
      <c r="D254" s="14" t="s">
        <v>1765</v>
      </c>
      <c r="E254" s="14" t="s">
        <v>1766</v>
      </c>
      <c r="F254" s="14" t="s">
        <v>1766</v>
      </c>
      <c r="G254" s="14" t="s">
        <v>1767</v>
      </c>
      <c r="H254" s="15" t="n">
        <v>46099</v>
      </c>
      <c r="I254" s="15" t="s">
        <v>244</v>
      </c>
      <c r="J254" s="14" t="s">
        <v>295</v>
      </c>
      <c r="K254" s="14" t="s">
        <v>257</v>
      </c>
      <c r="L254" s="14" t="s">
        <v>159</v>
      </c>
      <c r="M254" s="14" t="s">
        <v>131</v>
      </c>
      <c r="N254" s="14" t="s">
        <v>112</v>
      </c>
      <c r="O254" s="14" t="s">
        <v>113</v>
      </c>
      <c r="P254" s="14" t="s">
        <v>144</v>
      </c>
      <c r="Q254" s="14" t="s">
        <v>672</v>
      </c>
      <c r="R254" s="14"/>
      <c r="S254" s="14"/>
      <c r="T254" s="14"/>
      <c r="U254" s="14" t="s">
        <v>22</v>
      </c>
      <c r="V254" s="14"/>
      <c r="W254" s="14" t="s">
        <v>116</v>
      </c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 t="s">
        <v>679</v>
      </c>
      <c r="BU254" s="14" t="s">
        <v>602</v>
      </c>
      <c r="BV254" s="14" t="s">
        <v>1168</v>
      </c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R254" s="1" t="s">
        <v>152</v>
      </c>
      <c r="CS254" s="1" t="s">
        <v>121</v>
      </c>
      <c r="CT254" s="14" t="s">
        <v>122</v>
      </c>
      <c r="CU254" s="1" t="s">
        <v>167</v>
      </c>
      <c r="CV254" s="1" t="s">
        <v>139</v>
      </c>
      <c r="CW254" s="3"/>
      <c r="DG254" s="4"/>
    </row>
    <row r="255" customFormat="false" ht="11.25" hidden="false" customHeight="true" outlineLevel="0" collapsed="false">
      <c r="A255" s="14" t="n">
        <v>254</v>
      </c>
      <c r="B255" s="15" t="n">
        <v>46098.0453833565</v>
      </c>
      <c r="C255" s="15" t="n">
        <v>46098.0526865972</v>
      </c>
      <c r="D255" s="14" t="s">
        <v>1768</v>
      </c>
      <c r="E255" s="14" t="s">
        <v>1769</v>
      </c>
      <c r="F255" s="14" t="s">
        <v>1769</v>
      </c>
      <c r="G255" s="14" t="s">
        <v>1770</v>
      </c>
      <c r="H255" s="15" t="n">
        <v>46089</v>
      </c>
      <c r="I255" s="15" t="s">
        <v>107</v>
      </c>
      <c r="J255" s="14" t="s">
        <v>108</v>
      </c>
      <c r="K255" s="14" t="s">
        <v>1771</v>
      </c>
      <c r="L255" s="14" t="s">
        <v>159</v>
      </c>
      <c r="M255" s="14" t="s">
        <v>131</v>
      </c>
      <c r="N255" s="14" t="s">
        <v>112</v>
      </c>
      <c r="O255" s="14" t="s">
        <v>113</v>
      </c>
      <c r="P255" s="14" t="s">
        <v>612</v>
      </c>
      <c r="Q255" s="14" t="s">
        <v>1028</v>
      </c>
      <c r="R255" s="14"/>
      <c r="S255" s="14"/>
      <c r="T255" s="14"/>
      <c r="U255" s="14" t="s">
        <v>22</v>
      </c>
      <c r="V255" s="14"/>
      <c r="W255" s="14" t="s">
        <v>381</v>
      </c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 t="s">
        <v>463</v>
      </c>
      <c r="BR255" s="14" t="s">
        <v>1772</v>
      </c>
      <c r="BS255" s="14" t="s">
        <v>1197</v>
      </c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R255" s="1" t="s">
        <v>120</v>
      </c>
      <c r="CS255" s="1" t="s">
        <v>180</v>
      </c>
      <c r="CT255" s="14" t="s">
        <v>1773</v>
      </c>
      <c r="CU255" s="1" t="s">
        <v>123</v>
      </c>
      <c r="CV255" s="1" t="s">
        <v>124</v>
      </c>
      <c r="CW255" s="3" t="s">
        <v>1175</v>
      </c>
      <c r="DG255" s="4"/>
    </row>
    <row r="256" customFormat="false" ht="11.25" hidden="false" customHeight="true" outlineLevel="0" collapsed="false">
      <c r="A256" s="14" t="n">
        <v>255</v>
      </c>
      <c r="B256" s="15" t="n">
        <v>46044.1924609722</v>
      </c>
      <c r="C256" s="15" t="n">
        <v>46044.2102850463</v>
      </c>
      <c r="D256" s="14" t="s">
        <v>1774</v>
      </c>
      <c r="E256" s="14" t="s">
        <v>1775</v>
      </c>
      <c r="F256" s="14" t="s">
        <v>1775</v>
      </c>
      <c r="G256" s="14" t="s">
        <v>1776</v>
      </c>
      <c r="H256" s="15" t="n">
        <v>46043</v>
      </c>
      <c r="I256" s="15" t="s">
        <v>713</v>
      </c>
      <c r="J256" s="14" t="s">
        <v>108</v>
      </c>
      <c r="K256" s="14" t="s">
        <v>245</v>
      </c>
      <c r="L256" s="14" t="s">
        <v>110</v>
      </c>
      <c r="M256" s="14" t="s">
        <v>111</v>
      </c>
      <c r="N256" s="14" t="s">
        <v>112</v>
      </c>
      <c r="O256" s="14" t="s">
        <v>113</v>
      </c>
      <c r="P256" s="14" t="s">
        <v>543</v>
      </c>
      <c r="Q256" s="14" t="s">
        <v>1323</v>
      </c>
      <c r="R256" s="14"/>
      <c r="S256" s="14"/>
      <c r="T256" s="14"/>
      <c r="U256" s="14" t="s">
        <v>22</v>
      </c>
      <c r="V256" s="14"/>
      <c r="W256" s="14" t="s">
        <v>339</v>
      </c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 t="s">
        <v>1307</v>
      </c>
      <c r="BO256" s="14" t="s">
        <v>1270</v>
      </c>
      <c r="BP256" s="14" t="s">
        <v>342</v>
      </c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R256" s="1" t="s">
        <v>120</v>
      </c>
      <c r="CS256" s="1" t="s">
        <v>180</v>
      </c>
      <c r="CT256" s="14" t="s">
        <v>122</v>
      </c>
      <c r="CU256" s="1" t="s">
        <v>192</v>
      </c>
      <c r="CV256" s="1" t="s">
        <v>124</v>
      </c>
      <c r="CW256" s="3"/>
      <c r="DG256" s="4"/>
    </row>
    <row r="257" customFormat="false" ht="11.25" hidden="false" customHeight="true" outlineLevel="0" collapsed="false">
      <c r="A257" s="14" t="n">
        <v>256</v>
      </c>
      <c r="B257" s="15" t="n">
        <v>46146.0602199421</v>
      </c>
      <c r="C257" s="15" t="n">
        <v>46146.0757060532</v>
      </c>
      <c r="D257" s="14" t="s">
        <v>1777</v>
      </c>
      <c r="E257" s="14" t="s">
        <v>1778</v>
      </c>
      <c r="F257" s="14" t="s">
        <v>1779</v>
      </c>
      <c r="G257" s="14" t="s">
        <v>1780</v>
      </c>
      <c r="H257" s="15" t="n">
        <v>46140</v>
      </c>
      <c r="I257" s="15" t="s">
        <v>713</v>
      </c>
      <c r="J257" s="14" t="s">
        <v>108</v>
      </c>
      <c r="K257" s="14" t="s">
        <v>257</v>
      </c>
      <c r="L257" s="14" t="s">
        <v>159</v>
      </c>
      <c r="M257" s="14" t="s">
        <v>111</v>
      </c>
      <c r="N257" s="14" t="s">
        <v>112</v>
      </c>
      <c r="O257" s="14" t="s">
        <v>113</v>
      </c>
      <c r="P257" s="14" t="s">
        <v>1313</v>
      </c>
      <c r="Q257" s="14" t="s">
        <v>1781</v>
      </c>
      <c r="R257" s="14"/>
      <c r="S257" s="14"/>
      <c r="T257" s="14"/>
      <c r="U257" s="14" t="s">
        <v>21</v>
      </c>
      <c r="V257" s="14" t="s">
        <v>348</v>
      </c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 t="s">
        <v>1782</v>
      </c>
      <c r="BC257" s="14" t="s">
        <v>350</v>
      </c>
      <c r="BD257" s="14" t="s">
        <v>1783</v>
      </c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R257" s="1" t="s">
        <v>152</v>
      </c>
      <c r="CS257" s="1" t="s">
        <v>180</v>
      </c>
      <c r="CT257" s="14" t="s">
        <v>122</v>
      </c>
      <c r="CU257" s="1" t="s">
        <v>192</v>
      </c>
      <c r="CV257" s="1" t="s">
        <v>124</v>
      </c>
      <c r="CW257" s="3"/>
      <c r="DG257" s="4"/>
    </row>
    <row r="258" customFormat="false" ht="11.25" hidden="false" customHeight="true" outlineLevel="0" collapsed="false">
      <c r="A258" s="14" t="n">
        <v>257</v>
      </c>
      <c r="B258" s="15" t="n">
        <v>46144.2345537269</v>
      </c>
      <c r="C258" s="15" t="n">
        <v>46144.2491949306</v>
      </c>
      <c r="D258" s="14" t="s">
        <v>1784</v>
      </c>
      <c r="E258" s="14" t="s">
        <v>1785</v>
      </c>
      <c r="F258" s="14" t="s">
        <v>1785</v>
      </c>
      <c r="G258" s="14" t="s">
        <v>1786</v>
      </c>
      <c r="H258" s="15" t="n">
        <v>46138</v>
      </c>
      <c r="I258" s="15" t="s">
        <v>405</v>
      </c>
      <c r="J258" s="14" t="s">
        <v>295</v>
      </c>
      <c r="K258" s="14" t="s">
        <v>1787</v>
      </c>
      <c r="L258" s="14" t="s">
        <v>110</v>
      </c>
      <c r="M258" s="14" t="s">
        <v>111</v>
      </c>
      <c r="N258" s="14" t="s">
        <v>112</v>
      </c>
      <c r="O258" s="14" t="s">
        <v>113</v>
      </c>
      <c r="P258" s="14" t="s">
        <v>160</v>
      </c>
      <c r="Q258" s="14" t="s">
        <v>469</v>
      </c>
      <c r="R258" s="14"/>
      <c r="S258" s="14"/>
      <c r="T258" s="14"/>
      <c r="U258" s="14" t="s">
        <v>22</v>
      </c>
      <c r="V258" s="14"/>
      <c r="W258" s="14" t="s">
        <v>271</v>
      </c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 t="s">
        <v>1788</v>
      </c>
      <c r="BL258" s="14" t="s">
        <v>1180</v>
      </c>
      <c r="BM258" s="14" t="s">
        <v>274</v>
      </c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R258" s="1" t="s">
        <v>152</v>
      </c>
      <c r="CS258" s="1" t="s">
        <v>121</v>
      </c>
      <c r="CT258" s="14"/>
      <c r="CU258" s="1" t="s">
        <v>192</v>
      </c>
      <c r="CV258" s="1" t="s">
        <v>124</v>
      </c>
      <c r="CW258" s="3"/>
      <c r="DG258" s="4"/>
    </row>
    <row r="259" customFormat="false" ht="11.25" hidden="false" customHeight="true" outlineLevel="0" collapsed="false">
      <c r="A259" s="14" t="n">
        <v>258</v>
      </c>
      <c r="B259" s="15" t="n">
        <v>46213.1139051505</v>
      </c>
      <c r="C259" s="15" t="n">
        <v>46213.1328287616</v>
      </c>
      <c r="D259" s="14" t="s">
        <v>1789</v>
      </c>
      <c r="E259" s="14" t="s">
        <v>1790</v>
      </c>
      <c r="F259" s="14" t="s">
        <v>1790</v>
      </c>
      <c r="G259" s="14" t="s">
        <v>1791</v>
      </c>
      <c r="H259" s="15" t="n">
        <v>46208</v>
      </c>
      <c r="I259" s="15" t="s">
        <v>278</v>
      </c>
      <c r="J259" s="14" t="s">
        <v>108</v>
      </c>
      <c r="K259" s="14" t="s">
        <v>1792</v>
      </c>
      <c r="L259" s="14" t="s">
        <v>491</v>
      </c>
      <c r="M259" s="14" t="s">
        <v>111</v>
      </c>
      <c r="N259" s="14" t="s">
        <v>112</v>
      </c>
      <c r="O259" s="14" t="s">
        <v>113</v>
      </c>
      <c r="P259" s="14" t="s">
        <v>797</v>
      </c>
      <c r="Q259" s="14" t="s">
        <v>1622</v>
      </c>
      <c r="R259" s="14"/>
      <c r="S259" s="14"/>
      <c r="T259" s="14"/>
      <c r="U259" s="14" t="s">
        <v>22</v>
      </c>
      <c r="V259" s="14"/>
      <c r="W259" s="14" t="s">
        <v>271</v>
      </c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 t="s">
        <v>1179</v>
      </c>
      <c r="BL259" s="14" t="s">
        <v>1121</v>
      </c>
      <c r="BM259" s="14" t="s">
        <v>319</v>
      </c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R259" s="1" t="s">
        <v>120</v>
      </c>
      <c r="CS259" s="1" t="s">
        <v>352</v>
      </c>
      <c r="CT259" s="14" t="s">
        <v>122</v>
      </c>
      <c r="CU259" s="1" t="s">
        <v>123</v>
      </c>
      <c r="CV259" s="1" t="s">
        <v>124</v>
      </c>
      <c r="CW259" s="3"/>
      <c r="DG259" s="4"/>
    </row>
    <row r="260" customFormat="false" ht="11.25" hidden="false" customHeight="true" outlineLevel="0" collapsed="false">
      <c r="A260" s="14" t="n">
        <v>259</v>
      </c>
      <c r="B260" s="15" t="n">
        <v>46162.9640023611</v>
      </c>
      <c r="C260" s="15" t="n">
        <v>46162.9814444907</v>
      </c>
      <c r="D260" s="14" t="s">
        <v>1793</v>
      </c>
      <c r="E260" s="14" t="s">
        <v>1794</v>
      </c>
      <c r="F260" s="14" t="s">
        <v>1794</v>
      </c>
      <c r="G260" s="14" t="s">
        <v>1795</v>
      </c>
      <c r="H260" s="15" t="n">
        <v>46159</v>
      </c>
      <c r="I260" s="15" t="s">
        <v>172</v>
      </c>
      <c r="J260" s="14" t="s">
        <v>108</v>
      </c>
      <c r="K260" s="14" t="s">
        <v>257</v>
      </c>
      <c r="L260" s="14" t="s">
        <v>491</v>
      </c>
      <c r="M260" s="14" t="s">
        <v>111</v>
      </c>
      <c r="N260" s="14" t="s">
        <v>247</v>
      </c>
      <c r="O260" s="14" t="s">
        <v>1333</v>
      </c>
      <c r="P260" s="14" t="s">
        <v>515</v>
      </c>
      <c r="Q260" s="14" t="s">
        <v>270</v>
      </c>
      <c r="R260" s="14"/>
      <c r="S260" s="14"/>
      <c r="T260" s="14"/>
      <c r="U260" s="14" t="s">
        <v>24</v>
      </c>
      <c r="V260" s="14"/>
      <c r="W260" s="14"/>
      <c r="X260" s="14"/>
      <c r="Y260" s="14" t="s">
        <v>260</v>
      </c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 t="s">
        <v>1796</v>
      </c>
      <c r="CG260" s="14" t="s">
        <v>262</v>
      </c>
      <c r="CH260" s="14" t="s">
        <v>1134</v>
      </c>
      <c r="CI260" s="14"/>
      <c r="CJ260" s="14"/>
      <c r="CK260" s="14"/>
      <c r="CL260" s="14"/>
      <c r="CR260" s="1" t="s">
        <v>120</v>
      </c>
      <c r="CS260" s="1" t="s">
        <v>121</v>
      </c>
      <c r="CT260" s="14" t="s">
        <v>122</v>
      </c>
      <c r="CU260" s="1" t="s">
        <v>167</v>
      </c>
      <c r="CV260" s="1" t="s">
        <v>168</v>
      </c>
      <c r="CW260" s="3"/>
      <c r="DG260" s="4"/>
    </row>
    <row r="261" customFormat="false" ht="11.25" hidden="false" customHeight="true" outlineLevel="0" collapsed="false">
      <c r="A261" s="14" t="n">
        <v>260</v>
      </c>
      <c r="B261" s="15" t="n">
        <v>46101.861832662</v>
      </c>
      <c r="C261" s="15" t="n">
        <v>46101.8667400695</v>
      </c>
      <c r="D261" s="14" t="s">
        <v>1797</v>
      </c>
      <c r="E261" s="14" t="s">
        <v>1798</v>
      </c>
      <c r="F261" s="14" t="s">
        <v>1798</v>
      </c>
      <c r="G261" s="14" t="s">
        <v>1799</v>
      </c>
      <c r="H261" s="15" t="n">
        <v>46081</v>
      </c>
      <c r="I261" s="15" t="s">
        <v>278</v>
      </c>
      <c r="J261" s="14" t="s">
        <v>128</v>
      </c>
      <c r="K261" s="14" t="s">
        <v>196</v>
      </c>
      <c r="L261" s="14" t="s">
        <v>286</v>
      </c>
      <c r="M261" s="14" t="s">
        <v>111</v>
      </c>
      <c r="N261" s="14" t="s">
        <v>145</v>
      </c>
      <c r="O261" s="14" t="s">
        <v>325</v>
      </c>
      <c r="P261" s="14" t="s">
        <v>515</v>
      </c>
      <c r="Q261" s="14" t="s">
        <v>407</v>
      </c>
      <c r="R261" s="14"/>
      <c r="S261" s="14"/>
      <c r="T261" s="14"/>
      <c r="U261" s="14" t="s">
        <v>22</v>
      </c>
      <c r="V261" s="14"/>
      <c r="W261" s="14" t="s">
        <v>339</v>
      </c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 t="s">
        <v>1800</v>
      </c>
      <c r="BO261" s="14" t="s">
        <v>1173</v>
      </c>
      <c r="BP261" s="14" t="s">
        <v>1801</v>
      </c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R261" s="1" t="s">
        <v>120</v>
      </c>
      <c r="CS261" s="1" t="s">
        <v>121</v>
      </c>
      <c r="CT261" s="14"/>
      <c r="CU261" s="1" t="s">
        <v>167</v>
      </c>
      <c r="CV261" s="1" t="s">
        <v>124</v>
      </c>
      <c r="CW261" s="3"/>
      <c r="DG261" s="4"/>
    </row>
    <row r="262" customFormat="false" ht="11.25" hidden="false" customHeight="true" outlineLevel="0" collapsed="false">
      <c r="A262" s="14" t="n">
        <v>261</v>
      </c>
      <c r="B262" s="15" t="n">
        <v>46175.1642020949</v>
      </c>
      <c r="C262" s="15" t="n">
        <v>46175.1711465394</v>
      </c>
      <c r="D262" s="14" t="s">
        <v>1802</v>
      </c>
      <c r="E262" s="14" t="s">
        <v>1803</v>
      </c>
      <c r="F262" s="14" t="s">
        <v>1803</v>
      </c>
      <c r="G262" s="14" t="s">
        <v>1804</v>
      </c>
      <c r="H262" s="15" t="n">
        <v>46162</v>
      </c>
      <c r="I262" s="15" t="s">
        <v>157</v>
      </c>
      <c r="J262" s="14" t="s">
        <v>108</v>
      </c>
      <c r="K262" s="14" t="s">
        <v>257</v>
      </c>
      <c r="L262" s="14" t="s">
        <v>346</v>
      </c>
      <c r="M262" s="14" t="s">
        <v>111</v>
      </c>
      <c r="N262" s="14" t="s">
        <v>112</v>
      </c>
      <c r="O262" s="14" t="s">
        <v>113</v>
      </c>
      <c r="P262" s="14" t="s">
        <v>130</v>
      </c>
      <c r="Q262" s="14" t="s">
        <v>606</v>
      </c>
      <c r="R262" s="14"/>
      <c r="S262" s="14"/>
      <c r="T262" s="14"/>
      <c r="U262" s="14" t="s">
        <v>22</v>
      </c>
      <c r="V262" s="14"/>
      <c r="W262" s="14" t="s">
        <v>135</v>
      </c>
      <c r="X262" s="14"/>
      <c r="Y262" s="14"/>
      <c r="Z262" s="14"/>
      <c r="AA262" s="14" t="s">
        <v>1805</v>
      </c>
      <c r="AB262" s="14" t="s">
        <v>1806</v>
      </c>
      <c r="AC262" s="14" t="s">
        <v>1807</v>
      </c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R262" s="1" t="s">
        <v>152</v>
      </c>
      <c r="CS262" s="1" t="s">
        <v>121</v>
      </c>
      <c r="CT262" s="14"/>
      <c r="CU262" s="1" t="s">
        <v>123</v>
      </c>
      <c r="CV262" s="1" t="s">
        <v>124</v>
      </c>
      <c r="CW262" s="3"/>
      <c r="DG262" s="4"/>
    </row>
    <row r="263" customFormat="false" ht="11.25" hidden="false" customHeight="true" outlineLevel="0" collapsed="false">
      <c r="A263" s="14" t="n">
        <v>262</v>
      </c>
      <c r="B263" s="15" t="n">
        <v>46093.9840455093</v>
      </c>
      <c r="C263" s="15" t="n">
        <v>46093.9973209722</v>
      </c>
      <c r="D263" s="14" t="s">
        <v>1808</v>
      </c>
      <c r="E263" s="14" t="s">
        <v>1809</v>
      </c>
      <c r="F263" s="14" t="s">
        <v>1809</v>
      </c>
      <c r="G263" s="14" t="s">
        <v>1810</v>
      </c>
      <c r="H263" s="15" t="n">
        <v>46091</v>
      </c>
      <c r="I263" s="15" t="s">
        <v>278</v>
      </c>
      <c r="J263" s="14" t="s">
        <v>128</v>
      </c>
      <c r="K263" s="14" t="s">
        <v>1811</v>
      </c>
      <c r="L263" s="14" t="s">
        <v>110</v>
      </c>
      <c r="M263" s="14" t="s">
        <v>111</v>
      </c>
      <c r="N263" s="14" t="s">
        <v>112</v>
      </c>
      <c r="O263" s="14" t="s">
        <v>113</v>
      </c>
      <c r="P263" s="14" t="s">
        <v>594</v>
      </c>
      <c r="Q263" s="14" t="s">
        <v>905</v>
      </c>
      <c r="R263" s="14"/>
      <c r="S263" s="14"/>
      <c r="T263" s="14"/>
      <c r="U263" s="14" t="s">
        <v>22</v>
      </c>
      <c r="V263" s="14"/>
      <c r="W263" s="14" t="s">
        <v>715</v>
      </c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 t="s">
        <v>730</v>
      </c>
      <c r="BI263" s="14" t="s">
        <v>992</v>
      </c>
      <c r="BJ263" s="14" t="s">
        <v>1812</v>
      </c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R263" s="1" t="s">
        <v>152</v>
      </c>
      <c r="CS263" s="1" t="s">
        <v>121</v>
      </c>
      <c r="CT263" s="14" t="s">
        <v>1813</v>
      </c>
      <c r="CU263" s="1" t="s">
        <v>167</v>
      </c>
      <c r="CV263" s="1" t="s">
        <v>168</v>
      </c>
      <c r="CW263" s="3"/>
      <c r="CY263" s="3" t="s">
        <v>205</v>
      </c>
      <c r="DG263" s="4"/>
    </row>
    <row r="264" customFormat="false" ht="11.25" hidden="false" customHeight="true" outlineLevel="0" collapsed="false">
      <c r="A264" s="14" t="n">
        <v>263</v>
      </c>
      <c r="B264" s="15" t="n">
        <v>46048.6846316435</v>
      </c>
      <c r="C264" s="15" t="n">
        <v>46048.689550625</v>
      </c>
      <c r="D264" s="14" t="s">
        <v>1814</v>
      </c>
      <c r="E264" s="14" t="s">
        <v>1815</v>
      </c>
      <c r="F264" s="14" t="s">
        <v>1815</v>
      </c>
      <c r="G264" s="14" t="s">
        <v>1816</v>
      </c>
      <c r="H264" s="15" t="n">
        <v>46042</v>
      </c>
      <c r="I264" s="15" t="s">
        <v>172</v>
      </c>
      <c r="J264" s="14" t="s">
        <v>108</v>
      </c>
      <c r="K264" s="14" t="s">
        <v>196</v>
      </c>
      <c r="L264" s="14" t="s">
        <v>296</v>
      </c>
      <c r="M264" s="14" t="s">
        <v>111</v>
      </c>
      <c r="N264" s="14" t="s">
        <v>112</v>
      </c>
      <c r="O264" s="14" t="s">
        <v>132</v>
      </c>
      <c r="P264" s="14" t="s">
        <v>1074</v>
      </c>
      <c r="Q264" s="14" t="s">
        <v>552</v>
      </c>
      <c r="R264" s="14"/>
      <c r="S264" s="14"/>
      <c r="T264" s="14"/>
      <c r="U264" s="14" t="s">
        <v>24</v>
      </c>
      <c r="V264" s="14"/>
      <c r="W264" s="14"/>
      <c r="X264" s="14"/>
      <c r="Y264" s="14" t="s">
        <v>214</v>
      </c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 t="s">
        <v>886</v>
      </c>
      <c r="CD264" s="14" t="s">
        <v>608</v>
      </c>
      <c r="CE264" s="14" t="s">
        <v>1817</v>
      </c>
      <c r="CF264" s="14"/>
      <c r="CG264" s="14"/>
      <c r="CH264" s="14"/>
      <c r="CI264" s="14"/>
      <c r="CJ264" s="14"/>
      <c r="CK264" s="14"/>
      <c r="CL264" s="14"/>
      <c r="CR264" s="1" t="s">
        <v>152</v>
      </c>
      <c r="CS264" s="1" t="s">
        <v>352</v>
      </c>
      <c r="CT264" s="14" t="s">
        <v>122</v>
      </c>
      <c r="CU264" s="1" t="s">
        <v>123</v>
      </c>
      <c r="CV264" s="1" t="s">
        <v>124</v>
      </c>
      <c r="CW264" s="3"/>
      <c r="DG264" s="4"/>
    </row>
    <row r="265" customFormat="false" ht="11.25" hidden="false" customHeight="true" outlineLevel="0" collapsed="false">
      <c r="A265" s="14" t="n">
        <v>264</v>
      </c>
      <c r="B265" s="15" t="n">
        <v>46210.4328554745</v>
      </c>
      <c r="C265" s="15" t="n">
        <v>46210.4506101042</v>
      </c>
      <c r="D265" s="14" t="s">
        <v>1818</v>
      </c>
      <c r="E265" s="14" t="s">
        <v>1819</v>
      </c>
      <c r="F265" s="14" t="s">
        <v>1819</v>
      </c>
      <c r="G265" s="14" t="s">
        <v>1820</v>
      </c>
      <c r="H265" s="15" t="n">
        <v>46192</v>
      </c>
      <c r="I265" s="15" t="s">
        <v>107</v>
      </c>
      <c r="J265" s="14" t="s">
        <v>295</v>
      </c>
      <c r="K265" s="14" t="s">
        <v>364</v>
      </c>
      <c r="L265" s="14" t="s">
        <v>144</v>
      </c>
      <c r="M265" s="14" t="s">
        <v>111</v>
      </c>
      <c r="N265" s="14" t="s">
        <v>145</v>
      </c>
      <c r="O265" s="14" t="s">
        <v>305</v>
      </c>
      <c r="P265" s="14" t="s">
        <v>133</v>
      </c>
      <c r="Q265" s="14" t="s">
        <v>1441</v>
      </c>
      <c r="R265" s="14"/>
      <c r="S265" s="14"/>
      <c r="T265" s="14"/>
      <c r="U265" s="14" t="s">
        <v>25</v>
      </c>
      <c r="V265" s="14"/>
      <c r="W265" s="14"/>
      <c r="X265" s="14"/>
      <c r="Y265" s="14"/>
      <c r="Z265" s="14" t="s">
        <v>327</v>
      </c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 t="s">
        <v>1513</v>
      </c>
      <c r="CJ265" s="14" t="s">
        <v>434</v>
      </c>
      <c r="CK265" s="14" t="s">
        <v>620</v>
      </c>
      <c r="CL265" s="14"/>
      <c r="CR265" s="1" t="s">
        <v>152</v>
      </c>
      <c r="CS265" s="1" t="s">
        <v>121</v>
      </c>
      <c r="CT265" s="14" t="s">
        <v>1821</v>
      </c>
      <c r="CU265" s="1" t="s">
        <v>123</v>
      </c>
      <c r="CV265" s="1" t="s">
        <v>124</v>
      </c>
      <c r="CW265" s="3"/>
      <c r="DG265" s="4"/>
    </row>
    <row r="266" customFormat="false" ht="11.25" hidden="false" customHeight="true" outlineLevel="0" collapsed="false">
      <c r="A266" s="14" t="n">
        <v>265</v>
      </c>
      <c r="B266" s="15" t="n">
        <v>46090.3137749769</v>
      </c>
      <c r="C266" s="15" t="n">
        <v>46090.3157888657</v>
      </c>
      <c r="D266" s="14" t="s">
        <v>1822</v>
      </c>
      <c r="E266" s="14" t="s">
        <v>1823</v>
      </c>
      <c r="F266" s="14" t="s">
        <v>1823</v>
      </c>
      <c r="G266" s="14" t="s">
        <v>1824</v>
      </c>
      <c r="H266" s="15" t="n">
        <v>46078</v>
      </c>
      <c r="I266" s="15" t="s">
        <v>107</v>
      </c>
      <c r="J266" s="14" t="s">
        <v>108</v>
      </c>
      <c r="K266" s="14" t="s">
        <v>462</v>
      </c>
      <c r="L266" s="14" t="s">
        <v>296</v>
      </c>
      <c r="M266" s="14" t="s">
        <v>111</v>
      </c>
      <c r="N266" s="14" t="s">
        <v>112</v>
      </c>
      <c r="O266" s="14" t="s">
        <v>113</v>
      </c>
      <c r="P266" s="14" t="s">
        <v>406</v>
      </c>
      <c r="Q266" s="14" t="s">
        <v>701</v>
      </c>
      <c r="R266" s="14"/>
      <c r="S266" s="14"/>
      <c r="T266" s="14"/>
      <c r="U266" s="14" t="s">
        <v>22</v>
      </c>
      <c r="V266" s="14"/>
      <c r="W266" s="14" t="s">
        <v>148</v>
      </c>
      <c r="X266" s="14"/>
      <c r="Y266" s="14"/>
      <c r="Z266" s="14"/>
      <c r="AA266" s="14"/>
      <c r="AB266" s="14"/>
      <c r="AC266" s="14"/>
      <c r="AD266" s="14" t="s">
        <v>149</v>
      </c>
      <c r="AE266" s="14" t="s">
        <v>1825</v>
      </c>
      <c r="AF266" s="14" t="s">
        <v>1826</v>
      </c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R266" s="1" t="s">
        <v>120</v>
      </c>
      <c r="CS266" s="1" t="s">
        <v>121</v>
      </c>
      <c r="CT266" s="14" t="s">
        <v>1641</v>
      </c>
      <c r="CU266" s="1" t="s">
        <v>192</v>
      </c>
      <c r="CV266" s="1" t="s">
        <v>124</v>
      </c>
      <c r="CW266" s="3" t="s">
        <v>219</v>
      </c>
      <c r="DG266" s="4"/>
    </row>
    <row r="267" customFormat="false" ht="11.25" hidden="false" customHeight="true" outlineLevel="0" collapsed="false">
      <c r="A267" s="14" t="n">
        <v>266</v>
      </c>
      <c r="B267" s="15" t="n">
        <v>46156.118534213</v>
      </c>
      <c r="C267" s="15" t="n">
        <v>46156.1307911574</v>
      </c>
      <c r="D267" s="14" t="s">
        <v>1827</v>
      </c>
      <c r="E267" s="14" t="s">
        <v>1828</v>
      </c>
      <c r="F267" s="14" t="s">
        <v>1828</v>
      </c>
      <c r="G267" s="14" t="s">
        <v>1829</v>
      </c>
      <c r="H267" s="15" t="n">
        <v>46152</v>
      </c>
      <c r="I267" s="15" t="s">
        <v>172</v>
      </c>
      <c r="J267" s="14" t="s">
        <v>295</v>
      </c>
      <c r="K267" s="14" t="s">
        <v>143</v>
      </c>
      <c r="L267" s="14" t="s">
        <v>233</v>
      </c>
      <c r="M267" s="14" t="s">
        <v>111</v>
      </c>
      <c r="N267" s="14" t="s">
        <v>112</v>
      </c>
      <c r="O267" s="14" t="s">
        <v>113</v>
      </c>
      <c r="P267" s="14" t="s">
        <v>160</v>
      </c>
      <c r="Q267" s="14" t="s">
        <v>1628</v>
      </c>
      <c r="R267" s="14"/>
      <c r="S267" s="14"/>
      <c r="T267" s="14"/>
      <c r="U267" s="14" t="s">
        <v>21</v>
      </c>
      <c r="V267" s="14" t="s">
        <v>1830</v>
      </c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 t="s">
        <v>1831</v>
      </c>
      <c r="AH267" s="14" t="s">
        <v>1832</v>
      </c>
      <c r="AI267" s="14" t="s">
        <v>1833</v>
      </c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R267" s="1" t="s">
        <v>152</v>
      </c>
      <c r="CS267" s="1" t="s">
        <v>264</v>
      </c>
      <c r="CT267" s="14" t="s">
        <v>1063</v>
      </c>
      <c r="CU267" s="1" t="s">
        <v>123</v>
      </c>
      <c r="CV267" s="1" t="s">
        <v>124</v>
      </c>
      <c r="CW267" s="3"/>
      <c r="DG267" s="4"/>
    </row>
    <row r="268" customFormat="false" ht="11.25" hidden="false" customHeight="true" outlineLevel="0" collapsed="false">
      <c r="A268" s="14" t="n">
        <v>267</v>
      </c>
      <c r="B268" s="15" t="n">
        <v>46099.8497530324</v>
      </c>
      <c r="C268" s="15" t="n">
        <v>46099.8521720139</v>
      </c>
      <c r="D268" s="14" t="s">
        <v>1834</v>
      </c>
      <c r="E268" s="14" t="s">
        <v>1835</v>
      </c>
      <c r="F268" s="14" t="s">
        <v>1835</v>
      </c>
      <c r="G268" s="14" t="s">
        <v>1836</v>
      </c>
      <c r="H268" s="15" t="n">
        <v>46094</v>
      </c>
      <c r="I268" s="15" t="s">
        <v>107</v>
      </c>
      <c r="J268" s="14" t="s">
        <v>108</v>
      </c>
      <c r="K268" s="14" t="s">
        <v>158</v>
      </c>
      <c r="L268" s="14" t="s">
        <v>110</v>
      </c>
      <c r="M268" s="14" t="s">
        <v>111</v>
      </c>
      <c r="N268" s="14" t="s">
        <v>145</v>
      </c>
      <c r="O268" s="14" t="s">
        <v>113</v>
      </c>
      <c r="P268" s="14" t="s">
        <v>973</v>
      </c>
      <c r="Q268" s="14" t="s">
        <v>701</v>
      </c>
      <c r="R268" s="14"/>
      <c r="S268" s="14"/>
      <c r="T268" s="14"/>
      <c r="U268" s="14" t="s">
        <v>25</v>
      </c>
      <c r="V268" s="14"/>
      <c r="W268" s="14"/>
      <c r="X268" s="14"/>
      <c r="Y268" s="14"/>
      <c r="Z268" s="14" t="s">
        <v>1712</v>
      </c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O268" s="1" t="s">
        <v>1837</v>
      </c>
      <c r="CP268" s="1" t="s">
        <v>1838</v>
      </c>
      <c r="CQ268" s="1" t="s">
        <v>1743</v>
      </c>
      <c r="CR268" s="1" t="s">
        <v>152</v>
      </c>
      <c r="CS268" s="1" t="s">
        <v>121</v>
      </c>
      <c r="CT268" s="14"/>
      <c r="CU268" s="1" t="s">
        <v>192</v>
      </c>
      <c r="CV268" s="1" t="s">
        <v>124</v>
      </c>
      <c r="CW268" s="3"/>
      <c r="DG268" s="4"/>
    </row>
    <row r="269" customFormat="false" ht="11.25" hidden="false" customHeight="true" outlineLevel="0" collapsed="false">
      <c r="A269" s="14" t="n">
        <v>268</v>
      </c>
      <c r="B269" s="15" t="n">
        <v>46206.7773010764</v>
      </c>
      <c r="C269" s="15" t="n">
        <v>46206.7832964468</v>
      </c>
      <c r="D269" s="14" t="s">
        <v>1839</v>
      </c>
      <c r="E269" s="14" t="s">
        <v>1840</v>
      </c>
      <c r="F269" s="14" t="s">
        <v>1841</v>
      </c>
      <c r="G269" s="14" t="s">
        <v>1842</v>
      </c>
      <c r="H269" s="15" t="n">
        <v>46198</v>
      </c>
      <c r="I269" s="15" t="s">
        <v>107</v>
      </c>
      <c r="J269" s="14" t="s">
        <v>128</v>
      </c>
      <c r="K269" s="14" t="s">
        <v>196</v>
      </c>
      <c r="L269" s="14" t="s">
        <v>389</v>
      </c>
      <c r="M269" s="14" t="s">
        <v>111</v>
      </c>
      <c r="N269" s="14" t="s">
        <v>112</v>
      </c>
      <c r="O269" s="14" t="s">
        <v>113</v>
      </c>
      <c r="P269" s="14" t="s">
        <v>1380</v>
      </c>
      <c r="Q269" s="14" t="s">
        <v>1224</v>
      </c>
      <c r="R269" s="14"/>
      <c r="S269" s="14"/>
      <c r="T269" s="14"/>
      <c r="U269" s="14" t="s">
        <v>22</v>
      </c>
      <c r="V269" s="14"/>
      <c r="W269" s="14" t="s">
        <v>715</v>
      </c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 t="s">
        <v>1843</v>
      </c>
      <c r="BI269" s="14" t="s">
        <v>992</v>
      </c>
      <c r="BJ269" s="14" t="s">
        <v>1844</v>
      </c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R269" s="1" t="s">
        <v>152</v>
      </c>
      <c r="CS269" s="1" t="s">
        <v>121</v>
      </c>
      <c r="CT269" s="14"/>
      <c r="CU269" s="1" t="s">
        <v>192</v>
      </c>
      <c r="CV269" s="1" t="s">
        <v>124</v>
      </c>
      <c r="CW269" s="3"/>
      <c r="DG269" s="4"/>
    </row>
    <row r="270" customFormat="false" ht="11.25" hidden="false" customHeight="true" outlineLevel="0" collapsed="false">
      <c r="A270" s="14" t="n">
        <v>269</v>
      </c>
      <c r="B270" s="15" t="n">
        <v>46087.796863287</v>
      </c>
      <c r="C270" s="15" t="n">
        <v>46087.7990623611</v>
      </c>
      <c r="D270" s="14" t="s">
        <v>1845</v>
      </c>
      <c r="E270" s="14" t="s">
        <v>1846</v>
      </c>
      <c r="F270" s="14" t="s">
        <v>1846</v>
      </c>
      <c r="G270" s="14" t="s">
        <v>1847</v>
      </c>
      <c r="H270" s="15" t="n">
        <v>46073</v>
      </c>
      <c r="I270" s="15" t="s">
        <v>244</v>
      </c>
      <c r="J270" s="14" t="s">
        <v>295</v>
      </c>
      <c r="K270" s="14" t="s">
        <v>462</v>
      </c>
      <c r="L270" s="14" t="s">
        <v>210</v>
      </c>
      <c r="M270" s="14" t="s">
        <v>111</v>
      </c>
      <c r="N270" s="14" t="s">
        <v>112</v>
      </c>
      <c r="O270" s="14" t="s">
        <v>113</v>
      </c>
      <c r="P270" s="14" t="s">
        <v>686</v>
      </c>
      <c r="Q270" s="14" t="s">
        <v>552</v>
      </c>
      <c r="R270" s="14"/>
      <c r="S270" s="14"/>
      <c r="T270" s="14"/>
      <c r="U270" s="14" t="s">
        <v>22</v>
      </c>
      <c r="V270" s="14"/>
      <c r="W270" s="14" t="s">
        <v>176</v>
      </c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 t="s">
        <v>1545</v>
      </c>
      <c r="AZ270" s="14" t="s">
        <v>1848</v>
      </c>
      <c r="BA270" s="14" t="s">
        <v>1849</v>
      </c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R270" s="1" t="s">
        <v>152</v>
      </c>
      <c r="CS270" s="1" t="s">
        <v>400</v>
      </c>
      <c r="CT270" s="14"/>
      <c r="CU270" s="1" t="s">
        <v>192</v>
      </c>
      <c r="CV270" s="1" t="s">
        <v>124</v>
      </c>
      <c r="CW270" s="3"/>
      <c r="DG270" s="4"/>
    </row>
    <row r="271" customFormat="false" ht="11.25" hidden="false" customHeight="true" outlineLevel="0" collapsed="false">
      <c r="A271" s="14" t="n">
        <v>270</v>
      </c>
      <c r="B271" s="15" t="n">
        <v>46186.2349596412</v>
      </c>
      <c r="C271" s="15" t="n">
        <v>46186.2403184375</v>
      </c>
      <c r="D271" s="14" t="s">
        <v>1850</v>
      </c>
      <c r="E271" s="14" t="s">
        <v>1851</v>
      </c>
      <c r="F271" s="14" t="s">
        <v>1851</v>
      </c>
      <c r="G271" s="14" t="s">
        <v>1852</v>
      </c>
      <c r="H271" s="15" t="n">
        <v>46173</v>
      </c>
      <c r="I271" s="15" t="s">
        <v>244</v>
      </c>
      <c r="J271" s="14" t="s">
        <v>295</v>
      </c>
      <c r="K271" s="14" t="s">
        <v>143</v>
      </c>
      <c r="L271" s="14" t="s">
        <v>286</v>
      </c>
      <c r="M271" s="14" t="s">
        <v>211</v>
      </c>
      <c r="N271" s="14" t="s">
        <v>112</v>
      </c>
      <c r="O271" s="14" t="s">
        <v>113</v>
      </c>
      <c r="P271" s="14" t="s">
        <v>114</v>
      </c>
      <c r="Q271" s="14" t="s">
        <v>625</v>
      </c>
      <c r="R271" s="14"/>
      <c r="S271" s="14"/>
      <c r="T271" s="14"/>
      <c r="U271" s="14" t="s">
        <v>21</v>
      </c>
      <c r="V271" s="14" t="s">
        <v>250</v>
      </c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 t="s">
        <v>162</v>
      </c>
      <c r="BF271" s="14" t="s">
        <v>163</v>
      </c>
      <c r="BG271" s="14" t="s">
        <v>1737</v>
      </c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R271" s="1" t="s">
        <v>152</v>
      </c>
      <c r="CS271" s="1" t="s">
        <v>180</v>
      </c>
      <c r="CT271" s="14" t="s">
        <v>122</v>
      </c>
      <c r="CU271" s="1" t="s">
        <v>123</v>
      </c>
      <c r="CV271" s="1" t="s">
        <v>168</v>
      </c>
      <c r="CW271" s="3"/>
      <c r="DG271" s="4"/>
    </row>
    <row r="272" customFormat="false" ht="11.25" hidden="false" customHeight="true" outlineLevel="0" collapsed="false">
      <c r="A272" s="14" t="n">
        <v>271</v>
      </c>
      <c r="B272" s="15" t="n">
        <v>46142.8183093171</v>
      </c>
      <c r="C272" s="15" t="n">
        <v>46142.8221056134</v>
      </c>
      <c r="D272" s="14" t="s">
        <v>1853</v>
      </c>
      <c r="E272" s="14" t="s">
        <v>1854</v>
      </c>
      <c r="F272" s="14" t="s">
        <v>1854</v>
      </c>
      <c r="G272" s="14" t="s">
        <v>1855</v>
      </c>
      <c r="H272" s="15" t="n">
        <v>46124</v>
      </c>
      <c r="I272" s="15" t="s">
        <v>107</v>
      </c>
      <c r="J272" s="14" t="s">
        <v>128</v>
      </c>
      <c r="K272" s="14" t="s">
        <v>245</v>
      </c>
      <c r="L272" s="14" t="s">
        <v>431</v>
      </c>
      <c r="M272" s="14" t="s">
        <v>111</v>
      </c>
      <c r="N272" s="14" t="s">
        <v>112</v>
      </c>
      <c r="O272" s="14" t="s">
        <v>305</v>
      </c>
      <c r="P272" s="14" t="s">
        <v>391</v>
      </c>
      <c r="Q272" s="14" t="s">
        <v>280</v>
      </c>
      <c r="R272" s="14"/>
      <c r="S272" s="14"/>
      <c r="T272" s="14"/>
      <c r="U272" s="14" t="s">
        <v>22</v>
      </c>
      <c r="V272" s="14"/>
      <c r="W272" s="14" t="s">
        <v>271</v>
      </c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 t="s">
        <v>1726</v>
      </c>
      <c r="BL272" s="14" t="s">
        <v>1301</v>
      </c>
      <c r="BM272" s="14" t="s">
        <v>724</v>
      </c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R272" s="1" t="s">
        <v>152</v>
      </c>
      <c r="CS272" s="1" t="s">
        <v>352</v>
      </c>
      <c r="CT272" s="14"/>
      <c r="CU272" s="1" t="s">
        <v>123</v>
      </c>
      <c r="CV272" s="1" t="s">
        <v>124</v>
      </c>
      <c r="CW272" s="3"/>
      <c r="DG272" s="4"/>
    </row>
    <row r="273" customFormat="false" ht="11.25" hidden="false" customHeight="true" outlineLevel="0" collapsed="false">
      <c r="A273" s="14" t="n">
        <v>272</v>
      </c>
      <c r="B273" s="15" t="n">
        <v>46185.5459886343</v>
      </c>
      <c r="C273" s="15" t="n">
        <v>46185.5521576157</v>
      </c>
      <c r="D273" s="14" t="s">
        <v>1856</v>
      </c>
      <c r="E273" s="14" t="s">
        <v>1857</v>
      </c>
      <c r="F273" s="14" t="s">
        <v>1857</v>
      </c>
      <c r="G273" s="14" t="s">
        <v>1858</v>
      </c>
      <c r="H273" s="15" t="n">
        <v>46165</v>
      </c>
      <c r="I273" s="15" t="s">
        <v>107</v>
      </c>
      <c r="J273" s="14" t="s">
        <v>128</v>
      </c>
      <c r="K273" s="14" t="s">
        <v>196</v>
      </c>
      <c r="L273" s="14" t="s">
        <v>144</v>
      </c>
      <c r="M273" s="14" t="s">
        <v>111</v>
      </c>
      <c r="N273" s="14" t="s">
        <v>112</v>
      </c>
      <c r="O273" s="14" t="s">
        <v>325</v>
      </c>
      <c r="P273" s="14" t="s">
        <v>146</v>
      </c>
      <c r="Q273" s="14" t="s">
        <v>606</v>
      </c>
      <c r="R273" s="14"/>
      <c r="S273" s="14"/>
      <c r="T273" s="14"/>
      <c r="U273" s="14" t="s">
        <v>24</v>
      </c>
      <c r="V273" s="14"/>
      <c r="W273" s="14"/>
      <c r="X273" s="14"/>
      <c r="Y273" s="14" t="s">
        <v>214</v>
      </c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 t="s">
        <v>1859</v>
      </c>
      <c r="CD273" s="14" t="s">
        <v>525</v>
      </c>
      <c r="CE273" s="14" t="s">
        <v>330</v>
      </c>
      <c r="CF273" s="14"/>
      <c r="CG273" s="14"/>
      <c r="CH273" s="14"/>
      <c r="CI273" s="14"/>
      <c r="CJ273" s="14"/>
      <c r="CK273" s="14"/>
      <c r="CL273" s="14"/>
      <c r="CR273" s="1" t="s">
        <v>152</v>
      </c>
      <c r="CS273" s="1" t="s">
        <v>228</v>
      </c>
      <c r="CT273" s="14" t="s">
        <v>369</v>
      </c>
      <c r="CU273" s="1" t="s">
        <v>192</v>
      </c>
      <c r="CV273" s="1" t="s">
        <v>124</v>
      </c>
      <c r="CW273" s="3"/>
      <c r="DG273" s="4"/>
    </row>
    <row r="274" customFormat="false" ht="11.25" hidden="false" customHeight="true" outlineLevel="0" collapsed="false">
      <c r="A274" s="14" t="n">
        <v>273</v>
      </c>
      <c r="B274" s="15" t="n">
        <v>46108.798802662</v>
      </c>
      <c r="C274" s="15" t="n">
        <v>46108.8118350694</v>
      </c>
      <c r="D274" s="14" t="s">
        <v>1860</v>
      </c>
      <c r="E274" s="14" t="s">
        <v>1861</v>
      </c>
      <c r="F274" s="14" t="s">
        <v>1861</v>
      </c>
      <c r="G274" s="14" t="s">
        <v>1862</v>
      </c>
      <c r="H274" s="15" t="n">
        <v>46107</v>
      </c>
      <c r="I274" s="15" t="s">
        <v>244</v>
      </c>
      <c r="J274" s="14" t="s">
        <v>108</v>
      </c>
      <c r="K274" s="14" t="s">
        <v>1863</v>
      </c>
      <c r="L274" s="14" t="s">
        <v>110</v>
      </c>
      <c r="M274" s="14" t="s">
        <v>111</v>
      </c>
      <c r="N274" s="14" t="s">
        <v>112</v>
      </c>
      <c r="O274" s="14" t="s">
        <v>325</v>
      </c>
      <c r="P274" s="14" t="s">
        <v>507</v>
      </c>
      <c r="Q274" s="14" t="s">
        <v>1243</v>
      </c>
      <c r="R274" s="14"/>
      <c r="S274" s="14"/>
      <c r="T274" s="14"/>
      <c r="U274" s="14" t="s">
        <v>22</v>
      </c>
      <c r="V274" s="14"/>
      <c r="W274" s="14" t="s">
        <v>339</v>
      </c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 t="s">
        <v>1864</v>
      </c>
      <c r="BO274" s="14" t="s">
        <v>1865</v>
      </c>
      <c r="BP274" s="14" t="s">
        <v>1866</v>
      </c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R274" s="1" t="s">
        <v>152</v>
      </c>
      <c r="CS274" s="1" t="s">
        <v>121</v>
      </c>
      <c r="CT274" s="14" t="s">
        <v>122</v>
      </c>
      <c r="CU274" s="1" t="s">
        <v>123</v>
      </c>
      <c r="CV274" s="1" t="s">
        <v>168</v>
      </c>
      <c r="CW274" s="3"/>
      <c r="CX274" s="3" t="s">
        <v>331</v>
      </c>
      <c r="DG274" s="4"/>
    </row>
    <row r="275" customFormat="false" ht="11.25" hidden="false" customHeight="true" outlineLevel="0" collapsed="false">
      <c r="A275" s="14" t="n">
        <v>274</v>
      </c>
      <c r="B275" s="15" t="n">
        <v>46131.2766039352</v>
      </c>
      <c r="C275" s="15" t="n">
        <v>46131.2819627315</v>
      </c>
      <c r="D275" s="14" t="s">
        <v>1867</v>
      </c>
      <c r="E275" s="14" t="s">
        <v>1868</v>
      </c>
      <c r="F275" s="14" t="s">
        <v>1868</v>
      </c>
      <c r="G275" s="14" t="s">
        <v>1869</v>
      </c>
      <c r="H275" s="15" t="n">
        <v>46115</v>
      </c>
      <c r="I275" s="15" t="s">
        <v>244</v>
      </c>
      <c r="J275" s="14" t="s">
        <v>108</v>
      </c>
      <c r="K275" s="14" t="s">
        <v>1870</v>
      </c>
      <c r="L275" s="14" t="s">
        <v>389</v>
      </c>
      <c r="M275" s="14" t="s">
        <v>111</v>
      </c>
      <c r="N275" s="14" t="s">
        <v>112</v>
      </c>
      <c r="O275" s="14" t="s">
        <v>132</v>
      </c>
      <c r="P275" s="14" t="s">
        <v>905</v>
      </c>
      <c r="Q275" s="14" t="s">
        <v>508</v>
      </c>
      <c r="R275" s="14"/>
      <c r="S275" s="14"/>
      <c r="T275" s="14"/>
      <c r="U275" s="14" t="s">
        <v>22</v>
      </c>
      <c r="V275" s="14"/>
      <c r="W275" s="14" t="s">
        <v>298</v>
      </c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 t="s">
        <v>1871</v>
      </c>
      <c r="AW275" s="14" t="s">
        <v>1872</v>
      </c>
      <c r="AX275" s="14" t="s">
        <v>1873</v>
      </c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R275" s="1" t="s">
        <v>152</v>
      </c>
      <c r="CS275" s="1" t="s">
        <v>121</v>
      </c>
      <c r="CT275" s="14"/>
      <c r="CU275" s="1" t="s">
        <v>123</v>
      </c>
      <c r="CV275" s="1" t="s">
        <v>124</v>
      </c>
      <c r="CW275" s="3"/>
      <c r="DG275" s="4"/>
    </row>
    <row r="276" customFormat="false" ht="11.25" hidden="false" customHeight="true" outlineLevel="0" collapsed="false">
      <c r="A276" s="14" t="n">
        <v>275</v>
      </c>
      <c r="B276" s="15" t="n">
        <v>46213.48884</v>
      </c>
      <c r="C276" s="15" t="n">
        <v>46213.5018724074</v>
      </c>
      <c r="D276" s="14" t="s">
        <v>1874</v>
      </c>
      <c r="E276" s="14" t="s">
        <v>1875</v>
      </c>
      <c r="F276" s="14" t="s">
        <v>1875</v>
      </c>
      <c r="G276" s="14" t="s">
        <v>1876</v>
      </c>
      <c r="H276" s="15" t="n">
        <v>46201</v>
      </c>
      <c r="I276" s="15" t="s">
        <v>1506</v>
      </c>
      <c r="J276" s="14" t="s">
        <v>108</v>
      </c>
      <c r="K276" s="14" t="s">
        <v>462</v>
      </c>
      <c r="L276" s="14" t="s">
        <v>159</v>
      </c>
      <c r="M276" s="14" t="s">
        <v>131</v>
      </c>
      <c r="N276" s="14" t="s">
        <v>198</v>
      </c>
      <c r="O276" s="14" t="s">
        <v>113</v>
      </c>
      <c r="P276" s="14" t="s">
        <v>133</v>
      </c>
      <c r="Q276" s="14" t="s">
        <v>259</v>
      </c>
      <c r="R276" s="14"/>
      <c r="S276" s="14"/>
      <c r="T276" s="14"/>
      <c r="U276" s="14" t="s">
        <v>22</v>
      </c>
      <c r="V276" s="14"/>
      <c r="W276" s="14" t="s">
        <v>339</v>
      </c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 t="s">
        <v>1877</v>
      </c>
      <c r="BO276" s="14" t="s">
        <v>1878</v>
      </c>
      <c r="BP276" s="14" t="s">
        <v>1879</v>
      </c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R276" s="1" t="s">
        <v>152</v>
      </c>
      <c r="CS276" s="1" t="s">
        <v>121</v>
      </c>
      <c r="CT276" s="14"/>
      <c r="CU276" s="1" t="s">
        <v>167</v>
      </c>
      <c r="CV276" s="1" t="s">
        <v>124</v>
      </c>
      <c r="CW276" s="3"/>
      <c r="DG276" s="4"/>
    </row>
    <row r="277" customFormat="false" ht="11.25" hidden="false" customHeight="true" outlineLevel="0" collapsed="false">
      <c r="A277" s="14" t="n">
        <v>276</v>
      </c>
      <c r="B277" s="15" t="n">
        <v>46125.5994182176</v>
      </c>
      <c r="C277" s="15" t="n">
        <v>46125.6043024769</v>
      </c>
      <c r="D277" s="14" t="s">
        <v>1880</v>
      </c>
      <c r="E277" s="14" t="s">
        <v>1881</v>
      </c>
      <c r="F277" s="14" t="s">
        <v>1881</v>
      </c>
      <c r="G277" s="14" t="s">
        <v>1882</v>
      </c>
      <c r="H277" s="15" t="n">
        <v>46121</v>
      </c>
      <c r="I277" s="15" t="s">
        <v>107</v>
      </c>
      <c r="J277" s="14" t="s">
        <v>108</v>
      </c>
      <c r="K277" s="14" t="s">
        <v>364</v>
      </c>
      <c r="L277" s="14" t="s">
        <v>246</v>
      </c>
      <c r="M277" s="14" t="s">
        <v>111</v>
      </c>
      <c r="N277" s="14" t="s">
        <v>112</v>
      </c>
      <c r="O277" s="14" t="s">
        <v>325</v>
      </c>
      <c r="P277" s="14" t="s">
        <v>212</v>
      </c>
      <c r="Q277" s="14" t="s">
        <v>1441</v>
      </c>
      <c r="R277" s="14"/>
      <c r="S277" s="14"/>
      <c r="T277" s="14"/>
      <c r="U277" s="14" t="s">
        <v>22</v>
      </c>
      <c r="V277" s="14"/>
      <c r="W277" s="14" t="s">
        <v>148</v>
      </c>
      <c r="X277" s="14"/>
      <c r="Y277" s="14"/>
      <c r="Z277" s="14"/>
      <c r="AA277" s="14"/>
      <c r="AB277" s="14"/>
      <c r="AC277" s="14"/>
      <c r="AD277" s="14" t="s">
        <v>1883</v>
      </c>
      <c r="AE277" s="14" t="s">
        <v>1146</v>
      </c>
      <c r="AF277" s="14" t="s">
        <v>1884</v>
      </c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R277" s="1" t="s">
        <v>120</v>
      </c>
      <c r="CS277" s="1" t="s">
        <v>352</v>
      </c>
      <c r="CT277" s="14" t="s">
        <v>1821</v>
      </c>
      <c r="CU277" s="1" t="s">
        <v>123</v>
      </c>
      <c r="CV277" s="1" t="s">
        <v>124</v>
      </c>
      <c r="CW277" s="3"/>
      <c r="DG277" s="4"/>
    </row>
    <row r="278" customFormat="false" ht="11.25" hidden="false" customHeight="true" outlineLevel="0" collapsed="false">
      <c r="A278" s="14" t="n">
        <v>277</v>
      </c>
      <c r="B278" s="15" t="n">
        <v>46180.0547224769</v>
      </c>
      <c r="C278" s="15" t="n">
        <v>46180.0610766435</v>
      </c>
      <c r="D278" s="14" t="s">
        <v>1885</v>
      </c>
      <c r="E278" s="14" t="s">
        <v>1886</v>
      </c>
      <c r="F278" s="14" t="s">
        <v>1886</v>
      </c>
      <c r="G278" s="14" t="s">
        <v>1887</v>
      </c>
      <c r="H278" s="15" t="n">
        <v>46171</v>
      </c>
      <c r="I278" s="15" t="s">
        <v>107</v>
      </c>
      <c r="J278" s="14" t="s">
        <v>108</v>
      </c>
      <c r="K278" s="14" t="s">
        <v>462</v>
      </c>
      <c r="L278" s="14" t="s">
        <v>110</v>
      </c>
      <c r="M278" s="14" t="s">
        <v>111</v>
      </c>
      <c r="N278" s="14" t="s">
        <v>112</v>
      </c>
      <c r="O278" s="14" t="s">
        <v>113</v>
      </c>
      <c r="P278" s="14" t="s">
        <v>652</v>
      </c>
      <c r="Q278" s="14" t="s">
        <v>200</v>
      </c>
      <c r="R278" s="14"/>
      <c r="S278" s="14"/>
      <c r="T278" s="14"/>
      <c r="U278" s="14" t="s">
        <v>22</v>
      </c>
      <c r="V278" s="14"/>
      <c r="W278" s="14" t="s">
        <v>298</v>
      </c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 t="s">
        <v>1888</v>
      </c>
      <c r="AW278" s="14" t="s">
        <v>1000</v>
      </c>
      <c r="AX278" s="14" t="s">
        <v>1556</v>
      </c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R278" s="1" t="s">
        <v>227</v>
      </c>
      <c r="CS278" s="1" t="s">
        <v>121</v>
      </c>
      <c r="CT278" s="14" t="s">
        <v>1002</v>
      </c>
      <c r="CU278" s="1" t="s">
        <v>123</v>
      </c>
      <c r="CV278" s="1" t="s">
        <v>124</v>
      </c>
      <c r="CW278" s="3"/>
      <c r="CY278" s="3" t="s">
        <v>205</v>
      </c>
      <c r="DG278" s="4"/>
    </row>
    <row r="279" customFormat="false" ht="11.25" hidden="false" customHeight="true" outlineLevel="0" collapsed="false">
      <c r="A279" s="14" t="n">
        <v>278</v>
      </c>
      <c r="B279" s="15" t="n">
        <v>46150.8368865741</v>
      </c>
      <c r="C279" s="15" t="n">
        <v>46150.847962963</v>
      </c>
      <c r="D279" s="14" t="s">
        <v>1889</v>
      </c>
      <c r="E279" s="14" t="s">
        <v>1890</v>
      </c>
      <c r="F279" s="14" t="s">
        <v>1890</v>
      </c>
      <c r="G279" s="14" t="s">
        <v>1891</v>
      </c>
      <c r="H279" s="15" t="n">
        <v>46131</v>
      </c>
      <c r="I279" s="15" t="s">
        <v>107</v>
      </c>
      <c r="J279" s="14" t="s">
        <v>295</v>
      </c>
      <c r="K279" s="14" t="s">
        <v>1892</v>
      </c>
      <c r="L279" s="14" t="s">
        <v>110</v>
      </c>
      <c r="M279" s="14" t="s">
        <v>111</v>
      </c>
      <c r="N279" s="14" t="s">
        <v>112</v>
      </c>
      <c r="O279" s="14" t="s">
        <v>113</v>
      </c>
      <c r="P279" s="14" t="s">
        <v>185</v>
      </c>
      <c r="Q279" s="14" t="s">
        <v>1243</v>
      </c>
      <c r="R279" s="14"/>
      <c r="S279" s="14"/>
      <c r="T279" s="14"/>
      <c r="U279" s="14" t="s">
        <v>22</v>
      </c>
      <c r="V279" s="14"/>
      <c r="W279" s="14" t="s">
        <v>148</v>
      </c>
      <c r="X279" s="14"/>
      <c r="Y279" s="14"/>
      <c r="Z279" s="14"/>
      <c r="AA279" s="14"/>
      <c r="AB279" s="14"/>
      <c r="AC279" s="14"/>
      <c r="AD279" s="14" t="s">
        <v>1217</v>
      </c>
      <c r="AE279" s="14" t="s">
        <v>1893</v>
      </c>
      <c r="AF279" s="14" t="s">
        <v>696</v>
      </c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R279" s="1" t="s">
        <v>152</v>
      </c>
      <c r="CS279" s="1" t="s">
        <v>352</v>
      </c>
      <c r="CT279" s="14" t="s">
        <v>122</v>
      </c>
      <c r="CU279" s="1" t="s">
        <v>167</v>
      </c>
      <c r="CV279" s="1" t="s">
        <v>124</v>
      </c>
      <c r="CW279" s="3"/>
      <c r="DG279" s="4"/>
    </row>
    <row r="280" customFormat="false" ht="11.25" hidden="false" customHeight="true" outlineLevel="0" collapsed="false">
      <c r="A280" s="14" t="n">
        <v>279</v>
      </c>
      <c r="B280" s="15" t="n">
        <v>46049.1177767708</v>
      </c>
      <c r="C280" s="15" t="n">
        <v>46049.1271401968</v>
      </c>
      <c r="D280" s="14" t="s">
        <v>1894</v>
      </c>
      <c r="E280" s="14" t="s">
        <v>1895</v>
      </c>
      <c r="F280" s="14" t="s">
        <v>1895</v>
      </c>
      <c r="G280" s="14" t="s">
        <v>1896</v>
      </c>
      <c r="H280" s="15" t="n">
        <v>46039</v>
      </c>
      <c r="I280" s="15" t="s">
        <v>1897</v>
      </c>
      <c r="J280" s="14" t="s">
        <v>295</v>
      </c>
      <c r="K280" s="14" t="s">
        <v>245</v>
      </c>
      <c r="L280" s="14" t="s">
        <v>210</v>
      </c>
      <c r="M280" s="14" t="s">
        <v>111</v>
      </c>
      <c r="N280" s="14" t="s">
        <v>247</v>
      </c>
      <c r="O280" s="14" t="s">
        <v>305</v>
      </c>
      <c r="P280" s="14" t="s">
        <v>864</v>
      </c>
      <c r="Q280" s="14" t="s">
        <v>849</v>
      </c>
      <c r="R280" s="14"/>
      <c r="S280" s="14"/>
      <c r="T280" s="14"/>
      <c r="U280" s="14" t="s">
        <v>21</v>
      </c>
      <c r="V280" s="14" t="s">
        <v>307</v>
      </c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 t="s">
        <v>1898</v>
      </c>
      <c r="AT280" s="14" t="s">
        <v>546</v>
      </c>
      <c r="AU280" s="14" t="s">
        <v>310</v>
      </c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R280" s="1" t="s">
        <v>152</v>
      </c>
      <c r="CS280" s="1" t="s">
        <v>180</v>
      </c>
      <c r="CT280" s="14" t="s">
        <v>1489</v>
      </c>
      <c r="CU280" s="1" t="s">
        <v>123</v>
      </c>
      <c r="CV280" s="1" t="s">
        <v>124</v>
      </c>
      <c r="CW280" s="3" t="s">
        <v>370</v>
      </c>
      <c r="DG280" s="4"/>
    </row>
    <row r="281" customFormat="false" ht="11.25" hidden="false" customHeight="true" outlineLevel="0" collapsed="false">
      <c r="A281" s="14" t="n">
        <v>280</v>
      </c>
      <c r="B281" s="15" t="n">
        <v>46199.0453781482</v>
      </c>
      <c r="C281" s="15" t="n">
        <v>46199.0478434259</v>
      </c>
      <c r="D281" s="14" t="s">
        <v>1899</v>
      </c>
      <c r="E281" s="14" t="s">
        <v>1900</v>
      </c>
      <c r="F281" s="14" t="s">
        <v>1900</v>
      </c>
      <c r="G281" s="14" t="s">
        <v>1901</v>
      </c>
      <c r="H281" s="15" t="n">
        <v>46185</v>
      </c>
      <c r="I281" s="15" t="s">
        <v>107</v>
      </c>
      <c r="J281" s="14" t="s">
        <v>108</v>
      </c>
      <c r="K281" s="14" t="s">
        <v>462</v>
      </c>
      <c r="L281" s="14" t="s">
        <v>491</v>
      </c>
      <c r="M281" s="14" t="s">
        <v>111</v>
      </c>
      <c r="N281" s="14" t="s">
        <v>247</v>
      </c>
      <c r="O281" s="14" t="s">
        <v>863</v>
      </c>
      <c r="P281" s="14" t="s">
        <v>234</v>
      </c>
      <c r="Q281" s="14" t="s">
        <v>306</v>
      </c>
      <c r="R281" s="14"/>
      <c r="S281" s="14"/>
      <c r="T281" s="14"/>
      <c r="U281" s="14" t="s">
        <v>24</v>
      </c>
      <c r="V281" s="14"/>
      <c r="W281" s="14"/>
      <c r="X281" s="14"/>
      <c r="Y281" s="14" t="s">
        <v>214</v>
      </c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 t="s">
        <v>433</v>
      </c>
      <c r="CD281" s="14" t="s">
        <v>745</v>
      </c>
      <c r="CE281" s="14" t="s">
        <v>681</v>
      </c>
      <c r="CF281" s="14"/>
      <c r="CG281" s="14"/>
      <c r="CH281" s="14"/>
      <c r="CI281" s="14"/>
      <c r="CJ281" s="14"/>
      <c r="CK281" s="14"/>
      <c r="CL281" s="14"/>
      <c r="CR281" s="1" t="s">
        <v>152</v>
      </c>
      <c r="CS281" s="1" t="s">
        <v>121</v>
      </c>
      <c r="CT281" s="14" t="s">
        <v>1902</v>
      </c>
      <c r="CU281" s="1" t="s">
        <v>167</v>
      </c>
      <c r="CV281" s="1" t="s">
        <v>124</v>
      </c>
      <c r="CW281" s="3"/>
      <c r="DG281" s="4"/>
    </row>
    <row r="282" customFormat="false" ht="11.25" hidden="false" customHeight="true" outlineLevel="0" collapsed="false">
      <c r="A282" s="14" t="n">
        <v>281</v>
      </c>
      <c r="B282" s="15" t="n">
        <v>46206.5482376505</v>
      </c>
      <c r="C282" s="15" t="n">
        <v>46206.5624390394</v>
      </c>
      <c r="D282" s="14" t="s">
        <v>1903</v>
      </c>
      <c r="E282" s="14" t="s">
        <v>1904</v>
      </c>
      <c r="F282" s="14" t="s">
        <v>1904</v>
      </c>
      <c r="G282" s="14" t="s">
        <v>1905</v>
      </c>
      <c r="H282" s="15" t="n">
        <v>46201</v>
      </c>
      <c r="I282" s="15" t="s">
        <v>278</v>
      </c>
      <c r="J282" s="14" t="s">
        <v>295</v>
      </c>
      <c r="K282" s="14" t="s">
        <v>1906</v>
      </c>
      <c r="L282" s="14" t="s">
        <v>159</v>
      </c>
      <c r="M282" s="14" t="s">
        <v>390</v>
      </c>
      <c r="N282" s="14" t="s">
        <v>112</v>
      </c>
      <c r="O282" s="14" t="s">
        <v>863</v>
      </c>
      <c r="P282" s="14" t="s">
        <v>391</v>
      </c>
      <c r="Q282" s="14" t="s">
        <v>743</v>
      </c>
      <c r="R282" s="14"/>
      <c r="S282" s="14" t="s">
        <v>441</v>
      </c>
      <c r="T282" s="14"/>
      <c r="U282" s="14" t="s">
        <v>23</v>
      </c>
      <c r="V282" s="14"/>
      <c r="W282" s="14"/>
      <c r="X282" s="14" t="s">
        <v>442</v>
      </c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R282" s="1" t="s">
        <v>120</v>
      </c>
      <c r="CS282" s="1" t="s">
        <v>165</v>
      </c>
      <c r="CT282" s="14" t="s">
        <v>1641</v>
      </c>
      <c r="CU282" s="1" t="s">
        <v>123</v>
      </c>
      <c r="CV282" s="1" t="s">
        <v>124</v>
      </c>
      <c r="CW282" s="3"/>
      <c r="DG282" s="4"/>
    </row>
    <row r="283" customFormat="false" ht="11.25" hidden="false" customHeight="true" outlineLevel="0" collapsed="false">
      <c r="A283" s="14" t="n">
        <v>282</v>
      </c>
      <c r="B283" s="15" t="n">
        <v>46043.5293359375</v>
      </c>
      <c r="C283" s="15" t="n">
        <v>46043.5360257523</v>
      </c>
      <c r="D283" s="14" t="s">
        <v>1907</v>
      </c>
      <c r="E283" s="14" t="s">
        <v>1908</v>
      </c>
      <c r="F283" s="14" t="s">
        <v>1908</v>
      </c>
      <c r="G283" s="14" t="s">
        <v>1909</v>
      </c>
      <c r="H283" s="15" t="n">
        <v>46024</v>
      </c>
      <c r="I283" s="15" t="s">
        <v>107</v>
      </c>
      <c r="J283" s="14" t="s">
        <v>108</v>
      </c>
      <c r="K283" s="14" t="s">
        <v>245</v>
      </c>
      <c r="L283" s="14" t="s">
        <v>159</v>
      </c>
      <c r="M283" s="14" t="s">
        <v>131</v>
      </c>
      <c r="N283" s="14" t="s">
        <v>112</v>
      </c>
      <c r="O283" s="14" t="s">
        <v>113</v>
      </c>
      <c r="P283" s="14" t="s">
        <v>1120</v>
      </c>
      <c r="Q283" s="14" t="s">
        <v>810</v>
      </c>
      <c r="R283" s="14"/>
      <c r="S283" s="14"/>
      <c r="T283" s="14"/>
      <c r="U283" s="14" t="s">
        <v>21</v>
      </c>
      <c r="V283" s="14" t="s">
        <v>187</v>
      </c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 t="s">
        <v>188</v>
      </c>
      <c r="AQ283" s="14" t="s">
        <v>399</v>
      </c>
      <c r="AR283" s="14" t="s">
        <v>190</v>
      </c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R283" s="1" t="s">
        <v>227</v>
      </c>
      <c r="CS283" s="1" t="s">
        <v>180</v>
      </c>
      <c r="CT283" s="14"/>
      <c r="CU283" s="1" t="s">
        <v>192</v>
      </c>
      <c r="CV283" s="1" t="s">
        <v>168</v>
      </c>
      <c r="CW283" s="3" t="s">
        <v>370</v>
      </c>
      <c r="DG283" s="4"/>
    </row>
    <row r="284" customFormat="false" ht="11.25" hidden="false" customHeight="true" outlineLevel="0" collapsed="false">
      <c r="A284" s="14" t="n">
        <v>283</v>
      </c>
      <c r="B284" s="15" t="n">
        <v>46215.3296559954</v>
      </c>
      <c r="C284" s="15" t="n">
        <v>46215.3499221991</v>
      </c>
      <c r="D284" s="14" t="s">
        <v>1910</v>
      </c>
      <c r="E284" s="14" t="s">
        <v>1911</v>
      </c>
      <c r="F284" s="14" t="s">
        <v>1911</v>
      </c>
      <c r="G284" s="14" t="s">
        <v>1912</v>
      </c>
      <c r="H284" s="15" t="n">
        <v>46196</v>
      </c>
      <c r="I284" s="15" t="s">
        <v>244</v>
      </c>
      <c r="J284" s="14" t="s">
        <v>108</v>
      </c>
      <c r="K284" s="14" t="s">
        <v>1913</v>
      </c>
      <c r="L284" s="14" t="s">
        <v>296</v>
      </c>
      <c r="M284" s="14" t="s">
        <v>111</v>
      </c>
      <c r="N284" s="14" t="s">
        <v>145</v>
      </c>
      <c r="O284" s="14" t="s">
        <v>113</v>
      </c>
      <c r="P284" s="14" t="s">
        <v>114</v>
      </c>
      <c r="Q284" s="14" t="s">
        <v>567</v>
      </c>
      <c r="R284" s="14"/>
      <c r="S284" s="14"/>
      <c r="T284" s="14"/>
      <c r="U284" s="14" t="s">
        <v>22</v>
      </c>
      <c r="V284" s="14"/>
      <c r="W284" s="14" t="s">
        <v>298</v>
      </c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 t="s">
        <v>1914</v>
      </c>
      <c r="AW284" s="14" t="s">
        <v>537</v>
      </c>
      <c r="AX284" s="14" t="s">
        <v>1915</v>
      </c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R284" s="1" t="s">
        <v>320</v>
      </c>
      <c r="CS284" s="1" t="s">
        <v>121</v>
      </c>
      <c r="CT284" s="14" t="s">
        <v>1376</v>
      </c>
      <c r="CU284" s="1" t="s">
        <v>192</v>
      </c>
      <c r="CV284" s="1" t="s">
        <v>168</v>
      </c>
      <c r="CW284" s="3"/>
      <c r="DG284" s="4"/>
    </row>
    <row r="285" customFormat="false" ht="11.25" hidden="false" customHeight="true" outlineLevel="0" collapsed="false">
      <c r="A285" s="14" t="n">
        <v>284</v>
      </c>
      <c r="B285" s="15" t="n">
        <v>46186.9753449074</v>
      </c>
      <c r="C285" s="15" t="n">
        <v>46186.9959351852</v>
      </c>
      <c r="D285" s="14" t="s">
        <v>1916</v>
      </c>
      <c r="E285" s="14" t="s">
        <v>1917</v>
      </c>
      <c r="F285" s="14" t="s">
        <v>1917</v>
      </c>
      <c r="G285" s="14" t="s">
        <v>1918</v>
      </c>
      <c r="H285" s="15" t="n">
        <v>46180</v>
      </c>
      <c r="I285" s="15" t="s">
        <v>157</v>
      </c>
      <c r="J285" s="14" t="s">
        <v>128</v>
      </c>
      <c r="K285" s="14" t="s">
        <v>1919</v>
      </c>
      <c r="L285" s="14" t="s">
        <v>197</v>
      </c>
      <c r="M285" s="14" t="s">
        <v>211</v>
      </c>
      <c r="N285" s="14" t="s">
        <v>145</v>
      </c>
      <c r="O285" s="14" t="s">
        <v>132</v>
      </c>
      <c r="P285" s="14" t="s">
        <v>885</v>
      </c>
      <c r="Q285" s="14" t="s">
        <v>1441</v>
      </c>
      <c r="R285" s="14"/>
      <c r="S285" s="14"/>
      <c r="T285" s="14"/>
      <c r="U285" s="14" t="s">
        <v>22</v>
      </c>
      <c r="V285" s="14"/>
      <c r="W285" s="14" t="s">
        <v>298</v>
      </c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 t="s">
        <v>1507</v>
      </c>
      <c r="AW285" s="14" t="s">
        <v>1920</v>
      </c>
      <c r="AX285" s="14" t="s">
        <v>1921</v>
      </c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R285" s="1" t="s">
        <v>152</v>
      </c>
      <c r="CS285" s="1" t="s">
        <v>121</v>
      </c>
      <c r="CT285" s="14" t="s">
        <v>122</v>
      </c>
      <c r="CU285" s="1" t="s">
        <v>123</v>
      </c>
      <c r="CV285" s="1" t="s">
        <v>168</v>
      </c>
      <c r="CW285" s="3"/>
      <c r="DG285" s="4"/>
    </row>
    <row r="286" customFormat="false" ht="11.25" hidden="false" customHeight="true" outlineLevel="0" collapsed="false">
      <c r="A286" s="14" t="n">
        <v>285</v>
      </c>
      <c r="B286" s="15" t="n">
        <v>46201.2520381366</v>
      </c>
      <c r="C286" s="15" t="n">
        <v>46201.2671770255</v>
      </c>
      <c r="D286" s="14" t="s">
        <v>1922</v>
      </c>
      <c r="E286" s="14" t="s">
        <v>1923</v>
      </c>
      <c r="F286" s="14" t="s">
        <v>1924</v>
      </c>
      <c r="G286" s="14" t="s">
        <v>1925</v>
      </c>
      <c r="H286" s="15" t="n">
        <v>46192</v>
      </c>
      <c r="I286" s="15" t="s">
        <v>172</v>
      </c>
      <c r="J286" s="14" t="s">
        <v>108</v>
      </c>
      <c r="K286" s="14" t="s">
        <v>1926</v>
      </c>
      <c r="L286" s="14" t="s">
        <v>389</v>
      </c>
      <c r="M286" s="14" t="s">
        <v>111</v>
      </c>
      <c r="N286" s="14" t="s">
        <v>112</v>
      </c>
      <c r="O286" s="14" t="s">
        <v>113</v>
      </c>
      <c r="P286" s="14" t="s">
        <v>357</v>
      </c>
      <c r="Q286" s="14" t="s">
        <v>1573</v>
      </c>
      <c r="R286" s="14" t="s">
        <v>871</v>
      </c>
      <c r="S286" s="14"/>
      <c r="T286" s="14"/>
      <c r="U286" s="14" t="s">
        <v>23</v>
      </c>
      <c r="V286" s="14"/>
      <c r="W286" s="14"/>
      <c r="X286" s="14" t="s">
        <v>503</v>
      </c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R286" s="1" t="s">
        <v>120</v>
      </c>
      <c r="CS286" s="1" t="s">
        <v>180</v>
      </c>
      <c r="CT286" s="16" t="s">
        <v>641</v>
      </c>
      <c r="CU286" s="1" t="s">
        <v>123</v>
      </c>
      <c r="CV286" s="1" t="s">
        <v>139</v>
      </c>
      <c r="CW286" s="3"/>
      <c r="DG286" s="4"/>
    </row>
    <row r="287" customFormat="false" ht="11.25" hidden="false" customHeight="true" outlineLevel="0" collapsed="false">
      <c r="A287" s="14" t="n">
        <v>286</v>
      </c>
      <c r="B287" s="15" t="n">
        <v>46073.1701928472</v>
      </c>
      <c r="C287" s="15" t="n">
        <v>46073.180007662</v>
      </c>
      <c r="D287" s="14" t="s">
        <v>1927</v>
      </c>
      <c r="E287" s="14" t="s">
        <v>1928</v>
      </c>
      <c r="F287" s="14" t="s">
        <v>1928</v>
      </c>
      <c r="G287" s="14" t="s">
        <v>1929</v>
      </c>
      <c r="H287" s="15" t="n">
        <v>46072</v>
      </c>
      <c r="I287" s="15" t="s">
        <v>107</v>
      </c>
      <c r="J287" s="14" t="s">
        <v>108</v>
      </c>
      <c r="K287" s="14" t="s">
        <v>245</v>
      </c>
      <c r="L287" s="14" t="s">
        <v>431</v>
      </c>
      <c r="M287" s="14" t="s">
        <v>111</v>
      </c>
      <c r="N287" s="14" t="s">
        <v>112</v>
      </c>
      <c r="O287" s="14" t="s">
        <v>113</v>
      </c>
      <c r="P287" s="14" t="s">
        <v>286</v>
      </c>
      <c r="Q287" s="14" t="s">
        <v>1441</v>
      </c>
      <c r="R287" s="14"/>
      <c r="S287" s="14"/>
      <c r="T287" s="14"/>
      <c r="U287" s="14" t="s">
        <v>22</v>
      </c>
      <c r="V287" s="14"/>
      <c r="W287" s="14" t="s">
        <v>298</v>
      </c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 t="s">
        <v>1930</v>
      </c>
      <c r="AW287" s="14" t="s">
        <v>1931</v>
      </c>
      <c r="AX287" s="14" t="s">
        <v>1932</v>
      </c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R287" s="1" t="s">
        <v>152</v>
      </c>
      <c r="CS287" s="1" t="s">
        <v>121</v>
      </c>
      <c r="CT287" s="14"/>
      <c r="CU287" s="1" t="s">
        <v>192</v>
      </c>
      <c r="CV287" s="1" t="s">
        <v>168</v>
      </c>
      <c r="CW287" s="3"/>
      <c r="CY287" s="3" t="s">
        <v>205</v>
      </c>
      <c r="DG287" s="4"/>
    </row>
    <row r="288" customFormat="false" ht="11.25" hidden="false" customHeight="true" outlineLevel="0" collapsed="false">
      <c r="A288" s="14" t="n">
        <v>287</v>
      </c>
      <c r="B288" s="15" t="n">
        <v>46175.4759178009</v>
      </c>
      <c r="C288" s="15" t="n">
        <v>46175.4886724306</v>
      </c>
      <c r="D288" s="14" t="s">
        <v>1933</v>
      </c>
      <c r="E288" s="14" t="s">
        <v>1018</v>
      </c>
      <c r="F288" s="14" t="s">
        <v>1018</v>
      </c>
      <c r="G288" s="14" t="s">
        <v>1934</v>
      </c>
      <c r="H288" s="15" t="n">
        <v>46172</v>
      </c>
      <c r="I288" s="15" t="s">
        <v>278</v>
      </c>
      <c r="J288" s="14" t="s">
        <v>108</v>
      </c>
      <c r="K288" s="14" t="s">
        <v>245</v>
      </c>
      <c r="L288" s="14" t="s">
        <v>130</v>
      </c>
      <c r="M288" s="14" t="s">
        <v>111</v>
      </c>
      <c r="N288" s="14" t="s">
        <v>112</v>
      </c>
      <c r="O288" s="14" t="s">
        <v>113</v>
      </c>
      <c r="P288" s="14" t="s">
        <v>406</v>
      </c>
      <c r="Q288" s="14" t="s">
        <v>414</v>
      </c>
      <c r="R288" s="14"/>
      <c r="S288" s="14"/>
      <c r="T288" s="14"/>
      <c r="U288" s="14" t="s">
        <v>22</v>
      </c>
      <c r="V288" s="14"/>
      <c r="W288" s="14" t="s">
        <v>339</v>
      </c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 t="s">
        <v>1935</v>
      </c>
      <c r="BO288" s="14" t="s">
        <v>554</v>
      </c>
      <c r="BP288" s="14" t="s">
        <v>675</v>
      </c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R288" s="1" t="s">
        <v>227</v>
      </c>
      <c r="CS288" s="1" t="s">
        <v>264</v>
      </c>
      <c r="CT288" s="14" t="s">
        <v>122</v>
      </c>
      <c r="CU288" s="1" t="s">
        <v>123</v>
      </c>
      <c r="CV288" s="1" t="s">
        <v>124</v>
      </c>
      <c r="CW288" s="3"/>
      <c r="DG288" s="4"/>
    </row>
    <row r="289" customFormat="false" ht="11.25" hidden="false" customHeight="true" outlineLevel="0" collapsed="false">
      <c r="A289" s="14" t="n">
        <v>288</v>
      </c>
      <c r="B289" s="15" t="n">
        <v>46042.5241178819</v>
      </c>
      <c r="C289" s="15" t="n">
        <v>46042.5303910301</v>
      </c>
      <c r="D289" s="14" t="s">
        <v>1936</v>
      </c>
      <c r="E289" s="14" t="s">
        <v>1937</v>
      </c>
      <c r="F289" s="14" t="s">
        <v>1937</v>
      </c>
      <c r="G289" s="14" t="s">
        <v>1938</v>
      </c>
      <c r="H289" s="15" t="n">
        <v>46025</v>
      </c>
      <c r="I289" s="15" t="s">
        <v>107</v>
      </c>
      <c r="J289" s="14" t="s">
        <v>295</v>
      </c>
      <c r="K289" s="14" t="s">
        <v>1939</v>
      </c>
      <c r="L289" s="14" t="s">
        <v>114</v>
      </c>
      <c r="M289" s="14" t="s">
        <v>111</v>
      </c>
      <c r="N289" s="14" t="s">
        <v>112</v>
      </c>
      <c r="O289" s="14" t="s">
        <v>113</v>
      </c>
      <c r="P289" s="14" t="s">
        <v>1074</v>
      </c>
      <c r="Q289" s="14" t="s">
        <v>775</v>
      </c>
      <c r="R289" s="14"/>
      <c r="S289" s="14"/>
      <c r="T289" s="14"/>
      <c r="U289" s="14" t="s">
        <v>21</v>
      </c>
      <c r="V289" s="14" t="s">
        <v>250</v>
      </c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 t="s">
        <v>117</v>
      </c>
      <c r="BF289" s="14" t="s">
        <v>680</v>
      </c>
      <c r="BG289" s="14" t="s">
        <v>330</v>
      </c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R289" s="1" t="s">
        <v>152</v>
      </c>
      <c r="CS289" s="1" t="s">
        <v>121</v>
      </c>
      <c r="CT289" s="14" t="s">
        <v>1940</v>
      </c>
      <c r="CU289" s="1" t="s">
        <v>192</v>
      </c>
      <c r="CV289" s="1" t="s">
        <v>124</v>
      </c>
      <c r="CW289" s="3"/>
      <c r="DG289" s="4"/>
    </row>
    <row r="290" customFormat="false" ht="11.25" hidden="false" customHeight="true" outlineLevel="0" collapsed="false">
      <c r="A290" s="14" t="n">
        <v>289</v>
      </c>
      <c r="B290" s="15" t="n">
        <v>46142.7256989815</v>
      </c>
      <c r="C290" s="15" t="n">
        <v>46142.7279559259</v>
      </c>
      <c r="D290" s="14" t="s">
        <v>1941</v>
      </c>
      <c r="E290" s="14" t="s">
        <v>1942</v>
      </c>
      <c r="F290" s="14" t="s">
        <v>1943</v>
      </c>
      <c r="G290" s="14" t="s">
        <v>1944</v>
      </c>
      <c r="H290" s="15" t="n">
        <v>46136</v>
      </c>
      <c r="I290" s="15" t="s">
        <v>260</v>
      </c>
      <c r="J290" s="14" t="s">
        <v>108</v>
      </c>
      <c r="K290" s="14" t="s">
        <v>1572</v>
      </c>
      <c r="L290" s="14" t="s">
        <v>491</v>
      </c>
      <c r="M290" s="14" t="s">
        <v>111</v>
      </c>
      <c r="N290" s="14" t="s">
        <v>145</v>
      </c>
      <c r="O290" s="14" t="s">
        <v>113</v>
      </c>
      <c r="P290" s="14" t="s">
        <v>757</v>
      </c>
      <c r="Q290" s="14" t="s">
        <v>1028</v>
      </c>
      <c r="R290" s="14"/>
      <c r="S290" s="14"/>
      <c r="T290" s="14"/>
      <c r="U290" s="14" t="s">
        <v>22</v>
      </c>
      <c r="V290" s="14"/>
      <c r="W290" s="14" t="s">
        <v>298</v>
      </c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 t="s">
        <v>1945</v>
      </c>
      <c r="AW290" s="14" t="s">
        <v>1931</v>
      </c>
      <c r="AX290" s="14" t="s">
        <v>1556</v>
      </c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R290" s="1" t="s">
        <v>152</v>
      </c>
      <c r="CS290" s="1" t="s">
        <v>180</v>
      </c>
      <c r="CT290" s="14" t="s">
        <v>122</v>
      </c>
      <c r="CU290" s="1" t="s">
        <v>192</v>
      </c>
      <c r="CV290" s="1" t="s">
        <v>124</v>
      </c>
      <c r="CW290" s="3"/>
      <c r="DG290" s="4"/>
    </row>
    <row r="291" customFormat="false" ht="11.25" hidden="false" customHeight="true" outlineLevel="0" collapsed="false">
      <c r="A291" s="14" t="n">
        <v>290</v>
      </c>
      <c r="B291" s="15" t="n">
        <v>46098.2048724421</v>
      </c>
      <c r="C291" s="15" t="n">
        <v>46098.2101386458</v>
      </c>
      <c r="D291" s="14" t="s">
        <v>1946</v>
      </c>
      <c r="E291" s="14" t="s">
        <v>1947</v>
      </c>
      <c r="F291" s="14" t="s">
        <v>1947</v>
      </c>
      <c r="G291" s="14" t="s">
        <v>1948</v>
      </c>
      <c r="H291" s="15" t="n">
        <v>46088</v>
      </c>
      <c r="I291" s="15" t="s">
        <v>1949</v>
      </c>
      <c r="J291" s="14" t="s">
        <v>108</v>
      </c>
      <c r="K291" s="14" t="s">
        <v>1762</v>
      </c>
      <c r="L291" s="14" t="s">
        <v>184</v>
      </c>
      <c r="M291" s="14" t="s">
        <v>111</v>
      </c>
      <c r="N291" s="14" t="s">
        <v>112</v>
      </c>
      <c r="O291" s="14" t="s">
        <v>113</v>
      </c>
      <c r="P291" s="14" t="s">
        <v>757</v>
      </c>
      <c r="Q291" s="14" t="s">
        <v>701</v>
      </c>
      <c r="R291" s="14"/>
      <c r="S291" s="14"/>
      <c r="T291" s="14"/>
      <c r="U291" s="14" t="s">
        <v>21</v>
      </c>
      <c r="V291" s="14" t="s">
        <v>187</v>
      </c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 t="s">
        <v>188</v>
      </c>
      <c r="AQ291" s="14" t="s">
        <v>708</v>
      </c>
      <c r="AR291" s="14" t="s">
        <v>190</v>
      </c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R291" s="1" t="s">
        <v>152</v>
      </c>
      <c r="CS291" s="1" t="s">
        <v>121</v>
      </c>
      <c r="CT291" s="14" t="s">
        <v>1950</v>
      </c>
      <c r="CU291" s="1" t="s">
        <v>167</v>
      </c>
      <c r="CV291" s="1" t="s">
        <v>168</v>
      </c>
      <c r="CW291" s="3"/>
      <c r="DG291" s="4"/>
    </row>
    <row r="292" customFormat="false" ht="11.25" hidden="false" customHeight="true" outlineLevel="0" collapsed="false">
      <c r="A292" s="14" t="n">
        <v>291</v>
      </c>
      <c r="B292" s="15" t="n">
        <v>46207.8241281944</v>
      </c>
      <c r="C292" s="15" t="n">
        <v>46207.8394638426</v>
      </c>
      <c r="D292" s="14" t="s">
        <v>1951</v>
      </c>
      <c r="E292" s="14" t="s">
        <v>1952</v>
      </c>
      <c r="F292" s="14" t="s">
        <v>1952</v>
      </c>
      <c r="G292" s="14" t="s">
        <v>1953</v>
      </c>
      <c r="H292" s="15" t="n">
        <v>46204</v>
      </c>
      <c r="I292" s="15" t="s">
        <v>244</v>
      </c>
      <c r="J292" s="14" t="s">
        <v>295</v>
      </c>
      <c r="K292" s="14" t="s">
        <v>232</v>
      </c>
      <c r="L292" s="14" t="s">
        <v>114</v>
      </c>
      <c r="M292" s="14" t="s">
        <v>131</v>
      </c>
      <c r="N292" s="14" t="s">
        <v>112</v>
      </c>
      <c r="O292" s="14" t="s">
        <v>336</v>
      </c>
      <c r="P292" s="14" t="s">
        <v>212</v>
      </c>
      <c r="Q292" s="14" t="s">
        <v>1255</v>
      </c>
      <c r="R292" s="14"/>
      <c r="S292" s="14"/>
      <c r="T292" s="14"/>
      <c r="U292" s="14" t="s">
        <v>22</v>
      </c>
      <c r="V292" s="14"/>
      <c r="W292" s="14" t="s">
        <v>116</v>
      </c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 t="s">
        <v>1954</v>
      </c>
      <c r="BU292" s="14" t="s">
        <v>602</v>
      </c>
      <c r="BV292" s="14" t="s">
        <v>330</v>
      </c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R292" s="1" t="s">
        <v>120</v>
      </c>
      <c r="CS292" s="1" t="s">
        <v>180</v>
      </c>
      <c r="CT292" s="14" t="s">
        <v>122</v>
      </c>
      <c r="CU292" s="1" t="s">
        <v>123</v>
      </c>
      <c r="CV292" s="1" t="s">
        <v>139</v>
      </c>
      <c r="CW292" s="3"/>
      <c r="DG292" s="4"/>
    </row>
    <row r="293" customFormat="false" ht="11.25" hidden="false" customHeight="true" outlineLevel="0" collapsed="false">
      <c r="A293" s="14" t="n">
        <v>292</v>
      </c>
      <c r="B293" s="15" t="n">
        <v>46041.7547921759</v>
      </c>
      <c r="C293" s="15" t="n">
        <v>46041.7722458796</v>
      </c>
      <c r="D293" s="14" t="s">
        <v>1955</v>
      </c>
      <c r="E293" s="14" t="s">
        <v>1956</v>
      </c>
      <c r="F293" s="14" t="s">
        <v>1956</v>
      </c>
      <c r="G293" s="14" t="s">
        <v>1957</v>
      </c>
      <c r="H293" s="15" t="n">
        <v>46027</v>
      </c>
      <c r="I293" s="15" t="s">
        <v>107</v>
      </c>
      <c r="J293" s="14" t="s">
        <v>128</v>
      </c>
      <c r="K293" s="14" t="s">
        <v>232</v>
      </c>
      <c r="L293" s="14" t="s">
        <v>346</v>
      </c>
      <c r="M293" s="14" t="s">
        <v>211</v>
      </c>
      <c r="N293" s="14" t="s">
        <v>112</v>
      </c>
      <c r="O293" s="14" t="s">
        <v>325</v>
      </c>
      <c r="P293" s="14" t="s">
        <v>484</v>
      </c>
      <c r="Q293" s="14" t="s">
        <v>1958</v>
      </c>
      <c r="R293" s="14"/>
      <c r="S293" s="14"/>
      <c r="T293" s="14"/>
      <c r="U293" s="14" t="s">
        <v>22</v>
      </c>
      <c r="V293" s="14"/>
      <c r="W293" s="14" t="s">
        <v>148</v>
      </c>
      <c r="X293" s="14"/>
      <c r="Y293" s="14"/>
      <c r="Z293" s="14"/>
      <c r="AA293" s="14"/>
      <c r="AB293" s="14"/>
      <c r="AC293" s="14"/>
      <c r="AD293" s="14" t="s">
        <v>485</v>
      </c>
      <c r="AE293" s="14" t="s">
        <v>252</v>
      </c>
      <c r="AF293" s="14" t="s">
        <v>696</v>
      </c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R293" s="1" t="s">
        <v>120</v>
      </c>
      <c r="CS293" s="1" t="s">
        <v>228</v>
      </c>
      <c r="CT293" s="14"/>
      <c r="CU293" s="1" t="s">
        <v>192</v>
      </c>
      <c r="CV293" s="1" t="s">
        <v>124</v>
      </c>
      <c r="CW293" s="3"/>
      <c r="DG293" s="4"/>
    </row>
    <row r="294" customFormat="false" ht="11.25" hidden="false" customHeight="true" outlineLevel="0" collapsed="false">
      <c r="A294" s="14" t="n">
        <v>293</v>
      </c>
      <c r="B294" s="15" t="n">
        <v>46170.2091131829</v>
      </c>
      <c r="C294" s="15" t="n">
        <v>46170.2205483681</v>
      </c>
      <c r="D294" s="14" t="s">
        <v>1959</v>
      </c>
      <c r="E294" s="14" t="s">
        <v>1960</v>
      </c>
      <c r="F294" s="14" t="s">
        <v>1960</v>
      </c>
      <c r="G294" s="14" t="s">
        <v>1961</v>
      </c>
      <c r="H294" s="15" t="n">
        <v>46166</v>
      </c>
      <c r="I294" s="15" t="s">
        <v>172</v>
      </c>
      <c r="J294" s="14" t="s">
        <v>108</v>
      </c>
      <c r="K294" s="14" t="s">
        <v>462</v>
      </c>
      <c r="L294" s="14" t="s">
        <v>210</v>
      </c>
      <c r="M294" s="14" t="s">
        <v>111</v>
      </c>
      <c r="N294" s="14" t="s">
        <v>112</v>
      </c>
      <c r="O294" s="14" t="s">
        <v>132</v>
      </c>
      <c r="P294" s="14" t="s">
        <v>736</v>
      </c>
      <c r="Q294" s="14" t="s">
        <v>653</v>
      </c>
      <c r="R294" s="14"/>
      <c r="S294" s="14"/>
      <c r="T294" s="14"/>
      <c r="U294" s="14" t="s">
        <v>22</v>
      </c>
      <c r="V294" s="14"/>
      <c r="W294" s="14" t="s">
        <v>116</v>
      </c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 t="s">
        <v>1962</v>
      </c>
      <c r="BU294" s="14" t="s">
        <v>745</v>
      </c>
      <c r="BV294" s="14" t="s">
        <v>1817</v>
      </c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R294" s="1" t="s">
        <v>152</v>
      </c>
      <c r="CS294" s="1" t="s">
        <v>121</v>
      </c>
      <c r="CT294" s="14"/>
      <c r="CU294" s="1" t="s">
        <v>123</v>
      </c>
      <c r="CV294" s="1" t="s">
        <v>124</v>
      </c>
      <c r="CW294" s="3"/>
      <c r="DG294" s="4"/>
    </row>
    <row r="295" customFormat="false" ht="11.25" hidden="false" customHeight="true" outlineLevel="0" collapsed="false">
      <c r="A295" s="14" t="n">
        <v>294</v>
      </c>
      <c r="B295" s="15" t="n">
        <v>46077.8191926042</v>
      </c>
      <c r="C295" s="15" t="n">
        <v>46077.836669456</v>
      </c>
      <c r="D295" s="14" t="s">
        <v>1963</v>
      </c>
      <c r="E295" s="14" t="s">
        <v>1964</v>
      </c>
      <c r="F295" s="14" t="s">
        <v>1964</v>
      </c>
      <c r="G295" s="14" t="s">
        <v>1965</v>
      </c>
      <c r="H295" s="15" t="n">
        <v>46074</v>
      </c>
      <c r="I295" s="15" t="s">
        <v>172</v>
      </c>
      <c r="J295" s="14" t="s">
        <v>108</v>
      </c>
      <c r="K295" s="14" t="s">
        <v>1966</v>
      </c>
      <c r="L295" s="14" t="s">
        <v>246</v>
      </c>
      <c r="M295" s="14" t="s">
        <v>111</v>
      </c>
      <c r="N295" s="14" t="s">
        <v>112</v>
      </c>
      <c r="O295" s="14" t="s">
        <v>113</v>
      </c>
      <c r="P295" s="14" t="s">
        <v>477</v>
      </c>
      <c r="Q295" s="14" t="s">
        <v>665</v>
      </c>
      <c r="R295" s="14"/>
      <c r="S295" s="14"/>
      <c r="T295" s="14"/>
      <c r="U295" s="14" t="s">
        <v>22</v>
      </c>
      <c r="V295" s="14"/>
      <c r="W295" s="14" t="s">
        <v>135</v>
      </c>
      <c r="X295" s="14"/>
      <c r="Y295" s="14"/>
      <c r="Z295" s="14"/>
      <c r="AA295" s="14" t="s">
        <v>1967</v>
      </c>
      <c r="AB295" s="14" t="s">
        <v>1968</v>
      </c>
      <c r="AC295" s="14" t="s">
        <v>368</v>
      </c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R295" s="1" t="s">
        <v>152</v>
      </c>
      <c r="CS295" s="1" t="s">
        <v>121</v>
      </c>
      <c r="CT295" s="14"/>
      <c r="CU295" s="1" t="s">
        <v>192</v>
      </c>
      <c r="CV295" s="1" t="s">
        <v>124</v>
      </c>
      <c r="CW295" s="3"/>
      <c r="DG295" s="4"/>
    </row>
    <row r="296" customFormat="false" ht="11.25" hidden="false" customHeight="true" outlineLevel="0" collapsed="false">
      <c r="A296" s="14" t="n">
        <v>295</v>
      </c>
      <c r="B296" s="15" t="n">
        <v>46133.467317662</v>
      </c>
      <c r="C296" s="15" t="n">
        <v>46133.4812412732</v>
      </c>
      <c r="D296" s="14" t="s">
        <v>1969</v>
      </c>
      <c r="E296" s="14" t="s">
        <v>1970</v>
      </c>
      <c r="F296" s="14" t="s">
        <v>1970</v>
      </c>
      <c r="G296" s="14" t="s">
        <v>1971</v>
      </c>
      <c r="H296" s="15" t="n">
        <v>46120</v>
      </c>
      <c r="I296" s="15" t="s">
        <v>107</v>
      </c>
      <c r="J296" s="14" t="s">
        <v>108</v>
      </c>
      <c r="K296" s="14" t="s">
        <v>1972</v>
      </c>
      <c r="L296" s="14" t="s">
        <v>346</v>
      </c>
      <c r="M296" s="14" t="s">
        <v>111</v>
      </c>
      <c r="N296" s="14" t="s">
        <v>112</v>
      </c>
      <c r="O296" s="14" t="s">
        <v>113</v>
      </c>
      <c r="P296" s="14" t="s">
        <v>1074</v>
      </c>
      <c r="Q296" s="14" t="s">
        <v>1255</v>
      </c>
      <c r="R296" s="14"/>
      <c r="S296" s="14"/>
      <c r="T296" s="14"/>
      <c r="U296" s="14" t="s">
        <v>22</v>
      </c>
      <c r="V296" s="14"/>
      <c r="W296" s="14" t="s">
        <v>715</v>
      </c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 t="s">
        <v>1973</v>
      </c>
      <c r="BI296" s="14" t="s">
        <v>1974</v>
      </c>
      <c r="BJ296" s="14" t="s">
        <v>1975</v>
      </c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R296" s="1" t="s">
        <v>152</v>
      </c>
      <c r="CS296" s="1" t="s">
        <v>264</v>
      </c>
      <c r="CT296" s="14" t="s">
        <v>785</v>
      </c>
      <c r="CU296" s="1" t="s">
        <v>123</v>
      </c>
      <c r="CV296" s="1" t="s">
        <v>124</v>
      </c>
      <c r="CW296" s="3"/>
      <c r="DG296" s="4"/>
    </row>
    <row r="297" customFormat="false" ht="11.25" hidden="false" customHeight="true" outlineLevel="0" collapsed="false">
      <c r="A297" s="14" t="n">
        <v>296</v>
      </c>
      <c r="B297" s="15" t="n">
        <v>46045.325998912</v>
      </c>
      <c r="C297" s="15" t="n">
        <v>46045.3311840972</v>
      </c>
      <c r="D297" s="14" t="s">
        <v>1976</v>
      </c>
      <c r="E297" s="14" t="s">
        <v>1977</v>
      </c>
      <c r="F297" s="14" t="s">
        <v>1977</v>
      </c>
      <c r="G297" s="14" t="s">
        <v>1978</v>
      </c>
      <c r="H297" s="15" t="n">
        <v>46030</v>
      </c>
      <c r="I297" s="15" t="s">
        <v>260</v>
      </c>
      <c r="J297" s="14" t="s">
        <v>128</v>
      </c>
      <c r="K297" s="14" t="s">
        <v>1979</v>
      </c>
      <c r="L297" s="14" t="s">
        <v>389</v>
      </c>
      <c r="M297" s="14" t="s">
        <v>111</v>
      </c>
      <c r="N297" s="14" t="s">
        <v>145</v>
      </c>
      <c r="O297" s="14" t="s">
        <v>325</v>
      </c>
      <c r="P297" s="14" t="s">
        <v>391</v>
      </c>
      <c r="Q297" s="14" t="s">
        <v>1140</v>
      </c>
      <c r="R297" s="14"/>
      <c r="S297" s="14"/>
      <c r="T297" s="14"/>
      <c r="U297" s="14" t="s">
        <v>23</v>
      </c>
      <c r="V297" s="14"/>
      <c r="W297" s="14"/>
      <c r="X297" s="14" t="s">
        <v>1645</v>
      </c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R297" s="1" t="s">
        <v>152</v>
      </c>
      <c r="CS297" s="1" t="s">
        <v>228</v>
      </c>
      <c r="CT297" s="14" t="s">
        <v>1980</v>
      </c>
      <c r="CU297" s="1" t="s">
        <v>123</v>
      </c>
      <c r="CV297" s="1" t="s">
        <v>139</v>
      </c>
      <c r="CW297" s="3"/>
      <c r="DG297" s="4"/>
    </row>
    <row r="298" customFormat="false" ht="11.25" hidden="false" customHeight="true" outlineLevel="0" collapsed="false">
      <c r="A298" s="14" t="n">
        <v>297</v>
      </c>
      <c r="B298" s="15" t="n">
        <v>46178.2021424884</v>
      </c>
      <c r="C298" s="15" t="n">
        <v>46178.2038438773</v>
      </c>
      <c r="D298" s="14" t="s">
        <v>1981</v>
      </c>
      <c r="E298" s="14" t="s">
        <v>1982</v>
      </c>
      <c r="F298" s="14" t="s">
        <v>1982</v>
      </c>
      <c r="G298" s="14" t="s">
        <v>1983</v>
      </c>
      <c r="H298" s="15" t="n">
        <v>46177</v>
      </c>
      <c r="I298" s="15" t="s">
        <v>244</v>
      </c>
      <c r="J298" s="14" t="s">
        <v>108</v>
      </c>
      <c r="K298" s="14" t="s">
        <v>173</v>
      </c>
      <c r="L298" s="14" t="s">
        <v>159</v>
      </c>
      <c r="M298" s="14" t="s">
        <v>111</v>
      </c>
      <c r="N298" s="14" t="s">
        <v>112</v>
      </c>
      <c r="O298" s="14" t="s">
        <v>113</v>
      </c>
      <c r="P298" s="14" t="s">
        <v>1074</v>
      </c>
      <c r="Q298" s="14" t="s">
        <v>758</v>
      </c>
      <c r="R298" s="14"/>
      <c r="S298" s="14"/>
      <c r="T298" s="14"/>
      <c r="U298" s="14" t="s">
        <v>22</v>
      </c>
      <c r="V298" s="14"/>
      <c r="W298" s="14" t="s">
        <v>116</v>
      </c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 t="s">
        <v>679</v>
      </c>
      <c r="BU298" s="14" t="s">
        <v>1984</v>
      </c>
      <c r="BV298" s="14" t="s">
        <v>901</v>
      </c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R298" s="1" t="s">
        <v>152</v>
      </c>
      <c r="CS298" s="1" t="s">
        <v>352</v>
      </c>
      <c r="CT298" s="14" t="s">
        <v>239</v>
      </c>
      <c r="CU298" s="1" t="s">
        <v>192</v>
      </c>
      <c r="CV298" s="1" t="s">
        <v>124</v>
      </c>
      <c r="CW298" s="3"/>
      <c r="DG298" s="4"/>
    </row>
    <row r="299" customFormat="false" ht="11.25" hidden="false" customHeight="true" outlineLevel="0" collapsed="false">
      <c r="A299" s="14" t="n">
        <v>298</v>
      </c>
      <c r="B299" s="15" t="n">
        <v>46127.8767015972</v>
      </c>
      <c r="C299" s="15" t="n">
        <v>46127.8809377083</v>
      </c>
      <c r="D299" s="14" t="s">
        <v>1985</v>
      </c>
      <c r="E299" s="14" t="s">
        <v>1986</v>
      </c>
      <c r="F299" s="14" t="s">
        <v>1986</v>
      </c>
      <c r="G299" s="14" t="s">
        <v>1987</v>
      </c>
      <c r="H299" s="15" t="n">
        <v>46119</v>
      </c>
      <c r="I299" s="15" t="s">
        <v>1949</v>
      </c>
      <c r="J299" s="14" t="s">
        <v>128</v>
      </c>
      <c r="K299" s="14" t="s">
        <v>143</v>
      </c>
      <c r="L299" s="14" t="s">
        <v>110</v>
      </c>
      <c r="M299" s="14" t="s">
        <v>131</v>
      </c>
      <c r="N299" s="14" t="s">
        <v>112</v>
      </c>
      <c r="O299" s="14" t="s">
        <v>113</v>
      </c>
      <c r="P299" s="14" t="s">
        <v>397</v>
      </c>
      <c r="Q299" s="14" t="s">
        <v>990</v>
      </c>
      <c r="R299" s="14"/>
      <c r="S299" s="14"/>
      <c r="T299" s="14"/>
      <c r="U299" s="14" t="s">
        <v>25</v>
      </c>
      <c r="V299" s="14"/>
      <c r="W299" s="14"/>
      <c r="X299" s="14"/>
      <c r="Y299" s="14"/>
      <c r="Z299" s="14" t="s">
        <v>327</v>
      </c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 t="s">
        <v>215</v>
      </c>
      <c r="CJ299" s="14" t="s">
        <v>745</v>
      </c>
      <c r="CK299" s="14" t="s">
        <v>955</v>
      </c>
      <c r="CL299" s="14"/>
      <c r="CR299" s="1" t="s">
        <v>152</v>
      </c>
      <c r="CS299" s="1" t="s">
        <v>121</v>
      </c>
      <c r="CT299" s="14" t="s">
        <v>1032</v>
      </c>
      <c r="CU299" s="1" t="s">
        <v>123</v>
      </c>
      <c r="CV299" s="1" t="s">
        <v>168</v>
      </c>
      <c r="CW299" s="3"/>
      <c r="DG299" s="4"/>
    </row>
    <row r="300" customFormat="false" ht="11.25" hidden="false" customHeight="true" outlineLevel="0" collapsed="false">
      <c r="A300" s="14" t="n">
        <v>299</v>
      </c>
      <c r="B300" s="15" t="n">
        <v>46171.2995473958</v>
      </c>
      <c r="C300" s="15" t="n">
        <v>46171.3085520255</v>
      </c>
      <c r="D300" s="14" t="s">
        <v>1988</v>
      </c>
      <c r="E300" s="14" t="s">
        <v>1989</v>
      </c>
      <c r="F300" s="14" t="s">
        <v>1989</v>
      </c>
      <c r="G300" s="14" t="s">
        <v>1990</v>
      </c>
      <c r="H300" s="15" t="n">
        <v>46163</v>
      </c>
      <c r="I300" s="15" t="s">
        <v>713</v>
      </c>
      <c r="J300" s="14" t="s">
        <v>108</v>
      </c>
      <c r="K300" s="14" t="s">
        <v>446</v>
      </c>
      <c r="L300" s="14" t="s">
        <v>389</v>
      </c>
      <c r="M300" s="14" t="s">
        <v>111</v>
      </c>
      <c r="N300" s="14" t="s">
        <v>112</v>
      </c>
      <c r="O300" s="14" t="s">
        <v>113</v>
      </c>
      <c r="P300" s="14" t="s">
        <v>736</v>
      </c>
      <c r="Q300" s="14" t="s">
        <v>422</v>
      </c>
      <c r="R300" s="14"/>
      <c r="S300" s="14"/>
      <c r="T300" s="14"/>
      <c r="U300" s="14" t="s">
        <v>22</v>
      </c>
      <c r="V300" s="14"/>
      <c r="W300" s="14" t="s">
        <v>298</v>
      </c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 t="s">
        <v>1191</v>
      </c>
      <c r="AW300" s="14" t="s">
        <v>1991</v>
      </c>
      <c r="AX300" s="14" t="s">
        <v>1992</v>
      </c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R300" s="1" t="s">
        <v>152</v>
      </c>
      <c r="CS300" s="1" t="s">
        <v>264</v>
      </c>
      <c r="CT300" s="14" t="s">
        <v>122</v>
      </c>
      <c r="CU300" s="1" t="s">
        <v>123</v>
      </c>
      <c r="CV300" s="1" t="s">
        <v>124</v>
      </c>
      <c r="CW300" s="3" t="s">
        <v>928</v>
      </c>
      <c r="DG300" s="4"/>
    </row>
    <row r="301" customFormat="false" ht="11.25" hidden="false" customHeight="true" outlineLevel="0" collapsed="false">
      <c r="A301" s="14" t="n">
        <v>300</v>
      </c>
      <c r="B301" s="15" t="n">
        <v>46083.676383831</v>
      </c>
      <c r="C301" s="15" t="n">
        <v>46083.6883282755</v>
      </c>
      <c r="D301" s="14" t="s">
        <v>1993</v>
      </c>
      <c r="E301" s="14" t="s">
        <v>1994</v>
      </c>
      <c r="F301" s="14" t="s">
        <v>1995</v>
      </c>
      <c r="G301" s="14" t="s">
        <v>1996</v>
      </c>
      <c r="H301" s="15" t="n">
        <v>46066</v>
      </c>
      <c r="I301" s="15" t="s">
        <v>244</v>
      </c>
      <c r="J301" s="14" t="s">
        <v>108</v>
      </c>
      <c r="K301" s="14" t="s">
        <v>143</v>
      </c>
      <c r="L301" s="14" t="s">
        <v>431</v>
      </c>
      <c r="M301" s="14" t="s">
        <v>111</v>
      </c>
      <c r="N301" s="14" t="s">
        <v>112</v>
      </c>
      <c r="O301" s="14" t="s">
        <v>113</v>
      </c>
      <c r="P301" s="14" t="s">
        <v>774</v>
      </c>
      <c r="Q301" s="14" t="s">
        <v>1381</v>
      </c>
      <c r="R301" s="14"/>
      <c r="S301" s="14"/>
      <c r="T301" s="14" t="s">
        <v>880</v>
      </c>
      <c r="U301" s="14" t="s">
        <v>24</v>
      </c>
      <c r="V301" s="14"/>
      <c r="W301" s="14"/>
      <c r="X301" s="14"/>
      <c r="Y301" s="14" t="s">
        <v>19</v>
      </c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R301" s="1" t="s">
        <v>120</v>
      </c>
      <c r="CS301" s="1" t="s">
        <v>121</v>
      </c>
      <c r="CT301" s="14" t="s">
        <v>961</v>
      </c>
      <c r="CU301" s="1" t="s">
        <v>123</v>
      </c>
      <c r="CV301" s="1" t="s">
        <v>124</v>
      </c>
      <c r="CW301" s="3" t="s">
        <v>219</v>
      </c>
      <c r="DG301" s="4"/>
    </row>
    <row r="302" customFormat="false" ht="11.25" hidden="false" customHeight="true" outlineLevel="0" collapsed="false">
      <c r="A302" s="14" t="n">
        <v>301</v>
      </c>
      <c r="B302" s="15" t="n">
        <v>46211.5329175</v>
      </c>
      <c r="C302" s="15" t="n">
        <v>46211.5407994445</v>
      </c>
      <c r="D302" s="14" t="s">
        <v>1997</v>
      </c>
      <c r="E302" s="14" t="s">
        <v>1998</v>
      </c>
      <c r="F302" s="14" t="s">
        <v>1998</v>
      </c>
      <c r="G302" s="14" t="s">
        <v>1999</v>
      </c>
      <c r="H302" s="15" t="n">
        <v>46202</v>
      </c>
      <c r="I302" s="15" t="s">
        <v>107</v>
      </c>
      <c r="J302" s="14" t="s">
        <v>108</v>
      </c>
      <c r="K302" s="14" t="s">
        <v>143</v>
      </c>
      <c r="L302" s="14" t="s">
        <v>210</v>
      </c>
      <c r="M302" s="14" t="s">
        <v>111</v>
      </c>
      <c r="N302" s="14" t="s">
        <v>112</v>
      </c>
      <c r="O302" s="14" t="s">
        <v>113</v>
      </c>
      <c r="P302" s="14" t="s">
        <v>365</v>
      </c>
      <c r="Q302" s="14" t="s">
        <v>939</v>
      </c>
      <c r="R302" s="14"/>
      <c r="S302" s="14"/>
      <c r="T302" s="14"/>
      <c r="U302" s="14" t="s">
        <v>22</v>
      </c>
      <c r="V302" s="14"/>
      <c r="W302" s="14" t="s">
        <v>116</v>
      </c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 t="s">
        <v>524</v>
      </c>
      <c r="BU302" s="14" t="s">
        <v>2000</v>
      </c>
      <c r="BV302" s="14" t="s">
        <v>681</v>
      </c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R302" s="1" t="s">
        <v>152</v>
      </c>
      <c r="CS302" s="1" t="s">
        <v>180</v>
      </c>
      <c r="CT302" s="14"/>
      <c r="CU302" s="1" t="s">
        <v>167</v>
      </c>
      <c r="CV302" s="1" t="s">
        <v>124</v>
      </c>
      <c r="CW302" s="3"/>
      <c r="DG302" s="4"/>
    </row>
    <row r="303" customFormat="false" ht="11.25" hidden="false" customHeight="true" outlineLevel="0" collapsed="false">
      <c r="A303" s="14" t="n">
        <v>302</v>
      </c>
      <c r="B303" s="15" t="n">
        <v>46202.5140352546</v>
      </c>
      <c r="C303" s="15" t="n">
        <v>46202.5206440509</v>
      </c>
      <c r="D303" s="14" t="s">
        <v>2001</v>
      </c>
      <c r="E303" s="14" t="s">
        <v>2002</v>
      </c>
      <c r="F303" s="14" t="s">
        <v>2002</v>
      </c>
      <c r="G303" s="14" t="s">
        <v>2003</v>
      </c>
      <c r="H303" s="15" t="n">
        <v>46185</v>
      </c>
      <c r="I303" s="15" t="s">
        <v>107</v>
      </c>
      <c r="J303" s="14" t="s">
        <v>108</v>
      </c>
      <c r="K303" s="14" t="s">
        <v>232</v>
      </c>
      <c r="L303" s="14" t="s">
        <v>197</v>
      </c>
      <c r="M303" s="14" t="s">
        <v>111</v>
      </c>
      <c r="N303" s="14" t="s">
        <v>247</v>
      </c>
      <c r="O303" s="14" t="s">
        <v>113</v>
      </c>
      <c r="P303" s="14" t="s">
        <v>1313</v>
      </c>
      <c r="Q303" s="14" t="s">
        <v>357</v>
      </c>
      <c r="R303" s="14"/>
      <c r="S303" s="14"/>
      <c r="T303" s="14"/>
      <c r="U303" s="14" t="s">
        <v>24</v>
      </c>
      <c r="V303" s="14"/>
      <c r="W303" s="14"/>
      <c r="X303" s="14"/>
      <c r="Y303" s="14" t="s">
        <v>260</v>
      </c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 t="s">
        <v>2004</v>
      </c>
      <c r="CG303" s="14" t="s">
        <v>2005</v>
      </c>
      <c r="CH303" s="14" t="s">
        <v>263</v>
      </c>
      <c r="CI303" s="14"/>
      <c r="CJ303" s="14"/>
      <c r="CK303" s="14"/>
      <c r="CL303" s="14"/>
      <c r="CR303" s="1" t="s">
        <v>152</v>
      </c>
      <c r="CS303" s="1" t="s">
        <v>352</v>
      </c>
      <c r="CT303" s="14" t="s">
        <v>122</v>
      </c>
      <c r="CU303" s="1" t="s">
        <v>123</v>
      </c>
      <c r="CV303" s="1" t="s">
        <v>124</v>
      </c>
      <c r="CW303" s="3"/>
      <c r="DG303" s="4"/>
    </row>
    <row r="304" customFormat="false" ht="11.25" hidden="false" customHeight="true" outlineLevel="0" collapsed="false">
      <c r="A304" s="14" t="n">
        <v>303</v>
      </c>
      <c r="B304" s="15" t="n">
        <v>46048.2146460301</v>
      </c>
      <c r="C304" s="15" t="n">
        <v>46048.2244608449</v>
      </c>
      <c r="D304" s="14" t="s">
        <v>2006</v>
      </c>
      <c r="E304" s="14" t="s">
        <v>2007</v>
      </c>
      <c r="F304" s="14" t="s">
        <v>2007</v>
      </c>
      <c r="G304" s="14" t="s">
        <v>2008</v>
      </c>
      <c r="H304" s="15" t="n">
        <v>46040</v>
      </c>
      <c r="I304" s="15" t="s">
        <v>107</v>
      </c>
      <c r="J304" s="14" t="s">
        <v>128</v>
      </c>
      <c r="K304" s="14" t="s">
        <v>462</v>
      </c>
      <c r="L304" s="14" t="s">
        <v>210</v>
      </c>
      <c r="M304" s="14" t="s">
        <v>211</v>
      </c>
      <c r="N304" s="14" t="s">
        <v>112</v>
      </c>
      <c r="O304" s="14" t="s">
        <v>113</v>
      </c>
      <c r="P304" s="14" t="s">
        <v>269</v>
      </c>
      <c r="Q304" s="14" t="s">
        <v>297</v>
      </c>
      <c r="R304" s="14"/>
      <c r="S304" s="14"/>
      <c r="T304" s="14"/>
      <c r="U304" s="14" t="s">
        <v>22</v>
      </c>
      <c r="V304" s="14"/>
      <c r="W304" s="14" t="s">
        <v>381</v>
      </c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 t="s">
        <v>463</v>
      </c>
      <c r="BR304" s="14" t="s">
        <v>1496</v>
      </c>
      <c r="BS304" s="14" t="s">
        <v>1574</v>
      </c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R304" s="1" t="s">
        <v>152</v>
      </c>
      <c r="CS304" s="1" t="s">
        <v>352</v>
      </c>
      <c r="CT304" s="14" t="s">
        <v>122</v>
      </c>
      <c r="CU304" s="1" t="s">
        <v>123</v>
      </c>
      <c r="CV304" s="1" t="s">
        <v>124</v>
      </c>
      <c r="CW304" s="3"/>
      <c r="DG304" s="4"/>
    </row>
    <row r="305" customFormat="false" ht="11.25" hidden="false" customHeight="true" outlineLevel="0" collapsed="false">
      <c r="A305" s="14" t="n">
        <v>304</v>
      </c>
      <c r="B305" s="15" t="n">
        <v>46052.5350590162</v>
      </c>
      <c r="C305" s="15" t="n">
        <v>46052.5480682755</v>
      </c>
      <c r="D305" s="14" t="s">
        <v>2009</v>
      </c>
      <c r="E305" s="14" t="s">
        <v>2010</v>
      </c>
      <c r="F305" s="14" t="s">
        <v>2010</v>
      </c>
      <c r="G305" s="14" t="s">
        <v>2011</v>
      </c>
      <c r="H305" s="15" t="n">
        <v>46043</v>
      </c>
      <c r="I305" s="15" t="s">
        <v>107</v>
      </c>
      <c r="J305" s="14" t="s">
        <v>108</v>
      </c>
      <c r="K305" s="14" t="s">
        <v>2012</v>
      </c>
      <c r="L305" s="14" t="s">
        <v>210</v>
      </c>
      <c r="M305" s="14" t="s">
        <v>111</v>
      </c>
      <c r="N305" s="14" t="s">
        <v>112</v>
      </c>
      <c r="O305" s="14" t="s">
        <v>113</v>
      </c>
      <c r="P305" s="14" t="s">
        <v>1074</v>
      </c>
      <c r="Q305" s="14" t="s">
        <v>758</v>
      </c>
      <c r="R305" s="14"/>
      <c r="S305" s="14"/>
      <c r="T305" s="14"/>
      <c r="U305" s="14" t="s">
        <v>22</v>
      </c>
      <c r="V305" s="14"/>
      <c r="W305" s="14" t="s">
        <v>339</v>
      </c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 t="s">
        <v>340</v>
      </c>
      <c r="BO305" s="14" t="s">
        <v>1585</v>
      </c>
      <c r="BP305" s="14" t="s">
        <v>252</v>
      </c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R305" s="1" t="s">
        <v>152</v>
      </c>
      <c r="CS305" s="1" t="s">
        <v>121</v>
      </c>
      <c r="CT305" s="14"/>
      <c r="CU305" s="1" t="s">
        <v>167</v>
      </c>
      <c r="CV305" s="1" t="s">
        <v>139</v>
      </c>
      <c r="CW305" s="3"/>
      <c r="DG305" s="4"/>
    </row>
    <row r="306" customFormat="false" ht="11.25" hidden="false" customHeight="true" outlineLevel="0" collapsed="false">
      <c r="A306" s="14" t="n">
        <v>305</v>
      </c>
      <c r="B306" s="15" t="n">
        <v>46164.7967234607</v>
      </c>
      <c r="C306" s="15" t="n">
        <v>46164.8129734607</v>
      </c>
      <c r="D306" s="14" t="s">
        <v>2013</v>
      </c>
      <c r="E306" s="14" t="s">
        <v>2014</v>
      </c>
      <c r="F306" s="14" t="s">
        <v>2015</v>
      </c>
      <c r="G306" s="14" t="s">
        <v>2016</v>
      </c>
      <c r="H306" s="15" t="n">
        <v>46164</v>
      </c>
      <c r="I306" s="15" t="s">
        <v>260</v>
      </c>
      <c r="J306" s="14" t="s">
        <v>108</v>
      </c>
      <c r="K306" s="14" t="s">
        <v>257</v>
      </c>
      <c r="L306" s="14" t="s">
        <v>110</v>
      </c>
      <c r="M306" s="14" t="s">
        <v>111</v>
      </c>
      <c r="N306" s="14" t="s">
        <v>112</v>
      </c>
      <c r="O306" s="14" t="s">
        <v>113</v>
      </c>
      <c r="P306" s="14" t="s">
        <v>130</v>
      </c>
      <c r="Q306" s="14" t="s">
        <v>259</v>
      </c>
      <c r="R306" s="14"/>
      <c r="S306" s="14"/>
      <c r="T306" s="14"/>
      <c r="U306" s="14" t="s">
        <v>22</v>
      </c>
      <c r="V306" s="14"/>
      <c r="W306" s="14" t="s">
        <v>381</v>
      </c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 t="s">
        <v>842</v>
      </c>
      <c r="BR306" s="14" t="s">
        <v>464</v>
      </c>
      <c r="BS306" s="14" t="s">
        <v>384</v>
      </c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R306" s="1" t="s">
        <v>120</v>
      </c>
      <c r="CS306" s="1" t="s">
        <v>121</v>
      </c>
      <c r="CT306" s="14" t="s">
        <v>122</v>
      </c>
      <c r="CU306" s="1" t="s">
        <v>167</v>
      </c>
      <c r="CV306" s="1" t="s">
        <v>124</v>
      </c>
      <c r="CW306" s="3" t="s">
        <v>1175</v>
      </c>
      <c r="DG306" s="4"/>
    </row>
    <row r="307" customFormat="false" ht="11.25" hidden="false" customHeight="true" outlineLevel="0" collapsed="false">
      <c r="A307" s="14" t="n">
        <v>306</v>
      </c>
      <c r="B307" s="15" t="n">
        <v>46146.0315814236</v>
      </c>
      <c r="C307" s="15" t="n">
        <v>46146.0413383681</v>
      </c>
      <c r="D307" s="14" t="s">
        <v>2017</v>
      </c>
      <c r="E307" s="14" t="s">
        <v>2018</v>
      </c>
      <c r="F307" s="14" t="s">
        <v>2018</v>
      </c>
      <c r="G307" s="14" t="s">
        <v>2019</v>
      </c>
      <c r="H307" s="15" t="n">
        <v>46134</v>
      </c>
      <c r="I307" s="15" t="s">
        <v>244</v>
      </c>
      <c r="J307" s="14" t="s">
        <v>295</v>
      </c>
      <c r="K307" s="14" t="s">
        <v>196</v>
      </c>
      <c r="L307" s="14" t="s">
        <v>268</v>
      </c>
      <c r="M307" s="14" t="s">
        <v>390</v>
      </c>
      <c r="N307" s="14" t="s">
        <v>112</v>
      </c>
      <c r="O307" s="14" t="s">
        <v>336</v>
      </c>
      <c r="P307" s="14" t="s">
        <v>652</v>
      </c>
      <c r="Q307" s="14" t="s">
        <v>998</v>
      </c>
      <c r="R307" s="14"/>
      <c r="S307" s="14"/>
      <c r="T307" s="14"/>
      <c r="U307" s="14" t="s">
        <v>21</v>
      </c>
      <c r="V307" s="14" t="s">
        <v>250</v>
      </c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 t="s">
        <v>1457</v>
      </c>
      <c r="BF307" s="14" t="s">
        <v>252</v>
      </c>
      <c r="BG307" s="14" t="s">
        <v>681</v>
      </c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R307" s="1" t="s">
        <v>152</v>
      </c>
      <c r="CS307" s="1" t="s">
        <v>121</v>
      </c>
      <c r="CT307" s="14"/>
      <c r="CU307" s="1" t="s">
        <v>167</v>
      </c>
      <c r="CV307" s="1" t="s">
        <v>124</v>
      </c>
      <c r="CW307" s="3"/>
      <c r="DG307" s="4"/>
    </row>
    <row r="308" customFormat="false" ht="11.25" hidden="false" customHeight="true" outlineLevel="0" collapsed="false">
      <c r="A308" s="14" t="n">
        <v>307</v>
      </c>
      <c r="B308" s="15" t="n">
        <v>46047.5054023264</v>
      </c>
      <c r="C308" s="15" t="n">
        <v>46047.5132148264</v>
      </c>
      <c r="D308" s="14" t="s">
        <v>2020</v>
      </c>
      <c r="E308" s="14" t="s">
        <v>2021</v>
      </c>
      <c r="F308" s="14" t="s">
        <v>2021</v>
      </c>
      <c r="G308" s="14" t="s">
        <v>2022</v>
      </c>
      <c r="H308" s="15" t="n">
        <v>46039</v>
      </c>
      <c r="I308" s="15" t="s">
        <v>278</v>
      </c>
      <c r="J308" s="14" t="s">
        <v>295</v>
      </c>
      <c r="K308" s="14" t="s">
        <v>2023</v>
      </c>
      <c r="L308" s="14" t="s">
        <v>246</v>
      </c>
      <c r="M308" s="14" t="s">
        <v>131</v>
      </c>
      <c r="N308" s="14" t="s">
        <v>198</v>
      </c>
      <c r="O308" s="14" t="s">
        <v>325</v>
      </c>
      <c r="P308" s="14" t="s">
        <v>248</v>
      </c>
      <c r="Q308" s="14" t="s">
        <v>147</v>
      </c>
      <c r="R308" s="14"/>
      <c r="S308" s="14"/>
      <c r="T308" s="14"/>
      <c r="U308" s="14" t="s">
        <v>22</v>
      </c>
      <c r="V308" s="14"/>
      <c r="W308" s="14" t="s">
        <v>381</v>
      </c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 t="s">
        <v>2024</v>
      </c>
      <c r="BR308" s="14" t="s">
        <v>383</v>
      </c>
      <c r="BS308" s="14" t="s">
        <v>1197</v>
      </c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R308" s="1" t="s">
        <v>152</v>
      </c>
      <c r="CS308" s="1" t="s">
        <v>121</v>
      </c>
      <c r="CT308" s="14" t="s">
        <v>1940</v>
      </c>
      <c r="CU308" s="1" t="s">
        <v>123</v>
      </c>
      <c r="CV308" s="1" t="s">
        <v>124</v>
      </c>
      <c r="CW308" s="3"/>
      <c r="DG308" s="4"/>
    </row>
    <row r="309" customFormat="false" ht="11.25" hidden="false" customHeight="true" outlineLevel="0" collapsed="false">
      <c r="A309" s="14" t="n">
        <v>308</v>
      </c>
      <c r="B309" s="15" t="n">
        <v>46059.8689974537</v>
      </c>
      <c r="C309" s="15" t="n">
        <v>46059.8782798611</v>
      </c>
      <c r="D309" s="14" t="s">
        <v>2025</v>
      </c>
      <c r="E309" s="14" t="s">
        <v>2026</v>
      </c>
      <c r="F309" s="14" t="s">
        <v>2026</v>
      </c>
      <c r="G309" s="14" t="s">
        <v>2027</v>
      </c>
      <c r="H309" s="15" t="n">
        <v>46039</v>
      </c>
      <c r="I309" s="15" t="s">
        <v>713</v>
      </c>
      <c r="J309" s="14" t="s">
        <v>108</v>
      </c>
      <c r="K309" s="14" t="s">
        <v>196</v>
      </c>
      <c r="L309" s="14" t="s">
        <v>184</v>
      </c>
      <c r="M309" s="14" t="s">
        <v>111</v>
      </c>
      <c r="N309" s="14" t="s">
        <v>112</v>
      </c>
      <c r="O309" s="14" t="s">
        <v>113</v>
      </c>
      <c r="P309" s="14" t="s">
        <v>133</v>
      </c>
      <c r="Q309" s="14" t="s">
        <v>1050</v>
      </c>
      <c r="R309" s="14"/>
      <c r="S309" s="14"/>
      <c r="T309" s="14"/>
      <c r="U309" s="14" t="s">
        <v>22</v>
      </c>
      <c r="V309" s="14"/>
      <c r="W309" s="14" t="s">
        <v>176</v>
      </c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 t="s">
        <v>2028</v>
      </c>
      <c r="AZ309" s="14" t="s">
        <v>1848</v>
      </c>
      <c r="BA309" s="14" t="s">
        <v>252</v>
      </c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R309" s="1" t="s">
        <v>152</v>
      </c>
      <c r="CS309" s="1" t="s">
        <v>165</v>
      </c>
      <c r="CT309" s="14" t="s">
        <v>218</v>
      </c>
      <c r="CU309" s="1" t="s">
        <v>167</v>
      </c>
      <c r="CV309" s="1" t="s">
        <v>124</v>
      </c>
      <c r="CW309" s="3"/>
      <c r="DG309" s="4"/>
    </row>
    <row r="310" customFormat="false" ht="11.25" hidden="false" customHeight="true" outlineLevel="0" collapsed="false">
      <c r="A310" s="14" t="n">
        <v>309</v>
      </c>
      <c r="B310" s="15" t="n">
        <v>46046.0803223148</v>
      </c>
      <c r="C310" s="15" t="n">
        <v>46046.0926139815</v>
      </c>
      <c r="D310" s="14" t="s">
        <v>2029</v>
      </c>
      <c r="E310" s="14" t="s">
        <v>2030</v>
      </c>
      <c r="F310" s="14" t="s">
        <v>2030</v>
      </c>
      <c r="G310" s="14" t="s">
        <v>2031</v>
      </c>
      <c r="H310" s="15" t="n">
        <v>46029</v>
      </c>
      <c r="I310" s="15" t="s">
        <v>1506</v>
      </c>
      <c r="J310" s="14" t="s">
        <v>128</v>
      </c>
      <c r="K310" s="14" t="s">
        <v>2032</v>
      </c>
      <c r="L310" s="14" t="s">
        <v>184</v>
      </c>
      <c r="M310" s="14" t="s">
        <v>111</v>
      </c>
      <c r="N310" s="14" t="s">
        <v>112</v>
      </c>
      <c r="O310" s="14" t="s">
        <v>336</v>
      </c>
      <c r="P310" s="14" t="s">
        <v>1380</v>
      </c>
      <c r="Q310" s="14" t="s">
        <v>337</v>
      </c>
      <c r="R310" s="14"/>
      <c r="S310" s="14"/>
      <c r="T310" s="14"/>
      <c r="U310" s="14" t="s">
        <v>22</v>
      </c>
      <c r="V310" s="14"/>
      <c r="W310" s="14" t="s">
        <v>135</v>
      </c>
      <c r="X310" s="14"/>
      <c r="Y310" s="14"/>
      <c r="Z310" s="14"/>
      <c r="AA310" s="14" t="s">
        <v>2033</v>
      </c>
      <c r="AB310" s="14" t="s">
        <v>137</v>
      </c>
      <c r="AC310" s="14" t="s">
        <v>704</v>
      </c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R310" s="1" t="s">
        <v>120</v>
      </c>
      <c r="CS310" s="1" t="s">
        <v>121</v>
      </c>
      <c r="CT310" s="14"/>
      <c r="CU310" s="1" t="s">
        <v>123</v>
      </c>
      <c r="CV310" s="1" t="s">
        <v>124</v>
      </c>
      <c r="CW310" s="3"/>
      <c r="DG310" s="4"/>
    </row>
    <row r="311" customFormat="false" ht="11.25" hidden="false" customHeight="true" outlineLevel="0" collapsed="false">
      <c r="A311" s="14" t="n">
        <v>310</v>
      </c>
      <c r="B311" s="15" t="n">
        <v>46061.8144224769</v>
      </c>
      <c r="C311" s="15" t="n">
        <v>46061.8334271065</v>
      </c>
      <c r="D311" s="14" t="s">
        <v>2034</v>
      </c>
      <c r="E311" s="14" t="s">
        <v>2035</v>
      </c>
      <c r="F311" s="14" t="s">
        <v>2035</v>
      </c>
      <c r="G311" s="14" t="s">
        <v>2036</v>
      </c>
      <c r="H311" s="15" t="n">
        <v>46052</v>
      </c>
      <c r="I311" s="15" t="s">
        <v>172</v>
      </c>
      <c r="J311" s="14" t="s">
        <v>295</v>
      </c>
      <c r="K311" s="14" t="s">
        <v>173</v>
      </c>
      <c r="L311" s="14" t="s">
        <v>130</v>
      </c>
      <c r="M311" s="14" t="s">
        <v>111</v>
      </c>
      <c r="N311" s="14" t="s">
        <v>112</v>
      </c>
      <c r="O311" s="14" t="s">
        <v>113</v>
      </c>
      <c r="P311" s="14" t="s">
        <v>269</v>
      </c>
      <c r="Q311" s="14" t="s">
        <v>1140</v>
      </c>
      <c r="R311" s="14"/>
      <c r="S311" s="14"/>
      <c r="T311" s="14"/>
      <c r="U311" s="14" t="s">
        <v>22</v>
      </c>
      <c r="V311" s="14"/>
      <c r="W311" s="14" t="s">
        <v>298</v>
      </c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 t="s">
        <v>1623</v>
      </c>
      <c r="AW311" s="14" t="s">
        <v>2037</v>
      </c>
      <c r="AX311" s="14" t="s">
        <v>2038</v>
      </c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R311" s="1" t="s">
        <v>152</v>
      </c>
      <c r="CS311" s="1" t="s">
        <v>121</v>
      </c>
      <c r="CT311" s="14" t="s">
        <v>2039</v>
      </c>
      <c r="CU311" s="1" t="s">
        <v>167</v>
      </c>
      <c r="CV311" s="1" t="s">
        <v>124</v>
      </c>
      <c r="CW311" s="3" t="s">
        <v>621</v>
      </c>
      <c r="DG311" s="4"/>
    </row>
    <row r="312" customFormat="false" ht="11.25" hidden="false" customHeight="true" outlineLevel="0" collapsed="false">
      <c r="A312" s="14" t="n">
        <v>311</v>
      </c>
      <c r="B312" s="15" t="n">
        <v>46114.8366879514</v>
      </c>
      <c r="C312" s="15" t="n">
        <v>46114.8393962847</v>
      </c>
      <c r="D312" s="14" t="s">
        <v>2040</v>
      </c>
      <c r="E312" s="14" t="s">
        <v>2041</v>
      </c>
      <c r="F312" s="14" t="s">
        <v>2041</v>
      </c>
      <c r="G312" s="14" t="s">
        <v>2042</v>
      </c>
      <c r="H312" s="15" t="n">
        <v>46097</v>
      </c>
      <c r="I312" s="15" t="s">
        <v>244</v>
      </c>
      <c r="J312" s="14" t="s">
        <v>108</v>
      </c>
      <c r="K312" s="14" t="s">
        <v>196</v>
      </c>
      <c r="L312" s="14" t="s">
        <v>144</v>
      </c>
      <c r="M312" s="14" t="s">
        <v>111</v>
      </c>
      <c r="N312" s="14" t="s">
        <v>112</v>
      </c>
      <c r="O312" s="14" t="s">
        <v>113</v>
      </c>
      <c r="P312" s="14" t="s">
        <v>686</v>
      </c>
      <c r="Q312" s="14" t="s">
        <v>1781</v>
      </c>
      <c r="R312" s="14"/>
      <c r="S312" s="14"/>
      <c r="T312" s="14"/>
      <c r="U312" s="14" t="s">
        <v>22</v>
      </c>
      <c r="V312" s="14"/>
      <c r="W312" s="14" t="s">
        <v>339</v>
      </c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 t="s">
        <v>2043</v>
      </c>
      <c r="BO312" s="14" t="s">
        <v>753</v>
      </c>
      <c r="BP312" s="14" t="s">
        <v>555</v>
      </c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R312" s="1" t="s">
        <v>152</v>
      </c>
      <c r="CS312" s="1" t="s">
        <v>496</v>
      </c>
      <c r="CT312" s="14"/>
      <c r="CU312" s="1" t="s">
        <v>192</v>
      </c>
      <c r="CV312" s="1" t="s">
        <v>124</v>
      </c>
      <c r="CW312" s="3"/>
      <c r="DG312" s="4"/>
    </row>
    <row r="313" customFormat="false" ht="11.25" hidden="false" customHeight="true" outlineLevel="0" collapsed="false">
      <c r="A313" s="14" t="n">
        <v>312</v>
      </c>
      <c r="B313" s="15" t="n">
        <v>46100.7845935185</v>
      </c>
      <c r="C313" s="15" t="n">
        <v>46100.799049537</v>
      </c>
      <c r="D313" s="14" t="s">
        <v>2044</v>
      </c>
      <c r="E313" s="14" t="s">
        <v>2045</v>
      </c>
      <c r="F313" s="14" t="s">
        <v>2045</v>
      </c>
      <c r="G313" s="14" t="s">
        <v>2046</v>
      </c>
      <c r="H313" s="15" t="n">
        <v>46099</v>
      </c>
      <c r="I313" s="15" t="s">
        <v>107</v>
      </c>
      <c r="J313" s="14" t="s">
        <v>108</v>
      </c>
      <c r="K313" s="14" t="s">
        <v>173</v>
      </c>
      <c r="L313" s="14" t="s">
        <v>389</v>
      </c>
      <c r="M313" s="14" t="s">
        <v>111</v>
      </c>
      <c r="N313" s="14" t="s">
        <v>112</v>
      </c>
      <c r="O313" s="14" t="s">
        <v>863</v>
      </c>
      <c r="P313" s="14" t="s">
        <v>736</v>
      </c>
      <c r="Q313" s="14" t="s">
        <v>998</v>
      </c>
      <c r="R313" s="14"/>
      <c r="S313" s="14"/>
      <c r="T313" s="14"/>
      <c r="U313" s="14" t="s">
        <v>23</v>
      </c>
      <c r="V313" s="14"/>
      <c r="W313" s="14"/>
      <c r="X313" s="14" t="s">
        <v>1645</v>
      </c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R313" s="1" t="s">
        <v>152</v>
      </c>
      <c r="CS313" s="1" t="s">
        <v>121</v>
      </c>
      <c r="CT313" s="14"/>
      <c r="CU313" s="1" t="s">
        <v>123</v>
      </c>
      <c r="CV313" s="1" t="s">
        <v>124</v>
      </c>
      <c r="CW313" s="3"/>
      <c r="DG313" s="4"/>
    </row>
    <row r="314" customFormat="false" ht="11.25" hidden="false" customHeight="true" outlineLevel="0" collapsed="false">
      <c r="A314" s="14" t="n">
        <v>313</v>
      </c>
      <c r="B314" s="15" t="n">
        <v>46209.123008831</v>
      </c>
      <c r="C314" s="15" t="n">
        <v>46209.1362958681</v>
      </c>
      <c r="D314" s="14" t="s">
        <v>2047</v>
      </c>
      <c r="E314" s="14" t="s">
        <v>2048</v>
      </c>
      <c r="F314" s="14" t="s">
        <v>2048</v>
      </c>
      <c r="G314" s="14" t="s">
        <v>2049</v>
      </c>
      <c r="H314" s="15" t="n">
        <v>46209</v>
      </c>
      <c r="I314" s="15" t="s">
        <v>244</v>
      </c>
      <c r="J314" s="14" t="s">
        <v>108</v>
      </c>
      <c r="K314" s="14" t="s">
        <v>173</v>
      </c>
      <c r="L314" s="14" t="s">
        <v>130</v>
      </c>
      <c r="M314" s="14" t="s">
        <v>111</v>
      </c>
      <c r="N314" s="14" t="s">
        <v>145</v>
      </c>
      <c r="O314" s="14" t="s">
        <v>113</v>
      </c>
      <c r="P314" s="14" t="s">
        <v>337</v>
      </c>
      <c r="Q314" s="14" t="s">
        <v>827</v>
      </c>
      <c r="R314" s="14"/>
      <c r="S314" s="14"/>
      <c r="T314" s="14"/>
      <c r="U314" s="14" t="s">
        <v>24</v>
      </c>
      <c r="V314" s="14"/>
      <c r="W314" s="14"/>
      <c r="X314" s="14"/>
      <c r="Y314" s="14" t="s">
        <v>223</v>
      </c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 t="s">
        <v>1540</v>
      </c>
      <c r="CA314" s="14" t="s">
        <v>1431</v>
      </c>
      <c r="CB314" s="14" t="s">
        <v>425</v>
      </c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R314" s="1" t="s">
        <v>152</v>
      </c>
      <c r="CS314" s="1" t="s">
        <v>121</v>
      </c>
      <c r="CT314" s="14" t="s">
        <v>122</v>
      </c>
      <c r="CU314" s="1" t="s">
        <v>167</v>
      </c>
      <c r="CV314" s="1" t="s">
        <v>124</v>
      </c>
      <c r="CW314" s="3"/>
      <c r="DG314" s="4"/>
    </row>
    <row r="315" customFormat="false" ht="11.25" hidden="false" customHeight="true" outlineLevel="0" collapsed="false">
      <c r="A315" s="14" t="n">
        <v>314</v>
      </c>
      <c r="B315" s="15" t="n">
        <v>46128.3077563426</v>
      </c>
      <c r="C315" s="15" t="n">
        <v>46128.3236128241</v>
      </c>
      <c r="D315" s="14" t="s">
        <v>2050</v>
      </c>
      <c r="E315" s="14" t="s">
        <v>2051</v>
      </c>
      <c r="F315" s="14" t="s">
        <v>2052</v>
      </c>
      <c r="G315" s="14" t="s">
        <v>2053</v>
      </c>
      <c r="H315" s="15" t="n">
        <v>46124</v>
      </c>
      <c r="I315" s="15" t="s">
        <v>244</v>
      </c>
      <c r="J315" s="14" t="s">
        <v>128</v>
      </c>
      <c r="K315" s="14" t="s">
        <v>1456</v>
      </c>
      <c r="L315" s="14" t="s">
        <v>246</v>
      </c>
      <c r="M315" s="14" t="s">
        <v>111</v>
      </c>
      <c r="N315" s="14" t="s">
        <v>145</v>
      </c>
      <c r="O315" s="14" t="s">
        <v>113</v>
      </c>
      <c r="P315" s="14" t="s">
        <v>864</v>
      </c>
      <c r="Q315" s="14" t="s">
        <v>544</v>
      </c>
      <c r="R315" s="14"/>
      <c r="S315" s="14"/>
      <c r="T315" s="14"/>
      <c r="U315" s="14" t="s">
        <v>24</v>
      </c>
      <c r="V315" s="14"/>
      <c r="W315" s="14"/>
      <c r="X315" s="14"/>
      <c r="Y315" s="14" t="s">
        <v>214</v>
      </c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 t="s">
        <v>886</v>
      </c>
      <c r="CD315" s="14" t="s">
        <v>2054</v>
      </c>
      <c r="CE315" s="14" t="s">
        <v>252</v>
      </c>
      <c r="CF315" s="14"/>
      <c r="CG315" s="14"/>
      <c r="CH315" s="14"/>
      <c r="CI315" s="14"/>
      <c r="CJ315" s="14"/>
      <c r="CK315" s="14"/>
      <c r="CL315" s="14"/>
      <c r="CR315" s="1" t="s">
        <v>152</v>
      </c>
      <c r="CS315" s="1" t="s">
        <v>121</v>
      </c>
      <c r="CT315" s="14"/>
      <c r="CU315" s="1" t="s">
        <v>192</v>
      </c>
      <c r="CV315" s="1" t="s">
        <v>124</v>
      </c>
      <c r="CW315" s="3"/>
      <c r="DG315" s="4"/>
    </row>
    <row r="316" customFormat="false" ht="11.25" hidden="false" customHeight="true" outlineLevel="0" collapsed="false">
      <c r="A316" s="14" t="n">
        <v>315</v>
      </c>
      <c r="B316" s="15" t="n">
        <v>46056.1926711343</v>
      </c>
      <c r="C316" s="15" t="n">
        <v>46056.2094651157</v>
      </c>
      <c r="D316" s="14" t="s">
        <v>2055</v>
      </c>
      <c r="E316" s="14" t="s">
        <v>2056</v>
      </c>
      <c r="F316" s="14" t="s">
        <v>2056</v>
      </c>
      <c r="G316" s="14" t="s">
        <v>2057</v>
      </c>
      <c r="H316" s="15" t="n">
        <v>46038</v>
      </c>
      <c r="I316" s="15" t="s">
        <v>172</v>
      </c>
      <c r="J316" s="14" t="s">
        <v>108</v>
      </c>
      <c r="K316" s="14" t="s">
        <v>1049</v>
      </c>
      <c r="L316" s="14" t="s">
        <v>159</v>
      </c>
      <c r="M316" s="14" t="s">
        <v>131</v>
      </c>
      <c r="N316" s="14" t="s">
        <v>145</v>
      </c>
      <c r="O316" s="14" t="s">
        <v>113</v>
      </c>
      <c r="P316" s="14" t="s">
        <v>501</v>
      </c>
      <c r="Q316" s="14" t="s">
        <v>899</v>
      </c>
      <c r="R316" s="14"/>
      <c r="S316" s="14"/>
      <c r="T316" s="14"/>
      <c r="U316" s="14" t="s">
        <v>24</v>
      </c>
      <c r="V316" s="14"/>
      <c r="W316" s="14"/>
      <c r="X316" s="14"/>
      <c r="Y316" s="14" t="s">
        <v>448</v>
      </c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 t="s">
        <v>2058</v>
      </c>
      <c r="BX316" s="14" t="s">
        <v>2059</v>
      </c>
      <c r="BY316" s="14" t="s">
        <v>495</v>
      </c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R316" s="1" t="s">
        <v>227</v>
      </c>
      <c r="CS316" s="1" t="s">
        <v>121</v>
      </c>
      <c r="CT316" s="14" t="s">
        <v>1326</v>
      </c>
      <c r="CU316" s="1" t="s">
        <v>123</v>
      </c>
      <c r="CV316" s="1" t="s">
        <v>168</v>
      </c>
      <c r="CW316" s="3"/>
      <c r="DG316" s="4"/>
    </row>
    <row r="317" customFormat="false" ht="11.25" hidden="false" customHeight="true" outlineLevel="0" collapsed="false">
      <c r="A317" s="14" t="n">
        <v>316</v>
      </c>
      <c r="B317" s="15" t="n">
        <v>46181.7437615046</v>
      </c>
      <c r="C317" s="15" t="n">
        <v>46181.7468749306</v>
      </c>
      <c r="D317" s="14" t="s">
        <v>2060</v>
      </c>
      <c r="E317" s="14" t="s">
        <v>2061</v>
      </c>
      <c r="F317" s="14" t="s">
        <v>2061</v>
      </c>
      <c r="G317" s="14" t="s">
        <v>2062</v>
      </c>
      <c r="H317" s="15" t="n">
        <v>46167</v>
      </c>
      <c r="I317" s="15" t="s">
        <v>244</v>
      </c>
      <c r="J317" s="14" t="s">
        <v>108</v>
      </c>
      <c r="K317" s="14" t="s">
        <v>196</v>
      </c>
      <c r="L317" s="14" t="s">
        <v>114</v>
      </c>
      <c r="M317" s="14" t="s">
        <v>111</v>
      </c>
      <c r="N317" s="14" t="s">
        <v>145</v>
      </c>
      <c r="O317" s="14" t="s">
        <v>305</v>
      </c>
      <c r="P317" s="14" t="s">
        <v>199</v>
      </c>
      <c r="Q317" s="14" t="s">
        <v>552</v>
      </c>
      <c r="R317" s="14"/>
      <c r="S317" s="14"/>
      <c r="T317" s="14"/>
      <c r="U317" s="14" t="s">
        <v>22</v>
      </c>
      <c r="V317" s="14"/>
      <c r="W317" s="14" t="s">
        <v>339</v>
      </c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 t="s">
        <v>2063</v>
      </c>
      <c r="BO317" s="14" t="s">
        <v>777</v>
      </c>
      <c r="BP317" s="14" t="s">
        <v>1879</v>
      </c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R317" s="1" t="s">
        <v>120</v>
      </c>
      <c r="CS317" s="1" t="s">
        <v>121</v>
      </c>
      <c r="CT317" s="14" t="s">
        <v>122</v>
      </c>
      <c r="CU317" s="1" t="s">
        <v>167</v>
      </c>
      <c r="CV317" s="1" t="s">
        <v>124</v>
      </c>
      <c r="CW317" s="3"/>
      <c r="CY317" s="3" t="s">
        <v>205</v>
      </c>
      <c r="DG317" s="4"/>
    </row>
    <row r="318" customFormat="false" ht="11.25" hidden="false" customHeight="true" outlineLevel="0" collapsed="false">
      <c r="A318" s="14" t="n">
        <v>317</v>
      </c>
      <c r="B318" s="15" t="n">
        <v>46134.1943682523</v>
      </c>
      <c r="C318" s="15" t="n">
        <v>46134.2141020486</v>
      </c>
      <c r="D318" s="14" t="s">
        <v>2064</v>
      </c>
      <c r="E318" s="14" t="s">
        <v>2065</v>
      </c>
      <c r="F318" s="14" t="s">
        <v>2066</v>
      </c>
      <c r="G318" s="14" t="s">
        <v>2067</v>
      </c>
      <c r="H318" s="15" t="n">
        <v>46123</v>
      </c>
      <c r="I318" s="15" t="s">
        <v>278</v>
      </c>
      <c r="J318" s="14" t="s">
        <v>128</v>
      </c>
      <c r="K318" s="14" t="s">
        <v>2068</v>
      </c>
      <c r="L318" s="14" t="s">
        <v>286</v>
      </c>
      <c r="M318" s="14" t="s">
        <v>131</v>
      </c>
      <c r="N318" s="14" t="s">
        <v>247</v>
      </c>
      <c r="O318" s="14" t="s">
        <v>113</v>
      </c>
      <c r="P318" s="14" t="s">
        <v>258</v>
      </c>
      <c r="Q318" s="14" t="s">
        <v>1028</v>
      </c>
      <c r="R318" s="14"/>
      <c r="S318" s="14"/>
      <c r="T318" s="14"/>
      <c r="U318" s="14" t="s">
        <v>22</v>
      </c>
      <c r="V318" s="14"/>
      <c r="W318" s="14" t="s">
        <v>148</v>
      </c>
      <c r="X318" s="14"/>
      <c r="Y318" s="14"/>
      <c r="Z318" s="14"/>
      <c r="AA318" s="14"/>
      <c r="AB318" s="14"/>
      <c r="AC318" s="14"/>
      <c r="AD318" s="14" t="s">
        <v>1217</v>
      </c>
      <c r="AE318" s="14" t="s">
        <v>1825</v>
      </c>
      <c r="AF318" s="14" t="s">
        <v>151</v>
      </c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R318" s="1" t="s">
        <v>120</v>
      </c>
      <c r="CS318" s="1" t="s">
        <v>121</v>
      </c>
      <c r="CT318" s="14" t="s">
        <v>166</v>
      </c>
      <c r="CU318" s="1" t="s">
        <v>123</v>
      </c>
      <c r="CV318" s="1" t="s">
        <v>124</v>
      </c>
      <c r="CW318" s="3"/>
      <c r="DG318" s="4"/>
    </row>
    <row r="319" customFormat="false" ht="11.25" hidden="false" customHeight="true" outlineLevel="0" collapsed="false">
      <c r="A319" s="14" t="n">
        <v>318</v>
      </c>
      <c r="B319" s="15" t="n">
        <v>46213.6152813194</v>
      </c>
      <c r="C319" s="15" t="n">
        <v>46213.6237072454</v>
      </c>
      <c r="D319" s="14" t="s">
        <v>2069</v>
      </c>
      <c r="E319" s="14" t="s">
        <v>2070</v>
      </c>
      <c r="F319" s="14" t="s">
        <v>2070</v>
      </c>
      <c r="G319" s="14" t="s">
        <v>2071</v>
      </c>
      <c r="H319" s="15" t="n">
        <v>46200</v>
      </c>
      <c r="I319" s="15" t="s">
        <v>172</v>
      </c>
      <c r="J319" s="14" t="s">
        <v>108</v>
      </c>
      <c r="K319" s="14" t="s">
        <v>245</v>
      </c>
      <c r="L319" s="14" t="s">
        <v>491</v>
      </c>
      <c r="M319" s="14" t="s">
        <v>211</v>
      </c>
      <c r="N319" s="14" t="s">
        <v>112</v>
      </c>
      <c r="O319" s="14" t="s">
        <v>132</v>
      </c>
      <c r="P319" s="14" t="s">
        <v>757</v>
      </c>
      <c r="Q319" s="14" t="s">
        <v>544</v>
      </c>
      <c r="R319" s="14"/>
      <c r="S319" s="14"/>
      <c r="T319" s="14"/>
      <c r="U319" s="14" t="s">
        <v>24</v>
      </c>
      <c r="V319" s="14"/>
      <c r="W319" s="14"/>
      <c r="X319" s="14"/>
      <c r="Y319" s="14" t="s">
        <v>223</v>
      </c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 t="s">
        <v>2072</v>
      </c>
      <c r="CA319" s="14" t="s">
        <v>237</v>
      </c>
      <c r="CB319" s="14" t="s">
        <v>360</v>
      </c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R319" s="1" t="s">
        <v>120</v>
      </c>
      <c r="CS319" s="1" t="s">
        <v>228</v>
      </c>
      <c r="CT319" s="14"/>
      <c r="CU319" s="1" t="s">
        <v>192</v>
      </c>
      <c r="CV319" s="1" t="s">
        <v>124</v>
      </c>
      <c r="CW319" s="3"/>
      <c r="CY319" s="3" t="s">
        <v>205</v>
      </c>
      <c r="DG319" s="4"/>
    </row>
    <row r="320" customFormat="false" ht="11.25" hidden="false" customHeight="true" outlineLevel="0" collapsed="false">
      <c r="A320" s="14" t="n">
        <v>319</v>
      </c>
      <c r="B320" s="15" t="n">
        <v>46038.6062494676</v>
      </c>
      <c r="C320" s="15" t="n">
        <v>46038.6106128935</v>
      </c>
      <c r="D320" s="14" t="s">
        <v>2073</v>
      </c>
      <c r="E320" s="14" t="s">
        <v>2074</v>
      </c>
      <c r="F320" s="14" t="s">
        <v>2074</v>
      </c>
      <c r="G320" s="14" t="s">
        <v>2075</v>
      </c>
      <c r="H320" s="15" t="n">
        <v>46020</v>
      </c>
      <c r="I320" s="15" t="s">
        <v>107</v>
      </c>
      <c r="J320" s="14" t="s">
        <v>108</v>
      </c>
      <c r="K320" s="14" t="s">
        <v>245</v>
      </c>
      <c r="L320" s="14" t="s">
        <v>268</v>
      </c>
      <c r="M320" s="14" t="s">
        <v>111</v>
      </c>
      <c r="N320" s="14" t="s">
        <v>112</v>
      </c>
      <c r="O320" s="14" t="s">
        <v>113</v>
      </c>
      <c r="P320" s="14" t="s">
        <v>797</v>
      </c>
      <c r="Q320" s="14" t="s">
        <v>2076</v>
      </c>
      <c r="R320" s="14"/>
      <c r="S320" s="14"/>
      <c r="T320" s="14"/>
      <c r="U320" s="14" t="s">
        <v>22</v>
      </c>
      <c r="V320" s="14"/>
      <c r="W320" s="14" t="s">
        <v>135</v>
      </c>
      <c r="X320" s="14"/>
      <c r="Y320" s="14"/>
      <c r="Z320" s="14"/>
      <c r="AA320" s="14" t="s">
        <v>2077</v>
      </c>
      <c r="AB320" s="14" t="s">
        <v>1102</v>
      </c>
      <c r="AC320" s="14" t="s">
        <v>2078</v>
      </c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R320" s="1" t="s">
        <v>152</v>
      </c>
      <c r="CS320" s="1" t="s">
        <v>814</v>
      </c>
      <c r="CT320" s="14"/>
      <c r="CU320" s="1" t="s">
        <v>167</v>
      </c>
      <c r="CV320" s="1" t="s">
        <v>124</v>
      </c>
      <c r="CW320" s="3" t="s">
        <v>370</v>
      </c>
      <c r="DG320" s="4"/>
    </row>
    <row r="321" customFormat="false" ht="11.25" hidden="false" customHeight="true" outlineLevel="0" collapsed="false">
      <c r="A321" s="14" t="n">
        <v>320</v>
      </c>
      <c r="B321" s="15" t="n">
        <v>46145.5017040394</v>
      </c>
      <c r="C321" s="15" t="n">
        <v>46145.5132433912</v>
      </c>
      <c r="D321" s="14" t="s">
        <v>2079</v>
      </c>
      <c r="E321" s="14" t="s">
        <v>2080</v>
      </c>
      <c r="F321" s="14" t="s">
        <v>2080</v>
      </c>
      <c r="G321" s="14" t="s">
        <v>2081</v>
      </c>
      <c r="H321" s="15" t="n">
        <v>46126</v>
      </c>
      <c r="I321" s="15" t="s">
        <v>107</v>
      </c>
      <c r="J321" s="14" t="s">
        <v>108</v>
      </c>
      <c r="K321" s="14" t="s">
        <v>2082</v>
      </c>
      <c r="L321" s="14" t="s">
        <v>159</v>
      </c>
      <c r="M321" s="14" t="s">
        <v>111</v>
      </c>
      <c r="N321" s="14" t="s">
        <v>145</v>
      </c>
      <c r="O321" s="14" t="s">
        <v>863</v>
      </c>
      <c r="P321" s="14" t="s">
        <v>439</v>
      </c>
      <c r="Q321" s="14" t="s">
        <v>849</v>
      </c>
      <c r="R321" s="14"/>
      <c r="S321" s="14"/>
      <c r="T321" s="14"/>
      <c r="U321" s="14" t="s">
        <v>25</v>
      </c>
      <c r="V321" s="14"/>
      <c r="W321" s="14"/>
      <c r="X321" s="14"/>
      <c r="Y321" s="14"/>
      <c r="Z321" s="14" t="s">
        <v>327</v>
      </c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 t="s">
        <v>162</v>
      </c>
      <c r="CJ321" s="14" t="s">
        <v>1563</v>
      </c>
      <c r="CK321" s="14" t="s">
        <v>901</v>
      </c>
      <c r="CL321" s="14"/>
      <c r="CR321" s="1" t="s">
        <v>152</v>
      </c>
      <c r="CS321" s="1" t="s">
        <v>352</v>
      </c>
      <c r="CT321" s="14" t="s">
        <v>1032</v>
      </c>
      <c r="CU321" s="1" t="s">
        <v>123</v>
      </c>
      <c r="CV321" s="1" t="s">
        <v>168</v>
      </c>
      <c r="CW321" s="3"/>
      <c r="DG321" s="4"/>
    </row>
    <row r="322" customFormat="false" ht="11.25" hidden="false" customHeight="true" outlineLevel="0" collapsed="false">
      <c r="A322" s="14" t="n">
        <v>321</v>
      </c>
      <c r="B322" s="15" t="n">
        <v>46129.7588598032</v>
      </c>
      <c r="C322" s="15" t="n">
        <v>46129.7631885069</v>
      </c>
      <c r="D322" s="14" t="s">
        <v>2083</v>
      </c>
      <c r="E322" s="14" t="s">
        <v>2084</v>
      </c>
      <c r="F322" s="14" t="s">
        <v>2084</v>
      </c>
      <c r="G322" s="14" t="s">
        <v>2085</v>
      </c>
      <c r="H322" s="15" t="n">
        <v>46115</v>
      </c>
      <c r="I322" s="15" t="s">
        <v>172</v>
      </c>
      <c r="J322" s="14" t="s">
        <v>295</v>
      </c>
      <c r="K322" s="14" t="s">
        <v>245</v>
      </c>
      <c r="L322" s="14" t="s">
        <v>246</v>
      </c>
      <c r="M322" s="14" t="s">
        <v>211</v>
      </c>
      <c r="N322" s="14" t="s">
        <v>145</v>
      </c>
      <c r="O322" s="14" t="s">
        <v>113</v>
      </c>
      <c r="P322" s="14" t="s">
        <v>258</v>
      </c>
      <c r="Q322" s="14" t="s">
        <v>775</v>
      </c>
      <c r="R322" s="14"/>
      <c r="S322" s="14"/>
      <c r="T322" s="14"/>
      <c r="U322" s="14" t="s">
        <v>22</v>
      </c>
      <c r="V322" s="14"/>
      <c r="W322" s="14" t="s">
        <v>339</v>
      </c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 t="s">
        <v>2086</v>
      </c>
      <c r="BO322" s="14" t="s">
        <v>753</v>
      </c>
      <c r="BP322" s="14" t="s">
        <v>675</v>
      </c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R322" s="1" t="s">
        <v>120</v>
      </c>
      <c r="CS322" s="1" t="s">
        <v>496</v>
      </c>
      <c r="CT322" s="14" t="s">
        <v>122</v>
      </c>
      <c r="CU322" s="1" t="s">
        <v>123</v>
      </c>
      <c r="CV322" s="1" t="s">
        <v>124</v>
      </c>
      <c r="CW322" s="3"/>
      <c r="DG322" s="4"/>
    </row>
    <row r="323" customFormat="false" ht="11.25" hidden="false" customHeight="true" outlineLevel="0" collapsed="false">
      <c r="A323" s="14" t="n">
        <v>322</v>
      </c>
      <c r="B323" s="15" t="n">
        <v>46211.2876374884</v>
      </c>
      <c r="C323" s="15" t="n">
        <v>46211.2982972107</v>
      </c>
      <c r="D323" s="14" t="s">
        <v>2087</v>
      </c>
      <c r="E323" s="14" t="s">
        <v>2088</v>
      </c>
      <c r="F323" s="14" t="s">
        <v>2088</v>
      </c>
      <c r="G323" s="14" t="s">
        <v>2089</v>
      </c>
      <c r="H323" s="15" t="n">
        <v>46199</v>
      </c>
      <c r="I323" s="15" t="s">
        <v>278</v>
      </c>
      <c r="J323" s="14" t="s">
        <v>295</v>
      </c>
      <c r="K323" s="14" t="s">
        <v>364</v>
      </c>
      <c r="L323" s="14" t="s">
        <v>210</v>
      </c>
      <c r="M323" s="14" t="s">
        <v>390</v>
      </c>
      <c r="N323" s="14" t="s">
        <v>112</v>
      </c>
      <c r="O323" s="14" t="s">
        <v>305</v>
      </c>
      <c r="P323" s="14" t="s">
        <v>144</v>
      </c>
      <c r="Q323" s="14" t="s">
        <v>259</v>
      </c>
      <c r="R323" s="14"/>
      <c r="S323" s="14"/>
      <c r="T323" s="14"/>
      <c r="U323" s="14" t="s">
        <v>22</v>
      </c>
      <c r="V323" s="14"/>
      <c r="W323" s="14" t="s">
        <v>148</v>
      </c>
      <c r="X323" s="14"/>
      <c r="Y323" s="14"/>
      <c r="Z323" s="14"/>
      <c r="AA323" s="14"/>
      <c r="AB323" s="14"/>
      <c r="AC323" s="14"/>
      <c r="AD323" s="14" t="s">
        <v>2090</v>
      </c>
      <c r="AE323" s="14" t="s">
        <v>2091</v>
      </c>
      <c r="AF323" s="14" t="s">
        <v>252</v>
      </c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R323" s="1" t="s">
        <v>152</v>
      </c>
      <c r="CS323" s="1" t="s">
        <v>121</v>
      </c>
      <c r="CT323" s="14" t="s">
        <v>122</v>
      </c>
      <c r="CU323" s="1" t="s">
        <v>192</v>
      </c>
      <c r="CV323" s="1" t="s">
        <v>124</v>
      </c>
      <c r="CW323" s="3"/>
      <c r="DG323" s="4"/>
    </row>
    <row r="324" customFormat="false" ht="11.25" hidden="false" customHeight="true" outlineLevel="0" collapsed="false">
      <c r="A324" s="14" t="n">
        <v>323</v>
      </c>
      <c r="B324" s="15" t="n">
        <v>46157.9423818634</v>
      </c>
      <c r="C324" s="15" t="n">
        <v>46157.9528332523</v>
      </c>
      <c r="D324" s="14" t="s">
        <v>2092</v>
      </c>
      <c r="E324" s="14" t="s">
        <v>2093</v>
      </c>
      <c r="F324" s="14" t="s">
        <v>2093</v>
      </c>
      <c r="G324" s="14" t="s">
        <v>2094</v>
      </c>
      <c r="H324" s="15" t="n">
        <v>46153</v>
      </c>
      <c r="I324" s="15" t="s">
        <v>781</v>
      </c>
      <c r="J324" s="14" t="s">
        <v>295</v>
      </c>
      <c r="K324" s="14" t="s">
        <v>364</v>
      </c>
      <c r="L324" s="14" t="s">
        <v>184</v>
      </c>
      <c r="M324" s="14" t="s">
        <v>111</v>
      </c>
      <c r="N324" s="14" t="s">
        <v>112</v>
      </c>
      <c r="O324" s="14" t="s">
        <v>113</v>
      </c>
      <c r="P324" s="14" t="s">
        <v>174</v>
      </c>
      <c r="Q324" s="14" t="s">
        <v>758</v>
      </c>
      <c r="R324" s="14"/>
      <c r="S324" s="14"/>
      <c r="T324" s="14"/>
      <c r="U324" s="14" t="s">
        <v>23</v>
      </c>
      <c r="V324" s="14"/>
      <c r="W324" s="14"/>
      <c r="X324" s="14" t="s">
        <v>1645</v>
      </c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R324" s="1" t="s">
        <v>120</v>
      </c>
      <c r="CS324" s="1" t="s">
        <v>180</v>
      </c>
      <c r="CT324" s="14" t="s">
        <v>122</v>
      </c>
      <c r="CU324" s="1" t="s">
        <v>192</v>
      </c>
      <c r="CV324" s="1" t="s">
        <v>124</v>
      </c>
      <c r="CW324" s="3"/>
      <c r="DG324" s="4"/>
    </row>
    <row r="325" customFormat="false" ht="11.25" hidden="false" customHeight="true" outlineLevel="0" collapsed="false">
      <c r="A325" s="14" t="n">
        <v>324</v>
      </c>
      <c r="B325" s="15" t="n">
        <v>46173.9443933449</v>
      </c>
      <c r="C325" s="15" t="n">
        <v>46173.9599026042</v>
      </c>
      <c r="D325" s="14" t="s">
        <v>2095</v>
      </c>
      <c r="E325" s="14" t="s">
        <v>2096</v>
      </c>
      <c r="F325" s="14" t="s">
        <v>2097</v>
      </c>
      <c r="G325" s="14" t="s">
        <v>2098</v>
      </c>
      <c r="H325" s="15" t="n">
        <v>46164</v>
      </c>
      <c r="I325" s="15" t="s">
        <v>107</v>
      </c>
      <c r="J325" s="14" t="s">
        <v>108</v>
      </c>
      <c r="K325" s="14" t="s">
        <v>2099</v>
      </c>
      <c r="L325" s="14" t="s">
        <v>491</v>
      </c>
      <c r="M325" s="14" t="s">
        <v>211</v>
      </c>
      <c r="N325" s="14" t="s">
        <v>112</v>
      </c>
      <c r="O325" s="14" t="s">
        <v>113</v>
      </c>
      <c r="P325" s="14" t="s">
        <v>447</v>
      </c>
      <c r="Q325" s="14" t="s">
        <v>2100</v>
      </c>
      <c r="R325" s="14"/>
      <c r="S325" s="14"/>
      <c r="T325" s="14"/>
      <c r="U325" s="14" t="s">
        <v>22</v>
      </c>
      <c r="V325" s="14"/>
      <c r="W325" s="14" t="s">
        <v>381</v>
      </c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 t="s">
        <v>1062</v>
      </c>
      <c r="BR325" s="14" t="s">
        <v>2101</v>
      </c>
      <c r="BS325" s="14" t="s">
        <v>738</v>
      </c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R325" s="1" t="s">
        <v>152</v>
      </c>
      <c r="CS325" s="1" t="s">
        <v>264</v>
      </c>
      <c r="CT325" s="14" t="s">
        <v>1773</v>
      </c>
      <c r="CU325" s="1" t="s">
        <v>192</v>
      </c>
      <c r="CV325" s="1" t="s">
        <v>124</v>
      </c>
      <c r="CW325" s="3" t="s">
        <v>370</v>
      </c>
      <c r="DG325" s="4"/>
    </row>
    <row r="326" customFormat="false" ht="11.25" hidden="false" customHeight="true" outlineLevel="0" collapsed="false">
      <c r="A326" s="14" t="n">
        <v>325</v>
      </c>
      <c r="B326" s="15" t="n">
        <v>46063.8620991088</v>
      </c>
      <c r="C326" s="15" t="n">
        <v>46063.8764393866</v>
      </c>
      <c r="D326" s="14" t="s">
        <v>2102</v>
      </c>
      <c r="E326" s="14" t="s">
        <v>2103</v>
      </c>
      <c r="F326" s="14" t="s">
        <v>2103</v>
      </c>
      <c r="G326" s="14" t="s">
        <v>2104</v>
      </c>
      <c r="H326" s="15" t="n">
        <v>46055</v>
      </c>
      <c r="I326" s="15" t="s">
        <v>713</v>
      </c>
      <c r="J326" s="14" t="s">
        <v>108</v>
      </c>
      <c r="K326" s="14" t="s">
        <v>2105</v>
      </c>
      <c r="L326" s="14" t="s">
        <v>246</v>
      </c>
      <c r="M326" s="14" t="s">
        <v>111</v>
      </c>
      <c r="N326" s="14" t="s">
        <v>145</v>
      </c>
      <c r="O326" s="14" t="s">
        <v>113</v>
      </c>
      <c r="P326" s="14" t="s">
        <v>501</v>
      </c>
      <c r="Q326" s="14" t="s">
        <v>810</v>
      </c>
      <c r="R326" s="14"/>
      <c r="S326" s="14"/>
      <c r="T326" s="14"/>
      <c r="U326" s="14" t="s">
        <v>24</v>
      </c>
      <c r="V326" s="14"/>
      <c r="W326" s="14"/>
      <c r="X326" s="14"/>
      <c r="Y326" s="14" t="s">
        <v>260</v>
      </c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 t="s">
        <v>2106</v>
      </c>
      <c r="CG326" s="14" t="s">
        <v>252</v>
      </c>
      <c r="CH326" s="14" t="s">
        <v>2107</v>
      </c>
      <c r="CI326" s="14"/>
      <c r="CJ326" s="14"/>
      <c r="CK326" s="14"/>
      <c r="CL326" s="14"/>
      <c r="CR326" s="1" t="s">
        <v>152</v>
      </c>
      <c r="CS326" s="1" t="s">
        <v>121</v>
      </c>
      <c r="CT326" s="14" t="s">
        <v>321</v>
      </c>
      <c r="CU326" s="1" t="s">
        <v>123</v>
      </c>
      <c r="CV326" s="1" t="s">
        <v>124</v>
      </c>
      <c r="CW326" s="3"/>
      <c r="DG326" s="4"/>
    </row>
    <row r="327" customFormat="false" ht="11.25" hidden="false" customHeight="true" outlineLevel="0" collapsed="false">
      <c r="A327" s="14" t="n">
        <v>326</v>
      </c>
      <c r="B327" s="15" t="n">
        <v>46079.5493698843</v>
      </c>
      <c r="C327" s="15" t="n">
        <v>46079.5553305324</v>
      </c>
      <c r="D327" s="14" t="s">
        <v>2108</v>
      </c>
      <c r="E327" s="14" t="s">
        <v>2109</v>
      </c>
      <c r="F327" s="14" t="s">
        <v>2109</v>
      </c>
      <c r="G327" s="14" t="s">
        <v>2110</v>
      </c>
      <c r="H327" s="15" t="n">
        <v>46071</v>
      </c>
      <c r="I327" s="15" t="s">
        <v>260</v>
      </c>
      <c r="J327" s="14" t="s">
        <v>108</v>
      </c>
      <c r="K327" s="14" t="s">
        <v>232</v>
      </c>
      <c r="L327" s="14" t="s">
        <v>268</v>
      </c>
      <c r="M327" s="14" t="s">
        <v>131</v>
      </c>
      <c r="N327" s="14" t="s">
        <v>247</v>
      </c>
      <c r="O327" s="14" t="s">
        <v>113</v>
      </c>
      <c r="P327" s="14" t="s">
        <v>870</v>
      </c>
      <c r="Q327" s="14" t="s">
        <v>595</v>
      </c>
      <c r="R327" s="14"/>
      <c r="S327" s="14"/>
      <c r="T327" s="14"/>
      <c r="U327" s="14" t="s">
        <v>22</v>
      </c>
      <c r="V327" s="14"/>
      <c r="W327" s="14" t="s">
        <v>715</v>
      </c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 t="s">
        <v>2111</v>
      </c>
      <c r="BI327" s="14" t="s">
        <v>2112</v>
      </c>
      <c r="BJ327" s="14" t="s">
        <v>2113</v>
      </c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R327" s="1" t="s">
        <v>152</v>
      </c>
      <c r="CS327" s="1" t="s">
        <v>264</v>
      </c>
      <c r="CT327" s="14" t="s">
        <v>2114</v>
      </c>
      <c r="CU327" s="1" t="s">
        <v>192</v>
      </c>
      <c r="CV327" s="1" t="s">
        <v>124</v>
      </c>
      <c r="CW327" s="3"/>
      <c r="DG327" s="4"/>
    </row>
    <row r="328" customFormat="false" ht="11.25" hidden="false" customHeight="true" outlineLevel="0" collapsed="false">
      <c r="A328" s="14" t="n">
        <v>327</v>
      </c>
      <c r="B328" s="15" t="n">
        <v>46145.9543382407</v>
      </c>
      <c r="C328" s="15" t="n">
        <v>46145.964072037</v>
      </c>
      <c r="D328" s="14" t="s">
        <v>2115</v>
      </c>
      <c r="E328" s="14" t="s">
        <v>2116</v>
      </c>
      <c r="F328" s="14" t="s">
        <v>2117</v>
      </c>
      <c r="G328" s="14" t="s">
        <v>2118</v>
      </c>
      <c r="H328" s="15" t="n">
        <v>46140</v>
      </c>
      <c r="I328" s="15" t="s">
        <v>278</v>
      </c>
      <c r="J328" s="14" t="s">
        <v>108</v>
      </c>
      <c r="K328" s="14" t="s">
        <v>2119</v>
      </c>
      <c r="L328" s="14" t="s">
        <v>184</v>
      </c>
      <c r="M328" s="14" t="s">
        <v>111</v>
      </c>
      <c r="N328" s="14" t="s">
        <v>112</v>
      </c>
      <c r="O328" s="14" t="s">
        <v>113</v>
      </c>
      <c r="P328" s="14" t="s">
        <v>326</v>
      </c>
      <c r="Q328" s="14" t="s">
        <v>147</v>
      </c>
      <c r="R328" s="14"/>
      <c r="S328" s="14"/>
      <c r="T328" s="14"/>
      <c r="U328" s="14" t="s">
        <v>21</v>
      </c>
      <c r="V328" s="14" t="s">
        <v>250</v>
      </c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 t="s">
        <v>2120</v>
      </c>
      <c r="BF328" s="14" t="s">
        <v>2000</v>
      </c>
      <c r="BG328" s="14" t="s">
        <v>330</v>
      </c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R328" s="1" t="s">
        <v>152</v>
      </c>
      <c r="CS328" s="1" t="s">
        <v>121</v>
      </c>
      <c r="CT328" s="14"/>
      <c r="CU328" s="1" t="s">
        <v>192</v>
      </c>
      <c r="CV328" s="1" t="s">
        <v>124</v>
      </c>
      <c r="CW328" s="3" t="s">
        <v>928</v>
      </c>
      <c r="DG328" s="4"/>
    </row>
    <row r="329" customFormat="false" ht="11.25" hidden="false" customHeight="true" outlineLevel="0" collapsed="false">
      <c r="A329" s="14" t="n">
        <v>328</v>
      </c>
      <c r="B329" s="15" t="n">
        <v>46048.6336843634</v>
      </c>
      <c r="C329" s="15" t="n">
        <v>46048.6450616782</v>
      </c>
      <c r="D329" s="14" t="s">
        <v>2121</v>
      </c>
      <c r="E329" s="14" t="s">
        <v>2122</v>
      </c>
      <c r="F329" s="14" t="s">
        <v>2122</v>
      </c>
      <c r="G329" s="14" t="s">
        <v>2123</v>
      </c>
      <c r="H329" s="15" t="n">
        <v>46038</v>
      </c>
      <c r="I329" s="15" t="s">
        <v>278</v>
      </c>
      <c r="J329" s="14" t="s">
        <v>108</v>
      </c>
      <c r="K329" s="14" t="s">
        <v>2124</v>
      </c>
      <c r="L329" s="14" t="s">
        <v>389</v>
      </c>
      <c r="M329" s="14" t="s">
        <v>111</v>
      </c>
      <c r="N329" s="14" t="s">
        <v>198</v>
      </c>
      <c r="O329" s="14" t="s">
        <v>113</v>
      </c>
      <c r="P329" s="14" t="s">
        <v>566</v>
      </c>
      <c r="Q329" s="14" t="s">
        <v>595</v>
      </c>
      <c r="R329" s="14"/>
      <c r="S329" s="14"/>
      <c r="T329" s="14"/>
      <c r="U329" s="14" t="s">
        <v>22</v>
      </c>
      <c r="V329" s="14"/>
      <c r="W329" s="14" t="s">
        <v>271</v>
      </c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 t="s">
        <v>2125</v>
      </c>
      <c r="BL329" s="14" t="s">
        <v>2126</v>
      </c>
      <c r="BM329" s="14" t="s">
        <v>252</v>
      </c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R329" s="1" t="s">
        <v>120</v>
      </c>
      <c r="CS329" s="1" t="s">
        <v>180</v>
      </c>
      <c r="CT329" s="14"/>
      <c r="CU329" s="1" t="s">
        <v>123</v>
      </c>
      <c r="CV329" s="1" t="s">
        <v>139</v>
      </c>
      <c r="CW329" s="3"/>
      <c r="DG329" s="4"/>
    </row>
    <row r="330" customFormat="false" ht="11.25" hidden="false" customHeight="true" outlineLevel="0" collapsed="false">
      <c r="A330" s="14" t="n">
        <v>329</v>
      </c>
      <c r="B330" s="15" t="n">
        <v>46196.0685996875</v>
      </c>
      <c r="C330" s="15" t="n">
        <v>46196.0779746875</v>
      </c>
      <c r="D330" s="14" t="s">
        <v>2127</v>
      </c>
      <c r="E330" s="14" t="s">
        <v>2128</v>
      </c>
      <c r="F330" s="14" t="s">
        <v>2129</v>
      </c>
      <c r="G330" s="14" t="s">
        <v>2130</v>
      </c>
      <c r="H330" s="15" t="n">
        <v>46181</v>
      </c>
      <c r="I330" s="15" t="s">
        <v>107</v>
      </c>
      <c r="J330" s="14" t="s">
        <v>295</v>
      </c>
      <c r="K330" s="14" t="s">
        <v>232</v>
      </c>
      <c r="L330" s="14" t="s">
        <v>144</v>
      </c>
      <c r="M330" s="14" t="s">
        <v>111</v>
      </c>
      <c r="N330" s="14" t="s">
        <v>112</v>
      </c>
      <c r="O330" s="14" t="s">
        <v>113</v>
      </c>
      <c r="P330" s="14" t="s">
        <v>391</v>
      </c>
      <c r="Q330" s="14" t="s">
        <v>567</v>
      </c>
      <c r="R330" s="14"/>
      <c r="S330" s="14"/>
      <c r="T330" s="14"/>
      <c r="U330" s="14" t="s">
        <v>22</v>
      </c>
      <c r="V330" s="14"/>
      <c r="W330" s="14" t="s">
        <v>339</v>
      </c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 t="s">
        <v>2131</v>
      </c>
      <c r="BO330" s="14" t="s">
        <v>2132</v>
      </c>
      <c r="BP330" s="14" t="s">
        <v>752</v>
      </c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R330" s="1" t="s">
        <v>152</v>
      </c>
      <c r="CS330" s="1" t="s">
        <v>121</v>
      </c>
      <c r="CT330" s="14"/>
      <c r="CU330" s="1" t="s">
        <v>123</v>
      </c>
      <c r="CV330" s="1" t="s">
        <v>124</v>
      </c>
      <c r="CW330" s="3"/>
      <c r="DG330" s="4"/>
    </row>
    <row r="331" customFormat="false" ht="11.25" hidden="false" customHeight="true" outlineLevel="0" collapsed="false">
      <c r="A331" s="14" t="n">
        <v>330</v>
      </c>
      <c r="B331" s="15" t="n">
        <v>46116.5897640394</v>
      </c>
      <c r="C331" s="15" t="n">
        <v>46116.6104006134</v>
      </c>
      <c r="D331" s="14" t="s">
        <v>2133</v>
      </c>
      <c r="E331" s="14" t="s">
        <v>2134</v>
      </c>
      <c r="F331" s="14" t="s">
        <v>2134</v>
      </c>
      <c r="G331" s="14" t="s">
        <v>2135</v>
      </c>
      <c r="H331" s="15" t="n">
        <v>46099</v>
      </c>
      <c r="I331" s="15" t="s">
        <v>1949</v>
      </c>
      <c r="J331" s="14" t="s">
        <v>128</v>
      </c>
      <c r="K331" s="14" t="s">
        <v>232</v>
      </c>
      <c r="L331" s="14" t="s">
        <v>197</v>
      </c>
      <c r="M331" s="14" t="s">
        <v>111</v>
      </c>
      <c r="N331" s="14" t="s">
        <v>247</v>
      </c>
      <c r="O331" s="14" t="s">
        <v>113</v>
      </c>
      <c r="P331" s="14" t="s">
        <v>612</v>
      </c>
      <c r="Q331" s="14" t="s">
        <v>1036</v>
      </c>
      <c r="R331" s="14"/>
      <c r="S331" s="14"/>
      <c r="T331" s="14"/>
      <c r="U331" s="14" t="s">
        <v>22</v>
      </c>
      <c r="V331" s="14"/>
      <c r="W331" s="14" t="s">
        <v>339</v>
      </c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 t="s">
        <v>2136</v>
      </c>
      <c r="BO331" s="14" t="s">
        <v>554</v>
      </c>
      <c r="BP331" s="14" t="s">
        <v>1325</v>
      </c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R331" s="1" t="s">
        <v>152</v>
      </c>
      <c r="CS331" s="1" t="s">
        <v>121</v>
      </c>
      <c r="CT331" s="14" t="s">
        <v>122</v>
      </c>
      <c r="CU331" s="1" t="s">
        <v>167</v>
      </c>
      <c r="CV331" s="1" t="s">
        <v>124</v>
      </c>
      <c r="CW331" s="3"/>
      <c r="DG331" s="4"/>
    </row>
    <row r="332" customFormat="false" ht="11.25" hidden="false" customHeight="true" outlineLevel="0" collapsed="false">
      <c r="A332" s="14" t="n">
        <v>331</v>
      </c>
      <c r="B332" s="15" t="n">
        <v>46109.6681700116</v>
      </c>
      <c r="C332" s="15" t="n">
        <v>46109.6808783449</v>
      </c>
      <c r="D332" s="14" t="s">
        <v>2137</v>
      </c>
      <c r="E332" s="14" t="s">
        <v>2138</v>
      </c>
      <c r="F332" s="14" t="s">
        <v>2138</v>
      </c>
      <c r="G332" s="14" t="s">
        <v>2139</v>
      </c>
      <c r="H332" s="15" t="n">
        <v>46101</v>
      </c>
      <c r="I332" s="15" t="s">
        <v>172</v>
      </c>
      <c r="J332" s="14" t="s">
        <v>295</v>
      </c>
      <c r="K332" s="14" t="s">
        <v>2140</v>
      </c>
      <c r="L332" s="14" t="s">
        <v>346</v>
      </c>
      <c r="M332" s="14" t="s">
        <v>111</v>
      </c>
      <c r="N332" s="14" t="s">
        <v>145</v>
      </c>
      <c r="O332" s="14" t="s">
        <v>113</v>
      </c>
      <c r="P332" s="14" t="s">
        <v>174</v>
      </c>
      <c r="Q332" s="14" t="s">
        <v>758</v>
      </c>
      <c r="R332" s="14"/>
      <c r="S332" s="14"/>
      <c r="T332" s="14"/>
      <c r="U332" s="14" t="s">
        <v>22</v>
      </c>
      <c r="V332" s="14"/>
      <c r="W332" s="14" t="s">
        <v>176</v>
      </c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 t="s">
        <v>2141</v>
      </c>
      <c r="AZ332" s="14" t="s">
        <v>1848</v>
      </c>
      <c r="BA332" s="14" t="s">
        <v>179</v>
      </c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R332" s="1" t="s">
        <v>152</v>
      </c>
      <c r="CS332" s="1" t="s">
        <v>496</v>
      </c>
      <c r="CT332" s="14"/>
      <c r="CU332" s="1" t="s">
        <v>123</v>
      </c>
      <c r="CV332" s="1" t="s">
        <v>124</v>
      </c>
      <c r="CW332" s="3"/>
      <c r="DG332" s="4"/>
    </row>
    <row r="333" customFormat="false" ht="11.25" hidden="false" customHeight="true" outlineLevel="0" collapsed="false">
      <c r="A333" s="14" t="n">
        <v>332</v>
      </c>
      <c r="B333" s="15" t="n">
        <v>46191.0471451157</v>
      </c>
      <c r="C333" s="15" t="n">
        <v>46191.0559182639</v>
      </c>
      <c r="D333" s="14" t="s">
        <v>2142</v>
      </c>
      <c r="E333" s="14" t="s">
        <v>2143</v>
      </c>
      <c r="F333" s="14" t="s">
        <v>2143</v>
      </c>
      <c r="G333" s="14" t="s">
        <v>2144</v>
      </c>
      <c r="H333" s="15" t="n">
        <v>46187</v>
      </c>
      <c r="I333" s="15" t="s">
        <v>157</v>
      </c>
      <c r="J333" s="14" t="s">
        <v>108</v>
      </c>
      <c r="K333" s="14" t="s">
        <v>2145</v>
      </c>
      <c r="L333" s="14" t="s">
        <v>491</v>
      </c>
      <c r="M333" s="14" t="s">
        <v>111</v>
      </c>
      <c r="N333" s="14" t="s">
        <v>112</v>
      </c>
      <c r="O333" s="14" t="s">
        <v>113</v>
      </c>
      <c r="P333" s="14" t="s">
        <v>797</v>
      </c>
      <c r="Q333" s="14" t="s">
        <v>1050</v>
      </c>
      <c r="R333" s="14"/>
      <c r="S333" s="14"/>
      <c r="T333" s="14"/>
      <c r="U333" s="14" t="s">
        <v>22</v>
      </c>
      <c r="V333" s="14"/>
      <c r="W333" s="14" t="s">
        <v>148</v>
      </c>
      <c r="X333" s="14"/>
      <c r="Y333" s="14"/>
      <c r="Z333" s="14"/>
      <c r="AA333" s="14"/>
      <c r="AB333" s="14"/>
      <c r="AC333" s="14"/>
      <c r="AD333" s="14" t="s">
        <v>288</v>
      </c>
      <c r="AE333" s="14" t="s">
        <v>1218</v>
      </c>
      <c r="AF333" s="14" t="s">
        <v>1219</v>
      </c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R333" s="1" t="s">
        <v>120</v>
      </c>
      <c r="CS333" s="1" t="s">
        <v>352</v>
      </c>
      <c r="CT333" s="14" t="s">
        <v>122</v>
      </c>
      <c r="CU333" s="1" t="s">
        <v>123</v>
      </c>
      <c r="CV333" s="1" t="s">
        <v>124</v>
      </c>
      <c r="CW333" s="3"/>
      <c r="DG333" s="4"/>
    </row>
    <row r="334" customFormat="false" ht="11.25" hidden="false" customHeight="true" outlineLevel="0" collapsed="false">
      <c r="A334" s="14" t="n">
        <v>333</v>
      </c>
      <c r="B334" s="15" t="n">
        <v>46127.803062963</v>
      </c>
      <c r="C334" s="15" t="n">
        <v>46127.8174958333</v>
      </c>
      <c r="D334" s="14" t="s">
        <v>2146</v>
      </c>
      <c r="E334" s="14" t="s">
        <v>2147</v>
      </c>
      <c r="F334" s="14" t="s">
        <v>2147</v>
      </c>
      <c r="G334" s="14" t="s">
        <v>2148</v>
      </c>
      <c r="H334" s="15" t="n">
        <v>46121</v>
      </c>
      <c r="I334" s="15" t="s">
        <v>107</v>
      </c>
      <c r="J334" s="14" t="s">
        <v>108</v>
      </c>
      <c r="K334" s="14" t="s">
        <v>173</v>
      </c>
      <c r="L334" s="14" t="s">
        <v>296</v>
      </c>
      <c r="M334" s="14" t="s">
        <v>111</v>
      </c>
      <c r="N334" s="14" t="s">
        <v>112</v>
      </c>
      <c r="O334" s="14" t="s">
        <v>113</v>
      </c>
      <c r="P334" s="14" t="s">
        <v>885</v>
      </c>
      <c r="Q334" s="14" t="s">
        <v>841</v>
      </c>
      <c r="R334" s="14"/>
      <c r="S334" s="14"/>
      <c r="T334" s="14"/>
      <c r="U334" s="14" t="s">
        <v>22</v>
      </c>
      <c r="V334" s="14"/>
      <c r="W334" s="14" t="s">
        <v>176</v>
      </c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 t="s">
        <v>2149</v>
      </c>
      <c r="AZ334" s="14" t="s">
        <v>2150</v>
      </c>
      <c r="BA334" s="14" t="s">
        <v>2151</v>
      </c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R334" s="1" t="s">
        <v>152</v>
      </c>
      <c r="CS334" s="1" t="s">
        <v>121</v>
      </c>
      <c r="CT334" s="14"/>
      <c r="CU334" s="1" t="s">
        <v>167</v>
      </c>
      <c r="CV334" s="1" t="s">
        <v>124</v>
      </c>
      <c r="CW334" s="3"/>
      <c r="DG334" s="4"/>
    </row>
    <row r="335" customFormat="false" ht="11.25" hidden="false" customHeight="true" outlineLevel="0" collapsed="false">
      <c r="A335" s="14" t="n">
        <v>334</v>
      </c>
      <c r="B335" s="15" t="n">
        <v>46118.9494618287</v>
      </c>
      <c r="C335" s="15" t="n">
        <v>46118.9655497917</v>
      </c>
      <c r="D335" s="14" t="s">
        <v>2152</v>
      </c>
      <c r="E335" s="14" t="s">
        <v>2153</v>
      </c>
      <c r="F335" s="14" t="s">
        <v>2153</v>
      </c>
      <c r="G335" s="14" t="s">
        <v>2154</v>
      </c>
      <c r="H335" s="15" t="n">
        <v>46106</v>
      </c>
      <c r="I335" s="15" t="s">
        <v>172</v>
      </c>
      <c r="J335" s="14" t="s">
        <v>108</v>
      </c>
      <c r="K335" s="14" t="s">
        <v>232</v>
      </c>
      <c r="L335" s="14" t="s">
        <v>389</v>
      </c>
      <c r="M335" s="14" t="s">
        <v>111</v>
      </c>
      <c r="N335" s="14" t="s">
        <v>145</v>
      </c>
      <c r="O335" s="14" t="s">
        <v>113</v>
      </c>
      <c r="P335" s="14" t="s">
        <v>652</v>
      </c>
      <c r="Q335" s="14" t="s">
        <v>1553</v>
      </c>
      <c r="R335" s="14"/>
      <c r="S335" s="14"/>
      <c r="T335" s="14"/>
      <c r="U335" s="14" t="s">
        <v>22</v>
      </c>
      <c r="V335" s="14"/>
      <c r="W335" s="14" t="s">
        <v>135</v>
      </c>
      <c r="X335" s="14"/>
      <c r="Y335" s="14"/>
      <c r="Z335" s="14"/>
      <c r="AA335" s="14" t="s">
        <v>366</v>
      </c>
      <c r="AB335" s="14" t="s">
        <v>2155</v>
      </c>
      <c r="AC335" s="14" t="s">
        <v>532</v>
      </c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R335" s="1" t="s">
        <v>152</v>
      </c>
      <c r="CS335" s="1" t="s">
        <v>121</v>
      </c>
      <c r="CT335" s="14" t="s">
        <v>122</v>
      </c>
      <c r="CU335" s="1" t="s">
        <v>123</v>
      </c>
      <c r="CV335" s="1" t="s">
        <v>124</v>
      </c>
      <c r="CW335" s="3"/>
      <c r="DG335" s="4"/>
    </row>
    <row r="336" customFormat="false" ht="11.25" hidden="false" customHeight="true" outlineLevel="0" collapsed="false">
      <c r="A336" s="14" t="n">
        <v>335</v>
      </c>
      <c r="B336" s="15" t="n">
        <v>46059.5218748264</v>
      </c>
      <c r="C336" s="15" t="n">
        <v>46059.5295137153</v>
      </c>
      <c r="D336" s="14" t="s">
        <v>2156</v>
      </c>
      <c r="E336" s="14" t="s">
        <v>2157</v>
      </c>
      <c r="F336" s="14" t="s">
        <v>2157</v>
      </c>
      <c r="G336" s="14" t="s">
        <v>2158</v>
      </c>
      <c r="H336" s="15" t="n">
        <v>46059</v>
      </c>
      <c r="I336" s="15" t="s">
        <v>244</v>
      </c>
      <c r="J336" s="14" t="s">
        <v>128</v>
      </c>
      <c r="K336" s="14" t="s">
        <v>196</v>
      </c>
      <c r="L336" s="14" t="s">
        <v>184</v>
      </c>
      <c r="M336" s="14" t="s">
        <v>111</v>
      </c>
      <c r="N336" s="14" t="s">
        <v>112</v>
      </c>
      <c r="O336" s="14" t="s">
        <v>113</v>
      </c>
      <c r="P336" s="14" t="s">
        <v>594</v>
      </c>
      <c r="Q336" s="14" t="s">
        <v>1067</v>
      </c>
      <c r="R336" s="14"/>
      <c r="S336" s="14"/>
      <c r="T336" s="14" t="s">
        <v>880</v>
      </c>
      <c r="U336" s="14" t="s">
        <v>24</v>
      </c>
      <c r="V336" s="14"/>
      <c r="W336" s="14"/>
      <c r="X336" s="14"/>
      <c r="Y336" s="14" t="s">
        <v>19</v>
      </c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R336" s="1" t="s">
        <v>120</v>
      </c>
      <c r="CS336" s="1" t="s">
        <v>352</v>
      </c>
      <c r="CT336" s="14" t="s">
        <v>122</v>
      </c>
      <c r="CU336" s="1" t="s">
        <v>123</v>
      </c>
      <c r="CV336" s="1" t="s">
        <v>124</v>
      </c>
      <c r="CW336" s="3"/>
      <c r="DG336" s="4"/>
    </row>
    <row r="337" customFormat="false" ht="11.25" hidden="false" customHeight="true" outlineLevel="0" collapsed="false">
      <c r="A337" s="14" t="n">
        <v>336</v>
      </c>
      <c r="B337" s="15" t="n">
        <v>46191.5360748611</v>
      </c>
      <c r="C337" s="15" t="n">
        <v>46191.5434706944</v>
      </c>
      <c r="D337" s="14" t="s">
        <v>2159</v>
      </c>
      <c r="E337" s="14" t="s">
        <v>2160</v>
      </c>
      <c r="F337" s="14" t="s">
        <v>2160</v>
      </c>
      <c r="G337" s="14" t="s">
        <v>2161</v>
      </c>
      <c r="H337" s="15" t="n">
        <v>46180</v>
      </c>
      <c r="I337" s="15" t="s">
        <v>172</v>
      </c>
      <c r="J337" s="14" t="s">
        <v>108</v>
      </c>
      <c r="K337" s="14" t="s">
        <v>196</v>
      </c>
      <c r="L337" s="14" t="s">
        <v>114</v>
      </c>
      <c r="M337" s="14" t="s">
        <v>111</v>
      </c>
      <c r="N337" s="14" t="s">
        <v>112</v>
      </c>
      <c r="O337" s="14" t="s">
        <v>113</v>
      </c>
      <c r="P337" s="14" t="s">
        <v>248</v>
      </c>
      <c r="Q337" s="14" t="s">
        <v>701</v>
      </c>
      <c r="R337" s="14"/>
      <c r="S337" s="14"/>
      <c r="T337" s="14"/>
      <c r="U337" s="14" t="s">
        <v>24</v>
      </c>
      <c r="V337" s="14"/>
      <c r="W337" s="14"/>
      <c r="X337" s="14"/>
      <c r="Y337" s="14" t="s">
        <v>223</v>
      </c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 t="s">
        <v>2162</v>
      </c>
      <c r="CA337" s="14" t="s">
        <v>2163</v>
      </c>
      <c r="CB337" s="14" t="s">
        <v>1405</v>
      </c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R337" s="1" t="s">
        <v>120</v>
      </c>
      <c r="CS337" s="1" t="s">
        <v>121</v>
      </c>
      <c r="CT337" s="14" t="s">
        <v>2164</v>
      </c>
      <c r="CU337" s="1" t="s">
        <v>123</v>
      </c>
      <c r="CV337" s="1" t="s">
        <v>124</v>
      </c>
      <c r="CW337" s="3"/>
      <c r="DG337" s="4"/>
    </row>
    <row r="338" customFormat="false" ht="11.25" hidden="false" customHeight="true" outlineLevel="0" collapsed="false">
      <c r="A338" s="14" t="n">
        <v>337</v>
      </c>
      <c r="B338" s="15" t="n">
        <v>46182.2848654167</v>
      </c>
      <c r="C338" s="15" t="n">
        <v>46182.2987427315</v>
      </c>
      <c r="D338" s="14" t="s">
        <v>2165</v>
      </c>
      <c r="E338" s="14" t="s">
        <v>2166</v>
      </c>
      <c r="F338" s="14" t="s">
        <v>2166</v>
      </c>
      <c r="G338" s="14" t="s">
        <v>2167</v>
      </c>
      <c r="H338" s="15" t="n">
        <v>46171</v>
      </c>
      <c r="I338" s="15" t="s">
        <v>157</v>
      </c>
      <c r="J338" s="14" t="s">
        <v>108</v>
      </c>
      <c r="K338" s="14" t="s">
        <v>232</v>
      </c>
      <c r="L338" s="14" t="s">
        <v>130</v>
      </c>
      <c r="M338" s="14" t="s">
        <v>111</v>
      </c>
      <c r="N338" s="14" t="s">
        <v>112</v>
      </c>
      <c r="O338" s="14" t="s">
        <v>325</v>
      </c>
      <c r="P338" s="14" t="s">
        <v>174</v>
      </c>
      <c r="Q338" s="14" t="s">
        <v>1094</v>
      </c>
      <c r="R338" s="14"/>
      <c r="S338" s="14"/>
      <c r="T338" s="14"/>
      <c r="U338" s="14" t="s">
        <v>21</v>
      </c>
      <c r="V338" s="14" t="s">
        <v>307</v>
      </c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 t="s">
        <v>2168</v>
      </c>
      <c r="AT338" s="14" t="s">
        <v>471</v>
      </c>
      <c r="AU338" s="14" t="s">
        <v>310</v>
      </c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R338" s="1" t="s">
        <v>120</v>
      </c>
      <c r="CS338" s="1" t="s">
        <v>121</v>
      </c>
      <c r="CT338" s="14" t="s">
        <v>122</v>
      </c>
      <c r="CU338" s="1" t="s">
        <v>123</v>
      </c>
      <c r="CV338" s="1" t="s">
        <v>124</v>
      </c>
      <c r="CW338" s="3"/>
      <c r="DG338" s="4"/>
    </row>
    <row r="339" customFormat="false" ht="11.25" hidden="false" customHeight="true" outlineLevel="0" collapsed="false">
      <c r="A339" s="14" t="n">
        <v>338</v>
      </c>
      <c r="B339" s="15" t="n">
        <v>46124.752315625</v>
      </c>
      <c r="C339" s="15" t="n">
        <v>46124.7588549769</v>
      </c>
      <c r="D339" s="14" t="s">
        <v>2169</v>
      </c>
      <c r="E339" s="14" t="s">
        <v>2170</v>
      </c>
      <c r="F339" s="14" t="s">
        <v>2170</v>
      </c>
      <c r="G339" s="14" t="s">
        <v>2171</v>
      </c>
      <c r="H339" s="15" t="n">
        <v>46121</v>
      </c>
      <c r="I339" s="15" t="s">
        <v>107</v>
      </c>
      <c r="J339" s="14" t="s">
        <v>108</v>
      </c>
      <c r="K339" s="14" t="s">
        <v>173</v>
      </c>
      <c r="L339" s="14" t="s">
        <v>197</v>
      </c>
      <c r="M339" s="14" t="s">
        <v>111</v>
      </c>
      <c r="N339" s="14" t="s">
        <v>112</v>
      </c>
      <c r="O339" s="14" t="s">
        <v>113</v>
      </c>
      <c r="P339" s="14" t="s">
        <v>543</v>
      </c>
      <c r="Q339" s="14" t="s">
        <v>115</v>
      </c>
      <c r="R339" s="14"/>
      <c r="S339" s="14"/>
      <c r="T339" s="14"/>
      <c r="U339" s="14" t="s">
        <v>22</v>
      </c>
      <c r="V339" s="14"/>
      <c r="W339" s="14" t="s">
        <v>116</v>
      </c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 t="s">
        <v>162</v>
      </c>
      <c r="BU339" s="14" t="s">
        <v>960</v>
      </c>
      <c r="BV339" s="14" t="s">
        <v>1564</v>
      </c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R339" s="1" t="s">
        <v>152</v>
      </c>
      <c r="CS339" s="1" t="s">
        <v>121</v>
      </c>
      <c r="CT339" s="14" t="s">
        <v>2172</v>
      </c>
      <c r="CU339" s="1" t="s">
        <v>167</v>
      </c>
      <c r="CV339" s="1" t="s">
        <v>124</v>
      </c>
      <c r="CW339" s="3"/>
      <c r="DG339" s="4"/>
    </row>
    <row r="340" customFormat="false" ht="11.25" hidden="false" customHeight="true" outlineLevel="0" collapsed="false">
      <c r="A340" s="14" t="n">
        <v>339</v>
      </c>
      <c r="B340" s="15" t="n">
        <v>46124.5889111227</v>
      </c>
      <c r="C340" s="15" t="n">
        <v>46124.5964921412</v>
      </c>
      <c r="D340" s="14" t="s">
        <v>2173</v>
      </c>
      <c r="E340" s="14" t="s">
        <v>2174</v>
      </c>
      <c r="F340" s="14" t="s">
        <v>2174</v>
      </c>
      <c r="G340" s="14" t="s">
        <v>2175</v>
      </c>
      <c r="H340" s="15" t="n">
        <v>46119</v>
      </c>
      <c r="I340" s="15" t="s">
        <v>244</v>
      </c>
      <c r="J340" s="14" t="s">
        <v>295</v>
      </c>
      <c r="K340" s="14" t="s">
        <v>364</v>
      </c>
      <c r="L340" s="14" t="s">
        <v>286</v>
      </c>
      <c r="M340" s="14" t="s">
        <v>111</v>
      </c>
      <c r="N340" s="14" t="s">
        <v>112</v>
      </c>
      <c r="O340" s="14" t="s">
        <v>113</v>
      </c>
      <c r="P340" s="14" t="s">
        <v>477</v>
      </c>
      <c r="Q340" s="14" t="s">
        <v>560</v>
      </c>
      <c r="R340" s="14"/>
      <c r="S340" s="14"/>
      <c r="T340" s="14"/>
      <c r="U340" s="14" t="s">
        <v>22</v>
      </c>
      <c r="V340" s="14"/>
      <c r="W340" s="14" t="s">
        <v>381</v>
      </c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 t="s">
        <v>2176</v>
      </c>
      <c r="BR340" s="14" t="s">
        <v>894</v>
      </c>
      <c r="BS340" s="14" t="s">
        <v>2177</v>
      </c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R340" s="1" t="s">
        <v>227</v>
      </c>
      <c r="CS340" s="1" t="s">
        <v>352</v>
      </c>
      <c r="CT340" s="14"/>
      <c r="CU340" s="1" t="s">
        <v>123</v>
      </c>
      <c r="CV340" s="1" t="s">
        <v>124</v>
      </c>
      <c r="CW340" s="3"/>
      <c r="DG340" s="4"/>
    </row>
    <row r="341" customFormat="false" ht="11.25" hidden="false" customHeight="true" outlineLevel="0" collapsed="false">
      <c r="A341" s="14" t="n">
        <v>340</v>
      </c>
      <c r="B341" s="15" t="n">
        <v>46117.262625706</v>
      </c>
      <c r="C341" s="15" t="n">
        <v>46117.2739914468</v>
      </c>
      <c r="D341" s="14" t="s">
        <v>2178</v>
      </c>
      <c r="E341" s="14" t="s">
        <v>2179</v>
      </c>
      <c r="F341" s="14" t="s">
        <v>2179</v>
      </c>
      <c r="G341" s="14" t="s">
        <v>2180</v>
      </c>
      <c r="H341" s="15" t="n">
        <v>46098</v>
      </c>
      <c r="I341" s="15" t="s">
        <v>713</v>
      </c>
      <c r="J341" s="14" t="s">
        <v>295</v>
      </c>
      <c r="K341" s="14" t="s">
        <v>257</v>
      </c>
      <c r="L341" s="14" t="s">
        <v>431</v>
      </c>
      <c r="M341" s="14" t="s">
        <v>111</v>
      </c>
      <c r="N341" s="14" t="s">
        <v>145</v>
      </c>
      <c r="O341" s="14" t="s">
        <v>305</v>
      </c>
      <c r="P341" s="14" t="s">
        <v>686</v>
      </c>
      <c r="Q341" s="14" t="s">
        <v>1140</v>
      </c>
      <c r="R341" s="14"/>
      <c r="S341" s="14"/>
      <c r="T341" s="14"/>
      <c r="U341" s="14" t="s">
        <v>24</v>
      </c>
      <c r="V341" s="14"/>
      <c r="W341" s="14"/>
      <c r="X341" s="14"/>
      <c r="Y341" s="14" t="s">
        <v>223</v>
      </c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 t="s">
        <v>2181</v>
      </c>
      <c r="CA341" s="14" t="s">
        <v>1479</v>
      </c>
      <c r="CB341" s="14" t="s">
        <v>360</v>
      </c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R341" s="1" t="s">
        <v>152</v>
      </c>
      <c r="CS341" s="1" t="s">
        <v>496</v>
      </c>
      <c r="CT341" s="14" t="s">
        <v>1605</v>
      </c>
      <c r="CU341" s="1" t="s">
        <v>192</v>
      </c>
      <c r="CV341" s="1" t="s">
        <v>168</v>
      </c>
      <c r="CW341" s="3"/>
      <c r="DG341" s="4"/>
    </row>
    <row r="342" customFormat="false" ht="11.25" hidden="false" customHeight="true" outlineLevel="0" collapsed="false">
      <c r="A342" s="14" t="n">
        <v>341</v>
      </c>
      <c r="B342" s="15" t="n">
        <v>46042.6899713079</v>
      </c>
      <c r="C342" s="15" t="n">
        <v>46042.6942305671</v>
      </c>
      <c r="D342" s="14" t="s">
        <v>2182</v>
      </c>
      <c r="E342" s="14" t="s">
        <v>2183</v>
      </c>
      <c r="F342" s="14" t="s">
        <v>2183</v>
      </c>
      <c r="G342" s="14" t="s">
        <v>2184</v>
      </c>
      <c r="H342" s="15" t="n">
        <v>46026</v>
      </c>
      <c r="I342" s="15" t="s">
        <v>278</v>
      </c>
      <c r="J342" s="14" t="s">
        <v>108</v>
      </c>
      <c r="K342" s="14" t="s">
        <v>742</v>
      </c>
      <c r="L342" s="14" t="s">
        <v>431</v>
      </c>
      <c r="M342" s="14" t="s">
        <v>111</v>
      </c>
      <c r="N342" s="14" t="s">
        <v>247</v>
      </c>
      <c r="O342" s="14" t="s">
        <v>113</v>
      </c>
      <c r="P342" s="14" t="s">
        <v>439</v>
      </c>
      <c r="Q342" s="14" t="s">
        <v>2076</v>
      </c>
      <c r="R342" s="14"/>
      <c r="S342" s="14"/>
      <c r="T342" s="14"/>
      <c r="U342" s="14" t="s">
        <v>22</v>
      </c>
      <c r="V342" s="14"/>
      <c r="W342" s="14" t="s">
        <v>298</v>
      </c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 t="s">
        <v>2185</v>
      </c>
      <c r="AW342" s="14" t="s">
        <v>2186</v>
      </c>
      <c r="AX342" s="14" t="s">
        <v>2187</v>
      </c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R342" s="1" t="s">
        <v>152</v>
      </c>
      <c r="CS342" s="1" t="s">
        <v>180</v>
      </c>
      <c r="CT342" s="14"/>
      <c r="CU342" s="1" t="s">
        <v>123</v>
      </c>
      <c r="CV342" s="1" t="s">
        <v>124</v>
      </c>
      <c r="CW342" s="3"/>
      <c r="DG342" s="4"/>
    </row>
    <row r="343" customFormat="false" ht="11.25" hidden="false" customHeight="true" outlineLevel="0" collapsed="false">
      <c r="A343" s="14" t="n">
        <v>342</v>
      </c>
      <c r="B343" s="15" t="n">
        <v>46035.3014290278</v>
      </c>
      <c r="C343" s="15" t="n">
        <v>46035.3056998611</v>
      </c>
      <c r="D343" s="14" t="s">
        <v>2188</v>
      </c>
      <c r="E343" s="14" t="s">
        <v>2189</v>
      </c>
      <c r="F343" s="14" t="s">
        <v>2189</v>
      </c>
      <c r="G343" s="14" t="s">
        <v>2190</v>
      </c>
      <c r="H343" s="15" t="n">
        <v>46030</v>
      </c>
      <c r="I343" s="15" t="s">
        <v>278</v>
      </c>
      <c r="J343" s="14" t="s">
        <v>295</v>
      </c>
      <c r="K343" s="14" t="s">
        <v>196</v>
      </c>
      <c r="L343" s="14" t="s">
        <v>114</v>
      </c>
      <c r="M343" s="14" t="s">
        <v>111</v>
      </c>
      <c r="N343" s="14" t="s">
        <v>112</v>
      </c>
      <c r="O343" s="14" t="s">
        <v>113</v>
      </c>
      <c r="P343" s="14" t="s">
        <v>484</v>
      </c>
      <c r="Q343" s="14" t="s">
        <v>1539</v>
      </c>
      <c r="R343" s="14"/>
      <c r="S343" s="14"/>
      <c r="T343" s="14"/>
      <c r="U343" s="14" t="s">
        <v>22</v>
      </c>
      <c r="V343" s="14"/>
      <c r="W343" s="14" t="s">
        <v>298</v>
      </c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 t="s">
        <v>2191</v>
      </c>
      <c r="AW343" s="14" t="s">
        <v>760</v>
      </c>
      <c r="AX343" s="14" t="s">
        <v>252</v>
      </c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R343" s="1" t="s">
        <v>152</v>
      </c>
      <c r="CS343" s="1" t="s">
        <v>180</v>
      </c>
      <c r="CT343" s="14" t="s">
        <v>122</v>
      </c>
      <c r="CU343" s="1" t="s">
        <v>123</v>
      </c>
      <c r="CV343" s="1" t="s">
        <v>124</v>
      </c>
      <c r="CW343" s="3"/>
      <c r="DG343" s="4"/>
    </row>
    <row r="344" customFormat="false" ht="11.25" hidden="false" customHeight="true" outlineLevel="0" collapsed="false">
      <c r="A344" s="14" t="n">
        <v>343</v>
      </c>
      <c r="B344" s="15" t="n">
        <v>46194.8747089005</v>
      </c>
      <c r="C344" s="15" t="n">
        <v>46194.8894658449</v>
      </c>
      <c r="D344" s="14" t="s">
        <v>2192</v>
      </c>
      <c r="E344" s="14" t="s">
        <v>2193</v>
      </c>
      <c r="F344" s="14" t="s">
        <v>2194</v>
      </c>
      <c r="G344" s="14" t="s">
        <v>2195</v>
      </c>
      <c r="H344" s="15" t="n">
        <v>46185</v>
      </c>
      <c r="I344" s="15" t="s">
        <v>107</v>
      </c>
      <c r="J344" s="14" t="s">
        <v>295</v>
      </c>
      <c r="K344" s="14" t="s">
        <v>196</v>
      </c>
      <c r="L344" s="14" t="s">
        <v>197</v>
      </c>
      <c r="M344" s="14" t="s">
        <v>211</v>
      </c>
      <c r="N344" s="14" t="s">
        <v>112</v>
      </c>
      <c r="O344" s="14" t="s">
        <v>113</v>
      </c>
      <c r="P344" s="14" t="s">
        <v>870</v>
      </c>
      <c r="Q344" s="14" t="s">
        <v>389</v>
      </c>
      <c r="R344" s="14"/>
      <c r="S344" s="14"/>
      <c r="T344" s="14"/>
      <c r="U344" s="14" t="s">
        <v>22</v>
      </c>
      <c r="V344" s="14"/>
      <c r="W344" s="14" t="s">
        <v>135</v>
      </c>
      <c r="X344" s="14"/>
      <c r="Y344" s="14"/>
      <c r="Z344" s="14"/>
      <c r="AA344" s="14" t="s">
        <v>626</v>
      </c>
      <c r="AB344" s="14" t="s">
        <v>1968</v>
      </c>
      <c r="AC344" s="14" t="s">
        <v>2196</v>
      </c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R344" s="1" t="s">
        <v>152</v>
      </c>
      <c r="CS344" s="1" t="s">
        <v>121</v>
      </c>
      <c r="CT344" s="14" t="s">
        <v>956</v>
      </c>
      <c r="CU344" s="1" t="s">
        <v>123</v>
      </c>
      <c r="CV344" s="1" t="s">
        <v>124</v>
      </c>
      <c r="CW344" s="3"/>
      <c r="DG344" s="4"/>
    </row>
    <row r="345" customFormat="false" ht="11.25" hidden="false" customHeight="true" outlineLevel="0" collapsed="false">
      <c r="A345" s="14" t="n">
        <v>344</v>
      </c>
      <c r="B345" s="15" t="n">
        <v>46137.8966945255</v>
      </c>
      <c r="C345" s="15" t="n">
        <v>46137.9052593403</v>
      </c>
      <c r="D345" s="14" t="s">
        <v>2197</v>
      </c>
      <c r="E345" s="14" t="s">
        <v>2198</v>
      </c>
      <c r="F345" s="14" t="s">
        <v>2199</v>
      </c>
      <c r="G345" s="14" t="s">
        <v>2200</v>
      </c>
      <c r="H345" s="15" t="n">
        <v>46117</v>
      </c>
      <c r="I345" s="15" t="s">
        <v>172</v>
      </c>
      <c r="J345" s="14" t="s">
        <v>128</v>
      </c>
      <c r="K345" s="14" t="s">
        <v>364</v>
      </c>
      <c r="L345" s="14" t="s">
        <v>233</v>
      </c>
      <c r="M345" s="14" t="s">
        <v>111</v>
      </c>
      <c r="N345" s="14" t="s">
        <v>112</v>
      </c>
      <c r="O345" s="14" t="s">
        <v>113</v>
      </c>
      <c r="P345" s="14" t="s">
        <v>391</v>
      </c>
      <c r="Q345" s="14" t="s">
        <v>2201</v>
      </c>
      <c r="R345" s="14"/>
      <c r="S345" s="14"/>
      <c r="T345" s="14"/>
      <c r="U345" s="14" t="s">
        <v>24</v>
      </c>
      <c r="V345" s="14"/>
      <c r="W345" s="14"/>
      <c r="X345" s="14"/>
      <c r="Y345" s="14" t="s">
        <v>448</v>
      </c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 t="s">
        <v>2202</v>
      </c>
      <c r="BX345" s="14" t="s">
        <v>1038</v>
      </c>
      <c r="BY345" s="14" t="s">
        <v>1096</v>
      </c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R345" s="1" t="s">
        <v>152</v>
      </c>
      <c r="CS345" s="1" t="s">
        <v>121</v>
      </c>
      <c r="CT345" s="14" t="s">
        <v>562</v>
      </c>
      <c r="CU345" s="1" t="s">
        <v>123</v>
      </c>
      <c r="CV345" s="1" t="s">
        <v>124</v>
      </c>
      <c r="CW345" s="3"/>
      <c r="DG345" s="4"/>
    </row>
    <row r="346" customFormat="false" ht="11.25" hidden="false" customHeight="true" outlineLevel="0" collapsed="false">
      <c r="A346" s="14" t="n">
        <v>345</v>
      </c>
      <c r="B346" s="15" t="n">
        <v>46116.0075704398</v>
      </c>
      <c r="C346" s="15" t="n">
        <v>46116.0114477546</v>
      </c>
      <c r="D346" s="14" t="s">
        <v>2203</v>
      </c>
      <c r="E346" s="14" t="s">
        <v>2204</v>
      </c>
      <c r="F346" s="14" t="s">
        <v>2204</v>
      </c>
      <c r="G346" s="14" t="s">
        <v>2205</v>
      </c>
      <c r="H346" s="15" t="n">
        <v>46104</v>
      </c>
      <c r="I346" s="15" t="s">
        <v>278</v>
      </c>
      <c r="J346" s="14" t="s">
        <v>108</v>
      </c>
      <c r="K346" s="14" t="s">
        <v>2206</v>
      </c>
      <c r="L346" s="14" t="s">
        <v>346</v>
      </c>
      <c r="M346" s="14" t="s">
        <v>111</v>
      </c>
      <c r="N346" s="14" t="s">
        <v>145</v>
      </c>
      <c r="O346" s="14" t="s">
        <v>113</v>
      </c>
      <c r="P346" s="14" t="s">
        <v>905</v>
      </c>
      <c r="Q346" s="14" t="s">
        <v>227</v>
      </c>
      <c r="R346" s="14"/>
      <c r="S346" s="14"/>
      <c r="T346" s="14"/>
      <c r="U346" s="14" t="s">
        <v>22</v>
      </c>
      <c r="V346" s="14"/>
      <c r="W346" s="14" t="s">
        <v>135</v>
      </c>
      <c r="X346" s="14"/>
      <c r="Y346" s="14"/>
      <c r="Z346" s="14"/>
      <c r="AA346" s="14" t="s">
        <v>626</v>
      </c>
      <c r="AB346" s="14" t="s">
        <v>640</v>
      </c>
      <c r="AC346" s="14" t="s">
        <v>2207</v>
      </c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R346" s="1" t="s">
        <v>152</v>
      </c>
      <c r="CS346" s="1" t="s">
        <v>121</v>
      </c>
      <c r="CT346" s="14"/>
      <c r="CU346" s="1" t="s">
        <v>123</v>
      </c>
      <c r="CV346" s="1" t="s">
        <v>124</v>
      </c>
      <c r="CW346" s="3"/>
      <c r="DG346" s="4"/>
    </row>
    <row r="347" customFormat="false" ht="11.25" hidden="false" customHeight="true" outlineLevel="0" collapsed="false">
      <c r="A347" s="14" t="n">
        <v>346</v>
      </c>
      <c r="B347" s="15" t="n">
        <v>46101.9250492361</v>
      </c>
      <c r="C347" s="15" t="n">
        <v>46101.9309867361</v>
      </c>
      <c r="D347" s="14" t="s">
        <v>2208</v>
      </c>
      <c r="E347" s="14" t="s">
        <v>2209</v>
      </c>
      <c r="F347" s="14" t="s">
        <v>2209</v>
      </c>
      <c r="G347" s="14" t="s">
        <v>2210</v>
      </c>
      <c r="H347" s="15" t="n">
        <v>46081</v>
      </c>
      <c r="I347" s="15" t="s">
        <v>260</v>
      </c>
      <c r="J347" s="14" t="s">
        <v>108</v>
      </c>
      <c r="K347" s="14" t="s">
        <v>2012</v>
      </c>
      <c r="L347" s="14" t="s">
        <v>431</v>
      </c>
      <c r="M347" s="14" t="s">
        <v>131</v>
      </c>
      <c r="N347" s="14" t="s">
        <v>112</v>
      </c>
      <c r="O347" s="14" t="s">
        <v>113</v>
      </c>
      <c r="P347" s="14" t="s">
        <v>578</v>
      </c>
      <c r="Q347" s="14" t="s">
        <v>1006</v>
      </c>
      <c r="R347" s="14"/>
      <c r="S347" s="14"/>
      <c r="T347" s="14"/>
      <c r="U347" s="14" t="s">
        <v>22</v>
      </c>
      <c r="V347" s="14"/>
      <c r="W347" s="14" t="s">
        <v>116</v>
      </c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 t="s">
        <v>875</v>
      </c>
      <c r="BU347" s="14" t="s">
        <v>2000</v>
      </c>
      <c r="BV347" s="14" t="s">
        <v>2211</v>
      </c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R347" s="1" t="s">
        <v>120</v>
      </c>
      <c r="CS347" s="1" t="s">
        <v>121</v>
      </c>
      <c r="CT347" s="14" t="s">
        <v>204</v>
      </c>
      <c r="CU347" s="1" t="s">
        <v>192</v>
      </c>
      <c r="CV347" s="1" t="s">
        <v>124</v>
      </c>
      <c r="CW347" s="3"/>
      <c r="DG347" s="4"/>
    </row>
    <row r="348" customFormat="false" ht="11.25" hidden="false" customHeight="true" outlineLevel="0" collapsed="false">
      <c r="A348" s="14" t="n">
        <v>347</v>
      </c>
      <c r="B348" s="15" t="n">
        <v>46126.7339305556</v>
      </c>
      <c r="C348" s="15" t="n">
        <v>46126.7365347222</v>
      </c>
      <c r="D348" s="14" t="s">
        <v>2212</v>
      </c>
      <c r="E348" s="14" t="s">
        <v>2213</v>
      </c>
      <c r="F348" s="14" t="s">
        <v>2213</v>
      </c>
      <c r="G348" s="14" t="s">
        <v>2214</v>
      </c>
      <c r="H348" s="15" t="n">
        <v>46126</v>
      </c>
      <c r="I348" s="15" t="s">
        <v>107</v>
      </c>
      <c r="J348" s="14" t="s">
        <v>128</v>
      </c>
      <c r="K348" s="14" t="s">
        <v>232</v>
      </c>
      <c r="L348" s="14" t="s">
        <v>210</v>
      </c>
      <c r="M348" s="14" t="s">
        <v>111</v>
      </c>
      <c r="N348" s="14" t="s">
        <v>112</v>
      </c>
      <c r="O348" s="14" t="s">
        <v>305</v>
      </c>
      <c r="P348" s="14" t="s">
        <v>652</v>
      </c>
      <c r="Q348" s="14" t="s">
        <v>1006</v>
      </c>
      <c r="R348" s="14"/>
      <c r="S348" s="14"/>
      <c r="T348" s="14"/>
      <c r="U348" s="14" t="s">
        <v>22</v>
      </c>
      <c r="V348" s="14"/>
      <c r="W348" s="14" t="s">
        <v>176</v>
      </c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 t="s">
        <v>2215</v>
      </c>
      <c r="AZ348" s="14" t="s">
        <v>2216</v>
      </c>
      <c r="BA348" s="14" t="s">
        <v>2217</v>
      </c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R348" s="1" t="s">
        <v>152</v>
      </c>
      <c r="CS348" s="1" t="s">
        <v>121</v>
      </c>
      <c r="CT348" s="14"/>
      <c r="CU348" s="1" t="s">
        <v>192</v>
      </c>
      <c r="CV348" s="1" t="s">
        <v>124</v>
      </c>
      <c r="CW348" s="3"/>
      <c r="DG348" s="4"/>
    </row>
    <row r="349" customFormat="false" ht="11.25" hidden="false" customHeight="true" outlineLevel="0" collapsed="false">
      <c r="A349" s="14" t="n">
        <v>348</v>
      </c>
      <c r="B349" s="15" t="n">
        <v>46058.8207677894</v>
      </c>
      <c r="C349" s="15" t="n">
        <v>46058.8378742708</v>
      </c>
      <c r="D349" s="14" t="s">
        <v>2218</v>
      </c>
      <c r="E349" s="14" t="s">
        <v>2219</v>
      </c>
      <c r="F349" s="14" t="s">
        <v>2219</v>
      </c>
      <c r="G349" s="14" t="s">
        <v>2220</v>
      </c>
      <c r="H349" s="15" t="n">
        <v>46056</v>
      </c>
      <c r="I349" s="15" t="s">
        <v>278</v>
      </c>
      <c r="J349" s="14" t="s">
        <v>108</v>
      </c>
      <c r="K349" s="14" t="s">
        <v>173</v>
      </c>
      <c r="L349" s="14" t="s">
        <v>491</v>
      </c>
      <c r="M349" s="14" t="s">
        <v>390</v>
      </c>
      <c r="N349" s="14" t="s">
        <v>247</v>
      </c>
      <c r="O349" s="14" t="s">
        <v>113</v>
      </c>
      <c r="P349" s="14" t="s">
        <v>515</v>
      </c>
      <c r="Q349" s="14" t="s">
        <v>560</v>
      </c>
      <c r="R349" s="14"/>
      <c r="S349" s="14"/>
      <c r="T349" s="14"/>
      <c r="U349" s="14" t="s">
        <v>24</v>
      </c>
      <c r="V349" s="14"/>
      <c r="W349" s="14"/>
      <c r="X349" s="14"/>
      <c r="Y349" s="14" t="s">
        <v>214</v>
      </c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 t="s">
        <v>1457</v>
      </c>
      <c r="CD349" s="14" t="s">
        <v>252</v>
      </c>
      <c r="CE349" s="14" t="s">
        <v>901</v>
      </c>
      <c r="CF349" s="14"/>
      <c r="CG349" s="14"/>
      <c r="CH349" s="14"/>
      <c r="CI349" s="14"/>
      <c r="CJ349" s="14"/>
      <c r="CK349" s="14"/>
      <c r="CL349" s="14"/>
      <c r="CR349" s="1" t="s">
        <v>152</v>
      </c>
      <c r="CS349" s="1" t="s">
        <v>180</v>
      </c>
      <c r="CT349" s="14"/>
      <c r="CU349" s="1" t="s">
        <v>167</v>
      </c>
      <c r="CV349" s="1" t="s">
        <v>139</v>
      </c>
      <c r="CW349" s="3"/>
      <c r="DG349" s="4"/>
    </row>
    <row r="350" customFormat="false" ht="11.25" hidden="false" customHeight="true" outlineLevel="0" collapsed="false">
      <c r="A350" s="14" t="n">
        <v>349</v>
      </c>
      <c r="B350" s="15" t="n">
        <v>46117.2184407292</v>
      </c>
      <c r="C350" s="15" t="n">
        <v>46117.2390541551</v>
      </c>
      <c r="D350" s="14" t="s">
        <v>2221</v>
      </c>
      <c r="E350" s="14" t="s">
        <v>2222</v>
      </c>
      <c r="F350" s="14" t="s">
        <v>2222</v>
      </c>
      <c r="G350" s="14" t="s">
        <v>2223</v>
      </c>
      <c r="H350" s="15" t="n">
        <v>46105</v>
      </c>
      <c r="I350" s="15" t="s">
        <v>244</v>
      </c>
      <c r="J350" s="14" t="s">
        <v>295</v>
      </c>
      <c r="K350" s="14" t="s">
        <v>173</v>
      </c>
      <c r="L350" s="14" t="s">
        <v>210</v>
      </c>
      <c r="M350" s="14" t="s">
        <v>111</v>
      </c>
      <c r="N350" s="14" t="s">
        <v>145</v>
      </c>
      <c r="O350" s="14" t="s">
        <v>113</v>
      </c>
      <c r="P350" s="14" t="s">
        <v>1074</v>
      </c>
      <c r="Q350" s="14" t="s">
        <v>297</v>
      </c>
      <c r="R350" s="14"/>
      <c r="S350" s="14"/>
      <c r="T350" s="14"/>
      <c r="U350" s="14" t="s">
        <v>22</v>
      </c>
      <c r="V350" s="14"/>
      <c r="W350" s="14" t="s">
        <v>381</v>
      </c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 t="s">
        <v>463</v>
      </c>
      <c r="BR350" s="14" t="s">
        <v>1496</v>
      </c>
      <c r="BS350" s="14" t="s">
        <v>384</v>
      </c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R350" s="1" t="s">
        <v>152</v>
      </c>
      <c r="CS350" s="1" t="s">
        <v>180</v>
      </c>
      <c r="CT350" s="14" t="s">
        <v>122</v>
      </c>
      <c r="CU350" s="1" t="s">
        <v>167</v>
      </c>
      <c r="CV350" s="1" t="s">
        <v>168</v>
      </c>
      <c r="CW350" s="3"/>
      <c r="CX350" s="3" t="s">
        <v>331</v>
      </c>
      <c r="DG350" s="4"/>
    </row>
    <row r="351" customFormat="false" ht="11.25" hidden="false" customHeight="true" outlineLevel="0" collapsed="false">
      <c r="A351" s="14" t="n">
        <v>350</v>
      </c>
      <c r="B351" s="15" t="n">
        <v>46063.4687623032</v>
      </c>
      <c r="C351" s="15" t="n">
        <v>46063.4872113773</v>
      </c>
      <c r="D351" s="14" t="s">
        <v>2224</v>
      </c>
      <c r="E351" s="14" t="s">
        <v>2225</v>
      </c>
      <c r="F351" s="14" t="s">
        <v>2225</v>
      </c>
      <c r="G351" s="14" t="s">
        <v>2226</v>
      </c>
      <c r="H351" s="15" t="n">
        <v>46061</v>
      </c>
      <c r="I351" s="15" t="s">
        <v>107</v>
      </c>
      <c r="J351" s="14" t="s">
        <v>108</v>
      </c>
      <c r="K351" s="14" t="s">
        <v>2227</v>
      </c>
      <c r="L351" s="14" t="s">
        <v>144</v>
      </c>
      <c r="M351" s="14" t="s">
        <v>111</v>
      </c>
      <c r="N351" s="14" t="s">
        <v>112</v>
      </c>
      <c r="O351" s="14" t="s">
        <v>113</v>
      </c>
      <c r="P351" s="14" t="s">
        <v>652</v>
      </c>
      <c r="Q351" s="14" t="s">
        <v>2228</v>
      </c>
      <c r="R351" s="14"/>
      <c r="S351" s="14"/>
      <c r="T351" s="14"/>
      <c r="U351" s="14" t="s">
        <v>22</v>
      </c>
      <c r="V351" s="14"/>
      <c r="W351" s="14" t="s">
        <v>381</v>
      </c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 t="s">
        <v>2229</v>
      </c>
      <c r="BR351" s="14" t="s">
        <v>1772</v>
      </c>
      <c r="BS351" s="14" t="s">
        <v>1574</v>
      </c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R351" s="1" t="s">
        <v>120</v>
      </c>
      <c r="CS351" s="1" t="s">
        <v>496</v>
      </c>
      <c r="CT351" s="14" t="s">
        <v>369</v>
      </c>
      <c r="CU351" s="1" t="s">
        <v>123</v>
      </c>
      <c r="CV351" s="1" t="s">
        <v>124</v>
      </c>
      <c r="CW351" s="3"/>
      <c r="DG351" s="4"/>
    </row>
    <row r="352" customFormat="false" ht="11.25" hidden="false" customHeight="true" outlineLevel="0" collapsed="false">
      <c r="A352" s="14" t="n">
        <v>351</v>
      </c>
      <c r="B352" s="15" t="n">
        <v>46088.5266627662</v>
      </c>
      <c r="C352" s="15" t="n">
        <v>46088.5338386921</v>
      </c>
      <c r="D352" s="14" t="s">
        <v>2230</v>
      </c>
      <c r="E352" s="14" t="s">
        <v>2231</v>
      </c>
      <c r="F352" s="14" t="s">
        <v>2231</v>
      </c>
      <c r="G352" s="14" t="s">
        <v>2232</v>
      </c>
      <c r="H352" s="15" t="n">
        <v>46078</v>
      </c>
      <c r="I352" s="15" t="s">
        <v>278</v>
      </c>
      <c r="J352" s="14" t="s">
        <v>108</v>
      </c>
      <c r="K352" s="14" t="s">
        <v>2233</v>
      </c>
      <c r="L352" s="14" t="s">
        <v>159</v>
      </c>
      <c r="M352" s="14" t="s">
        <v>111</v>
      </c>
      <c r="N352" s="14" t="s">
        <v>112</v>
      </c>
      <c r="O352" s="14" t="s">
        <v>113</v>
      </c>
      <c r="P352" s="14" t="s">
        <v>507</v>
      </c>
      <c r="Q352" s="14" t="s">
        <v>766</v>
      </c>
      <c r="R352" s="14"/>
      <c r="S352" s="14"/>
      <c r="T352" s="14" t="s">
        <v>880</v>
      </c>
      <c r="U352" s="14" t="s">
        <v>24</v>
      </c>
      <c r="V352" s="14"/>
      <c r="W352" s="14"/>
      <c r="X352" s="14"/>
      <c r="Y352" s="14" t="s">
        <v>19</v>
      </c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R352" s="1" t="s">
        <v>152</v>
      </c>
      <c r="CS352" s="1" t="s">
        <v>180</v>
      </c>
      <c r="CT352" s="14" t="s">
        <v>122</v>
      </c>
      <c r="CU352" s="1" t="s">
        <v>192</v>
      </c>
      <c r="CV352" s="1" t="s">
        <v>124</v>
      </c>
      <c r="CW352" s="3"/>
      <c r="DG352" s="4"/>
    </row>
    <row r="353" customFormat="false" ht="11.25" hidden="false" customHeight="true" outlineLevel="0" collapsed="false">
      <c r="A353" s="14" t="n">
        <v>352</v>
      </c>
      <c r="B353" s="15" t="n">
        <v>46140.3462038194</v>
      </c>
      <c r="C353" s="15" t="n">
        <v>46140.3502894676</v>
      </c>
      <c r="D353" s="14" t="s">
        <v>2234</v>
      </c>
      <c r="E353" s="14" t="s">
        <v>2235</v>
      </c>
      <c r="F353" s="14" t="s">
        <v>2235</v>
      </c>
      <c r="G353" s="14" t="s">
        <v>2236</v>
      </c>
      <c r="H353" s="15" t="n">
        <v>46139</v>
      </c>
      <c r="I353" s="15" t="s">
        <v>107</v>
      </c>
      <c r="J353" s="14" t="s">
        <v>108</v>
      </c>
      <c r="K353" s="14" t="s">
        <v>462</v>
      </c>
      <c r="L353" s="14" t="s">
        <v>197</v>
      </c>
      <c r="M353" s="14" t="s">
        <v>111</v>
      </c>
      <c r="N353" s="14" t="s">
        <v>112</v>
      </c>
      <c r="O353" s="14" t="s">
        <v>113</v>
      </c>
      <c r="P353" s="14" t="s">
        <v>406</v>
      </c>
      <c r="Q353" s="14" t="s">
        <v>1323</v>
      </c>
      <c r="R353" s="14"/>
      <c r="S353" s="14"/>
      <c r="T353" s="14"/>
      <c r="U353" s="14" t="s">
        <v>22</v>
      </c>
      <c r="V353" s="14"/>
      <c r="W353" s="14" t="s">
        <v>135</v>
      </c>
      <c r="X353" s="14"/>
      <c r="Y353" s="14"/>
      <c r="Z353" s="14"/>
      <c r="AA353" s="14" t="s">
        <v>366</v>
      </c>
      <c r="AB353" s="14" t="s">
        <v>2237</v>
      </c>
      <c r="AC353" s="14" t="s">
        <v>2196</v>
      </c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R353" s="1" t="s">
        <v>120</v>
      </c>
      <c r="CS353" s="1" t="s">
        <v>121</v>
      </c>
      <c r="CT353" s="14" t="s">
        <v>1229</v>
      </c>
      <c r="CU353" s="1" t="s">
        <v>167</v>
      </c>
      <c r="CV353" s="1" t="s">
        <v>168</v>
      </c>
      <c r="CW353" s="3"/>
      <c r="DG353" s="4"/>
    </row>
    <row r="354" customFormat="false" ht="11.25" hidden="false" customHeight="true" outlineLevel="0" collapsed="false">
      <c r="A354" s="14" t="n">
        <v>353</v>
      </c>
      <c r="B354" s="15" t="n">
        <v>46210.3186323495</v>
      </c>
      <c r="C354" s="15" t="n">
        <v>46210.3378684607</v>
      </c>
      <c r="D354" s="14" t="s">
        <v>2238</v>
      </c>
      <c r="E354" s="14" t="s">
        <v>2239</v>
      </c>
      <c r="F354" s="14" t="s">
        <v>2239</v>
      </c>
      <c r="G354" s="14" t="s">
        <v>2240</v>
      </c>
      <c r="H354" s="15" t="n">
        <v>46210</v>
      </c>
      <c r="I354" s="15" t="s">
        <v>172</v>
      </c>
      <c r="J354" s="14" t="s">
        <v>295</v>
      </c>
      <c r="K354" s="14" t="s">
        <v>245</v>
      </c>
      <c r="L354" s="14" t="s">
        <v>197</v>
      </c>
      <c r="M354" s="14" t="s">
        <v>131</v>
      </c>
      <c r="N354" s="14" t="s">
        <v>112</v>
      </c>
      <c r="O354" s="14" t="s">
        <v>336</v>
      </c>
      <c r="P354" s="14" t="s">
        <v>594</v>
      </c>
      <c r="Q354" s="14" t="s">
        <v>440</v>
      </c>
      <c r="R354" s="14"/>
      <c r="S354" s="14"/>
      <c r="T354" s="14" t="s">
        <v>880</v>
      </c>
      <c r="U354" s="14" t="s">
        <v>24</v>
      </c>
      <c r="V354" s="14"/>
      <c r="W354" s="14"/>
      <c r="X354" s="14"/>
      <c r="Y354" s="14" t="s">
        <v>19</v>
      </c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R354" s="1" t="s">
        <v>152</v>
      </c>
      <c r="CS354" s="1" t="s">
        <v>352</v>
      </c>
      <c r="CT354" s="14" t="s">
        <v>166</v>
      </c>
      <c r="CU354" s="1" t="s">
        <v>123</v>
      </c>
      <c r="CV354" s="1" t="s">
        <v>124</v>
      </c>
      <c r="CW354" s="3"/>
      <c r="DG354" s="4"/>
    </row>
    <row r="355" customFormat="false" ht="11.25" hidden="false" customHeight="true" outlineLevel="0" collapsed="false">
      <c r="A355" s="14" t="n">
        <v>354</v>
      </c>
      <c r="B355" s="15" t="n">
        <v>46064.9307503935</v>
      </c>
      <c r="C355" s="15" t="n">
        <v>46064.9324980787</v>
      </c>
      <c r="D355" s="14" t="s">
        <v>2241</v>
      </c>
      <c r="E355" s="14" t="s">
        <v>2242</v>
      </c>
      <c r="F355" s="14" t="s">
        <v>2242</v>
      </c>
      <c r="G355" s="14" t="s">
        <v>2243</v>
      </c>
      <c r="H355" s="15" t="n">
        <v>46056</v>
      </c>
      <c r="I355" s="15" t="s">
        <v>107</v>
      </c>
      <c r="J355" s="14" t="s">
        <v>108</v>
      </c>
      <c r="K355" s="14" t="s">
        <v>257</v>
      </c>
      <c r="L355" s="14" t="s">
        <v>210</v>
      </c>
      <c r="M355" s="14" t="s">
        <v>111</v>
      </c>
      <c r="N355" s="14" t="s">
        <v>112</v>
      </c>
      <c r="O355" s="14" t="s">
        <v>113</v>
      </c>
      <c r="P355" s="14" t="s">
        <v>774</v>
      </c>
      <c r="Q355" s="14" t="s">
        <v>544</v>
      </c>
      <c r="R355" s="14"/>
      <c r="S355" s="14"/>
      <c r="T355" s="14"/>
      <c r="U355" s="14" t="s">
        <v>22</v>
      </c>
      <c r="V355" s="14"/>
      <c r="W355" s="14" t="s">
        <v>135</v>
      </c>
      <c r="X355" s="14"/>
      <c r="Y355" s="14"/>
      <c r="Z355" s="14"/>
      <c r="AA355" s="14" t="s">
        <v>626</v>
      </c>
      <c r="AB355" s="14" t="s">
        <v>2155</v>
      </c>
      <c r="AC355" s="14" t="s">
        <v>252</v>
      </c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R355" s="1" t="s">
        <v>152</v>
      </c>
      <c r="CS355" s="1" t="s">
        <v>121</v>
      </c>
      <c r="CT355" s="14" t="s">
        <v>122</v>
      </c>
      <c r="CU355" s="1" t="s">
        <v>192</v>
      </c>
      <c r="CV355" s="1" t="s">
        <v>168</v>
      </c>
      <c r="CW355" s="3"/>
      <c r="DG355" s="4"/>
    </row>
    <row r="356" customFormat="false" ht="11.25" hidden="false" customHeight="true" outlineLevel="0" collapsed="false">
      <c r="A356" s="14" t="n">
        <v>355</v>
      </c>
      <c r="B356" s="15" t="n">
        <v>46039.5711389815</v>
      </c>
      <c r="C356" s="15" t="n">
        <v>46039.5790787963</v>
      </c>
      <c r="D356" s="14" t="s">
        <v>2244</v>
      </c>
      <c r="E356" s="14" t="s">
        <v>2245</v>
      </c>
      <c r="F356" s="14" t="s">
        <v>2245</v>
      </c>
      <c r="G356" s="14" t="s">
        <v>2246</v>
      </c>
      <c r="H356" s="15" t="n">
        <v>46037</v>
      </c>
      <c r="I356" s="15" t="s">
        <v>172</v>
      </c>
      <c r="J356" s="14" t="s">
        <v>108</v>
      </c>
      <c r="K356" s="14" t="s">
        <v>232</v>
      </c>
      <c r="L356" s="14" t="s">
        <v>389</v>
      </c>
      <c r="M356" s="14" t="s">
        <v>111</v>
      </c>
      <c r="N356" s="14" t="s">
        <v>112</v>
      </c>
      <c r="O356" s="14" t="s">
        <v>113</v>
      </c>
      <c r="P356" s="14" t="s">
        <v>515</v>
      </c>
      <c r="Q356" s="14" t="s">
        <v>714</v>
      </c>
      <c r="R356" s="14"/>
      <c r="S356" s="14"/>
      <c r="T356" s="14"/>
      <c r="U356" s="14" t="s">
        <v>21</v>
      </c>
      <c r="V356" s="14" t="s">
        <v>1830</v>
      </c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 t="s">
        <v>2247</v>
      </c>
      <c r="AH356" s="14" t="s">
        <v>2248</v>
      </c>
      <c r="AI356" s="14" t="s">
        <v>2249</v>
      </c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R356" s="1" t="s">
        <v>120</v>
      </c>
      <c r="CS356" s="1" t="s">
        <v>121</v>
      </c>
      <c r="CT356" s="14" t="s">
        <v>166</v>
      </c>
      <c r="CU356" s="1" t="s">
        <v>167</v>
      </c>
      <c r="CV356" s="1" t="s">
        <v>124</v>
      </c>
      <c r="CW356" s="3"/>
      <c r="DG356" s="4"/>
    </row>
    <row r="357" customFormat="false" ht="11.25" hidden="false" customHeight="true" outlineLevel="0" collapsed="false">
      <c r="A357" s="14" t="n">
        <v>356</v>
      </c>
      <c r="B357" s="15" t="n">
        <v>46114.3072479861</v>
      </c>
      <c r="C357" s="15" t="n">
        <v>46114.3096901157</v>
      </c>
      <c r="D357" s="14" t="s">
        <v>2250</v>
      </c>
      <c r="E357" s="14" t="s">
        <v>2251</v>
      </c>
      <c r="F357" s="14" t="s">
        <v>2251</v>
      </c>
      <c r="G357" s="14" t="s">
        <v>2252</v>
      </c>
      <c r="H357" s="15" t="n">
        <v>46111</v>
      </c>
      <c r="I357" s="15" t="s">
        <v>107</v>
      </c>
      <c r="J357" s="14" t="s">
        <v>108</v>
      </c>
      <c r="K357" s="14" t="s">
        <v>143</v>
      </c>
      <c r="L357" s="14" t="s">
        <v>286</v>
      </c>
      <c r="M357" s="14" t="s">
        <v>111</v>
      </c>
      <c r="N357" s="14" t="s">
        <v>112</v>
      </c>
      <c r="O357" s="14" t="s">
        <v>132</v>
      </c>
      <c r="P357" s="14" t="s">
        <v>279</v>
      </c>
      <c r="Q357" s="14" t="s">
        <v>1006</v>
      </c>
      <c r="R357" s="14"/>
      <c r="S357" s="14"/>
      <c r="T357" s="14"/>
      <c r="U357" s="14" t="s">
        <v>22</v>
      </c>
      <c r="V357" s="14"/>
      <c r="W357" s="14" t="s">
        <v>715</v>
      </c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 t="s">
        <v>1373</v>
      </c>
      <c r="BI357" s="14" t="s">
        <v>2253</v>
      </c>
      <c r="BJ357" s="14" t="s">
        <v>2254</v>
      </c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R357" s="1" t="s">
        <v>152</v>
      </c>
      <c r="CS357" s="1" t="s">
        <v>2255</v>
      </c>
      <c r="CT357" s="14" t="s">
        <v>2256</v>
      </c>
      <c r="CU357" s="1" t="s">
        <v>123</v>
      </c>
      <c r="CV357" s="1" t="s">
        <v>124</v>
      </c>
      <c r="CW357" s="3"/>
      <c r="DG357" s="4"/>
    </row>
    <row r="358" customFormat="false" ht="11.25" hidden="false" customHeight="true" outlineLevel="0" collapsed="false">
      <c r="A358" s="14" t="n">
        <v>357</v>
      </c>
      <c r="B358" s="15" t="n">
        <v>46159.8389965162</v>
      </c>
      <c r="C358" s="15" t="n">
        <v>46159.8453969792</v>
      </c>
      <c r="D358" s="14" t="s">
        <v>2257</v>
      </c>
      <c r="E358" s="14" t="s">
        <v>2258</v>
      </c>
      <c r="F358" s="14" t="s">
        <v>2258</v>
      </c>
      <c r="G358" s="14" t="s">
        <v>2259</v>
      </c>
      <c r="H358" s="15" t="n">
        <v>46143</v>
      </c>
      <c r="I358" s="15" t="s">
        <v>278</v>
      </c>
      <c r="J358" s="14" t="s">
        <v>295</v>
      </c>
      <c r="K358" s="14" t="s">
        <v>245</v>
      </c>
      <c r="L358" s="14" t="s">
        <v>197</v>
      </c>
      <c r="M358" s="14" t="s">
        <v>111</v>
      </c>
      <c r="N358" s="14" t="s">
        <v>112</v>
      </c>
      <c r="O358" s="14" t="s">
        <v>325</v>
      </c>
      <c r="P358" s="14" t="s">
        <v>789</v>
      </c>
      <c r="Q358" s="14" t="s">
        <v>560</v>
      </c>
      <c r="R358" s="14"/>
      <c r="S358" s="14"/>
      <c r="T358" s="14"/>
      <c r="U358" s="14" t="s">
        <v>24</v>
      </c>
      <c r="V358" s="14"/>
      <c r="W358" s="14"/>
      <c r="X358" s="14"/>
      <c r="Y358" s="14" t="s">
        <v>223</v>
      </c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 t="s">
        <v>2260</v>
      </c>
      <c r="CA358" s="14" t="s">
        <v>2261</v>
      </c>
      <c r="CB358" s="14" t="s">
        <v>634</v>
      </c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R358" s="1" t="s">
        <v>152</v>
      </c>
      <c r="CS358" s="1" t="s">
        <v>180</v>
      </c>
      <c r="CT358" s="14"/>
      <c r="CU358" s="1" t="s">
        <v>123</v>
      </c>
      <c r="CV358" s="1" t="s">
        <v>124</v>
      </c>
      <c r="CW358" s="3" t="s">
        <v>370</v>
      </c>
      <c r="DG358" s="4"/>
    </row>
    <row r="359" customFormat="false" ht="11.25" hidden="false" customHeight="true" outlineLevel="0" collapsed="false">
      <c r="A359" s="14" t="n">
        <v>358</v>
      </c>
      <c r="B359" s="15" t="n">
        <v>46193.1155771181</v>
      </c>
      <c r="C359" s="15" t="n">
        <v>46193.1255423958</v>
      </c>
      <c r="D359" s="14" t="s">
        <v>2262</v>
      </c>
      <c r="E359" s="14" t="s">
        <v>2263</v>
      </c>
      <c r="F359" s="14" t="s">
        <v>2263</v>
      </c>
      <c r="G359" s="14" t="s">
        <v>2264</v>
      </c>
      <c r="H359" s="15" t="n">
        <v>46190</v>
      </c>
      <c r="I359" s="15" t="s">
        <v>244</v>
      </c>
      <c r="J359" s="14" t="s">
        <v>108</v>
      </c>
      <c r="K359" s="14" t="s">
        <v>245</v>
      </c>
      <c r="L359" s="14" t="s">
        <v>491</v>
      </c>
      <c r="M359" s="14" t="s">
        <v>111</v>
      </c>
      <c r="N359" s="14" t="s">
        <v>112</v>
      </c>
      <c r="O359" s="14" t="s">
        <v>113</v>
      </c>
      <c r="P359" s="14" t="s">
        <v>501</v>
      </c>
      <c r="Q359" s="14" t="s">
        <v>714</v>
      </c>
      <c r="R359" s="14"/>
      <c r="S359" s="14"/>
      <c r="T359" s="14"/>
      <c r="U359" s="14" t="s">
        <v>22</v>
      </c>
      <c r="V359" s="14"/>
      <c r="W359" s="14" t="s">
        <v>176</v>
      </c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 t="s">
        <v>2265</v>
      </c>
      <c r="AZ359" s="14" t="s">
        <v>2266</v>
      </c>
      <c r="BA359" s="14" t="s">
        <v>2267</v>
      </c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R359" s="1" t="s">
        <v>120</v>
      </c>
      <c r="CS359" s="1" t="s">
        <v>180</v>
      </c>
      <c r="CT359" s="14" t="s">
        <v>2268</v>
      </c>
      <c r="CU359" s="1" t="s">
        <v>123</v>
      </c>
      <c r="CV359" s="1" t="s">
        <v>124</v>
      </c>
      <c r="CW359" s="3"/>
      <c r="CX359" s="3" t="s">
        <v>331</v>
      </c>
      <c r="DG359" s="4"/>
    </row>
    <row r="360" customFormat="false" ht="11.25" hidden="false" customHeight="true" outlineLevel="0" collapsed="false">
      <c r="A360" s="14" t="n">
        <v>359</v>
      </c>
      <c r="B360" s="15" t="n">
        <v>46071.652896875</v>
      </c>
      <c r="C360" s="15" t="n">
        <v>46071.6692741898</v>
      </c>
      <c r="D360" s="14" t="s">
        <v>2269</v>
      </c>
      <c r="E360" s="14" t="s">
        <v>2270</v>
      </c>
      <c r="F360" s="14" t="s">
        <v>2270</v>
      </c>
      <c r="G360" s="14" t="s">
        <v>2271</v>
      </c>
      <c r="H360" s="15" t="n">
        <v>46066</v>
      </c>
      <c r="I360" s="15" t="s">
        <v>157</v>
      </c>
      <c r="J360" s="14" t="s">
        <v>108</v>
      </c>
      <c r="K360" s="14" t="s">
        <v>2140</v>
      </c>
      <c r="L360" s="14" t="s">
        <v>346</v>
      </c>
      <c r="M360" s="14" t="s">
        <v>111</v>
      </c>
      <c r="N360" s="14" t="s">
        <v>145</v>
      </c>
      <c r="O360" s="14" t="s">
        <v>113</v>
      </c>
      <c r="P360" s="14" t="s">
        <v>1112</v>
      </c>
      <c r="Q360" s="14" t="s">
        <v>2228</v>
      </c>
      <c r="R360" s="14"/>
      <c r="S360" s="14"/>
      <c r="T360" s="14"/>
      <c r="U360" s="14" t="s">
        <v>24</v>
      </c>
      <c r="V360" s="14"/>
      <c r="W360" s="14"/>
      <c r="X360" s="14"/>
      <c r="Y360" s="14" t="s">
        <v>214</v>
      </c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 t="s">
        <v>679</v>
      </c>
      <c r="CD360" s="14" t="s">
        <v>216</v>
      </c>
      <c r="CE360" s="14" t="s">
        <v>2272</v>
      </c>
      <c r="CF360" s="14"/>
      <c r="CG360" s="14"/>
      <c r="CH360" s="14"/>
      <c r="CI360" s="14"/>
      <c r="CJ360" s="14"/>
      <c r="CK360" s="14"/>
      <c r="CL360" s="14"/>
      <c r="CR360" s="1" t="s">
        <v>152</v>
      </c>
      <c r="CS360" s="1" t="s">
        <v>352</v>
      </c>
      <c r="CT360" s="14"/>
      <c r="CU360" s="1" t="s">
        <v>123</v>
      </c>
      <c r="CV360" s="1" t="s">
        <v>168</v>
      </c>
      <c r="CW360" s="3"/>
      <c r="DG360" s="4"/>
    </row>
    <row r="361" customFormat="false" ht="11.25" hidden="false" customHeight="true" outlineLevel="0" collapsed="false">
      <c r="A361" s="14" t="n">
        <v>360</v>
      </c>
      <c r="B361" s="15" t="n">
        <v>46208.423124919</v>
      </c>
      <c r="C361" s="15" t="n">
        <v>46208.4416318634</v>
      </c>
      <c r="D361" s="14" t="s">
        <v>2273</v>
      </c>
      <c r="E361" s="14" t="s">
        <v>2274</v>
      </c>
      <c r="F361" s="14" t="s">
        <v>2275</v>
      </c>
      <c r="G361" s="14" t="s">
        <v>2276</v>
      </c>
      <c r="H361" s="15" t="n">
        <v>46197</v>
      </c>
      <c r="I361" s="15" t="s">
        <v>750</v>
      </c>
      <c r="J361" s="14" t="s">
        <v>128</v>
      </c>
      <c r="K361" s="14" t="s">
        <v>245</v>
      </c>
      <c r="L361" s="14" t="s">
        <v>130</v>
      </c>
      <c r="M361" s="14" t="s">
        <v>111</v>
      </c>
      <c r="N361" s="14" t="s">
        <v>145</v>
      </c>
      <c r="O361" s="14" t="s">
        <v>325</v>
      </c>
      <c r="P361" s="14" t="s">
        <v>885</v>
      </c>
      <c r="Q361" s="14" t="s">
        <v>552</v>
      </c>
      <c r="R361" s="14"/>
      <c r="S361" s="14"/>
      <c r="T361" s="14"/>
      <c r="U361" s="14" t="s">
        <v>22</v>
      </c>
      <c r="V361" s="14"/>
      <c r="W361" s="14" t="s">
        <v>116</v>
      </c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 t="s">
        <v>679</v>
      </c>
      <c r="BU361" s="14" t="s">
        <v>745</v>
      </c>
      <c r="BV361" s="14" t="s">
        <v>2277</v>
      </c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R361" s="1" t="s">
        <v>152</v>
      </c>
      <c r="CS361" s="1" t="s">
        <v>121</v>
      </c>
      <c r="CT361" s="14" t="s">
        <v>822</v>
      </c>
      <c r="CU361" s="1" t="s">
        <v>167</v>
      </c>
      <c r="CV361" s="1" t="s">
        <v>124</v>
      </c>
      <c r="CW361" s="3"/>
      <c r="DG361" s="4"/>
    </row>
    <row r="362" customFormat="false" ht="11.25" hidden="false" customHeight="true" outlineLevel="0" collapsed="false">
      <c r="A362" s="14" t="n">
        <v>361</v>
      </c>
      <c r="B362" s="15" t="n">
        <v>46208.5421104398</v>
      </c>
      <c r="C362" s="15" t="n">
        <v>46208.5559414583</v>
      </c>
      <c r="D362" s="14" t="s">
        <v>2278</v>
      </c>
      <c r="E362" s="14" t="s">
        <v>2279</v>
      </c>
      <c r="F362" s="14" t="s">
        <v>2279</v>
      </c>
      <c r="G362" s="14" t="s">
        <v>2280</v>
      </c>
      <c r="H362" s="15" t="n">
        <v>46195</v>
      </c>
      <c r="I362" s="15" t="s">
        <v>172</v>
      </c>
      <c r="J362" s="14" t="s">
        <v>108</v>
      </c>
      <c r="K362" s="14" t="s">
        <v>364</v>
      </c>
      <c r="L362" s="14" t="s">
        <v>197</v>
      </c>
      <c r="M362" s="14" t="s">
        <v>131</v>
      </c>
      <c r="N362" s="14" t="s">
        <v>145</v>
      </c>
      <c r="O362" s="14" t="s">
        <v>577</v>
      </c>
      <c r="P362" s="14" t="s">
        <v>507</v>
      </c>
      <c r="Q362" s="14" t="s">
        <v>270</v>
      </c>
      <c r="R362" s="14"/>
      <c r="S362" s="14"/>
      <c r="T362" s="14"/>
      <c r="U362" s="14" t="s">
        <v>22</v>
      </c>
      <c r="V362" s="14"/>
      <c r="W362" s="14" t="s">
        <v>271</v>
      </c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 t="s">
        <v>2281</v>
      </c>
      <c r="BL362" s="14" t="s">
        <v>723</v>
      </c>
      <c r="BM362" s="14" t="s">
        <v>1181</v>
      </c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R362" s="1" t="s">
        <v>152</v>
      </c>
      <c r="CS362" s="1" t="s">
        <v>264</v>
      </c>
      <c r="CT362" s="14" t="s">
        <v>122</v>
      </c>
      <c r="CU362" s="1" t="s">
        <v>167</v>
      </c>
      <c r="CV362" s="1" t="s">
        <v>168</v>
      </c>
      <c r="CW362" s="3" t="s">
        <v>928</v>
      </c>
      <c r="DG362" s="4"/>
    </row>
    <row r="363" customFormat="false" ht="11.25" hidden="false" customHeight="true" outlineLevel="0" collapsed="false">
      <c r="A363" s="14" t="n">
        <v>362</v>
      </c>
      <c r="B363" s="15" t="n">
        <v>46205.6488308102</v>
      </c>
      <c r="C363" s="15" t="n">
        <v>46205.6632984028</v>
      </c>
      <c r="D363" s="14" t="s">
        <v>2282</v>
      </c>
      <c r="E363" s="14" t="s">
        <v>2283</v>
      </c>
      <c r="F363" s="14" t="s">
        <v>2283</v>
      </c>
      <c r="G363" s="14" t="s">
        <v>2284</v>
      </c>
      <c r="H363" s="15" t="n">
        <v>46200</v>
      </c>
      <c r="I363" s="15" t="s">
        <v>107</v>
      </c>
      <c r="J363" s="14" t="s">
        <v>128</v>
      </c>
      <c r="K363" s="14" t="s">
        <v>143</v>
      </c>
      <c r="L363" s="14" t="s">
        <v>246</v>
      </c>
      <c r="M363" s="14" t="s">
        <v>111</v>
      </c>
      <c r="N363" s="14" t="s">
        <v>145</v>
      </c>
      <c r="O363" s="14" t="s">
        <v>113</v>
      </c>
      <c r="P363" s="14" t="s">
        <v>652</v>
      </c>
      <c r="Q363" s="14" t="s">
        <v>1628</v>
      </c>
      <c r="R363" s="14"/>
      <c r="S363" s="14"/>
      <c r="T363" s="14"/>
      <c r="U363" s="14" t="s">
        <v>22</v>
      </c>
      <c r="V363" s="14"/>
      <c r="W363" s="14" t="s">
        <v>381</v>
      </c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 t="s">
        <v>2176</v>
      </c>
      <c r="BR363" s="14" t="s">
        <v>464</v>
      </c>
      <c r="BS363" s="14" t="s">
        <v>1574</v>
      </c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R363" s="1" t="s">
        <v>120</v>
      </c>
      <c r="CS363" s="1" t="s">
        <v>121</v>
      </c>
      <c r="CT363" s="14"/>
      <c r="CU363" s="1" t="s">
        <v>123</v>
      </c>
      <c r="CV363" s="1" t="s">
        <v>124</v>
      </c>
      <c r="CW363" s="3" t="s">
        <v>1175</v>
      </c>
      <c r="DG363" s="4"/>
    </row>
    <row r="364" customFormat="false" ht="11.25" hidden="false" customHeight="true" outlineLevel="0" collapsed="false">
      <c r="A364" s="14" t="n">
        <v>363</v>
      </c>
      <c r="B364" s="15" t="n">
        <v>46159.7914775463</v>
      </c>
      <c r="C364" s="15" t="n">
        <v>46159.7946256944</v>
      </c>
      <c r="D364" s="14" t="s">
        <v>2285</v>
      </c>
      <c r="E364" s="14" t="s">
        <v>2286</v>
      </c>
      <c r="F364" s="14" t="s">
        <v>2286</v>
      </c>
      <c r="G364" s="14" t="s">
        <v>2287</v>
      </c>
      <c r="H364" s="15" t="n">
        <v>46149</v>
      </c>
      <c r="I364" s="15" t="s">
        <v>107</v>
      </c>
      <c r="J364" s="14" t="s">
        <v>108</v>
      </c>
      <c r="K364" s="14" t="s">
        <v>462</v>
      </c>
      <c r="L364" s="14" t="s">
        <v>144</v>
      </c>
      <c r="M364" s="14" t="s">
        <v>131</v>
      </c>
      <c r="N364" s="14" t="s">
        <v>112</v>
      </c>
      <c r="O364" s="14" t="s">
        <v>113</v>
      </c>
      <c r="P364" s="14" t="s">
        <v>1380</v>
      </c>
      <c r="Q364" s="14" t="s">
        <v>414</v>
      </c>
      <c r="R364" s="14"/>
      <c r="S364" s="14"/>
      <c r="T364" s="14"/>
      <c r="U364" s="14" t="s">
        <v>22</v>
      </c>
      <c r="V364" s="14"/>
      <c r="W364" s="14" t="s">
        <v>176</v>
      </c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 t="s">
        <v>2288</v>
      </c>
      <c r="AZ364" s="14" t="s">
        <v>2266</v>
      </c>
      <c r="BA364" s="14" t="s">
        <v>2289</v>
      </c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R364" s="1" t="s">
        <v>152</v>
      </c>
      <c r="CS364" s="1" t="s">
        <v>228</v>
      </c>
      <c r="CT364" s="14" t="s">
        <v>166</v>
      </c>
      <c r="CU364" s="1" t="s">
        <v>192</v>
      </c>
      <c r="CV364" s="1" t="s">
        <v>124</v>
      </c>
      <c r="CW364" s="3"/>
      <c r="DG364" s="4"/>
    </row>
    <row r="365" customFormat="false" ht="11.25" hidden="false" customHeight="true" outlineLevel="0" collapsed="false">
      <c r="A365" s="14" t="n">
        <v>364</v>
      </c>
      <c r="B365" s="15" t="n">
        <v>46097.4724442477</v>
      </c>
      <c r="C365" s="15" t="n">
        <v>46097.4888794329</v>
      </c>
      <c r="D365" s="14" t="s">
        <v>2290</v>
      </c>
      <c r="E365" s="14" t="s">
        <v>2291</v>
      </c>
      <c r="F365" s="14" t="s">
        <v>2291</v>
      </c>
      <c r="G365" s="14" t="s">
        <v>2292</v>
      </c>
      <c r="H365" s="15" t="n">
        <v>46091</v>
      </c>
      <c r="I365" s="15" t="s">
        <v>107</v>
      </c>
      <c r="J365" s="14" t="s">
        <v>108</v>
      </c>
      <c r="K365" s="14" t="s">
        <v>143</v>
      </c>
      <c r="L365" s="14" t="s">
        <v>268</v>
      </c>
      <c r="M365" s="14" t="s">
        <v>111</v>
      </c>
      <c r="N365" s="14" t="s">
        <v>145</v>
      </c>
      <c r="O365" s="14" t="s">
        <v>113</v>
      </c>
      <c r="P365" s="14" t="s">
        <v>337</v>
      </c>
      <c r="Q365" s="14" t="s">
        <v>638</v>
      </c>
      <c r="R365" s="14"/>
      <c r="S365" s="14"/>
      <c r="T365" s="14"/>
      <c r="U365" s="14" t="s">
        <v>22</v>
      </c>
      <c r="V365" s="14"/>
      <c r="W365" s="14" t="s">
        <v>271</v>
      </c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 t="s">
        <v>2293</v>
      </c>
      <c r="BL365" s="14" t="s">
        <v>2294</v>
      </c>
      <c r="BM365" s="14" t="s">
        <v>1181</v>
      </c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R365" s="1" t="s">
        <v>152</v>
      </c>
      <c r="CS365" s="1" t="s">
        <v>121</v>
      </c>
      <c r="CT365" s="14"/>
      <c r="CU365" s="1" t="s">
        <v>167</v>
      </c>
      <c r="CV365" s="1" t="s">
        <v>168</v>
      </c>
      <c r="CW365" s="3"/>
      <c r="DG365" s="4"/>
    </row>
    <row r="366" customFormat="false" ht="11.25" hidden="false" customHeight="true" outlineLevel="0" collapsed="false">
      <c r="A366" s="14" t="n">
        <v>365</v>
      </c>
      <c r="B366" s="15" t="n">
        <v>46138.4798751273</v>
      </c>
      <c r="C366" s="15" t="n">
        <v>46138.4871204977</v>
      </c>
      <c r="D366" s="14" t="s">
        <v>2295</v>
      </c>
      <c r="E366" s="14" t="s">
        <v>2296</v>
      </c>
      <c r="F366" s="14" t="s">
        <v>2296</v>
      </c>
      <c r="G366" s="14" t="s">
        <v>2297</v>
      </c>
      <c r="H366" s="15" t="n">
        <v>46133</v>
      </c>
      <c r="I366" s="15" t="s">
        <v>172</v>
      </c>
      <c r="J366" s="14" t="s">
        <v>108</v>
      </c>
      <c r="K366" s="14" t="s">
        <v>2298</v>
      </c>
      <c r="L366" s="14" t="s">
        <v>210</v>
      </c>
      <c r="M366" s="14" t="s">
        <v>111</v>
      </c>
      <c r="N366" s="14" t="s">
        <v>145</v>
      </c>
      <c r="O366" s="14" t="s">
        <v>113</v>
      </c>
      <c r="P366" s="14" t="s">
        <v>864</v>
      </c>
      <c r="Q366" s="14" t="s">
        <v>398</v>
      </c>
      <c r="R366" s="14"/>
      <c r="S366" s="14"/>
      <c r="T366" s="14"/>
      <c r="U366" s="14" t="s">
        <v>22</v>
      </c>
      <c r="V366" s="14"/>
      <c r="W366" s="14" t="s">
        <v>176</v>
      </c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 t="s">
        <v>974</v>
      </c>
      <c r="AZ366" s="14" t="s">
        <v>2299</v>
      </c>
      <c r="BA366" s="14" t="s">
        <v>2300</v>
      </c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R366" s="1" t="s">
        <v>120</v>
      </c>
      <c r="CS366" s="1" t="s">
        <v>121</v>
      </c>
      <c r="CT366" s="14"/>
      <c r="CU366" s="1" t="s">
        <v>123</v>
      </c>
      <c r="CV366" s="1" t="s">
        <v>124</v>
      </c>
      <c r="CW366" s="3" t="s">
        <v>370</v>
      </c>
      <c r="DG366" s="4"/>
    </row>
    <row r="367" customFormat="false" ht="11.25" hidden="false" customHeight="true" outlineLevel="0" collapsed="false">
      <c r="A367" s="14" t="n">
        <v>366</v>
      </c>
      <c r="B367" s="15" t="n">
        <v>46041.4868640625</v>
      </c>
      <c r="C367" s="15" t="n">
        <v>46041.5033339699</v>
      </c>
      <c r="D367" s="14" t="s">
        <v>2301</v>
      </c>
      <c r="E367" s="14" t="s">
        <v>2302</v>
      </c>
      <c r="F367" s="14" t="s">
        <v>2303</v>
      </c>
      <c r="G367" s="14" t="s">
        <v>2304</v>
      </c>
      <c r="H367" s="15" t="n">
        <v>46027</v>
      </c>
      <c r="I367" s="15" t="s">
        <v>172</v>
      </c>
      <c r="J367" s="14" t="s">
        <v>108</v>
      </c>
      <c r="K367" s="14" t="s">
        <v>932</v>
      </c>
      <c r="L367" s="14" t="s">
        <v>286</v>
      </c>
      <c r="M367" s="14" t="s">
        <v>111</v>
      </c>
      <c r="N367" s="14" t="s">
        <v>112</v>
      </c>
      <c r="O367" s="14" t="s">
        <v>336</v>
      </c>
      <c r="P367" s="14" t="s">
        <v>515</v>
      </c>
      <c r="Q367" s="14" t="s">
        <v>905</v>
      </c>
      <c r="R367" s="14"/>
      <c r="S367" s="14"/>
      <c r="T367" s="14"/>
      <c r="U367" s="14" t="s">
        <v>21</v>
      </c>
      <c r="V367" s="14" t="s">
        <v>457</v>
      </c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 t="s">
        <v>162</v>
      </c>
      <c r="AN367" s="14" t="s">
        <v>1984</v>
      </c>
      <c r="AO367" s="14" t="s">
        <v>1564</v>
      </c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R367" s="1" t="s">
        <v>120</v>
      </c>
      <c r="CS367" s="1" t="s">
        <v>121</v>
      </c>
      <c r="CT367" s="14"/>
      <c r="CU367" s="1" t="s">
        <v>123</v>
      </c>
      <c r="CV367" s="1" t="s">
        <v>124</v>
      </c>
      <c r="CW367" s="3"/>
      <c r="DG367" s="4"/>
    </row>
    <row r="368" customFormat="false" ht="11.25" hidden="false" customHeight="true" outlineLevel="0" collapsed="false">
      <c r="A368" s="14" t="n">
        <v>367</v>
      </c>
      <c r="B368" s="15" t="n">
        <v>46083.2960333102</v>
      </c>
      <c r="C368" s="15" t="n">
        <v>46083.3062763657</v>
      </c>
      <c r="D368" s="14" t="s">
        <v>2305</v>
      </c>
      <c r="E368" s="14" t="s">
        <v>2306</v>
      </c>
      <c r="F368" s="14" t="s">
        <v>2306</v>
      </c>
      <c r="G368" s="14" t="s">
        <v>2307</v>
      </c>
      <c r="H368" s="15" t="n">
        <v>46066</v>
      </c>
      <c r="I368" s="15" t="s">
        <v>278</v>
      </c>
      <c r="J368" s="14" t="s">
        <v>128</v>
      </c>
      <c r="K368" s="14" t="s">
        <v>1527</v>
      </c>
      <c r="L368" s="14" t="s">
        <v>246</v>
      </c>
      <c r="M368" s="14" t="s">
        <v>111</v>
      </c>
      <c r="N368" s="14" t="s">
        <v>112</v>
      </c>
      <c r="O368" s="14" t="s">
        <v>113</v>
      </c>
      <c r="P368" s="14" t="s">
        <v>447</v>
      </c>
      <c r="Q368" s="14" t="s">
        <v>398</v>
      </c>
      <c r="R368" s="14"/>
      <c r="S368" s="14"/>
      <c r="T368" s="14"/>
      <c r="U368" s="14" t="s">
        <v>21</v>
      </c>
      <c r="V368" s="14" t="s">
        <v>250</v>
      </c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 t="s">
        <v>2308</v>
      </c>
      <c r="BF368" s="14" t="s">
        <v>252</v>
      </c>
      <c r="BG368" s="14" t="s">
        <v>526</v>
      </c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R368" s="1" t="s">
        <v>120</v>
      </c>
      <c r="CS368" s="1" t="s">
        <v>121</v>
      </c>
      <c r="CT368" s="14" t="s">
        <v>2039</v>
      </c>
      <c r="CU368" s="1" t="s">
        <v>167</v>
      </c>
      <c r="CV368" s="1" t="s">
        <v>124</v>
      </c>
      <c r="CW368" s="3"/>
      <c r="DG368" s="4"/>
    </row>
    <row r="369" customFormat="false" ht="11.25" hidden="false" customHeight="true" outlineLevel="0" collapsed="false">
      <c r="A369" s="14" t="n">
        <v>368</v>
      </c>
      <c r="B369" s="15" t="n">
        <v>46043.074595162</v>
      </c>
      <c r="C369" s="15" t="n">
        <v>46043.076458588</v>
      </c>
      <c r="D369" s="14" t="s">
        <v>2309</v>
      </c>
      <c r="E369" s="14" t="s">
        <v>2310</v>
      </c>
      <c r="F369" s="14" t="s">
        <v>2310</v>
      </c>
      <c r="G369" s="14" t="s">
        <v>2311</v>
      </c>
      <c r="H369" s="15" t="n">
        <v>46026</v>
      </c>
      <c r="I369" s="15" t="s">
        <v>244</v>
      </c>
      <c r="J369" s="14" t="s">
        <v>108</v>
      </c>
      <c r="K369" s="14" t="s">
        <v>245</v>
      </c>
      <c r="L369" s="14" t="s">
        <v>286</v>
      </c>
      <c r="M369" s="14" t="s">
        <v>131</v>
      </c>
      <c r="N369" s="14" t="s">
        <v>145</v>
      </c>
      <c r="O369" s="14" t="s">
        <v>325</v>
      </c>
      <c r="P369" s="14" t="s">
        <v>1074</v>
      </c>
      <c r="Q369" s="14" t="s">
        <v>899</v>
      </c>
      <c r="R369" s="14"/>
      <c r="S369" s="14"/>
      <c r="T369" s="14"/>
      <c r="U369" s="14" t="s">
        <v>23</v>
      </c>
      <c r="V369" s="14"/>
      <c r="W369" s="14"/>
      <c r="X369" s="14" t="s">
        <v>122</v>
      </c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R369" s="1" t="s">
        <v>152</v>
      </c>
      <c r="CS369" s="1" t="s">
        <v>121</v>
      </c>
      <c r="CT369" s="14" t="s">
        <v>122</v>
      </c>
      <c r="CU369" s="1" t="s">
        <v>192</v>
      </c>
      <c r="CV369" s="1" t="s">
        <v>124</v>
      </c>
      <c r="CW369" s="3"/>
      <c r="DG369" s="4"/>
    </row>
    <row r="370" customFormat="false" ht="11.25" hidden="false" customHeight="true" outlineLevel="0" collapsed="false">
      <c r="A370" s="14" t="n">
        <v>369</v>
      </c>
      <c r="B370" s="15" t="n">
        <v>46052.0970203704</v>
      </c>
      <c r="C370" s="15" t="n">
        <v>46052.1098560185</v>
      </c>
      <c r="D370" s="14" t="s">
        <v>2312</v>
      </c>
      <c r="E370" s="14" t="s">
        <v>2313</v>
      </c>
      <c r="F370" s="14" t="s">
        <v>2313</v>
      </c>
      <c r="G370" s="14" t="s">
        <v>2314</v>
      </c>
      <c r="H370" s="15" t="n">
        <v>46035</v>
      </c>
      <c r="I370" s="15" t="s">
        <v>172</v>
      </c>
      <c r="J370" s="14" t="s">
        <v>108</v>
      </c>
      <c r="K370" s="14" t="s">
        <v>245</v>
      </c>
      <c r="L370" s="14" t="s">
        <v>491</v>
      </c>
      <c r="M370" s="14" t="s">
        <v>111</v>
      </c>
      <c r="N370" s="14" t="s">
        <v>145</v>
      </c>
      <c r="O370" s="14" t="s">
        <v>113</v>
      </c>
      <c r="P370" s="14" t="s">
        <v>133</v>
      </c>
      <c r="Q370" s="14" t="s">
        <v>2315</v>
      </c>
      <c r="R370" s="14"/>
      <c r="S370" s="14"/>
      <c r="T370" s="14"/>
      <c r="U370" s="14" t="s">
        <v>22</v>
      </c>
      <c r="V370" s="14"/>
      <c r="W370" s="14" t="s">
        <v>176</v>
      </c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 t="s">
        <v>2316</v>
      </c>
      <c r="AZ370" s="14" t="s">
        <v>2317</v>
      </c>
      <c r="BA370" s="14" t="s">
        <v>2318</v>
      </c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R370" s="1" t="s">
        <v>227</v>
      </c>
      <c r="CS370" s="1" t="s">
        <v>121</v>
      </c>
      <c r="CT370" s="14" t="s">
        <v>122</v>
      </c>
      <c r="CU370" s="1" t="s">
        <v>192</v>
      </c>
      <c r="CV370" s="1" t="s">
        <v>124</v>
      </c>
      <c r="CW370" s="3"/>
      <c r="DG370" s="4"/>
    </row>
    <row r="371" customFormat="false" ht="11.25" hidden="false" customHeight="true" outlineLevel="0" collapsed="false">
      <c r="A371" s="14" t="n">
        <v>370</v>
      </c>
      <c r="B371" s="15" t="n">
        <v>46158.1400502778</v>
      </c>
      <c r="C371" s="15" t="n">
        <v>46158.1585687963</v>
      </c>
      <c r="D371" s="14" t="s">
        <v>2319</v>
      </c>
      <c r="E371" s="14" t="s">
        <v>2320</v>
      </c>
      <c r="F371" s="14" t="s">
        <v>2320</v>
      </c>
      <c r="G371" s="14" t="s">
        <v>2321</v>
      </c>
      <c r="H371" s="15" t="n">
        <v>46151</v>
      </c>
      <c r="I371" s="15" t="s">
        <v>107</v>
      </c>
      <c r="J371" s="14" t="s">
        <v>108</v>
      </c>
      <c r="K371" s="14" t="s">
        <v>257</v>
      </c>
      <c r="L371" s="14" t="s">
        <v>431</v>
      </c>
      <c r="M371" s="14" t="s">
        <v>111</v>
      </c>
      <c r="N371" s="14" t="s">
        <v>145</v>
      </c>
      <c r="O371" s="14" t="s">
        <v>113</v>
      </c>
      <c r="P371" s="14" t="s">
        <v>406</v>
      </c>
      <c r="Q371" s="14" t="s">
        <v>1229</v>
      </c>
      <c r="R371" s="14"/>
      <c r="S371" s="14"/>
      <c r="T371" s="14"/>
      <c r="U371" s="14" t="s">
        <v>22</v>
      </c>
      <c r="V371" s="14"/>
      <c r="W371" s="14" t="s">
        <v>176</v>
      </c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 t="s">
        <v>2322</v>
      </c>
      <c r="AZ371" s="14" t="s">
        <v>2323</v>
      </c>
      <c r="BA371" s="14" t="s">
        <v>2324</v>
      </c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R371" s="1" t="s">
        <v>152</v>
      </c>
      <c r="CS371" s="1" t="s">
        <v>264</v>
      </c>
      <c r="CT371" s="14" t="s">
        <v>2325</v>
      </c>
      <c r="CU371" s="1" t="s">
        <v>167</v>
      </c>
      <c r="CV371" s="1" t="s">
        <v>124</v>
      </c>
      <c r="CW371" s="3"/>
      <c r="DG371" s="4"/>
    </row>
    <row r="372" customFormat="false" ht="11.25" hidden="false" customHeight="true" outlineLevel="0" collapsed="false">
      <c r="A372" s="14" t="n">
        <v>371</v>
      </c>
      <c r="B372" s="15" t="n">
        <v>46108.0776369444</v>
      </c>
      <c r="C372" s="15" t="n">
        <v>46108.0913406482</v>
      </c>
      <c r="D372" s="14" t="s">
        <v>2326</v>
      </c>
      <c r="E372" s="14" t="s">
        <v>2327</v>
      </c>
      <c r="F372" s="14" t="s">
        <v>2328</v>
      </c>
      <c r="G372" s="14" t="s">
        <v>2329</v>
      </c>
      <c r="H372" s="15" t="n">
        <v>46102</v>
      </c>
      <c r="I372" s="15" t="s">
        <v>172</v>
      </c>
      <c r="J372" s="14" t="s">
        <v>128</v>
      </c>
      <c r="K372" s="14" t="s">
        <v>2330</v>
      </c>
      <c r="L372" s="14" t="s">
        <v>159</v>
      </c>
      <c r="M372" s="14" t="s">
        <v>111</v>
      </c>
      <c r="N372" s="14" t="s">
        <v>112</v>
      </c>
      <c r="O372" s="14" t="s">
        <v>113</v>
      </c>
      <c r="P372" s="14" t="s">
        <v>1313</v>
      </c>
      <c r="Q372" s="14" t="s">
        <v>1539</v>
      </c>
      <c r="R372" s="14"/>
      <c r="S372" s="14"/>
      <c r="T372" s="14"/>
      <c r="U372" s="14" t="s">
        <v>24</v>
      </c>
      <c r="V372" s="14"/>
      <c r="W372" s="14"/>
      <c r="X372" s="14"/>
      <c r="Y372" s="14" t="s">
        <v>214</v>
      </c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 t="s">
        <v>2331</v>
      </c>
      <c r="CD372" s="14" t="s">
        <v>434</v>
      </c>
      <c r="CE372" s="14" t="s">
        <v>2332</v>
      </c>
      <c r="CF372" s="14"/>
      <c r="CG372" s="14"/>
      <c r="CH372" s="14"/>
      <c r="CI372" s="14"/>
      <c r="CJ372" s="14"/>
      <c r="CK372" s="14"/>
      <c r="CL372" s="14"/>
      <c r="CR372" s="1" t="s">
        <v>152</v>
      </c>
      <c r="CS372" s="1" t="s">
        <v>121</v>
      </c>
      <c r="CT372" s="16" t="s">
        <v>641</v>
      </c>
      <c r="CU372" s="1" t="s">
        <v>123</v>
      </c>
      <c r="CV372" s="1" t="s">
        <v>124</v>
      </c>
      <c r="CW372" s="3"/>
      <c r="DG372" s="4"/>
    </row>
    <row r="373" customFormat="false" ht="11.25" hidden="false" customHeight="true" outlineLevel="0" collapsed="false">
      <c r="A373" s="14" t="n">
        <v>372</v>
      </c>
      <c r="B373" s="15" t="n">
        <v>46152.8664531597</v>
      </c>
      <c r="C373" s="15" t="n">
        <v>46152.8821707523</v>
      </c>
      <c r="D373" s="14" t="s">
        <v>2333</v>
      </c>
      <c r="E373" s="14" t="s">
        <v>2334</v>
      </c>
      <c r="F373" s="14" t="s">
        <v>2334</v>
      </c>
      <c r="G373" s="14" t="s">
        <v>2335</v>
      </c>
      <c r="H373" s="15" t="n">
        <v>46146</v>
      </c>
      <c r="I373" s="15" t="s">
        <v>750</v>
      </c>
      <c r="J373" s="14" t="s">
        <v>128</v>
      </c>
      <c r="K373" s="14" t="s">
        <v>364</v>
      </c>
      <c r="L373" s="14" t="s">
        <v>268</v>
      </c>
      <c r="M373" s="14" t="s">
        <v>111</v>
      </c>
      <c r="N373" s="14" t="s">
        <v>145</v>
      </c>
      <c r="O373" s="14" t="s">
        <v>113</v>
      </c>
      <c r="P373" s="14" t="s">
        <v>279</v>
      </c>
      <c r="Q373" s="14" t="s">
        <v>523</v>
      </c>
      <c r="R373" s="14"/>
      <c r="S373" s="14"/>
      <c r="T373" s="14"/>
      <c r="U373" s="14" t="s">
        <v>22</v>
      </c>
      <c r="V373" s="14"/>
      <c r="W373" s="14" t="s">
        <v>148</v>
      </c>
      <c r="X373" s="14"/>
      <c r="Y373" s="14"/>
      <c r="Z373" s="14"/>
      <c r="AA373" s="14"/>
      <c r="AB373" s="14"/>
      <c r="AC373" s="14"/>
      <c r="AD373" s="14" t="s">
        <v>2336</v>
      </c>
      <c r="AE373" s="14" t="s">
        <v>660</v>
      </c>
      <c r="AF373" s="14" t="s">
        <v>2337</v>
      </c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R373" s="1" t="s">
        <v>152</v>
      </c>
      <c r="CS373" s="1" t="s">
        <v>121</v>
      </c>
      <c r="CT373" s="14" t="s">
        <v>1245</v>
      </c>
      <c r="CU373" s="1" t="s">
        <v>123</v>
      </c>
      <c r="CV373" s="1" t="s">
        <v>124</v>
      </c>
      <c r="CW373" s="3"/>
      <c r="DG373" s="4"/>
    </row>
    <row r="374" customFormat="false" ht="11.25" hidden="false" customHeight="true" outlineLevel="0" collapsed="false">
      <c r="A374" s="14" t="n">
        <v>373</v>
      </c>
      <c r="B374" s="15" t="n">
        <v>46110.0812558449</v>
      </c>
      <c r="C374" s="15" t="n">
        <v>46110.087204919</v>
      </c>
      <c r="D374" s="14" t="s">
        <v>2338</v>
      </c>
      <c r="E374" s="14" t="s">
        <v>2339</v>
      </c>
      <c r="F374" s="14" t="s">
        <v>2339</v>
      </c>
      <c r="G374" s="14" t="s">
        <v>2340</v>
      </c>
      <c r="H374" s="15" t="n">
        <v>46097</v>
      </c>
      <c r="I374" s="15" t="s">
        <v>244</v>
      </c>
      <c r="J374" s="14" t="s">
        <v>108</v>
      </c>
      <c r="K374" s="14" t="s">
        <v>245</v>
      </c>
      <c r="L374" s="14" t="s">
        <v>346</v>
      </c>
      <c r="M374" s="14" t="s">
        <v>111</v>
      </c>
      <c r="N374" s="14" t="s">
        <v>112</v>
      </c>
      <c r="O374" s="14" t="s">
        <v>113</v>
      </c>
      <c r="P374" s="14" t="s">
        <v>185</v>
      </c>
      <c r="Q374" s="14" t="s">
        <v>234</v>
      </c>
      <c r="R374" s="14"/>
      <c r="S374" s="14"/>
      <c r="T374" s="14"/>
      <c r="U374" s="14" t="s">
        <v>21</v>
      </c>
      <c r="V374" s="14" t="s">
        <v>348</v>
      </c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 t="s">
        <v>2341</v>
      </c>
      <c r="BC374" s="14" t="s">
        <v>350</v>
      </c>
      <c r="BD374" s="14" t="s">
        <v>2342</v>
      </c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R374" s="1" t="s">
        <v>227</v>
      </c>
      <c r="CS374" s="1" t="s">
        <v>352</v>
      </c>
      <c r="CT374" s="14" t="s">
        <v>562</v>
      </c>
      <c r="CU374" s="1" t="s">
        <v>123</v>
      </c>
      <c r="CV374" s="1" t="s">
        <v>124</v>
      </c>
      <c r="CW374" s="3"/>
      <c r="DG374" s="4"/>
    </row>
    <row r="375" customFormat="false" ht="11.25" hidden="false" customHeight="true" outlineLevel="0" collapsed="false">
      <c r="A375" s="14" t="n">
        <v>374</v>
      </c>
      <c r="B375" s="15" t="n">
        <v>46177.6274630556</v>
      </c>
      <c r="C375" s="15" t="n">
        <v>46177.6434237037</v>
      </c>
      <c r="D375" s="14" t="s">
        <v>2343</v>
      </c>
      <c r="E375" s="14" t="s">
        <v>2344</v>
      </c>
      <c r="F375" s="14" t="s">
        <v>2345</v>
      </c>
      <c r="G375" s="14" t="s">
        <v>2346</v>
      </c>
      <c r="H375" s="15" t="n">
        <v>46162</v>
      </c>
      <c r="I375" s="15" t="s">
        <v>157</v>
      </c>
      <c r="J375" s="14" t="s">
        <v>108</v>
      </c>
      <c r="K375" s="14" t="s">
        <v>173</v>
      </c>
      <c r="L375" s="14" t="s">
        <v>431</v>
      </c>
      <c r="M375" s="14" t="s">
        <v>111</v>
      </c>
      <c r="N375" s="14" t="s">
        <v>112</v>
      </c>
      <c r="O375" s="14" t="s">
        <v>113</v>
      </c>
      <c r="P375" s="14" t="s">
        <v>391</v>
      </c>
      <c r="Q375" s="14" t="s">
        <v>508</v>
      </c>
      <c r="R375" s="14"/>
      <c r="S375" s="14"/>
      <c r="T375" s="14"/>
      <c r="U375" s="14" t="s">
        <v>22</v>
      </c>
      <c r="V375" s="14"/>
      <c r="W375" s="14" t="s">
        <v>148</v>
      </c>
      <c r="X375" s="14"/>
      <c r="Y375" s="14"/>
      <c r="Z375" s="14"/>
      <c r="AA375" s="14"/>
      <c r="AB375" s="14"/>
      <c r="AC375" s="14"/>
      <c r="AD375" s="14" t="s">
        <v>149</v>
      </c>
      <c r="AE375" s="14" t="s">
        <v>289</v>
      </c>
      <c r="AF375" s="14" t="s">
        <v>2347</v>
      </c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R375" s="1" t="s">
        <v>120</v>
      </c>
      <c r="CS375" s="1" t="s">
        <v>121</v>
      </c>
      <c r="CT375" s="14" t="s">
        <v>122</v>
      </c>
      <c r="CU375" s="1" t="s">
        <v>123</v>
      </c>
      <c r="CV375" s="1" t="s">
        <v>124</v>
      </c>
      <c r="CW375" s="3"/>
      <c r="DG375" s="4"/>
    </row>
    <row r="376" customFormat="false" ht="11.25" hidden="false" customHeight="true" outlineLevel="0" collapsed="false">
      <c r="A376" s="14" t="n">
        <v>375</v>
      </c>
      <c r="B376" s="15" t="n">
        <v>46203.2704673843</v>
      </c>
      <c r="C376" s="15" t="n">
        <v>46203.2822150694</v>
      </c>
      <c r="D376" s="14" t="s">
        <v>2348</v>
      </c>
      <c r="E376" s="14" t="s">
        <v>2349</v>
      </c>
      <c r="F376" s="14" t="s">
        <v>2349</v>
      </c>
      <c r="G376" s="14" t="s">
        <v>2350</v>
      </c>
      <c r="H376" s="15" t="n">
        <v>46195</v>
      </c>
      <c r="I376" s="15" t="s">
        <v>244</v>
      </c>
      <c r="J376" s="14" t="s">
        <v>108</v>
      </c>
      <c r="K376" s="14" t="s">
        <v>257</v>
      </c>
      <c r="L376" s="14" t="s">
        <v>268</v>
      </c>
      <c r="M376" s="14" t="s">
        <v>111</v>
      </c>
      <c r="N376" s="14" t="s">
        <v>112</v>
      </c>
      <c r="O376" s="14" t="s">
        <v>113</v>
      </c>
      <c r="P376" s="14" t="s">
        <v>234</v>
      </c>
      <c r="Q376" s="14" t="s">
        <v>111</v>
      </c>
      <c r="R376" s="14"/>
      <c r="S376" s="14" t="s">
        <v>441</v>
      </c>
      <c r="T376" s="14"/>
      <c r="U376" s="14" t="s">
        <v>23</v>
      </c>
      <c r="V376" s="14"/>
      <c r="W376" s="14"/>
      <c r="X376" s="14" t="s">
        <v>442</v>
      </c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R376" s="1" t="s">
        <v>152</v>
      </c>
      <c r="CS376" s="1" t="s">
        <v>121</v>
      </c>
      <c r="CT376" s="16" t="s">
        <v>2351</v>
      </c>
      <c r="CU376" s="1" t="s">
        <v>123</v>
      </c>
      <c r="CV376" s="1" t="s">
        <v>124</v>
      </c>
      <c r="CW376" s="3"/>
      <c r="DG376" s="4"/>
    </row>
    <row r="377" customFormat="false" ht="11.25" hidden="false" customHeight="true" outlineLevel="0" collapsed="false">
      <c r="A377" s="14" t="n">
        <v>376</v>
      </c>
      <c r="B377" s="15" t="n">
        <v>46214.3393241667</v>
      </c>
      <c r="C377" s="15" t="n">
        <v>46214.3494514815</v>
      </c>
      <c r="D377" s="14" t="s">
        <v>2352</v>
      </c>
      <c r="E377" s="14" t="s">
        <v>2353</v>
      </c>
      <c r="F377" s="14" t="s">
        <v>2353</v>
      </c>
      <c r="G377" s="14" t="s">
        <v>2354</v>
      </c>
      <c r="H377" s="15" t="n">
        <v>46214</v>
      </c>
      <c r="I377" s="15" t="s">
        <v>244</v>
      </c>
      <c r="J377" s="14" t="s">
        <v>108</v>
      </c>
      <c r="K377" s="14" t="s">
        <v>2355</v>
      </c>
      <c r="L377" s="14" t="s">
        <v>389</v>
      </c>
      <c r="M377" s="14" t="s">
        <v>111</v>
      </c>
      <c r="N377" s="14" t="s">
        <v>198</v>
      </c>
      <c r="O377" s="14" t="s">
        <v>325</v>
      </c>
      <c r="P377" s="14" t="s">
        <v>258</v>
      </c>
      <c r="Q377" s="14" t="s">
        <v>1622</v>
      </c>
      <c r="R377" s="14"/>
      <c r="S377" s="14"/>
      <c r="T377" s="14"/>
      <c r="U377" s="14" t="s">
        <v>21</v>
      </c>
      <c r="V377" s="14" t="s">
        <v>457</v>
      </c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 t="s">
        <v>886</v>
      </c>
      <c r="AN377" s="14" t="s">
        <v>329</v>
      </c>
      <c r="AO377" s="14" t="s">
        <v>1564</v>
      </c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R377" s="1" t="s">
        <v>152</v>
      </c>
      <c r="CS377" s="1" t="s">
        <v>121</v>
      </c>
      <c r="CT377" s="14" t="s">
        <v>948</v>
      </c>
      <c r="CU377" s="1" t="s">
        <v>192</v>
      </c>
      <c r="CV377" s="1" t="s">
        <v>124</v>
      </c>
      <c r="CW377" s="3"/>
      <c r="DG377" s="4"/>
    </row>
    <row r="378" customFormat="false" ht="11.25" hidden="false" customHeight="true" outlineLevel="0" collapsed="false">
      <c r="A378" s="14" t="n">
        <v>377</v>
      </c>
      <c r="B378" s="15" t="n">
        <v>46069.0008253009</v>
      </c>
      <c r="C378" s="15" t="n">
        <v>46069.0050382639</v>
      </c>
      <c r="D378" s="14" t="s">
        <v>2356</v>
      </c>
      <c r="E378" s="14" t="s">
        <v>2357</v>
      </c>
      <c r="F378" s="14" t="s">
        <v>2357</v>
      </c>
      <c r="G378" s="14" t="s">
        <v>2358</v>
      </c>
      <c r="H378" s="15" t="n">
        <v>46068</v>
      </c>
      <c r="I378" s="15" t="s">
        <v>172</v>
      </c>
      <c r="J378" s="14" t="s">
        <v>128</v>
      </c>
      <c r="K378" s="14" t="s">
        <v>1926</v>
      </c>
      <c r="L378" s="14" t="s">
        <v>286</v>
      </c>
      <c r="M378" s="14" t="s">
        <v>111</v>
      </c>
      <c r="N378" s="14" t="s">
        <v>145</v>
      </c>
      <c r="O378" s="14" t="s">
        <v>113</v>
      </c>
      <c r="P378" s="14" t="s">
        <v>594</v>
      </c>
      <c r="Q378" s="14" t="s">
        <v>147</v>
      </c>
      <c r="R378" s="14"/>
      <c r="S378" s="14"/>
      <c r="T378" s="14"/>
      <c r="U378" s="14" t="s">
        <v>24</v>
      </c>
      <c r="V378" s="14"/>
      <c r="W378" s="14"/>
      <c r="X378" s="14"/>
      <c r="Y378" s="14" t="s">
        <v>223</v>
      </c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 t="s">
        <v>2359</v>
      </c>
      <c r="CA378" s="14" t="s">
        <v>1541</v>
      </c>
      <c r="CB378" s="14" t="s">
        <v>2360</v>
      </c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R378" s="1" t="s">
        <v>120</v>
      </c>
      <c r="CS378" s="1" t="s">
        <v>121</v>
      </c>
      <c r="CT378" s="14" t="s">
        <v>239</v>
      </c>
      <c r="CU378" s="1" t="s">
        <v>123</v>
      </c>
      <c r="CV378" s="1" t="s">
        <v>124</v>
      </c>
      <c r="CW378" s="3"/>
      <c r="DG378" s="4"/>
    </row>
    <row r="379" customFormat="false" ht="11.25" hidden="false" customHeight="true" outlineLevel="0" collapsed="false">
      <c r="A379" s="14" t="n">
        <v>378</v>
      </c>
      <c r="B379" s="15" t="n">
        <v>46164.9674275116</v>
      </c>
      <c r="C379" s="15" t="n">
        <v>46164.9851358449</v>
      </c>
      <c r="D379" s="14" t="s">
        <v>2361</v>
      </c>
      <c r="E379" s="14" t="s">
        <v>2362</v>
      </c>
      <c r="F379" s="14" t="s">
        <v>2362</v>
      </c>
      <c r="G379" s="14" t="s">
        <v>2363</v>
      </c>
      <c r="H379" s="15" t="n">
        <v>46144</v>
      </c>
      <c r="I379" s="15" t="s">
        <v>278</v>
      </c>
      <c r="J379" s="14" t="s">
        <v>295</v>
      </c>
      <c r="K379" s="14" t="s">
        <v>2364</v>
      </c>
      <c r="L379" s="14" t="s">
        <v>346</v>
      </c>
      <c r="M379" s="14" t="s">
        <v>111</v>
      </c>
      <c r="N379" s="14" t="s">
        <v>112</v>
      </c>
      <c r="O379" s="14" t="s">
        <v>113</v>
      </c>
      <c r="P379" s="14" t="s">
        <v>174</v>
      </c>
      <c r="Q379" s="14" t="s">
        <v>306</v>
      </c>
      <c r="R379" s="14"/>
      <c r="S379" s="14"/>
      <c r="T379" s="14"/>
      <c r="U379" s="14" t="s">
        <v>21</v>
      </c>
      <c r="V379" s="14" t="s">
        <v>374</v>
      </c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 t="s">
        <v>906</v>
      </c>
      <c r="AK379" s="14" t="s">
        <v>376</v>
      </c>
      <c r="AL379" s="14" t="s">
        <v>1014</v>
      </c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R379" s="1" t="s">
        <v>152</v>
      </c>
      <c r="CS379" s="1" t="s">
        <v>180</v>
      </c>
      <c r="CT379" s="14"/>
      <c r="CU379" s="1" t="s">
        <v>123</v>
      </c>
      <c r="CV379" s="1" t="s">
        <v>124</v>
      </c>
      <c r="CW379" s="3"/>
      <c r="DG379" s="4"/>
    </row>
    <row r="380" customFormat="false" ht="11.25" hidden="false" customHeight="true" outlineLevel="0" collapsed="false">
      <c r="A380" s="14" t="n">
        <v>379</v>
      </c>
      <c r="B380" s="15" t="n">
        <v>46145.3203041667</v>
      </c>
      <c r="C380" s="15" t="n">
        <v>46145.3289847222</v>
      </c>
      <c r="D380" s="14" t="s">
        <v>2365</v>
      </c>
      <c r="E380" s="14" t="s">
        <v>2366</v>
      </c>
      <c r="F380" s="14" t="s">
        <v>2366</v>
      </c>
      <c r="G380" s="14" t="s">
        <v>2367</v>
      </c>
      <c r="H380" s="15" t="n">
        <v>46139</v>
      </c>
      <c r="I380" s="15" t="s">
        <v>278</v>
      </c>
      <c r="J380" s="14" t="s">
        <v>295</v>
      </c>
      <c r="K380" s="14" t="s">
        <v>245</v>
      </c>
      <c r="L380" s="14" t="s">
        <v>130</v>
      </c>
      <c r="M380" s="14" t="s">
        <v>111</v>
      </c>
      <c r="N380" s="14" t="s">
        <v>112</v>
      </c>
      <c r="O380" s="14" t="s">
        <v>113</v>
      </c>
      <c r="P380" s="14" t="s">
        <v>114</v>
      </c>
      <c r="Q380" s="14" t="s">
        <v>134</v>
      </c>
      <c r="R380" s="14"/>
      <c r="S380" s="14"/>
      <c r="T380" s="14"/>
      <c r="U380" s="14" t="s">
        <v>22</v>
      </c>
      <c r="V380" s="14"/>
      <c r="W380" s="14" t="s">
        <v>176</v>
      </c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 t="s">
        <v>974</v>
      </c>
      <c r="AZ380" s="14" t="s">
        <v>2368</v>
      </c>
      <c r="BA380" s="14" t="s">
        <v>2369</v>
      </c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R380" s="1" t="s">
        <v>152</v>
      </c>
      <c r="CS380" s="1" t="s">
        <v>121</v>
      </c>
      <c r="CT380" s="14" t="s">
        <v>1700</v>
      </c>
      <c r="CU380" s="1" t="s">
        <v>192</v>
      </c>
      <c r="CV380" s="1" t="s">
        <v>124</v>
      </c>
      <c r="CW380" s="3"/>
      <c r="DG380" s="4"/>
    </row>
    <row r="381" customFormat="false" ht="11.25" hidden="false" customHeight="true" outlineLevel="0" collapsed="false">
      <c r="A381" s="14" t="n">
        <v>380</v>
      </c>
      <c r="B381" s="15" t="n">
        <v>46093.6620626389</v>
      </c>
      <c r="C381" s="15" t="n">
        <v>46093.6725834722</v>
      </c>
      <c r="D381" s="14" t="s">
        <v>2370</v>
      </c>
      <c r="E381" s="14" t="s">
        <v>2371</v>
      </c>
      <c r="F381" s="14" t="s">
        <v>2371</v>
      </c>
      <c r="G381" s="14" t="s">
        <v>2372</v>
      </c>
      <c r="H381" s="15" t="n">
        <v>46087</v>
      </c>
      <c r="I381" s="15" t="s">
        <v>1949</v>
      </c>
      <c r="J381" s="14" t="s">
        <v>108</v>
      </c>
      <c r="K381" s="14" t="s">
        <v>232</v>
      </c>
      <c r="L381" s="14" t="s">
        <v>286</v>
      </c>
      <c r="M381" s="14" t="s">
        <v>111</v>
      </c>
      <c r="N381" s="14" t="s">
        <v>247</v>
      </c>
      <c r="O381" s="14" t="s">
        <v>113</v>
      </c>
      <c r="P381" s="14" t="s">
        <v>357</v>
      </c>
      <c r="Q381" s="14" t="s">
        <v>414</v>
      </c>
      <c r="R381" s="14"/>
      <c r="S381" s="14"/>
      <c r="T381" s="14"/>
      <c r="U381" s="14" t="s">
        <v>22</v>
      </c>
      <c r="V381" s="14"/>
      <c r="W381" s="14" t="s">
        <v>116</v>
      </c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 t="s">
        <v>1457</v>
      </c>
      <c r="BU381" s="14" t="s">
        <v>434</v>
      </c>
      <c r="BV381" s="14" t="s">
        <v>746</v>
      </c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R381" s="1" t="s">
        <v>152</v>
      </c>
      <c r="CS381" s="1" t="s">
        <v>180</v>
      </c>
      <c r="CT381" s="14"/>
      <c r="CU381" s="1" t="s">
        <v>123</v>
      </c>
      <c r="CV381" s="1" t="s">
        <v>124</v>
      </c>
      <c r="CW381" s="3"/>
      <c r="DG381" s="4"/>
    </row>
    <row r="382" customFormat="false" ht="11.25" hidden="false" customHeight="true" outlineLevel="0" collapsed="false">
      <c r="A382" s="14" t="n">
        <v>381</v>
      </c>
      <c r="B382" s="15" t="n">
        <v>46212.9860702083</v>
      </c>
      <c r="C382" s="15" t="n">
        <v>46212.9899359491</v>
      </c>
      <c r="D382" s="14" t="s">
        <v>2373</v>
      </c>
      <c r="E382" s="14" t="s">
        <v>2374</v>
      </c>
      <c r="F382" s="14" t="s">
        <v>2374</v>
      </c>
      <c r="G382" s="14" t="s">
        <v>2375</v>
      </c>
      <c r="H382" s="15" t="n">
        <v>46212</v>
      </c>
      <c r="I382" s="15" t="s">
        <v>107</v>
      </c>
      <c r="J382" s="14" t="s">
        <v>108</v>
      </c>
      <c r="K382" s="14" t="s">
        <v>462</v>
      </c>
      <c r="L382" s="14" t="s">
        <v>268</v>
      </c>
      <c r="M382" s="14" t="s">
        <v>211</v>
      </c>
      <c r="N382" s="14" t="s">
        <v>112</v>
      </c>
      <c r="O382" s="14" t="s">
        <v>113</v>
      </c>
      <c r="P382" s="14" t="s">
        <v>1388</v>
      </c>
      <c r="Q382" s="14" t="s">
        <v>1140</v>
      </c>
      <c r="R382" s="14"/>
      <c r="S382" s="14"/>
      <c r="T382" s="14"/>
      <c r="U382" s="14" t="s">
        <v>21</v>
      </c>
      <c r="V382" s="14" t="s">
        <v>307</v>
      </c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 t="s">
        <v>308</v>
      </c>
      <c r="AT382" s="14" t="s">
        <v>2376</v>
      </c>
      <c r="AU382" s="14" t="s">
        <v>1618</v>
      </c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R382" s="1" t="s">
        <v>120</v>
      </c>
      <c r="CS382" s="1" t="s">
        <v>121</v>
      </c>
      <c r="CT382" s="14" t="s">
        <v>1420</v>
      </c>
      <c r="CU382" s="1" t="s">
        <v>192</v>
      </c>
      <c r="CV382" s="1" t="s">
        <v>168</v>
      </c>
      <c r="CW382" s="3"/>
      <c r="DG382" s="4"/>
    </row>
    <row r="383" customFormat="false" ht="11.25" hidden="false" customHeight="true" outlineLevel="0" collapsed="false">
      <c r="A383" s="14" t="n">
        <v>382</v>
      </c>
      <c r="B383" s="15" t="n">
        <v>46035.0555224884</v>
      </c>
      <c r="C383" s="15" t="n">
        <v>46035.0705919329</v>
      </c>
      <c r="D383" s="14" t="s">
        <v>2377</v>
      </c>
      <c r="E383" s="14" t="s">
        <v>2378</v>
      </c>
      <c r="F383" s="14" t="s">
        <v>2378</v>
      </c>
      <c r="G383" s="14" t="s">
        <v>2379</v>
      </c>
      <c r="H383" s="15" t="n">
        <v>46030</v>
      </c>
      <c r="I383" s="15" t="s">
        <v>172</v>
      </c>
      <c r="J383" s="14" t="s">
        <v>128</v>
      </c>
      <c r="K383" s="14" t="s">
        <v>143</v>
      </c>
      <c r="L383" s="14" t="s">
        <v>431</v>
      </c>
      <c r="M383" s="14" t="s">
        <v>111</v>
      </c>
      <c r="N383" s="14" t="s">
        <v>112</v>
      </c>
      <c r="O383" s="14" t="s">
        <v>336</v>
      </c>
      <c r="P383" s="14" t="s">
        <v>1120</v>
      </c>
      <c r="Q383" s="14" t="s">
        <v>175</v>
      </c>
      <c r="R383" s="14"/>
      <c r="S383" s="14"/>
      <c r="T383" s="14"/>
      <c r="U383" s="14" t="s">
        <v>24</v>
      </c>
      <c r="V383" s="14"/>
      <c r="W383" s="14"/>
      <c r="X383" s="14"/>
      <c r="Y383" s="14" t="s">
        <v>223</v>
      </c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 t="s">
        <v>2380</v>
      </c>
      <c r="CA383" s="14" t="s">
        <v>424</v>
      </c>
      <c r="CB383" s="14" t="s">
        <v>2381</v>
      </c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R383" s="1" t="s">
        <v>152</v>
      </c>
      <c r="CS383" s="1" t="s">
        <v>121</v>
      </c>
      <c r="CT383" s="14"/>
      <c r="CU383" s="1" t="s">
        <v>167</v>
      </c>
      <c r="CV383" s="1" t="s">
        <v>124</v>
      </c>
      <c r="CW383" s="3"/>
      <c r="DG383" s="4"/>
    </row>
    <row r="384" customFormat="false" ht="11.25" hidden="false" customHeight="true" outlineLevel="0" collapsed="false">
      <c r="A384" s="14" t="n">
        <v>383</v>
      </c>
      <c r="B384" s="15" t="n">
        <v>46171.3845529745</v>
      </c>
      <c r="C384" s="15" t="n">
        <v>46171.4043214931</v>
      </c>
      <c r="D384" s="14" t="s">
        <v>2382</v>
      </c>
      <c r="E384" s="14" t="s">
        <v>2383</v>
      </c>
      <c r="F384" s="14" t="s">
        <v>2384</v>
      </c>
      <c r="G384" s="14" t="s">
        <v>2385</v>
      </c>
      <c r="H384" s="15" t="n">
        <v>46166</v>
      </c>
      <c r="I384" s="15" t="s">
        <v>172</v>
      </c>
      <c r="J384" s="14" t="s">
        <v>108</v>
      </c>
      <c r="K384" s="14" t="s">
        <v>143</v>
      </c>
      <c r="L384" s="14" t="s">
        <v>389</v>
      </c>
      <c r="M384" s="14" t="s">
        <v>111</v>
      </c>
      <c r="N384" s="14" t="s">
        <v>145</v>
      </c>
      <c r="O384" s="14" t="s">
        <v>325</v>
      </c>
      <c r="P384" s="14" t="s">
        <v>905</v>
      </c>
      <c r="Q384" s="14" t="s">
        <v>849</v>
      </c>
      <c r="R384" s="14"/>
      <c r="S384" s="14"/>
      <c r="T384" s="14"/>
      <c r="U384" s="14" t="s">
        <v>22</v>
      </c>
      <c r="V384" s="14"/>
      <c r="W384" s="14" t="s">
        <v>271</v>
      </c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 t="s">
        <v>646</v>
      </c>
      <c r="BL384" s="14" t="s">
        <v>2386</v>
      </c>
      <c r="BM384" s="14" t="s">
        <v>1302</v>
      </c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R384" s="1" t="s">
        <v>152</v>
      </c>
      <c r="CS384" s="1" t="s">
        <v>180</v>
      </c>
      <c r="CT384" s="14" t="s">
        <v>1229</v>
      </c>
      <c r="CU384" s="1" t="s">
        <v>123</v>
      </c>
      <c r="CV384" s="1" t="s">
        <v>124</v>
      </c>
      <c r="CW384" s="3"/>
      <c r="DG384" s="4"/>
    </row>
    <row r="385" customFormat="false" ht="11.25" hidden="false" customHeight="true" outlineLevel="0" collapsed="false">
      <c r="A385" s="14" t="n">
        <v>384</v>
      </c>
      <c r="B385" s="15" t="n">
        <v>46045.1478219329</v>
      </c>
      <c r="C385" s="15" t="n">
        <v>46045.149245544</v>
      </c>
      <c r="D385" s="14" t="s">
        <v>2387</v>
      </c>
      <c r="E385" s="14" t="s">
        <v>2388</v>
      </c>
      <c r="F385" s="14" t="s">
        <v>2388</v>
      </c>
      <c r="G385" s="14" t="s">
        <v>2389</v>
      </c>
      <c r="H385" s="15" t="n">
        <v>46033</v>
      </c>
      <c r="I385" s="15" t="s">
        <v>713</v>
      </c>
      <c r="J385" s="14" t="s">
        <v>295</v>
      </c>
      <c r="K385" s="14" t="s">
        <v>2390</v>
      </c>
      <c r="L385" s="14" t="s">
        <v>286</v>
      </c>
      <c r="M385" s="14" t="s">
        <v>111</v>
      </c>
      <c r="N385" s="14" t="s">
        <v>112</v>
      </c>
      <c r="O385" s="14" t="s">
        <v>113</v>
      </c>
      <c r="P385" s="14" t="s">
        <v>212</v>
      </c>
      <c r="Q385" s="14" t="s">
        <v>714</v>
      </c>
      <c r="R385" s="14"/>
      <c r="S385" s="14"/>
      <c r="T385" s="14"/>
      <c r="U385" s="14" t="s">
        <v>22</v>
      </c>
      <c r="V385" s="14"/>
      <c r="W385" s="14" t="s">
        <v>298</v>
      </c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 t="s">
        <v>536</v>
      </c>
      <c r="AW385" s="14" t="s">
        <v>2391</v>
      </c>
      <c r="AX385" s="14" t="s">
        <v>2392</v>
      </c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R385" s="1" t="s">
        <v>152</v>
      </c>
      <c r="CS385" s="1" t="s">
        <v>121</v>
      </c>
      <c r="CT385" s="14" t="s">
        <v>122</v>
      </c>
      <c r="CU385" s="1" t="s">
        <v>123</v>
      </c>
      <c r="CV385" s="1" t="s">
        <v>124</v>
      </c>
      <c r="CW385" s="3"/>
      <c r="DG385" s="4"/>
    </row>
    <row r="386" customFormat="false" ht="11.25" hidden="false" customHeight="true" outlineLevel="0" collapsed="false">
      <c r="A386" s="14" t="n">
        <v>385</v>
      </c>
      <c r="B386" s="15" t="n">
        <v>46159.0310459954</v>
      </c>
      <c r="C386" s="15" t="n">
        <v>46159.0362427546</v>
      </c>
      <c r="D386" s="14" t="s">
        <v>2393</v>
      </c>
      <c r="E386" s="14" t="s">
        <v>2394</v>
      </c>
      <c r="F386" s="14" t="s">
        <v>2395</v>
      </c>
      <c r="G386" s="14" t="s">
        <v>2396</v>
      </c>
      <c r="H386" s="15" t="n">
        <v>46143</v>
      </c>
      <c r="I386" s="15" t="s">
        <v>172</v>
      </c>
      <c r="J386" s="14" t="s">
        <v>108</v>
      </c>
      <c r="K386" s="14" t="s">
        <v>245</v>
      </c>
      <c r="L386" s="14" t="s">
        <v>159</v>
      </c>
      <c r="M386" s="14" t="s">
        <v>111</v>
      </c>
      <c r="N386" s="14" t="s">
        <v>112</v>
      </c>
      <c r="O386" s="14" t="s">
        <v>113</v>
      </c>
      <c r="P386" s="14" t="s">
        <v>337</v>
      </c>
      <c r="Q386" s="14" t="s">
        <v>810</v>
      </c>
      <c r="R386" s="14"/>
      <c r="S386" s="14"/>
      <c r="T386" s="14"/>
      <c r="U386" s="14" t="s">
        <v>22</v>
      </c>
      <c r="V386" s="14"/>
      <c r="W386" s="14" t="s">
        <v>381</v>
      </c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 t="s">
        <v>2397</v>
      </c>
      <c r="BR386" s="14" t="s">
        <v>843</v>
      </c>
      <c r="BS386" s="14" t="s">
        <v>2398</v>
      </c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R386" s="1" t="s">
        <v>152</v>
      </c>
      <c r="CS386" s="1" t="s">
        <v>121</v>
      </c>
      <c r="CT386" s="14" t="s">
        <v>385</v>
      </c>
      <c r="CU386" s="1" t="s">
        <v>123</v>
      </c>
      <c r="CV386" s="1" t="s">
        <v>124</v>
      </c>
      <c r="CW386" s="3"/>
      <c r="DG386" s="4"/>
    </row>
    <row r="387" customFormat="false" ht="11.25" hidden="false" customHeight="true" outlineLevel="0" collapsed="false">
      <c r="A387" s="14" t="n">
        <v>386</v>
      </c>
      <c r="B387" s="15" t="n">
        <v>46208.5463340741</v>
      </c>
      <c r="C387" s="15" t="n">
        <v>46208.5587299074</v>
      </c>
      <c r="D387" s="14" t="s">
        <v>2399</v>
      </c>
      <c r="E387" s="14" t="s">
        <v>2400</v>
      </c>
      <c r="F387" s="14" t="s">
        <v>2401</v>
      </c>
      <c r="G387" s="14" t="s">
        <v>2402</v>
      </c>
      <c r="H387" s="15" t="n">
        <v>46193</v>
      </c>
      <c r="I387" s="15" t="s">
        <v>172</v>
      </c>
      <c r="J387" s="14" t="s">
        <v>108</v>
      </c>
      <c r="K387" s="14" t="s">
        <v>257</v>
      </c>
      <c r="L387" s="14" t="s">
        <v>346</v>
      </c>
      <c r="M387" s="14" t="s">
        <v>111</v>
      </c>
      <c r="N387" s="14" t="s">
        <v>112</v>
      </c>
      <c r="O387" s="14" t="s">
        <v>325</v>
      </c>
      <c r="P387" s="14" t="s">
        <v>1151</v>
      </c>
      <c r="Q387" s="14" t="s">
        <v>249</v>
      </c>
      <c r="R387" s="14"/>
      <c r="S387" s="14"/>
      <c r="T387" s="14"/>
      <c r="U387" s="14" t="s">
        <v>22</v>
      </c>
      <c r="V387" s="14"/>
      <c r="W387" s="14" t="s">
        <v>715</v>
      </c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 t="s">
        <v>2403</v>
      </c>
      <c r="BI387" s="14" t="s">
        <v>2404</v>
      </c>
      <c r="BJ387" s="14" t="s">
        <v>732</v>
      </c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R387" s="1" t="s">
        <v>152</v>
      </c>
      <c r="CS387" s="1" t="s">
        <v>352</v>
      </c>
      <c r="CT387" s="14"/>
      <c r="CU387" s="1" t="s">
        <v>123</v>
      </c>
      <c r="CV387" s="1" t="s">
        <v>124</v>
      </c>
      <c r="CW387" s="3"/>
      <c r="DG387" s="4"/>
    </row>
    <row r="388" customFormat="false" ht="11.25" hidden="false" customHeight="true" outlineLevel="0" collapsed="false">
      <c r="A388" s="14" t="n">
        <v>387</v>
      </c>
      <c r="B388" s="15" t="n">
        <v>46172.0405064005</v>
      </c>
      <c r="C388" s="15" t="n">
        <v>46172.048399919</v>
      </c>
      <c r="D388" s="14" t="s">
        <v>2405</v>
      </c>
      <c r="E388" s="14" t="s">
        <v>2406</v>
      </c>
      <c r="F388" s="14" t="s">
        <v>2406</v>
      </c>
      <c r="G388" s="14" t="s">
        <v>2407</v>
      </c>
      <c r="H388" s="15" t="n">
        <v>46153</v>
      </c>
      <c r="I388" s="15" t="s">
        <v>107</v>
      </c>
      <c r="J388" s="14" t="s">
        <v>295</v>
      </c>
      <c r="K388" s="14" t="s">
        <v>196</v>
      </c>
      <c r="L388" s="14" t="s">
        <v>197</v>
      </c>
      <c r="M388" s="14" t="s">
        <v>111</v>
      </c>
      <c r="N388" s="14" t="s">
        <v>112</v>
      </c>
      <c r="O388" s="14" t="s">
        <v>113</v>
      </c>
      <c r="P388" s="14" t="s">
        <v>885</v>
      </c>
      <c r="Q388" s="14" t="s">
        <v>990</v>
      </c>
      <c r="R388" s="14"/>
      <c r="S388" s="14"/>
      <c r="T388" s="14"/>
      <c r="U388" s="14" t="s">
        <v>24</v>
      </c>
      <c r="V388" s="14"/>
      <c r="W388" s="14"/>
      <c r="X388" s="14"/>
      <c r="Y388" s="14" t="s">
        <v>260</v>
      </c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 t="s">
        <v>2408</v>
      </c>
      <c r="CG388" s="14" t="s">
        <v>2409</v>
      </c>
      <c r="CH388" s="14" t="s">
        <v>2410</v>
      </c>
      <c r="CI388" s="14"/>
      <c r="CJ388" s="14"/>
      <c r="CK388" s="14"/>
      <c r="CL388" s="14"/>
      <c r="CR388" s="1" t="s">
        <v>227</v>
      </c>
      <c r="CS388" s="1" t="s">
        <v>121</v>
      </c>
      <c r="CT388" s="14" t="s">
        <v>2325</v>
      </c>
      <c r="CU388" s="1" t="s">
        <v>167</v>
      </c>
      <c r="CV388" s="1" t="s">
        <v>124</v>
      </c>
      <c r="CW388" s="3"/>
      <c r="DG388" s="4"/>
    </row>
    <row r="389" customFormat="false" ht="11.25" hidden="false" customHeight="true" outlineLevel="0" collapsed="false">
      <c r="A389" s="14" t="n">
        <v>388</v>
      </c>
      <c r="B389" s="15" t="n">
        <v>46129.7243637847</v>
      </c>
      <c r="C389" s="15" t="n">
        <v>46129.7329285995</v>
      </c>
      <c r="D389" s="14" t="s">
        <v>2411</v>
      </c>
      <c r="E389" s="14" t="s">
        <v>2412</v>
      </c>
      <c r="F389" s="14" t="s">
        <v>2412</v>
      </c>
      <c r="G389" s="14" t="s">
        <v>2413</v>
      </c>
      <c r="H389" s="15" t="n">
        <v>46122</v>
      </c>
      <c r="I389" s="15" t="s">
        <v>244</v>
      </c>
      <c r="J389" s="14" t="s">
        <v>108</v>
      </c>
      <c r="K389" s="14" t="s">
        <v>143</v>
      </c>
      <c r="L389" s="14" t="s">
        <v>159</v>
      </c>
      <c r="M389" s="14" t="s">
        <v>111</v>
      </c>
      <c r="N389" s="14" t="s">
        <v>145</v>
      </c>
      <c r="O389" s="14" t="s">
        <v>113</v>
      </c>
      <c r="P389" s="14" t="s">
        <v>809</v>
      </c>
      <c r="Q389" s="14" t="s">
        <v>280</v>
      </c>
      <c r="R389" s="14"/>
      <c r="S389" s="14"/>
      <c r="T389" s="14"/>
      <c r="U389" s="14" t="s">
        <v>21</v>
      </c>
      <c r="V389" s="14" t="s">
        <v>374</v>
      </c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 t="s">
        <v>2414</v>
      </c>
      <c r="AK389" s="14" t="s">
        <v>1013</v>
      </c>
      <c r="AL389" s="14" t="s">
        <v>908</v>
      </c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R389" s="1" t="s">
        <v>120</v>
      </c>
      <c r="CS389" s="1" t="s">
        <v>180</v>
      </c>
      <c r="CT389" s="14"/>
      <c r="CU389" s="1" t="s">
        <v>192</v>
      </c>
      <c r="CV389" s="1" t="s">
        <v>124</v>
      </c>
      <c r="CW389" s="3"/>
      <c r="DG389" s="4"/>
    </row>
    <row r="390" customFormat="false" ht="11.25" hidden="false" customHeight="true" outlineLevel="0" collapsed="false">
      <c r="A390" s="14" t="n">
        <v>389</v>
      </c>
      <c r="B390" s="15" t="n">
        <v>46045.0809677315</v>
      </c>
      <c r="C390" s="15" t="n">
        <v>46045.0875881019</v>
      </c>
      <c r="D390" s="14" t="s">
        <v>2415</v>
      </c>
      <c r="E390" s="14" t="s">
        <v>2416</v>
      </c>
      <c r="F390" s="14" t="s">
        <v>2416</v>
      </c>
      <c r="G390" s="14" t="s">
        <v>2417</v>
      </c>
      <c r="H390" s="15" t="n">
        <v>46026</v>
      </c>
      <c r="I390" s="15" t="s">
        <v>278</v>
      </c>
      <c r="J390" s="14" t="s">
        <v>108</v>
      </c>
      <c r="K390" s="14" t="s">
        <v>257</v>
      </c>
      <c r="L390" s="14" t="s">
        <v>210</v>
      </c>
      <c r="M390" s="14" t="s">
        <v>111</v>
      </c>
      <c r="N390" s="14" t="s">
        <v>112</v>
      </c>
      <c r="O390" s="14" t="s">
        <v>113</v>
      </c>
      <c r="P390" s="14" t="s">
        <v>391</v>
      </c>
      <c r="Q390" s="14" t="s">
        <v>111</v>
      </c>
      <c r="R390" s="14"/>
      <c r="S390" s="14"/>
      <c r="T390" s="14"/>
      <c r="U390" s="14" t="s">
        <v>24</v>
      </c>
      <c r="V390" s="14"/>
      <c r="W390" s="14"/>
      <c r="X390" s="14"/>
      <c r="Y390" s="14" t="s">
        <v>223</v>
      </c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 t="s">
        <v>1399</v>
      </c>
      <c r="CA390" s="14" t="s">
        <v>2418</v>
      </c>
      <c r="CB390" s="14" t="s">
        <v>1432</v>
      </c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R390" s="1" t="s">
        <v>152</v>
      </c>
      <c r="CS390" s="1" t="s">
        <v>121</v>
      </c>
      <c r="CT390" s="14" t="s">
        <v>2325</v>
      </c>
      <c r="CU390" s="1" t="s">
        <v>192</v>
      </c>
      <c r="CV390" s="1" t="s">
        <v>124</v>
      </c>
      <c r="CW390" s="3"/>
      <c r="CY390" s="3" t="s">
        <v>205</v>
      </c>
      <c r="DG390" s="4"/>
    </row>
    <row r="391" customFormat="false" ht="11.25" hidden="false" customHeight="true" outlineLevel="0" collapsed="false">
      <c r="A391" s="14" t="n">
        <v>390</v>
      </c>
      <c r="B391" s="15" t="n">
        <v>46093.6969201273</v>
      </c>
      <c r="C391" s="15" t="n">
        <v>46093.7070590162</v>
      </c>
      <c r="D391" s="14" t="s">
        <v>2419</v>
      </c>
      <c r="E391" s="14" t="s">
        <v>2420</v>
      </c>
      <c r="F391" s="14" t="s">
        <v>2420</v>
      </c>
      <c r="G391" s="14" t="s">
        <v>2421</v>
      </c>
      <c r="H391" s="15" t="n">
        <v>46083</v>
      </c>
      <c r="I391" s="15" t="s">
        <v>172</v>
      </c>
      <c r="J391" s="14" t="s">
        <v>108</v>
      </c>
      <c r="K391" s="14" t="s">
        <v>2422</v>
      </c>
      <c r="L391" s="14" t="s">
        <v>268</v>
      </c>
      <c r="M391" s="14" t="s">
        <v>111</v>
      </c>
      <c r="N391" s="14" t="s">
        <v>112</v>
      </c>
      <c r="O391" s="14" t="s">
        <v>113</v>
      </c>
      <c r="P391" s="14" t="s">
        <v>905</v>
      </c>
      <c r="Q391" s="14" t="s">
        <v>2100</v>
      </c>
      <c r="R391" s="14"/>
      <c r="S391" s="14"/>
      <c r="T391" s="14"/>
      <c r="U391" s="14" t="s">
        <v>23</v>
      </c>
      <c r="V391" s="14"/>
      <c r="W391" s="14"/>
      <c r="X391" s="14" t="s">
        <v>122</v>
      </c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R391" s="1" t="s">
        <v>152</v>
      </c>
      <c r="CS391" s="1" t="s">
        <v>121</v>
      </c>
      <c r="CT391" s="14" t="s">
        <v>122</v>
      </c>
      <c r="CU391" s="1" t="s">
        <v>123</v>
      </c>
      <c r="CV391" s="1" t="s">
        <v>124</v>
      </c>
      <c r="CW391" s="3"/>
      <c r="DG391" s="4"/>
    </row>
    <row r="392" customFormat="false" ht="11.25" hidden="false" customHeight="true" outlineLevel="0" collapsed="false">
      <c r="A392" s="14" t="n">
        <v>391</v>
      </c>
      <c r="B392" s="15" t="n">
        <v>46197.8741733681</v>
      </c>
      <c r="C392" s="15" t="n">
        <v>46197.8781779977</v>
      </c>
      <c r="D392" s="14" t="s">
        <v>2423</v>
      </c>
      <c r="E392" s="14" t="s">
        <v>2424</v>
      </c>
      <c r="F392" s="14" t="s">
        <v>2424</v>
      </c>
      <c r="G392" s="14" t="s">
        <v>2425</v>
      </c>
      <c r="H392" s="15" t="n">
        <v>46192</v>
      </c>
      <c r="I392" s="15" t="s">
        <v>278</v>
      </c>
      <c r="J392" s="14" t="s">
        <v>128</v>
      </c>
      <c r="K392" s="14" t="s">
        <v>245</v>
      </c>
      <c r="L392" s="14" t="s">
        <v>491</v>
      </c>
      <c r="M392" s="14" t="s">
        <v>111</v>
      </c>
      <c r="N392" s="14" t="s">
        <v>112</v>
      </c>
      <c r="O392" s="14" t="s">
        <v>113</v>
      </c>
      <c r="P392" s="14" t="s">
        <v>391</v>
      </c>
      <c r="Q392" s="14" t="s">
        <v>552</v>
      </c>
      <c r="R392" s="14"/>
      <c r="S392" s="14"/>
      <c r="T392" s="14"/>
      <c r="U392" s="14" t="s">
        <v>22</v>
      </c>
      <c r="V392" s="14"/>
      <c r="W392" s="14" t="s">
        <v>148</v>
      </c>
      <c r="X392" s="14"/>
      <c r="Y392" s="14"/>
      <c r="Z392" s="14"/>
      <c r="AA392" s="14"/>
      <c r="AB392" s="14"/>
      <c r="AC392" s="14"/>
      <c r="AD392" s="14" t="s">
        <v>1145</v>
      </c>
      <c r="AE392" s="14" t="s">
        <v>289</v>
      </c>
      <c r="AF392" s="14" t="s">
        <v>2426</v>
      </c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R392" s="1" t="s">
        <v>227</v>
      </c>
      <c r="CS392" s="1" t="s">
        <v>121</v>
      </c>
      <c r="CT392" s="14" t="s">
        <v>122</v>
      </c>
      <c r="CU392" s="1" t="s">
        <v>123</v>
      </c>
      <c r="CV392" s="1" t="s">
        <v>124</v>
      </c>
      <c r="CW392" s="3"/>
      <c r="DG392" s="4"/>
    </row>
    <row r="393" customFormat="false" ht="11.25" hidden="false" customHeight="true" outlineLevel="0" collapsed="false">
      <c r="A393" s="14" t="n">
        <v>392</v>
      </c>
      <c r="B393" s="15" t="n">
        <v>46057.8913697917</v>
      </c>
      <c r="C393" s="15" t="n">
        <v>46057.9082332176</v>
      </c>
      <c r="D393" s="14" t="s">
        <v>2427</v>
      </c>
      <c r="E393" s="14" t="s">
        <v>2428</v>
      </c>
      <c r="F393" s="14" t="s">
        <v>2428</v>
      </c>
      <c r="G393" s="14" t="s">
        <v>2429</v>
      </c>
      <c r="H393" s="15" t="n">
        <v>46044</v>
      </c>
      <c r="I393" s="15" t="s">
        <v>107</v>
      </c>
      <c r="J393" s="14" t="s">
        <v>108</v>
      </c>
      <c r="K393" s="14" t="s">
        <v>2430</v>
      </c>
      <c r="L393" s="14" t="s">
        <v>233</v>
      </c>
      <c r="M393" s="14" t="s">
        <v>390</v>
      </c>
      <c r="N393" s="14" t="s">
        <v>112</v>
      </c>
      <c r="O393" s="14" t="s">
        <v>325</v>
      </c>
      <c r="P393" s="14" t="s">
        <v>1151</v>
      </c>
      <c r="Q393" s="14" t="s">
        <v>316</v>
      </c>
      <c r="R393" s="14"/>
      <c r="S393" s="14"/>
      <c r="T393" s="14"/>
      <c r="U393" s="14" t="s">
        <v>22</v>
      </c>
      <c r="V393" s="14"/>
      <c r="W393" s="14" t="s">
        <v>298</v>
      </c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 t="s">
        <v>2431</v>
      </c>
      <c r="AW393" s="14" t="s">
        <v>588</v>
      </c>
      <c r="AX393" s="14" t="s">
        <v>2432</v>
      </c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R393" s="1" t="s">
        <v>120</v>
      </c>
      <c r="CS393" s="1" t="s">
        <v>496</v>
      </c>
      <c r="CT393" s="14"/>
      <c r="CU393" s="1" t="s">
        <v>167</v>
      </c>
      <c r="CV393" s="1" t="s">
        <v>124</v>
      </c>
      <c r="CW393" s="3" t="s">
        <v>621</v>
      </c>
      <c r="DG393" s="4"/>
    </row>
    <row r="394" customFormat="false" ht="11.25" hidden="false" customHeight="true" outlineLevel="0" collapsed="false">
      <c r="A394" s="14" t="n">
        <v>393</v>
      </c>
      <c r="B394" s="15" t="n">
        <v>46165.8219690625</v>
      </c>
      <c r="C394" s="15" t="n">
        <v>46165.8240871181</v>
      </c>
      <c r="D394" s="14" t="s">
        <v>2433</v>
      </c>
      <c r="E394" s="14" t="s">
        <v>2434</v>
      </c>
      <c r="F394" s="14" t="s">
        <v>2434</v>
      </c>
      <c r="G394" s="14" t="s">
        <v>2435</v>
      </c>
      <c r="H394" s="15" t="n">
        <v>46151</v>
      </c>
      <c r="I394" s="15" t="s">
        <v>107</v>
      </c>
      <c r="J394" s="14" t="s">
        <v>108</v>
      </c>
      <c r="K394" s="14" t="s">
        <v>364</v>
      </c>
      <c r="L394" s="14" t="s">
        <v>296</v>
      </c>
      <c r="M394" s="14" t="s">
        <v>111</v>
      </c>
      <c r="N394" s="14" t="s">
        <v>112</v>
      </c>
      <c r="O394" s="14" t="s">
        <v>113</v>
      </c>
      <c r="P394" s="14" t="s">
        <v>612</v>
      </c>
      <c r="Q394" s="14" t="s">
        <v>259</v>
      </c>
      <c r="R394" s="14"/>
      <c r="S394" s="14"/>
      <c r="T394" s="14"/>
      <c r="U394" s="14" t="s">
        <v>22</v>
      </c>
      <c r="V394" s="14"/>
      <c r="W394" s="14" t="s">
        <v>148</v>
      </c>
      <c r="X394" s="14"/>
      <c r="Y394" s="14"/>
      <c r="Z394" s="14"/>
      <c r="AA394" s="14"/>
      <c r="AB394" s="14"/>
      <c r="AC394" s="14"/>
      <c r="AD394" s="14" t="s">
        <v>1217</v>
      </c>
      <c r="AE394" s="14" t="s">
        <v>2436</v>
      </c>
      <c r="AF394" s="14" t="s">
        <v>1687</v>
      </c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R394" s="1" t="s">
        <v>227</v>
      </c>
      <c r="CS394" s="1" t="s">
        <v>264</v>
      </c>
      <c r="CT394" s="14" t="s">
        <v>122</v>
      </c>
      <c r="CU394" s="1" t="s">
        <v>192</v>
      </c>
      <c r="CV394" s="1" t="s">
        <v>139</v>
      </c>
      <c r="CW394" s="3"/>
      <c r="DG394" s="4"/>
    </row>
    <row r="395" customFormat="false" ht="11.25" hidden="false" customHeight="true" outlineLevel="0" collapsed="false">
      <c r="A395" s="14" t="n">
        <v>394</v>
      </c>
      <c r="B395" s="15" t="n">
        <v>46169.9331230903</v>
      </c>
      <c r="C395" s="15" t="n">
        <v>46169.9359240162</v>
      </c>
      <c r="D395" s="14" t="s">
        <v>2437</v>
      </c>
      <c r="E395" s="14" t="s">
        <v>2438</v>
      </c>
      <c r="F395" s="14" t="s">
        <v>2438</v>
      </c>
      <c r="G395" s="14" t="s">
        <v>2439</v>
      </c>
      <c r="H395" s="15" t="n">
        <v>46168</v>
      </c>
      <c r="I395" s="15" t="s">
        <v>172</v>
      </c>
      <c r="J395" s="14" t="s">
        <v>295</v>
      </c>
      <c r="K395" s="14" t="s">
        <v>196</v>
      </c>
      <c r="L395" s="14" t="s">
        <v>159</v>
      </c>
      <c r="M395" s="14" t="s">
        <v>111</v>
      </c>
      <c r="N395" s="14" t="s">
        <v>112</v>
      </c>
      <c r="O395" s="14" t="s">
        <v>132</v>
      </c>
      <c r="P395" s="14" t="s">
        <v>905</v>
      </c>
      <c r="Q395" s="14" t="s">
        <v>638</v>
      </c>
      <c r="R395" s="14" t="s">
        <v>2440</v>
      </c>
      <c r="S395" s="14"/>
      <c r="T395" s="14"/>
      <c r="U395" s="14" t="s">
        <v>23</v>
      </c>
      <c r="V395" s="14"/>
      <c r="W395" s="14"/>
      <c r="X395" s="14" t="s">
        <v>503</v>
      </c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R395" s="1" t="s">
        <v>152</v>
      </c>
      <c r="CS395" s="1" t="s">
        <v>180</v>
      </c>
      <c r="CT395" s="14"/>
      <c r="CU395" s="1" t="s">
        <v>192</v>
      </c>
      <c r="CV395" s="1" t="s">
        <v>124</v>
      </c>
      <c r="CW395" s="3"/>
      <c r="DG395" s="4"/>
    </row>
    <row r="396" customFormat="false" ht="11.25" hidden="false" customHeight="true" outlineLevel="0" collapsed="false">
      <c r="A396" s="14" t="n">
        <v>395</v>
      </c>
      <c r="B396" s="15" t="n">
        <v>46096.6922976157</v>
      </c>
      <c r="C396" s="15" t="n">
        <v>46096.7104920602</v>
      </c>
      <c r="D396" s="14" t="s">
        <v>2441</v>
      </c>
      <c r="E396" s="14" t="s">
        <v>2442</v>
      </c>
      <c r="F396" s="14" t="s">
        <v>2442</v>
      </c>
      <c r="G396" s="14" t="s">
        <v>2443</v>
      </c>
      <c r="H396" s="15" t="n">
        <v>46088</v>
      </c>
      <c r="I396" s="15" t="s">
        <v>172</v>
      </c>
      <c r="J396" s="14" t="s">
        <v>295</v>
      </c>
      <c r="K396" s="14" t="s">
        <v>196</v>
      </c>
      <c r="L396" s="14" t="s">
        <v>346</v>
      </c>
      <c r="M396" s="14" t="s">
        <v>111</v>
      </c>
      <c r="N396" s="14" t="s">
        <v>112</v>
      </c>
      <c r="O396" s="14" t="s">
        <v>325</v>
      </c>
      <c r="P396" s="14" t="s">
        <v>248</v>
      </c>
      <c r="Q396" s="14" t="s">
        <v>606</v>
      </c>
      <c r="R396" s="14"/>
      <c r="S396" s="14"/>
      <c r="T396" s="14"/>
      <c r="U396" s="14" t="s">
        <v>22</v>
      </c>
      <c r="V396" s="14"/>
      <c r="W396" s="14" t="s">
        <v>176</v>
      </c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 t="s">
        <v>2444</v>
      </c>
      <c r="AZ396" s="14" t="s">
        <v>2445</v>
      </c>
      <c r="BA396" s="14" t="s">
        <v>2446</v>
      </c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R396" s="1" t="s">
        <v>120</v>
      </c>
      <c r="CS396" s="1" t="s">
        <v>121</v>
      </c>
      <c r="CT396" s="14" t="s">
        <v>2447</v>
      </c>
      <c r="CU396" s="1" t="s">
        <v>123</v>
      </c>
      <c r="CV396" s="1" t="s">
        <v>124</v>
      </c>
      <c r="CW396" s="3"/>
      <c r="DG396" s="4"/>
    </row>
    <row r="397" customFormat="false" ht="11.25" hidden="false" customHeight="true" outlineLevel="0" collapsed="false">
      <c r="A397" s="14" t="n">
        <v>396</v>
      </c>
      <c r="B397" s="15" t="n">
        <v>46213.7986594097</v>
      </c>
      <c r="C397" s="15" t="n">
        <v>46213.8050598727</v>
      </c>
      <c r="D397" s="14" t="s">
        <v>2448</v>
      </c>
      <c r="E397" s="14" t="s">
        <v>2449</v>
      </c>
      <c r="F397" s="14" t="s">
        <v>2449</v>
      </c>
      <c r="G397" s="14" t="s">
        <v>2450</v>
      </c>
      <c r="H397" s="15" t="n">
        <v>46195</v>
      </c>
      <c r="I397" s="15" t="s">
        <v>107</v>
      </c>
      <c r="J397" s="14" t="s">
        <v>108</v>
      </c>
      <c r="K397" s="14" t="s">
        <v>245</v>
      </c>
      <c r="L397" s="14" t="s">
        <v>389</v>
      </c>
      <c r="M397" s="14" t="s">
        <v>111</v>
      </c>
      <c r="N397" s="14" t="s">
        <v>112</v>
      </c>
      <c r="O397" s="14" t="s">
        <v>113</v>
      </c>
      <c r="P397" s="14" t="s">
        <v>248</v>
      </c>
      <c r="Q397" s="14" t="s">
        <v>2201</v>
      </c>
      <c r="R397" s="14"/>
      <c r="S397" s="14"/>
      <c r="T397" s="14"/>
      <c r="U397" s="14" t="s">
        <v>24</v>
      </c>
      <c r="V397" s="14"/>
      <c r="W397" s="14"/>
      <c r="X397" s="14"/>
      <c r="Y397" s="14" t="s">
        <v>448</v>
      </c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 t="s">
        <v>2451</v>
      </c>
      <c r="BX397" s="14" t="s">
        <v>494</v>
      </c>
      <c r="BY397" s="14" t="s">
        <v>1115</v>
      </c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R397" s="1" t="s">
        <v>120</v>
      </c>
      <c r="CS397" s="1" t="s">
        <v>121</v>
      </c>
      <c r="CT397" s="14" t="s">
        <v>2268</v>
      </c>
      <c r="CU397" s="1" t="s">
        <v>123</v>
      </c>
      <c r="CV397" s="1" t="s">
        <v>124</v>
      </c>
      <c r="CW397" s="3"/>
      <c r="DG397" s="4"/>
    </row>
    <row r="398" customFormat="false" ht="11.25" hidden="false" customHeight="true" outlineLevel="0" collapsed="false">
      <c r="A398" s="14" t="n">
        <v>397</v>
      </c>
      <c r="B398" s="15" t="n">
        <v>46108.4352820139</v>
      </c>
      <c r="C398" s="15" t="n">
        <v>46108.4394949769</v>
      </c>
      <c r="D398" s="14" t="s">
        <v>2452</v>
      </c>
      <c r="E398" s="14" t="s">
        <v>2453</v>
      </c>
      <c r="F398" s="14" t="s">
        <v>2453</v>
      </c>
      <c r="G398" s="14" t="s">
        <v>2454</v>
      </c>
      <c r="H398" s="15" t="n">
        <v>46093</v>
      </c>
      <c r="I398" s="15" t="s">
        <v>172</v>
      </c>
      <c r="J398" s="14" t="s">
        <v>128</v>
      </c>
      <c r="K398" s="14" t="s">
        <v>143</v>
      </c>
      <c r="L398" s="14" t="s">
        <v>286</v>
      </c>
      <c r="M398" s="14" t="s">
        <v>111</v>
      </c>
      <c r="N398" s="14" t="s">
        <v>112</v>
      </c>
      <c r="O398" s="14" t="s">
        <v>113</v>
      </c>
      <c r="P398" s="14" t="s">
        <v>612</v>
      </c>
      <c r="Q398" s="14" t="s">
        <v>115</v>
      </c>
      <c r="R398" s="14"/>
      <c r="S398" s="14"/>
      <c r="T398" s="14"/>
      <c r="U398" s="14" t="s">
        <v>21</v>
      </c>
      <c r="V398" s="14" t="s">
        <v>457</v>
      </c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 t="s">
        <v>2455</v>
      </c>
      <c r="AN398" s="14" t="s">
        <v>933</v>
      </c>
      <c r="AO398" s="14" t="s">
        <v>620</v>
      </c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R398" s="1" t="s">
        <v>120</v>
      </c>
      <c r="CS398" s="1" t="s">
        <v>121</v>
      </c>
      <c r="CT398" s="14" t="s">
        <v>2172</v>
      </c>
      <c r="CU398" s="1" t="s">
        <v>123</v>
      </c>
      <c r="CV398" s="1" t="s">
        <v>124</v>
      </c>
      <c r="CW398" s="3"/>
      <c r="CX398" s="3" t="s">
        <v>331</v>
      </c>
      <c r="DG398" s="4"/>
    </row>
    <row r="399" customFormat="false" ht="11.25" hidden="false" customHeight="true" outlineLevel="0" collapsed="false">
      <c r="A399" s="14" t="n">
        <v>398</v>
      </c>
      <c r="B399" s="15" t="n">
        <v>46215.0250752662</v>
      </c>
      <c r="C399" s="15" t="n">
        <v>46215.0330382292</v>
      </c>
      <c r="D399" s="14" t="s">
        <v>2456</v>
      </c>
      <c r="E399" s="14" t="s">
        <v>2457</v>
      </c>
      <c r="F399" s="14" t="s">
        <v>2457</v>
      </c>
      <c r="G399" s="14" t="s">
        <v>2458</v>
      </c>
      <c r="H399" s="15" t="n">
        <v>46213</v>
      </c>
      <c r="I399" s="15" t="s">
        <v>713</v>
      </c>
      <c r="J399" s="14" t="s">
        <v>108</v>
      </c>
      <c r="K399" s="14" t="s">
        <v>143</v>
      </c>
      <c r="L399" s="14" t="s">
        <v>184</v>
      </c>
      <c r="M399" s="14" t="s">
        <v>111</v>
      </c>
      <c r="N399" s="14" t="s">
        <v>145</v>
      </c>
      <c r="O399" s="14" t="s">
        <v>113</v>
      </c>
      <c r="P399" s="14" t="s">
        <v>1112</v>
      </c>
      <c r="Q399" s="14" t="s">
        <v>219</v>
      </c>
      <c r="R399" s="14"/>
      <c r="S399" s="14"/>
      <c r="T399" s="14"/>
      <c r="U399" s="14" t="s">
        <v>24</v>
      </c>
      <c r="V399" s="14"/>
      <c r="W399" s="14"/>
      <c r="X399" s="14"/>
      <c r="Y399" s="14" t="s">
        <v>260</v>
      </c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 t="s">
        <v>2459</v>
      </c>
      <c r="CG399" s="14" t="s">
        <v>2460</v>
      </c>
      <c r="CH399" s="14" t="s">
        <v>859</v>
      </c>
      <c r="CI399" s="14"/>
      <c r="CJ399" s="14"/>
      <c r="CK399" s="14"/>
      <c r="CL399" s="14"/>
      <c r="CR399" s="1" t="s">
        <v>152</v>
      </c>
      <c r="CS399" s="1" t="s">
        <v>121</v>
      </c>
      <c r="CT399" s="14"/>
      <c r="CU399" s="1" t="s">
        <v>192</v>
      </c>
      <c r="CV399" s="1" t="s">
        <v>124</v>
      </c>
      <c r="CW399" s="3"/>
      <c r="DG399" s="4"/>
    </row>
    <row r="400" customFormat="false" ht="11.25" hidden="false" customHeight="true" outlineLevel="0" collapsed="false">
      <c r="A400" s="14" t="n">
        <v>399</v>
      </c>
      <c r="B400" s="15" t="n">
        <v>46102.371711713</v>
      </c>
      <c r="C400" s="15" t="n">
        <v>46102.3915265278</v>
      </c>
      <c r="D400" s="14" t="s">
        <v>2461</v>
      </c>
      <c r="E400" s="14" t="s">
        <v>2462</v>
      </c>
      <c r="F400" s="14" t="s">
        <v>2462</v>
      </c>
      <c r="G400" s="14" t="s">
        <v>2463</v>
      </c>
      <c r="H400" s="15" t="n">
        <v>46082</v>
      </c>
      <c r="I400" s="15" t="s">
        <v>244</v>
      </c>
      <c r="J400" s="14" t="s">
        <v>108</v>
      </c>
      <c r="K400" s="14" t="s">
        <v>932</v>
      </c>
      <c r="L400" s="14" t="s">
        <v>159</v>
      </c>
      <c r="M400" s="14" t="s">
        <v>111</v>
      </c>
      <c r="N400" s="14" t="s">
        <v>112</v>
      </c>
      <c r="O400" s="14" t="s">
        <v>113</v>
      </c>
      <c r="P400" s="14" t="s">
        <v>809</v>
      </c>
      <c r="Q400" s="14" t="s">
        <v>645</v>
      </c>
      <c r="R400" s="14"/>
      <c r="S400" s="14"/>
      <c r="T400" s="14"/>
      <c r="U400" s="14" t="s">
        <v>22</v>
      </c>
      <c r="V400" s="14"/>
      <c r="W400" s="14" t="s">
        <v>715</v>
      </c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 t="s">
        <v>2464</v>
      </c>
      <c r="BI400" s="14" t="s">
        <v>2404</v>
      </c>
      <c r="BJ400" s="14" t="s">
        <v>813</v>
      </c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R400" s="1" t="s">
        <v>152</v>
      </c>
      <c r="CS400" s="1" t="s">
        <v>121</v>
      </c>
      <c r="CT400" s="14" t="s">
        <v>562</v>
      </c>
      <c r="CU400" s="1" t="s">
        <v>192</v>
      </c>
      <c r="CV400" s="1" t="s">
        <v>124</v>
      </c>
      <c r="CW400" s="3"/>
      <c r="DG400" s="4"/>
    </row>
    <row r="401" customFormat="false" ht="11.25" hidden="false" customHeight="true" outlineLevel="0" collapsed="false">
      <c r="A401" s="14" t="n">
        <v>400</v>
      </c>
      <c r="B401" s="15" t="n">
        <v>46105.5499503588</v>
      </c>
      <c r="C401" s="15" t="n">
        <v>46105.5618369329</v>
      </c>
      <c r="D401" s="14" t="s">
        <v>2465</v>
      </c>
      <c r="E401" s="14" t="s">
        <v>2466</v>
      </c>
      <c r="F401" s="14" t="s">
        <v>2466</v>
      </c>
      <c r="G401" s="14" t="s">
        <v>2467</v>
      </c>
      <c r="H401" s="15" t="n">
        <v>46088</v>
      </c>
      <c r="I401" s="15" t="s">
        <v>278</v>
      </c>
      <c r="J401" s="14" t="s">
        <v>108</v>
      </c>
      <c r="K401" s="14" t="s">
        <v>2468</v>
      </c>
      <c r="L401" s="14" t="s">
        <v>184</v>
      </c>
      <c r="M401" s="14" t="s">
        <v>111</v>
      </c>
      <c r="N401" s="14" t="s">
        <v>112</v>
      </c>
      <c r="O401" s="14" t="s">
        <v>113</v>
      </c>
      <c r="P401" s="14" t="s">
        <v>144</v>
      </c>
      <c r="Q401" s="14" t="s">
        <v>287</v>
      </c>
      <c r="R401" s="14"/>
      <c r="S401" s="14"/>
      <c r="T401" s="14"/>
      <c r="U401" s="14" t="s">
        <v>21</v>
      </c>
      <c r="V401" s="14" t="s">
        <v>250</v>
      </c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 t="s">
        <v>2469</v>
      </c>
      <c r="BF401" s="14" t="s">
        <v>216</v>
      </c>
      <c r="BG401" s="14" t="s">
        <v>1817</v>
      </c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R401" s="1" t="s">
        <v>152</v>
      </c>
      <c r="CS401" s="1" t="s">
        <v>121</v>
      </c>
      <c r="CT401" s="14" t="s">
        <v>562</v>
      </c>
      <c r="CU401" s="1" t="s">
        <v>192</v>
      </c>
      <c r="CV401" s="1" t="s">
        <v>168</v>
      </c>
      <c r="CW401" s="3"/>
      <c r="DG401" s="4"/>
    </row>
    <row r="402" customFormat="false" ht="11.25" hidden="false" customHeight="true" outlineLevel="0" collapsed="false">
      <c r="A402" s="14" t="n">
        <v>401</v>
      </c>
      <c r="B402" s="15" t="n">
        <v>46118.3163609375</v>
      </c>
      <c r="C402" s="15" t="n">
        <v>46118.328930382</v>
      </c>
      <c r="D402" s="14" t="s">
        <v>2470</v>
      </c>
      <c r="E402" s="14" t="s">
        <v>2471</v>
      </c>
      <c r="F402" s="14" t="s">
        <v>2471</v>
      </c>
      <c r="G402" s="14" t="s">
        <v>2472</v>
      </c>
      <c r="H402" s="15" t="n">
        <v>46107</v>
      </c>
      <c r="I402" s="15" t="s">
        <v>107</v>
      </c>
      <c r="J402" s="14" t="s">
        <v>108</v>
      </c>
      <c r="K402" s="14" t="s">
        <v>257</v>
      </c>
      <c r="L402" s="14" t="s">
        <v>296</v>
      </c>
      <c r="M402" s="14" t="s">
        <v>111</v>
      </c>
      <c r="N402" s="14" t="s">
        <v>112</v>
      </c>
      <c r="O402" s="14" t="s">
        <v>325</v>
      </c>
      <c r="P402" s="14" t="s">
        <v>736</v>
      </c>
      <c r="Q402" s="14" t="s">
        <v>1381</v>
      </c>
      <c r="R402" s="14"/>
      <c r="S402" s="14"/>
      <c r="T402" s="14"/>
      <c r="U402" s="14" t="s">
        <v>24</v>
      </c>
      <c r="V402" s="14"/>
      <c r="W402" s="14"/>
      <c r="X402" s="14"/>
      <c r="Y402" s="14" t="s">
        <v>260</v>
      </c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 t="s">
        <v>857</v>
      </c>
      <c r="CG402" s="14" t="s">
        <v>2473</v>
      </c>
      <c r="CH402" s="14" t="s">
        <v>2474</v>
      </c>
      <c r="CI402" s="14"/>
      <c r="CJ402" s="14"/>
      <c r="CK402" s="14"/>
      <c r="CL402" s="14"/>
      <c r="CR402" s="1" t="s">
        <v>120</v>
      </c>
      <c r="CS402" s="1" t="s">
        <v>121</v>
      </c>
      <c r="CT402" s="14" t="s">
        <v>1229</v>
      </c>
      <c r="CU402" s="1" t="s">
        <v>123</v>
      </c>
      <c r="CV402" s="1" t="s">
        <v>168</v>
      </c>
      <c r="CW402" s="3"/>
      <c r="DG402" s="4"/>
    </row>
    <row r="403" customFormat="false" ht="11.25" hidden="false" customHeight="true" outlineLevel="0" collapsed="false">
      <c r="A403" s="14" t="n">
        <v>402</v>
      </c>
      <c r="B403" s="15" t="n">
        <v>46078.9847861574</v>
      </c>
      <c r="C403" s="15" t="n">
        <v>46078.9912676389</v>
      </c>
      <c r="D403" s="14" t="s">
        <v>2475</v>
      </c>
      <c r="E403" s="14" t="s">
        <v>2476</v>
      </c>
      <c r="F403" s="14" t="s">
        <v>2476</v>
      </c>
      <c r="G403" s="14" t="s">
        <v>2477</v>
      </c>
      <c r="H403" s="15" t="n">
        <v>46070</v>
      </c>
      <c r="I403" s="15" t="s">
        <v>107</v>
      </c>
      <c r="J403" s="14" t="s">
        <v>108</v>
      </c>
      <c r="K403" s="14" t="s">
        <v>196</v>
      </c>
      <c r="L403" s="14" t="s">
        <v>389</v>
      </c>
      <c r="M403" s="14" t="s">
        <v>211</v>
      </c>
      <c r="N403" s="14" t="s">
        <v>247</v>
      </c>
      <c r="O403" s="14" t="s">
        <v>325</v>
      </c>
      <c r="P403" s="14" t="s">
        <v>212</v>
      </c>
      <c r="Q403" s="14" t="s">
        <v>1036</v>
      </c>
      <c r="R403" s="14"/>
      <c r="S403" s="14"/>
      <c r="T403" s="14"/>
      <c r="U403" s="14" t="s">
        <v>25</v>
      </c>
      <c r="V403" s="14"/>
      <c r="W403" s="14"/>
      <c r="X403" s="14"/>
      <c r="Y403" s="14"/>
      <c r="Z403" s="14" t="s">
        <v>1712</v>
      </c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O403" s="1" t="s">
        <v>2478</v>
      </c>
      <c r="CP403" s="1" t="s">
        <v>2479</v>
      </c>
      <c r="CQ403" s="1" t="s">
        <v>2480</v>
      </c>
      <c r="CR403" s="1" t="s">
        <v>152</v>
      </c>
      <c r="CS403" s="1" t="s">
        <v>121</v>
      </c>
      <c r="CT403" s="14" t="s">
        <v>785</v>
      </c>
      <c r="CU403" s="1" t="s">
        <v>192</v>
      </c>
      <c r="CV403" s="1" t="s">
        <v>168</v>
      </c>
      <c r="CW403" s="3"/>
      <c r="CX403" s="3" t="s">
        <v>331</v>
      </c>
      <c r="DG403" s="4"/>
    </row>
    <row r="404" customFormat="false" ht="11.25" hidden="false" customHeight="true" outlineLevel="0" collapsed="false">
      <c r="A404" s="14" t="n">
        <v>403</v>
      </c>
      <c r="B404" s="15" t="n">
        <v>46068.2103408449</v>
      </c>
      <c r="C404" s="15" t="n">
        <v>46068.2153176968</v>
      </c>
      <c r="D404" s="14" t="s">
        <v>2481</v>
      </c>
      <c r="E404" s="14" t="s">
        <v>2482</v>
      </c>
      <c r="F404" s="14" t="s">
        <v>2482</v>
      </c>
      <c r="G404" s="14" t="s">
        <v>2483</v>
      </c>
      <c r="H404" s="15" t="n">
        <v>46050</v>
      </c>
      <c r="I404" s="15" t="s">
        <v>107</v>
      </c>
      <c r="J404" s="14" t="s">
        <v>108</v>
      </c>
      <c r="K404" s="14" t="s">
        <v>2484</v>
      </c>
      <c r="L404" s="14" t="s">
        <v>346</v>
      </c>
      <c r="M404" s="14" t="s">
        <v>111</v>
      </c>
      <c r="N404" s="14" t="s">
        <v>145</v>
      </c>
      <c r="O404" s="14" t="s">
        <v>113</v>
      </c>
      <c r="P404" s="14" t="s">
        <v>1313</v>
      </c>
      <c r="Q404" s="14" t="s">
        <v>552</v>
      </c>
      <c r="R404" s="14"/>
      <c r="S404" s="14"/>
      <c r="T404" s="14"/>
      <c r="U404" s="14" t="s">
        <v>23</v>
      </c>
      <c r="V404" s="14"/>
      <c r="W404" s="14"/>
      <c r="X404" s="14" t="s">
        <v>122</v>
      </c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R404" s="1" t="s">
        <v>227</v>
      </c>
      <c r="CS404" s="1" t="s">
        <v>121</v>
      </c>
      <c r="CT404" s="14" t="s">
        <v>191</v>
      </c>
      <c r="CU404" s="1" t="s">
        <v>123</v>
      </c>
      <c r="CV404" s="1" t="s">
        <v>124</v>
      </c>
      <c r="CW404" s="3"/>
      <c r="DG404" s="4"/>
    </row>
    <row r="405" customFormat="false" ht="11.25" hidden="false" customHeight="true" outlineLevel="0" collapsed="false">
      <c r="A405" s="14" t="n">
        <v>404</v>
      </c>
      <c r="B405" s="15" t="n">
        <v>46071.4229065046</v>
      </c>
      <c r="C405" s="15" t="n">
        <v>46071.4409736343</v>
      </c>
      <c r="D405" s="14" t="s">
        <v>2485</v>
      </c>
      <c r="E405" s="14" t="s">
        <v>2486</v>
      </c>
      <c r="F405" s="14" t="s">
        <v>2486</v>
      </c>
      <c r="G405" s="14" t="s">
        <v>2487</v>
      </c>
      <c r="H405" s="15" t="n">
        <v>46071</v>
      </c>
      <c r="I405" s="15" t="s">
        <v>107</v>
      </c>
      <c r="J405" s="14" t="s">
        <v>295</v>
      </c>
      <c r="K405" s="14" t="s">
        <v>196</v>
      </c>
      <c r="L405" s="14" t="s">
        <v>197</v>
      </c>
      <c r="M405" s="14" t="s">
        <v>131</v>
      </c>
      <c r="N405" s="14" t="s">
        <v>112</v>
      </c>
      <c r="O405" s="14" t="s">
        <v>577</v>
      </c>
      <c r="P405" s="14" t="s">
        <v>501</v>
      </c>
      <c r="Q405" s="14" t="s">
        <v>2100</v>
      </c>
      <c r="R405" s="14"/>
      <c r="S405" s="14"/>
      <c r="T405" s="14"/>
      <c r="U405" s="14" t="s">
        <v>22</v>
      </c>
      <c r="V405" s="14"/>
      <c r="W405" s="14" t="s">
        <v>135</v>
      </c>
      <c r="X405" s="14"/>
      <c r="Y405" s="14"/>
      <c r="Z405" s="14"/>
      <c r="AA405" s="14" t="s">
        <v>2488</v>
      </c>
      <c r="AB405" s="14" t="s">
        <v>1354</v>
      </c>
      <c r="AC405" s="14" t="s">
        <v>2078</v>
      </c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R405" s="1" t="s">
        <v>152</v>
      </c>
      <c r="CS405" s="1" t="s">
        <v>121</v>
      </c>
      <c r="CT405" s="14"/>
      <c r="CU405" s="1" t="s">
        <v>123</v>
      </c>
      <c r="CV405" s="1" t="s">
        <v>124</v>
      </c>
      <c r="CW405" s="3"/>
      <c r="DG405" s="4"/>
    </row>
    <row r="406" customFormat="false" ht="11.25" hidden="false" customHeight="true" outlineLevel="0" collapsed="false">
      <c r="A406" s="14" t="n">
        <v>405</v>
      </c>
      <c r="B406" s="15" t="n">
        <v>46142.9165882407</v>
      </c>
      <c r="C406" s="15" t="n">
        <v>46142.9333822222</v>
      </c>
      <c r="D406" s="14" t="s">
        <v>2489</v>
      </c>
      <c r="E406" s="14" t="s">
        <v>2490</v>
      </c>
      <c r="F406" s="14" t="s">
        <v>2490</v>
      </c>
      <c r="G406" s="14" t="s">
        <v>2491</v>
      </c>
      <c r="H406" s="15" t="n">
        <v>46129</v>
      </c>
      <c r="I406" s="15" t="s">
        <v>278</v>
      </c>
      <c r="J406" s="14" t="s">
        <v>108</v>
      </c>
      <c r="K406" s="14" t="s">
        <v>364</v>
      </c>
      <c r="L406" s="14" t="s">
        <v>144</v>
      </c>
      <c r="M406" s="14" t="s">
        <v>111</v>
      </c>
      <c r="N406" s="14" t="s">
        <v>112</v>
      </c>
      <c r="O406" s="14" t="s">
        <v>113</v>
      </c>
      <c r="P406" s="14" t="s">
        <v>144</v>
      </c>
      <c r="Q406" s="14" t="s">
        <v>1050</v>
      </c>
      <c r="R406" s="14"/>
      <c r="S406" s="14"/>
      <c r="T406" s="14"/>
      <c r="U406" s="14" t="s">
        <v>22</v>
      </c>
      <c r="V406" s="14"/>
      <c r="W406" s="14" t="s">
        <v>339</v>
      </c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 t="s">
        <v>1342</v>
      </c>
      <c r="BO406" s="14" t="s">
        <v>2492</v>
      </c>
      <c r="BP406" s="14" t="s">
        <v>2493</v>
      </c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R406" s="1" t="s">
        <v>152</v>
      </c>
      <c r="CS406" s="1" t="s">
        <v>121</v>
      </c>
      <c r="CT406" s="14"/>
      <c r="CU406" s="1" t="s">
        <v>192</v>
      </c>
      <c r="CV406" s="1" t="s">
        <v>124</v>
      </c>
      <c r="CW406" s="3"/>
      <c r="DG406" s="4"/>
    </row>
    <row r="407" customFormat="false" ht="11.25" hidden="false" customHeight="true" outlineLevel="0" collapsed="false">
      <c r="A407" s="14" t="n">
        <v>406</v>
      </c>
      <c r="B407" s="15" t="n">
        <v>46107.2303607176</v>
      </c>
      <c r="C407" s="15" t="n">
        <v>46107.2453607176</v>
      </c>
      <c r="D407" s="14" t="s">
        <v>2494</v>
      </c>
      <c r="E407" s="14" t="s">
        <v>2495</v>
      </c>
      <c r="F407" s="14" t="s">
        <v>2495</v>
      </c>
      <c r="G407" s="14" t="s">
        <v>2496</v>
      </c>
      <c r="H407" s="15" t="n">
        <v>46089</v>
      </c>
      <c r="I407" s="15" t="s">
        <v>107</v>
      </c>
      <c r="J407" s="14" t="s">
        <v>295</v>
      </c>
      <c r="K407" s="14" t="s">
        <v>2497</v>
      </c>
      <c r="L407" s="14" t="s">
        <v>268</v>
      </c>
      <c r="M407" s="14" t="s">
        <v>111</v>
      </c>
      <c r="N407" s="14" t="s">
        <v>112</v>
      </c>
      <c r="O407" s="14" t="s">
        <v>863</v>
      </c>
      <c r="P407" s="14" t="s">
        <v>146</v>
      </c>
      <c r="Q407" s="14" t="s">
        <v>1050</v>
      </c>
      <c r="R407" s="14"/>
      <c r="S407" s="14"/>
      <c r="T407" s="14"/>
      <c r="U407" s="14" t="s">
        <v>21</v>
      </c>
      <c r="V407" s="14" t="s">
        <v>250</v>
      </c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 t="s">
        <v>1457</v>
      </c>
      <c r="BF407" s="14" t="s">
        <v>960</v>
      </c>
      <c r="BG407" s="14" t="s">
        <v>620</v>
      </c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R407" s="1" t="s">
        <v>152</v>
      </c>
      <c r="CS407" s="1" t="s">
        <v>400</v>
      </c>
      <c r="CT407" s="14" t="s">
        <v>122</v>
      </c>
      <c r="CU407" s="1" t="s">
        <v>192</v>
      </c>
      <c r="CV407" s="1" t="s">
        <v>124</v>
      </c>
      <c r="CW407" s="3"/>
      <c r="DG407" s="4"/>
    </row>
    <row r="408" customFormat="false" ht="11.25" hidden="false" customHeight="true" outlineLevel="0" collapsed="false">
      <c r="A408" s="14" t="n">
        <v>407</v>
      </c>
      <c r="B408" s="15" t="n">
        <v>46215.1394865857</v>
      </c>
      <c r="C408" s="15" t="n">
        <v>46215.1497643634</v>
      </c>
      <c r="D408" s="14" t="s">
        <v>2498</v>
      </c>
      <c r="E408" s="14" t="s">
        <v>2499</v>
      </c>
      <c r="F408" s="14" t="s">
        <v>2499</v>
      </c>
      <c r="G408" s="14" t="s">
        <v>2500</v>
      </c>
      <c r="H408" s="15" t="n">
        <v>46209</v>
      </c>
      <c r="I408" s="15" t="s">
        <v>172</v>
      </c>
      <c r="J408" s="14" t="s">
        <v>108</v>
      </c>
      <c r="K408" s="14" t="s">
        <v>143</v>
      </c>
      <c r="L408" s="14" t="s">
        <v>210</v>
      </c>
      <c r="M408" s="14" t="s">
        <v>111</v>
      </c>
      <c r="N408" s="14" t="s">
        <v>112</v>
      </c>
      <c r="O408" s="14" t="s">
        <v>336</v>
      </c>
      <c r="P408" s="14" t="s">
        <v>809</v>
      </c>
      <c r="Q408" s="14" t="s">
        <v>638</v>
      </c>
      <c r="R408" s="14" t="s">
        <v>2440</v>
      </c>
      <c r="S408" s="14"/>
      <c r="T408" s="14"/>
      <c r="U408" s="14" t="s">
        <v>23</v>
      </c>
      <c r="V408" s="14"/>
      <c r="W408" s="14"/>
      <c r="X408" s="14" t="s">
        <v>503</v>
      </c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R408" s="1" t="s">
        <v>120</v>
      </c>
      <c r="CS408" s="1" t="s">
        <v>121</v>
      </c>
      <c r="CT408" s="14" t="s">
        <v>122</v>
      </c>
      <c r="CU408" s="1" t="s">
        <v>192</v>
      </c>
      <c r="CV408" s="1" t="s">
        <v>124</v>
      </c>
      <c r="CW408" s="3"/>
      <c r="CX408" s="3" t="s">
        <v>331</v>
      </c>
      <c r="DG408" s="4"/>
    </row>
    <row r="409" customFormat="false" ht="11.25" hidden="false" customHeight="true" outlineLevel="0" collapsed="false">
      <c r="A409" s="14" t="n">
        <v>408</v>
      </c>
      <c r="B409" s="15" t="n">
        <v>46077.0486133218</v>
      </c>
      <c r="C409" s="15" t="n">
        <v>46077.0585207292</v>
      </c>
      <c r="D409" s="14" t="s">
        <v>2501</v>
      </c>
      <c r="E409" s="14" t="s">
        <v>2502</v>
      </c>
      <c r="F409" s="14" t="s">
        <v>2502</v>
      </c>
      <c r="G409" s="14" t="s">
        <v>2503</v>
      </c>
      <c r="H409" s="15" t="n">
        <v>46074</v>
      </c>
      <c r="I409" s="15" t="s">
        <v>750</v>
      </c>
      <c r="J409" s="14" t="s">
        <v>108</v>
      </c>
      <c r="K409" s="14" t="s">
        <v>245</v>
      </c>
      <c r="L409" s="14" t="s">
        <v>210</v>
      </c>
      <c r="M409" s="14" t="s">
        <v>211</v>
      </c>
      <c r="N409" s="14" t="s">
        <v>112</v>
      </c>
      <c r="O409" s="14" t="s">
        <v>113</v>
      </c>
      <c r="P409" s="14" t="s">
        <v>477</v>
      </c>
      <c r="Q409" s="14" t="s">
        <v>407</v>
      </c>
      <c r="R409" s="14"/>
      <c r="S409" s="14"/>
      <c r="T409" s="14"/>
      <c r="U409" s="14" t="s">
        <v>22</v>
      </c>
      <c r="V409" s="14"/>
      <c r="W409" s="14" t="s">
        <v>715</v>
      </c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 t="s">
        <v>1373</v>
      </c>
      <c r="BI409" s="14" t="s">
        <v>2504</v>
      </c>
      <c r="BJ409" s="14" t="s">
        <v>2505</v>
      </c>
      <c r="BK409" s="14"/>
      <c r="BL409" s="14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R409" s="1" t="s">
        <v>152</v>
      </c>
      <c r="CS409" s="1" t="s">
        <v>496</v>
      </c>
      <c r="CT409" s="14"/>
      <c r="CU409" s="1" t="s">
        <v>192</v>
      </c>
      <c r="CV409" s="1" t="s">
        <v>124</v>
      </c>
      <c r="CW409" s="3"/>
      <c r="DG409" s="4"/>
    </row>
    <row r="410" customFormat="false" ht="11.25" hidden="false" customHeight="true" outlineLevel="0" collapsed="false">
      <c r="A410" s="14" t="n">
        <v>409</v>
      </c>
      <c r="B410" s="15" t="n">
        <v>46088.656322963</v>
      </c>
      <c r="C410" s="15" t="n">
        <v>46088.6626771296</v>
      </c>
      <c r="D410" s="14" t="s">
        <v>2506</v>
      </c>
      <c r="E410" s="14" t="s">
        <v>2507</v>
      </c>
      <c r="F410" s="14" t="s">
        <v>2507</v>
      </c>
      <c r="G410" s="14" t="s">
        <v>2508</v>
      </c>
      <c r="H410" s="15" t="n">
        <v>46077</v>
      </c>
      <c r="I410" s="15" t="s">
        <v>244</v>
      </c>
      <c r="J410" s="14" t="s">
        <v>295</v>
      </c>
      <c r="K410" s="14" t="s">
        <v>364</v>
      </c>
      <c r="L410" s="14" t="s">
        <v>233</v>
      </c>
      <c r="M410" s="14" t="s">
        <v>390</v>
      </c>
      <c r="N410" s="14" t="s">
        <v>145</v>
      </c>
      <c r="O410" s="14" t="s">
        <v>132</v>
      </c>
      <c r="P410" s="14" t="s">
        <v>1388</v>
      </c>
      <c r="Q410" s="14" t="s">
        <v>1144</v>
      </c>
      <c r="R410" s="14"/>
      <c r="S410" s="14"/>
      <c r="T410" s="14"/>
      <c r="U410" s="14" t="s">
        <v>24</v>
      </c>
      <c r="V410" s="14"/>
      <c r="W410" s="14"/>
      <c r="X410" s="14"/>
      <c r="Y410" s="14" t="s">
        <v>260</v>
      </c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  <c r="CB410" s="14"/>
      <c r="CC410" s="14"/>
      <c r="CD410" s="14"/>
      <c r="CE410" s="14"/>
      <c r="CF410" s="14" t="s">
        <v>2509</v>
      </c>
      <c r="CG410" s="14" t="s">
        <v>2510</v>
      </c>
      <c r="CH410" s="14" t="s">
        <v>2511</v>
      </c>
      <c r="CI410" s="14"/>
      <c r="CJ410" s="14"/>
      <c r="CK410" s="14"/>
      <c r="CL410" s="14"/>
      <c r="CR410" s="1" t="s">
        <v>152</v>
      </c>
      <c r="CS410" s="1" t="s">
        <v>121</v>
      </c>
      <c r="CT410" s="14" t="s">
        <v>1605</v>
      </c>
      <c r="CU410" s="1" t="s">
        <v>123</v>
      </c>
      <c r="CV410" s="1" t="s">
        <v>124</v>
      </c>
      <c r="CW410" s="3"/>
      <c r="DG410" s="4"/>
    </row>
    <row r="411" customFormat="false" ht="11.25" hidden="false" customHeight="true" outlineLevel="0" collapsed="false">
      <c r="A411" s="14" t="n">
        <v>410</v>
      </c>
      <c r="B411" s="15" t="n">
        <v>46135.2627524421</v>
      </c>
      <c r="C411" s="15" t="n">
        <v>46135.2769191088</v>
      </c>
      <c r="D411" s="14" t="s">
        <v>2512</v>
      </c>
      <c r="E411" s="14" t="s">
        <v>2513</v>
      </c>
      <c r="F411" s="14" t="s">
        <v>2513</v>
      </c>
      <c r="G411" s="14" t="s">
        <v>2514</v>
      </c>
      <c r="H411" s="15" t="n">
        <v>46119</v>
      </c>
      <c r="I411" s="15" t="s">
        <v>107</v>
      </c>
      <c r="J411" s="14" t="s">
        <v>108</v>
      </c>
      <c r="K411" s="14" t="s">
        <v>143</v>
      </c>
      <c r="L411" s="14" t="s">
        <v>110</v>
      </c>
      <c r="M411" s="14" t="s">
        <v>111</v>
      </c>
      <c r="N411" s="14" t="s">
        <v>112</v>
      </c>
      <c r="O411" s="14" t="s">
        <v>336</v>
      </c>
      <c r="P411" s="14" t="s">
        <v>160</v>
      </c>
      <c r="Q411" s="14" t="s">
        <v>1160</v>
      </c>
      <c r="R411" s="14"/>
      <c r="S411" s="14"/>
      <c r="T411" s="14" t="s">
        <v>880</v>
      </c>
      <c r="U411" s="14" t="s">
        <v>24</v>
      </c>
      <c r="V411" s="14"/>
      <c r="W411" s="14"/>
      <c r="X411" s="14"/>
      <c r="Y411" s="14" t="s">
        <v>19</v>
      </c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R411" s="1" t="s">
        <v>152</v>
      </c>
      <c r="CS411" s="1" t="s">
        <v>180</v>
      </c>
      <c r="CT411" s="14" t="s">
        <v>2515</v>
      </c>
      <c r="CU411" s="1" t="s">
        <v>192</v>
      </c>
      <c r="CV411" s="1" t="s">
        <v>168</v>
      </c>
      <c r="CW411" s="3"/>
      <c r="DG411" s="4"/>
    </row>
    <row r="412" customFormat="false" ht="11.25" hidden="false" customHeight="true" outlineLevel="0" collapsed="false">
      <c r="A412" s="14" t="n">
        <v>411</v>
      </c>
      <c r="B412" s="15" t="n">
        <v>46177.23394375</v>
      </c>
      <c r="C412" s="15" t="n">
        <v>46177.2498696759</v>
      </c>
      <c r="D412" s="14" t="s">
        <v>2516</v>
      </c>
      <c r="E412" s="14" t="s">
        <v>2517</v>
      </c>
      <c r="F412" s="14" t="s">
        <v>2517</v>
      </c>
      <c r="G412" s="14" t="s">
        <v>2518</v>
      </c>
      <c r="H412" s="15" t="n">
        <v>46162</v>
      </c>
      <c r="I412" s="15" t="s">
        <v>172</v>
      </c>
      <c r="J412" s="14" t="s">
        <v>295</v>
      </c>
      <c r="K412" s="14" t="s">
        <v>364</v>
      </c>
      <c r="L412" s="14" t="s">
        <v>184</v>
      </c>
      <c r="M412" s="14" t="s">
        <v>111</v>
      </c>
      <c r="N412" s="14" t="s">
        <v>145</v>
      </c>
      <c r="O412" s="14" t="s">
        <v>113</v>
      </c>
      <c r="P412" s="14" t="s">
        <v>234</v>
      </c>
      <c r="Q412" s="14" t="s">
        <v>560</v>
      </c>
      <c r="R412" s="14"/>
      <c r="S412" s="14"/>
      <c r="T412" s="14"/>
      <c r="U412" s="14" t="s">
        <v>23</v>
      </c>
      <c r="V412" s="14"/>
      <c r="W412" s="14"/>
      <c r="X412" s="14" t="s">
        <v>1645</v>
      </c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R412" s="1" t="s">
        <v>152</v>
      </c>
      <c r="CS412" s="1" t="s">
        <v>180</v>
      </c>
      <c r="CT412" s="14"/>
      <c r="CU412" s="1" t="s">
        <v>192</v>
      </c>
      <c r="CV412" s="1" t="s">
        <v>124</v>
      </c>
      <c r="CW412" s="3"/>
      <c r="DG412" s="4"/>
    </row>
    <row r="413" customFormat="false" ht="11.25" hidden="false" customHeight="true" outlineLevel="0" collapsed="false">
      <c r="A413" s="14" t="n">
        <v>412</v>
      </c>
      <c r="B413" s="15" t="n">
        <v>46061.0440866667</v>
      </c>
      <c r="C413" s="15" t="n">
        <v>46061.0577209259</v>
      </c>
      <c r="D413" s="14" t="s">
        <v>2519</v>
      </c>
      <c r="E413" s="14" t="s">
        <v>2520</v>
      </c>
      <c r="F413" s="14" t="s">
        <v>2520</v>
      </c>
      <c r="G413" s="14" t="s">
        <v>2521</v>
      </c>
      <c r="H413" s="15" t="n">
        <v>46053</v>
      </c>
      <c r="I413" s="15" t="s">
        <v>278</v>
      </c>
      <c r="J413" s="14" t="s">
        <v>108</v>
      </c>
      <c r="K413" s="14" t="s">
        <v>364</v>
      </c>
      <c r="L413" s="14" t="s">
        <v>197</v>
      </c>
      <c r="M413" s="14" t="s">
        <v>111</v>
      </c>
      <c r="N413" s="14" t="s">
        <v>145</v>
      </c>
      <c r="O413" s="14" t="s">
        <v>113</v>
      </c>
      <c r="P413" s="14" t="s">
        <v>447</v>
      </c>
      <c r="Q413" s="14" t="s">
        <v>1573</v>
      </c>
      <c r="R413" s="14"/>
      <c r="S413" s="14"/>
      <c r="T413" s="14"/>
      <c r="U413" s="14" t="s">
        <v>25</v>
      </c>
      <c r="V413" s="14"/>
      <c r="W413" s="14"/>
      <c r="X413" s="14"/>
      <c r="Y413" s="14"/>
      <c r="Z413" s="14" t="s">
        <v>327</v>
      </c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 t="s">
        <v>162</v>
      </c>
      <c r="CJ413" s="14" t="s">
        <v>216</v>
      </c>
      <c r="CK413" s="14" t="s">
        <v>253</v>
      </c>
      <c r="CL413" s="14"/>
      <c r="CR413" s="1" t="s">
        <v>152</v>
      </c>
      <c r="CS413" s="1" t="s">
        <v>121</v>
      </c>
      <c r="CT413" s="14" t="s">
        <v>122</v>
      </c>
      <c r="CU413" s="1" t="s">
        <v>167</v>
      </c>
      <c r="CV413" s="1" t="s">
        <v>124</v>
      </c>
      <c r="CW413" s="3"/>
      <c r="DG413" s="4"/>
    </row>
    <row r="414" customFormat="false" ht="11.25" hidden="false" customHeight="true" outlineLevel="0" collapsed="false">
      <c r="A414" s="14" t="n">
        <v>413</v>
      </c>
      <c r="B414" s="15" t="n">
        <v>46120.2355439931</v>
      </c>
      <c r="C414" s="15" t="n">
        <v>46120.2498611227</v>
      </c>
      <c r="D414" s="14" t="s">
        <v>2522</v>
      </c>
      <c r="E414" s="14" t="s">
        <v>2523</v>
      </c>
      <c r="F414" s="14" t="s">
        <v>2524</v>
      </c>
      <c r="G414" s="14" t="s">
        <v>2525</v>
      </c>
      <c r="H414" s="15" t="n">
        <v>46112</v>
      </c>
      <c r="I414" s="15" t="s">
        <v>244</v>
      </c>
      <c r="J414" s="14" t="s">
        <v>108</v>
      </c>
      <c r="K414" s="14" t="s">
        <v>364</v>
      </c>
      <c r="L414" s="14" t="s">
        <v>346</v>
      </c>
      <c r="M414" s="14" t="s">
        <v>111</v>
      </c>
      <c r="N414" s="14" t="s">
        <v>145</v>
      </c>
      <c r="O414" s="14" t="s">
        <v>325</v>
      </c>
      <c r="P414" s="14" t="s">
        <v>160</v>
      </c>
      <c r="Q414" s="14" t="s">
        <v>775</v>
      </c>
      <c r="R414" s="14"/>
      <c r="S414" s="14"/>
      <c r="T414" s="14"/>
      <c r="U414" s="14" t="s">
        <v>21</v>
      </c>
      <c r="V414" s="14" t="s">
        <v>307</v>
      </c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 t="s">
        <v>2168</v>
      </c>
      <c r="AT414" s="14" t="s">
        <v>2526</v>
      </c>
      <c r="AU414" s="14" t="s">
        <v>310</v>
      </c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R414" s="1" t="s">
        <v>152</v>
      </c>
      <c r="CS414" s="1" t="s">
        <v>590</v>
      </c>
      <c r="CT414" s="14" t="s">
        <v>1557</v>
      </c>
      <c r="CU414" s="1" t="s">
        <v>192</v>
      </c>
      <c r="CV414" s="1" t="s">
        <v>124</v>
      </c>
      <c r="CW414" s="3"/>
      <c r="DG414" s="4"/>
    </row>
    <row r="415" customFormat="false" ht="11.25" hidden="false" customHeight="true" outlineLevel="0" collapsed="false">
      <c r="A415" s="14" t="n">
        <v>414</v>
      </c>
      <c r="B415" s="15" t="n">
        <v>46210.4492240278</v>
      </c>
      <c r="C415" s="15" t="n">
        <v>46210.4525689352</v>
      </c>
      <c r="D415" s="14" t="s">
        <v>2527</v>
      </c>
      <c r="E415" s="14" t="s">
        <v>2528</v>
      </c>
      <c r="F415" s="14" t="s">
        <v>2528</v>
      </c>
      <c r="G415" s="14" t="s">
        <v>2529</v>
      </c>
      <c r="H415" s="15" t="n">
        <v>46194</v>
      </c>
      <c r="I415" s="15" t="s">
        <v>107</v>
      </c>
      <c r="J415" s="14" t="s">
        <v>295</v>
      </c>
      <c r="K415" s="14" t="s">
        <v>2530</v>
      </c>
      <c r="L415" s="14" t="s">
        <v>246</v>
      </c>
      <c r="M415" s="14" t="s">
        <v>111</v>
      </c>
      <c r="N415" s="14" t="s">
        <v>145</v>
      </c>
      <c r="O415" s="14" t="s">
        <v>113</v>
      </c>
      <c r="P415" s="14" t="s">
        <v>326</v>
      </c>
      <c r="Q415" s="14" t="s">
        <v>234</v>
      </c>
      <c r="R415" s="14"/>
      <c r="S415" s="14"/>
      <c r="T415" s="14"/>
      <c r="U415" s="14" t="s">
        <v>22</v>
      </c>
      <c r="V415" s="14"/>
      <c r="W415" s="14" t="s">
        <v>116</v>
      </c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 t="s">
        <v>328</v>
      </c>
      <c r="BU415" s="14" t="s">
        <v>745</v>
      </c>
      <c r="BV415" s="14" t="s">
        <v>620</v>
      </c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R415" s="1" t="s">
        <v>152</v>
      </c>
      <c r="CS415" s="1" t="s">
        <v>180</v>
      </c>
      <c r="CT415" s="14" t="s">
        <v>2531</v>
      </c>
      <c r="CU415" s="1" t="s">
        <v>123</v>
      </c>
      <c r="CV415" s="1" t="s">
        <v>139</v>
      </c>
      <c r="CW415" s="3"/>
      <c r="DG415" s="4"/>
    </row>
    <row r="416" customFormat="false" ht="11.25" hidden="false" customHeight="true" outlineLevel="0" collapsed="false">
      <c r="A416" s="14" t="n">
        <v>415</v>
      </c>
      <c r="B416" s="15" t="n">
        <v>46094.0884904861</v>
      </c>
      <c r="C416" s="15" t="n">
        <v>46094.0999256713</v>
      </c>
      <c r="D416" s="14" t="s">
        <v>2532</v>
      </c>
      <c r="E416" s="14" t="s">
        <v>2533</v>
      </c>
      <c r="F416" s="14" t="s">
        <v>2533</v>
      </c>
      <c r="G416" s="14" t="s">
        <v>2534</v>
      </c>
      <c r="H416" s="15" t="n">
        <v>46093</v>
      </c>
      <c r="I416" s="15" t="s">
        <v>260</v>
      </c>
      <c r="J416" s="14" t="s">
        <v>128</v>
      </c>
      <c r="K416" s="14" t="s">
        <v>742</v>
      </c>
      <c r="L416" s="14" t="s">
        <v>233</v>
      </c>
      <c r="M416" s="14" t="s">
        <v>390</v>
      </c>
      <c r="N416" s="14" t="s">
        <v>145</v>
      </c>
      <c r="O416" s="14" t="s">
        <v>113</v>
      </c>
      <c r="P416" s="14" t="s">
        <v>1313</v>
      </c>
      <c r="Q416" s="14" t="s">
        <v>389</v>
      </c>
      <c r="R416" s="14"/>
      <c r="S416" s="14"/>
      <c r="T416" s="14"/>
      <c r="U416" s="14" t="s">
        <v>24</v>
      </c>
      <c r="V416" s="14"/>
      <c r="W416" s="14"/>
      <c r="X416" s="14"/>
      <c r="Y416" s="14" t="s">
        <v>260</v>
      </c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 t="s">
        <v>2535</v>
      </c>
      <c r="CG416" s="14" t="s">
        <v>2536</v>
      </c>
      <c r="CH416" s="14" t="s">
        <v>1135</v>
      </c>
      <c r="CI416" s="14"/>
      <c r="CJ416" s="14"/>
      <c r="CK416" s="14"/>
      <c r="CL416" s="14"/>
      <c r="CR416" s="1" t="s">
        <v>120</v>
      </c>
      <c r="CS416" s="1" t="s">
        <v>121</v>
      </c>
      <c r="CT416" s="14"/>
      <c r="CU416" s="1" t="s">
        <v>167</v>
      </c>
      <c r="CV416" s="1" t="s">
        <v>139</v>
      </c>
      <c r="CW416" s="3" t="s">
        <v>573</v>
      </c>
      <c r="DG416" s="4"/>
    </row>
    <row r="417" customFormat="false" ht="11.25" hidden="false" customHeight="true" outlineLevel="0" collapsed="false">
      <c r="A417" s="14" t="n">
        <v>416</v>
      </c>
      <c r="B417" s="15" t="n">
        <v>46166.0600905787</v>
      </c>
      <c r="C417" s="15" t="n">
        <v>46166.0707387269</v>
      </c>
      <c r="D417" s="14" t="s">
        <v>2537</v>
      </c>
      <c r="E417" s="14" t="s">
        <v>2538</v>
      </c>
      <c r="F417" s="14" t="s">
        <v>2538</v>
      </c>
      <c r="G417" s="14" t="s">
        <v>2539</v>
      </c>
      <c r="H417" s="15" t="n">
        <v>46155</v>
      </c>
      <c r="I417" s="15" t="s">
        <v>107</v>
      </c>
      <c r="J417" s="14" t="s">
        <v>128</v>
      </c>
      <c r="K417" s="14" t="s">
        <v>2032</v>
      </c>
      <c r="L417" s="14" t="s">
        <v>210</v>
      </c>
      <c r="M417" s="14" t="s">
        <v>111</v>
      </c>
      <c r="N417" s="14" t="s">
        <v>145</v>
      </c>
      <c r="O417" s="14" t="s">
        <v>863</v>
      </c>
      <c r="P417" s="14" t="s">
        <v>248</v>
      </c>
      <c r="Q417" s="14" t="s">
        <v>1078</v>
      </c>
      <c r="R417" s="14"/>
      <c r="S417" s="14"/>
      <c r="T417" s="14"/>
      <c r="U417" s="14" t="s">
        <v>22</v>
      </c>
      <c r="V417" s="14"/>
      <c r="W417" s="14" t="s">
        <v>715</v>
      </c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 t="s">
        <v>2540</v>
      </c>
      <c r="BI417" s="14" t="s">
        <v>829</v>
      </c>
      <c r="BJ417" s="14" t="s">
        <v>2541</v>
      </c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R417" s="1" t="s">
        <v>152</v>
      </c>
      <c r="CS417" s="1" t="s">
        <v>121</v>
      </c>
      <c r="CT417" s="14" t="s">
        <v>1063</v>
      </c>
      <c r="CU417" s="1" t="s">
        <v>123</v>
      </c>
      <c r="CV417" s="1" t="s">
        <v>168</v>
      </c>
      <c r="CW417" s="3"/>
      <c r="DG417" s="4"/>
    </row>
    <row r="418" customFormat="false" ht="11.25" hidden="false" customHeight="true" outlineLevel="0" collapsed="false">
      <c r="A418" s="14" t="n">
        <v>417</v>
      </c>
      <c r="B418" s="15" t="n">
        <v>46143.854220544</v>
      </c>
      <c r="C418" s="15" t="n">
        <v>46143.856570081</v>
      </c>
      <c r="D418" s="14" t="s">
        <v>2542</v>
      </c>
      <c r="E418" s="14" t="s">
        <v>2543</v>
      </c>
      <c r="F418" s="14" t="s">
        <v>2543</v>
      </c>
      <c r="G418" s="14" t="s">
        <v>2544</v>
      </c>
      <c r="H418" s="15" t="n">
        <v>46135</v>
      </c>
      <c r="I418" s="15" t="s">
        <v>107</v>
      </c>
      <c r="J418" s="14" t="s">
        <v>108</v>
      </c>
      <c r="K418" s="14" t="s">
        <v>196</v>
      </c>
      <c r="L418" s="14" t="s">
        <v>130</v>
      </c>
      <c r="M418" s="14" t="s">
        <v>111</v>
      </c>
      <c r="N418" s="14" t="s">
        <v>112</v>
      </c>
      <c r="O418" s="14" t="s">
        <v>1268</v>
      </c>
      <c r="P418" s="14" t="s">
        <v>269</v>
      </c>
      <c r="Q418" s="14" t="s">
        <v>469</v>
      </c>
      <c r="R418" s="14"/>
      <c r="S418" s="14"/>
      <c r="T418" s="14"/>
      <c r="U418" s="14" t="s">
        <v>24</v>
      </c>
      <c r="V418" s="14"/>
      <c r="W418" s="14"/>
      <c r="X418" s="14"/>
      <c r="Y418" s="14" t="s">
        <v>223</v>
      </c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 t="s">
        <v>2545</v>
      </c>
      <c r="CA418" s="14" t="s">
        <v>2546</v>
      </c>
      <c r="CB418" s="14" t="s">
        <v>425</v>
      </c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R418" s="1" t="s">
        <v>120</v>
      </c>
      <c r="CS418" s="1" t="s">
        <v>352</v>
      </c>
      <c r="CT418" s="14" t="s">
        <v>2164</v>
      </c>
      <c r="CU418" s="1" t="s">
        <v>192</v>
      </c>
      <c r="CV418" s="1" t="s">
        <v>124</v>
      </c>
      <c r="CW418" s="3"/>
      <c r="CX418" s="3" t="s">
        <v>331</v>
      </c>
      <c r="DG418" s="4"/>
    </row>
    <row r="419" customFormat="false" ht="11.25" hidden="false" customHeight="true" outlineLevel="0" collapsed="false">
      <c r="A419" s="14" t="n">
        <v>418</v>
      </c>
      <c r="B419" s="15" t="n">
        <v>46121.307919456</v>
      </c>
      <c r="C419" s="15" t="n">
        <v>46121.3117041782</v>
      </c>
      <c r="D419" s="14" t="s">
        <v>2547</v>
      </c>
      <c r="E419" s="14" t="s">
        <v>2548</v>
      </c>
      <c r="F419" s="14" t="s">
        <v>2548</v>
      </c>
      <c r="G419" s="14" t="s">
        <v>2549</v>
      </c>
      <c r="H419" s="15" t="n">
        <v>46114</v>
      </c>
      <c r="I419" s="15" t="s">
        <v>244</v>
      </c>
      <c r="J419" s="14" t="s">
        <v>108</v>
      </c>
      <c r="K419" s="14" t="s">
        <v>232</v>
      </c>
      <c r="L419" s="14" t="s">
        <v>114</v>
      </c>
      <c r="M419" s="14" t="s">
        <v>390</v>
      </c>
      <c r="N419" s="14" t="s">
        <v>145</v>
      </c>
      <c r="O419" s="14" t="s">
        <v>113</v>
      </c>
      <c r="P419" s="14" t="s">
        <v>269</v>
      </c>
      <c r="Q419" s="14" t="s">
        <v>613</v>
      </c>
      <c r="R419" s="14"/>
      <c r="S419" s="14"/>
      <c r="T419" s="14"/>
      <c r="U419" s="14" t="s">
        <v>22</v>
      </c>
      <c r="V419" s="14"/>
      <c r="W419" s="14" t="s">
        <v>116</v>
      </c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 t="s">
        <v>2550</v>
      </c>
      <c r="BU419" s="14" t="s">
        <v>745</v>
      </c>
      <c r="BV419" s="14" t="s">
        <v>330</v>
      </c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R419" s="1" t="s">
        <v>152</v>
      </c>
      <c r="CS419" s="1" t="s">
        <v>1406</v>
      </c>
      <c r="CT419" s="14" t="s">
        <v>122</v>
      </c>
      <c r="CU419" s="1" t="s">
        <v>192</v>
      </c>
      <c r="CV419" s="1" t="s">
        <v>124</v>
      </c>
      <c r="CW419" s="3"/>
      <c r="DG419" s="4"/>
    </row>
    <row r="420" customFormat="false" ht="11.25" hidden="false" customHeight="true" outlineLevel="0" collapsed="false">
      <c r="A420" s="14" t="n">
        <v>419</v>
      </c>
      <c r="B420" s="15" t="n">
        <v>46072.4680434375</v>
      </c>
      <c r="C420" s="15" t="n">
        <v>46072.4847679745</v>
      </c>
      <c r="D420" s="14" t="s">
        <v>2551</v>
      </c>
      <c r="E420" s="14" t="s">
        <v>2552</v>
      </c>
      <c r="F420" s="14" t="s">
        <v>2552</v>
      </c>
      <c r="G420" s="14" t="s">
        <v>2553</v>
      </c>
      <c r="H420" s="15" t="n">
        <v>46058</v>
      </c>
      <c r="I420" s="15" t="s">
        <v>244</v>
      </c>
      <c r="J420" s="14" t="s">
        <v>108</v>
      </c>
      <c r="K420" s="14" t="s">
        <v>245</v>
      </c>
      <c r="L420" s="14" t="s">
        <v>246</v>
      </c>
      <c r="M420" s="14" t="s">
        <v>111</v>
      </c>
      <c r="N420" s="14" t="s">
        <v>112</v>
      </c>
      <c r="O420" s="14" t="s">
        <v>113</v>
      </c>
      <c r="P420" s="14" t="s">
        <v>612</v>
      </c>
      <c r="Q420" s="14" t="s">
        <v>849</v>
      </c>
      <c r="R420" s="14"/>
      <c r="S420" s="14"/>
      <c r="T420" s="14"/>
      <c r="U420" s="14" t="s">
        <v>22</v>
      </c>
      <c r="V420" s="14"/>
      <c r="W420" s="14" t="s">
        <v>339</v>
      </c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 t="s">
        <v>340</v>
      </c>
      <c r="BO420" s="14" t="s">
        <v>2554</v>
      </c>
      <c r="BP420" s="14" t="s">
        <v>2555</v>
      </c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R420" s="1" t="s">
        <v>152</v>
      </c>
      <c r="CS420" s="1" t="s">
        <v>352</v>
      </c>
      <c r="CT420" s="14" t="s">
        <v>122</v>
      </c>
      <c r="CU420" s="1" t="s">
        <v>192</v>
      </c>
      <c r="CV420" s="1" t="s">
        <v>168</v>
      </c>
      <c r="CW420" s="3"/>
      <c r="DG420" s="4"/>
    </row>
    <row r="421" customFormat="false" ht="11.25" hidden="false" customHeight="true" outlineLevel="0" collapsed="false">
      <c r="A421" s="14" t="n">
        <v>420</v>
      </c>
      <c r="B421" s="15" t="n">
        <v>46200.712714375</v>
      </c>
      <c r="C421" s="15" t="n">
        <v>46200.7294620602</v>
      </c>
      <c r="D421" s="14" t="s">
        <v>2556</v>
      </c>
      <c r="E421" s="14" t="s">
        <v>2557</v>
      </c>
      <c r="F421" s="14" t="s">
        <v>2557</v>
      </c>
      <c r="G421" s="14" t="s">
        <v>2558</v>
      </c>
      <c r="H421" s="15" t="n">
        <v>46189</v>
      </c>
      <c r="I421" s="15" t="s">
        <v>278</v>
      </c>
      <c r="J421" s="14" t="s">
        <v>108</v>
      </c>
      <c r="K421" s="14" t="s">
        <v>462</v>
      </c>
      <c r="L421" s="14" t="s">
        <v>144</v>
      </c>
      <c r="M421" s="14" t="s">
        <v>111</v>
      </c>
      <c r="N421" s="14" t="s">
        <v>112</v>
      </c>
      <c r="O421" s="14" t="s">
        <v>132</v>
      </c>
      <c r="P421" s="14" t="s">
        <v>114</v>
      </c>
      <c r="Q421" s="14" t="s">
        <v>147</v>
      </c>
      <c r="R421" s="14"/>
      <c r="S421" s="14"/>
      <c r="T421" s="14"/>
      <c r="U421" s="14" t="s">
        <v>24</v>
      </c>
      <c r="V421" s="14"/>
      <c r="W421" s="14"/>
      <c r="X421" s="14"/>
      <c r="Y421" s="14" t="s">
        <v>260</v>
      </c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 t="s">
        <v>2559</v>
      </c>
      <c r="CG421" s="14" t="s">
        <v>2560</v>
      </c>
      <c r="CH421" s="14" t="s">
        <v>2561</v>
      </c>
      <c r="CI421" s="14"/>
      <c r="CJ421" s="14"/>
      <c r="CK421" s="14"/>
      <c r="CL421" s="14"/>
      <c r="CR421" s="1" t="s">
        <v>120</v>
      </c>
      <c r="CS421" s="1" t="s">
        <v>121</v>
      </c>
      <c r="CT421" s="14"/>
      <c r="CU421" s="1" t="s">
        <v>123</v>
      </c>
      <c r="CV421" s="1" t="s">
        <v>124</v>
      </c>
      <c r="CW421" s="3"/>
      <c r="DG421" s="4"/>
    </row>
    <row r="422" customFormat="false" ht="11.25" hidden="false" customHeight="true" outlineLevel="0" collapsed="false">
      <c r="A422" s="14" t="n">
        <v>421</v>
      </c>
      <c r="B422" s="15" t="n">
        <v>46134.5744013657</v>
      </c>
      <c r="C422" s="15" t="n">
        <v>46134.5831397917</v>
      </c>
      <c r="D422" s="14" t="s">
        <v>2562</v>
      </c>
      <c r="E422" s="14" t="s">
        <v>2563</v>
      </c>
      <c r="F422" s="14" t="s">
        <v>2563</v>
      </c>
      <c r="G422" s="14" t="s">
        <v>2564</v>
      </c>
      <c r="H422" s="15" t="n">
        <v>46117</v>
      </c>
      <c r="I422" s="15" t="s">
        <v>172</v>
      </c>
      <c r="J422" s="14" t="s">
        <v>108</v>
      </c>
      <c r="K422" s="14" t="s">
        <v>2430</v>
      </c>
      <c r="L422" s="14" t="s">
        <v>110</v>
      </c>
      <c r="M422" s="14" t="s">
        <v>111</v>
      </c>
      <c r="N422" s="14" t="s">
        <v>112</v>
      </c>
      <c r="O422" s="14" t="s">
        <v>113</v>
      </c>
      <c r="P422" s="14" t="s">
        <v>870</v>
      </c>
      <c r="Q422" s="14" t="s">
        <v>775</v>
      </c>
      <c r="R422" s="14"/>
      <c r="S422" s="14"/>
      <c r="T422" s="14"/>
      <c r="U422" s="14" t="s">
        <v>22</v>
      </c>
      <c r="V422" s="14"/>
      <c r="W422" s="14" t="s">
        <v>715</v>
      </c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 t="s">
        <v>2565</v>
      </c>
      <c r="BI422" s="14" t="s">
        <v>2112</v>
      </c>
      <c r="BJ422" s="14" t="s">
        <v>1812</v>
      </c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R422" s="1" t="s">
        <v>152</v>
      </c>
      <c r="CS422" s="1" t="s">
        <v>2255</v>
      </c>
      <c r="CT422" s="14"/>
      <c r="CU422" s="1" t="s">
        <v>167</v>
      </c>
      <c r="CV422" s="1" t="s">
        <v>124</v>
      </c>
      <c r="CW422" s="3"/>
      <c r="CX422" s="3" t="s">
        <v>331</v>
      </c>
      <c r="DG422" s="4"/>
    </row>
    <row r="423" customFormat="false" ht="11.25" hidden="false" customHeight="true" outlineLevel="0" collapsed="false">
      <c r="A423" s="14" t="n">
        <v>422</v>
      </c>
      <c r="B423" s="15" t="n">
        <v>46081.5491171181</v>
      </c>
      <c r="C423" s="15" t="n">
        <v>46081.555818507</v>
      </c>
      <c r="D423" s="14" t="s">
        <v>2566</v>
      </c>
      <c r="E423" s="14" t="s">
        <v>2567</v>
      </c>
      <c r="F423" s="14" t="s">
        <v>2567</v>
      </c>
      <c r="G423" s="14" t="s">
        <v>2568</v>
      </c>
      <c r="H423" s="15" t="n">
        <v>46074</v>
      </c>
      <c r="I423" s="15" t="s">
        <v>107</v>
      </c>
      <c r="J423" s="14" t="s">
        <v>108</v>
      </c>
      <c r="K423" s="14" t="s">
        <v>143</v>
      </c>
      <c r="L423" s="14" t="s">
        <v>431</v>
      </c>
      <c r="M423" s="14" t="s">
        <v>111</v>
      </c>
      <c r="N423" s="14" t="s">
        <v>112</v>
      </c>
      <c r="O423" s="14" t="s">
        <v>113</v>
      </c>
      <c r="P423" s="14" t="s">
        <v>515</v>
      </c>
      <c r="Q423" s="14" t="s">
        <v>645</v>
      </c>
      <c r="R423" s="14"/>
      <c r="S423" s="14"/>
      <c r="T423" s="14"/>
      <c r="U423" s="14" t="s">
        <v>24</v>
      </c>
      <c r="V423" s="14"/>
      <c r="W423" s="14"/>
      <c r="X423" s="14"/>
      <c r="Y423" s="14" t="s">
        <v>214</v>
      </c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 t="s">
        <v>251</v>
      </c>
      <c r="CD423" s="14" t="s">
        <v>745</v>
      </c>
      <c r="CE423" s="14" t="s">
        <v>1168</v>
      </c>
      <c r="CF423" s="14"/>
      <c r="CG423" s="14"/>
      <c r="CH423" s="14"/>
      <c r="CI423" s="14"/>
      <c r="CJ423" s="14"/>
      <c r="CK423" s="14"/>
      <c r="CL423" s="14"/>
      <c r="CR423" s="1" t="s">
        <v>120</v>
      </c>
      <c r="CS423" s="1" t="s">
        <v>352</v>
      </c>
      <c r="CT423" s="14" t="s">
        <v>166</v>
      </c>
      <c r="CU423" s="1" t="s">
        <v>123</v>
      </c>
      <c r="CV423" s="1" t="s">
        <v>124</v>
      </c>
      <c r="CW423" s="3" t="s">
        <v>621</v>
      </c>
      <c r="DG423" s="4"/>
    </row>
    <row r="424" customFormat="false" ht="11.25" hidden="false" customHeight="true" outlineLevel="0" collapsed="false">
      <c r="A424" s="14" t="n">
        <v>423</v>
      </c>
      <c r="B424" s="15" t="n">
        <v>46180.3389787037</v>
      </c>
      <c r="C424" s="15" t="n">
        <v>46180.3567912037</v>
      </c>
      <c r="D424" s="14" t="s">
        <v>2569</v>
      </c>
      <c r="E424" s="14" t="s">
        <v>2570</v>
      </c>
      <c r="F424" s="14" t="s">
        <v>2570</v>
      </c>
      <c r="G424" s="14" t="s">
        <v>2571</v>
      </c>
      <c r="H424" s="15" t="n">
        <v>46173</v>
      </c>
      <c r="I424" s="15" t="s">
        <v>278</v>
      </c>
      <c r="J424" s="14" t="s">
        <v>108</v>
      </c>
      <c r="K424" s="14" t="s">
        <v>2140</v>
      </c>
      <c r="L424" s="14" t="s">
        <v>233</v>
      </c>
      <c r="M424" s="14" t="s">
        <v>111</v>
      </c>
      <c r="N424" s="14" t="s">
        <v>112</v>
      </c>
      <c r="O424" s="14" t="s">
        <v>113</v>
      </c>
      <c r="P424" s="14" t="s">
        <v>484</v>
      </c>
      <c r="Q424" s="14" t="s">
        <v>586</v>
      </c>
      <c r="R424" s="14"/>
      <c r="S424" s="14"/>
      <c r="T424" s="14"/>
      <c r="U424" s="14" t="s">
        <v>22</v>
      </c>
      <c r="V424" s="14"/>
      <c r="W424" s="14" t="s">
        <v>271</v>
      </c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 t="s">
        <v>2572</v>
      </c>
      <c r="BL424" s="14" t="s">
        <v>1244</v>
      </c>
      <c r="BM424" s="14" t="s">
        <v>648</v>
      </c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R424" s="1" t="s">
        <v>152</v>
      </c>
      <c r="CS424" s="1" t="s">
        <v>121</v>
      </c>
      <c r="CT424" s="14" t="s">
        <v>547</v>
      </c>
      <c r="CU424" s="1" t="s">
        <v>123</v>
      </c>
      <c r="CV424" s="1" t="s">
        <v>124</v>
      </c>
      <c r="CW424" s="3"/>
      <c r="DG424" s="4"/>
    </row>
    <row r="425" customFormat="false" ht="11.25" hidden="false" customHeight="true" outlineLevel="0" collapsed="false">
      <c r="A425" s="14" t="n">
        <v>424</v>
      </c>
      <c r="B425" s="15" t="n">
        <v>46109.3594236227</v>
      </c>
      <c r="C425" s="15" t="n">
        <v>46109.3775486227</v>
      </c>
      <c r="D425" s="14" t="s">
        <v>2573</v>
      </c>
      <c r="E425" s="14" t="s">
        <v>2574</v>
      </c>
      <c r="F425" s="14" t="s">
        <v>2575</v>
      </c>
      <c r="G425" s="14" t="s">
        <v>2576</v>
      </c>
      <c r="H425" s="15" t="n">
        <v>46098</v>
      </c>
      <c r="I425" s="15" t="s">
        <v>107</v>
      </c>
      <c r="J425" s="14" t="s">
        <v>295</v>
      </c>
      <c r="K425" s="14" t="s">
        <v>173</v>
      </c>
      <c r="L425" s="14" t="s">
        <v>389</v>
      </c>
      <c r="M425" s="14" t="s">
        <v>111</v>
      </c>
      <c r="N425" s="14" t="s">
        <v>145</v>
      </c>
      <c r="O425" s="14" t="s">
        <v>113</v>
      </c>
      <c r="P425" s="14" t="s">
        <v>199</v>
      </c>
      <c r="Q425" s="14" t="s">
        <v>625</v>
      </c>
      <c r="R425" s="14"/>
      <c r="S425" s="14"/>
      <c r="T425" s="14"/>
      <c r="U425" s="14" t="s">
        <v>22</v>
      </c>
      <c r="V425" s="14"/>
      <c r="W425" s="14" t="s">
        <v>715</v>
      </c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 t="s">
        <v>2577</v>
      </c>
      <c r="BI425" s="14" t="s">
        <v>2578</v>
      </c>
      <c r="BJ425" s="14" t="s">
        <v>732</v>
      </c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R425" s="1" t="s">
        <v>152</v>
      </c>
      <c r="CS425" s="1" t="s">
        <v>352</v>
      </c>
      <c r="CT425" s="14" t="s">
        <v>122</v>
      </c>
      <c r="CU425" s="1" t="s">
        <v>123</v>
      </c>
      <c r="CV425" s="1" t="s">
        <v>124</v>
      </c>
      <c r="CW425" s="3"/>
      <c r="DG425" s="4"/>
    </row>
    <row r="426" customFormat="false" ht="11.25" hidden="false" customHeight="true" outlineLevel="0" collapsed="false">
      <c r="A426" s="14" t="n">
        <v>425</v>
      </c>
      <c r="B426" s="15" t="n">
        <v>46061.6270194792</v>
      </c>
      <c r="C426" s="15" t="n">
        <v>46061.6426560532</v>
      </c>
      <c r="D426" s="14" t="s">
        <v>2579</v>
      </c>
      <c r="E426" s="14" t="s">
        <v>2580</v>
      </c>
      <c r="F426" s="14" t="s">
        <v>2580</v>
      </c>
      <c r="G426" s="14" t="s">
        <v>2581</v>
      </c>
      <c r="H426" s="15" t="n">
        <v>46056</v>
      </c>
      <c r="I426" s="15" t="s">
        <v>157</v>
      </c>
      <c r="J426" s="14" t="s">
        <v>108</v>
      </c>
      <c r="K426" s="14" t="s">
        <v>462</v>
      </c>
      <c r="L426" s="14" t="s">
        <v>144</v>
      </c>
      <c r="M426" s="14" t="s">
        <v>111</v>
      </c>
      <c r="N426" s="14" t="s">
        <v>247</v>
      </c>
      <c r="O426" s="14" t="s">
        <v>113</v>
      </c>
      <c r="P426" s="14" t="s">
        <v>594</v>
      </c>
      <c r="Q426" s="14" t="s">
        <v>743</v>
      </c>
      <c r="R426" s="14"/>
      <c r="S426" s="14"/>
      <c r="T426" s="14"/>
      <c r="U426" s="14" t="s">
        <v>24</v>
      </c>
      <c r="V426" s="14"/>
      <c r="W426" s="14"/>
      <c r="X426" s="14"/>
      <c r="Y426" s="14" t="s">
        <v>214</v>
      </c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 t="s">
        <v>2582</v>
      </c>
      <c r="CD426" s="14" t="s">
        <v>252</v>
      </c>
      <c r="CE426" s="14" t="s">
        <v>914</v>
      </c>
      <c r="CF426" s="14"/>
      <c r="CG426" s="14"/>
      <c r="CH426" s="14"/>
      <c r="CI426" s="14"/>
      <c r="CJ426" s="14"/>
      <c r="CK426" s="14"/>
      <c r="CL426" s="14"/>
      <c r="CR426" s="1" t="s">
        <v>120</v>
      </c>
      <c r="CS426" s="1" t="s">
        <v>264</v>
      </c>
      <c r="CT426" s="14"/>
      <c r="CU426" s="1" t="s">
        <v>123</v>
      </c>
      <c r="CV426" s="1" t="s">
        <v>124</v>
      </c>
      <c r="CW426" s="3" t="s">
        <v>928</v>
      </c>
      <c r="DG426" s="4"/>
    </row>
    <row r="427" customFormat="false" ht="11.25" hidden="false" customHeight="true" outlineLevel="0" collapsed="false">
      <c r="A427" s="14" t="n">
        <v>426</v>
      </c>
      <c r="B427" s="15" t="n">
        <v>46137.8068707523</v>
      </c>
      <c r="C427" s="15" t="n">
        <v>46137.8104818634</v>
      </c>
      <c r="D427" s="14" t="s">
        <v>2583</v>
      </c>
      <c r="E427" s="14" t="s">
        <v>2584</v>
      </c>
      <c r="F427" s="14" t="s">
        <v>2584</v>
      </c>
      <c r="G427" s="14" t="s">
        <v>2585</v>
      </c>
      <c r="H427" s="15" t="n">
        <v>46118</v>
      </c>
      <c r="I427" s="15" t="s">
        <v>107</v>
      </c>
      <c r="J427" s="14" t="s">
        <v>108</v>
      </c>
      <c r="K427" s="14" t="s">
        <v>462</v>
      </c>
      <c r="L427" s="14" t="s">
        <v>268</v>
      </c>
      <c r="M427" s="14" t="s">
        <v>111</v>
      </c>
      <c r="N427" s="14" t="s">
        <v>198</v>
      </c>
      <c r="O427" s="14" t="s">
        <v>113</v>
      </c>
      <c r="P427" s="14" t="s">
        <v>391</v>
      </c>
      <c r="Q427" s="14" t="s">
        <v>743</v>
      </c>
      <c r="R427" s="14"/>
      <c r="S427" s="14"/>
      <c r="T427" s="14"/>
      <c r="U427" s="14" t="s">
        <v>22</v>
      </c>
      <c r="V427" s="14"/>
      <c r="W427" s="14" t="s">
        <v>271</v>
      </c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 t="s">
        <v>722</v>
      </c>
      <c r="BL427" s="14" t="s">
        <v>1749</v>
      </c>
      <c r="BM427" s="14" t="s">
        <v>319</v>
      </c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R427" s="1" t="s">
        <v>227</v>
      </c>
      <c r="CS427" s="1" t="s">
        <v>121</v>
      </c>
      <c r="CT427" s="14" t="s">
        <v>948</v>
      </c>
      <c r="CU427" s="1" t="s">
        <v>192</v>
      </c>
      <c r="CV427" s="1" t="s">
        <v>124</v>
      </c>
      <c r="CW427" s="3"/>
      <c r="DG427" s="4"/>
    </row>
    <row r="428" customFormat="false" ht="11.25" hidden="false" customHeight="true" outlineLevel="0" collapsed="false">
      <c r="A428" s="14" t="n">
        <v>427</v>
      </c>
      <c r="B428" s="15" t="n">
        <v>46080.7761686921</v>
      </c>
      <c r="C428" s="15" t="n">
        <v>46080.7817589699</v>
      </c>
      <c r="D428" s="14" t="s">
        <v>2586</v>
      </c>
      <c r="E428" s="14" t="s">
        <v>2587</v>
      </c>
      <c r="F428" s="14" t="s">
        <v>2588</v>
      </c>
      <c r="G428" s="14" t="s">
        <v>2589</v>
      </c>
      <c r="H428" s="15" t="n">
        <v>46066</v>
      </c>
      <c r="I428" s="15" t="s">
        <v>107</v>
      </c>
      <c r="J428" s="14" t="s">
        <v>108</v>
      </c>
      <c r="K428" s="14" t="s">
        <v>462</v>
      </c>
      <c r="L428" s="14" t="s">
        <v>130</v>
      </c>
      <c r="M428" s="14" t="s">
        <v>211</v>
      </c>
      <c r="N428" s="14" t="s">
        <v>112</v>
      </c>
      <c r="O428" s="14" t="s">
        <v>113</v>
      </c>
      <c r="P428" s="14" t="s">
        <v>185</v>
      </c>
      <c r="Q428" s="14" t="s">
        <v>606</v>
      </c>
      <c r="R428" s="14"/>
      <c r="S428" s="14"/>
      <c r="T428" s="14"/>
      <c r="U428" s="14" t="s">
        <v>22</v>
      </c>
      <c r="V428" s="14"/>
      <c r="W428" s="14" t="s">
        <v>148</v>
      </c>
      <c r="X428" s="14"/>
      <c r="Y428" s="14"/>
      <c r="Z428" s="14"/>
      <c r="AA428" s="14"/>
      <c r="AB428" s="14"/>
      <c r="AC428" s="14"/>
      <c r="AD428" s="14" t="s">
        <v>2590</v>
      </c>
      <c r="AE428" s="14" t="s">
        <v>1186</v>
      </c>
      <c r="AF428" s="14" t="s">
        <v>2591</v>
      </c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R428" s="1" t="s">
        <v>120</v>
      </c>
      <c r="CS428" s="1" t="s">
        <v>121</v>
      </c>
      <c r="CT428" s="14"/>
      <c r="CU428" s="1" t="s">
        <v>167</v>
      </c>
      <c r="CV428" s="1" t="s">
        <v>124</v>
      </c>
      <c r="CW428" s="3"/>
      <c r="DG428" s="4"/>
    </row>
    <row r="429" customFormat="false" ht="11.25" hidden="false" customHeight="true" outlineLevel="0" collapsed="false">
      <c r="A429" s="14" t="n">
        <v>428</v>
      </c>
      <c r="B429" s="15" t="n">
        <v>46059.3541195255</v>
      </c>
      <c r="C429" s="15" t="n">
        <v>46059.3668857292</v>
      </c>
      <c r="D429" s="14" t="s">
        <v>2592</v>
      </c>
      <c r="E429" s="14" t="s">
        <v>2593</v>
      </c>
      <c r="F429" s="14" t="s">
        <v>2593</v>
      </c>
      <c r="G429" s="14" t="s">
        <v>2594</v>
      </c>
      <c r="H429" s="15" t="n">
        <v>46041</v>
      </c>
      <c r="I429" s="15" t="s">
        <v>107</v>
      </c>
      <c r="J429" s="14" t="s">
        <v>108</v>
      </c>
      <c r="K429" s="14" t="s">
        <v>257</v>
      </c>
      <c r="L429" s="14" t="s">
        <v>233</v>
      </c>
      <c r="M429" s="14" t="s">
        <v>111</v>
      </c>
      <c r="N429" s="14" t="s">
        <v>145</v>
      </c>
      <c r="O429" s="14" t="s">
        <v>113</v>
      </c>
      <c r="P429" s="14" t="s">
        <v>905</v>
      </c>
      <c r="Q429" s="14" t="s">
        <v>249</v>
      </c>
      <c r="R429" s="14"/>
      <c r="S429" s="14"/>
      <c r="T429" s="14"/>
      <c r="U429" s="14" t="s">
        <v>22</v>
      </c>
      <c r="V429" s="14"/>
      <c r="W429" s="14" t="s">
        <v>715</v>
      </c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 t="s">
        <v>2595</v>
      </c>
      <c r="BI429" s="14" t="s">
        <v>2596</v>
      </c>
      <c r="BJ429" s="14" t="s">
        <v>2597</v>
      </c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R429" s="1" t="s">
        <v>152</v>
      </c>
      <c r="CS429" s="1" t="s">
        <v>121</v>
      </c>
      <c r="CT429" s="14"/>
      <c r="CU429" s="1" t="s">
        <v>192</v>
      </c>
      <c r="CV429" s="1" t="s">
        <v>124</v>
      </c>
      <c r="CW429" s="3"/>
      <c r="DG429" s="4"/>
    </row>
    <row r="430" customFormat="false" ht="11.25" hidden="false" customHeight="true" outlineLevel="0" collapsed="false">
      <c r="A430" s="14" t="n">
        <v>429</v>
      </c>
      <c r="B430" s="15" t="n">
        <v>46129.439223588</v>
      </c>
      <c r="C430" s="15" t="n">
        <v>46129.4568161806</v>
      </c>
      <c r="D430" s="14" t="s">
        <v>2598</v>
      </c>
      <c r="E430" s="14" t="s">
        <v>2599</v>
      </c>
      <c r="F430" s="14" t="s">
        <v>2600</v>
      </c>
      <c r="G430" s="14" t="s">
        <v>2601</v>
      </c>
      <c r="H430" s="15" t="n">
        <v>46128</v>
      </c>
      <c r="I430" s="15" t="s">
        <v>107</v>
      </c>
      <c r="J430" s="14" t="s">
        <v>108</v>
      </c>
      <c r="K430" s="14" t="s">
        <v>364</v>
      </c>
      <c r="L430" s="14" t="s">
        <v>144</v>
      </c>
      <c r="M430" s="14" t="s">
        <v>111</v>
      </c>
      <c r="N430" s="14" t="s">
        <v>112</v>
      </c>
      <c r="O430" s="14" t="s">
        <v>113</v>
      </c>
      <c r="P430" s="14" t="s">
        <v>477</v>
      </c>
      <c r="Q430" s="14" t="s">
        <v>743</v>
      </c>
      <c r="R430" s="14"/>
      <c r="S430" s="14"/>
      <c r="T430" s="14"/>
      <c r="U430" s="14" t="s">
        <v>22</v>
      </c>
      <c r="V430" s="14"/>
      <c r="W430" s="14" t="s">
        <v>116</v>
      </c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4"/>
      <c r="BT430" s="14" t="s">
        <v>886</v>
      </c>
      <c r="BU430" s="14" t="s">
        <v>745</v>
      </c>
      <c r="BV430" s="14" t="s">
        <v>119</v>
      </c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R430" s="1" t="s">
        <v>152</v>
      </c>
      <c r="CS430" s="1" t="s">
        <v>165</v>
      </c>
      <c r="CT430" s="14" t="s">
        <v>1314</v>
      </c>
      <c r="CU430" s="1" t="s">
        <v>123</v>
      </c>
      <c r="CV430" s="1" t="s">
        <v>124</v>
      </c>
      <c r="CW430" s="3"/>
      <c r="DG430" s="4"/>
    </row>
    <row r="431" customFormat="false" ht="11.25" hidden="false" customHeight="true" outlineLevel="0" collapsed="false">
      <c r="A431" s="14" t="n">
        <v>430</v>
      </c>
      <c r="B431" s="15" t="n">
        <v>46046.2143976042</v>
      </c>
      <c r="C431" s="15" t="n">
        <v>46046.2248258449</v>
      </c>
      <c r="D431" s="14" t="s">
        <v>2602</v>
      </c>
      <c r="E431" s="14" t="s">
        <v>2603</v>
      </c>
      <c r="F431" s="14" t="s">
        <v>2603</v>
      </c>
      <c r="G431" s="14" t="s">
        <v>2604</v>
      </c>
      <c r="H431" s="15" t="n">
        <v>46043</v>
      </c>
      <c r="I431" s="15" t="s">
        <v>713</v>
      </c>
      <c r="J431" s="14" t="s">
        <v>108</v>
      </c>
      <c r="K431" s="14" t="s">
        <v>1610</v>
      </c>
      <c r="L431" s="14" t="s">
        <v>144</v>
      </c>
      <c r="M431" s="14" t="s">
        <v>390</v>
      </c>
      <c r="N431" s="14" t="s">
        <v>198</v>
      </c>
      <c r="O431" s="14" t="s">
        <v>132</v>
      </c>
      <c r="P431" s="14" t="s">
        <v>501</v>
      </c>
      <c r="Q431" s="14" t="s">
        <v>174</v>
      </c>
      <c r="R431" s="14"/>
      <c r="S431" s="14"/>
      <c r="T431" s="14"/>
      <c r="U431" s="14" t="s">
        <v>21</v>
      </c>
      <c r="V431" s="14" t="s">
        <v>348</v>
      </c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 t="s">
        <v>2605</v>
      </c>
      <c r="BC431" s="14" t="s">
        <v>350</v>
      </c>
      <c r="BD431" s="14" t="s">
        <v>351</v>
      </c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R431" s="1" t="s">
        <v>120</v>
      </c>
      <c r="CS431" s="1" t="s">
        <v>121</v>
      </c>
      <c r="CT431" s="14" t="s">
        <v>1032</v>
      </c>
      <c r="CU431" s="1" t="s">
        <v>167</v>
      </c>
      <c r="CV431" s="1" t="s">
        <v>124</v>
      </c>
      <c r="CW431" s="3"/>
      <c r="DG431" s="4"/>
    </row>
    <row r="432" customFormat="false" ht="11.25" hidden="false" customHeight="true" outlineLevel="0" collapsed="false">
      <c r="A432" s="14" t="n">
        <v>431</v>
      </c>
      <c r="B432" s="15" t="n">
        <v>46044.8422445949</v>
      </c>
      <c r="C432" s="15" t="n">
        <v>46044.8496404282</v>
      </c>
      <c r="D432" s="14" t="s">
        <v>2606</v>
      </c>
      <c r="E432" s="14" t="s">
        <v>2607</v>
      </c>
      <c r="F432" s="14" t="s">
        <v>2608</v>
      </c>
      <c r="G432" s="14" t="s">
        <v>2609</v>
      </c>
      <c r="H432" s="15" t="n">
        <v>46032</v>
      </c>
      <c r="I432" s="15" t="s">
        <v>107</v>
      </c>
      <c r="J432" s="14" t="s">
        <v>295</v>
      </c>
      <c r="K432" s="14" t="s">
        <v>2610</v>
      </c>
      <c r="L432" s="14" t="s">
        <v>184</v>
      </c>
      <c r="M432" s="14" t="s">
        <v>111</v>
      </c>
      <c r="N432" s="14" t="s">
        <v>112</v>
      </c>
      <c r="O432" s="14" t="s">
        <v>113</v>
      </c>
      <c r="P432" s="14" t="s">
        <v>447</v>
      </c>
      <c r="Q432" s="14" t="s">
        <v>398</v>
      </c>
      <c r="R432" s="14"/>
      <c r="S432" s="14"/>
      <c r="T432" s="14"/>
      <c r="U432" s="14" t="s">
        <v>21</v>
      </c>
      <c r="V432" s="14" t="s">
        <v>457</v>
      </c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 t="s">
        <v>954</v>
      </c>
      <c r="AN432" s="14" t="s">
        <v>913</v>
      </c>
      <c r="AO432" s="14" t="s">
        <v>435</v>
      </c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R432" s="1" t="s">
        <v>152</v>
      </c>
      <c r="CS432" s="1" t="s">
        <v>121</v>
      </c>
      <c r="CT432" s="14" t="s">
        <v>2611</v>
      </c>
      <c r="CU432" s="1" t="s">
        <v>167</v>
      </c>
      <c r="CV432" s="1" t="s">
        <v>124</v>
      </c>
      <c r="CW432" s="3"/>
      <c r="CY432" s="3" t="s">
        <v>205</v>
      </c>
      <c r="DG432" s="4"/>
    </row>
    <row r="433" customFormat="false" ht="11.25" hidden="false" customHeight="true" outlineLevel="0" collapsed="false">
      <c r="A433" s="14" t="n">
        <v>432</v>
      </c>
      <c r="B433" s="15" t="n">
        <v>46165.6235044445</v>
      </c>
      <c r="C433" s="15" t="n">
        <v>46165.6360044444</v>
      </c>
      <c r="D433" s="14" t="s">
        <v>2612</v>
      </c>
      <c r="E433" s="14" t="s">
        <v>2613</v>
      </c>
      <c r="F433" s="14" t="s">
        <v>2614</v>
      </c>
      <c r="G433" s="14" t="s">
        <v>2615</v>
      </c>
      <c r="H433" s="15" t="n">
        <v>46158</v>
      </c>
      <c r="I433" s="15" t="s">
        <v>107</v>
      </c>
      <c r="J433" s="14" t="s">
        <v>108</v>
      </c>
      <c r="K433" s="14" t="s">
        <v>2616</v>
      </c>
      <c r="L433" s="14" t="s">
        <v>110</v>
      </c>
      <c r="M433" s="14" t="s">
        <v>111</v>
      </c>
      <c r="N433" s="14" t="s">
        <v>112</v>
      </c>
      <c r="O433" s="14" t="s">
        <v>113</v>
      </c>
      <c r="P433" s="14" t="s">
        <v>248</v>
      </c>
      <c r="Q433" s="14" t="s">
        <v>1224</v>
      </c>
      <c r="R433" s="14"/>
      <c r="S433" s="14"/>
      <c r="T433" s="14"/>
      <c r="U433" s="14" t="s">
        <v>22</v>
      </c>
      <c r="V433" s="14"/>
      <c r="W433" s="14" t="s">
        <v>135</v>
      </c>
      <c r="X433" s="14"/>
      <c r="Y433" s="14"/>
      <c r="Z433" s="14"/>
      <c r="AA433" s="14" t="s">
        <v>2617</v>
      </c>
      <c r="AB433" s="14" t="s">
        <v>2618</v>
      </c>
      <c r="AC433" s="14" t="s">
        <v>532</v>
      </c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R433" s="1" t="s">
        <v>152</v>
      </c>
      <c r="CS433" s="1" t="s">
        <v>165</v>
      </c>
      <c r="CT433" s="16" t="s">
        <v>2619</v>
      </c>
      <c r="CU433" s="1" t="s">
        <v>192</v>
      </c>
      <c r="CV433" s="1" t="s">
        <v>168</v>
      </c>
      <c r="CW433" s="3"/>
      <c r="DG433" s="4"/>
    </row>
    <row r="434" customFormat="false" ht="11.25" hidden="false" customHeight="true" outlineLevel="0" collapsed="false">
      <c r="A434" s="14" t="n">
        <v>433</v>
      </c>
      <c r="B434" s="15" t="n">
        <v>46060.9856579861</v>
      </c>
      <c r="C434" s="15" t="n">
        <v>46060.9990260417</v>
      </c>
      <c r="D434" s="14" t="s">
        <v>2620</v>
      </c>
      <c r="E434" s="14" t="s">
        <v>2621</v>
      </c>
      <c r="F434" s="14" t="s">
        <v>2621</v>
      </c>
      <c r="G434" s="14" t="s">
        <v>2622</v>
      </c>
      <c r="H434" s="15" t="n">
        <v>46040</v>
      </c>
      <c r="I434" s="15" t="s">
        <v>107</v>
      </c>
      <c r="J434" s="14" t="s">
        <v>295</v>
      </c>
      <c r="K434" s="14" t="s">
        <v>196</v>
      </c>
      <c r="L434" s="14" t="s">
        <v>110</v>
      </c>
      <c r="M434" s="14" t="s">
        <v>131</v>
      </c>
      <c r="N434" s="14" t="s">
        <v>112</v>
      </c>
      <c r="O434" s="14" t="s">
        <v>113</v>
      </c>
      <c r="P434" s="14" t="s">
        <v>944</v>
      </c>
      <c r="Q434" s="14" t="s">
        <v>337</v>
      </c>
      <c r="R434" s="14"/>
      <c r="S434" s="14"/>
      <c r="T434" s="14"/>
      <c r="U434" s="14" t="s">
        <v>22</v>
      </c>
      <c r="V434" s="14"/>
      <c r="W434" s="14" t="s">
        <v>271</v>
      </c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 t="s">
        <v>1179</v>
      </c>
      <c r="BL434" s="14" t="s">
        <v>2623</v>
      </c>
      <c r="BM434" s="14" t="s">
        <v>252</v>
      </c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R434" s="1" t="s">
        <v>120</v>
      </c>
      <c r="CS434" s="1" t="s">
        <v>352</v>
      </c>
      <c r="CT434" s="14"/>
      <c r="CU434" s="1" t="s">
        <v>167</v>
      </c>
      <c r="CV434" s="1" t="s">
        <v>124</v>
      </c>
      <c r="CW434" s="3"/>
      <c r="DG434" s="4"/>
    </row>
    <row r="435" customFormat="false" ht="11.25" hidden="false" customHeight="true" outlineLevel="0" collapsed="false">
      <c r="A435" s="14" t="n">
        <v>434</v>
      </c>
      <c r="B435" s="15" t="n">
        <v>46082.6009998264</v>
      </c>
      <c r="C435" s="15" t="n">
        <v>46082.611566956</v>
      </c>
      <c r="D435" s="14" t="s">
        <v>2624</v>
      </c>
      <c r="E435" s="14" t="s">
        <v>2625</v>
      </c>
      <c r="F435" s="14" t="s">
        <v>2625</v>
      </c>
      <c r="G435" s="14" t="s">
        <v>2626</v>
      </c>
      <c r="H435" s="15" t="n">
        <v>46075</v>
      </c>
      <c r="I435" s="15" t="s">
        <v>278</v>
      </c>
      <c r="J435" s="14" t="s">
        <v>108</v>
      </c>
      <c r="K435" s="14" t="s">
        <v>173</v>
      </c>
      <c r="L435" s="14" t="s">
        <v>389</v>
      </c>
      <c r="M435" s="14" t="s">
        <v>211</v>
      </c>
      <c r="N435" s="14" t="s">
        <v>112</v>
      </c>
      <c r="O435" s="14" t="s">
        <v>113</v>
      </c>
      <c r="P435" s="14" t="s">
        <v>515</v>
      </c>
      <c r="Q435" s="14" t="s">
        <v>743</v>
      </c>
      <c r="R435" s="14"/>
      <c r="S435" s="14"/>
      <c r="T435" s="14"/>
      <c r="U435" s="14" t="s">
        <v>22</v>
      </c>
      <c r="V435" s="14"/>
      <c r="W435" s="14" t="s">
        <v>176</v>
      </c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 t="s">
        <v>2627</v>
      </c>
      <c r="AZ435" s="14" t="s">
        <v>2628</v>
      </c>
      <c r="BA435" s="14" t="s">
        <v>2369</v>
      </c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R435" s="1" t="s">
        <v>152</v>
      </c>
      <c r="CS435" s="1" t="s">
        <v>121</v>
      </c>
      <c r="CT435" s="14" t="s">
        <v>122</v>
      </c>
      <c r="CU435" s="1" t="s">
        <v>123</v>
      </c>
      <c r="CV435" s="1" t="s">
        <v>139</v>
      </c>
      <c r="CW435" s="3" t="s">
        <v>621</v>
      </c>
      <c r="DG435" s="4"/>
    </row>
    <row r="436" customFormat="false" ht="11.25" hidden="false" customHeight="true" outlineLevel="0" collapsed="false">
      <c r="A436" s="14" t="n">
        <v>435</v>
      </c>
      <c r="B436" s="15" t="n">
        <v>46208.8999222801</v>
      </c>
      <c r="C436" s="15" t="n">
        <v>46208.9203968171</v>
      </c>
      <c r="D436" s="14" t="s">
        <v>2629</v>
      </c>
      <c r="E436" s="14" t="s">
        <v>2630</v>
      </c>
      <c r="F436" s="14" t="s">
        <v>2631</v>
      </c>
      <c r="G436" s="14" t="s">
        <v>2632</v>
      </c>
      <c r="H436" s="15" t="n">
        <v>46194</v>
      </c>
      <c r="I436" s="15" t="s">
        <v>172</v>
      </c>
      <c r="J436" s="14" t="s">
        <v>128</v>
      </c>
      <c r="K436" s="14" t="s">
        <v>245</v>
      </c>
      <c r="L436" s="14" t="s">
        <v>431</v>
      </c>
      <c r="M436" s="14" t="s">
        <v>131</v>
      </c>
      <c r="N436" s="14" t="s">
        <v>112</v>
      </c>
      <c r="O436" s="14" t="s">
        <v>863</v>
      </c>
      <c r="P436" s="14" t="s">
        <v>279</v>
      </c>
      <c r="Q436" s="14" t="s">
        <v>1160</v>
      </c>
      <c r="R436" s="14"/>
      <c r="S436" s="14"/>
      <c r="T436" s="14"/>
      <c r="U436" s="14" t="s">
        <v>22</v>
      </c>
      <c r="V436" s="14"/>
      <c r="W436" s="14" t="s">
        <v>381</v>
      </c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 t="s">
        <v>2633</v>
      </c>
      <c r="BR436" s="14" t="s">
        <v>2101</v>
      </c>
      <c r="BS436" s="14" t="s">
        <v>2634</v>
      </c>
      <c r="BT436" s="14"/>
      <c r="BU436" s="14"/>
      <c r="BV436" s="14"/>
      <c r="BW436" s="14"/>
      <c r="BX436" s="14"/>
      <c r="BY436" s="14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R436" s="1" t="s">
        <v>152</v>
      </c>
      <c r="CS436" s="1" t="s">
        <v>121</v>
      </c>
      <c r="CT436" s="14" t="s">
        <v>956</v>
      </c>
      <c r="CU436" s="1" t="s">
        <v>123</v>
      </c>
      <c r="CV436" s="1" t="s">
        <v>168</v>
      </c>
      <c r="CW436" s="3"/>
      <c r="DG436" s="4"/>
    </row>
    <row r="437" customFormat="false" ht="11.25" hidden="false" customHeight="true" outlineLevel="0" collapsed="false">
      <c r="A437" s="14" t="n">
        <v>436</v>
      </c>
      <c r="B437" s="15" t="n">
        <v>46050.8746011343</v>
      </c>
      <c r="C437" s="15" t="n">
        <v>46050.8889761343</v>
      </c>
      <c r="D437" s="14" t="s">
        <v>2635</v>
      </c>
      <c r="E437" s="14" t="s">
        <v>2636</v>
      </c>
      <c r="F437" s="14" t="s">
        <v>2636</v>
      </c>
      <c r="G437" s="14" t="s">
        <v>2637</v>
      </c>
      <c r="H437" s="15" t="n">
        <v>46039</v>
      </c>
      <c r="I437" s="15" t="s">
        <v>244</v>
      </c>
      <c r="J437" s="14" t="s">
        <v>108</v>
      </c>
      <c r="K437" s="14" t="s">
        <v>2638</v>
      </c>
      <c r="L437" s="14" t="s">
        <v>114</v>
      </c>
      <c r="M437" s="14" t="s">
        <v>111</v>
      </c>
      <c r="N437" s="14" t="s">
        <v>112</v>
      </c>
      <c r="O437" s="14" t="s">
        <v>305</v>
      </c>
      <c r="P437" s="14" t="s">
        <v>326</v>
      </c>
      <c r="Q437" s="14" t="s">
        <v>1100</v>
      </c>
      <c r="R437" s="14"/>
      <c r="S437" s="14"/>
      <c r="T437" s="14"/>
      <c r="U437" s="14" t="s">
        <v>22</v>
      </c>
      <c r="V437" s="14"/>
      <c r="W437" s="14" t="s">
        <v>176</v>
      </c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 t="s">
        <v>2639</v>
      </c>
      <c r="AZ437" s="14" t="s">
        <v>2640</v>
      </c>
      <c r="BA437" s="14" t="s">
        <v>2641</v>
      </c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R437" s="1" t="s">
        <v>152</v>
      </c>
      <c r="CS437" s="1" t="s">
        <v>121</v>
      </c>
      <c r="CT437" s="14"/>
      <c r="CU437" s="1" t="s">
        <v>167</v>
      </c>
      <c r="CV437" s="1" t="s">
        <v>124</v>
      </c>
      <c r="CW437" s="3"/>
      <c r="DG437" s="4"/>
    </row>
    <row r="438" customFormat="false" ht="11.25" hidden="false" customHeight="true" outlineLevel="0" collapsed="false">
      <c r="A438" s="14" t="n">
        <v>437</v>
      </c>
      <c r="B438" s="15" t="n">
        <v>46162.0921856713</v>
      </c>
      <c r="C438" s="15" t="n">
        <v>46162.1125560417</v>
      </c>
      <c r="D438" s="14" t="s">
        <v>2642</v>
      </c>
      <c r="E438" s="14" t="s">
        <v>2643</v>
      </c>
      <c r="F438" s="14" t="s">
        <v>2643</v>
      </c>
      <c r="G438" s="14" t="s">
        <v>2644</v>
      </c>
      <c r="H438" s="15" t="n">
        <v>46152</v>
      </c>
      <c r="I438" s="15" t="s">
        <v>172</v>
      </c>
      <c r="J438" s="14" t="s">
        <v>128</v>
      </c>
      <c r="K438" s="14" t="s">
        <v>2645</v>
      </c>
      <c r="L438" s="14" t="s">
        <v>389</v>
      </c>
      <c r="M438" s="14" t="s">
        <v>111</v>
      </c>
      <c r="N438" s="14" t="s">
        <v>247</v>
      </c>
      <c r="O438" s="14" t="s">
        <v>113</v>
      </c>
      <c r="P438" s="14" t="s">
        <v>357</v>
      </c>
      <c r="Q438" s="14" t="s">
        <v>1622</v>
      </c>
      <c r="R438" s="14"/>
      <c r="S438" s="14"/>
      <c r="T438" s="14"/>
      <c r="U438" s="14" t="s">
        <v>24</v>
      </c>
      <c r="V438" s="14"/>
      <c r="W438" s="14"/>
      <c r="X438" s="14"/>
      <c r="Y438" s="14" t="s">
        <v>260</v>
      </c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  <c r="CB438" s="14"/>
      <c r="CC438" s="14"/>
      <c r="CD438" s="14"/>
      <c r="CE438" s="14"/>
      <c r="CF438" s="14" t="s">
        <v>2646</v>
      </c>
      <c r="CG438" s="14" t="s">
        <v>2005</v>
      </c>
      <c r="CH438" s="14" t="s">
        <v>2647</v>
      </c>
      <c r="CI438" s="14"/>
      <c r="CJ438" s="14"/>
      <c r="CK438" s="14"/>
      <c r="CL438" s="14"/>
      <c r="CR438" s="1" t="s">
        <v>120</v>
      </c>
      <c r="CS438" s="1" t="s">
        <v>121</v>
      </c>
      <c r="CT438" s="14" t="s">
        <v>2611</v>
      </c>
      <c r="CU438" s="1" t="s">
        <v>192</v>
      </c>
      <c r="CV438" s="1" t="s">
        <v>139</v>
      </c>
      <c r="CW438" s="3"/>
      <c r="DG438" s="4"/>
    </row>
    <row r="439" customFormat="false" ht="11.25" hidden="false" customHeight="true" outlineLevel="0" collapsed="false">
      <c r="A439" s="14" t="n">
        <v>438</v>
      </c>
      <c r="B439" s="15" t="n">
        <v>46212.1910187269</v>
      </c>
      <c r="C439" s="15" t="n">
        <v>46212.1998844676</v>
      </c>
      <c r="D439" s="14" t="s">
        <v>2648</v>
      </c>
      <c r="E439" s="14" t="s">
        <v>2649</v>
      </c>
      <c r="F439" s="14" t="s">
        <v>2649</v>
      </c>
      <c r="G439" s="14" t="s">
        <v>2650</v>
      </c>
      <c r="H439" s="15" t="n">
        <v>46198</v>
      </c>
      <c r="I439" s="15" t="s">
        <v>172</v>
      </c>
      <c r="J439" s="14" t="s">
        <v>295</v>
      </c>
      <c r="K439" s="14" t="s">
        <v>2651</v>
      </c>
      <c r="L439" s="14" t="s">
        <v>114</v>
      </c>
      <c r="M439" s="14" t="s">
        <v>131</v>
      </c>
      <c r="N439" s="14" t="s">
        <v>112</v>
      </c>
      <c r="O439" s="14" t="s">
        <v>305</v>
      </c>
      <c r="P439" s="14" t="s">
        <v>944</v>
      </c>
      <c r="Q439" s="14" t="s">
        <v>1160</v>
      </c>
      <c r="R439" s="14"/>
      <c r="S439" s="14"/>
      <c r="T439" s="14"/>
      <c r="U439" s="14" t="s">
        <v>21</v>
      </c>
      <c r="V439" s="14" t="s">
        <v>457</v>
      </c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 t="s">
        <v>2652</v>
      </c>
      <c r="AN439" s="14" t="s">
        <v>2653</v>
      </c>
      <c r="AO439" s="14" t="s">
        <v>901</v>
      </c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R439" s="1" t="s">
        <v>152</v>
      </c>
      <c r="CS439" s="1" t="s">
        <v>121</v>
      </c>
      <c r="CT439" s="14" t="s">
        <v>562</v>
      </c>
      <c r="CU439" s="1" t="s">
        <v>123</v>
      </c>
      <c r="CV439" s="1" t="s">
        <v>124</v>
      </c>
      <c r="CW439" s="3"/>
      <c r="DG439" s="4"/>
    </row>
    <row r="440" customFormat="false" ht="11.25" hidden="false" customHeight="true" outlineLevel="0" collapsed="false">
      <c r="A440" s="14" t="n">
        <v>439</v>
      </c>
      <c r="B440" s="15" t="n">
        <v>46120.5972013889</v>
      </c>
      <c r="C440" s="15" t="n">
        <v>46120.6090416667</v>
      </c>
      <c r="D440" s="14" t="s">
        <v>2654</v>
      </c>
      <c r="E440" s="14" t="s">
        <v>2655</v>
      </c>
      <c r="F440" s="14" t="s">
        <v>2655</v>
      </c>
      <c r="G440" s="14" t="s">
        <v>2656</v>
      </c>
      <c r="H440" s="15" t="n">
        <v>46106</v>
      </c>
      <c r="I440" s="15" t="s">
        <v>157</v>
      </c>
      <c r="J440" s="14" t="s">
        <v>128</v>
      </c>
      <c r="K440" s="14" t="s">
        <v>257</v>
      </c>
      <c r="L440" s="14" t="s">
        <v>144</v>
      </c>
      <c r="M440" s="14" t="s">
        <v>390</v>
      </c>
      <c r="N440" s="14" t="s">
        <v>145</v>
      </c>
      <c r="O440" s="14" t="s">
        <v>113</v>
      </c>
      <c r="P440" s="14" t="s">
        <v>1313</v>
      </c>
      <c r="Q440" s="14" t="s">
        <v>1100</v>
      </c>
      <c r="R440" s="14"/>
      <c r="S440" s="14"/>
      <c r="T440" s="14"/>
      <c r="U440" s="14" t="s">
        <v>22</v>
      </c>
      <c r="V440" s="14"/>
      <c r="W440" s="14" t="s">
        <v>339</v>
      </c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 t="s">
        <v>1172</v>
      </c>
      <c r="BO440" s="14" t="s">
        <v>1585</v>
      </c>
      <c r="BP440" s="14" t="s">
        <v>2657</v>
      </c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R440" s="1" t="s">
        <v>152</v>
      </c>
      <c r="CS440" s="1" t="s">
        <v>1024</v>
      </c>
      <c r="CT440" s="14" t="s">
        <v>122</v>
      </c>
      <c r="CU440" s="1" t="s">
        <v>192</v>
      </c>
      <c r="CV440" s="1" t="s">
        <v>139</v>
      </c>
      <c r="CW440" s="3"/>
      <c r="DG440" s="4"/>
    </row>
    <row r="441" customFormat="false" ht="11.25" hidden="false" customHeight="true" outlineLevel="0" collapsed="false">
      <c r="A441" s="14" t="n">
        <v>440</v>
      </c>
      <c r="B441" s="15" t="n">
        <v>46197.9512514005</v>
      </c>
      <c r="C441" s="15" t="n">
        <v>46197.9649666782</v>
      </c>
      <c r="D441" s="14" t="s">
        <v>2658</v>
      </c>
      <c r="E441" s="14" t="s">
        <v>2659</v>
      </c>
      <c r="F441" s="14" t="s">
        <v>2659</v>
      </c>
      <c r="G441" s="14" t="s">
        <v>2660</v>
      </c>
      <c r="H441" s="15" t="n">
        <v>46192</v>
      </c>
      <c r="I441" s="15" t="s">
        <v>107</v>
      </c>
      <c r="J441" s="14" t="s">
        <v>108</v>
      </c>
      <c r="K441" s="14" t="s">
        <v>196</v>
      </c>
      <c r="L441" s="14" t="s">
        <v>159</v>
      </c>
      <c r="M441" s="14" t="s">
        <v>111</v>
      </c>
      <c r="N441" s="14" t="s">
        <v>112</v>
      </c>
      <c r="O441" s="14" t="s">
        <v>1268</v>
      </c>
      <c r="P441" s="14" t="s">
        <v>234</v>
      </c>
      <c r="Q441" s="14" t="s">
        <v>338</v>
      </c>
      <c r="R441" s="14"/>
      <c r="S441" s="14"/>
      <c r="T441" s="14"/>
      <c r="U441" s="14" t="s">
        <v>22</v>
      </c>
      <c r="V441" s="14"/>
      <c r="W441" s="14" t="s">
        <v>271</v>
      </c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 t="s">
        <v>2661</v>
      </c>
      <c r="BL441" s="14" t="s">
        <v>1749</v>
      </c>
      <c r="BM441" s="14" t="s">
        <v>920</v>
      </c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R441" s="1" t="s">
        <v>152</v>
      </c>
      <c r="CS441" s="1" t="s">
        <v>264</v>
      </c>
      <c r="CT441" s="14"/>
      <c r="CU441" s="1" t="s">
        <v>192</v>
      </c>
      <c r="CV441" s="1" t="s">
        <v>124</v>
      </c>
      <c r="CW441" s="3"/>
      <c r="DG441" s="4"/>
    </row>
    <row r="442" customFormat="false" ht="11.25" hidden="false" customHeight="true" outlineLevel="0" collapsed="false">
      <c r="A442" s="14" t="n">
        <v>441</v>
      </c>
      <c r="B442" s="15" t="n">
        <v>46036.6668044213</v>
      </c>
      <c r="C442" s="15" t="n">
        <v>46036.6867696991</v>
      </c>
      <c r="D442" s="14" t="s">
        <v>2662</v>
      </c>
      <c r="E442" s="14" t="s">
        <v>2663</v>
      </c>
      <c r="F442" s="14" t="s">
        <v>2663</v>
      </c>
      <c r="G442" s="14" t="s">
        <v>2664</v>
      </c>
      <c r="H442" s="15" t="n">
        <v>46026</v>
      </c>
      <c r="I442" s="15" t="s">
        <v>107</v>
      </c>
      <c r="J442" s="14" t="s">
        <v>108</v>
      </c>
      <c r="K442" s="14" t="s">
        <v>2665</v>
      </c>
      <c r="L442" s="14" t="s">
        <v>286</v>
      </c>
      <c r="M442" s="14" t="s">
        <v>111</v>
      </c>
      <c r="N442" s="14" t="s">
        <v>112</v>
      </c>
      <c r="O442" s="14" t="s">
        <v>305</v>
      </c>
      <c r="P442" s="14" t="s">
        <v>234</v>
      </c>
      <c r="Q442" s="14" t="s">
        <v>560</v>
      </c>
      <c r="R442" s="14"/>
      <c r="S442" s="14"/>
      <c r="T442" s="14"/>
      <c r="U442" s="14" t="s">
        <v>24</v>
      </c>
      <c r="V442" s="14"/>
      <c r="W442" s="14"/>
      <c r="X442" s="14"/>
      <c r="Y442" s="14" t="s">
        <v>448</v>
      </c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  <c r="BT442" s="14"/>
      <c r="BU442" s="14"/>
      <c r="BV442" s="14"/>
      <c r="BW442" s="14" t="s">
        <v>2666</v>
      </c>
      <c r="BX442" s="14" t="s">
        <v>517</v>
      </c>
      <c r="BY442" s="14" t="s">
        <v>1096</v>
      </c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R442" s="1" t="s">
        <v>152</v>
      </c>
      <c r="CS442" s="1" t="s">
        <v>121</v>
      </c>
      <c r="CT442" s="14" t="s">
        <v>1821</v>
      </c>
      <c r="CU442" s="1" t="s">
        <v>167</v>
      </c>
      <c r="CV442" s="1" t="s">
        <v>124</v>
      </c>
      <c r="CW442" s="3"/>
      <c r="DG442" s="4"/>
    </row>
    <row r="443" customFormat="false" ht="11.25" hidden="false" customHeight="true" outlineLevel="0" collapsed="false">
      <c r="A443" s="14" t="n">
        <v>442</v>
      </c>
      <c r="B443" s="15" t="n">
        <v>46063.4593086458</v>
      </c>
      <c r="C443" s="15" t="n">
        <v>46063.4753271644</v>
      </c>
      <c r="D443" s="14" t="s">
        <v>2667</v>
      </c>
      <c r="E443" s="14" t="s">
        <v>2668</v>
      </c>
      <c r="F443" s="14" t="s">
        <v>2668</v>
      </c>
      <c r="G443" s="14" t="s">
        <v>2669</v>
      </c>
      <c r="H443" s="15" t="n">
        <v>46043</v>
      </c>
      <c r="I443" s="15" t="s">
        <v>2670</v>
      </c>
      <c r="J443" s="14" t="s">
        <v>128</v>
      </c>
      <c r="K443" s="14" t="s">
        <v>257</v>
      </c>
      <c r="L443" s="14" t="s">
        <v>114</v>
      </c>
      <c r="M443" s="14" t="s">
        <v>111</v>
      </c>
      <c r="N443" s="14" t="s">
        <v>112</v>
      </c>
      <c r="O443" s="14" t="s">
        <v>113</v>
      </c>
      <c r="P443" s="14" t="s">
        <v>357</v>
      </c>
      <c r="Q443" s="14" t="s">
        <v>560</v>
      </c>
      <c r="R443" s="14"/>
      <c r="S443" s="14"/>
      <c r="T443" s="14"/>
      <c r="U443" s="14" t="s">
        <v>22</v>
      </c>
      <c r="V443" s="14"/>
      <c r="W443" s="14" t="s">
        <v>148</v>
      </c>
      <c r="X443" s="14"/>
      <c r="Y443" s="14"/>
      <c r="Z443" s="14"/>
      <c r="AA443" s="14"/>
      <c r="AB443" s="14"/>
      <c r="AC443" s="14"/>
      <c r="AD443" s="14" t="s">
        <v>695</v>
      </c>
      <c r="AE443" s="14" t="s">
        <v>660</v>
      </c>
      <c r="AF443" s="14" t="s">
        <v>2671</v>
      </c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R443" s="1" t="s">
        <v>152</v>
      </c>
      <c r="CS443" s="1" t="s">
        <v>121</v>
      </c>
      <c r="CT443" s="14"/>
      <c r="CU443" s="1" t="s">
        <v>123</v>
      </c>
      <c r="CV443" s="1" t="s">
        <v>139</v>
      </c>
      <c r="CW443" s="3"/>
      <c r="DG443" s="4"/>
    </row>
    <row r="444" customFormat="false" ht="11.25" hidden="false" customHeight="true" outlineLevel="0" collapsed="false">
      <c r="A444" s="14" t="n">
        <v>443</v>
      </c>
      <c r="B444" s="15" t="n">
        <v>46094.356219213</v>
      </c>
      <c r="C444" s="15" t="n">
        <v>46094.3736266204</v>
      </c>
      <c r="D444" s="14" t="s">
        <v>2672</v>
      </c>
      <c r="E444" s="14" t="s">
        <v>2673</v>
      </c>
      <c r="F444" s="14" t="s">
        <v>2673</v>
      </c>
      <c r="G444" s="14" t="s">
        <v>2674</v>
      </c>
      <c r="H444" s="15" t="n">
        <v>46093</v>
      </c>
      <c r="I444" s="15" t="s">
        <v>172</v>
      </c>
      <c r="J444" s="14" t="s">
        <v>108</v>
      </c>
      <c r="K444" s="14" t="s">
        <v>476</v>
      </c>
      <c r="L444" s="14" t="s">
        <v>286</v>
      </c>
      <c r="M444" s="14" t="s">
        <v>111</v>
      </c>
      <c r="N444" s="14" t="s">
        <v>145</v>
      </c>
      <c r="O444" s="14" t="s">
        <v>113</v>
      </c>
      <c r="P444" s="14" t="s">
        <v>797</v>
      </c>
      <c r="Q444" s="14" t="s">
        <v>306</v>
      </c>
      <c r="R444" s="14"/>
      <c r="S444" s="14"/>
      <c r="T444" s="14"/>
      <c r="U444" s="14" t="s">
        <v>21</v>
      </c>
      <c r="V444" s="14" t="s">
        <v>307</v>
      </c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 t="s">
        <v>470</v>
      </c>
      <c r="AT444" s="14" t="s">
        <v>2526</v>
      </c>
      <c r="AU444" s="14" t="s">
        <v>472</v>
      </c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R444" s="1" t="s">
        <v>152</v>
      </c>
      <c r="CS444" s="1" t="s">
        <v>496</v>
      </c>
      <c r="CT444" s="14"/>
      <c r="CU444" s="1" t="s">
        <v>192</v>
      </c>
      <c r="CV444" s="1" t="s">
        <v>124</v>
      </c>
      <c r="CW444" s="3"/>
      <c r="DG444" s="4"/>
    </row>
    <row r="445" customFormat="false" ht="11.25" hidden="false" customHeight="true" outlineLevel="0" collapsed="false">
      <c r="A445" s="14" t="n">
        <v>444</v>
      </c>
      <c r="B445" s="15" t="n">
        <v>46051.6384987963</v>
      </c>
      <c r="C445" s="15" t="n">
        <v>46051.6400497222</v>
      </c>
      <c r="D445" s="14" t="s">
        <v>2675</v>
      </c>
      <c r="E445" s="14" t="s">
        <v>2676</v>
      </c>
      <c r="F445" s="14" t="s">
        <v>2676</v>
      </c>
      <c r="G445" s="14" t="s">
        <v>2677</v>
      </c>
      <c r="H445" s="15" t="n">
        <v>46043</v>
      </c>
      <c r="I445" s="15" t="s">
        <v>107</v>
      </c>
      <c r="J445" s="14" t="s">
        <v>108</v>
      </c>
      <c r="K445" s="14" t="s">
        <v>796</v>
      </c>
      <c r="L445" s="14" t="s">
        <v>389</v>
      </c>
      <c r="M445" s="14" t="s">
        <v>111</v>
      </c>
      <c r="N445" s="14" t="s">
        <v>145</v>
      </c>
      <c r="O445" s="14" t="s">
        <v>113</v>
      </c>
      <c r="P445" s="14" t="s">
        <v>484</v>
      </c>
      <c r="Q445" s="14" t="s">
        <v>270</v>
      </c>
      <c r="R445" s="14"/>
      <c r="S445" s="14"/>
      <c r="T445" s="14"/>
      <c r="U445" s="14" t="s">
        <v>21</v>
      </c>
      <c r="V445" s="14" t="s">
        <v>307</v>
      </c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 t="s">
        <v>1898</v>
      </c>
      <c r="AT445" s="14" t="s">
        <v>2678</v>
      </c>
      <c r="AU445" s="14" t="s">
        <v>2679</v>
      </c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R445" s="1" t="s">
        <v>120</v>
      </c>
      <c r="CS445" s="1" t="s">
        <v>121</v>
      </c>
      <c r="CT445" s="14" t="s">
        <v>122</v>
      </c>
      <c r="CU445" s="1" t="s">
        <v>123</v>
      </c>
      <c r="CV445" s="1" t="s">
        <v>124</v>
      </c>
      <c r="CW445" s="3"/>
      <c r="DG445" s="4"/>
    </row>
    <row r="446" customFormat="false" ht="11.25" hidden="false" customHeight="true" outlineLevel="0" collapsed="false">
      <c r="A446" s="14" t="n">
        <v>445</v>
      </c>
      <c r="B446" s="15" t="n">
        <v>46039.2161641551</v>
      </c>
      <c r="C446" s="15" t="n">
        <v>46039.2229581366</v>
      </c>
      <c r="D446" s="14" t="s">
        <v>2680</v>
      </c>
      <c r="E446" s="14" t="s">
        <v>2681</v>
      </c>
      <c r="F446" s="14" t="s">
        <v>2681</v>
      </c>
      <c r="G446" s="14" t="s">
        <v>2682</v>
      </c>
      <c r="H446" s="15" t="n">
        <v>46028</v>
      </c>
      <c r="I446" s="15" t="s">
        <v>172</v>
      </c>
      <c r="J446" s="14" t="s">
        <v>128</v>
      </c>
      <c r="K446" s="14" t="s">
        <v>245</v>
      </c>
      <c r="L446" s="14" t="s">
        <v>296</v>
      </c>
      <c r="M446" s="14" t="s">
        <v>131</v>
      </c>
      <c r="N446" s="14" t="s">
        <v>112</v>
      </c>
      <c r="O446" s="14" t="s">
        <v>113</v>
      </c>
      <c r="P446" s="14" t="s">
        <v>357</v>
      </c>
      <c r="Q446" s="14" t="s">
        <v>1140</v>
      </c>
      <c r="R446" s="14"/>
      <c r="S446" s="14"/>
      <c r="T446" s="14"/>
      <c r="U446" s="14" t="s">
        <v>22</v>
      </c>
      <c r="V446" s="14"/>
      <c r="W446" s="14" t="s">
        <v>135</v>
      </c>
      <c r="X446" s="14"/>
      <c r="Y446" s="14"/>
      <c r="Z446" s="14"/>
      <c r="AA446" s="14" t="s">
        <v>626</v>
      </c>
      <c r="AB446" s="14" t="s">
        <v>2683</v>
      </c>
      <c r="AC446" s="14" t="s">
        <v>2684</v>
      </c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R446" s="1" t="s">
        <v>120</v>
      </c>
      <c r="CS446" s="1" t="s">
        <v>180</v>
      </c>
      <c r="CT446" s="14" t="s">
        <v>122</v>
      </c>
      <c r="CU446" s="1" t="s">
        <v>123</v>
      </c>
      <c r="CV446" s="1" t="s">
        <v>124</v>
      </c>
      <c r="CW446" s="3"/>
      <c r="DG446" s="4"/>
    </row>
    <row r="447" customFormat="false" ht="11.25" hidden="false" customHeight="true" outlineLevel="0" collapsed="false">
      <c r="A447" s="14" t="n">
        <v>446</v>
      </c>
      <c r="B447" s="15" t="n">
        <v>46075.4487078009</v>
      </c>
      <c r="C447" s="15" t="n">
        <v>46075.4506059491</v>
      </c>
      <c r="D447" s="14" t="s">
        <v>2685</v>
      </c>
      <c r="E447" s="14" t="s">
        <v>2686</v>
      </c>
      <c r="F447" s="14" t="s">
        <v>2686</v>
      </c>
      <c r="G447" s="14" t="s">
        <v>2687</v>
      </c>
      <c r="H447" s="15" t="n">
        <v>46066</v>
      </c>
      <c r="I447" s="15" t="s">
        <v>278</v>
      </c>
      <c r="J447" s="14" t="s">
        <v>295</v>
      </c>
      <c r="K447" s="14" t="s">
        <v>2688</v>
      </c>
      <c r="L447" s="14" t="s">
        <v>286</v>
      </c>
      <c r="M447" s="14" t="s">
        <v>111</v>
      </c>
      <c r="N447" s="14" t="s">
        <v>145</v>
      </c>
      <c r="O447" s="14" t="s">
        <v>113</v>
      </c>
      <c r="P447" s="14" t="s">
        <v>543</v>
      </c>
      <c r="Q447" s="14" t="s">
        <v>259</v>
      </c>
      <c r="R447" s="14"/>
      <c r="S447" s="14"/>
      <c r="T447" s="14"/>
      <c r="U447" s="14" t="s">
        <v>22</v>
      </c>
      <c r="V447" s="14"/>
      <c r="W447" s="14" t="s">
        <v>135</v>
      </c>
      <c r="X447" s="14"/>
      <c r="Y447" s="14"/>
      <c r="Z447" s="14"/>
      <c r="AA447" s="14" t="s">
        <v>2689</v>
      </c>
      <c r="AB447" s="14" t="s">
        <v>2690</v>
      </c>
      <c r="AC447" s="14" t="s">
        <v>2691</v>
      </c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R447" s="1" t="s">
        <v>152</v>
      </c>
      <c r="CS447" s="1" t="s">
        <v>121</v>
      </c>
      <c r="CT447" s="14"/>
      <c r="CU447" s="1" t="s">
        <v>167</v>
      </c>
      <c r="CV447" s="1" t="s">
        <v>124</v>
      </c>
      <c r="CW447" s="3"/>
      <c r="DG447" s="4"/>
    </row>
    <row r="448" customFormat="false" ht="11.25" hidden="false" customHeight="true" outlineLevel="0" collapsed="false">
      <c r="A448" s="14" t="n">
        <v>447</v>
      </c>
      <c r="B448" s="15" t="n">
        <v>46174.7448834954</v>
      </c>
      <c r="C448" s="15" t="n">
        <v>46174.760763125</v>
      </c>
      <c r="D448" s="14" t="s">
        <v>2692</v>
      </c>
      <c r="E448" s="14" t="s">
        <v>2693</v>
      </c>
      <c r="F448" s="14" t="s">
        <v>2693</v>
      </c>
      <c r="G448" s="14" t="s">
        <v>2694</v>
      </c>
      <c r="H448" s="15" t="n">
        <v>46158</v>
      </c>
      <c r="I448" s="15" t="s">
        <v>107</v>
      </c>
      <c r="J448" s="14" t="s">
        <v>295</v>
      </c>
      <c r="K448" s="14" t="s">
        <v>364</v>
      </c>
      <c r="L448" s="14" t="s">
        <v>491</v>
      </c>
      <c r="M448" s="14" t="s">
        <v>111</v>
      </c>
      <c r="N448" s="14" t="s">
        <v>112</v>
      </c>
      <c r="O448" s="14" t="s">
        <v>113</v>
      </c>
      <c r="P448" s="14" t="s">
        <v>501</v>
      </c>
      <c r="Q448" s="14" t="s">
        <v>1160</v>
      </c>
      <c r="R448" s="14"/>
      <c r="S448" s="14"/>
      <c r="T448" s="14"/>
      <c r="U448" s="14" t="s">
        <v>22</v>
      </c>
      <c r="V448" s="14"/>
      <c r="W448" s="14" t="s">
        <v>271</v>
      </c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 t="s">
        <v>2695</v>
      </c>
      <c r="BL448" s="14" t="s">
        <v>2696</v>
      </c>
      <c r="BM448" s="14" t="s">
        <v>1302</v>
      </c>
      <c r="BN448" s="1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R448" s="1" t="s">
        <v>120</v>
      </c>
      <c r="CS448" s="1" t="s">
        <v>1406</v>
      </c>
      <c r="CT448" s="14" t="s">
        <v>1376</v>
      </c>
      <c r="CU448" s="1" t="s">
        <v>167</v>
      </c>
      <c r="CV448" s="1" t="s">
        <v>124</v>
      </c>
      <c r="CW448" s="3"/>
      <c r="DG448" s="4"/>
    </row>
    <row r="449" customFormat="false" ht="11.25" hidden="false" customHeight="true" outlineLevel="0" collapsed="false">
      <c r="A449" s="14" t="n">
        <v>448</v>
      </c>
      <c r="B449" s="15" t="n">
        <v>46048.782466412</v>
      </c>
      <c r="C449" s="15" t="n">
        <v>46048.795429375</v>
      </c>
      <c r="D449" s="14" t="s">
        <v>2697</v>
      </c>
      <c r="E449" s="14" t="s">
        <v>2698</v>
      </c>
      <c r="F449" s="14" t="s">
        <v>2698</v>
      </c>
      <c r="G449" s="14" t="s">
        <v>2699</v>
      </c>
      <c r="H449" s="15" t="n">
        <v>46048</v>
      </c>
      <c r="I449" s="15" t="s">
        <v>172</v>
      </c>
      <c r="J449" s="14" t="s">
        <v>128</v>
      </c>
      <c r="K449" s="14" t="s">
        <v>364</v>
      </c>
      <c r="L449" s="14" t="s">
        <v>144</v>
      </c>
      <c r="M449" s="14" t="s">
        <v>111</v>
      </c>
      <c r="N449" s="14" t="s">
        <v>112</v>
      </c>
      <c r="O449" s="14" t="s">
        <v>113</v>
      </c>
      <c r="P449" s="14" t="s">
        <v>439</v>
      </c>
      <c r="Q449" s="14" t="s">
        <v>200</v>
      </c>
      <c r="R449" s="14"/>
      <c r="S449" s="14"/>
      <c r="T449" s="14"/>
      <c r="U449" s="14" t="s">
        <v>22</v>
      </c>
      <c r="V449" s="14"/>
      <c r="W449" s="14" t="s">
        <v>381</v>
      </c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 t="s">
        <v>2700</v>
      </c>
      <c r="BR449" s="14" t="s">
        <v>1772</v>
      </c>
      <c r="BS449" s="14" t="s">
        <v>1574</v>
      </c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R449" s="1" t="s">
        <v>152</v>
      </c>
      <c r="CS449" s="1" t="s">
        <v>180</v>
      </c>
      <c r="CT449" s="14" t="s">
        <v>122</v>
      </c>
      <c r="CU449" s="1" t="s">
        <v>192</v>
      </c>
      <c r="CV449" s="1" t="s">
        <v>124</v>
      </c>
      <c r="CW449" s="3"/>
      <c r="CY449" s="3" t="s">
        <v>205</v>
      </c>
      <c r="DG449" s="4"/>
    </row>
    <row r="450" customFormat="false" ht="11.25" hidden="false" customHeight="true" outlineLevel="0" collapsed="false">
      <c r="A450" s="14" t="n">
        <v>449</v>
      </c>
      <c r="B450" s="15" t="n">
        <v>46168.8107722338</v>
      </c>
      <c r="C450" s="15" t="n">
        <v>46168.8264898264</v>
      </c>
      <c r="D450" s="14" t="s">
        <v>2701</v>
      </c>
      <c r="E450" s="14" t="s">
        <v>2702</v>
      </c>
      <c r="F450" s="14" t="s">
        <v>2702</v>
      </c>
      <c r="G450" s="14" t="s">
        <v>2703</v>
      </c>
      <c r="H450" s="15" t="n">
        <v>46148</v>
      </c>
      <c r="I450" s="15" t="s">
        <v>107</v>
      </c>
      <c r="J450" s="14" t="s">
        <v>128</v>
      </c>
      <c r="K450" s="14" t="s">
        <v>232</v>
      </c>
      <c r="L450" s="14" t="s">
        <v>197</v>
      </c>
      <c r="M450" s="14" t="s">
        <v>111</v>
      </c>
      <c r="N450" s="14" t="s">
        <v>112</v>
      </c>
      <c r="O450" s="14" t="s">
        <v>325</v>
      </c>
      <c r="P450" s="14" t="s">
        <v>652</v>
      </c>
      <c r="Q450" s="14" t="s">
        <v>758</v>
      </c>
      <c r="R450" s="14"/>
      <c r="S450" s="14"/>
      <c r="T450" s="14"/>
      <c r="U450" s="14" t="s">
        <v>24</v>
      </c>
      <c r="V450" s="14"/>
      <c r="W450" s="14"/>
      <c r="X450" s="14"/>
      <c r="Y450" s="14" t="s">
        <v>214</v>
      </c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 t="s">
        <v>2704</v>
      </c>
      <c r="CD450" s="14" t="s">
        <v>216</v>
      </c>
      <c r="CE450" s="14" t="s">
        <v>746</v>
      </c>
      <c r="CF450" s="14"/>
      <c r="CG450" s="14"/>
      <c r="CH450" s="14"/>
      <c r="CI450" s="14"/>
      <c r="CJ450" s="14"/>
      <c r="CK450" s="14"/>
      <c r="CL450" s="14"/>
      <c r="CR450" s="1" t="s">
        <v>120</v>
      </c>
      <c r="CS450" s="1" t="s">
        <v>352</v>
      </c>
      <c r="CT450" s="14"/>
      <c r="CU450" s="1" t="s">
        <v>167</v>
      </c>
      <c r="CV450" s="1" t="s">
        <v>124</v>
      </c>
      <c r="CW450" s="3"/>
      <c r="DG450" s="4"/>
    </row>
    <row r="451" customFormat="false" ht="11.25" hidden="false" customHeight="true" outlineLevel="0" collapsed="false">
      <c r="A451" s="14" t="n">
        <v>450</v>
      </c>
      <c r="B451" s="15" t="n">
        <v>46050.5131975347</v>
      </c>
      <c r="C451" s="15" t="n">
        <v>46050.5325609607</v>
      </c>
      <c r="D451" s="14" t="s">
        <v>2705</v>
      </c>
      <c r="E451" s="14" t="s">
        <v>2706</v>
      </c>
      <c r="F451" s="14" t="s">
        <v>2707</v>
      </c>
      <c r="G451" s="14" t="s">
        <v>2708</v>
      </c>
      <c r="H451" s="15" t="n">
        <v>46042</v>
      </c>
      <c r="I451" s="15" t="s">
        <v>172</v>
      </c>
      <c r="J451" s="14" t="s">
        <v>108</v>
      </c>
      <c r="K451" s="14" t="s">
        <v>232</v>
      </c>
      <c r="L451" s="14" t="s">
        <v>268</v>
      </c>
      <c r="M451" s="14" t="s">
        <v>111</v>
      </c>
      <c r="N451" s="14" t="s">
        <v>112</v>
      </c>
      <c r="O451" s="14" t="s">
        <v>113</v>
      </c>
      <c r="P451" s="14" t="s">
        <v>686</v>
      </c>
      <c r="Q451" s="14" t="s">
        <v>316</v>
      </c>
      <c r="R451" s="14"/>
      <c r="S451" s="14"/>
      <c r="T451" s="14"/>
      <c r="U451" s="14" t="s">
        <v>22</v>
      </c>
      <c r="V451" s="14"/>
      <c r="W451" s="14" t="s">
        <v>271</v>
      </c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 t="s">
        <v>2281</v>
      </c>
      <c r="BL451" s="14" t="s">
        <v>1244</v>
      </c>
      <c r="BM451" s="14" t="s">
        <v>648</v>
      </c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R451" s="1" t="s">
        <v>152</v>
      </c>
      <c r="CS451" s="1" t="s">
        <v>121</v>
      </c>
      <c r="CT451" s="16" t="s">
        <v>969</v>
      </c>
      <c r="CU451" s="1" t="s">
        <v>192</v>
      </c>
      <c r="CV451" s="1" t="s">
        <v>124</v>
      </c>
      <c r="CW451" s="3"/>
      <c r="DG451" s="4"/>
    </row>
    <row r="452" customFormat="false" ht="11.25" hidden="false" customHeight="true" outlineLevel="0" collapsed="false">
      <c r="A452" s="14" t="n">
        <v>451</v>
      </c>
      <c r="B452" s="15" t="n">
        <v>46049.7423797338</v>
      </c>
      <c r="C452" s="15" t="n">
        <v>46049.7608982523</v>
      </c>
      <c r="D452" s="14" t="s">
        <v>2709</v>
      </c>
      <c r="E452" s="14" t="s">
        <v>2710</v>
      </c>
      <c r="F452" s="14" t="s">
        <v>2710</v>
      </c>
      <c r="G452" s="14" t="s">
        <v>2711</v>
      </c>
      <c r="H452" s="15" t="n">
        <v>46034</v>
      </c>
      <c r="I452" s="15" t="s">
        <v>107</v>
      </c>
      <c r="J452" s="14" t="s">
        <v>108</v>
      </c>
      <c r="K452" s="14" t="s">
        <v>2712</v>
      </c>
      <c r="L452" s="14" t="s">
        <v>233</v>
      </c>
      <c r="M452" s="14" t="s">
        <v>111</v>
      </c>
      <c r="N452" s="14" t="s">
        <v>145</v>
      </c>
      <c r="O452" s="14" t="s">
        <v>113</v>
      </c>
      <c r="P452" s="14" t="s">
        <v>501</v>
      </c>
      <c r="Q452" s="14" t="s">
        <v>998</v>
      </c>
      <c r="R452" s="14"/>
      <c r="S452" s="14"/>
      <c r="T452" s="14"/>
      <c r="U452" s="14" t="s">
        <v>22</v>
      </c>
      <c r="V452" s="14"/>
      <c r="W452" s="14" t="s">
        <v>339</v>
      </c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 t="s">
        <v>776</v>
      </c>
      <c r="BO452" s="14" t="s">
        <v>2713</v>
      </c>
      <c r="BP452" s="14" t="s">
        <v>2714</v>
      </c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R452" s="1" t="s">
        <v>120</v>
      </c>
      <c r="CS452" s="1" t="s">
        <v>121</v>
      </c>
      <c r="CT452" s="14"/>
      <c r="CU452" s="1" t="s">
        <v>123</v>
      </c>
      <c r="CV452" s="1" t="s">
        <v>168</v>
      </c>
      <c r="CW452" s="3"/>
      <c r="DG452" s="4"/>
    </row>
    <row r="453" customFormat="false" ht="11.25" hidden="false" customHeight="true" outlineLevel="0" collapsed="false">
      <c r="A453" s="14" t="n">
        <v>452</v>
      </c>
      <c r="B453" s="15" t="n">
        <v>46038.6022116088</v>
      </c>
      <c r="C453" s="15" t="n">
        <v>46038.6197926273</v>
      </c>
      <c r="D453" s="14" t="s">
        <v>2715</v>
      </c>
      <c r="E453" s="14" t="s">
        <v>2716</v>
      </c>
      <c r="F453" s="14" t="s">
        <v>2717</v>
      </c>
      <c r="G453" s="14" t="s">
        <v>2718</v>
      </c>
      <c r="H453" s="15" t="n">
        <v>46018</v>
      </c>
      <c r="I453" s="15" t="s">
        <v>157</v>
      </c>
      <c r="J453" s="14" t="s">
        <v>108</v>
      </c>
      <c r="K453" s="14" t="s">
        <v>1500</v>
      </c>
      <c r="L453" s="14" t="s">
        <v>184</v>
      </c>
      <c r="M453" s="14" t="s">
        <v>111</v>
      </c>
      <c r="N453" s="14" t="s">
        <v>247</v>
      </c>
      <c r="O453" s="14" t="s">
        <v>336</v>
      </c>
      <c r="P453" s="14" t="s">
        <v>1313</v>
      </c>
      <c r="Q453" s="14" t="s">
        <v>115</v>
      </c>
      <c r="R453" s="14"/>
      <c r="S453" s="14"/>
      <c r="T453" s="14"/>
      <c r="U453" s="14" t="s">
        <v>22</v>
      </c>
      <c r="V453" s="14"/>
      <c r="W453" s="14" t="s">
        <v>339</v>
      </c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 t="s">
        <v>2719</v>
      </c>
      <c r="BO453" s="14" t="s">
        <v>2720</v>
      </c>
      <c r="BP453" s="14" t="s">
        <v>752</v>
      </c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R453" s="1" t="s">
        <v>152</v>
      </c>
      <c r="CS453" s="1" t="s">
        <v>180</v>
      </c>
      <c r="CT453" s="14" t="s">
        <v>122</v>
      </c>
      <c r="CU453" s="1" t="s">
        <v>123</v>
      </c>
      <c r="CV453" s="1" t="s">
        <v>124</v>
      </c>
      <c r="CW453" s="3"/>
      <c r="DG453" s="4"/>
    </row>
    <row r="454" customFormat="false" ht="11.25" hidden="false" customHeight="true" outlineLevel="0" collapsed="false">
      <c r="A454" s="14" t="n">
        <v>453</v>
      </c>
      <c r="B454" s="15" t="n">
        <v>46176.0228340509</v>
      </c>
      <c r="C454" s="15" t="n">
        <v>46176.0281118287</v>
      </c>
      <c r="D454" s="14" t="s">
        <v>2721</v>
      </c>
      <c r="E454" s="14" t="s">
        <v>2722</v>
      </c>
      <c r="F454" s="14" t="s">
        <v>2722</v>
      </c>
      <c r="G454" s="14" t="s">
        <v>2723</v>
      </c>
      <c r="H454" s="15" t="n">
        <v>46159</v>
      </c>
      <c r="I454" s="15" t="s">
        <v>107</v>
      </c>
      <c r="J454" s="14" t="s">
        <v>108</v>
      </c>
      <c r="K454" s="14" t="s">
        <v>232</v>
      </c>
      <c r="L454" s="14" t="s">
        <v>491</v>
      </c>
      <c r="M454" s="14" t="s">
        <v>111</v>
      </c>
      <c r="N454" s="14" t="s">
        <v>112</v>
      </c>
      <c r="O454" s="14" t="s">
        <v>113</v>
      </c>
      <c r="P454" s="14" t="s">
        <v>269</v>
      </c>
      <c r="Q454" s="14" t="s">
        <v>1028</v>
      </c>
      <c r="R454" s="14"/>
      <c r="S454" s="14"/>
      <c r="T454" s="14"/>
      <c r="U454" s="14" t="s">
        <v>22</v>
      </c>
      <c r="V454" s="14"/>
      <c r="W454" s="14" t="s">
        <v>271</v>
      </c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 t="s">
        <v>2724</v>
      </c>
      <c r="BL454" s="14" t="s">
        <v>2725</v>
      </c>
      <c r="BM454" s="14" t="s">
        <v>648</v>
      </c>
      <c r="BN454" s="1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R454" s="1" t="s">
        <v>152</v>
      </c>
      <c r="CS454" s="1" t="s">
        <v>121</v>
      </c>
      <c r="CT454" s="14"/>
      <c r="CU454" s="1" t="s">
        <v>167</v>
      </c>
      <c r="CV454" s="1" t="s">
        <v>124</v>
      </c>
      <c r="CW454" s="3"/>
      <c r="DG454" s="4"/>
    </row>
    <row r="455" customFormat="false" ht="11.25" hidden="false" customHeight="true" outlineLevel="0" collapsed="false">
      <c r="A455" s="14" t="n">
        <v>454</v>
      </c>
      <c r="B455" s="15" t="n">
        <v>46064.7463474306</v>
      </c>
      <c r="C455" s="15" t="n">
        <v>46064.764078912</v>
      </c>
      <c r="D455" s="14" t="s">
        <v>2726</v>
      </c>
      <c r="E455" s="14" t="s">
        <v>2727</v>
      </c>
      <c r="F455" s="14" t="s">
        <v>2727</v>
      </c>
      <c r="G455" s="14" t="s">
        <v>2728</v>
      </c>
      <c r="H455" s="15" t="n">
        <v>46046</v>
      </c>
      <c r="I455" s="15" t="s">
        <v>278</v>
      </c>
      <c r="J455" s="14" t="s">
        <v>108</v>
      </c>
      <c r="K455" s="14" t="s">
        <v>2729</v>
      </c>
      <c r="L455" s="14" t="s">
        <v>184</v>
      </c>
      <c r="M455" s="14" t="s">
        <v>111</v>
      </c>
      <c r="N455" s="14" t="s">
        <v>145</v>
      </c>
      <c r="O455" s="14" t="s">
        <v>113</v>
      </c>
      <c r="P455" s="14" t="s">
        <v>809</v>
      </c>
      <c r="Q455" s="14" t="s">
        <v>2315</v>
      </c>
      <c r="R455" s="14"/>
      <c r="S455" s="14"/>
      <c r="T455" s="14"/>
      <c r="U455" s="14" t="s">
        <v>22</v>
      </c>
      <c r="V455" s="14"/>
      <c r="W455" s="14" t="s">
        <v>176</v>
      </c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 t="s">
        <v>2639</v>
      </c>
      <c r="AZ455" s="14" t="s">
        <v>2730</v>
      </c>
      <c r="BA455" s="14" t="s">
        <v>2731</v>
      </c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R455" s="1" t="s">
        <v>152</v>
      </c>
      <c r="CS455" s="1" t="s">
        <v>121</v>
      </c>
      <c r="CT455" s="14" t="s">
        <v>927</v>
      </c>
      <c r="CU455" s="1" t="s">
        <v>192</v>
      </c>
      <c r="CV455" s="1" t="s">
        <v>124</v>
      </c>
      <c r="CW455" s="3"/>
      <c r="DG455" s="4"/>
    </row>
    <row r="456" customFormat="false" ht="11.25" hidden="false" customHeight="true" outlineLevel="0" collapsed="false">
      <c r="A456" s="14" t="n">
        <v>455</v>
      </c>
      <c r="B456" s="15" t="n">
        <v>46045.3564091551</v>
      </c>
      <c r="C456" s="15" t="n">
        <v>46045.3596383218</v>
      </c>
      <c r="D456" s="14" t="s">
        <v>2732</v>
      </c>
      <c r="E456" s="14" t="s">
        <v>2733</v>
      </c>
      <c r="F456" s="14" t="s">
        <v>2734</v>
      </c>
      <c r="G456" s="14" t="s">
        <v>2735</v>
      </c>
      <c r="H456" s="15" t="n">
        <v>46045</v>
      </c>
      <c r="I456" s="15" t="s">
        <v>157</v>
      </c>
      <c r="J456" s="14" t="s">
        <v>108</v>
      </c>
      <c r="K456" s="14" t="s">
        <v>232</v>
      </c>
      <c r="L456" s="14" t="s">
        <v>246</v>
      </c>
      <c r="M456" s="14" t="s">
        <v>111</v>
      </c>
      <c r="N456" s="14" t="s">
        <v>112</v>
      </c>
      <c r="O456" s="14" t="s">
        <v>113</v>
      </c>
      <c r="P456" s="14" t="s">
        <v>944</v>
      </c>
      <c r="Q456" s="14" t="s">
        <v>849</v>
      </c>
      <c r="R456" s="14"/>
      <c r="S456" s="14"/>
      <c r="T456" s="14"/>
      <c r="U456" s="14" t="s">
        <v>21</v>
      </c>
      <c r="V456" s="14" t="s">
        <v>348</v>
      </c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 t="s">
        <v>2736</v>
      </c>
      <c r="BC456" s="14" t="s">
        <v>350</v>
      </c>
      <c r="BD456" s="14" t="s">
        <v>1044</v>
      </c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R456" s="1" t="s">
        <v>152</v>
      </c>
      <c r="CS456" s="1" t="s">
        <v>121</v>
      </c>
      <c r="CT456" s="14"/>
      <c r="CU456" s="1" t="s">
        <v>192</v>
      </c>
      <c r="CV456" s="1" t="s">
        <v>139</v>
      </c>
      <c r="CW456" s="3" t="s">
        <v>621</v>
      </c>
      <c r="DG456" s="4"/>
    </row>
    <row r="457" customFormat="false" ht="11.25" hidden="false" customHeight="true" outlineLevel="0" collapsed="false">
      <c r="A457" s="14" t="n">
        <v>456</v>
      </c>
      <c r="B457" s="15" t="n">
        <v>46099.721407882</v>
      </c>
      <c r="C457" s="15" t="n">
        <v>46099.7389541782</v>
      </c>
      <c r="D457" s="14" t="s">
        <v>2737</v>
      </c>
      <c r="E457" s="14" t="s">
        <v>2738</v>
      </c>
      <c r="F457" s="14" t="s">
        <v>2739</v>
      </c>
      <c r="G457" s="14" t="s">
        <v>2740</v>
      </c>
      <c r="H457" s="15" t="n">
        <v>46084</v>
      </c>
      <c r="I457" s="15" t="s">
        <v>107</v>
      </c>
      <c r="J457" s="14" t="s">
        <v>108</v>
      </c>
      <c r="K457" s="14" t="s">
        <v>196</v>
      </c>
      <c r="L457" s="14" t="s">
        <v>346</v>
      </c>
      <c r="M457" s="14" t="s">
        <v>111</v>
      </c>
      <c r="N457" s="14" t="s">
        <v>145</v>
      </c>
      <c r="O457" s="14" t="s">
        <v>113</v>
      </c>
      <c r="P457" s="14" t="s">
        <v>885</v>
      </c>
      <c r="Q457" s="14" t="s">
        <v>1036</v>
      </c>
      <c r="R457" s="14"/>
      <c r="S457" s="14"/>
      <c r="T457" s="14"/>
      <c r="U457" s="14" t="s">
        <v>22</v>
      </c>
      <c r="V457" s="14"/>
      <c r="W457" s="14" t="s">
        <v>148</v>
      </c>
      <c r="X457" s="14"/>
      <c r="Y457" s="14"/>
      <c r="Z457" s="14"/>
      <c r="AA457" s="14"/>
      <c r="AB457" s="14"/>
      <c r="AC457" s="14"/>
      <c r="AD457" s="14" t="s">
        <v>2741</v>
      </c>
      <c r="AE457" s="14" t="s">
        <v>1366</v>
      </c>
      <c r="AF457" s="14" t="s">
        <v>2742</v>
      </c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R457" s="1" t="s">
        <v>152</v>
      </c>
      <c r="CS457" s="1" t="s">
        <v>121</v>
      </c>
      <c r="CT457" s="14" t="s">
        <v>994</v>
      </c>
      <c r="CU457" s="1" t="s">
        <v>123</v>
      </c>
      <c r="CV457" s="1" t="s">
        <v>168</v>
      </c>
      <c r="CW457" s="3"/>
      <c r="DG457" s="4"/>
    </row>
    <row r="458" customFormat="false" ht="11.25" hidden="false" customHeight="true" outlineLevel="0" collapsed="false">
      <c r="A458" s="14" t="n">
        <v>457</v>
      </c>
      <c r="B458" s="15" t="n">
        <v>46089.4150662732</v>
      </c>
      <c r="C458" s="15" t="n">
        <v>46089.4354597917</v>
      </c>
      <c r="D458" s="14" t="s">
        <v>2743</v>
      </c>
      <c r="E458" s="14" t="s">
        <v>2744</v>
      </c>
      <c r="F458" s="14" t="s">
        <v>2745</v>
      </c>
      <c r="G458" s="14" t="s">
        <v>2746</v>
      </c>
      <c r="H458" s="15" t="n">
        <v>46081</v>
      </c>
      <c r="I458" s="15" t="s">
        <v>2670</v>
      </c>
      <c r="J458" s="14" t="s">
        <v>108</v>
      </c>
      <c r="K458" s="14" t="s">
        <v>173</v>
      </c>
      <c r="L458" s="14" t="s">
        <v>197</v>
      </c>
      <c r="M458" s="14" t="s">
        <v>131</v>
      </c>
      <c r="N458" s="14" t="s">
        <v>145</v>
      </c>
      <c r="O458" s="14" t="s">
        <v>113</v>
      </c>
      <c r="P458" s="14" t="s">
        <v>397</v>
      </c>
      <c r="Q458" s="14" t="s">
        <v>398</v>
      </c>
      <c r="R458" s="14"/>
      <c r="S458" s="14"/>
      <c r="T458" s="14"/>
      <c r="U458" s="14" t="s">
        <v>24</v>
      </c>
      <c r="V458" s="14"/>
      <c r="W458" s="14"/>
      <c r="X458" s="14"/>
      <c r="Y458" s="14" t="s">
        <v>260</v>
      </c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D458" s="14"/>
      <c r="CE458" s="14"/>
      <c r="CF458" s="14" t="s">
        <v>2747</v>
      </c>
      <c r="CG458" s="14" t="s">
        <v>2748</v>
      </c>
      <c r="CH458" s="14" t="s">
        <v>2749</v>
      </c>
      <c r="CI458" s="14"/>
      <c r="CJ458" s="14"/>
      <c r="CK458" s="14"/>
      <c r="CL458" s="14"/>
      <c r="CR458" s="1" t="s">
        <v>120</v>
      </c>
      <c r="CS458" s="1" t="s">
        <v>121</v>
      </c>
      <c r="CT458" s="14"/>
      <c r="CU458" s="1" t="s">
        <v>192</v>
      </c>
      <c r="CV458" s="1" t="s">
        <v>124</v>
      </c>
      <c r="CW458" s="3"/>
      <c r="DG458" s="4"/>
    </row>
    <row r="459" customFormat="false" ht="11.25" hidden="false" customHeight="true" outlineLevel="0" collapsed="false">
      <c r="A459" s="14" t="n">
        <v>458</v>
      </c>
      <c r="B459" s="15" t="n">
        <v>46112.4049615394</v>
      </c>
      <c r="C459" s="15" t="n">
        <v>46112.4145795949</v>
      </c>
      <c r="D459" s="14" t="s">
        <v>2750</v>
      </c>
      <c r="E459" s="14" t="s">
        <v>2751</v>
      </c>
      <c r="F459" s="14" t="s">
        <v>2751</v>
      </c>
      <c r="G459" s="14" t="s">
        <v>2752</v>
      </c>
      <c r="H459" s="15" t="n">
        <v>46097</v>
      </c>
      <c r="I459" s="15" t="s">
        <v>244</v>
      </c>
      <c r="J459" s="14" t="s">
        <v>108</v>
      </c>
      <c r="K459" s="14" t="s">
        <v>462</v>
      </c>
      <c r="L459" s="14" t="s">
        <v>346</v>
      </c>
      <c r="M459" s="14" t="s">
        <v>131</v>
      </c>
      <c r="N459" s="14" t="s">
        <v>112</v>
      </c>
      <c r="O459" s="14" t="s">
        <v>113</v>
      </c>
      <c r="P459" s="14" t="s">
        <v>160</v>
      </c>
      <c r="Q459" s="14" t="s">
        <v>595</v>
      </c>
      <c r="R459" s="14"/>
      <c r="S459" s="14" t="s">
        <v>441</v>
      </c>
      <c r="T459" s="14"/>
      <c r="U459" s="14" t="s">
        <v>23</v>
      </c>
      <c r="V459" s="14"/>
      <c r="W459" s="14"/>
      <c r="X459" s="14" t="s">
        <v>442</v>
      </c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R459" s="1" t="s">
        <v>152</v>
      </c>
      <c r="CS459" s="1" t="s">
        <v>228</v>
      </c>
      <c r="CT459" s="16" t="s">
        <v>641</v>
      </c>
      <c r="CU459" s="1" t="s">
        <v>192</v>
      </c>
      <c r="CV459" s="1" t="s">
        <v>124</v>
      </c>
      <c r="CW459" s="3"/>
      <c r="DG459" s="4"/>
    </row>
    <row r="460" customFormat="false" ht="11.25" hidden="false" customHeight="true" outlineLevel="0" collapsed="false">
      <c r="A460" s="14" t="n">
        <v>459</v>
      </c>
      <c r="B460" s="15" t="n">
        <v>46143.9070095949</v>
      </c>
      <c r="C460" s="15" t="n">
        <v>46143.9116970949</v>
      </c>
      <c r="D460" s="14" t="s">
        <v>2753</v>
      </c>
      <c r="E460" s="14" t="s">
        <v>2754</v>
      </c>
      <c r="F460" s="14" t="s">
        <v>2754</v>
      </c>
      <c r="G460" s="14" t="s">
        <v>2755</v>
      </c>
      <c r="H460" s="15" t="n">
        <v>46131</v>
      </c>
      <c r="I460" s="15" t="s">
        <v>107</v>
      </c>
      <c r="J460" s="14" t="s">
        <v>108</v>
      </c>
      <c r="K460" s="14" t="s">
        <v>2756</v>
      </c>
      <c r="L460" s="14" t="s">
        <v>233</v>
      </c>
      <c r="M460" s="14" t="s">
        <v>111</v>
      </c>
      <c r="N460" s="14" t="s">
        <v>112</v>
      </c>
      <c r="O460" s="14" t="s">
        <v>113</v>
      </c>
      <c r="P460" s="14" t="s">
        <v>774</v>
      </c>
      <c r="Q460" s="14" t="s">
        <v>297</v>
      </c>
      <c r="R460" s="14"/>
      <c r="S460" s="14"/>
      <c r="T460" s="14"/>
      <c r="U460" s="14" t="s">
        <v>22</v>
      </c>
      <c r="V460" s="14"/>
      <c r="W460" s="14" t="s">
        <v>298</v>
      </c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 t="s">
        <v>2757</v>
      </c>
      <c r="AW460" s="14" t="s">
        <v>791</v>
      </c>
      <c r="AX460" s="14" t="s">
        <v>2758</v>
      </c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R460" s="1" t="s">
        <v>152</v>
      </c>
      <c r="CS460" s="1" t="s">
        <v>496</v>
      </c>
      <c r="CT460" s="14"/>
      <c r="CU460" s="1" t="s">
        <v>123</v>
      </c>
      <c r="CV460" s="1" t="s">
        <v>168</v>
      </c>
      <c r="CW460" s="3"/>
      <c r="DG460" s="4"/>
    </row>
    <row r="461" customFormat="false" ht="11.25" hidden="false" customHeight="true" outlineLevel="0" collapsed="false">
      <c r="A461" s="14" t="n">
        <v>460</v>
      </c>
      <c r="B461" s="15" t="n">
        <v>46210.6206163657</v>
      </c>
      <c r="C461" s="15" t="n">
        <v>46210.6384520139</v>
      </c>
      <c r="D461" s="14" t="s">
        <v>2759</v>
      </c>
      <c r="E461" s="14" t="s">
        <v>2760</v>
      </c>
      <c r="F461" s="14" t="s">
        <v>2760</v>
      </c>
      <c r="G461" s="14" t="s">
        <v>2761</v>
      </c>
      <c r="H461" s="15" t="n">
        <v>46210</v>
      </c>
      <c r="I461" s="15" t="s">
        <v>157</v>
      </c>
      <c r="J461" s="14" t="s">
        <v>128</v>
      </c>
      <c r="K461" s="14" t="s">
        <v>196</v>
      </c>
      <c r="L461" s="14" t="s">
        <v>431</v>
      </c>
      <c r="M461" s="14" t="s">
        <v>211</v>
      </c>
      <c r="N461" s="14" t="s">
        <v>145</v>
      </c>
      <c r="O461" s="14" t="s">
        <v>113</v>
      </c>
      <c r="P461" s="14" t="s">
        <v>905</v>
      </c>
      <c r="Q461" s="14" t="s">
        <v>174</v>
      </c>
      <c r="R461" s="14"/>
      <c r="S461" s="14"/>
      <c r="T461" s="14"/>
      <c r="U461" s="14" t="s">
        <v>22</v>
      </c>
      <c r="V461" s="14"/>
      <c r="W461" s="14" t="s">
        <v>176</v>
      </c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 t="s">
        <v>2762</v>
      </c>
      <c r="AZ461" s="14" t="s">
        <v>2763</v>
      </c>
      <c r="BA461" s="14" t="s">
        <v>2764</v>
      </c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R461" s="1" t="s">
        <v>152</v>
      </c>
      <c r="CS461" s="1" t="s">
        <v>121</v>
      </c>
      <c r="CT461" s="14" t="s">
        <v>204</v>
      </c>
      <c r="CU461" s="1" t="s">
        <v>123</v>
      </c>
      <c r="CV461" s="1" t="s">
        <v>124</v>
      </c>
      <c r="CW461" s="3"/>
      <c r="DG461" s="4"/>
    </row>
    <row r="462" customFormat="false" ht="11.25" hidden="false" customHeight="true" outlineLevel="0" collapsed="false">
      <c r="A462" s="14" t="n">
        <v>461</v>
      </c>
      <c r="B462" s="15" t="n">
        <v>46093.2896449421</v>
      </c>
      <c r="C462" s="15" t="n">
        <v>46093.2912768866</v>
      </c>
      <c r="D462" s="14" t="s">
        <v>2765</v>
      </c>
      <c r="E462" s="14" t="s">
        <v>2766</v>
      </c>
      <c r="F462" s="14" t="s">
        <v>2766</v>
      </c>
      <c r="G462" s="14" t="s">
        <v>2767</v>
      </c>
      <c r="H462" s="15" t="n">
        <v>46083</v>
      </c>
      <c r="I462" s="15" t="s">
        <v>172</v>
      </c>
      <c r="J462" s="14" t="s">
        <v>108</v>
      </c>
      <c r="K462" s="14" t="s">
        <v>196</v>
      </c>
      <c r="L462" s="14" t="s">
        <v>197</v>
      </c>
      <c r="M462" s="14" t="s">
        <v>111</v>
      </c>
      <c r="N462" s="14" t="s">
        <v>198</v>
      </c>
      <c r="O462" s="14" t="s">
        <v>113</v>
      </c>
      <c r="P462" s="14" t="s">
        <v>694</v>
      </c>
      <c r="Q462" s="14" t="s">
        <v>2315</v>
      </c>
      <c r="R462" s="14"/>
      <c r="S462" s="14"/>
      <c r="T462" s="14"/>
      <c r="U462" s="14" t="s">
        <v>22</v>
      </c>
      <c r="V462" s="14"/>
      <c r="W462" s="14" t="s">
        <v>381</v>
      </c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 t="s">
        <v>2768</v>
      </c>
      <c r="BR462" s="14" t="s">
        <v>383</v>
      </c>
      <c r="BS462" s="14" t="s">
        <v>1574</v>
      </c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R462" s="1" t="s">
        <v>152</v>
      </c>
      <c r="CS462" s="1" t="s">
        <v>121</v>
      </c>
      <c r="CT462" s="14" t="s">
        <v>562</v>
      </c>
      <c r="CU462" s="1" t="s">
        <v>123</v>
      </c>
      <c r="CV462" s="1" t="s">
        <v>124</v>
      </c>
      <c r="CW462" s="3"/>
      <c r="DG462" s="4"/>
    </row>
    <row r="463" customFormat="false" ht="11.25" hidden="false" customHeight="true" outlineLevel="0" collapsed="false">
      <c r="A463" s="14" t="n">
        <v>462</v>
      </c>
      <c r="B463" s="15" t="n">
        <v>46054.595694456</v>
      </c>
      <c r="C463" s="15" t="n">
        <v>46054.5993055671</v>
      </c>
      <c r="D463" s="14" t="s">
        <v>2769</v>
      </c>
      <c r="E463" s="14" t="s">
        <v>2770</v>
      </c>
      <c r="F463" s="14" t="s">
        <v>2770</v>
      </c>
      <c r="G463" s="14" t="s">
        <v>2771</v>
      </c>
      <c r="H463" s="15" t="n">
        <v>46044</v>
      </c>
      <c r="I463" s="15" t="s">
        <v>107</v>
      </c>
      <c r="J463" s="14" t="s">
        <v>128</v>
      </c>
      <c r="K463" s="14" t="s">
        <v>2772</v>
      </c>
      <c r="L463" s="14" t="s">
        <v>130</v>
      </c>
      <c r="M463" s="14" t="s">
        <v>111</v>
      </c>
      <c r="N463" s="14" t="s">
        <v>145</v>
      </c>
      <c r="O463" s="14" t="s">
        <v>113</v>
      </c>
      <c r="P463" s="14" t="s">
        <v>515</v>
      </c>
      <c r="Q463" s="14" t="s">
        <v>701</v>
      </c>
      <c r="R463" s="14"/>
      <c r="S463" s="14"/>
      <c r="T463" s="14"/>
      <c r="U463" s="14" t="s">
        <v>21</v>
      </c>
      <c r="V463" s="14" t="s">
        <v>187</v>
      </c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 t="s">
        <v>188</v>
      </c>
      <c r="AQ463" s="14" t="s">
        <v>2773</v>
      </c>
      <c r="AR463" s="14" t="s">
        <v>190</v>
      </c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R463" s="1" t="s">
        <v>120</v>
      </c>
      <c r="CS463" s="1" t="s">
        <v>121</v>
      </c>
      <c r="CT463" s="14" t="s">
        <v>321</v>
      </c>
      <c r="CU463" s="1" t="s">
        <v>192</v>
      </c>
      <c r="CV463" s="1" t="s">
        <v>124</v>
      </c>
      <c r="CW463" s="3"/>
      <c r="DG463" s="4"/>
    </row>
    <row r="464" customFormat="false" ht="11.25" hidden="false" customHeight="true" outlineLevel="0" collapsed="false">
      <c r="A464" s="14" t="n">
        <v>463</v>
      </c>
      <c r="B464" s="15" t="n">
        <v>46113.8356871528</v>
      </c>
      <c r="C464" s="15" t="n">
        <v>46113.8477820602</v>
      </c>
      <c r="D464" s="14" t="s">
        <v>2774</v>
      </c>
      <c r="E464" s="14" t="s">
        <v>2775</v>
      </c>
      <c r="F464" s="14" t="s">
        <v>2775</v>
      </c>
      <c r="G464" s="14" t="s">
        <v>2776</v>
      </c>
      <c r="H464" s="15" t="n">
        <v>46112</v>
      </c>
      <c r="I464" s="15" t="s">
        <v>172</v>
      </c>
      <c r="J464" s="14" t="s">
        <v>108</v>
      </c>
      <c r="K464" s="14" t="s">
        <v>2777</v>
      </c>
      <c r="L464" s="14" t="s">
        <v>431</v>
      </c>
      <c r="M464" s="14" t="s">
        <v>390</v>
      </c>
      <c r="N464" s="14" t="s">
        <v>112</v>
      </c>
      <c r="O464" s="14" t="s">
        <v>113</v>
      </c>
      <c r="P464" s="14" t="s">
        <v>286</v>
      </c>
      <c r="Q464" s="14" t="s">
        <v>1229</v>
      </c>
      <c r="R464" s="14"/>
      <c r="S464" s="14"/>
      <c r="T464" s="14"/>
      <c r="U464" s="14" t="s">
        <v>22</v>
      </c>
      <c r="V464" s="14"/>
      <c r="W464" s="14" t="s">
        <v>298</v>
      </c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 t="s">
        <v>2778</v>
      </c>
      <c r="AW464" s="14" t="s">
        <v>2779</v>
      </c>
      <c r="AX464" s="14" t="s">
        <v>2780</v>
      </c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R464" s="1" t="s">
        <v>120</v>
      </c>
      <c r="CS464" s="1" t="s">
        <v>121</v>
      </c>
      <c r="CT464" s="14" t="s">
        <v>122</v>
      </c>
      <c r="CU464" s="1" t="s">
        <v>167</v>
      </c>
      <c r="CV464" s="1" t="s">
        <v>124</v>
      </c>
      <c r="CW464" s="3"/>
      <c r="DG464" s="4"/>
    </row>
    <row r="465" customFormat="false" ht="11.25" hidden="false" customHeight="true" outlineLevel="0" collapsed="false">
      <c r="A465" s="14" t="n">
        <v>464</v>
      </c>
      <c r="B465" s="15" t="n">
        <v>46149.4053828472</v>
      </c>
      <c r="C465" s="15" t="n">
        <v>46149.4201050695</v>
      </c>
      <c r="D465" s="14" t="s">
        <v>2781</v>
      </c>
      <c r="E465" s="14" t="s">
        <v>2782</v>
      </c>
      <c r="F465" s="14" t="s">
        <v>2782</v>
      </c>
      <c r="G465" s="14" t="s">
        <v>2783</v>
      </c>
      <c r="H465" s="15" t="n">
        <v>46138</v>
      </c>
      <c r="I465" s="15" t="s">
        <v>278</v>
      </c>
      <c r="J465" s="14" t="s">
        <v>108</v>
      </c>
      <c r="K465" s="14" t="s">
        <v>257</v>
      </c>
      <c r="L465" s="14" t="s">
        <v>114</v>
      </c>
      <c r="M465" s="14" t="s">
        <v>111</v>
      </c>
      <c r="N465" s="14" t="s">
        <v>112</v>
      </c>
      <c r="O465" s="14" t="s">
        <v>113</v>
      </c>
      <c r="P465" s="14" t="s">
        <v>397</v>
      </c>
      <c r="Q465" s="14" t="s">
        <v>841</v>
      </c>
      <c r="R465" s="14"/>
      <c r="S465" s="14"/>
      <c r="T465" s="14"/>
      <c r="U465" s="14" t="s">
        <v>21</v>
      </c>
      <c r="V465" s="14" t="s">
        <v>1830</v>
      </c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 t="s">
        <v>2784</v>
      </c>
      <c r="AH465" s="14" t="s">
        <v>2785</v>
      </c>
      <c r="AI465" s="14" t="s">
        <v>2786</v>
      </c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R465" s="1" t="s">
        <v>152</v>
      </c>
      <c r="CS465" s="1" t="s">
        <v>121</v>
      </c>
      <c r="CT465" s="14"/>
      <c r="CU465" s="1" t="s">
        <v>192</v>
      </c>
      <c r="CV465" s="1" t="s">
        <v>124</v>
      </c>
      <c r="CW465" s="3"/>
      <c r="CY465" s="3" t="s">
        <v>205</v>
      </c>
      <c r="DG465" s="4"/>
    </row>
    <row r="466" customFormat="false" ht="11.25" hidden="false" customHeight="true" outlineLevel="0" collapsed="false">
      <c r="A466" s="14" t="n">
        <v>465</v>
      </c>
      <c r="B466" s="15" t="n">
        <v>46164.3538350232</v>
      </c>
      <c r="C466" s="15" t="n">
        <v>46164.3707794676</v>
      </c>
      <c r="D466" s="14" t="s">
        <v>2787</v>
      </c>
      <c r="E466" s="14" t="s">
        <v>2788</v>
      </c>
      <c r="F466" s="14" t="s">
        <v>2788</v>
      </c>
      <c r="G466" s="14" t="s">
        <v>2789</v>
      </c>
      <c r="H466" s="15" t="n">
        <v>46161</v>
      </c>
      <c r="I466" s="15" t="s">
        <v>244</v>
      </c>
      <c r="J466" s="14" t="s">
        <v>108</v>
      </c>
      <c r="K466" s="14" t="s">
        <v>2790</v>
      </c>
      <c r="L466" s="14" t="s">
        <v>431</v>
      </c>
      <c r="M466" s="14" t="s">
        <v>111</v>
      </c>
      <c r="N466" s="14" t="s">
        <v>112</v>
      </c>
      <c r="O466" s="14" t="s">
        <v>113</v>
      </c>
      <c r="P466" s="14" t="s">
        <v>809</v>
      </c>
      <c r="Q466" s="14" t="s">
        <v>544</v>
      </c>
      <c r="R466" s="14"/>
      <c r="S466" s="14"/>
      <c r="T466" s="14"/>
      <c r="U466" s="14" t="s">
        <v>21</v>
      </c>
      <c r="V466" s="14" t="s">
        <v>457</v>
      </c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 t="s">
        <v>2791</v>
      </c>
      <c r="AN466" s="14" t="s">
        <v>602</v>
      </c>
      <c r="AO466" s="14" t="s">
        <v>901</v>
      </c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R466" s="1" t="s">
        <v>120</v>
      </c>
      <c r="CS466" s="1" t="s">
        <v>121</v>
      </c>
      <c r="CT466" s="14"/>
      <c r="CU466" s="1" t="s">
        <v>123</v>
      </c>
      <c r="CV466" s="1" t="s">
        <v>124</v>
      </c>
      <c r="CW466" s="3"/>
      <c r="DG466" s="4"/>
    </row>
    <row r="467" customFormat="false" ht="11.25" hidden="false" customHeight="true" outlineLevel="0" collapsed="false">
      <c r="A467" s="14" t="n">
        <v>466</v>
      </c>
      <c r="B467" s="15" t="n">
        <v>46106.9638352546</v>
      </c>
      <c r="C467" s="15" t="n">
        <v>46106.9686847917</v>
      </c>
      <c r="D467" s="14" t="s">
        <v>2792</v>
      </c>
      <c r="E467" s="14" t="s">
        <v>2793</v>
      </c>
      <c r="F467" s="14" t="s">
        <v>2794</v>
      </c>
      <c r="G467" s="14" t="s">
        <v>2795</v>
      </c>
      <c r="H467" s="15" t="n">
        <v>46090</v>
      </c>
      <c r="I467" s="15" t="s">
        <v>107</v>
      </c>
      <c r="J467" s="14" t="s">
        <v>295</v>
      </c>
      <c r="K467" s="14" t="s">
        <v>462</v>
      </c>
      <c r="L467" s="14" t="s">
        <v>268</v>
      </c>
      <c r="M467" s="14" t="s">
        <v>111</v>
      </c>
      <c r="N467" s="14" t="s">
        <v>145</v>
      </c>
      <c r="O467" s="14" t="s">
        <v>132</v>
      </c>
      <c r="P467" s="14" t="s">
        <v>501</v>
      </c>
      <c r="Q467" s="14" t="s">
        <v>186</v>
      </c>
      <c r="R467" s="14"/>
      <c r="S467" s="14"/>
      <c r="T467" s="14"/>
      <c r="U467" s="14" t="s">
        <v>24</v>
      </c>
      <c r="V467" s="14"/>
      <c r="W467" s="14"/>
      <c r="X467" s="14"/>
      <c r="Y467" s="14" t="s">
        <v>214</v>
      </c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  <c r="CB467" s="14"/>
      <c r="CC467" s="14" t="s">
        <v>886</v>
      </c>
      <c r="CD467" s="14" t="s">
        <v>602</v>
      </c>
      <c r="CE467" s="14" t="s">
        <v>119</v>
      </c>
      <c r="CF467" s="14"/>
      <c r="CG467" s="14"/>
      <c r="CH467" s="14"/>
      <c r="CI467" s="14"/>
      <c r="CJ467" s="14"/>
      <c r="CK467" s="14"/>
      <c r="CL467" s="14"/>
      <c r="CR467" s="1" t="s">
        <v>120</v>
      </c>
      <c r="CS467" s="1" t="s">
        <v>228</v>
      </c>
      <c r="CT467" s="14" t="s">
        <v>122</v>
      </c>
      <c r="CU467" s="1" t="s">
        <v>167</v>
      </c>
      <c r="CV467" s="1" t="s">
        <v>124</v>
      </c>
      <c r="CW467" s="3"/>
      <c r="DG467" s="4"/>
    </row>
    <row r="468" customFormat="false" ht="11.25" hidden="false" customHeight="true" outlineLevel="0" collapsed="false">
      <c r="A468" s="14" t="n">
        <v>467</v>
      </c>
      <c r="B468" s="15" t="n">
        <v>46153.8343410532</v>
      </c>
      <c r="C468" s="15" t="n">
        <v>46153.8453595718</v>
      </c>
      <c r="D468" s="14" t="s">
        <v>2796</v>
      </c>
      <c r="E468" s="14" t="s">
        <v>2797</v>
      </c>
      <c r="F468" s="14" t="s">
        <v>2797</v>
      </c>
      <c r="G468" s="14" t="s">
        <v>2798</v>
      </c>
      <c r="H468" s="15" t="n">
        <v>46133</v>
      </c>
      <c r="I468" s="15" t="s">
        <v>107</v>
      </c>
      <c r="J468" s="14" t="s">
        <v>108</v>
      </c>
      <c r="K468" s="14" t="s">
        <v>446</v>
      </c>
      <c r="L468" s="14" t="s">
        <v>110</v>
      </c>
      <c r="M468" s="14" t="s">
        <v>111</v>
      </c>
      <c r="N468" s="14" t="s">
        <v>112</v>
      </c>
      <c r="O468" s="14" t="s">
        <v>113</v>
      </c>
      <c r="P468" s="14" t="s">
        <v>1120</v>
      </c>
      <c r="Q468" s="14" t="s">
        <v>1553</v>
      </c>
      <c r="R468" s="14"/>
      <c r="S468" s="14"/>
      <c r="T468" s="14"/>
      <c r="U468" s="14" t="s">
        <v>24</v>
      </c>
      <c r="V468" s="14"/>
      <c r="W468" s="14"/>
      <c r="X468" s="14"/>
      <c r="Y468" s="14" t="s">
        <v>223</v>
      </c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4" t="s">
        <v>2799</v>
      </c>
      <c r="CA468" s="14" t="s">
        <v>2800</v>
      </c>
      <c r="CB468" s="14" t="s">
        <v>2801</v>
      </c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R468" s="1" t="s">
        <v>152</v>
      </c>
      <c r="CS468" s="1" t="s">
        <v>228</v>
      </c>
      <c r="CT468" s="14" t="s">
        <v>562</v>
      </c>
      <c r="CU468" s="1" t="s">
        <v>192</v>
      </c>
      <c r="CV468" s="1" t="s">
        <v>124</v>
      </c>
      <c r="CW468" s="3"/>
      <c r="DG468" s="4"/>
    </row>
    <row r="469" customFormat="false" ht="11.25" hidden="false" customHeight="true" outlineLevel="0" collapsed="false">
      <c r="A469" s="14" t="n">
        <v>468</v>
      </c>
      <c r="B469" s="15" t="n">
        <v>46210.071515162</v>
      </c>
      <c r="C469" s="15" t="n">
        <v>46210.0890730324</v>
      </c>
      <c r="D469" s="14" t="s">
        <v>2802</v>
      </c>
      <c r="E469" s="14" t="s">
        <v>2803</v>
      </c>
      <c r="F469" s="14" t="s">
        <v>2803</v>
      </c>
      <c r="G469" s="14" t="s">
        <v>2804</v>
      </c>
      <c r="H469" s="15" t="n">
        <v>46192</v>
      </c>
      <c r="I469" s="15" t="s">
        <v>107</v>
      </c>
      <c r="J469" s="14" t="s">
        <v>108</v>
      </c>
      <c r="K469" s="14" t="s">
        <v>257</v>
      </c>
      <c r="L469" s="14" t="s">
        <v>233</v>
      </c>
      <c r="M469" s="14" t="s">
        <v>111</v>
      </c>
      <c r="N469" s="14" t="s">
        <v>112</v>
      </c>
      <c r="O469" s="14" t="s">
        <v>113</v>
      </c>
      <c r="P469" s="14" t="s">
        <v>258</v>
      </c>
      <c r="Q469" s="14" t="s">
        <v>440</v>
      </c>
      <c r="R469" s="14"/>
      <c r="S469" s="14"/>
      <c r="T469" s="14"/>
      <c r="U469" s="14" t="s">
        <v>22</v>
      </c>
      <c r="V469" s="14"/>
      <c r="W469" s="14" t="s">
        <v>176</v>
      </c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 t="s">
        <v>2805</v>
      </c>
      <c r="AZ469" s="14" t="s">
        <v>1848</v>
      </c>
      <c r="BA469" s="14" t="s">
        <v>1485</v>
      </c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R469" s="1" t="s">
        <v>120</v>
      </c>
      <c r="CS469" s="1" t="s">
        <v>121</v>
      </c>
      <c r="CT469" s="14"/>
      <c r="CU469" s="1" t="s">
        <v>123</v>
      </c>
      <c r="CV469" s="1" t="s">
        <v>124</v>
      </c>
      <c r="CW469" s="3"/>
      <c r="DG469" s="4"/>
    </row>
    <row r="470" customFormat="false" ht="11.25" hidden="false" customHeight="true" outlineLevel="0" collapsed="false">
      <c r="A470" s="14" t="n">
        <v>469</v>
      </c>
      <c r="B470" s="15" t="n">
        <v>46051.806557963</v>
      </c>
      <c r="C470" s="15" t="n">
        <v>46051.8261875926</v>
      </c>
      <c r="D470" s="14" t="s">
        <v>2806</v>
      </c>
      <c r="E470" s="14" t="s">
        <v>2807</v>
      </c>
      <c r="F470" s="14" t="s">
        <v>2807</v>
      </c>
      <c r="G470" s="14" t="s">
        <v>2808</v>
      </c>
      <c r="H470" s="15" t="n">
        <v>46040</v>
      </c>
      <c r="I470" s="15" t="s">
        <v>278</v>
      </c>
      <c r="J470" s="14" t="s">
        <v>108</v>
      </c>
      <c r="K470" s="14" t="s">
        <v>2809</v>
      </c>
      <c r="L470" s="14" t="s">
        <v>296</v>
      </c>
      <c r="M470" s="14" t="s">
        <v>111</v>
      </c>
      <c r="N470" s="14" t="s">
        <v>112</v>
      </c>
      <c r="O470" s="14" t="s">
        <v>325</v>
      </c>
      <c r="P470" s="14" t="s">
        <v>870</v>
      </c>
      <c r="Q470" s="14" t="s">
        <v>1067</v>
      </c>
      <c r="R470" s="14"/>
      <c r="S470" s="14"/>
      <c r="T470" s="14"/>
      <c r="U470" s="14" t="s">
        <v>22</v>
      </c>
      <c r="V470" s="14"/>
      <c r="W470" s="14" t="s">
        <v>176</v>
      </c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 t="s">
        <v>2810</v>
      </c>
      <c r="AZ470" s="14" t="s">
        <v>2811</v>
      </c>
      <c r="BA470" s="14" t="s">
        <v>2812</v>
      </c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R470" s="1" t="s">
        <v>227</v>
      </c>
      <c r="CS470" s="1" t="s">
        <v>121</v>
      </c>
      <c r="CT470" s="14"/>
      <c r="CU470" s="1" t="s">
        <v>123</v>
      </c>
      <c r="CV470" s="1" t="s">
        <v>124</v>
      </c>
      <c r="CW470" s="3"/>
      <c r="DG470" s="4"/>
    </row>
    <row r="471" customFormat="false" ht="11.25" hidden="false" customHeight="true" outlineLevel="0" collapsed="false">
      <c r="A471" s="14" t="n">
        <v>470</v>
      </c>
      <c r="B471" s="15" t="n">
        <v>46102.0931924074</v>
      </c>
      <c r="C471" s="15" t="n">
        <v>46102.0961553704</v>
      </c>
      <c r="D471" s="14" t="s">
        <v>2813</v>
      </c>
      <c r="E471" s="14" t="s">
        <v>2814</v>
      </c>
      <c r="F471" s="14" t="s">
        <v>2814</v>
      </c>
      <c r="G471" s="14" t="s">
        <v>2815</v>
      </c>
      <c r="H471" s="15" t="n">
        <v>46094</v>
      </c>
      <c r="I471" s="15" t="s">
        <v>713</v>
      </c>
      <c r="J471" s="14" t="s">
        <v>108</v>
      </c>
      <c r="K471" s="14" t="s">
        <v>232</v>
      </c>
      <c r="L471" s="14" t="s">
        <v>233</v>
      </c>
      <c r="M471" s="14" t="s">
        <v>111</v>
      </c>
      <c r="N471" s="14" t="s">
        <v>112</v>
      </c>
      <c r="O471" s="14" t="s">
        <v>113</v>
      </c>
      <c r="P471" s="14" t="s">
        <v>1074</v>
      </c>
      <c r="Q471" s="14" t="s">
        <v>1622</v>
      </c>
      <c r="R471" s="14"/>
      <c r="S471" s="14"/>
      <c r="T471" s="14"/>
      <c r="U471" s="14" t="s">
        <v>25</v>
      </c>
      <c r="V471" s="14"/>
      <c r="W471" s="14"/>
      <c r="X471" s="14"/>
      <c r="Y471" s="14"/>
      <c r="Z471" s="14" t="s">
        <v>1712</v>
      </c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O471" s="1" t="s">
        <v>1837</v>
      </c>
      <c r="CP471" s="1" t="s">
        <v>2816</v>
      </c>
      <c r="CQ471" s="1" t="s">
        <v>2817</v>
      </c>
      <c r="CR471" s="1" t="s">
        <v>152</v>
      </c>
      <c r="CS471" s="1" t="s">
        <v>121</v>
      </c>
      <c r="CT471" s="14" t="s">
        <v>2818</v>
      </c>
      <c r="CU471" s="1" t="s">
        <v>123</v>
      </c>
      <c r="CV471" s="1" t="s">
        <v>124</v>
      </c>
      <c r="CW471" s="3"/>
      <c r="DG471" s="4"/>
    </row>
    <row r="472" customFormat="false" ht="11.25" hidden="false" customHeight="true" outlineLevel="0" collapsed="false">
      <c r="A472" s="14" t="n">
        <v>471</v>
      </c>
      <c r="B472" s="15" t="n">
        <v>46096.7723364699</v>
      </c>
      <c r="C472" s="15" t="n">
        <v>46096.7759938773</v>
      </c>
      <c r="D472" s="14" t="s">
        <v>2819</v>
      </c>
      <c r="E472" s="14" t="s">
        <v>2820</v>
      </c>
      <c r="F472" s="14" t="s">
        <v>2820</v>
      </c>
      <c r="G472" s="14" t="s">
        <v>2821</v>
      </c>
      <c r="H472" s="15" t="n">
        <v>46090</v>
      </c>
      <c r="I472" s="15" t="s">
        <v>107</v>
      </c>
      <c r="J472" s="14" t="s">
        <v>295</v>
      </c>
      <c r="K472" s="14" t="s">
        <v>1906</v>
      </c>
      <c r="L472" s="14" t="s">
        <v>114</v>
      </c>
      <c r="M472" s="14" t="s">
        <v>111</v>
      </c>
      <c r="N472" s="14" t="s">
        <v>112</v>
      </c>
      <c r="O472" s="14" t="s">
        <v>113</v>
      </c>
      <c r="P472" s="14" t="s">
        <v>1074</v>
      </c>
      <c r="Q472" s="14" t="s">
        <v>1243</v>
      </c>
      <c r="R472" s="14"/>
      <c r="S472" s="14"/>
      <c r="T472" s="14"/>
      <c r="U472" s="14" t="s">
        <v>22</v>
      </c>
      <c r="V472" s="14"/>
      <c r="W472" s="14" t="s">
        <v>715</v>
      </c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 t="s">
        <v>2822</v>
      </c>
      <c r="BI472" s="14" t="s">
        <v>992</v>
      </c>
      <c r="BJ472" s="14" t="s">
        <v>1669</v>
      </c>
      <c r="BK472" s="14"/>
      <c r="BL472" s="14"/>
      <c r="BM472" s="14"/>
      <c r="BN472" s="14"/>
      <c r="BO472" s="14"/>
      <c r="BP472" s="14"/>
      <c r="BQ472" s="14"/>
      <c r="BR472" s="14"/>
      <c r="BS472" s="14"/>
      <c r="BT472" s="14"/>
      <c r="BU472" s="14"/>
      <c r="BV472" s="14"/>
      <c r="BW472" s="14"/>
      <c r="BX472" s="14"/>
      <c r="BY472" s="14"/>
      <c r="BZ472" s="14"/>
      <c r="CA472" s="14"/>
      <c r="CB472" s="14"/>
      <c r="CC472" s="14"/>
      <c r="CD472" s="14"/>
      <c r="CE472" s="14"/>
      <c r="CF472" s="14"/>
      <c r="CG472" s="14"/>
      <c r="CH472" s="14"/>
      <c r="CI472" s="14"/>
      <c r="CJ472" s="14"/>
      <c r="CK472" s="14"/>
      <c r="CL472" s="14"/>
      <c r="CR472" s="1" t="s">
        <v>120</v>
      </c>
      <c r="CS472" s="1" t="s">
        <v>496</v>
      </c>
      <c r="CT472" s="14" t="s">
        <v>122</v>
      </c>
      <c r="CU472" s="1" t="s">
        <v>167</v>
      </c>
      <c r="CV472" s="1" t="s">
        <v>124</v>
      </c>
      <c r="CW472" s="3"/>
      <c r="CX472" s="3" t="s">
        <v>331</v>
      </c>
      <c r="DG472" s="4"/>
    </row>
    <row r="473" customFormat="false" ht="11.25" hidden="false" customHeight="true" outlineLevel="0" collapsed="false">
      <c r="A473" s="14" t="n">
        <v>472</v>
      </c>
      <c r="B473" s="15" t="n">
        <v>46201.8272267477</v>
      </c>
      <c r="C473" s="15" t="n">
        <v>46201.8401318403</v>
      </c>
      <c r="D473" s="14" t="s">
        <v>2823</v>
      </c>
      <c r="E473" s="14" t="s">
        <v>2824</v>
      </c>
      <c r="F473" s="14" t="s">
        <v>2825</v>
      </c>
      <c r="G473" s="14" t="s">
        <v>2826</v>
      </c>
      <c r="H473" s="15" t="n">
        <v>46188</v>
      </c>
      <c r="I473" s="15" t="s">
        <v>107</v>
      </c>
      <c r="J473" s="14" t="s">
        <v>108</v>
      </c>
      <c r="K473" s="14" t="s">
        <v>2827</v>
      </c>
      <c r="L473" s="14" t="s">
        <v>268</v>
      </c>
      <c r="M473" s="14" t="s">
        <v>211</v>
      </c>
      <c r="N473" s="14" t="s">
        <v>112</v>
      </c>
      <c r="O473" s="14" t="s">
        <v>113</v>
      </c>
      <c r="P473" s="14" t="s">
        <v>234</v>
      </c>
      <c r="Q473" s="14" t="s">
        <v>175</v>
      </c>
      <c r="R473" s="14"/>
      <c r="S473" s="14"/>
      <c r="T473" s="14"/>
      <c r="U473" s="14" t="s">
        <v>22</v>
      </c>
      <c r="V473" s="14"/>
      <c r="W473" s="14" t="s">
        <v>339</v>
      </c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 t="s">
        <v>2828</v>
      </c>
      <c r="BO473" s="14" t="s">
        <v>753</v>
      </c>
      <c r="BP473" s="14" t="s">
        <v>2714</v>
      </c>
      <c r="BQ473" s="14"/>
      <c r="BR473" s="14"/>
      <c r="BS473" s="14"/>
      <c r="BT473" s="14"/>
      <c r="BU473" s="14"/>
      <c r="BV473" s="14"/>
      <c r="BW473" s="14"/>
      <c r="BX473" s="14"/>
      <c r="BY473" s="14"/>
      <c r="BZ473" s="14"/>
      <c r="CA473" s="14"/>
      <c r="CB473" s="14"/>
      <c r="CC473" s="14"/>
      <c r="CD473" s="14"/>
      <c r="CE473" s="14"/>
      <c r="CF473" s="14"/>
      <c r="CG473" s="14"/>
      <c r="CH473" s="14"/>
      <c r="CI473" s="14"/>
      <c r="CJ473" s="14"/>
      <c r="CK473" s="14"/>
      <c r="CL473" s="14"/>
      <c r="CR473" s="1" t="s">
        <v>152</v>
      </c>
      <c r="CS473" s="1" t="s">
        <v>352</v>
      </c>
      <c r="CT473" s="14" t="s">
        <v>122</v>
      </c>
      <c r="CU473" s="1" t="s">
        <v>123</v>
      </c>
      <c r="CV473" s="1" t="s">
        <v>124</v>
      </c>
      <c r="CW473" s="3"/>
      <c r="DG473" s="4"/>
    </row>
    <row r="474" customFormat="false" ht="11.25" hidden="false" customHeight="true" outlineLevel="0" collapsed="false">
      <c r="A474" s="14" t="n">
        <v>473</v>
      </c>
      <c r="B474" s="15" t="n">
        <v>46128.9227676273</v>
      </c>
      <c r="C474" s="15" t="n">
        <v>46128.942871794</v>
      </c>
      <c r="D474" s="14" t="s">
        <v>2829</v>
      </c>
      <c r="E474" s="14" t="s">
        <v>2830</v>
      </c>
      <c r="F474" s="14" t="s">
        <v>2830</v>
      </c>
      <c r="G474" s="14" t="s">
        <v>2831</v>
      </c>
      <c r="H474" s="15" t="n">
        <v>46128</v>
      </c>
      <c r="I474" s="15" t="s">
        <v>172</v>
      </c>
      <c r="J474" s="14" t="s">
        <v>108</v>
      </c>
      <c r="K474" s="14" t="s">
        <v>143</v>
      </c>
      <c r="L474" s="14" t="s">
        <v>491</v>
      </c>
      <c r="M474" s="14" t="s">
        <v>111</v>
      </c>
      <c r="N474" s="14" t="s">
        <v>112</v>
      </c>
      <c r="O474" s="14" t="s">
        <v>132</v>
      </c>
      <c r="P474" s="14" t="s">
        <v>594</v>
      </c>
      <c r="Q474" s="14" t="s">
        <v>1323</v>
      </c>
      <c r="R474" s="14"/>
      <c r="S474" s="14"/>
      <c r="T474" s="14"/>
      <c r="U474" s="14" t="s">
        <v>22</v>
      </c>
      <c r="V474" s="14"/>
      <c r="W474" s="14" t="s">
        <v>339</v>
      </c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 t="s">
        <v>1334</v>
      </c>
      <c r="BO474" s="14" t="s">
        <v>2832</v>
      </c>
      <c r="BP474" s="14" t="s">
        <v>2833</v>
      </c>
      <c r="BQ474" s="14"/>
      <c r="BR474" s="14"/>
      <c r="BS474" s="14"/>
      <c r="BT474" s="14"/>
      <c r="BU474" s="14"/>
      <c r="BV474" s="14"/>
      <c r="BW474" s="14"/>
      <c r="BX474" s="14"/>
      <c r="BY474" s="14"/>
      <c r="BZ474" s="14"/>
      <c r="CA474" s="14"/>
      <c r="CB474" s="14"/>
      <c r="CC474" s="14"/>
      <c r="CD474" s="14"/>
      <c r="CE474" s="14"/>
      <c r="CF474" s="14"/>
      <c r="CG474" s="14"/>
      <c r="CH474" s="14"/>
      <c r="CI474" s="14"/>
      <c r="CJ474" s="14"/>
      <c r="CK474" s="14"/>
      <c r="CL474" s="14"/>
      <c r="CR474" s="1" t="s">
        <v>120</v>
      </c>
      <c r="CS474" s="1" t="s">
        <v>121</v>
      </c>
      <c r="CT474" s="14" t="s">
        <v>1229</v>
      </c>
      <c r="CU474" s="1" t="s">
        <v>192</v>
      </c>
      <c r="CV474" s="1" t="s">
        <v>124</v>
      </c>
      <c r="CW474" s="3"/>
      <c r="DG474" s="4"/>
    </row>
    <row r="475" customFormat="false" ht="11.25" hidden="false" customHeight="true" outlineLevel="0" collapsed="false">
      <c r="A475" s="14" t="n">
        <v>474</v>
      </c>
      <c r="B475" s="15" t="n">
        <v>46113.7829359375</v>
      </c>
      <c r="C475" s="15" t="n">
        <v>46113.7848340857</v>
      </c>
      <c r="D475" s="14" t="s">
        <v>2834</v>
      </c>
      <c r="E475" s="14" t="s">
        <v>2835</v>
      </c>
      <c r="F475" s="14" t="s">
        <v>2835</v>
      </c>
      <c r="G475" s="14" t="s">
        <v>2836</v>
      </c>
      <c r="H475" s="15" t="n">
        <v>46102</v>
      </c>
      <c r="I475" s="15" t="s">
        <v>172</v>
      </c>
      <c r="J475" s="14" t="s">
        <v>108</v>
      </c>
      <c r="K475" s="14" t="s">
        <v>245</v>
      </c>
      <c r="L475" s="14" t="s">
        <v>110</v>
      </c>
      <c r="M475" s="14" t="s">
        <v>111</v>
      </c>
      <c r="N475" s="14" t="s">
        <v>112</v>
      </c>
      <c r="O475" s="14" t="s">
        <v>113</v>
      </c>
      <c r="P475" s="14" t="s">
        <v>774</v>
      </c>
      <c r="Q475" s="14" t="s">
        <v>645</v>
      </c>
      <c r="R475" s="14"/>
      <c r="S475" s="14"/>
      <c r="T475" s="14"/>
      <c r="U475" s="14" t="s">
        <v>22</v>
      </c>
      <c r="V475" s="14"/>
      <c r="W475" s="14" t="s">
        <v>176</v>
      </c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 t="s">
        <v>2837</v>
      </c>
      <c r="AZ475" s="14" t="s">
        <v>2838</v>
      </c>
      <c r="BA475" s="14" t="s">
        <v>2839</v>
      </c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  <c r="BP475" s="14"/>
      <c r="BQ475" s="14"/>
      <c r="BR475" s="14"/>
      <c r="BS475" s="14"/>
      <c r="BT475" s="14"/>
      <c r="BU475" s="14"/>
      <c r="BV475" s="14"/>
      <c r="BW475" s="14"/>
      <c r="BX475" s="14"/>
      <c r="BY475" s="14"/>
      <c r="BZ475" s="14"/>
      <c r="CA475" s="14"/>
      <c r="CB475" s="14"/>
      <c r="CC475" s="14"/>
      <c r="CD475" s="14"/>
      <c r="CE475" s="14"/>
      <c r="CF475" s="14"/>
      <c r="CG475" s="14"/>
      <c r="CH475" s="14"/>
      <c r="CI475" s="14"/>
      <c r="CJ475" s="14"/>
      <c r="CK475" s="14"/>
      <c r="CL475" s="14"/>
      <c r="CR475" s="1" t="s">
        <v>120</v>
      </c>
      <c r="CS475" s="1" t="s">
        <v>121</v>
      </c>
      <c r="CT475" s="14" t="s">
        <v>1902</v>
      </c>
      <c r="CU475" s="1" t="s">
        <v>123</v>
      </c>
      <c r="CV475" s="1" t="s">
        <v>124</v>
      </c>
      <c r="CW475" s="3" t="s">
        <v>573</v>
      </c>
      <c r="DG475" s="4"/>
    </row>
    <row r="476" customFormat="false" ht="11.25" hidden="false" customHeight="true" outlineLevel="0" collapsed="false">
      <c r="A476" s="14" t="n">
        <v>475</v>
      </c>
      <c r="B476" s="15" t="n">
        <v>46088.6130893519</v>
      </c>
      <c r="C476" s="15" t="n">
        <v>46088.6248023148</v>
      </c>
      <c r="D476" s="14" t="s">
        <v>2840</v>
      </c>
      <c r="E476" s="14" t="s">
        <v>2841</v>
      </c>
      <c r="F476" s="14" t="s">
        <v>2841</v>
      </c>
      <c r="G476" s="14" t="s">
        <v>2842</v>
      </c>
      <c r="H476" s="15" t="n">
        <v>46083</v>
      </c>
      <c r="I476" s="15" t="s">
        <v>107</v>
      </c>
      <c r="J476" s="14" t="s">
        <v>108</v>
      </c>
      <c r="K476" s="14" t="s">
        <v>143</v>
      </c>
      <c r="L476" s="14" t="s">
        <v>110</v>
      </c>
      <c r="M476" s="14" t="s">
        <v>111</v>
      </c>
      <c r="N476" s="14" t="s">
        <v>112</v>
      </c>
      <c r="O476" s="14" t="s">
        <v>325</v>
      </c>
      <c r="P476" s="14" t="s">
        <v>406</v>
      </c>
      <c r="Q476" s="14" t="s">
        <v>893</v>
      </c>
      <c r="R476" s="14"/>
      <c r="S476" s="14"/>
      <c r="T476" s="14"/>
      <c r="U476" s="14" t="s">
        <v>22</v>
      </c>
      <c r="V476" s="14"/>
      <c r="W476" s="14" t="s">
        <v>116</v>
      </c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  <c r="BP476" s="14"/>
      <c r="BQ476" s="14"/>
      <c r="BR476" s="14"/>
      <c r="BS476" s="14"/>
      <c r="BT476" s="14" t="s">
        <v>744</v>
      </c>
      <c r="BU476" s="14" t="s">
        <v>252</v>
      </c>
      <c r="BV476" s="14" t="s">
        <v>330</v>
      </c>
      <c r="BW476" s="14"/>
      <c r="BX476" s="14"/>
      <c r="BY476" s="14"/>
      <c r="BZ476" s="14"/>
      <c r="CA476" s="14"/>
      <c r="CB476" s="14"/>
      <c r="CC476" s="14"/>
      <c r="CD476" s="14"/>
      <c r="CE476" s="14"/>
      <c r="CF476" s="14"/>
      <c r="CG476" s="14"/>
      <c r="CH476" s="14"/>
      <c r="CI476" s="14"/>
      <c r="CJ476" s="14"/>
      <c r="CK476" s="14"/>
      <c r="CL476" s="14"/>
      <c r="CR476" s="1" t="s">
        <v>120</v>
      </c>
      <c r="CS476" s="1" t="s">
        <v>121</v>
      </c>
      <c r="CT476" s="14" t="s">
        <v>122</v>
      </c>
      <c r="CU476" s="1" t="s">
        <v>123</v>
      </c>
      <c r="CV476" s="1" t="s">
        <v>124</v>
      </c>
      <c r="CW476" s="3"/>
      <c r="DG476" s="4"/>
    </row>
    <row r="477" customFormat="false" ht="11.25" hidden="false" customHeight="true" outlineLevel="0" collapsed="false">
      <c r="A477" s="14" t="n">
        <v>476</v>
      </c>
      <c r="B477" s="15" t="n">
        <v>46152.0763581944</v>
      </c>
      <c r="C477" s="15" t="n">
        <v>46152.0813581945</v>
      </c>
      <c r="D477" s="14" t="s">
        <v>2843</v>
      </c>
      <c r="E477" s="14" t="s">
        <v>2844</v>
      </c>
      <c r="F477" s="14" t="s">
        <v>2844</v>
      </c>
      <c r="G477" s="14" t="s">
        <v>2845</v>
      </c>
      <c r="H477" s="15" t="n">
        <v>46145</v>
      </c>
      <c r="I477" s="15" t="s">
        <v>278</v>
      </c>
      <c r="J477" s="14" t="s">
        <v>108</v>
      </c>
      <c r="K477" s="14" t="s">
        <v>1288</v>
      </c>
      <c r="L477" s="14" t="s">
        <v>346</v>
      </c>
      <c r="M477" s="14" t="s">
        <v>111</v>
      </c>
      <c r="N477" s="14" t="s">
        <v>112</v>
      </c>
      <c r="O477" s="14" t="s">
        <v>113</v>
      </c>
      <c r="P477" s="14" t="s">
        <v>686</v>
      </c>
      <c r="Q477" s="14" t="s">
        <v>1441</v>
      </c>
      <c r="R477" s="14"/>
      <c r="S477" s="14"/>
      <c r="T477" s="14"/>
      <c r="U477" s="14" t="s">
        <v>22</v>
      </c>
      <c r="V477" s="14"/>
      <c r="W477" s="14" t="s">
        <v>135</v>
      </c>
      <c r="X477" s="14"/>
      <c r="Y477" s="14"/>
      <c r="Z477" s="14"/>
      <c r="AA477" s="14" t="s">
        <v>835</v>
      </c>
      <c r="AB477" s="14" t="s">
        <v>1968</v>
      </c>
      <c r="AC477" s="14" t="s">
        <v>2846</v>
      </c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  <c r="BP477" s="14"/>
      <c r="BQ477" s="14"/>
      <c r="BR477" s="14"/>
      <c r="BS477" s="14"/>
      <c r="BT477" s="14"/>
      <c r="BU477" s="14"/>
      <c r="BV477" s="14"/>
      <c r="BW477" s="14"/>
      <c r="BX477" s="14"/>
      <c r="BY477" s="14"/>
      <c r="BZ477" s="14"/>
      <c r="CA477" s="14"/>
      <c r="CB477" s="14"/>
      <c r="CC477" s="14"/>
      <c r="CD477" s="14"/>
      <c r="CE477" s="14"/>
      <c r="CF477" s="14"/>
      <c r="CG477" s="14"/>
      <c r="CH477" s="14"/>
      <c r="CI477" s="14"/>
      <c r="CJ477" s="14"/>
      <c r="CK477" s="14"/>
      <c r="CL477" s="14"/>
      <c r="CR477" s="1" t="s">
        <v>152</v>
      </c>
      <c r="CS477" s="1" t="s">
        <v>352</v>
      </c>
      <c r="CT477" s="14" t="s">
        <v>2256</v>
      </c>
      <c r="CU477" s="1" t="s">
        <v>192</v>
      </c>
      <c r="CV477" s="1" t="s">
        <v>168</v>
      </c>
      <c r="CW477" s="3"/>
      <c r="DG477" s="4"/>
    </row>
    <row r="478" customFormat="false" ht="11.25" hidden="false" customHeight="true" outlineLevel="0" collapsed="false">
      <c r="A478" s="14" t="n">
        <v>477</v>
      </c>
      <c r="B478" s="15" t="n">
        <v>46063.0368589005</v>
      </c>
      <c r="C478" s="15" t="n">
        <v>46063.0491621412</v>
      </c>
      <c r="D478" s="14" t="s">
        <v>2847</v>
      </c>
      <c r="E478" s="14" t="s">
        <v>2848</v>
      </c>
      <c r="F478" s="14" t="s">
        <v>2848</v>
      </c>
      <c r="G478" s="14" t="s">
        <v>2849</v>
      </c>
      <c r="H478" s="15" t="n">
        <v>46051</v>
      </c>
      <c r="I478" s="15" t="s">
        <v>244</v>
      </c>
      <c r="J478" s="14" t="s">
        <v>295</v>
      </c>
      <c r="K478" s="14" t="s">
        <v>196</v>
      </c>
      <c r="L478" s="14" t="s">
        <v>233</v>
      </c>
      <c r="M478" s="14" t="s">
        <v>111</v>
      </c>
      <c r="N478" s="14" t="s">
        <v>112</v>
      </c>
      <c r="O478" s="14" t="s">
        <v>325</v>
      </c>
      <c r="P478" s="14" t="s">
        <v>357</v>
      </c>
      <c r="Q478" s="14" t="s">
        <v>174</v>
      </c>
      <c r="R478" s="14"/>
      <c r="S478" s="14"/>
      <c r="T478" s="14"/>
      <c r="U478" s="14" t="s">
        <v>23</v>
      </c>
      <c r="V478" s="14"/>
      <c r="W478" s="14"/>
      <c r="X478" s="14" t="s">
        <v>1645</v>
      </c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  <c r="BP478" s="14"/>
      <c r="BQ478" s="14"/>
      <c r="BR478" s="14"/>
      <c r="BS478" s="14"/>
      <c r="BT478" s="14"/>
      <c r="BU478" s="14"/>
      <c r="BV478" s="14"/>
      <c r="BW478" s="14"/>
      <c r="BX478" s="14"/>
      <c r="BY478" s="14"/>
      <c r="BZ478" s="14"/>
      <c r="CA478" s="14"/>
      <c r="CB478" s="14"/>
      <c r="CC478" s="14"/>
      <c r="CD478" s="14"/>
      <c r="CE478" s="14"/>
      <c r="CF478" s="14"/>
      <c r="CG478" s="14"/>
      <c r="CH478" s="14"/>
      <c r="CI478" s="14"/>
      <c r="CJ478" s="14"/>
      <c r="CK478" s="14"/>
      <c r="CL478" s="14"/>
      <c r="CR478" s="1" t="s">
        <v>152</v>
      </c>
      <c r="CS478" s="1" t="s">
        <v>496</v>
      </c>
      <c r="CT478" s="14"/>
      <c r="CU478" s="1" t="s">
        <v>123</v>
      </c>
      <c r="CV478" s="1" t="s">
        <v>139</v>
      </c>
      <c r="CW478" s="3"/>
      <c r="DG478" s="4"/>
    </row>
    <row r="479" customFormat="false" ht="11.25" hidden="false" customHeight="true" outlineLevel="0" collapsed="false">
      <c r="A479" s="14" t="n">
        <v>478</v>
      </c>
      <c r="B479" s="15" t="n">
        <v>46179.4152753704</v>
      </c>
      <c r="C479" s="15" t="n">
        <v>46179.4257267593</v>
      </c>
      <c r="D479" s="14" t="s">
        <v>2850</v>
      </c>
      <c r="E479" s="14" t="s">
        <v>2851</v>
      </c>
      <c r="F479" s="14" t="s">
        <v>2851</v>
      </c>
      <c r="G479" s="14" t="s">
        <v>2852</v>
      </c>
      <c r="H479" s="15" t="n">
        <v>46179</v>
      </c>
      <c r="I479" s="15" t="s">
        <v>172</v>
      </c>
      <c r="J479" s="14" t="s">
        <v>108</v>
      </c>
      <c r="K479" s="14" t="s">
        <v>2119</v>
      </c>
      <c r="L479" s="14" t="s">
        <v>159</v>
      </c>
      <c r="M479" s="14" t="s">
        <v>111</v>
      </c>
      <c r="N479" s="14" t="s">
        <v>145</v>
      </c>
      <c r="O479" s="14" t="s">
        <v>113</v>
      </c>
      <c r="P479" s="14" t="s">
        <v>185</v>
      </c>
      <c r="Q479" s="14" t="s">
        <v>414</v>
      </c>
      <c r="R479" s="14"/>
      <c r="S479" s="14" t="s">
        <v>441</v>
      </c>
      <c r="T479" s="14"/>
      <c r="U479" s="14" t="s">
        <v>23</v>
      </c>
      <c r="V479" s="14"/>
      <c r="W479" s="14"/>
      <c r="X479" s="14" t="s">
        <v>442</v>
      </c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14"/>
      <c r="BS479" s="14"/>
      <c r="BT479" s="14"/>
      <c r="BU479" s="14"/>
      <c r="BV479" s="14"/>
      <c r="BW479" s="14"/>
      <c r="BX479" s="14"/>
      <c r="BY479" s="14"/>
      <c r="BZ479" s="14"/>
      <c r="CA479" s="14"/>
      <c r="CB479" s="14"/>
      <c r="CC479" s="14"/>
      <c r="CD479" s="14"/>
      <c r="CE479" s="14"/>
      <c r="CF479" s="14"/>
      <c r="CG479" s="14"/>
      <c r="CH479" s="14"/>
      <c r="CI479" s="14"/>
      <c r="CJ479" s="14"/>
      <c r="CK479" s="14"/>
      <c r="CL479" s="14"/>
      <c r="CR479" s="1" t="s">
        <v>152</v>
      </c>
      <c r="CS479" s="1" t="s">
        <v>121</v>
      </c>
      <c r="CT479" s="14" t="s">
        <v>2853</v>
      </c>
      <c r="CU479" s="1" t="s">
        <v>123</v>
      </c>
      <c r="CV479" s="1" t="s">
        <v>124</v>
      </c>
      <c r="CW479" s="3"/>
      <c r="DG479" s="4"/>
    </row>
    <row r="480" customFormat="false" ht="11.25" hidden="false" customHeight="true" outlineLevel="0" collapsed="false">
      <c r="A480" s="14" t="n">
        <v>479</v>
      </c>
      <c r="B480" s="15" t="n">
        <v>46168.3970140972</v>
      </c>
      <c r="C480" s="15" t="n">
        <v>46168.4014932639</v>
      </c>
      <c r="D480" s="14" t="s">
        <v>2854</v>
      </c>
      <c r="E480" s="14" t="s">
        <v>2855</v>
      </c>
      <c r="F480" s="14" t="s">
        <v>2855</v>
      </c>
      <c r="G480" s="14" t="s">
        <v>2856</v>
      </c>
      <c r="H480" s="15" t="n">
        <v>46161</v>
      </c>
      <c r="I480" s="15" t="s">
        <v>750</v>
      </c>
      <c r="J480" s="14" t="s">
        <v>128</v>
      </c>
      <c r="K480" s="14" t="s">
        <v>232</v>
      </c>
      <c r="L480" s="14" t="s">
        <v>491</v>
      </c>
      <c r="M480" s="14" t="s">
        <v>111</v>
      </c>
      <c r="N480" s="14" t="s">
        <v>112</v>
      </c>
      <c r="O480" s="14" t="s">
        <v>113</v>
      </c>
      <c r="P480" s="14" t="s">
        <v>789</v>
      </c>
      <c r="Q480" s="14" t="s">
        <v>270</v>
      </c>
      <c r="R480" s="14"/>
      <c r="S480" s="14"/>
      <c r="T480" s="14"/>
      <c r="U480" s="14" t="s">
        <v>21</v>
      </c>
      <c r="V480" s="14" t="s">
        <v>250</v>
      </c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 t="s">
        <v>524</v>
      </c>
      <c r="BF480" s="14" t="s">
        <v>434</v>
      </c>
      <c r="BG480" s="14" t="s">
        <v>620</v>
      </c>
      <c r="BH480" s="14"/>
      <c r="BI480" s="14"/>
      <c r="BJ480" s="14"/>
      <c r="BK480" s="14"/>
      <c r="BL480" s="14"/>
      <c r="BM480" s="14"/>
      <c r="BN480" s="14"/>
      <c r="BO480" s="14"/>
      <c r="BP480" s="14"/>
      <c r="BQ480" s="14"/>
      <c r="BR480" s="14"/>
      <c r="BS480" s="14"/>
      <c r="BT480" s="14"/>
      <c r="BU480" s="14"/>
      <c r="BV480" s="14"/>
      <c r="BW480" s="14"/>
      <c r="BX480" s="14"/>
      <c r="BY480" s="14"/>
      <c r="BZ480" s="14"/>
      <c r="CA480" s="14"/>
      <c r="CB480" s="14"/>
      <c r="CC480" s="14"/>
      <c r="CD480" s="14"/>
      <c r="CE480" s="14"/>
      <c r="CF480" s="14"/>
      <c r="CG480" s="14"/>
      <c r="CH480" s="14"/>
      <c r="CI480" s="14"/>
      <c r="CJ480" s="14"/>
      <c r="CK480" s="14"/>
      <c r="CL480" s="14"/>
      <c r="CR480" s="1" t="s">
        <v>152</v>
      </c>
      <c r="CS480" s="1" t="s">
        <v>121</v>
      </c>
      <c r="CT480" s="14"/>
      <c r="CU480" s="1" t="s">
        <v>123</v>
      </c>
      <c r="CV480" s="1" t="s">
        <v>124</v>
      </c>
      <c r="CW480" s="3"/>
      <c r="DG480" s="4"/>
    </row>
    <row r="481" customFormat="false" ht="11.25" hidden="false" customHeight="true" outlineLevel="0" collapsed="false">
      <c r="A481" s="14" t="n">
        <v>480</v>
      </c>
      <c r="B481" s="15" t="n">
        <v>46104.7791955208</v>
      </c>
      <c r="C481" s="15" t="n">
        <v>46104.7955265394</v>
      </c>
      <c r="D481" s="14" t="s">
        <v>2857</v>
      </c>
      <c r="E481" s="14" t="s">
        <v>2858</v>
      </c>
      <c r="F481" s="14" t="s">
        <v>2858</v>
      </c>
      <c r="G481" s="14" t="s">
        <v>2859</v>
      </c>
      <c r="H481" s="15" t="n">
        <v>46090</v>
      </c>
      <c r="I481" s="15" t="s">
        <v>172</v>
      </c>
      <c r="J481" s="14" t="s">
        <v>295</v>
      </c>
      <c r="K481" s="14" t="s">
        <v>257</v>
      </c>
      <c r="L481" s="14" t="s">
        <v>130</v>
      </c>
      <c r="M481" s="14" t="s">
        <v>111</v>
      </c>
      <c r="N481" s="14" t="s">
        <v>145</v>
      </c>
      <c r="O481" s="14" t="s">
        <v>113</v>
      </c>
      <c r="P481" s="14" t="s">
        <v>870</v>
      </c>
      <c r="Q481" s="14" t="s">
        <v>1224</v>
      </c>
      <c r="R481" s="14"/>
      <c r="S481" s="14"/>
      <c r="T481" s="14"/>
      <c r="U481" s="14" t="s">
        <v>23</v>
      </c>
      <c r="V481" s="14"/>
      <c r="W481" s="14"/>
      <c r="X481" s="14" t="s">
        <v>1645</v>
      </c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14"/>
      <c r="BS481" s="14"/>
      <c r="BT481" s="14"/>
      <c r="BU481" s="14"/>
      <c r="BV481" s="14"/>
      <c r="BW481" s="14"/>
      <c r="BX481" s="14"/>
      <c r="BY481" s="14"/>
      <c r="BZ481" s="14"/>
      <c r="CA481" s="14"/>
      <c r="CB481" s="14"/>
      <c r="CC481" s="14"/>
      <c r="CD481" s="14"/>
      <c r="CE481" s="14"/>
      <c r="CF481" s="14"/>
      <c r="CG481" s="14"/>
      <c r="CH481" s="14"/>
      <c r="CI481" s="14"/>
      <c r="CJ481" s="14"/>
      <c r="CK481" s="14"/>
      <c r="CL481" s="14"/>
      <c r="CR481" s="1" t="s">
        <v>120</v>
      </c>
      <c r="CS481" s="1" t="s">
        <v>121</v>
      </c>
      <c r="CT481" s="14" t="s">
        <v>956</v>
      </c>
      <c r="CU481" s="1" t="s">
        <v>192</v>
      </c>
      <c r="CV481" s="1" t="s">
        <v>139</v>
      </c>
      <c r="CW481" s="3"/>
      <c r="DG481" s="4"/>
    </row>
    <row r="482" customFormat="false" ht="11.25" hidden="false" customHeight="true" outlineLevel="0" collapsed="false">
      <c r="A482" s="14" t="n">
        <v>481</v>
      </c>
      <c r="B482" s="15" t="n">
        <v>46171.1233382986</v>
      </c>
      <c r="C482" s="15" t="n">
        <v>46171.1416484838</v>
      </c>
      <c r="D482" s="14" t="s">
        <v>2860</v>
      </c>
      <c r="E482" s="14" t="s">
        <v>2861</v>
      </c>
      <c r="F482" s="14" t="s">
        <v>2861</v>
      </c>
      <c r="G482" s="14" t="s">
        <v>2862</v>
      </c>
      <c r="H482" s="15" t="n">
        <v>46151</v>
      </c>
      <c r="I482" s="15" t="s">
        <v>107</v>
      </c>
      <c r="J482" s="14" t="s">
        <v>108</v>
      </c>
      <c r="K482" s="14" t="s">
        <v>462</v>
      </c>
      <c r="L482" s="14" t="s">
        <v>210</v>
      </c>
      <c r="M482" s="14" t="s">
        <v>111</v>
      </c>
      <c r="N482" s="14" t="s">
        <v>112</v>
      </c>
      <c r="O482" s="14" t="s">
        <v>113</v>
      </c>
      <c r="P482" s="14" t="s">
        <v>736</v>
      </c>
      <c r="Q482" s="14" t="s">
        <v>766</v>
      </c>
      <c r="R482" s="14"/>
      <c r="S482" s="14"/>
      <c r="T482" s="14"/>
      <c r="U482" s="14" t="s">
        <v>22</v>
      </c>
      <c r="V482" s="14"/>
      <c r="W482" s="14" t="s">
        <v>176</v>
      </c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 t="s">
        <v>2863</v>
      </c>
      <c r="AZ482" s="14" t="s">
        <v>2864</v>
      </c>
      <c r="BA482" s="14" t="s">
        <v>2865</v>
      </c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  <c r="BP482" s="14"/>
      <c r="BQ482" s="14"/>
      <c r="BR482" s="14"/>
      <c r="BS482" s="14"/>
      <c r="BT482" s="14"/>
      <c r="BU482" s="14"/>
      <c r="BV482" s="14"/>
      <c r="BW482" s="14"/>
      <c r="BX482" s="14"/>
      <c r="BY482" s="14"/>
      <c r="BZ482" s="14"/>
      <c r="CA482" s="14"/>
      <c r="CB482" s="14"/>
      <c r="CC482" s="14"/>
      <c r="CD482" s="14"/>
      <c r="CE482" s="14"/>
      <c r="CF482" s="14"/>
      <c r="CG482" s="14"/>
      <c r="CH482" s="14"/>
      <c r="CI482" s="14"/>
      <c r="CJ482" s="14"/>
      <c r="CK482" s="14"/>
      <c r="CL482" s="14"/>
      <c r="CR482" s="1" t="s">
        <v>120</v>
      </c>
      <c r="CS482" s="1" t="s">
        <v>121</v>
      </c>
      <c r="CT482" s="14"/>
      <c r="CU482" s="1" t="s">
        <v>192</v>
      </c>
      <c r="CV482" s="1" t="s">
        <v>139</v>
      </c>
      <c r="CW482" s="3" t="s">
        <v>573</v>
      </c>
      <c r="DG482" s="4"/>
    </row>
    <row r="483" customFormat="false" ht="11.25" hidden="false" customHeight="true" outlineLevel="0" collapsed="false">
      <c r="A483" s="14" t="n">
        <v>482</v>
      </c>
      <c r="B483" s="15" t="n">
        <v>46067.9327980903</v>
      </c>
      <c r="C483" s="15" t="n">
        <v>46067.9534230903</v>
      </c>
      <c r="D483" s="14" t="s">
        <v>2866</v>
      </c>
      <c r="E483" s="14" t="s">
        <v>2867</v>
      </c>
      <c r="F483" s="14" t="s">
        <v>2867</v>
      </c>
      <c r="G483" s="14" t="s">
        <v>2868</v>
      </c>
      <c r="H483" s="15" t="n">
        <v>46056</v>
      </c>
      <c r="I483" s="15" t="s">
        <v>157</v>
      </c>
      <c r="J483" s="14" t="s">
        <v>128</v>
      </c>
      <c r="K483" s="14" t="s">
        <v>356</v>
      </c>
      <c r="L483" s="14" t="s">
        <v>144</v>
      </c>
      <c r="M483" s="14" t="s">
        <v>111</v>
      </c>
      <c r="N483" s="14" t="s">
        <v>112</v>
      </c>
      <c r="O483" s="14" t="s">
        <v>113</v>
      </c>
      <c r="P483" s="14" t="s">
        <v>594</v>
      </c>
      <c r="Q483" s="14" t="s">
        <v>653</v>
      </c>
      <c r="R483" s="14"/>
      <c r="S483" s="14"/>
      <c r="T483" s="14"/>
      <c r="U483" s="14" t="s">
        <v>22</v>
      </c>
      <c r="V483" s="14"/>
      <c r="W483" s="14" t="s">
        <v>715</v>
      </c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 t="s">
        <v>2869</v>
      </c>
      <c r="BI483" s="14" t="s">
        <v>2870</v>
      </c>
      <c r="BJ483" s="14" t="s">
        <v>1375</v>
      </c>
      <c r="BK483" s="14"/>
      <c r="BL483" s="14"/>
      <c r="BM483" s="14"/>
      <c r="BN483" s="14"/>
      <c r="BO483" s="14"/>
      <c r="BP483" s="14"/>
      <c r="BQ483" s="14"/>
      <c r="BR483" s="14"/>
      <c r="BS483" s="14"/>
      <c r="BT483" s="14"/>
      <c r="BU483" s="14"/>
      <c r="BV483" s="14"/>
      <c r="BW483" s="14"/>
      <c r="BX483" s="14"/>
      <c r="BY483" s="14"/>
      <c r="BZ483" s="14"/>
      <c r="CA483" s="14"/>
      <c r="CB483" s="14"/>
      <c r="CC483" s="14"/>
      <c r="CD483" s="14"/>
      <c r="CE483" s="14"/>
      <c r="CF483" s="14"/>
      <c r="CG483" s="14"/>
      <c r="CH483" s="14"/>
      <c r="CI483" s="14"/>
      <c r="CJ483" s="14"/>
      <c r="CK483" s="14"/>
      <c r="CL483" s="14"/>
      <c r="CR483" s="1" t="s">
        <v>152</v>
      </c>
      <c r="CS483" s="1" t="s">
        <v>352</v>
      </c>
      <c r="CT483" s="14" t="s">
        <v>122</v>
      </c>
      <c r="CU483" s="1" t="s">
        <v>123</v>
      </c>
      <c r="CV483" s="1" t="s">
        <v>168</v>
      </c>
      <c r="CW483" s="3"/>
      <c r="DG483" s="4"/>
    </row>
    <row r="484" customFormat="false" ht="11.25" hidden="false" customHeight="true" outlineLevel="0" collapsed="false">
      <c r="A484" s="14" t="n">
        <v>483</v>
      </c>
      <c r="B484" s="15" t="n">
        <v>46156.2253135648</v>
      </c>
      <c r="C484" s="15" t="n">
        <v>46156.2452672685</v>
      </c>
      <c r="D484" s="14" t="s">
        <v>2871</v>
      </c>
      <c r="E484" s="14" t="s">
        <v>2872</v>
      </c>
      <c r="F484" s="14" t="s">
        <v>2872</v>
      </c>
      <c r="G484" s="14" t="s">
        <v>2873</v>
      </c>
      <c r="H484" s="15" t="n">
        <v>46149</v>
      </c>
      <c r="I484" s="15" t="s">
        <v>172</v>
      </c>
      <c r="J484" s="14" t="s">
        <v>108</v>
      </c>
      <c r="K484" s="14" t="s">
        <v>2874</v>
      </c>
      <c r="L484" s="14" t="s">
        <v>233</v>
      </c>
      <c r="M484" s="14" t="s">
        <v>111</v>
      </c>
      <c r="N484" s="14" t="s">
        <v>145</v>
      </c>
      <c r="O484" s="14" t="s">
        <v>113</v>
      </c>
      <c r="P484" s="14" t="s">
        <v>612</v>
      </c>
      <c r="Q484" s="14" t="s">
        <v>508</v>
      </c>
      <c r="R484" s="14"/>
      <c r="S484" s="14"/>
      <c r="T484" s="14"/>
      <c r="U484" s="14" t="s">
        <v>21</v>
      </c>
      <c r="V484" s="14" t="s">
        <v>348</v>
      </c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 t="s">
        <v>2875</v>
      </c>
      <c r="BC484" s="14" t="s">
        <v>350</v>
      </c>
      <c r="BD484" s="14" t="s">
        <v>2876</v>
      </c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  <c r="BP484" s="14"/>
      <c r="BQ484" s="14"/>
      <c r="BR484" s="14"/>
      <c r="BS484" s="14"/>
      <c r="BT484" s="14"/>
      <c r="BU484" s="14"/>
      <c r="BV484" s="14"/>
      <c r="BW484" s="14"/>
      <c r="BX484" s="14"/>
      <c r="BY484" s="14"/>
      <c r="BZ484" s="14"/>
      <c r="CA484" s="14"/>
      <c r="CB484" s="14"/>
      <c r="CC484" s="14"/>
      <c r="CD484" s="14"/>
      <c r="CE484" s="14"/>
      <c r="CF484" s="14"/>
      <c r="CG484" s="14"/>
      <c r="CH484" s="14"/>
      <c r="CI484" s="14"/>
      <c r="CJ484" s="14"/>
      <c r="CK484" s="14"/>
      <c r="CL484" s="14"/>
      <c r="CR484" s="1" t="s">
        <v>152</v>
      </c>
      <c r="CS484" s="1" t="s">
        <v>590</v>
      </c>
      <c r="CT484" s="14"/>
      <c r="CU484" s="1" t="s">
        <v>123</v>
      </c>
      <c r="CV484" s="1" t="s">
        <v>124</v>
      </c>
      <c r="CW484" s="3" t="s">
        <v>573</v>
      </c>
      <c r="DG484" s="4"/>
    </row>
    <row r="485" customFormat="false" ht="11.25" hidden="false" customHeight="true" outlineLevel="0" collapsed="false">
      <c r="A485" s="14" t="n">
        <v>484</v>
      </c>
      <c r="B485" s="15" t="n">
        <v>46054.6585269097</v>
      </c>
      <c r="C485" s="15" t="n">
        <v>46054.6654829282</v>
      </c>
      <c r="D485" s="14" t="s">
        <v>2877</v>
      </c>
      <c r="E485" s="14" t="s">
        <v>2878</v>
      </c>
      <c r="F485" s="14" t="s">
        <v>2878</v>
      </c>
      <c r="G485" s="14" t="s">
        <v>2879</v>
      </c>
      <c r="H485" s="15" t="n">
        <v>46049</v>
      </c>
      <c r="I485" s="15" t="s">
        <v>172</v>
      </c>
      <c r="J485" s="14" t="s">
        <v>108</v>
      </c>
      <c r="K485" s="14" t="s">
        <v>462</v>
      </c>
      <c r="L485" s="14" t="s">
        <v>114</v>
      </c>
      <c r="M485" s="14" t="s">
        <v>111</v>
      </c>
      <c r="N485" s="14" t="s">
        <v>145</v>
      </c>
      <c r="O485" s="14" t="s">
        <v>113</v>
      </c>
      <c r="P485" s="14" t="s">
        <v>578</v>
      </c>
      <c r="Q485" s="14" t="s">
        <v>841</v>
      </c>
      <c r="R485" s="14"/>
      <c r="S485" s="14"/>
      <c r="T485" s="14"/>
      <c r="U485" s="14" t="s">
        <v>22</v>
      </c>
      <c r="V485" s="14"/>
      <c r="W485" s="14" t="s">
        <v>148</v>
      </c>
      <c r="X485" s="14"/>
      <c r="Y485" s="14"/>
      <c r="Z485" s="14"/>
      <c r="AA485" s="14"/>
      <c r="AB485" s="14"/>
      <c r="AC485" s="14"/>
      <c r="AD485" s="14" t="s">
        <v>2880</v>
      </c>
      <c r="AE485" s="14" t="s">
        <v>1654</v>
      </c>
      <c r="AF485" s="14" t="s">
        <v>252</v>
      </c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  <c r="BP485" s="14"/>
      <c r="BQ485" s="14"/>
      <c r="BR485" s="14"/>
      <c r="BS485" s="14"/>
      <c r="BT485" s="14"/>
      <c r="BU485" s="14"/>
      <c r="BV485" s="14"/>
      <c r="BW485" s="14"/>
      <c r="BX485" s="14"/>
      <c r="BY485" s="14"/>
      <c r="BZ485" s="14"/>
      <c r="CA485" s="14"/>
      <c r="CB485" s="14"/>
      <c r="CC485" s="14"/>
      <c r="CD485" s="14"/>
      <c r="CE485" s="14"/>
      <c r="CF485" s="14"/>
      <c r="CG485" s="14"/>
      <c r="CH485" s="14"/>
      <c r="CI485" s="14"/>
      <c r="CJ485" s="14"/>
      <c r="CK485" s="14"/>
      <c r="CL485" s="14"/>
      <c r="CR485" s="1" t="s">
        <v>227</v>
      </c>
      <c r="CS485" s="1" t="s">
        <v>121</v>
      </c>
      <c r="CT485" s="14" t="s">
        <v>1940</v>
      </c>
      <c r="CU485" s="1" t="s">
        <v>192</v>
      </c>
      <c r="CV485" s="1" t="s">
        <v>124</v>
      </c>
      <c r="CW485" s="3"/>
      <c r="DG485" s="4"/>
    </row>
    <row r="486" customFormat="false" ht="11.25" hidden="false" customHeight="true" outlineLevel="0" collapsed="false">
      <c r="A486" s="14" t="n">
        <v>485</v>
      </c>
      <c r="B486" s="15" t="n">
        <v>46182.3323950579</v>
      </c>
      <c r="C486" s="15" t="n">
        <v>46182.3475918171</v>
      </c>
      <c r="D486" s="14" t="s">
        <v>2881</v>
      </c>
      <c r="E486" s="14" t="s">
        <v>2882</v>
      </c>
      <c r="F486" s="14" t="s">
        <v>2882</v>
      </c>
      <c r="G486" s="14" t="s">
        <v>2883</v>
      </c>
      <c r="H486" s="15" t="n">
        <v>46163</v>
      </c>
      <c r="I486" s="15" t="s">
        <v>107</v>
      </c>
      <c r="J486" s="14" t="s">
        <v>128</v>
      </c>
      <c r="K486" s="14" t="s">
        <v>245</v>
      </c>
      <c r="L486" s="14" t="s">
        <v>389</v>
      </c>
      <c r="M486" s="14" t="s">
        <v>111</v>
      </c>
      <c r="N486" s="14" t="s">
        <v>112</v>
      </c>
      <c r="O486" s="14" t="s">
        <v>113</v>
      </c>
      <c r="P486" s="14" t="s">
        <v>144</v>
      </c>
      <c r="Q486" s="14" t="s">
        <v>1006</v>
      </c>
      <c r="R486" s="14"/>
      <c r="S486" s="14"/>
      <c r="T486" s="14"/>
      <c r="U486" s="14" t="s">
        <v>24</v>
      </c>
      <c r="V486" s="14"/>
      <c r="W486" s="14"/>
      <c r="X486" s="14"/>
      <c r="Y486" s="14" t="s">
        <v>448</v>
      </c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  <c r="BP486" s="14"/>
      <c r="BQ486" s="14"/>
      <c r="BR486" s="14"/>
      <c r="BS486" s="14"/>
      <c r="BT486" s="14"/>
      <c r="BU486" s="14"/>
      <c r="BV486" s="14"/>
      <c r="BW486" s="14" t="s">
        <v>1037</v>
      </c>
      <c r="BX486" s="14" t="s">
        <v>2884</v>
      </c>
      <c r="BY486" s="14" t="s">
        <v>1115</v>
      </c>
      <c r="BZ486" s="14"/>
      <c r="CA486" s="14"/>
      <c r="CB486" s="14"/>
      <c r="CC486" s="14"/>
      <c r="CD486" s="14"/>
      <c r="CE486" s="14"/>
      <c r="CF486" s="14"/>
      <c r="CG486" s="14"/>
      <c r="CH486" s="14"/>
      <c r="CI486" s="14"/>
      <c r="CJ486" s="14"/>
      <c r="CK486" s="14"/>
      <c r="CL486" s="14"/>
      <c r="CR486" s="1" t="s">
        <v>152</v>
      </c>
      <c r="CS486" s="1" t="s">
        <v>180</v>
      </c>
      <c r="CT486" s="14" t="s">
        <v>122</v>
      </c>
      <c r="CU486" s="1" t="s">
        <v>192</v>
      </c>
      <c r="CV486" s="1" t="s">
        <v>124</v>
      </c>
      <c r="CW486" s="3"/>
      <c r="DG486" s="4"/>
    </row>
    <row r="487" customFormat="false" ht="11.25" hidden="false" customHeight="true" outlineLevel="0" collapsed="false">
      <c r="A487" s="14" t="n">
        <v>486</v>
      </c>
      <c r="B487" s="15" t="n">
        <v>46090.9715510417</v>
      </c>
      <c r="C487" s="15" t="n">
        <v>46090.9798959491</v>
      </c>
      <c r="D487" s="14" t="s">
        <v>2885</v>
      </c>
      <c r="E487" s="14" t="s">
        <v>2886</v>
      </c>
      <c r="F487" s="14" t="s">
        <v>2886</v>
      </c>
      <c r="G487" s="14" t="s">
        <v>2887</v>
      </c>
      <c r="H487" s="15" t="n">
        <v>46078</v>
      </c>
      <c r="I487" s="15" t="s">
        <v>172</v>
      </c>
      <c r="J487" s="14" t="s">
        <v>128</v>
      </c>
      <c r="K487" s="14" t="s">
        <v>232</v>
      </c>
      <c r="L487" s="14" t="s">
        <v>144</v>
      </c>
      <c r="M487" s="14" t="s">
        <v>111</v>
      </c>
      <c r="N487" s="14" t="s">
        <v>112</v>
      </c>
      <c r="O487" s="14" t="s">
        <v>325</v>
      </c>
      <c r="P487" s="14" t="s">
        <v>146</v>
      </c>
      <c r="Q487" s="14" t="s">
        <v>560</v>
      </c>
      <c r="R487" s="14"/>
      <c r="S487" s="14"/>
      <c r="T487" s="14"/>
      <c r="U487" s="14" t="s">
        <v>21</v>
      </c>
      <c r="V487" s="14" t="s">
        <v>1830</v>
      </c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 t="s">
        <v>2888</v>
      </c>
      <c r="AH487" s="14" t="s">
        <v>2889</v>
      </c>
      <c r="AI487" s="14" t="s">
        <v>2890</v>
      </c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  <c r="BP487" s="14"/>
      <c r="BQ487" s="14"/>
      <c r="BR487" s="14"/>
      <c r="BS487" s="14"/>
      <c r="BT487" s="14"/>
      <c r="BU487" s="14"/>
      <c r="BV487" s="14"/>
      <c r="BW487" s="14"/>
      <c r="BX487" s="14"/>
      <c r="BY487" s="14"/>
      <c r="BZ487" s="14"/>
      <c r="CA487" s="14"/>
      <c r="CB487" s="14"/>
      <c r="CC487" s="14"/>
      <c r="CD487" s="14"/>
      <c r="CE487" s="14"/>
      <c r="CF487" s="14"/>
      <c r="CG487" s="14"/>
      <c r="CH487" s="14"/>
      <c r="CI487" s="14"/>
      <c r="CJ487" s="14"/>
      <c r="CK487" s="14"/>
      <c r="CL487" s="14"/>
      <c r="CR487" s="1" t="s">
        <v>120</v>
      </c>
      <c r="CS487" s="1" t="s">
        <v>180</v>
      </c>
      <c r="CT487" s="14" t="s">
        <v>122</v>
      </c>
      <c r="CU487" s="1" t="s">
        <v>123</v>
      </c>
      <c r="CV487" s="1" t="s">
        <v>124</v>
      </c>
      <c r="CW487" s="3"/>
      <c r="DG487" s="4"/>
    </row>
    <row r="488" customFormat="false" ht="11.25" hidden="false" customHeight="true" outlineLevel="0" collapsed="false">
      <c r="A488" s="14" t="n">
        <v>487</v>
      </c>
      <c r="B488" s="15" t="n">
        <v>46067.218174375</v>
      </c>
      <c r="C488" s="15" t="n">
        <v>46067.233486875</v>
      </c>
      <c r="D488" s="14" t="s">
        <v>2891</v>
      </c>
      <c r="E488" s="14" t="s">
        <v>2892</v>
      </c>
      <c r="F488" s="14" t="s">
        <v>2892</v>
      </c>
      <c r="G488" s="14" t="s">
        <v>2893</v>
      </c>
      <c r="H488" s="15" t="n">
        <v>46061</v>
      </c>
      <c r="I488" s="15" t="s">
        <v>713</v>
      </c>
      <c r="J488" s="14" t="s">
        <v>295</v>
      </c>
      <c r="K488" s="14" t="s">
        <v>245</v>
      </c>
      <c r="L488" s="14" t="s">
        <v>286</v>
      </c>
      <c r="M488" s="14" t="s">
        <v>111</v>
      </c>
      <c r="N488" s="14" t="s">
        <v>112</v>
      </c>
      <c r="O488" s="14" t="s">
        <v>132</v>
      </c>
      <c r="P488" s="14" t="s">
        <v>864</v>
      </c>
      <c r="Q488" s="14" t="s">
        <v>1028</v>
      </c>
      <c r="R488" s="14"/>
      <c r="S488" s="14"/>
      <c r="T488" s="14"/>
      <c r="U488" s="14" t="s">
        <v>22</v>
      </c>
      <c r="V488" s="14"/>
      <c r="W488" s="14" t="s">
        <v>381</v>
      </c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  <c r="BP488" s="14"/>
      <c r="BQ488" s="14" t="s">
        <v>2894</v>
      </c>
      <c r="BR488" s="14" t="s">
        <v>804</v>
      </c>
      <c r="BS488" s="14" t="s">
        <v>2398</v>
      </c>
      <c r="BT488" s="14"/>
      <c r="BU488" s="14"/>
      <c r="BV488" s="14"/>
      <c r="BW488" s="14"/>
      <c r="BX488" s="14"/>
      <c r="BY488" s="14"/>
      <c r="BZ488" s="14"/>
      <c r="CA488" s="14"/>
      <c r="CB488" s="14"/>
      <c r="CC488" s="14"/>
      <c r="CD488" s="14"/>
      <c r="CE488" s="14"/>
      <c r="CF488" s="14"/>
      <c r="CG488" s="14"/>
      <c r="CH488" s="14"/>
      <c r="CI488" s="14"/>
      <c r="CJ488" s="14"/>
      <c r="CK488" s="14"/>
      <c r="CL488" s="14"/>
      <c r="CR488" s="1" t="s">
        <v>152</v>
      </c>
      <c r="CS488" s="1" t="s">
        <v>228</v>
      </c>
      <c r="CT488" s="14" t="s">
        <v>122</v>
      </c>
      <c r="CU488" s="1" t="s">
        <v>123</v>
      </c>
      <c r="CV488" s="1" t="s">
        <v>168</v>
      </c>
      <c r="CW488" s="3" t="s">
        <v>573</v>
      </c>
      <c r="DG488" s="4"/>
    </row>
    <row r="489" customFormat="false" ht="11.25" hidden="false" customHeight="true" outlineLevel="0" collapsed="false">
      <c r="A489" s="14" t="n">
        <v>488</v>
      </c>
      <c r="B489" s="15" t="n">
        <v>46110.1458905556</v>
      </c>
      <c r="C489" s="15" t="n">
        <v>46110.1552076852</v>
      </c>
      <c r="D489" s="14" t="s">
        <v>2895</v>
      </c>
      <c r="E489" s="14" t="s">
        <v>2896</v>
      </c>
      <c r="F489" s="14" t="s">
        <v>2897</v>
      </c>
      <c r="G489" s="14" t="s">
        <v>2898</v>
      </c>
      <c r="H489" s="15" t="n">
        <v>46106</v>
      </c>
      <c r="I489" s="15" t="s">
        <v>107</v>
      </c>
      <c r="J489" s="14" t="s">
        <v>108</v>
      </c>
      <c r="K489" s="14" t="s">
        <v>143</v>
      </c>
      <c r="L489" s="14" t="s">
        <v>268</v>
      </c>
      <c r="M489" s="14" t="s">
        <v>111</v>
      </c>
      <c r="N489" s="14" t="s">
        <v>145</v>
      </c>
      <c r="O489" s="14" t="s">
        <v>113</v>
      </c>
      <c r="P489" s="14" t="s">
        <v>1380</v>
      </c>
      <c r="Q489" s="14" t="s">
        <v>1156</v>
      </c>
      <c r="R489" s="14"/>
      <c r="S489" s="14"/>
      <c r="T489" s="14"/>
      <c r="U489" s="14" t="s">
        <v>24</v>
      </c>
      <c r="V489" s="14"/>
      <c r="W489" s="14"/>
      <c r="X489" s="14"/>
      <c r="Y489" s="14" t="s">
        <v>448</v>
      </c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  <c r="BP489" s="14"/>
      <c r="BQ489" s="14"/>
      <c r="BR489" s="14"/>
      <c r="BS489" s="14"/>
      <c r="BT489" s="14"/>
      <c r="BU489" s="14"/>
      <c r="BV489" s="14"/>
      <c r="BW489" s="14" t="s">
        <v>2899</v>
      </c>
      <c r="BX489" s="14" t="s">
        <v>2900</v>
      </c>
      <c r="BY489" s="14" t="s">
        <v>1115</v>
      </c>
      <c r="BZ489" s="14"/>
      <c r="CA489" s="14"/>
      <c r="CB489" s="14"/>
      <c r="CC489" s="14"/>
      <c r="CD489" s="14"/>
      <c r="CE489" s="14"/>
      <c r="CF489" s="14"/>
      <c r="CG489" s="14"/>
      <c r="CH489" s="14"/>
      <c r="CI489" s="14"/>
      <c r="CJ489" s="14"/>
      <c r="CK489" s="14"/>
      <c r="CL489" s="14"/>
      <c r="CR489" s="1" t="s">
        <v>120</v>
      </c>
      <c r="CS489" s="1" t="s">
        <v>496</v>
      </c>
      <c r="CT489" s="14" t="s">
        <v>822</v>
      </c>
      <c r="CU489" s="1" t="s">
        <v>192</v>
      </c>
      <c r="CV489" s="1" t="s">
        <v>168</v>
      </c>
      <c r="CW489" s="3" t="s">
        <v>219</v>
      </c>
      <c r="DG489" s="4"/>
    </row>
    <row r="490" customFormat="false" ht="11.25" hidden="false" customHeight="true" outlineLevel="0" collapsed="false">
      <c r="A490" s="14" t="n">
        <v>489</v>
      </c>
      <c r="B490" s="15" t="n">
        <v>46160.3742666435</v>
      </c>
      <c r="C490" s="15" t="n">
        <v>46160.3938962732</v>
      </c>
      <c r="D490" s="14" t="s">
        <v>2901</v>
      </c>
      <c r="E490" s="14" t="s">
        <v>2902</v>
      </c>
      <c r="F490" s="14" t="s">
        <v>2902</v>
      </c>
      <c r="G490" s="14" t="s">
        <v>2903</v>
      </c>
      <c r="H490" s="15" t="n">
        <v>46146</v>
      </c>
      <c r="I490" s="15" t="s">
        <v>2670</v>
      </c>
      <c r="J490" s="14" t="s">
        <v>108</v>
      </c>
      <c r="K490" s="14" t="s">
        <v>2777</v>
      </c>
      <c r="L490" s="14" t="s">
        <v>296</v>
      </c>
      <c r="M490" s="14" t="s">
        <v>111</v>
      </c>
      <c r="N490" s="14" t="s">
        <v>112</v>
      </c>
      <c r="O490" s="14" t="s">
        <v>113</v>
      </c>
      <c r="P490" s="14" t="s">
        <v>337</v>
      </c>
      <c r="Q490" s="14" t="s">
        <v>414</v>
      </c>
      <c r="R490" s="14"/>
      <c r="S490" s="14"/>
      <c r="T490" s="14"/>
      <c r="U490" s="14" t="s">
        <v>21</v>
      </c>
      <c r="V490" s="14" t="s">
        <v>307</v>
      </c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 t="s">
        <v>2904</v>
      </c>
      <c r="AT490" s="14" t="s">
        <v>2905</v>
      </c>
      <c r="AU490" s="14" t="s">
        <v>1618</v>
      </c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  <c r="BP490" s="14"/>
      <c r="BQ490" s="14"/>
      <c r="BR490" s="14"/>
      <c r="BS490" s="14"/>
      <c r="BT490" s="14"/>
      <c r="BU490" s="14"/>
      <c r="BV490" s="14"/>
      <c r="BW490" s="14"/>
      <c r="BX490" s="14"/>
      <c r="BY490" s="14"/>
      <c r="BZ490" s="14"/>
      <c r="CA490" s="14"/>
      <c r="CB490" s="14"/>
      <c r="CC490" s="14"/>
      <c r="CD490" s="14"/>
      <c r="CE490" s="14"/>
      <c r="CF490" s="14"/>
      <c r="CG490" s="14"/>
      <c r="CH490" s="14"/>
      <c r="CI490" s="14"/>
      <c r="CJ490" s="14"/>
      <c r="CK490" s="14"/>
      <c r="CL490" s="14"/>
      <c r="CR490" s="1" t="s">
        <v>120</v>
      </c>
      <c r="CS490" s="1" t="s">
        <v>496</v>
      </c>
      <c r="CT490" s="14" t="s">
        <v>1641</v>
      </c>
      <c r="CU490" s="1" t="s">
        <v>167</v>
      </c>
      <c r="CV490" s="1" t="s">
        <v>124</v>
      </c>
      <c r="CW490" s="3"/>
      <c r="DG490" s="4"/>
    </row>
    <row r="491" customFormat="false" ht="11.25" hidden="false" customHeight="true" outlineLevel="0" collapsed="false">
      <c r="A491" s="14" t="n">
        <v>490</v>
      </c>
      <c r="B491" s="15" t="n">
        <v>46067.9581217014</v>
      </c>
      <c r="C491" s="15" t="n">
        <v>46067.9701587384</v>
      </c>
      <c r="D491" s="14" t="s">
        <v>2906</v>
      </c>
      <c r="E491" s="14" t="s">
        <v>2907</v>
      </c>
      <c r="F491" s="14" t="s">
        <v>2907</v>
      </c>
      <c r="G491" s="14" t="s">
        <v>2908</v>
      </c>
      <c r="H491" s="15" t="n">
        <v>46054</v>
      </c>
      <c r="I491" s="15" t="s">
        <v>107</v>
      </c>
      <c r="J491" s="14" t="s">
        <v>108</v>
      </c>
      <c r="K491" s="14" t="s">
        <v>245</v>
      </c>
      <c r="L491" s="14" t="s">
        <v>246</v>
      </c>
      <c r="M491" s="14" t="s">
        <v>111</v>
      </c>
      <c r="N491" s="14" t="s">
        <v>247</v>
      </c>
      <c r="O491" s="14" t="s">
        <v>325</v>
      </c>
      <c r="P491" s="14" t="s">
        <v>337</v>
      </c>
      <c r="Q491" s="14" t="s">
        <v>544</v>
      </c>
      <c r="R491" s="14"/>
      <c r="S491" s="14"/>
      <c r="T491" s="14"/>
      <c r="U491" s="14" t="s">
        <v>22</v>
      </c>
      <c r="V491" s="14"/>
      <c r="W491" s="14" t="s">
        <v>135</v>
      </c>
      <c r="X491" s="14"/>
      <c r="Y491" s="14"/>
      <c r="Z491" s="14"/>
      <c r="AA491" s="14" t="s">
        <v>2909</v>
      </c>
      <c r="AB491" s="14" t="s">
        <v>2910</v>
      </c>
      <c r="AC491" s="14" t="s">
        <v>252</v>
      </c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  <c r="BP491" s="14"/>
      <c r="BQ491" s="14"/>
      <c r="BR491" s="14"/>
      <c r="BS491" s="14"/>
      <c r="BT491" s="14"/>
      <c r="BU491" s="14"/>
      <c r="BV491" s="14"/>
      <c r="BW491" s="14"/>
      <c r="BX491" s="14"/>
      <c r="BY491" s="14"/>
      <c r="BZ491" s="14"/>
      <c r="CA491" s="14"/>
      <c r="CB491" s="14"/>
      <c r="CC491" s="14"/>
      <c r="CD491" s="14"/>
      <c r="CE491" s="14"/>
      <c r="CF491" s="14"/>
      <c r="CG491" s="14"/>
      <c r="CH491" s="14"/>
      <c r="CI491" s="14"/>
      <c r="CJ491" s="14"/>
      <c r="CK491" s="14"/>
      <c r="CL491" s="14"/>
      <c r="CR491" s="1" t="s">
        <v>152</v>
      </c>
      <c r="CS491" s="1" t="s">
        <v>121</v>
      </c>
      <c r="CT491" s="14"/>
      <c r="CU491" s="1" t="s">
        <v>192</v>
      </c>
      <c r="CV491" s="1" t="s">
        <v>124</v>
      </c>
      <c r="CW491" s="3"/>
      <c r="DG491" s="4"/>
    </row>
    <row r="492" customFormat="false" ht="11.25" hidden="false" customHeight="true" outlineLevel="0" collapsed="false">
      <c r="A492" s="14" t="n">
        <v>491</v>
      </c>
      <c r="B492" s="15" t="n">
        <v>46207.5390816898</v>
      </c>
      <c r="C492" s="15" t="n">
        <v>46207.5435377083</v>
      </c>
      <c r="D492" s="14" t="s">
        <v>2911</v>
      </c>
      <c r="E492" s="14" t="s">
        <v>2912</v>
      </c>
      <c r="F492" s="14" t="s">
        <v>2912</v>
      </c>
      <c r="G492" s="14" t="s">
        <v>2913</v>
      </c>
      <c r="H492" s="15" t="n">
        <v>46202</v>
      </c>
      <c r="I492" s="15" t="s">
        <v>244</v>
      </c>
      <c r="J492" s="14" t="s">
        <v>295</v>
      </c>
      <c r="K492" s="14" t="s">
        <v>245</v>
      </c>
      <c r="L492" s="14" t="s">
        <v>286</v>
      </c>
      <c r="M492" s="14" t="s">
        <v>111</v>
      </c>
      <c r="N492" s="14" t="s">
        <v>112</v>
      </c>
      <c r="O492" s="14" t="s">
        <v>325</v>
      </c>
      <c r="P492" s="14" t="s">
        <v>652</v>
      </c>
      <c r="Q492" s="14" t="s">
        <v>175</v>
      </c>
      <c r="R492" s="14"/>
      <c r="S492" s="14"/>
      <c r="T492" s="14"/>
      <c r="U492" s="14" t="s">
        <v>25</v>
      </c>
      <c r="V492" s="14"/>
      <c r="W492" s="14"/>
      <c r="X492" s="14"/>
      <c r="Y492" s="14"/>
      <c r="Z492" s="14" t="s">
        <v>1712</v>
      </c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  <c r="BP492" s="14"/>
      <c r="BQ492" s="14"/>
      <c r="BR492" s="14"/>
      <c r="BS492" s="14"/>
      <c r="BT492" s="14"/>
      <c r="BU492" s="14"/>
      <c r="BV492" s="14"/>
      <c r="BW492" s="14"/>
      <c r="BX492" s="14"/>
      <c r="BY492" s="14"/>
      <c r="BZ492" s="14"/>
      <c r="CA492" s="14"/>
      <c r="CB492" s="14"/>
      <c r="CC492" s="14"/>
      <c r="CD492" s="14"/>
      <c r="CE492" s="14"/>
      <c r="CF492" s="14"/>
      <c r="CG492" s="14"/>
      <c r="CH492" s="14"/>
      <c r="CI492" s="14"/>
      <c r="CJ492" s="14"/>
      <c r="CK492" s="14"/>
      <c r="CL492" s="14"/>
      <c r="CO492" s="1" t="s">
        <v>1713</v>
      </c>
      <c r="CP492" s="1" t="s">
        <v>1838</v>
      </c>
      <c r="CQ492" s="1" t="s">
        <v>2817</v>
      </c>
      <c r="CR492" s="1" t="s">
        <v>152</v>
      </c>
      <c r="CS492" s="1" t="s">
        <v>352</v>
      </c>
      <c r="CT492" s="14" t="s">
        <v>2039</v>
      </c>
      <c r="CU492" s="1" t="s">
        <v>167</v>
      </c>
      <c r="CV492" s="1" t="s">
        <v>124</v>
      </c>
      <c r="CW492" s="3"/>
      <c r="DG492" s="4"/>
    </row>
    <row r="493" customFormat="false" ht="11.25" hidden="false" customHeight="true" outlineLevel="0" collapsed="false">
      <c r="A493" s="14" t="n">
        <v>492</v>
      </c>
      <c r="B493" s="15" t="n">
        <v>46182.6021023727</v>
      </c>
      <c r="C493" s="15" t="n">
        <v>46182.6219634838</v>
      </c>
      <c r="D493" s="14" t="s">
        <v>2914</v>
      </c>
      <c r="E493" s="14" t="s">
        <v>2915</v>
      </c>
      <c r="F493" s="14" t="s">
        <v>2915</v>
      </c>
      <c r="G493" s="14" t="s">
        <v>2916</v>
      </c>
      <c r="H493" s="15" t="n">
        <v>46179</v>
      </c>
      <c r="I493" s="15" t="s">
        <v>172</v>
      </c>
      <c r="J493" s="14" t="s">
        <v>108</v>
      </c>
      <c r="K493" s="14" t="s">
        <v>257</v>
      </c>
      <c r="L493" s="14" t="s">
        <v>110</v>
      </c>
      <c r="M493" s="14" t="s">
        <v>111</v>
      </c>
      <c r="N493" s="14" t="s">
        <v>112</v>
      </c>
      <c r="O493" s="14" t="s">
        <v>113</v>
      </c>
      <c r="P493" s="14" t="s">
        <v>774</v>
      </c>
      <c r="Q493" s="14" t="s">
        <v>389</v>
      </c>
      <c r="R493" s="14"/>
      <c r="S493" s="14"/>
      <c r="T493" s="14"/>
      <c r="U493" s="14" t="s">
        <v>21</v>
      </c>
      <c r="V493" s="14" t="s">
        <v>457</v>
      </c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 t="s">
        <v>162</v>
      </c>
      <c r="AN493" s="14" t="s">
        <v>216</v>
      </c>
      <c r="AO493" s="14" t="s">
        <v>1817</v>
      </c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  <c r="BP493" s="14"/>
      <c r="BQ493" s="14"/>
      <c r="BR493" s="14"/>
      <c r="BS493" s="14"/>
      <c r="BT493" s="14"/>
      <c r="BU493" s="14"/>
      <c r="BV493" s="14"/>
      <c r="BW493" s="14"/>
      <c r="BX493" s="14"/>
      <c r="BY493" s="14"/>
      <c r="BZ493" s="14"/>
      <c r="CA493" s="14"/>
      <c r="CB493" s="14"/>
      <c r="CC493" s="14"/>
      <c r="CD493" s="14"/>
      <c r="CE493" s="14"/>
      <c r="CF493" s="14"/>
      <c r="CG493" s="14"/>
      <c r="CH493" s="14"/>
      <c r="CI493" s="14"/>
      <c r="CJ493" s="14"/>
      <c r="CK493" s="14"/>
      <c r="CL493" s="14"/>
      <c r="CR493" s="1" t="s">
        <v>152</v>
      </c>
      <c r="CS493" s="1" t="s">
        <v>228</v>
      </c>
      <c r="CT493" s="14" t="s">
        <v>1229</v>
      </c>
      <c r="CU493" s="1" t="s">
        <v>123</v>
      </c>
      <c r="CV493" s="1" t="s">
        <v>124</v>
      </c>
      <c r="CW493" s="3"/>
      <c r="DG493" s="4"/>
    </row>
    <row r="494" customFormat="false" ht="11.25" hidden="false" customHeight="true" outlineLevel="0" collapsed="false">
      <c r="A494" s="14" t="n">
        <v>493</v>
      </c>
      <c r="B494" s="15" t="n">
        <v>46109.6697559375</v>
      </c>
      <c r="C494" s="15" t="n">
        <v>46109.6903809375</v>
      </c>
      <c r="D494" s="14" t="s">
        <v>2917</v>
      </c>
      <c r="E494" s="14" t="s">
        <v>2918</v>
      </c>
      <c r="F494" s="14" t="s">
        <v>2918</v>
      </c>
      <c r="G494" s="14" t="s">
        <v>2919</v>
      </c>
      <c r="H494" s="15" t="n">
        <v>46103</v>
      </c>
      <c r="I494" s="15" t="s">
        <v>244</v>
      </c>
      <c r="J494" s="14" t="s">
        <v>108</v>
      </c>
      <c r="K494" s="14" t="s">
        <v>462</v>
      </c>
      <c r="L494" s="14" t="s">
        <v>184</v>
      </c>
      <c r="M494" s="14" t="s">
        <v>131</v>
      </c>
      <c r="N494" s="14" t="s">
        <v>247</v>
      </c>
      <c r="O494" s="14" t="s">
        <v>325</v>
      </c>
      <c r="P494" s="14" t="s">
        <v>757</v>
      </c>
      <c r="Q494" s="14" t="s">
        <v>552</v>
      </c>
      <c r="R494" s="14"/>
      <c r="S494" s="14"/>
      <c r="T494" s="14"/>
      <c r="U494" s="14" t="s">
        <v>22</v>
      </c>
      <c r="V494" s="14"/>
      <c r="W494" s="14" t="s">
        <v>271</v>
      </c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 t="s">
        <v>2920</v>
      </c>
      <c r="BL494" s="14" t="s">
        <v>2623</v>
      </c>
      <c r="BM494" s="14" t="s">
        <v>724</v>
      </c>
      <c r="BN494" s="14"/>
      <c r="BO494" s="14"/>
      <c r="BP494" s="14"/>
      <c r="BQ494" s="14"/>
      <c r="BR494" s="14"/>
      <c r="BS494" s="14"/>
      <c r="BT494" s="14"/>
      <c r="BU494" s="14"/>
      <c r="BV494" s="14"/>
      <c r="BW494" s="14"/>
      <c r="BX494" s="14"/>
      <c r="BY494" s="14"/>
      <c r="BZ494" s="14"/>
      <c r="CA494" s="14"/>
      <c r="CB494" s="14"/>
      <c r="CC494" s="14"/>
      <c r="CD494" s="14"/>
      <c r="CE494" s="14"/>
      <c r="CF494" s="14"/>
      <c r="CG494" s="14"/>
      <c r="CH494" s="14"/>
      <c r="CI494" s="14"/>
      <c r="CJ494" s="14"/>
      <c r="CK494" s="14"/>
      <c r="CL494" s="14"/>
      <c r="CR494" s="1" t="s">
        <v>152</v>
      </c>
      <c r="CS494" s="1" t="s">
        <v>121</v>
      </c>
      <c r="CT494" s="14" t="s">
        <v>1361</v>
      </c>
      <c r="CU494" s="1" t="s">
        <v>192</v>
      </c>
      <c r="CV494" s="1" t="s">
        <v>124</v>
      </c>
      <c r="CW494" s="3"/>
      <c r="DG494" s="4"/>
    </row>
    <row r="495" customFormat="false" ht="11.25" hidden="false" customHeight="true" outlineLevel="0" collapsed="false">
      <c r="A495" s="14" t="n">
        <v>494</v>
      </c>
      <c r="B495" s="15" t="n">
        <v>46048.8979315046</v>
      </c>
      <c r="C495" s="15" t="n">
        <v>46048.9013342824</v>
      </c>
      <c r="D495" s="14" t="s">
        <v>2921</v>
      </c>
      <c r="E495" s="14" t="s">
        <v>2922</v>
      </c>
      <c r="F495" s="14" t="s">
        <v>2922</v>
      </c>
      <c r="G495" s="14" t="s">
        <v>2923</v>
      </c>
      <c r="H495" s="15" t="n">
        <v>46029</v>
      </c>
      <c r="I495" s="15" t="s">
        <v>244</v>
      </c>
      <c r="J495" s="14" t="s">
        <v>295</v>
      </c>
      <c r="K495" s="14" t="s">
        <v>196</v>
      </c>
      <c r="L495" s="14" t="s">
        <v>389</v>
      </c>
      <c r="M495" s="14" t="s">
        <v>111</v>
      </c>
      <c r="N495" s="14" t="s">
        <v>112</v>
      </c>
      <c r="O495" s="14" t="s">
        <v>325</v>
      </c>
      <c r="P495" s="14" t="s">
        <v>566</v>
      </c>
      <c r="Q495" s="14" t="s">
        <v>1100</v>
      </c>
      <c r="R495" s="14"/>
      <c r="S495" s="14"/>
      <c r="T495" s="14"/>
      <c r="U495" s="14" t="s">
        <v>24</v>
      </c>
      <c r="V495" s="14"/>
      <c r="W495" s="14"/>
      <c r="X495" s="14"/>
      <c r="Y495" s="14" t="s">
        <v>448</v>
      </c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  <c r="BP495" s="14"/>
      <c r="BQ495" s="14"/>
      <c r="BR495" s="14"/>
      <c r="BS495" s="14"/>
      <c r="BT495" s="14"/>
      <c r="BU495" s="14"/>
      <c r="BV495" s="14"/>
      <c r="BW495" s="14" t="s">
        <v>2924</v>
      </c>
      <c r="BX495" s="14" t="s">
        <v>2884</v>
      </c>
      <c r="BY495" s="14" t="s">
        <v>1096</v>
      </c>
      <c r="BZ495" s="14"/>
      <c r="CA495" s="14"/>
      <c r="CB495" s="14"/>
      <c r="CC495" s="14"/>
      <c r="CD495" s="14"/>
      <c r="CE495" s="14"/>
      <c r="CF495" s="14"/>
      <c r="CG495" s="14"/>
      <c r="CH495" s="14"/>
      <c r="CI495" s="14"/>
      <c r="CJ495" s="14"/>
      <c r="CK495" s="14"/>
      <c r="CL495" s="14"/>
      <c r="CR495" s="1" t="s">
        <v>227</v>
      </c>
      <c r="CS495" s="1" t="s">
        <v>180</v>
      </c>
      <c r="CT495" s="14" t="s">
        <v>166</v>
      </c>
      <c r="CU495" s="1" t="s">
        <v>167</v>
      </c>
      <c r="CV495" s="1" t="s">
        <v>139</v>
      </c>
      <c r="CW495" s="3"/>
      <c r="CY495" s="3" t="s">
        <v>205</v>
      </c>
      <c r="DG495" s="4"/>
    </row>
    <row r="496" customFormat="false" ht="11.25" hidden="false" customHeight="true" outlineLevel="0" collapsed="false">
      <c r="A496" s="14" t="n">
        <v>495</v>
      </c>
      <c r="B496" s="15" t="n">
        <v>46039.7763961458</v>
      </c>
      <c r="C496" s="15" t="n">
        <v>46039.7903660532</v>
      </c>
      <c r="D496" s="14" t="s">
        <v>2925</v>
      </c>
      <c r="E496" s="14" t="s">
        <v>2926</v>
      </c>
      <c r="F496" s="14" t="s">
        <v>2927</v>
      </c>
      <c r="G496" s="14" t="s">
        <v>2928</v>
      </c>
      <c r="H496" s="15" t="n">
        <v>46030</v>
      </c>
      <c r="I496" s="15" t="s">
        <v>278</v>
      </c>
      <c r="J496" s="14" t="s">
        <v>108</v>
      </c>
      <c r="K496" s="14" t="s">
        <v>2929</v>
      </c>
      <c r="L496" s="14" t="s">
        <v>130</v>
      </c>
      <c r="M496" s="14" t="s">
        <v>111</v>
      </c>
      <c r="N496" s="14" t="s">
        <v>145</v>
      </c>
      <c r="O496" s="14" t="s">
        <v>305</v>
      </c>
      <c r="P496" s="14" t="s">
        <v>144</v>
      </c>
      <c r="Q496" s="14" t="s">
        <v>586</v>
      </c>
      <c r="R496" s="14"/>
      <c r="S496" s="14"/>
      <c r="T496" s="14"/>
      <c r="U496" s="14" t="s">
        <v>22</v>
      </c>
      <c r="V496" s="14"/>
      <c r="W496" s="14" t="s">
        <v>148</v>
      </c>
      <c r="X496" s="14"/>
      <c r="Y496" s="14"/>
      <c r="Z496" s="14"/>
      <c r="AA496" s="14"/>
      <c r="AB496" s="14"/>
      <c r="AC496" s="14"/>
      <c r="AD496" s="14" t="s">
        <v>2930</v>
      </c>
      <c r="AE496" s="14" t="s">
        <v>1146</v>
      </c>
      <c r="AF496" s="14" t="s">
        <v>290</v>
      </c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  <c r="BP496" s="14"/>
      <c r="BQ496" s="14"/>
      <c r="BR496" s="14"/>
      <c r="BS496" s="14"/>
      <c r="BT496" s="14"/>
      <c r="BU496" s="14"/>
      <c r="BV496" s="14"/>
      <c r="BW496" s="14"/>
      <c r="BX496" s="14"/>
      <c r="BY496" s="14"/>
      <c r="BZ496" s="14"/>
      <c r="CA496" s="14"/>
      <c r="CB496" s="14"/>
      <c r="CC496" s="14"/>
      <c r="CD496" s="14"/>
      <c r="CE496" s="14"/>
      <c r="CF496" s="14"/>
      <c r="CG496" s="14"/>
      <c r="CH496" s="14"/>
      <c r="CI496" s="14"/>
      <c r="CJ496" s="14"/>
      <c r="CK496" s="14"/>
      <c r="CL496" s="14"/>
      <c r="CR496" s="1" t="s">
        <v>152</v>
      </c>
      <c r="CS496" s="1" t="s">
        <v>180</v>
      </c>
      <c r="CT496" s="14"/>
      <c r="CU496" s="1" t="s">
        <v>123</v>
      </c>
      <c r="CV496" s="1" t="s">
        <v>168</v>
      </c>
      <c r="CW496" s="3"/>
      <c r="DG496" s="4"/>
    </row>
    <row r="497" customFormat="false" ht="11.25" hidden="false" customHeight="true" outlineLevel="0" collapsed="false">
      <c r="A497" s="14" t="n">
        <v>496</v>
      </c>
      <c r="B497" s="15" t="n">
        <v>46054.6538868982</v>
      </c>
      <c r="C497" s="15" t="n">
        <v>46054.6721623611</v>
      </c>
      <c r="D497" s="14" t="s">
        <v>2931</v>
      </c>
      <c r="E497" s="14" t="s">
        <v>2932</v>
      </c>
      <c r="F497" s="14" t="s">
        <v>2932</v>
      </c>
      <c r="G497" s="14" t="s">
        <v>2933</v>
      </c>
      <c r="H497" s="15" t="n">
        <v>46037</v>
      </c>
      <c r="I497" s="15" t="s">
        <v>172</v>
      </c>
      <c r="J497" s="14" t="s">
        <v>108</v>
      </c>
      <c r="K497" s="14" t="s">
        <v>2934</v>
      </c>
      <c r="L497" s="14" t="s">
        <v>210</v>
      </c>
      <c r="M497" s="14" t="s">
        <v>111</v>
      </c>
      <c r="N497" s="14" t="s">
        <v>112</v>
      </c>
      <c r="O497" s="14" t="s">
        <v>305</v>
      </c>
      <c r="P497" s="14" t="s">
        <v>279</v>
      </c>
      <c r="Q497" s="14" t="s">
        <v>827</v>
      </c>
      <c r="R497" s="14"/>
      <c r="S497" s="14"/>
      <c r="T497" s="14"/>
      <c r="U497" s="14" t="s">
        <v>22</v>
      </c>
      <c r="V497" s="14"/>
      <c r="W497" s="14" t="s">
        <v>715</v>
      </c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 t="s">
        <v>2935</v>
      </c>
      <c r="BI497" s="14" t="s">
        <v>992</v>
      </c>
      <c r="BJ497" s="14" t="s">
        <v>993</v>
      </c>
      <c r="BK497" s="14"/>
      <c r="BL497" s="14"/>
      <c r="BM497" s="14"/>
      <c r="BN497" s="14"/>
      <c r="BO497" s="14"/>
      <c r="BP497" s="14"/>
      <c r="BQ497" s="14"/>
      <c r="BR497" s="14"/>
      <c r="BS497" s="14"/>
      <c r="BT497" s="14"/>
      <c r="BU497" s="14"/>
      <c r="BV497" s="14"/>
      <c r="BW497" s="14"/>
      <c r="BX497" s="14"/>
      <c r="BY497" s="14"/>
      <c r="BZ497" s="14"/>
      <c r="CA497" s="14"/>
      <c r="CB497" s="14"/>
      <c r="CC497" s="14"/>
      <c r="CD497" s="14"/>
      <c r="CE497" s="14"/>
      <c r="CF497" s="14"/>
      <c r="CG497" s="14"/>
      <c r="CH497" s="14"/>
      <c r="CI497" s="14"/>
      <c r="CJ497" s="14"/>
      <c r="CK497" s="14"/>
      <c r="CL497" s="14"/>
      <c r="CR497" s="1" t="s">
        <v>120</v>
      </c>
      <c r="CS497" s="1" t="s">
        <v>121</v>
      </c>
      <c r="CT497" s="14" t="s">
        <v>1813</v>
      </c>
      <c r="CU497" s="1" t="s">
        <v>192</v>
      </c>
      <c r="CV497" s="1" t="s">
        <v>124</v>
      </c>
      <c r="CW497" s="3"/>
      <c r="DG497" s="4"/>
    </row>
    <row r="498" customFormat="false" ht="11.25" hidden="false" customHeight="true" outlineLevel="0" collapsed="false">
      <c r="A498" s="14" t="n">
        <v>497</v>
      </c>
      <c r="B498" s="15" t="n">
        <v>46052.5019373148</v>
      </c>
      <c r="C498" s="15" t="n">
        <v>46052.5052590741</v>
      </c>
      <c r="D498" s="14" t="s">
        <v>2936</v>
      </c>
      <c r="E498" s="14" t="s">
        <v>2937</v>
      </c>
      <c r="F498" s="14" t="s">
        <v>2937</v>
      </c>
      <c r="G498" s="14" t="s">
        <v>2938</v>
      </c>
      <c r="H498" s="15" t="n">
        <v>46032</v>
      </c>
      <c r="I498" s="15" t="s">
        <v>713</v>
      </c>
      <c r="J498" s="14" t="s">
        <v>295</v>
      </c>
      <c r="K498" s="14" t="s">
        <v>356</v>
      </c>
      <c r="L498" s="14" t="s">
        <v>246</v>
      </c>
      <c r="M498" s="14" t="s">
        <v>111</v>
      </c>
      <c r="N498" s="14" t="s">
        <v>145</v>
      </c>
      <c r="O498" s="14" t="s">
        <v>113</v>
      </c>
      <c r="P498" s="14" t="s">
        <v>357</v>
      </c>
      <c r="Q498" s="14" t="s">
        <v>422</v>
      </c>
      <c r="R498" s="14"/>
      <c r="S498" s="14"/>
      <c r="T498" s="14"/>
      <c r="U498" s="14" t="s">
        <v>22</v>
      </c>
      <c r="V498" s="14"/>
      <c r="W498" s="14" t="s">
        <v>339</v>
      </c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 t="s">
        <v>340</v>
      </c>
      <c r="BO498" s="14" t="s">
        <v>1335</v>
      </c>
      <c r="BP498" s="14" t="s">
        <v>2939</v>
      </c>
      <c r="BQ498" s="14"/>
      <c r="BR498" s="14"/>
      <c r="BS498" s="14"/>
      <c r="BT498" s="14"/>
      <c r="BU498" s="14"/>
      <c r="BV498" s="14"/>
      <c r="BW498" s="14"/>
      <c r="BX498" s="14"/>
      <c r="BY498" s="14"/>
      <c r="BZ498" s="14"/>
      <c r="CA498" s="14"/>
      <c r="CB498" s="14"/>
      <c r="CC498" s="14"/>
      <c r="CD498" s="14"/>
      <c r="CE498" s="14"/>
      <c r="CF498" s="14"/>
      <c r="CG498" s="14"/>
      <c r="CH498" s="14"/>
      <c r="CI498" s="14"/>
      <c r="CJ498" s="14"/>
      <c r="CK498" s="14"/>
      <c r="CL498" s="14"/>
      <c r="CR498" s="1" t="s">
        <v>152</v>
      </c>
      <c r="CS498" s="1" t="s">
        <v>121</v>
      </c>
      <c r="CT498" s="14" t="s">
        <v>2940</v>
      </c>
      <c r="CU498" s="1" t="s">
        <v>167</v>
      </c>
      <c r="CV498" s="1" t="s">
        <v>124</v>
      </c>
      <c r="CW498" s="3"/>
      <c r="CX498" s="3" t="s">
        <v>331</v>
      </c>
      <c r="DG498" s="4"/>
    </row>
    <row r="499" customFormat="false" ht="11.25" hidden="false" customHeight="true" outlineLevel="0" collapsed="false">
      <c r="A499" s="14" t="n">
        <v>498</v>
      </c>
      <c r="B499" s="15" t="n">
        <v>46097.4311587037</v>
      </c>
      <c r="C499" s="15" t="n">
        <v>46097.4462512963</v>
      </c>
      <c r="D499" s="14" t="s">
        <v>2941</v>
      </c>
      <c r="E499" s="14" t="s">
        <v>2942</v>
      </c>
      <c r="F499" s="14" t="s">
        <v>2942</v>
      </c>
      <c r="G499" s="14" t="s">
        <v>2943</v>
      </c>
      <c r="H499" s="15" t="n">
        <v>46078</v>
      </c>
      <c r="I499" s="15" t="s">
        <v>157</v>
      </c>
      <c r="J499" s="14" t="s">
        <v>108</v>
      </c>
      <c r="K499" s="14" t="s">
        <v>196</v>
      </c>
      <c r="L499" s="14" t="s">
        <v>246</v>
      </c>
      <c r="M499" s="14" t="s">
        <v>390</v>
      </c>
      <c r="N499" s="14" t="s">
        <v>112</v>
      </c>
      <c r="O499" s="14" t="s">
        <v>113</v>
      </c>
      <c r="P499" s="14" t="s">
        <v>774</v>
      </c>
      <c r="Q499" s="14" t="s">
        <v>1036</v>
      </c>
      <c r="R499" s="14"/>
      <c r="S499" s="14"/>
      <c r="T499" s="14"/>
      <c r="U499" s="14" t="s">
        <v>21</v>
      </c>
      <c r="V499" s="14" t="s">
        <v>348</v>
      </c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 t="s">
        <v>2944</v>
      </c>
      <c r="BC499" s="14" t="s">
        <v>350</v>
      </c>
      <c r="BD499" s="14" t="s">
        <v>1783</v>
      </c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  <c r="BP499" s="14"/>
      <c r="BQ499" s="14"/>
      <c r="BR499" s="14"/>
      <c r="BS499" s="14"/>
      <c r="BT499" s="14"/>
      <c r="BU499" s="14"/>
      <c r="BV499" s="14"/>
      <c r="BW499" s="14"/>
      <c r="BX499" s="14"/>
      <c r="BY499" s="14"/>
      <c r="BZ499" s="14"/>
      <c r="CA499" s="14"/>
      <c r="CB499" s="14"/>
      <c r="CC499" s="14"/>
      <c r="CD499" s="14"/>
      <c r="CE499" s="14"/>
      <c r="CF499" s="14"/>
      <c r="CG499" s="14"/>
      <c r="CH499" s="14"/>
      <c r="CI499" s="14"/>
      <c r="CJ499" s="14"/>
      <c r="CK499" s="14"/>
      <c r="CL499" s="14"/>
      <c r="CR499" s="1" t="s">
        <v>120</v>
      </c>
      <c r="CS499" s="1" t="s">
        <v>352</v>
      </c>
      <c r="CT499" s="14" t="s">
        <v>1568</v>
      </c>
      <c r="CU499" s="1" t="s">
        <v>167</v>
      </c>
      <c r="CV499" s="1" t="s">
        <v>124</v>
      </c>
      <c r="CW499" s="3"/>
      <c r="DG499" s="4"/>
    </row>
    <row r="500" customFormat="false" ht="11.25" hidden="false" customHeight="true" outlineLevel="0" collapsed="false">
      <c r="A500" s="14" t="n">
        <v>499</v>
      </c>
      <c r="B500" s="15" t="n">
        <v>46175.3771776273</v>
      </c>
      <c r="C500" s="15" t="n">
        <v>46175.381182257</v>
      </c>
      <c r="D500" s="14" t="s">
        <v>2945</v>
      </c>
      <c r="E500" s="14" t="s">
        <v>2946</v>
      </c>
      <c r="F500" s="14" t="s">
        <v>2946</v>
      </c>
      <c r="G500" s="14" t="s">
        <v>2947</v>
      </c>
      <c r="H500" s="15" t="n">
        <v>46162</v>
      </c>
      <c r="I500" s="15" t="s">
        <v>107</v>
      </c>
      <c r="J500" s="14" t="s">
        <v>108</v>
      </c>
      <c r="K500" s="14" t="s">
        <v>2948</v>
      </c>
      <c r="L500" s="14" t="s">
        <v>114</v>
      </c>
      <c r="M500" s="14" t="s">
        <v>131</v>
      </c>
      <c r="N500" s="14" t="s">
        <v>112</v>
      </c>
      <c r="O500" s="14" t="s">
        <v>113</v>
      </c>
      <c r="P500" s="14" t="s">
        <v>234</v>
      </c>
      <c r="Q500" s="14" t="s">
        <v>606</v>
      </c>
      <c r="R500" s="14"/>
      <c r="S500" s="14"/>
      <c r="T500" s="14"/>
      <c r="U500" s="14" t="s">
        <v>22</v>
      </c>
      <c r="V500" s="14"/>
      <c r="W500" s="14" t="s">
        <v>381</v>
      </c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  <c r="BP500" s="14"/>
      <c r="BQ500" s="14" t="s">
        <v>2949</v>
      </c>
      <c r="BR500" s="14" t="s">
        <v>1772</v>
      </c>
      <c r="BS500" s="14" t="s">
        <v>2634</v>
      </c>
      <c r="BT500" s="14"/>
      <c r="BU500" s="14"/>
      <c r="BV500" s="14"/>
      <c r="BW500" s="14"/>
      <c r="BX500" s="14"/>
      <c r="BY500" s="14"/>
      <c r="BZ500" s="14"/>
      <c r="CA500" s="14"/>
      <c r="CB500" s="14"/>
      <c r="CC500" s="14"/>
      <c r="CD500" s="14"/>
      <c r="CE500" s="14"/>
      <c r="CF500" s="14"/>
      <c r="CG500" s="14"/>
      <c r="CH500" s="14"/>
      <c r="CI500" s="14"/>
      <c r="CJ500" s="14"/>
      <c r="CK500" s="14"/>
      <c r="CL500" s="14"/>
      <c r="CR500" s="1" t="s">
        <v>120</v>
      </c>
      <c r="CS500" s="1" t="s">
        <v>180</v>
      </c>
      <c r="CT500" s="14" t="s">
        <v>122</v>
      </c>
      <c r="CU500" s="1" t="s">
        <v>123</v>
      </c>
      <c r="CV500" s="1" t="s">
        <v>124</v>
      </c>
      <c r="CW500" s="3"/>
      <c r="DG500" s="4"/>
    </row>
    <row r="501" customFormat="false" ht="11.25" hidden="false" customHeight="true" outlineLevel="0" collapsed="false">
      <c r="A501" s="14" t="n">
        <v>500</v>
      </c>
      <c r="B501" s="15" t="n">
        <v>46146.2688058681</v>
      </c>
      <c r="C501" s="15" t="n">
        <v>46146.271606794</v>
      </c>
      <c r="D501" s="14" t="s">
        <v>2950</v>
      </c>
      <c r="E501" s="14" t="s">
        <v>2951</v>
      </c>
      <c r="F501" s="14" t="s">
        <v>2951</v>
      </c>
      <c r="G501" s="14" t="s">
        <v>2952</v>
      </c>
      <c r="H501" s="15" t="n">
        <v>46137</v>
      </c>
      <c r="I501" s="15" t="s">
        <v>107</v>
      </c>
      <c r="J501" s="14" t="s">
        <v>108</v>
      </c>
      <c r="K501" s="14" t="s">
        <v>2953</v>
      </c>
      <c r="L501" s="14" t="s">
        <v>130</v>
      </c>
      <c r="M501" s="14" t="s">
        <v>111</v>
      </c>
      <c r="N501" s="14" t="s">
        <v>112</v>
      </c>
      <c r="O501" s="14" t="s">
        <v>113</v>
      </c>
      <c r="P501" s="14" t="s">
        <v>447</v>
      </c>
      <c r="Q501" s="14" t="s">
        <v>1381</v>
      </c>
      <c r="R501" s="14"/>
      <c r="S501" s="14"/>
      <c r="T501" s="14"/>
      <c r="U501" s="14" t="s">
        <v>22</v>
      </c>
      <c r="V501" s="14"/>
      <c r="W501" s="14" t="s">
        <v>381</v>
      </c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  <c r="BP501" s="14"/>
      <c r="BQ501" s="14" t="s">
        <v>737</v>
      </c>
      <c r="BR501" s="14" t="s">
        <v>1772</v>
      </c>
      <c r="BS501" s="14" t="s">
        <v>844</v>
      </c>
      <c r="BT501" s="14"/>
      <c r="BU501" s="14"/>
      <c r="BV501" s="14"/>
      <c r="BW501" s="14"/>
      <c r="BX501" s="14"/>
      <c r="BY501" s="14"/>
      <c r="BZ501" s="14"/>
      <c r="CA501" s="14"/>
      <c r="CB501" s="14"/>
      <c r="CC501" s="14"/>
      <c r="CD501" s="14"/>
      <c r="CE501" s="14"/>
      <c r="CF501" s="14"/>
      <c r="CG501" s="14"/>
      <c r="CH501" s="14"/>
      <c r="CI501" s="14"/>
      <c r="CJ501" s="14"/>
      <c r="CK501" s="14"/>
      <c r="CL501" s="14"/>
      <c r="CR501" s="1" t="s">
        <v>120</v>
      </c>
      <c r="CS501" s="1" t="s">
        <v>1406</v>
      </c>
      <c r="CT501" s="14"/>
      <c r="CU501" s="1" t="s">
        <v>123</v>
      </c>
      <c r="CV501" s="1" t="s">
        <v>124</v>
      </c>
      <c r="CW501" s="3"/>
      <c r="DG501" s="4"/>
    </row>
    <row r="502" customFormat="false" ht="11.25" hidden="false" customHeight="true" outlineLevel="0" collapsed="false">
      <c r="A502" s="14"/>
      <c r="B502" s="15"/>
      <c r="C502" s="15"/>
      <c r="D502" s="14"/>
      <c r="E502" s="14"/>
      <c r="F502" s="14"/>
      <c r="G502" s="14"/>
      <c r="H502" s="15"/>
      <c r="I502" s="15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  <c r="BP502" s="14"/>
      <c r="BQ502" s="14"/>
      <c r="BR502" s="14"/>
      <c r="BS502" s="14"/>
      <c r="BT502" s="14"/>
      <c r="BU502" s="14"/>
      <c r="BV502" s="14"/>
      <c r="BW502" s="14"/>
      <c r="BX502" s="14"/>
      <c r="BY502" s="14"/>
      <c r="BZ502" s="14"/>
      <c r="CA502" s="14"/>
      <c r="CB502" s="14"/>
      <c r="CC502" s="14"/>
      <c r="CD502" s="14"/>
      <c r="CE502" s="14"/>
      <c r="CF502" s="14"/>
      <c r="CG502" s="14"/>
      <c r="CH502" s="14"/>
      <c r="CI502" s="14"/>
      <c r="CJ502" s="14"/>
      <c r="CK502" s="14"/>
      <c r="CL502" s="14"/>
      <c r="CT502" s="14"/>
      <c r="CW502" s="3"/>
      <c r="DG502" s="4"/>
    </row>
    <row r="503" customFormat="false" ht="11.25" hidden="false" customHeight="true" outlineLevel="0" collapsed="false">
      <c r="A503" s="14"/>
      <c r="B503" s="15"/>
      <c r="C503" s="15"/>
      <c r="D503" s="14"/>
      <c r="E503" s="14"/>
      <c r="F503" s="14"/>
      <c r="G503" s="14"/>
      <c r="H503" s="15"/>
      <c r="I503" s="15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  <c r="BP503" s="14"/>
      <c r="BQ503" s="14"/>
      <c r="BR503" s="14"/>
      <c r="BS503" s="14"/>
      <c r="BT503" s="14"/>
      <c r="BU503" s="14"/>
      <c r="BV503" s="14"/>
      <c r="BW503" s="14"/>
      <c r="BX503" s="14"/>
      <c r="BY503" s="14"/>
      <c r="BZ503" s="14"/>
      <c r="CA503" s="14"/>
      <c r="CB503" s="14"/>
      <c r="CC503" s="14"/>
      <c r="CD503" s="14"/>
      <c r="CE503" s="14"/>
      <c r="CF503" s="14"/>
      <c r="CG503" s="14"/>
      <c r="CH503" s="14"/>
      <c r="CI503" s="14"/>
      <c r="CJ503" s="14"/>
      <c r="CK503" s="14"/>
      <c r="CL503" s="14"/>
      <c r="CT503" s="14"/>
      <c r="CW503" s="3"/>
      <c r="DG503" s="4"/>
    </row>
    <row r="504" customFormat="false" ht="11.25" hidden="false" customHeight="true" outlineLevel="0" collapsed="false">
      <c r="A504" s="14"/>
      <c r="B504" s="15"/>
      <c r="C504" s="15"/>
      <c r="D504" s="14"/>
      <c r="E504" s="14"/>
      <c r="F504" s="14"/>
      <c r="G504" s="14"/>
      <c r="H504" s="15"/>
      <c r="I504" s="15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  <c r="BP504" s="14"/>
      <c r="BQ504" s="14"/>
      <c r="BR504" s="14"/>
      <c r="BS504" s="14"/>
      <c r="BT504" s="14"/>
      <c r="BU504" s="14"/>
      <c r="BV504" s="14"/>
      <c r="BW504" s="14"/>
      <c r="BX504" s="14"/>
      <c r="BY504" s="14"/>
      <c r="BZ504" s="14"/>
      <c r="CA504" s="14"/>
      <c r="CB504" s="14"/>
      <c r="CC504" s="14"/>
      <c r="CD504" s="14"/>
      <c r="CE504" s="14"/>
      <c r="CF504" s="14"/>
      <c r="CG504" s="14"/>
      <c r="CH504" s="14"/>
      <c r="CI504" s="14"/>
      <c r="CJ504" s="14"/>
      <c r="CK504" s="14"/>
      <c r="CL504" s="14"/>
      <c r="CT504" s="14"/>
      <c r="CW504" s="3"/>
      <c r="DG504" s="4"/>
    </row>
    <row r="505" customFormat="false" ht="11.25" hidden="false" customHeight="true" outlineLevel="0" collapsed="false">
      <c r="A505" s="14"/>
      <c r="B505" s="15"/>
      <c r="C505" s="15"/>
      <c r="D505" s="14"/>
      <c r="E505" s="14"/>
      <c r="F505" s="14"/>
      <c r="G505" s="14"/>
      <c r="H505" s="15"/>
      <c r="I505" s="15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  <c r="BP505" s="14"/>
      <c r="BQ505" s="14"/>
      <c r="BR505" s="14"/>
      <c r="BS505" s="14"/>
      <c r="BT505" s="14"/>
      <c r="BU505" s="14"/>
      <c r="BV505" s="14"/>
      <c r="BW505" s="14"/>
      <c r="BX505" s="14"/>
      <c r="BY505" s="14"/>
      <c r="BZ505" s="14"/>
      <c r="CA505" s="14"/>
      <c r="CB505" s="14"/>
      <c r="CC505" s="14"/>
      <c r="CD505" s="14"/>
      <c r="CE505" s="14"/>
      <c r="CF505" s="14"/>
      <c r="CG505" s="14"/>
      <c r="CH505" s="14"/>
      <c r="CI505" s="14"/>
      <c r="CJ505" s="14"/>
      <c r="CK505" s="14"/>
      <c r="CL505" s="14"/>
      <c r="CT505" s="14"/>
      <c r="CW505" s="3"/>
      <c r="DG505" s="4"/>
    </row>
    <row r="506" customFormat="false" ht="11.25" hidden="false" customHeight="true" outlineLevel="0" collapsed="false">
      <c r="A506" s="14"/>
      <c r="B506" s="15"/>
      <c r="C506" s="15"/>
      <c r="D506" s="14"/>
      <c r="E506" s="14"/>
      <c r="F506" s="14"/>
      <c r="G506" s="14"/>
      <c r="H506" s="15"/>
      <c r="I506" s="15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  <c r="BP506" s="14"/>
      <c r="BQ506" s="14"/>
      <c r="BR506" s="14"/>
      <c r="BS506" s="14"/>
      <c r="BT506" s="14"/>
      <c r="BU506" s="14"/>
      <c r="BV506" s="14"/>
      <c r="BW506" s="14"/>
      <c r="BX506" s="14"/>
      <c r="BY506" s="14"/>
      <c r="BZ506" s="14"/>
      <c r="CA506" s="14"/>
      <c r="CB506" s="14"/>
      <c r="CC506" s="14"/>
      <c r="CD506" s="14"/>
      <c r="CE506" s="14"/>
      <c r="CF506" s="14"/>
      <c r="CG506" s="14"/>
      <c r="CH506" s="14"/>
      <c r="CI506" s="14"/>
      <c r="CJ506" s="14"/>
      <c r="CK506" s="14"/>
      <c r="CL506" s="14"/>
      <c r="CT506" s="14"/>
      <c r="CW506" s="3"/>
      <c r="DG506" s="4"/>
    </row>
    <row r="507" customFormat="false" ht="11.25" hidden="false" customHeight="true" outlineLevel="0" collapsed="false">
      <c r="A507" s="14"/>
      <c r="B507" s="15"/>
      <c r="C507" s="15"/>
      <c r="D507" s="14"/>
      <c r="E507" s="14"/>
      <c r="F507" s="14"/>
      <c r="G507" s="14"/>
      <c r="H507" s="15"/>
      <c r="I507" s="15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  <c r="BP507" s="14"/>
      <c r="BQ507" s="14"/>
      <c r="BR507" s="14"/>
      <c r="BS507" s="14"/>
      <c r="BT507" s="14"/>
      <c r="BU507" s="14"/>
      <c r="BV507" s="14"/>
      <c r="BW507" s="14"/>
      <c r="BX507" s="14"/>
      <c r="BY507" s="14"/>
      <c r="BZ507" s="14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T507" s="14"/>
      <c r="CW507" s="3"/>
      <c r="DG507" s="4"/>
    </row>
    <row r="508" customFormat="false" ht="11.25" hidden="false" customHeight="true" outlineLevel="0" collapsed="false">
      <c r="A508" s="14"/>
      <c r="B508" s="15"/>
      <c r="C508" s="15"/>
      <c r="D508" s="14"/>
      <c r="E508" s="14"/>
      <c r="F508" s="14"/>
      <c r="G508" s="14"/>
      <c r="H508" s="15"/>
      <c r="I508" s="15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  <c r="BP508" s="14"/>
      <c r="BQ508" s="14"/>
      <c r="BR508" s="14"/>
      <c r="BS508" s="14"/>
      <c r="BT508" s="14"/>
      <c r="BU508" s="14"/>
      <c r="BV508" s="14"/>
      <c r="BW508" s="14"/>
      <c r="BX508" s="14"/>
      <c r="BY508" s="14"/>
      <c r="BZ508" s="1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T508" s="14"/>
      <c r="CW508" s="3"/>
      <c r="DG508" s="4"/>
    </row>
    <row r="509" customFormat="false" ht="11.25" hidden="false" customHeight="true" outlineLevel="0" collapsed="false">
      <c r="A509" s="14"/>
      <c r="B509" s="15"/>
      <c r="C509" s="15"/>
      <c r="D509" s="14"/>
      <c r="E509" s="14"/>
      <c r="F509" s="14"/>
      <c r="G509" s="14"/>
      <c r="H509" s="15"/>
      <c r="I509" s="15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  <c r="BP509" s="14"/>
      <c r="BQ509" s="14"/>
      <c r="BR509" s="14"/>
      <c r="BS509" s="14"/>
      <c r="BT509" s="14"/>
      <c r="BU509" s="14"/>
      <c r="BV509" s="14"/>
      <c r="BW509" s="14"/>
      <c r="BX509" s="14"/>
      <c r="BY509" s="14"/>
      <c r="BZ509" s="14"/>
      <c r="CA509" s="14"/>
      <c r="CB509" s="14"/>
      <c r="CC509" s="14"/>
      <c r="CD509" s="14"/>
      <c r="CE509" s="14"/>
      <c r="CF509" s="14"/>
      <c r="CG509" s="14"/>
      <c r="CH509" s="14"/>
      <c r="CI509" s="14"/>
      <c r="CJ509" s="14"/>
      <c r="CK509" s="14"/>
      <c r="CL509" s="14"/>
      <c r="CT509" s="14"/>
      <c r="CW509" s="3"/>
      <c r="DG509" s="4"/>
    </row>
    <row r="510" customFormat="false" ht="11.25" hidden="false" customHeight="true" outlineLevel="0" collapsed="false">
      <c r="A510" s="14"/>
      <c r="B510" s="15"/>
      <c r="C510" s="15"/>
      <c r="D510" s="14"/>
      <c r="E510" s="14"/>
      <c r="F510" s="14"/>
      <c r="G510" s="14"/>
      <c r="H510" s="15"/>
      <c r="I510" s="15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  <c r="BP510" s="14"/>
      <c r="BQ510" s="14"/>
      <c r="BR510" s="14"/>
      <c r="BS510" s="14"/>
      <c r="BT510" s="14"/>
      <c r="BU510" s="14"/>
      <c r="BV510" s="14"/>
      <c r="BW510" s="14"/>
      <c r="BX510" s="14"/>
      <c r="BY510" s="14"/>
      <c r="BZ510" s="14"/>
      <c r="CA510" s="14"/>
      <c r="CB510" s="14"/>
      <c r="CC510" s="14"/>
      <c r="CD510" s="14"/>
      <c r="CE510" s="14"/>
      <c r="CF510" s="14"/>
      <c r="CG510" s="14"/>
      <c r="CH510" s="14"/>
      <c r="CI510" s="14"/>
      <c r="CJ510" s="14"/>
      <c r="CK510" s="14"/>
      <c r="CL510" s="14"/>
      <c r="CT510" s="14"/>
      <c r="CW510" s="3"/>
      <c r="DG510" s="4"/>
    </row>
    <row r="511" customFormat="false" ht="11.25" hidden="false" customHeight="true" outlineLevel="0" collapsed="false">
      <c r="A511" s="14"/>
      <c r="B511" s="15"/>
      <c r="C511" s="15"/>
      <c r="D511" s="14"/>
      <c r="E511" s="14"/>
      <c r="F511" s="14"/>
      <c r="G511" s="14"/>
      <c r="H511" s="15"/>
      <c r="I511" s="15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  <c r="BP511" s="14"/>
      <c r="BQ511" s="14"/>
      <c r="BR511" s="14"/>
      <c r="BS511" s="14"/>
      <c r="BT511" s="14"/>
      <c r="BU511" s="14"/>
      <c r="BV511" s="14"/>
      <c r="BW511" s="14"/>
      <c r="BX511" s="14"/>
      <c r="BY511" s="14"/>
      <c r="BZ511" s="14"/>
      <c r="CA511" s="14"/>
      <c r="CB511" s="14"/>
      <c r="CC511" s="14"/>
      <c r="CD511" s="14"/>
      <c r="CE511" s="14"/>
      <c r="CF511" s="14"/>
      <c r="CG511" s="14"/>
      <c r="CH511" s="14"/>
      <c r="CI511" s="14"/>
      <c r="CJ511" s="14"/>
      <c r="CK511" s="14"/>
      <c r="CL511" s="14"/>
      <c r="CT511" s="14"/>
      <c r="CW511" s="3"/>
      <c r="DG511" s="4"/>
    </row>
    <row r="512" customFormat="false" ht="11.25" hidden="false" customHeight="true" outlineLevel="0" collapsed="false">
      <c r="A512" s="14"/>
      <c r="B512" s="15"/>
      <c r="C512" s="15"/>
      <c r="D512" s="14"/>
      <c r="E512" s="14"/>
      <c r="F512" s="14"/>
      <c r="G512" s="14"/>
      <c r="H512" s="15"/>
      <c r="I512" s="15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  <c r="BP512" s="14"/>
      <c r="BQ512" s="14"/>
      <c r="BR512" s="14"/>
      <c r="BS512" s="14"/>
      <c r="BT512" s="14"/>
      <c r="BU512" s="14"/>
      <c r="BV512" s="14"/>
      <c r="BW512" s="14"/>
      <c r="BX512" s="14"/>
      <c r="BY512" s="14"/>
      <c r="BZ512" s="14"/>
      <c r="CA512" s="14"/>
      <c r="CB512" s="14"/>
      <c r="CC512" s="14"/>
      <c r="CD512" s="14"/>
      <c r="CE512" s="14"/>
      <c r="CF512" s="14"/>
      <c r="CG512" s="14"/>
      <c r="CH512" s="14"/>
      <c r="CI512" s="14"/>
      <c r="CJ512" s="14"/>
      <c r="CK512" s="14"/>
      <c r="CL512" s="14"/>
      <c r="CT512" s="14"/>
      <c r="CW512" s="3"/>
      <c r="DG512" s="4"/>
    </row>
    <row r="513" customFormat="false" ht="11.25" hidden="false" customHeight="true" outlineLevel="0" collapsed="false">
      <c r="A513" s="14"/>
      <c r="B513" s="15"/>
      <c r="C513" s="15"/>
      <c r="D513" s="14"/>
      <c r="E513" s="14"/>
      <c r="F513" s="14"/>
      <c r="G513" s="14"/>
      <c r="H513" s="15"/>
      <c r="I513" s="15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  <c r="BP513" s="14"/>
      <c r="BQ513" s="14"/>
      <c r="BR513" s="14"/>
      <c r="BS513" s="14"/>
      <c r="BT513" s="14"/>
      <c r="BU513" s="14"/>
      <c r="BV513" s="14"/>
      <c r="BW513" s="14"/>
      <c r="BX513" s="14"/>
      <c r="BY513" s="14"/>
      <c r="BZ513" s="14"/>
      <c r="CA513" s="14"/>
      <c r="CB513" s="14"/>
      <c r="CC513" s="14"/>
      <c r="CD513" s="14"/>
      <c r="CE513" s="14"/>
      <c r="CF513" s="14"/>
      <c r="CG513" s="14"/>
      <c r="CH513" s="14"/>
      <c r="CI513" s="14"/>
      <c r="CJ513" s="14"/>
      <c r="CK513" s="14"/>
      <c r="CL513" s="14"/>
      <c r="CT513" s="14"/>
      <c r="CW513" s="3"/>
      <c r="DG513" s="4"/>
    </row>
    <row r="514" customFormat="false" ht="11.25" hidden="false" customHeight="true" outlineLevel="0" collapsed="false">
      <c r="A514" s="14"/>
      <c r="B514" s="15"/>
      <c r="C514" s="15"/>
      <c r="D514" s="14"/>
      <c r="E514" s="14"/>
      <c r="F514" s="14"/>
      <c r="G514" s="14"/>
      <c r="H514" s="15"/>
      <c r="I514" s="15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  <c r="BP514" s="14"/>
      <c r="BQ514" s="14"/>
      <c r="BR514" s="14"/>
      <c r="BS514" s="14"/>
      <c r="BT514" s="14"/>
      <c r="BU514" s="14"/>
      <c r="BV514" s="14"/>
      <c r="BW514" s="14"/>
      <c r="BX514" s="14"/>
      <c r="BY514" s="14"/>
      <c r="BZ514" s="14"/>
      <c r="CA514" s="14"/>
      <c r="CB514" s="14"/>
      <c r="CC514" s="14"/>
      <c r="CD514" s="14"/>
      <c r="CE514" s="14"/>
      <c r="CF514" s="14"/>
      <c r="CG514" s="14"/>
      <c r="CH514" s="14"/>
      <c r="CI514" s="14"/>
      <c r="CJ514" s="14"/>
      <c r="CK514" s="14"/>
      <c r="CL514" s="14"/>
      <c r="CT514" s="14"/>
      <c r="CW514" s="3"/>
      <c r="DG514" s="4"/>
    </row>
    <row r="515" customFormat="false" ht="11.25" hidden="false" customHeight="true" outlineLevel="0" collapsed="false">
      <c r="A515" s="14"/>
      <c r="B515" s="15"/>
      <c r="C515" s="15"/>
      <c r="D515" s="14"/>
      <c r="E515" s="14"/>
      <c r="F515" s="14"/>
      <c r="G515" s="14"/>
      <c r="H515" s="15"/>
      <c r="I515" s="15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  <c r="BP515" s="14"/>
      <c r="BQ515" s="14"/>
      <c r="BR515" s="14"/>
      <c r="BS515" s="14"/>
      <c r="BT515" s="14"/>
      <c r="BU515" s="14"/>
      <c r="BV515" s="14"/>
      <c r="BW515" s="14"/>
      <c r="BX515" s="14"/>
      <c r="BY515" s="14"/>
      <c r="BZ515" s="14"/>
      <c r="CA515" s="14"/>
      <c r="CB515" s="14"/>
      <c r="CC515" s="14"/>
      <c r="CD515" s="14"/>
      <c r="CE515" s="14"/>
      <c r="CF515" s="14"/>
      <c r="CG515" s="14"/>
      <c r="CH515" s="14"/>
      <c r="CI515" s="14"/>
      <c r="CJ515" s="14"/>
      <c r="CK515" s="14"/>
      <c r="CL515" s="14"/>
      <c r="CT515" s="14"/>
      <c r="CW515" s="3"/>
      <c r="DG515" s="4"/>
    </row>
    <row r="516" customFormat="false" ht="11.25" hidden="false" customHeight="true" outlineLevel="0" collapsed="false">
      <c r="A516" s="14"/>
      <c r="B516" s="15"/>
      <c r="C516" s="15"/>
      <c r="D516" s="14"/>
      <c r="E516" s="14"/>
      <c r="F516" s="14"/>
      <c r="G516" s="14"/>
      <c r="H516" s="15"/>
      <c r="I516" s="15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  <c r="BP516" s="14"/>
      <c r="BQ516" s="14"/>
      <c r="BR516" s="14"/>
      <c r="BS516" s="14"/>
      <c r="BT516" s="14"/>
      <c r="BU516" s="14"/>
      <c r="BV516" s="14"/>
      <c r="BW516" s="14"/>
      <c r="BX516" s="14"/>
      <c r="BY516" s="14"/>
      <c r="BZ516" s="14"/>
      <c r="CA516" s="14"/>
      <c r="CB516" s="14"/>
      <c r="CC516" s="14"/>
      <c r="CD516" s="14"/>
      <c r="CE516" s="14"/>
      <c r="CF516" s="14"/>
      <c r="CG516" s="14"/>
      <c r="CH516" s="14"/>
      <c r="CI516" s="14"/>
      <c r="CJ516" s="14"/>
      <c r="CK516" s="14"/>
      <c r="CL516" s="14"/>
      <c r="CT516" s="14"/>
      <c r="CW516" s="3"/>
      <c r="DG516" s="4"/>
    </row>
    <row r="517" customFormat="false" ht="11.25" hidden="false" customHeight="true" outlineLevel="0" collapsed="false">
      <c r="A517" s="14"/>
      <c r="B517" s="15"/>
      <c r="C517" s="15"/>
      <c r="D517" s="14"/>
      <c r="E517" s="14"/>
      <c r="F517" s="14"/>
      <c r="G517" s="14"/>
      <c r="H517" s="15"/>
      <c r="I517" s="15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  <c r="BP517" s="14"/>
      <c r="BQ517" s="14"/>
      <c r="BR517" s="14"/>
      <c r="BS517" s="14"/>
      <c r="BT517" s="14"/>
      <c r="BU517" s="14"/>
      <c r="BV517" s="14"/>
      <c r="BW517" s="14"/>
      <c r="BX517" s="14"/>
      <c r="BY517" s="14"/>
      <c r="BZ517" s="14"/>
      <c r="CA517" s="14"/>
      <c r="CB517" s="14"/>
      <c r="CC517" s="14"/>
      <c r="CD517" s="14"/>
      <c r="CE517" s="14"/>
      <c r="CF517" s="14"/>
      <c r="CG517" s="14"/>
      <c r="CH517" s="14"/>
      <c r="CI517" s="14"/>
      <c r="CJ517" s="14"/>
      <c r="CK517" s="14"/>
      <c r="CL517" s="14"/>
      <c r="CT517" s="14"/>
      <c r="CW517" s="3"/>
      <c r="DG517" s="4"/>
    </row>
    <row r="518" customFormat="false" ht="11.25" hidden="false" customHeight="true" outlineLevel="0" collapsed="false">
      <c r="A518" s="14"/>
      <c r="B518" s="15"/>
      <c r="C518" s="15"/>
      <c r="D518" s="14"/>
      <c r="E518" s="14"/>
      <c r="F518" s="14"/>
      <c r="G518" s="14"/>
      <c r="H518" s="15"/>
      <c r="I518" s="15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  <c r="BP518" s="14"/>
      <c r="BQ518" s="14"/>
      <c r="BR518" s="14"/>
      <c r="BS518" s="14"/>
      <c r="BT518" s="14"/>
      <c r="BU518" s="14"/>
      <c r="BV518" s="14"/>
      <c r="BW518" s="14"/>
      <c r="BX518" s="14"/>
      <c r="BY518" s="14"/>
      <c r="BZ518" s="14"/>
      <c r="CA518" s="14"/>
      <c r="CB518" s="14"/>
      <c r="CC518" s="14"/>
      <c r="CD518" s="14"/>
      <c r="CE518" s="14"/>
      <c r="CF518" s="14"/>
      <c r="CG518" s="14"/>
      <c r="CH518" s="14"/>
      <c r="CI518" s="14"/>
      <c r="CJ518" s="14"/>
      <c r="CK518" s="14"/>
      <c r="CL518" s="14"/>
      <c r="CT518" s="14"/>
      <c r="CW518" s="3"/>
      <c r="DG518" s="4"/>
    </row>
    <row r="519" customFormat="false" ht="11.25" hidden="false" customHeight="true" outlineLevel="0" collapsed="false">
      <c r="A519" s="14"/>
      <c r="B519" s="15"/>
      <c r="C519" s="15"/>
      <c r="D519" s="14"/>
      <c r="E519" s="14"/>
      <c r="F519" s="14"/>
      <c r="G519" s="14"/>
      <c r="H519" s="15"/>
      <c r="I519" s="15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  <c r="BP519" s="14"/>
      <c r="BQ519" s="14"/>
      <c r="BR519" s="14"/>
      <c r="BS519" s="14"/>
      <c r="BT519" s="14"/>
      <c r="BU519" s="14"/>
      <c r="BV519" s="14"/>
      <c r="BW519" s="14"/>
      <c r="BX519" s="14"/>
      <c r="BY519" s="14"/>
      <c r="BZ519" s="14"/>
      <c r="CA519" s="14"/>
      <c r="CB519" s="14"/>
      <c r="CC519" s="14"/>
      <c r="CD519" s="14"/>
      <c r="CE519" s="14"/>
      <c r="CF519" s="14"/>
      <c r="CG519" s="14"/>
      <c r="CH519" s="14"/>
      <c r="CI519" s="14"/>
      <c r="CJ519" s="14"/>
      <c r="CK519" s="14"/>
      <c r="CL519" s="14"/>
      <c r="CT519" s="14"/>
      <c r="CW519" s="3"/>
      <c r="DG519" s="4"/>
    </row>
    <row r="520" customFormat="false" ht="11.25" hidden="false" customHeight="true" outlineLevel="0" collapsed="false">
      <c r="A520" s="14"/>
      <c r="B520" s="15"/>
      <c r="C520" s="15"/>
      <c r="D520" s="14"/>
      <c r="E520" s="14"/>
      <c r="F520" s="14"/>
      <c r="G520" s="14"/>
      <c r="H520" s="15"/>
      <c r="I520" s="15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  <c r="BP520" s="14"/>
      <c r="BQ520" s="14"/>
      <c r="BR520" s="14"/>
      <c r="BS520" s="14"/>
      <c r="BT520" s="14"/>
      <c r="BU520" s="14"/>
      <c r="BV520" s="14"/>
      <c r="BW520" s="14"/>
      <c r="BX520" s="14"/>
      <c r="BY520" s="14"/>
      <c r="BZ520" s="14"/>
      <c r="CA520" s="14"/>
      <c r="CB520" s="14"/>
      <c r="CC520" s="14"/>
      <c r="CD520" s="14"/>
      <c r="CE520" s="14"/>
      <c r="CF520" s="14"/>
      <c r="CG520" s="14"/>
      <c r="CH520" s="14"/>
      <c r="CI520" s="14"/>
      <c r="CJ520" s="14"/>
      <c r="CK520" s="14"/>
      <c r="CL520" s="14"/>
      <c r="CT520" s="14"/>
      <c r="CW520" s="3"/>
      <c r="DG520" s="4"/>
    </row>
    <row r="521" customFormat="false" ht="11.25" hidden="false" customHeight="true" outlineLevel="0" collapsed="false">
      <c r="A521" s="14"/>
      <c r="B521" s="15"/>
      <c r="C521" s="15"/>
      <c r="D521" s="14"/>
      <c r="E521" s="14"/>
      <c r="F521" s="14"/>
      <c r="G521" s="14"/>
      <c r="H521" s="15"/>
      <c r="I521" s="15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14"/>
      <c r="BS521" s="14"/>
      <c r="BT521" s="14"/>
      <c r="BU521" s="14"/>
      <c r="BV521" s="14"/>
      <c r="BW521" s="14"/>
      <c r="BX521" s="14"/>
      <c r="BY521" s="14"/>
      <c r="BZ521" s="14"/>
      <c r="CA521" s="14"/>
      <c r="CB521" s="14"/>
      <c r="CC521" s="14"/>
      <c r="CD521" s="14"/>
      <c r="CE521" s="14"/>
      <c r="CF521" s="14"/>
      <c r="CG521" s="14"/>
      <c r="CH521" s="14"/>
      <c r="CI521" s="14"/>
      <c r="CJ521" s="14"/>
      <c r="CK521" s="14"/>
      <c r="CL521" s="14"/>
      <c r="CT521" s="14"/>
      <c r="CW521" s="3"/>
      <c r="DG521" s="4"/>
    </row>
    <row r="522" customFormat="false" ht="11.25" hidden="false" customHeight="true" outlineLevel="0" collapsed="false">
      <c r="A522" s="14"/>
      <c r="B522" s="15"/>
      <c r="C522" s="15"/>
      <c r="D522" s="14"/>
      <c r="E522" s="14"/>
      <c r="F522" s="14"/>
      <c r="G522" s="14"/>
      <c r="H522" s="15"/>
      <c r="I522" s="15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  <c r="BP522" s="14"/>
      <c r="BQ522" s="14"/>
      <c r="BR522" s="14"/>
      <c r="BS522" s="14"/>
      <c r="BT522" s="14"/>
      <c r="BU522" s="14"/>
      <c r="BV522" s="14"/>
      <c r="BW522" s="14"/>
      <c r="BX522" s="14"/>
      <c r="BY522" s="14"/>
      <c r="BZ522" s="14"/>
      <c r="CA522" s="14"/>
      <c r="CB522" s="14"/>
      <c r="CC522" s="14"/>
      <c r="CD522" s="14"/>
      <c r="CE522" s="14"/>
      <c r="CF522" s="14"/>
      <c r="CG522" s="14"/>
      <c r="CH522" s="14"/>
      <c r="CI522" s="14"/>
      <c r="CJ522" s="14"/>
      <c r="CK522" s="14"/>
      <c r="CL522" s="14"/>
      <c r="CT522" s="14"/>
      <c r="CW522" s="3"/>
      <c r="DG522" s="4"/>
    </row>
    <row r="523" customFormat="false" ht="11.25" hidden="false" customHeight="true" outlineLevel="0" collapsed="false">
      <c r="A523" s="14"/>
      <c r="B523" s="15"/>
      <c r="C523" s="15"/>
      <c r="D523" s="14"/>
      <c r="E523" s="14"/>
      <c r="F523" s="14"/>
      <c r="G523" s="14"/>
      <c r="H523" s="15"/>
      <c r="I523" s="15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  <c r="BP523" s="14"/>
      <c r="BQ523" s="14"/>
      <c r="BR523" s="14"/>
      <c r="BS523" s="14"/>
      <c r="BT523" s="14"/>
      <c r="BU523" s="14"/>
      <c r="BV523" s="14"/>
      <c r="BW523" s="14"/>
      <c r="BX523" s="14"/>
      <c r="BY523" s="14"/>
      <c r="BZ523" s="14"/>
      <c r="CA523" s="14"/>
      <c r="CB523" s="14"/>
      <c r="CC523" s="14"/>
      <c r="CD523" s="14"/>
      <c r="CE523" s="14"/>
      <c r="CF523" s="14"/>
      <c r="CG523" s="14"/>
      <c r="CH523" s="14"/>
      <c r="CI523" s="14"/>
      <c r="CJ523" s="14"/>
      <c r="CK523" s="14"/>
      <c r="CL523" s="14"/>
      <c r="CT523" s="14"/>
      <c r="CW523" s="3"/>
      <c r="DG523" s="4"/>
    </row>
    <row r="524" customFormat="false" ht="11.25" hidden="false" customHeight="true" outlineLevel="0" collapsed="false">
      <c r="A524" s="14"/>
      <c r="B524" s="15"/>
      <c r="C524" s="15"/>
      <c r="D524" s="14"/>
      <c r="E524" s="14"/>
      <c r="F524" s="14"/>
      <c r="G524" s="14"/>
      <c r="H524" s="15"/>
      <c r="I524" s="15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  <c r="BP524" s="14"/>
      <c r="BQ524" s="14"/>
      <c r="BR524" s="14"/>
      <c r="BS524" s="14"/>
      <c r="BT524" s="14"/>
      <c r="BU524" s="14"/>
      <c r="BV524" s="14"/>
      <c r="BW524" s="14"/>
      <c r="BX524" s="14"/>
      <c r="BY524" s="14"/>
      <c r="BZ524" s="14"/>
      <c r="CA524" s="14"/>
      <c r="CB524" s="14"/>
      <c r="CC524" s="14"/>
      <c r="CD524" s="14"/>
      <c r="CE524" s="14"/>
      <c r="CF524" s="14"/>
      <c r="CG524" s="14"/>
      <c r="CH524" s="14"/>
      <c r="CI524" s="14"/>
      <c r="CJ524" s="14"/>
      <c r="CK524" s="14"/>
      <c r="CL524" s="14"/>
      <c r="CT524" s="14"/>
      <c r="CW524" s="3"/>
      <c r="DG524" s="4"/>
    </row>
    <row r="525" customFormat="false" ht="11.25" hidden="false" customHeight="true" outlineLevel="0" collapsed="false">
      <c r="A525" s="14"/>
      <c r="B525" s="15"/>
      <c r="C525" s="15"/>
      <c r="D525" s="14"/>
      <c r="E525" s="14"/>
      <c r="F525" s="14"/>
      <c r="G525" s="14"/>
      <c r="H525" s="15"/>
      <c r="I525" s="15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  <c r="BP525" s="14"/>
      <c r="BQ525" s="14"/>
      <c r="BR525" s="14"/>
      <c r="BS525" s="14"/>
      <c r="BT525" s="14"/>
      <c r="BU525" s="14"/>
      <c r="BV525" s="14"/>
      <c r="BW525" s="14"/>
      <c r="BX525" s="14"/>
      <c r="BY525" s="14"/>
      <c r="BZ525" s="14"/>
      <c r="CA525" s="14"/>
      <c r="CB525" s="14"/>
      <c r="CC525" s="14"/>
      <c r="CD525" s="14"/>
      <c r="CE525" s="14"/>
      <c r="CF525" s="14"/>
      <c r="CG525" s="14"/>
      <c r="CH525" s="14"/>
      <c r="CI525" s="14"/>
      <c r="CJ525" s="14"/>
      <c r="CK525" s="14"/>
      <c r="CL525" s="14"/>
      <c r="CT525" s="14"/>
      <c r="CW525" s="3"/>
      <c r="DG525" s="4"/>
    </row>
    <row r="526" customFormat="false" ht="11.25" hidden="false" customHeight="true" outlineLevel="0" collapsed="false">
      <c r="A526" s="14"/>
      <c r="B526" s="15"/>
      <c r="C526" s="15"/>
      <c r="D526" s="14"/>
      <c r="E526" s="14"/>
      <c r="F526" s="14"/>
      <c r="G526" s="14"/>
      <c r="H526" s="15"/>
      <c r="I526" s="15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  <c r="BP526" s="14"/>
      <c r="BQ526" s="14"/>
      <c r="BR526" s="14"/>
      <c r="BS526" s="14"/>
      <c r="BT526" s="14"/>
      <c r="BU526" s="14"/>
      <c r="BV526" s="14"/>
      <c r="BW526" s="14"/>
      <c r="BX526" s="14"/>
      <c r="BY526" s="14"/>
      <c r="BZ526" s="14"/>
      <c r="CA526" s="14"/>
      <c r="CB526" s="14"/>
      <c r="CC526" s="14"/>
      <c r="CD526" s="14"/>
      <c r="CE526" s="14"/>
      <c r="CF526" s="14"/>
      <c r="CG526" s="14"/>
      <c r="CH526" s="14"/>
      <c r="CI526" s="14"/>
      <c r="CJ526" s="14"/>
      <c r="CK526" s="14"/>
      <c r="CL526" s="14"/>
      <c r="CT526" s="14"/>
      <c r="CW526" s="3"/>
      <c r="DG526" s="4"/>
    </row>
    <row r="527" customFormat="false" ht="11.25" hidden="false" customHeight="true" outlineLevel="0" collapsed="false">
      <c r="A527" s="14"/>
      <c r="B527" s="15"/>
      <c r="C527" s="15"/>
      <c r="D527" s="14"/>
      <c r="E527" s="14"/>
      <c r="F527" s="14"/>
      <c r="G527" s="14"/>
      <c r="H527" s="15"/>
      <c r="I527" s="15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  <c r="BP527" s="14"/>
      <c r="BQ527" s="14"/>
      <c r="BR527" s="14"/>
      <c r="BS527" s="14"/>
      <c r="BT527" s="14"/>
      <c r="BU527" s="14"/>
      <c r="BV527" s="14"/>
      <c r="BW527" s="14"/>
      <c r="BX527" s="14"/>
      <c r="BY527" s="14"/>
      <c r="BZ527" s="14"/>
      <c r="CA527" s="14"/>
      <c r="CB527" s="14"/>
      <c r="CC527" s="14"/>
      <c r="CD527" s="14"/>
      <c r="CE527" s="14"/>
      <c r="CF527" s="14"/>
      <c r="CG527" s="14"/>
      <c r="CH527" s="14"/>
      <c r="CI527" s="14"/>
      <c r="CJ527" s="14"/>
      <c r="CK527" s="14"/>
      <c r="CL527" s="14"/>
      <c r="CT527" s="14"/>
      <c r="CW527" s="3"/>
      <c r="DG527" s="4"/>
    </row>
    <row r="528" customFormat="false" ht="11.25" hidden="false" customHeight="true" outlineLevel="0" collapsed="false">
      <c r="A528" s="14"/>
      <c r="B528" s="15"/>
      <c r="C528" s="15"/>
      <c r="D528" s="14"/>
      <c r="E528" s="14"/>
      <c r="F528" s="14"/>
      <c r="G528" s="14"/>
      <c r="H528" s="15"/>
      <c r="I528" s="15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  <c r="BP528" s="14"/>
      <c r="BQ528" s="14"/>
      <c r="BR528" s="14"/>
      <c r="BS528" s="14"/>
      <c r="BT528" s="14"/>
      <c r="BU528" s="14"/>
      <c r="BV528" s="14"/>
      <c r="BW528" s="14"/>
      <c r="BX528" s="14"/>
      <c r="BY528" s="14"/>
      <c r="BZ528" s="14"/>
      <c r="CA528" s="14"/>
      <c r="CB528" s="14"/>
      <c r="CC528" s="14"/>
      <c r="CD528" s="14"/>
      <c r="CE528" s="14"/>
      <c r="CF528" s="14"/>
      <c r="CG528" s="14"/>
      <c r="CH528" s="14"/>
      <c r="CI528" s="14"/>
      <c r="CJ528" s="14"/>
      <c r="CK528" s="14"/>
      <c r="CL528" s="14"/>
      <c r="CT528" s="14"/>
      <c r="CW528" s="3"/>
      <c r="DG528" s="4"/>
    </row>
    <row r="529" customFormat="false" ht="11.25" hidden="false" customHeight="true" outlineLevel="0" collapsed="false">
      <c r="A529" s="14"/>
      <c r="B529" s="15"/>
      <c r="C529" s="15"/>
      <c r="D529" s="14"/>
      <c r="E529" s="14"/>
      <c r="F529" s="14"/>
      <c r="G529" s="14"/>
      <c r="H529" s="15"/>
      <c r="I529" s="15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  <c r="BP529" s="14"/>
      <c r="BQ529" s="14"/>
      <c r="BR529" s="14"/>
      <c r="BS529" s="14"/>
      <c r="BT529" s="14"/>
      <c r="BU529" s="14"/>
      <c r="BV529" s="14"/>
      <c r="BW529" s="14"/>
      <c r="BX529" s="14"/>
      <c r="BY529" s="14"/>
      <c r="BZ529" s="14"/>
      <c r="CA529" s="14"/>
      <c r="CB529" s="14"/>
      <c r="CC529" s="14"/>
      <c r="CD529" s="14"/>
      <c r="CE529" s="14"/>
      <c r="CF529" s="14"/>
      <c r="CG529" s="14"/>
      <c r="CH529" s="14"/>
      <c r="CI529" s="14"/>
      <c r="CJ529" s="14"/>
      <c r="CK529" s="14"/>
      <c r="CL529" s="14"/>
      <c r="CT529" s="14"/>
      <c r="CW529" s="3"/>
      <c r="DG529" s="4"/>
    </row>
    <row r="530" customFormat="false" ht="11.25" hidden="false" customHeight="true" outlineLevel="0" collapsed="false">
      <c r="A530" s="14"/>
      <c r="B530" s="15"/>
      <c r="C530" s="15"/>
      <c r="D530" s="14"/>
      <c r="E530" s="14"/>
      <c r="F530" s="14"/>
      <c r="G530" s="14"/>
      <c r="H530" s="15"/>
      <c r="I530" s="15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  <c r="BP530" s="14"/>
      <c r="BQ530" s="14"/>
      <c r="BR530" s="14"/>
      <c r="BS530" s="14"/>
      <c r="BT530" s="14"/>
      <c r="BU530" s="14"/>
      <c r="BV530" s="14"/>
      <c r="BW530" s="14"/>
      <c r="BX530" s="14"/>
      <c r="BY530" s="14"/>
      <c r="BZ530" s="14"/>
      <c r="CA530" s="14"/>
      <c r="CB530" s="14"/>
      <c r="CC530" s="14"/>
      <c r="CD530" s="14"/>
      <c r="CE530" s="14"/>
      <c r="CF530" s="14"/>
      <c r="CG530" s="14"/>
      <c r="CH530" s="14"/>
      <c r="CI530" s="14"/>
      <c r="CJ530" s="14"/>
      <c r="CK530" s="14"/>
      <c r="CL530" s="14"/>
      <c r="CT530" s="14"/>
      <c r="CW530" s="3"/>
      <c r="DG530" s="4"/>
    </row>
    <row r="531" customFormat="false" ht="11.25" hidden="false" customHeight="true" outlineLevel="0" collapsed="false">
      <c r="A531" s="14"/>
      <c r="B531" s="15"/>
      <c r="C531" s="15"/>
      <c r="D531" s="14"/>
      <c r="E531" s="14"/>
      <c r="F531" s="14"/>
      <c r="G531" s="14"/>
      <c r="H531" s="15"/>
      <c r="I531" s="15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14"/>
      <c r="BS531" s="14"/>
      <c r="BT531" s="14"/>
      <c r="BU531" s="14"/>
      <c r="BV531" s="14"/>
      <c r="BW531" s="14"/>
      <c r="BX531" s="14"/>
      <c r="BY531" s="14"/>
      <c r="BZ531" s="14"/>
      <c r="CA531" s="14"/>
      <c r="CB531" s="14"/>
      <c r="CC531" s="14"/>
      <c r="CD531" s="14"/>
      <c r="CE531" s="14"/>
      <c r="CF531" s="14"/>
      <c r="CG531" s="14"/>
      <c r="CH531" s="14"/>
      <c r="CI531" s="14"/>
      <c r="CJ531" s="14"/>
      <c r="CK531" s="14"/>
      <c r="CL531" s="14"/>
      <c r="CT531" s="14"/>
      <c r="CW531" s="3"/>
      <c r="DG531" s="4"/>
    </row>
    <row r="532" customFormat="false" ht="11.25" hidden="false" customHeight="true" outlineLevel="0" collapsed="false">
      <c r="A532" s="14"/>
      <c r="B532" s="15"/>
      <c r="C532" s="15"/>
      <c r="D532" s="14"/>
      <c r="E532" s="14"/>
      <c r="F532" s="14"/>
      <c r="G532" s="14"/>
      <c r="H532" s="15"/>
      <c r="I532" s="15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  <c r="BP532" s="14"/>
      <c r="BQ532" s="14"/>
      <c r="BR532" s="14"/>
      <c r="BS532" s="14"/>
      <c r="BT532" s="14"/>
      <c r="BU532" s="14"/>
      <c r="BV532" s="14"/>
      <c r="BW532" s="14"/>
      <c r="BX532" s="14"/>
      <c r="BY532" s="14"/>
      <c r="BZ532" s="14"/>
      <c r="CA532" s="14"/>
      <c r="CB532" s="14"/>
      <c r="CC532" s="14"/>
      <c r="CD532" s="14"/>
      <c r="CE532" s="14"/>
      <c r="CF532" s="14"/>
      <c r="CG532" s="14"/>
      <c r="CH532" s="14"/>
      <c r="CI532" s="14"/>
      <c r="CJ532" s="14"/>
      <c r="CK532" s="14"/>
      <c r="CL532" s="14"/>
      <c r="CT532" s="14"/>
      <c r="CW532" s="3"/>
      <c r="DG532" s="4"/>
    </row>
    <row r="533" customFormat="false" ht="11.25" hidden="false" customHeight="true" outlineLevel="0" collapsed="false">
      <c r="A533" s="14"/>
      <c r="B533" s="15"/>
      <c r="C533" s="15"/>
      <c r="D533" s="14"/>
      <c r="E533" s="14"/>
      <c r="F533" s="14"/>
      <c r="G533" s="14"/>
      <c r="H533" s="15"/>
      <c r="I533" s="15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  <c r="BP533" s="14"/>
      <c r="BQ533" s="14"/>
      <c r="BR533" s="14"/>
      <c r="BS533" s="14"/>
      <c r="BT533" s="14"/>
      <c r="BU533" s="14"/>
      <c r="BV533" s="14"/>
      <c r="BW533" s="14"/>
      <c r="BX533" s="14"/>
      <c r="BY533" s="14"/>
      <c r="BZ533" s="14"/>
      <c r="CA533" s="14"/>
      <c r="CB533" s="14"/>
      <c r="CC533" s="14"/>
      <c r="CD533" s="14"/>
      <c r="CE533" s="14"/>
      <c r="CF533" s="14"/>
      <c r="CG533" s="14"/>
      <c r="CH533" s="14"/>
      <c r="CI533" s="14"/>
      <c r="CJ533" s="14"/>
      <c r="CK533" s="14"/>
      <c r="CL533" s="14"/>
      <c r="CT533" s="14"/>
      <c r="CW533" s="3"/>
      <c r="DG533" s="4"/>
    </row>
    <row r="534" customFormat="false" ht="11.25" hidden="false" customHeight="true" outlineLevel="0" collapsed="false">
      <c r="A534" s="14"/>
      <c r="B534" s="15"/>
      <c r="C534" s="15"/>
      <c r="D534" s="14"/>
      <c r="E534" s="14"/>
      <c r="F534" s="14"/>
      <c r="G534" s="14"/>
      <c r="H534" s="15"/>
      <c r="I534" s="15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  <c r="BP534" s="14"/>
      <c r="BQ534" s="14"/>
      <c r="BR534" s="14"/>
      <c r="BS534" s="14"/>
      <c r="BT534" s="14"/>
      <c r="BU534" s="14"/>
      <c r="BV534" s="14"/>
      <c r="BW534" s="14"/>
      <c r="BX534" s="14"/>
      <c r="BY534" s="14"/>
      <c r="BZ534" s="14"/>
      <c r="CA534" s="14"/>
      <c r="CB534" s="14"/>
      <c r="CC534" s="14"/>
      <c r="CD534" s="14"/>
      <c r="CE534" s="14"/>
      <c r="CF534" s="14"/>
      <c r="CG534" s="14"/>
      <c r="CH534" s="14"/>
      <c r="CI534" s="14"/>
      <c r="CJ534" s="14"/>
      <c r="CK534" s="14"/>
      <c r="CL534" s="14"/>
      <c r="CT534" s="14"/>
      <c r="CW534" s="3"/>
      <c r="DG534" s="4"/>
    </row>
    <row r="535" customFormat="false" ht="11.25" hidden="false" customHeight="true" outlineLevel="0" collapsed="false">
      <c r="A535" s="14"/>
      <c r="B535" s="15"/>
      <c r="C535" s="15"/>
      <c r="D535" s="14"/>
      <c r="E535" s="14"/>
      <c r="F535" s="14"/>
      <c r="G535" s="14"/>
      <c r="H535" s="15"/>
      <c r="I535" s="15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14"/>
      <c r="BS535" s="14"/>
      <c r="BT535" s="14"/>
      <c r="BU535" s="14"/>
      <c r="BV535" s="14"/>
      <c r="BW535" s="14"/>
      <c r="BX535" s="14"/>
      <c r="BY535" s="14"/>
      <c r="BZ535" s="14"/>
      <c r="CA535" s="14"/>
      <c r="CB535" s="14"/>
      <c r="CC535" s="14"/>
      <c r="CD535" s="14"/>
      <c r="CE535" s="14"/>
      <c r="CF535" s="14"/>
      <c r="CG535" s="14"/>
      <c r="CH535" s="14"/>
      <c r="CI535" s="14"/>
      <c r="CJ535" s="14"/>
      <c r="CK535" s="14"/>
      <c r="CL535" s="14"/>
      <c r="CT535" s="14"/>
      <c r="CW535" s="3"/>
      <c r="DG535" s="4"/>
    </row>
    <row r="536" customFormat="false" ht="11.25" hidden="false" customHeight="true" outlineLevel="0" collapsed="false">
      <c r="A536" s="14"/>
      <c r="B536" s="15"/>
      <c r="C536" s="15"/>
      <c r="D536" s="14"/>
      <c r="E536" s="14"/>
      <c r="F536" s="14"/>
      <c r="G536" s="14"/>
      <c r="H536" s="15"/>
      <c r="I536" s="15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  <c r="BP536" s="14"/>
      <c r="BQ536" s="14"/>
      <c r="BR536" s="14"/>
      <c r="BS536" s="14"/>
      <c r="BT536" s="14"/>
      <c r="BU536" s="14"/>
      <c r="BV536" s="14"/>
      <c r="BW536" s="14"/>
      <c r="BX536" s="14"/>
      <c r="BY536" s="14"/>
      <c r="BZ536" s="14"/>
      <c r="CA536" s="14"/>
      <c r="CB536" s="14"/>
      <c r="CC536" s="14"/>
      <c r="CD536" s="14"/>
      <c r="CE536" s="14"/>
      <c r="CF536" s="14"/>
      <c r="CG536" s="14"/>
      <c r="CH536" s="14"/>
      <c r="CI536" s="14"/>
      <c r="CJ536" s="14"/>
      <c r="CK536" s="14"/>
      <c r="CL536" s="14"/>
      <c r="CT536" s="14"/>
      <c r="CW536" s="3"/>
      <c r="DG536" s="4"/>
    </row>
    <row r="537" customFormat="false" ht="11.25" hidden="false" customHeight="true" outlineLevel="0" collapsed="false">
      <c r="A537" s="14"/>
      <c r="B537" s="15"/>
      <c r="C537" s="15"/>
      <c r="D537" s="14"/>
      <c r="E537" s="14"/>
      <c r="F537" s="14"/>
      <c r="G537" s="14"/>
      <c r="H537" s="15"/>
      <c r="I537" s="15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  <c r="BP537" s="14"/>
      <c r="BQ537" s="14"/>
      <c r="BR537" s="14"/>
      <c r="BS537" s="14"/>
      <c r="BT537" s="14"/>
      <c r="BU537" s="14"/>
      <c r="BV537" s="14"/>
      <c r="BW537" s="14"/>
      <c r="BX537" s="14"/>
      <c r="BY537" s="14"/>
      <c r="BZ537" s="14"/>
      <c r="CA537" s="14"/>
      <c r="CB537" s="14"/>
      <c r="CC537" s="14"/>
      <c r="CD537" s="14"/>
      <c r="CE537" s="14"/>
      <c r="CF537" s="14"/>
      <c r="CG537" s="14"/>
      <c r="CH537" s="14"/>
      <c r="CI537" s="14"/>
      <c r="CJ537" s="14"/>
      <c r="CK537" s="14"/>
      <c r="CL537" s="14"/>
      <c r="CT537" s="14"/>
      <c r="CW537" s="3"/>
      <c r="DG537" s="4"/>
    </row>
    <row r="538" customFormat="false" ht="11.25" hidden="false" customHeight="true" outlineLevel="0" collapsed="false">
      <c r="A538" s="14"/>
      <c r="B538" s="15"/>
      <c r="C538" s="15"/>
      <c r="D538" s="14"/>
      <c r="E538" s="14"/>
      <c r="F538" s="14"/>
      <c r="G538" s="14"/>
      <c r="H538" s="15"/>
      <c r="I538" s="15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  <c r="BP538" s="14"/>
      <c r="BQ538" s="14"/>
      <c r="BR538" s="14"/>
      <c r="BS538" s="14"/>
      <c r="BT538" s="14"/>
      <c r="BU538" s="14"/>
      <c r="BV538" s="14"/>
      <c r="BW538" s="14"/>
      <c r="BX538" s="14"/>
      <c r="BY538" s="14"/>
      <c r="BZ538" s="14"/>
      <c r="CA538" s="14"/>
      <c r="CB538" s="14"/>
      <c r="CC538" s="14"/>
      <c r="CD538" s="14"/>
      <c r="CE538" s="14"/>
      <c r="CF538" s="14"/>
      <c r="CG538" s="14"/>
      <c r="CH538" s="14"/>
      <c r="CI538" s="14"/>
      <c r="CJ538" s="14"/>
      <c r="CK538" s="14"/>
      <c r="CL538" s="14"/>
      <c r="CT538" s="14"/>
      <c r="CW538" s="3"/>
      <c r="DG538" s="4"/>
    </row>
    <row r="539" customFormat="false" ht="11.25" hidden="false" customHeight="true" outlineLevel="0" collapsed="false">
      <c r="A539" s="14"/>
      <c r="B539" s="15"/>
      <c r="C539" s="15"/>
      <c r="D539" s="14"/>
      <c r="E539" s="14"/>
      <c r="F539" s="14"/>
      <c r="G539" s="14"/>
      <c r="H539" s="15"/>
      <c r="I539" s="15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  <c r="BP539" s="14"/>
      <c r="BQ539" s="14"/>
      <c r="BR539" s="14"/>
      <c r="BS539" s="14"/>
      <c r="BT539" s="14"/>
      <c r="BU539" s="14"/>
      <c r="BV539" s="14"/>
      <c r="BW539" s="14"/>
      <c r="BX539" s="14"/>
      <c r="BY539" s="14"/>
      <c r="BZ539" s="14"/>
      <c r="CA539" s="14"/>
      <c r="CB539" s="14"/>
      <c r="CC539" s="14"/>
      <c r="CD539" s="14"/>
      <c r="CE539" s="14"/>
      <c r="CF539" s="14"/>
      <c r="CG539" s="14"/>
      <c r="CH539" s="14"/>
      <c r="CI539" s="14"/>
      <c r="CJ539" s="14"/>
      <c r="CK539" s="14"/>
      <c r="CL539" s="14"/>
      <c r="CT539" s="14"/>
      <c r="CW539" s="3"/>
      <c r="DG539" s="4"/>
    </row>
    <row r="540" customFormat="false" ht="11.25" hidden="false" customHeight="true" outlineLevel="0" collapsed="false">
      <c r="A540" s="14"/>
      <c r="B540" s="15"/>
      <c r="C540" s="15"/>
      <c r="D540" s="14"/>
      <c r="E540" s="14"/>
      <c r="F540" s="14"/>
      <c r="G540" s="14"/>
      <c r="H540" s="15"/>
      <c r="I540" s="15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  <c r="BP540" s="14"/>
      <c r="BQ540" s="14"/>
      <c r="BR540" s="14"/>
      <c r="BS540" s="14"/>
      <c r="BT540" s="14"/>
      <c r="BU540" s="14"/>
      <c r="BV540" s="14"/>
      <c r="BW540" s="14"/>
      <c r="BX540" s="14"/>
      <c r="BY540" s="14"/>
      <c r="BZ540" s="14"/>
      <c r="CA540" s="14"/>
      <c r="CB540" s="14"/>
      <c r="CC540" s="14"/>
      <c r="CD540" s="14"/>
      <c r="CE540" s="14"/>
      <c r="CF540" s="14"/>
      <c r="CG540" s="14"/>
      <c r="CH540" s="14"/>
      <c r="CI540" s="14"/>
      <c r="CJ540" s="14"/>
      <c r="CK540" s="14"/>
      <c r="CL540" s="14"/>
      <c r="CT540" s="14"/>
      <c r="CW540" s="3"/>
      <c r="DG540" s="4"/>
    </row>
    <row r="541" customFormat="false" ht="11.25" hidden="false" customHeight="true" outlineLevel="0" collapsed="false">
      <c r="A541" s="14"/>
      <c r="B541" s="15"/>
      <c r="C541" s="15"/>
      <c r="D541" s="14"/>
      <c r="E541" s="14"/>
      <c r="F541" s="14"/>
      <c r="G541" s="14"/>
      <c r="H541" s="15"/>
      <c r="I541" s="15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  <c r="BP541" s="14"/>
      <c r="BQ541" s="14"/>
      <c r="BR541" s="14"/>
      <c r="BS541" s="14"/>
      <c r="BT541" s="14"/>
      <c r="BU541" s="14"/>
      <c r="BV541" s="14"/>
      <c r="BW541" s="14"/>
      <c r="BX541" s="14"/>
      <c r="BY541" s="14"/>
      <c r="BZ541" s="14"/>
      <c r="CA541" s="14"/>
      <c r="CB541" s="14"/>
      <c r="CC541" s="14"/>
      <c r="CD541" s="14"/>
      <c r="CE541" s="14"/>
      <c r="CF541" s="14"/>
      <c r="CG541" s="14"/>
      <c r="CH541" s="14"/>
      <c r="CI541" s="14"/>
      <c r="CJ541" s="14"/>
      <c r="CK541" s="14"/>
      <c r="CL541" s="14"/>
      <c r="CT541" s="14"/>
      <c r="CW541" s="3"/>
      <c r="DG541" s="4"/>
    </row>
    <row r="542" customFormat="false" ht="11.25" hidden="false" customHeight="true" outlineLevel="0" collapsed="false">
      <c r="A542" s="14"/>
      <c r="B542" s="15"/>
      <c r="C542" s="15"/>
      <c r="D542" s="14"/>
      <c r="E542" s="14"/>
      <c r="F542" s="14"/>
      <c r="G542" s="14"/>
      <c r="H542" s="15"/>
      <c r="I542" s="15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  <c r="BP542" s="14"/>
      <c r="BQ542" s="14"/>
      <c r="BR542" s="14"/>
      <c r="BS542" s="14"/>
      <c r="BT542" s="14"/>
      <c r="BU542" s="14"/>
      <c r="BV542" s="14"/>
      <c r="BW542" s="14"/>
      <c r="BX542" s="14"/>
      <c r="BY542" s="14"/>
      <c r="BZ542" s="14"/>
      <c r="CA542" s="14"/>
      <c r="CB542" s="14"/>
      <c r="CC542" s="14"/>
      <c r="CD542" s="14"/>
      <c r="CE542" s="14"/>
      <c r="CF542" s="14"/>
      <c r="CG542" s="14"/>
      <c r="CH542" s="14"/>
      <c r="CI542" s="14"/>
      <c r="CJ542" s="14"/>
      <c r="CK542" s="14"/>
      <c r="CL542" s="14"/>
      <c r="CT542" s="14"/>
      <c r="CW542" s="3"/>
      <c r="DG542" s="4"/>
    </row>
    <row r="543" customFormat="false" ht="11.25" hidden="false" customHeight="true" outlineLevel="0" collapsed="false">
      <c r="A543" s="14"/>
      <c r="B543" s="15"/>
      <c r="C543" s="15"/>
      <c r="D543" s="14"/>
      <c r="E543" s="14"/>
      <c r="F543" s="14"/>
      <c r="G543" s="14"/>
      <c r="H543" s="15"/>
      <c r="I543" s="15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  <c r="BP543" s="14"/>
      <c r="BQ543" s="14"/>
      <c r="BR543" s="14"/>
      <c r="BS543" s="14"/>
      <c r="BT543" s="14"/>
      <c r="BU543" s="14"/>
      <c r="BV543" s="14"/>
      <c r="BW543" s="14"/>
      <c r="BX543" s="14"/>
      <c r="BY543" s="14"/>
      <c r="BZ543" s="14"/>
      <c r="CA543" s="14"/>
      <c r="CB543" s="14"/>
      <c r="CC543" s="14"/>
      <c r="CD543" s="14"/>
      <c r="CE543" s="14"/>
      <c r="CF543" s="14"/>
      <c r="CG543" s="14"/>
      <c r="CH543" s="14"/>
      <c r="CI543" s="14"/>
      <c r="CJ543" s="14"/>
      <c r="CK543" s="14"/>
      <c r="CL543" s="14"/>
      <c r="CT543" s="14"/>
      <c r="CW543" s="3"/>
      <c r="DG543" s="4"/>
    </row>
    <row r="544" customFormat="false" ht="11.25" hidden="false" customHeight="true" outlineLevel="0" collapsed="false">
      <c r="A544" s="14"/>
      <c r="B544" s="15"/>
      <c r="C544" s="15"/>
      <c r="D544" s="14"/>
      <c r="E544" s="14"/>
      <c r="F544" s="14"/>
      <c r="G544" s="14"/>
      <c r="H544" s="15"/>
      <c r="I544" s="15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  <c r="BP544" s="14"/>
      <c r="BQ544" s="14"/>
      <c r="BR544" s="14"/>
      <c r="BS544" s="14"/>
      <c r="BT544" s="14"/>
      <c r="BU544" s="14"/>
      <c r="BV544" s="14"/>
      <c r="BW544" s="14"/>
      <c r="BX544" s="14"/>
      <c r="BY544" s="14"/>
      <c r="BZ544" s="14"/>
      <c r="CA544" s="14"/>
      <c r="CB544" s="14"/>
      <c r="CC544" s="14"/>
      <c r="CD544" s="14"/>
      <c r="CE544" s="14"/>
      <c r="CF544" s="14"/>
      <c r="CG544" s="14"/>
      <c r="CH544" s="14"/>
      <c r="CI544" s="14"/>
      <c r="CJ544" s="14"/>
      <c r="CK544" s="14"/>
      <c r="CL544" s="14"/>
      <c r="CT544" s="14"/>
      <c r="CW544" s="3"/>
      <c r="DG544" s="4"/>
    </row>
    <row r="545" customFormat="false" ht="11.25" hidden="false" customHeight="true" outlineLevel="0" collapsed="false">
      <c r="A545" s="14"/>
      <c r="B545" s="15"/>
      <c r="C545" s="15"/>
      <c r="D545" s="14"/>
      <c r="E545" s="14"/>
      <c r="F545" s="14"/>
      <c r="G545" s="14"/>
      <c r="H545" s="15"/>
      <c r="I545" s="15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  <c r="BP545" s="14"/>
      <c r="BQ545" s="14"/>
      <c r="BR545" s="14"/>
      <c r="BS545" s="14"/>
      <c r="BT545" s="14"/>
      <c r="BU545" s="14"/>
      <c r="BV545" s="14"/>
      <c r="BW545" s="14"/>
      <c r="BX545" s="14"/>
      <c r="BY545" s="14"/>
      <c r="BZ545" s="14"/>
      <c r="CA545" s="14"/>
      <c r="CB545" s="14"/>
      <c r="CC545" s="14"/>
      <c r="CD545" s="14"/>
      <c r="CE545" s="14"/>
      <c r="CF545" s="14"/>
      <c r="CG545" s="14"/>
      <c r="CH545" s="14"/>
      <c r="CI545" s="14"/>
      <c r="CJ545" s="14"/>
      <c r="CK545" s="14"/>
      <c r="CL545" s="14"/>
      <c r="CT545" s="14"/>
      <c r="CW545" s="3"/>
      <c r="DG545" s="4"/>
    </row>
    <row r="546" customFormat="false" ht="11.25" hidden="false" customHeight="true" outlineLevel="0" collapsed="false">
      <c r="A546" s="14"/>
      <c r="B546" s="15"/>
      <c r="C546" s="15"/>
      <c r="D546" s="14"/>
      <c r="E546" s="14"/>
      <c r="F546" s="14"/>
      <c r="G546" s="14"/>
      <c r="H546" s="15"/>
      <c r="I546" s="15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  <c r="BP546" s="14"/>
      <c r="BQ546" s="14"/>
      <c r="BR546" s="14"/>
      <c r="BS546" s="14"/>
      <c r="BT546" s="14"/>
      <c r="BU546" s="14"/>
      <c r="BV546" s="14"/>
      <c r="BW546" s="14"/>
      <c r="BX546" s="14"/>
      <c r="BY546" s="14"/>
      <c r="BZ546" s="14"/>
      <c r="CA546" s="14"/>
      <c r="CB546" s="14"/>
      <c r="CC546" s="14"/>
      <c r="CD546" s="14"/>
      <c r="CE546" s="14"/>
      <c r="CF546" s="14"/>
      <c r="CG546" s="14"/>
      <c r="CH546" s="14"/>
      <c r="CI546" s="14"/>
      <c r="CJ546" s="14"/>
      <c r="CK546" s="14"/>
      <c r="CL546" s="14"/>
      <c r="CT546" s="14"/>
      <c r="CW546" s="3"/>
      <c r="DG546" s="4"/>
    </row>
    <row r="547" customFormat="false" ht="11.25" hidden="false" customHeight="true" outlineLevel="0" collapsed="false">
      <c r="A547" s="14"/>
      <c r="B547" s="15"/>
      <c r="C547" s="15"/>
      <c r="D547" s="14"/>
      <c r="E547" s="14"/>
      <c r="F547" s="14"/>
      <c r="G547" s="14"/>
      <c r="H547" s="15"/>
      <c r="I547" s="15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  <c r="BP547" s="14"/>
      <c r="BQ547" s="14"/>
      <c r="BR547" s="14"/>
      <c r="BS547" s="14"/>
      <c r="BT547" s="14"/>
      <c r="BU547" s="14"/>
      <c r="BV547" s="14"/>
      <c r="BW547" s="14"/>
      <c r="BX547" s="14"/>
      <c r="BY547" s="14"/>
      <c r="BZ547" s="14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T547" s="14"/>
      <c r="CW547" s="3"/>
      <c r="DG547" s="4"/>
    </row>
    <row r="548" customFormat="false" ht="11.25" hidden="false" customHeight="true" outlineLevel="0" collapsed="false">
      <c r="A548" s="14"/>
      <c r="B548" s="15"/>
      <c r="C548" s="15"/>
      <c r="D548" s="14"/>
      <c r="E548" s="14"/>
      <c r="F548" s="14"/>
      <c r="G548" s="14"/>
      <c r="H548" s="15"/>
      <c r="I548" s="15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  <c r="BP548" s="14"/>
      <c r="BQ548" s="14"/>
      <c r="BR548" s="14"/>
      <c r="BS548" s="14"/>
      <c r="BT548" s="14"/>
      <c r="BU548" s="14"/>
      <c r="BV548" s="14"/>
      <c r="BW548" s="14"/>
      <c r="BX548" s="14"/>
      <c r="BY548" s="14"/>
      <c r="BZ548" s="1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T548" s="14"/>
      <c r="CW548" s="3"/>
      <c r="DG548" s="4"/>
    </row>
    <row r="549" customFormat="false" ht="11.25" hidden="false" customHeight="true" outlineLevel="0" collapsed="false">
      <c r="A549" s="14"/>
      <c r="B549" s="15"/>
      <c r="C549" s="15"/>
      <c r="D549" s="14"/>
      <c r="E549" s="14"/>
      <c r="F549" s="14"/>
      <c r="G549" s="14"/>
      <c r="H549" s="15"/>
      <c r="I549" s="15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14"/>
      <c r="BQ549" s="14"/>
      <c r="BR549" s="14"/>
      <c r="BS549" s="14"/>
      <c r="BT549" s="14"/>
      <c r="BU549" s="14"/>
      <c r="BV549" s="14"/>
      <c r="BW549" s="14"/>
      <c r="BX549" s="14"/>
      <c r="BY549" s="14"/>
      <c r="BZ549" s="14"/>
      <c r="CA549" s="14"/>
      <c r="CB549" s="14"/>
      <c r="CC549" s="14"/>
      <c r="CD549" s="14"/>
      <c r="CE549" s="14"/>
      <c r="CF549" s="14"/>
      <c r="CG549" s="14"/>
      <c r="CH549" s="14"/>
      <c r="CI549" s="14"/>
      <c r="CJ549" s="14"/>
      <c r="CK549" s="14"/>
      <c r="CL549" s="14"/>
      <c r="CT549" s="14"/>
      <c r="CW549" s="3"/>
      <c r="DG549" s="4"/>
    </row>
    <row r="550" customFormat="false" ht="11.25" hidden="false" customHeight="true" outlineLevel="0" collapsed="false">
      <c r="A550" s="14"/>
      <c r="B550" s="15"/>
      <c r="C550" s="15"/>
      <c r="D550" s="14"/>
      <c r="E550" s="14"/>
      <c r="F550" s="14"/>
      <c r="G550" s="14"/>
      <c r="H550" s="15"/>
      <c r="I550" s="15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  <c r="BP550" s="14"/>
      <c r="BQ550" s="14"/>
      <c r="BR550" s="14"/>
      <c r="BS550" s="14"/>
      <c r="BT550" s="14"/>
      <c r="BU550" s="14"/>
      <c r="BV550" s="14"/>
      <c r="BW550" s="14"/>
      <c r="BX550" s="14"/>
      <c r="BY550" s="14"/>
      <c r="BZ550" s="14"/>
      <c r="CA550" s="14"/>
      <c r="CB550" s="14"/>
      <c r="CC550" s="14"/>
      <c r="CD550" s="14"/>
      <c r="CE550" s="14"/>
      <c r="CF550" s="14"/>
      <c r="CG550" s="14"/>
      <c r="CH550" s="14"/>
      <c r="CI550" s="14"/>
      <c r="CJ550" s="14"/>
      <c r="CK550" s="14"/>
      <c r="CL550" s="14"/>
      <c r="CT550" s="14"/>
      <c r="CW550" s="3"/>
      <c r="DG550" s="4"/>
    </row>
    <row r="551" customFormat="false" ht="11.25" hidden="false" customHeight="true" outlineLevel="0" collapsed="false">
      <c r="A551" s="14"/>
      <c r="B551" s="15"/>
      <c r="C551" s="15"/>
      <c r="D551" s="14"/>
      <c r="E551" s="14"/>
      <c r="F551" s="14"/>
      <c r="G551" s="14"/>
      <c r="H551" s="15"/>
      <c r="I551" s="15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  <c r="BP551" s="14"/>
      <c r="BQ551" s="14"/>
      <c r="BR551" s="14"/>
      <c r="BS551" s="14"/>
      <c r="BT551" s="14"/>
      <c r="BU551" s="14"/>
      <c r="BV551" s="14"/>
      <c r="BW551" s="14"/>
      <c r="BX551" s="14"/>
      <c r="BY551" s="14"/>
      <c r="BZ551" s="14"/>
      <c r="CA551" s="14"/>
      <c r="CB551" s="14"/>
      <c r="CC551" s="14"/>
      <c r="CD551" s="14"/>
      <c r="CE551" s="14"/>
      <c r="CF551" s="14"/>
      <c r="CG551" s="14"/>
      <c r="CH551" s="14"/>
      <c r="CI551" s="14"/>
      <c r="CJ551" s="14"/>
      <c r="CK551" s="14"/>
      <c r="CL551" s="14"/>
      <c r="CT551" s="14"/>
      <c r="CW551" s="3"/>
      <c r="DG551" s="4"/>
    </row>
    <row r="552" customFormat="false" ht="11.25" hidden="false" customHeight="true" outlineLevel="0" collapsed="false">
      <c r="A552" s="14"/>
      <c r="B552" s="15"/>
      <c r="C552" s="15"/>
      <c r="D552" s="14"/>
      <c r="E552" s="14"/>
      <c r="F552" s="14"/>
      <c r="G552" s="14"/>
      <c r="H552" s="15"/>
      <c r="I552" s="15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  <c r="BP552" s="14"/>
      <c r="BQ552" s="14"/>
      <c r="BR552" s="14"/>
      <c r="BS552" s="14"/>
      <c r="BT552" s="14"/>
      <c r="BU552" s="14"/>
      <c r="BV552" s="14"/>
      <c r="BW552" s="14"/>
      <c r="BX552" s="14"/>
      <c r="BY552" s="14"/>
      <c r="BZ552" s="14"/>
      <c r="CA552" s="14"/>
      <c r="CB552" s="14"/>
      <c r="CC552" s="14"/>
      <c r="CD552" s="14"/>
      <c r="CE552" s="14"/>
      <c r="CF552" s="14"/>
      <c r="CG552" s="14"/>
      <c r="CH552" s="14"/>
      <c r="CI552" s="14"/>
      <c r="CJ552" s="14"/>
      <c r="CK552" s="14"/>
      <c r="CL552" s="14"/>
      <c r="CT552" s="14"/>
      <c r="CW552" s="3"/>
      <c r="DG552" s="4"/>
    </row>
    <row r="553" customFormat="false" ht="11.25" hidden="false" customHeight="true" outlineLevel="0" collapsed="false">
      <c r="A553" s="14"/>
      <c r="B553" s="15"/>
      <c r="C553" s="15"/>
      <c r="D553" s="14"/>
      <c r="E553" s="14"/>
      <c r="F553" s="14"/>
      <c r="G553" s="14"/>
      <c r="H553" s="15"/>
      <c r="I553" s="15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  <c r="BP553" s="14"/>
      <c r="BQ553" s="14"/>
      <c r="BR553" s="14"/>
      <c r="BS553" s="14"/>
      <c r="BT553" s="14"/>
      <c r="BU553" s="14"/>
      <c r="BV553" s="14"/>
      <c r="BW553" s="14"/>
      <c r="BX553" s="14"/>
      <c r="BY553" s="14"/>
      <c r="BZ553" s="14"/>
      <c r="CA553" s="14"/>
      <c r="CB553" s="14"/>
      <c r="CC553" s="14"/>
      <c r="CD553" s="14"/>
      <c r="CE553" s="14"/>
      <c r="CF553" s="14"/>
      <c r="CG553" s="14"/>
      <c r="CH553" s="14"/>
      <c r="CI553" s="14"/>
      <c r="CJ553" s="14"/>
      <c r="CK553" s="14"/>
      <c r="CL553" s="14"/>
      <c r="CT553" s="14"/>
      <c r="CW553" s="3"/>
      <c r="DG553" s="4"/>
    </row>
    <row r="554" customFormat="false" ht="11.25" hidden="false" customHeight="true" outlineLevel="0" collapsed="false">
      <c r="A554" s="14"/>
      <c r="B554" s="15"/>
      <c r="C554" s="15"/>
      <c r="D554" s="14"/>
      <c r="E554" s="14"/>
      <c r="F554" s="14"/>
      <c r="G554" s="14"/>
      <c r="H554" s="15"/>
      <c r="I554" s="15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  <c r="BP554" s="14"/>
      <c r="BQ554" s="14"/>
      <c r="BR554" s="14"/>
      <c r="BS554" s="14"/>
      <c r="BT554" s="14"/>
      <c r="BU554" s="14"/>
      <c r="BV554" s="14"/>
      <c r="BW554" s="14"/>
      <c r="BX554" s="14"/>
      <c r="BY554" s="14"/>
      <c r="BZ554" s="14"/>
      <c r="CA554" s="14"/>
      <c r="CB554" s="14"/>
      <c r="CC554" s="14"/>
      <c r="CD554" s="14"/>
      <c r="CE554" s="14"/>
      <c r="CF554" s="14"/>
      <c r="CG554" s="14"/>
      <c r="CH554" s="14"/>
      <c r="CI554" s="14"/>
      <c r="CJ554" s="14"/>
      <c r="CK554" s="14"/>
      <c r="CL554" s="14"/>
      <c r="CT554" s="14"/>
      <c r="CW554" s="3"/>
      <c r="DG554" s="4"/>
    </row>
    <row r="555" customFormat="false" ht="11.25" hidden="false" customHeight="true" outlineLevel="0" collapsed="false">
      <c r="A555" s="14"/>
      <c r="B555" s="15"/>
      <c r="C555" s="15"/>
      <c r="D555" s="14"/>
      <c r="E555" s="14"/>
      <c r="F555" s="14"/>
      <c r="G555" s="14"/>
      <c r="H555" s="15"/>
      <c r="I555" s="15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14"/>
      <c r="BQ555" s="14"/>
      <c r="BR555" s="14"/>
      <c r="BS555" s="14"/>
      <c r="BT555" s="14"/>
      <c r="BU555" s="14"/>
      <c r="BV555" s="14"/>
      <c r="BW555" s="14"/>
      <c r="BX555" s="14"/>
      <c r="BY555" s="14"/>
      <c r="BZ555" s="14"/>
      <c r="CA555" s="14"/>
      <c r="CB555" s="14"/>
      <c r="CC555" s="14"/>
      <c r="CD555" s="14"/>
      <c r="CE555" s="14"/>
      <c r="CF555" s="14"/>
      <c r="CG555" s="14"/>
      <c r="CH555" s="14"/>
      <c r="CI555" s="14"/>
      <c r="CJ555" s="14"/>
      <c r="CK555" s="14"/>
      <c r="CL555" s="14"/>
      <c r="CT555" s="14"/>
      <c r="CW555" s="3"/>
      <c r="DG555" s="4"/>
    </row>
    <row r="556" customFormat="false" ht="11.25" hidden="false" customHeight="true" outlineLevel="0" collapsed="false">
      <c r="A556" s="14"/>
      <c r="B556" s="15"/>
      <c r="C556" s="15"/>
      <c r="D556" s="14"/>
      <c r="E556" s="14"/>
      <c r="F556" s="14"/>
      <c r="G556" s="14"/>
      <c r="H556" s="15"/>
      <c r="I556" s="15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  <c r="BP556" s="14"/>
      <c r="BQ556" s="14"/>
      <c r="BR556" s="14"/>
      <c r="BS556" s="14"/>
      <c r="BT556" s="14"/>
      <c r="BU556" s="14"/>
      <c r="BV556" s="14"/>
      <c r="BW556" s="14"/>
      <c r="BX556" s="14"/>
      <c r="BY556" s="14"/>
      <c r="BZ556" s="14"/>
      <c r="CA556" s="14"/>
      <c r="CB556" s="14"/>
      <c r="CC556" s="14"/>
      <c r="CD556" s="14"/>
      <c r="CE556" s="14"/>
      <c r="CF556" s="14"/>
      <c r="CG556" s="14"/>
      <c r="CH556" s="14"/>
      <c r="CI556" s="14"/>
      <c r="CJ556" s="14"/>
      <c r="CK556" s="14"/>
      <c r="CL556" s="14"/>
      <c r="CT556" s="14"/>
      <c r="CW556" s="3"/>
      <c r="DG556" s="4"/>
    </row>
    <row r="557" customFormat="false" ht="11.25" hidden="false" customHeight="true" outlineLevel="0" collapsed="false">
      <c r="A557" s="14"/>
      <c r="B557" s="15"/>
      <c r="C557" s="15"/>
      <c r="D557" s="14"/>
      <c r="E557" s="14"/>
      <c r="F557" s="14"/>
      <c r="G557" s="14"/>
      <c r="H557" s="15"/>
      <c r="I557" s="15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14"/>
      <c r="BQ557" s="14"/>
      <c r="BR557" s="14"/>
      <c r="BS557" s="14"/>
      <c r="BT557" s="14"/>
      <c r="BU557" s="14"/>
      <c r="BV557" s="14"/>
      <c r="BW557" s="14"/>
      <c r="BX557" s="14"/>
      <c r="BY557" s="14"/>
      <c r="BZ557" s="14"/>
      <c r="CA557" s="14"/>
      <c r="CB557" s="14"/>
      <c r="CC557" s="14"/>
      <c r="CD557" s="14"/>
      <c r="CE557" s="14"/>
      <c r="CF557" s="14"/>
      <c r="CG557" s="14"/>
      <c r="CH557" s="14"/>
      <c r="CI557" s="14"/>
      <c r="CJ557" s="14"/>
      <c r="CK557" s="14"/>
      <c r="CL557" s="14"/>
      <c r="CT557" s="14"/>
      <c r="CW557" s="3"/>
      <c r="DG557" s="4"/>
    </row>
    <row r="558" customFormat="false" ht="11.25" hidden="false" customHeight="true" outlineLevel="0" collapsed="false">
      <c r="A558" s="14"/>
      <c r="B558" s="15"/>
      <c r="C558" s="15"/>
      <c r="D558" s="14"/>
      <c r="E558" s="14"/>
      <c r="F558" s="14"/>
      <c r="G558" s="14"/>
      <c r="H558" s="15"/>
      <c r="I558" s="15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  <c r="BP558" s="14"/>
      <c r="BQ558" s="14"/>
      <c r="BR558" s="14"/>
      <c r="BS558" s="14"/>
      <c r="BT558" s="14"/>
      <c r="BU558" s="14"/>
      <c r="BV558" s="14"/>
      <c r="BW558" s="14"/>
      <c r="BX558" s="14"/>
      <c r="BY558" s="14"/>
      <c r="BZ558" s="14"/>
      <c r="CA558" s="14"/>
      <c r="CB558" s="14"/>
      <c r="CC558" s="14"/>
      <c r="CD558" s="14"/>
      <c r="CE558" s="14"/>
      <c r="CF558" s="14"/>
      <c r="CG558" s="14"/>
      <c r="CH558" s="14"/>
      <c r="CI558" s="14"/>
      <c r="CJ558" s="14"/>
      <c r="CK558" s="14"/>
      <c r="CL558" s="14"/>
      <c r="CT558" s="14"/>
      <c r="CW558" s="3"/>
      <c r="DG558" s="4"/>
    </row>
    <row r="559" customFormat="false" ht="11.25" hidden="false" customHeight="true" outlineLevel="0" collapsed="false">
      <c r="A559" s="14"/>
      <c r="B559" s="15"/>
      <c r="C559" s="15"/>
      <c r="D559" s="14"/>
      <c r="E559" s="14"/>
      <c r="F559" s="14"/>
      <c r="G559" s="14"/>
      <c r="H559" s="15"/>
      <c r="I559" s="15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14"/>
      <c r="BQ559" s="14"/>
      <c r="BR559" s="14"/>
      <c r="BS559" s="14"/>
      <c r="BT559" s="14"/>
      <c r="BU559" s="14"/>
      <c r="BV559" s="14"/>
      <c r="BW559" s="14"/>
      <c r="BX559" s="14"/>
      <c r="BY559" s="14"/>
      <c r="BZ559" s="14"/>
      <c r="CA559" s="14"/>
      <c r="CB559" s="14"/>
      <c r="CC559" s="14"/>
      <c r="CD559" s="14"/>
      <c r="CE559" s="14"/>
      <c r="CF559" s="14"/>
      <c r="CG559" s="14"/>
      <c r="CH559" s="14"/>
      <c r="CI559" s="14"/>
      <c r="CJ559" s="14"/>
      <c r="CK559" s="14"/>
      <c r="CL559" s="14"/>
      <c r="CT559" s="14"/>
      <c r="CW559" s="3"/>
      <c r="DG559" s="4"/>
    </row>
    <row r="560" customFormat="false" ht="11.25" hidden="false" customHeight="true" outlineLevel="0" collapsed="false">
      <c r="A560" s="14"/>
      <c r="B560" s="15"/>
      <c r="C560" s="15"/>
      <c r="D560" s="14"/>
      <c r="E560" s="14"/>
      <c r="F560" s="14"/>
      <c r="G560" s="14"/>
      <c r="H560" s="15"/>
      <c r="I560" s="15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  <c r="BP560" s="14"/>
      <c r="BQ560" s="14"/>
      <c r="BR560" s="14"/>
      <c r="BS560" s="14"/>
      <c r="BT560" s="14"/>
      <c r="BU560" s="14"/>
      <c r="BV560" s="14"/>
      <c r="BW560" s="14"/>
      <c r="BX560" s="14"/>
      <c r="BY560" s="14"/>
      <c r="BZ560" s="14"/>
      <c r="CA560" s="14"/>
      <c r="CB560" s="14"/>
      <c r="CC560" s="14"/>
      <c r="CD560" s="14"/>
      <c r="CE560" s="14"/>
      <c r="CF560" s="14"/>
      <c r="CG560" s="14"/>
      <c r="CH560" s="14"/>
      <c r="CI560" s="14"/>
      <c r="CJ560" s="14"/>
      <c r="CK560" s="14"/>
      <c r="CL560" s="14"/>
      <c r="CT560" s="14"/>
      <c r="CW560" s="3"/>
      <c r="DG560" s="4"/>
    </row>
    <row r="561" customFormat="false" ht="11.25" hidden="false" customHeight="true" outlineLevel="0" collapsed="false">
      <c r="A561" s="14"/>
      <c r="B561" s="15"/>
      <c r="C561" s="15"/>
      <c r="D561" s="14"/>
      <c r="E561" s="14"/>
      <c r="F561" s="14"/>
      <c r="G561" s="14"/>
      <c r="H561" s="15"/>
      <c r="I561" s="15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  <c r="BP561" s="14"/>
      <c r="BQ561" s="14"/>
      <c r="BR561" s="14"/>
      <c r="BS561" s="14"/>
      <c r="BT561" s="14"/>
      <c r="BU561" s="14"/>
      <c r="BV561" s="14"/>
      <c r="BW561" s="14"/>
      <c r="BX561" s="14"/>
      <c r="BY561" s="14"/>
      <c r="BZ561" s="14"/>
      <c r="CA561" s="14"/>
      <c r="CB561" s="14"/>
      <c r="CC561" s="14"/>
      <c r="CD561" s="14"/>
      <c r="CE561" s="14"/>
      <c r="CF561" s="14"/>
      <c r="CG561" s="14"/>
      <c r="CH561" s="14"/>
      <c r="CI561" s="14"/>
      <c r="CJ561" s="14"/>
      <c r="CK561" s="14"/>
      <c r="CL561" s="14"/>
      <c r="CT561" s="14"/>
      <c r="CW561" s="3"/>
      <c r="DG561" s="4"/>
    </row>
    <row r="562" customFormat="false" ht="11.25" hidden="false" customHeight="true" outlineLevel="0" collapsed="false">
      <c r="A562" s="14"/>
      <c r="B562" s="15"/>
      <c r="C562" s="15"/>
      <c r="D562" s="14"/>
      <c r="E562" s="14"/>
      <c r="F562" s="14"/>
      <c r="G562" s="14"/>
      <c r="H562" s="15"/>
      <c r="I562" s="15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  <c r="BP562" s="14"/>
      <c r="BQ562" s="14"/>
      <c r="BR562" s="14"/>
      <c r="BS562" s="14"/>
      <c r="BT562" s="14"/>
      <c r="BU562" s="14"/>
      <c r="BV562" s="14"/>
      <c r="BW562" s="14"/>
      <c r="BX562" s="14"/>
      <c r="BY562" s="14"/>
      <c r="BZ562" s="14"/>
      <c r="CA562" s="14"/>
      <c r="CB562" s="14"/>
      <c r="CC562" s="14"/>
      <c r="CD562" s="14"/>
      <c r="CE562" s="14"/>
      <c r="CF562" s="14"/>
      <c r="CG562" s="14"/>
      <c r="CH562" s="14"/>
      <c r="CI562" s="14"/>
      <c r="CJ562" s="14"/>
      <c r="CK562" s="14"/>
      <c r="CL562" s="14"/>
      <c r="CT562" s="14"/>
      <c r="CW562" s="3"/>
      <c r="DG562" s="4"/>
    </row>
    <row r="563" customFormat="false" ht="11.25" hidden="false" customHeight="true" outlineLevel="0" collapsed="false">
      <c r="A563" s="14"/>
      <c r="B563" s="15"/>
      <c r="C563" s="15"/>
      <c r="D563" s="14"/>
      <c r="E563" s="14"/>
      <c r="F563" s="14"/>
      <c r="G563" s="14"/>
      <c r="H563" s="15"/>
      <c r="I563" s="15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  <c r="BP563" s="14"/>
      <c r="BQ563" s="14"/>
      <c r="BR563" s="14"/>
      <c r="BS563" s="14"/>
      <c r="BT563" s="14"/>
      <c r="BU563" s="14"/>
      <c r="BV563" s="14"/>
      <c r="BW563" s="14"/>
      <c r="BX563" s="14"/>
      <c r="BY563" s="14"/>
      <c r="BZ563" s="14"/>
      <c r="CA563" s="14"/>
      <c r="CB563" s="14"/>
      <c r="CC563" s="14"/>
      <c r="CD563" s="14"/>
      <c r="CE563" s="14"/>
      <c r="CF563" s="14"/>
      <c r="CG563" s="14"/>
      <c r="CH563" s="14"/>
      <c r="CI563" s="14"/>
      <c r="CJ563" s="14"/>
      <c r="CK563" s="14"/>
      <c r="CL563" s="14"/>
      <c r="CT563" s="14"/>
      <c r="CW563" s="3"/>
      <c r="DG563" s="4"/>
    </row>
    <row r="564" customFormat="false" ht="11.25" hidden="false" customHeight="true" outlineLevel="0" collapsed="false">
      <c r="A564" s="14"/>
      <c r="B564" s="15"/>
      <c r="C564" s="15"/>
      <c r="D564" s="14"/>
      <c r="E564" s="14"/>
      <c r="F564" s="14"/>
      <c r="G564" s="14"/>
      <c r="H564" s="15"/>
      <c r="I564" s="15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  <c r="BP564" s="14"/>
      <c r="BQ564" s="14"/>
      <c r="BR564" s="14"/>
      <c r="BS564" s="14"/>
      <c r="BT564" s="14"/>
      <c r="BU564" s="14"/>
      <c r="BV564" s="14"/>
      <c r="BW564" s="14"/>
      <c r="BX564" s="14"/>
      <c r="BY564" s="14"/>
      <c r="BZ564" s="14"/>
      <c r="CA564" s="14"/>
      <c r="CB564" s="14"/>
      <c r="CC564" s="14"/>
      <c r="CD564" s="14"/>
      <c r="CE564" s="14"/>
      <c r="CF564" s="14"/>
      <c r="CG564" s="14"/>
      <c r="CH564" s="14"/>
      <c r="CI564" s="14"/>
      <c r="CJ564" s="14"/>
      <c r="CK564" s="14"/>
      <c r="CL564" s="14"/>
      <c r="CT564" s="14"/>
      <c r="CW564" s="3"/>
      <c r="DG564" s="4"/>
    </row>
    <row r="565" customFormat="false" ht="11.25" hidden="false" customHeight="true" outlineLevel="0" collapsed="false">
      <c r="A565" s="14"/>
      <c r="B565" s="15"/>
      <c r="C565" s="15"/>
      <c r="D565" s="14"/>
      <c r="E565" s="14"/>
      <c r="F565" s="14"/>
      <c r="G565" s="14"/>
      <c r="H565" s="15"/>
      <c r="I565" s="15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  <c r="BP565" s="14"/>
      <c r="BQ565" s="14"/>
      <c r="BR565" s="14"/>
      <c r="BS565" s="14"/>
      <c r="BT565" s="14"/>
      <c r="BU565" s="14"/>
      <c r="BV565" s="14"/>
      <c r="BW565" s="14"/>
      <c r="BX565" s="14"/>
      <c r="BY565" s="14"/>
      <c r="BZ565" s="14"/>
      <c r="CA565" s="14"/>
      <c r="CB565" s="14"/>
      <c r="CC565" s="14"/>
      <c r="CD565" s="14"/>
      <c r="CE565" s="14"/>
      <c r="CF565" s="14"/>
      <c r="CG565" s="14"/>
      <c r="CH565" s="14"/>
      <c r="CI565" s="14"/>
      <c r="CJ565" s="14"/>
      <c r="CK565" s="14"/>
      <c r="CL565" s="14"/>
      <c r="CT565" s="14"/>
      <c r="CW565" s="3"/>
      <c r="DG565" s="4"/>
    </row>
    <row r="566" customFormat="false" ht="11.25" hidden="false" customHeight="true" outlineLevel="0" collapsed="false">
      <c r="A566" s="14"/>
      <c r="B566" s="15"/>
      <c r="C566" s="15"/>
      <c r="D566" s="14"/>
      <c r="E566" s="14"/>
      <c r="F566" s="14"/>
      <c r="G566" s="14"/>
      <c r="H566" s="15"/>
      <c r="I566" s="15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  <c r="BP566" s="14"/>
      <c r="BQ566" s="14"/>
      <c r="BR566" s="14"/>
      <c r="BS566" s="14"/>
      <c r="BT566" s="14"/>
      <c r="BU566" s="14"/>
      <c r="BV566" s="14"/>
      <c r="BW566" s="14"/>
      <c r="BX566" s="14"/>
      <c r="BY566" s="14"/>
      <c r="BZ566" s="14"/>
      <c r="CA566" s="14"/>
      <c r="CB566" s="14"/>
      <c r="CC566" s="14"/>
      <c r="CD566" s="14"/>
      <c r="CE566" s="14"/>
      <c r="CF566" s="14"/>
      <c r="CG566" s="14"/>
      <c r="CH566" s="14"/>
      <c r="CI566" s="14"/>
      <c r="CJ566" s="14"/>
      <c r="CK566" s="14"/>
      <c r="CL566" s="14"/>
      <c r="CT566" s="14"/>
      <c r="CW566" s="3"/>
      <c r="DG566" s="4"/>
    </row>
    <row r="567" customFormat="false" ht="11.25" hidden="false" customHeight="true" outlineLevel="0" collapsed="false">
      <c r="A567" s="14"/>
      <c r="B567" s="15"/>
      <c r="C567" s="15"/>
      <c r="D567" s="14"/>
      <c r="E567" s="14"/>
      <c r="F567" s="14"/>
      <c r="G567" s="14"/>
      <c r="H567" s="15"/>
      <c r="I567" s="15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  <c r="BP567" s="14"/>
      <c r="BQ567" s="14"/>
      <c r="BR567" s="14"/>
      <c r="BS567" s="14"/>
      <c r="BT567" s="14"/>
      <c r="BU567" s="14"/>
      <c r="BV567" s="14"/>
      <c r="BW567" s="14"/>
      <c r="BX567" s="14"/>
      <c r="BY567" s="14"/>
      <c r="BZ567" s="14"/>
      <c r="CA567" s="14"/>
      <c r="CB567" s="14"/>
      <c r="CC567" s="14"/>
      <c r="CD567" s="14"/>
      <c r="CE567" s="14"/>
      <c r="CF567" s="14"/>
      <c r="CG567" s="14"/>
      <c r="CH567" s="14"/>
      <c r="CI567" s="14"/>
      <c r="CJ567" s="14"/>
      <c r="CK567" s="14"/>
      <c r="CL567" s="14"/>
      <c r="CT567" s="14"/>
      <c r="CW567" s="3"/>
      <c r="DG567" s="4"/>
    </row>
    <row r="568" customFormat="false" ht="11.25" hidden="false" customHeight="true" outlineLevel="0" collapsed="false">
      <c r="A568" s="14"/>
      <c r="B568" s="15"/>
      <c r="C568" s="15"/>
      <c r="D568" s="14"/>
      <c r="E568" s="14"/>
      <c r="F568" s="14"/>
      <c r="G568" s="14"/>
      <c r="H568" s="15"/>
      <c r="I568" s="15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  <c r="BP568" s="14"/>
      <c r="BQ568" s="14"/>
      <c r="BR568" s="14"/>
      <c r="BS568" s="14"/>
      <c r="BT568" s="14"/>
      <c r="BU568" s="14"/>
      <c r="BV568" s="14"/>
      <c r="BW568" s="14"/>
      <c r="BX568" s="14"/>
      <c r="BY568" s="14"/>
      <c r="BZ568" s="14"/>
      <c r="CA568" s="14"/>
      <c r="CB568" s="14"/>
      <c r="CC568" s="14"/>
      <c r="CD568" s="14"/>
      <c r="CE568" s="14"/>
      <c r="CF568" s="14"/>
      <c r="CG568" s="14"/>
      <c r="CH568" s="14"/>
      <c r="CI568" s="14"/>
      <c r="CJ568" s="14"/>
      <c r="CK568" s="14"/>
      <c r="CL568" s="14"/>
      <c r="CT568" s="14"/>
      <c r="CW568" s="3"/>
      <c r="DG568" s="4"/>
    </row>
    <row r="569" customFormat="false" ht="11.25" hidden="false" customHeight="true" outlineLevel="0" collapsed="false">
      <c r="A569" s="14"/>
      <c r="B569" s="15"/>
      <c r="C569" s="15"/>
      <c r="D569" s="14"/>
      <c r="E569" s="14"/>
      <c r="F569" s="14"/>
      <c r="G569" s="14"/>
      <c r="H569" s="15"/>
      <c r="I569" s="15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  <c r="BP569" s="14"/>
      <c r="BQ569" s="14"/>
      <c r="BR569" s="14"/>
      <c r="BS569" s="14"/>
      <c r="BT569" s="14"/>
      <c r="BU569" s="14"/>
      <c r="BV569" s="14"/>
      <c r="BW569" s="14"/>
      <c r="BX569" s="14"/>
      <c r="BY569" s="14"/>
      <c r="BZ569" s="14"/>
      <c r="CA569" s="14"/>
      <c r="CB569" s="14"/>
      <c r="CC569" s="14"/>
      <c r="CD569" s="14"/>
      <c r="CE569" s="14"/>
      <c r="CF569" s="14"/>
      <c r="CG569" s="14"/>
      <c r="CH569" s="14"/>
      <c r="CI569" s="14"/>
      <c r="CJ569" s="14"/>
      <c r="CK569" s="14"/>
      <c r="CL569" s="14"/>
      <c r="CT569" s="14"/>
      <c r="CW569" s="3"/>
      <c r="DG569" s="4"/>
    </row>
    <row r="570" customFormat="false" ht="11.25" hidden="false" customHeight="true" outlineLevel="0" collapsed="false">
      <c r="A570" s="14"/>
      <c r="B570" s="15"/>
      <c r="C570" s="15"/>
      <c r="D570" s="14"/>
      <c r="E570" s="14"/>
      <c r="F570" s="14"/>
      <c r="G570" s="14"/>
      <c r="H570" s="15"/>
      <c r="I570" s="15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  <c r="BP570" s="14"/>
      <c r="BQ570" s="14"/>
      <c r="BR570" s="14"/>
      <c r="BS570" s="14"/>
      <c r="BT570" s="14"/>
      <c r="BU570" s="14"/>
      <c r="BV570" s="14"/>
      <c r="BW570" s="14"/>
      <c r="BX570" s="14"/>
      <c r="BY570" s="14"/>
      <c r="BZ570" s="14"/>
      <c r="CA570" s="14"/>
      <c r="CB570" s="14"/>
      <c r="CC570" s="14"/>
      <c r="CD570" s="14"/>
      <c r="CE570" s="14"/>
      <c r="CF570" s="14"/>
      <c r="CG570" s="14"/>
      <c r="CH570" s="14"/>
      <c r="CI570" s="14"/>
      <c r="CJ570" s="14"/>
      <c r="CK570" s="14"/>
      <c r="CL570" s="14"/>
      <c r="CT570" s="14"/>
      <c r="CW570" s="3"/>
      <c r="DG570" s="4"/>
    </row>
    <row r="571" customFormat="false" ht="11.25" hidden="false" customHeight="true" outlineLevel="0" collapsed="false">
      <c r="A571" s="14"/>
      <c r="B571" s="15"/>
      <c r="C571" s="15"/>
      <c r="D571" s="14"/>
      <c r="E571" s="14"/>
      <c r="F571" s="14"/>
      <c r="G571" s="14"/>
      <c r="H571" s="15"/>
      <c r="I571" s="15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  <c r="BP571" s="14"/>
      <c r="BQ571" s="14"/>
      <c r="BR571" s="14"/>
      <c r="BS571" s="14"/>
      <c r="BT571" s="14"/>
      <c r="BU571" s="14"/>
      <c r="BV571" s="14"/>
      <c r="BW571" s="14"/>
      <c r="BX571" s="14"/>
      <c r="BY571" s="14"/>
      <c r="BZ571" s="14"/>
      <c r="CA571" s="14"/>
      <c r="CB571" s="14"/>
      <c r="CC571" s="14"/>
      <c r="CD571" s="14"/>
      <c r="CE571" s="14"/>
      <c r="CF571" s="14"/>
      <c r="CG571" s="14"/>
      <c r="CH571" s="14"/>
      <c r="CI571" s="14"/>
      <c r="CJ571" s="14"/>
      <c r="CK571" s="14"/>
      <c r="CL571" s="14"/>
      <c r="CT571" s="14"/>
      <c r="CW571" s="3"/>
      <c r="DG571" s="4"/>
    </row>
    <row r="572" customFormat="false" ht="11.25" hidden="false" customHeight="true" outlineLevel="0" collapsed="false">
      <c r="A572" s="14"/>
      <c r="B572" s="15"/>
      <c r="C572" s="15"/>
      <c r="D572" s="14"/>
      <c r="E572" s="14"/>
      <c r="F572" s="14"/>
      <c r="G572" s="14"/>
      <c r="H572" s="15"/>
      <c r="I572" s="15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  <c r="BP572" s="14"/>
      <c r="BQ572" s="14"/>
      <c r="BR572" s="14"/>
      <c r="BS572" s="14"/>
      <c r="BT572" s="14"/>
      <c r="BU572" s="14"/>
      <c r="BV572" s="14"/>
      <c r="BW572" s="14"/>
      <c r="BX572" s="14"/>
      <c r="BY572" s="14"/>
      <c r="BZ572" s="14"/>
      <c r="CA572" s="14"/>
      <c r="CB572" s="14"/>
      <c r="CC572" s="14"/>
      <c r="CD572" s="14"/>
      <c r="CE572" s="14"/>
      <c r="CF572" s="14"/>
      <c r="CG572" s="14"/>
      <c r="CH572" s="14"/>
      <c r="CI572" s="14"/>
      <c r="CJ572" s="14"/>
      <c r="CK572" s="14"/>
      <c r="CL572" s="14"/>
      <c r="CT572" s="14"/>
      <c r="CW572" s="3"/>
      <c r="DG572" s="4"/>
    </row>
    <row r="573" customFormat="false" ht="11.25" hidden="false" customHeight="true" outlineLevel="0" collapsed="false">
      <c r="A573" s="14"/>
      <c r="B573" s="15"/>
      <c r="C573" s="15"/>
      <c r="D573" s="14"/>
      <c r="E573" s="14"/>
      <c r="F573" s="14"/>
      <c r="G573" s="14"/>
      <c r="H573" s="15"/>
      <c r="I573" s="15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  <c r="BP573" s="14"/>
      <c r="BQ573" s="14"/>
      <c r="BR573" s="14"/>
      <c r="BS573" s="14"/>
      <c r="BT573" s="14"/>
      <c r="BU573" s="14"/>
      <c r="BV573" s="14"/>
      <c r="BW573" s="14"/>
      <c r="BX573" s="14"/>
      <c r="BY573" s="14"/>
      <c r="BZ573" s="14"/>
      <c r="CA573" s="14"/>
      <c r="CB573" s="14"/>
      <c r="CC573" s="14"/>
      <c r="CD573" s="14"/>
      <c r="CE573" s="14"/>
      <c r="CF573" s="14"/>
      <c r="CG573" s="14"/>
      <c r="CH573" s="14"/>
      <c r="CI573" s="14"/>
      <c r="CJ573" s="14"/>
      <c r="CK573" s="14"/>
      <c r="CL573" s="14"/>
      <c r="CT573" s="14"/>
      <c r="CW573" s="3"/>
      <c r="DG573" s="4"/>
    </row>
    <row r="574" customFormat="false" ht="11.25" hidden="false" customHeight="true" outlineLevel="0" collapsed="false">
      <c r="A574" s="14"/>
      <c r="B574" s="15"/>
      <c r="C574" s="15"/>
      <c r="D574" s="14"/>
      <c r="E574" s="14"/>
      <c r="F574" s="14"/>
      <c r="G574" s="14"/>
      <c r="H574" s="15"/>
      <c r="I574" s="15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  <c r="BP574" s="14"/>
      <c r="BQ574" s="14"/>
      <c r="BR574" s="14"/>
      <c r="BS574" s="14"/>
      <c r="BT574" s="14"/>
      <c r="BU574" s="14"/>
      <c r="BV574" s="14"/>
      <c r="BW574" s="14"/>
      <c r="BX574" s="14"/>
      <c r="BY574" s="14"/>
      <c r="BZ574" s="14"/>
      <c r="CA574" s="14"/>
      <c r="CB574" s="14"/>
      <c r="CC574" s="14"/>
      <c r="CD574" s="14"/>
      <c r="CE574" s="14"/>
      <c r="CF574" s="14"/>
      <c r="CG574" s="14"/>
      <c r="CH574" s="14"/>
      <c r="CI574" s="14"/>
      <c r="CJ574" s="14"/>
      <c r="CK574" s="14"/>
      <c r="CL574" s="14"/>
      <c r="CT574" s="14"/>
      <c r="CW574" s="3"/>
      <c r="DG574" s="4"/>
    </row>
    <row r="575" customFormat="false" ht="11.25" hidden="false" customHeight="true" outlineLevel="0" collapsed="false">
      <c r="A575" s="14"/>
      <c r="B575" s="15"/>
      <c r="C575" s="15"/>
      <c r="D575" s="14"/>
      <c r="E575" s="14"/>
      <c r="F575" s="14"/>
      <c r="G575" s="14"/>
      <c r="H575" s="15"/>
      <c r="I575" s="15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  <c r="BP575" s="14"/>
      <c r="BQ575" s="14"/>
      <c r="BR575" s="14"/>
      <c r="BS575" s="14"/>
      <c r="BT575" s="14"/>
      <c r="BU575" s="14"/>
      <c r="BV575" s="14"/>
      <c r="BW575" s="14"/>
      <c r="BX575" s="14"/>
      <c r="BY575" s="14"/>
      <c r="BZ575" s="14"/>
      <c r="CA575" s="14"/>
      <c r="CB575" s="14"/>
      <c r="CC575" s="14"/>
      <c r="CD575" s="14"/>
      <c r="CE575" s="14"/>
      <c r="CF575" s="14"/>
      <c r="CG575" s="14"/>
      <c r="CH575" s="14"/>
      <c r="CI575" s="14"/>
      <c r="CJ575" s="14"/>
      <c r="CK575" s="14"/>
      <c r="CL575" s="14"/>
      <c r="CT575" s="14"/>
      <c r="CW575" s="3"/>
      <c r="DG575" s="4"/>
    </row>
    <row r="576" customFormat="false" ht="11.25" hidden="false" customHeight="true" outlineLevel="0" collapsed="false">
      <c r="A576" s="14"/>
      <c r="B576" s="15"/>
      <c r="C576" s="15"/>
      <c r="D576" s="14"/>
      <c r="E576" s="14"/>
      <c r="F576" s="14"/>
      <c r="G576" s="14"/>
      <c r="H576" s="15"/>
      <c r="I576" s="15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  <c r="BP576" s="14"/>
      <c r="BQ576" s="14"/>
      <c r="BR576" s="14"/>
      <c r="BS576" s="14"/>
      <c r="BT576" s="14"/>
      <c r="BU576" s="14"/>
      <c r="BV576" s="14"/>
      <c r="BW576" s="14"/>
      <c r="BX576" s="14"/>
      <c r="BY576" s="14"/>
      <c r="BZ576" s="14"/>
      <c r="CA576" s="14"/>
      <c r="CB576" s="14"/>
      <c r="CC576" s="14"/>
      <c r="CD576" s="14"/>
      <c r="CE576" s="14"/>
      <c r="CF576" s="14"/>
      <c r="CG576" s="14"/>
      <c r="CH576" s="14"/>
      <c r="CI576" s="14"/>
      <c r="CJ576" s="14"/>
      <c r="CK576" s="14"/>
      <c r="CL576" s="14"/>
      <c r="CT576" s="14"/>
      <c r="CW576" s="3"/>
      <c r="DG576" s="4"/>
    </row>
    <row r="577" customFormat="false" ht="11.25" hidden="false" customHeight="true" outlineLevel="0" collapsed="false">
      <c r="A577" s="14"/>
      <c r="B577" s="15"/>
      <c r="C577" s="15"/>
      <c r="D577" s="14"/>
      <c r="E577" s="14"/>
      <c r="F577" s="14"/>
      <c r="G577" s="14"/>
      <c r="H577" s="15"/>
      <c r="I577" s="15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  <c r="BP577" s="14"/>
      <c r="BQ577" s="14"/>
      <c r="BR577" s="14"/>
      <c r="BS577" s="14"/>
      <c r="BT577" s="14"/>
      <c r="BU577" s="14"/>
      <c r="BV577" s="14"/>
      <c r="BW577" s="14"/>
      <c r="BX577" s="14"/>
      <c r="BY577" s="14"/>
      <c r="BZ577" s="14"/>
      <c r="CA577" s="14"/>
      <c r="CB577" s="14"/>
      <c r="CC577" s="14"/>
      <c r="CD577" s="14"/>
      <c r="CE577" s="14"/>
      <c r="CF577" s="14"/>
      <c r="CG577" s="14"/>
      <c r="CH577" s="14"/>
      <c r="CI577" s="14"/>
      <c r="CJ577" s="14"/>
      <c r="CK577" s="14"/>
      <c r="CL577" s="14"/>
      <c r="CT577" s="14"/>
      <c r="CW577" s="3"/>
      <c r="DG577" s="4"/>
    </row>
    <row r="578" customFormat="false" ht="11.25" hidden="false" customHeight="true" outlineLevel="0" collapsed="false">
      <c r="A578" s="14"/>
      <c r="B578" s="15"/>
      <c r="C578" s="15"/>
      <c r="D578" s="14"/>
      <c r="E578" s="14"/>
      <c r="F578" s="14"/>
      <c r="G578" s="14"/>
      <c r="H578" s="15"/>
      <c r="I578" s="15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  <c r="BP578" s="14"/>
      <c r="BQ578" s="14"/>
      <c r="BR578" s="14"/>
      <c r="BS578" s="14"/>
      <c r="BT578" s="14"/>
      <c r="BU578" s="14"/>
      <c r="BV578" s="14"/>
      <c r="BW578" s="14"/>
      <c r="BX578" s="14"/>
      <c r="BY578" s="14"/>
      <c r="BZ578" s="14"/>
      <c r="CA578" s="14"/>
      <c r="CB578" s="14"/>
      <c r="CC578" s="14"/>
      <c r="CD578" s="14"/>
      <c r="CE578" s="14"/>
      <c r="CF578" s="14"/>
      <c r="CG578" s="14"/>
      <c r="CH578" s="14"/>
      <c r="CI578" s="14"/>
      <c r="CJ578" s="14"/>
      <c r="CK578" s="14"/>
      <c r="CL578" s="14"/>
      <c r="CT578" s="14"/>
      <c r="CW578" s="3"/>
      <c r="DG578" s="4"/>
    </row>
    <row r="579" customFormat="false" ht="11.25" hidden="false" customHeight="true" outlineLevel="0" collapsed="false">
      <c r="A579" s="14"/>
      <c r="B579" s="15"/>
      <c r="C579" s="15"/>
      <c r="D579" s="14"/>
      <c r="E579" s="14"/>
      <c r="F579" s="14"/>
      <c r="G579" s="14"/>
      <c r="H579" s="15"/>
      <c r="I579" s="15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  <c r="BP579" s="14"/>
      <c r="BQ579" s="14"/>
      <c r="BR579" s="14"/>
      <c r="BS579" s="14"/>
      <c r="BT579" s="14"/>
      <c r="BU579" s="14"/>
      <c r="BV579" s="14"/>
      <c r="BW579" s="14"/>
      <c r="BX579" s="14"/>
      <c r="BY579" s="14"/>
      <c r="BZ579" s="14"/>
      <c r="CA579" s="14"/>
      <c r="CB579" s="14"/>
      <c r="CC579" s="14"/>
      <c r="CD579" s="14"/>
      <c r="CE579" s="14"/>
      <c r="CF579" s="14"/>
      <c r="CG579" s="14"/>
      <c r="CH579" s="14"/>
      <c r="CI579" s="14"/>
      <c r="CJ579" s="14"/>
      <c r="CK579" s="14"/>
      <c r="CL579" s="14"/>
      <c r="CT579" s="14"/>
      <c r="CW579" s="3"/>
      <c r="DG579" s="4"/>
    </row>
    <row r="580" customFormat="false" ht="11.25" hidden="false" customHeight="true" outlineLevel="0" collapsed="false">
      <c r="A580" s="14"/>
      <c r="B580" s="15"/>
      <c r="C580" s="15"/>
      <c r="D580" s="14"/>
      <c r="E580" s="14"/>
      <c r="F580" s="14"/>
      <c r="G580" s="14"/>
      <c r="H580" s="15"/>
      <c r="I580" s="15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  <c r="BP580" s="14"/>
      <c r="BQ580" s="14"/>
      <c r="BR580" s="14"/>
      <c r="BS580" s="14"/>
      <c r="BT580" s="14"/>
      <c r="BU580" s="14"/>
      <c r="BV580" s="14"/>
      <c r="BW580" s="14"/>
      <c r="BX580" s="14"/>
      <c r="BY580" s="14"/>
      <c r="BZ580" s="14"/>
      <c r="CA580" s="14"/>
      <c r="CB580" s="14"/>
      <c r="CC580" s="14"/>
      <c r="CD580" s="14"/>
      <c r="CE580" s="14"/>
      <c r="CF580" s="14"/>
      <c r="CG580" s="14"/>
      <c r="CH580" s="14"/>
      <c r="CI580" s="14"/>
      <c r="CJ580" s="14"/>
      <c r="CK580" s="14"/>
      <c r="CL580" s="14"/>
      <c r="CT580" s="14"/>
      <c r="CW580" s="3"/>
      <c r="DG580" s="4"/>
    </row>
    <row r="581" customFormat="false" ht="11.25" hidden="false" customHeight="true" outlineLevel="0" collapsed="false">
      <c r="A581" s="14"/>
      <c r="B581" s="15"/>
      <c r="C581" s="15"/>
      <c r="D581" s="14"/>
      <c r="E581" s="14"/>
      <c r="F581" s="14"/>
      <c r="G581" s="14"/>
      <c r="H581" s="15"/>
      <c r="I581" s="15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  <c r="BP581" s="14"/>
      <c r="BQ581" s="14"/>
      <c r="BR581" s="14"/>
      <c r="BS581" s="14"/>
      <c r="BT581" s="14"/>
      <c r="BU581" s="14"/>
      <c r="BV581" s="14"/>
      <c r="BW581" s="14"/>
      <c r="BX581" s="14"/>
      <c r="BY581" s="14"/>
      <c r="BZ581" s="14"/>
      <c r="CA581" s="14"/>
      <c r="CB581" s="14"/>
      <c r="CC581" s="14"/>
      <c r="CD581" s="14"/>
      <c r="CE581" s="14"/>
      <c r="CF581" s="14"/>
      <c r="CG581" s="14"/>
      <c r="CH581" s="14"/>
      <c r="CI581" s="14"/>
      <c r="CJ581" s="14"/>
      <c r="CK581" s="14"/>
      <c r="CL581" s="14"/>
      <c r="CT581" s="14"/>
      <c r="CW581" s="3"/>
      <c r="DG581" s="4"/>
    </row>
    <row r="582" customFormat="false" ht="11.25" hidden="false" customHeight="true" outlineLevel="0" collapsed="false">
      <c r="A582" s="14"/>
      <c r="B582" s="15"/>
      <c r="C582" s="15"/>
      <c r="D582" s="14"/>
      <c r="E582" s="14"/>
      <c r="F582" s="14"/>
      <c r="G582" s="14"/>
      <c r="H582" s="15"/>
      <c r="I582" s="15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  <c r="BP582" s="14"/>
      <c r="BQ582" s="14"/>
      <c r="BR582" s="14"/>
      <c r="BS582" s="14"/>
      <c r="BT582" s="14"/>
      <c r="BU582" s="14"/>
      <c r="BV582" s="14"/>
      <c r="BW582" s="14"/>
      <c r="BX582" s="14"/>
      <c r="BY582" s="14"/>
      <c r="BZ582" s="14"/>
      <c r="CA582" s="14"/>
      <c r="CB582" s="14"/>
      <c r="CC582" s="14"/>
      <c r="CD582" s="14"/>
      <c r="CE582" s="14"/>
      <c r="CF582" s="14"/>
      <c r="CG582" s="14"/>
      <c r="CH582" s="14"/>
      <c r="CI582" s="14"/>
      <c r="CJ582" s="14"/>
      <c r="CK582" s="14"/>
      <c r="CL582" s="14"/>
      <c r="CT582" s="14"/>
      <c r="CW582" s="3"/>
      <c r="DG582" s="4"/>
    </row>
    <row r="583" customFormat="false" ht="11.25" hidden="false" customHeight="true" outlineLevel="0" collapsed="false">
      <c r="A583" s="14"/>
      <c r="B583" s="15"/>
      <c r="C583" s="15"/>
      <c r="D583" s="14"/>
      <c r="E583" s="14"/>
      <c r="F583" s="14"/>
      <c r="G583" s="14"/>
      <c r="H583" s="15"/>
      <c r="I583" s="15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  <c r="BP583" s="14"/>
      <c r="BQ583" s="14"/>
      <c r="BR583" s="14"/>
      <c r="BS583" s="14"/>
      <c r="BT583" s="14"/>
      <c r="BU583" s="14"/>
      <c r="BV583" s="14"/>
      <c r="BW583" s="14"/>
      <c r="BX583" s="14"/>
      <c r="BY583" s="14"/>
      <c r="BZ583" s="14"/>
      <c r="CA583" s="14"/>
      <c r="CB583" s="14"/>
      <c r="CC583" s="14"/>
      <c r="CD583" s="14"/>
      <c r="CE583" s="14"/>
      <c r="CF583" s="14"/>
      <c r="CG583" s="14"/>
      <c r="CH583" s="14"/>
      <c r="CI583" s="14"/>
      <c r="CJ583" s="14"/>
      <c r="CK583" s="14"/>
      <c r="CL583" s="14"/>
      <c r="CT583" s="14"/>
      <c r="CW583" s="3"/>
      <c r="DG583" s="4"/>
    </row>
    <row r="584" customFormat="false" ht="11.25" hidden="false" customHeight="true" outlineLevel="0" collapsed="false">
      <c r="A584" s="14"/>
      <c r="B584" s="15"/>
      <c r="C584" s="15"/>
      <c r="D584" s="14"/>
      <c r="E584" s="14"/>
      <c r="F584" s="14"/>
      <c r="G584" s="14"/>
      <c r="H584" s="15"/>
      <c r="I584" s="15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  <c r="BP584" s="14"/>
      <c r="BQ584" s="14"/>
      <c r="BR584" s="14"/>
      <c r="BS584" s="14"/>
      <c r="BT584" s="14"/>
      <c r="BU584" s="14"/>
      <c r="BV584" s="14"/>
      <c r="BW584" s="14"/>
      <c r="BX584" s="14"/>
      <c r="BY584" s="14"/>
      <c r="BZ584" s="14"/>
      <c r="CA584" s="14"/>
      <c r="CB584" s="14"/>
      <c r="CC584" s="14"/>
      <c r="CD584" s="14"/>
      <c r="CE584" s="14"/>
      <c r="CF584" s="14"/>
      <c r="CG584" s="14"/>
      <c r="CH584" s="14"/>
      <c r="CI584" s="14"/>
      <c r="CJ584" s="14"/>
      <c r="CK584" s="14"/>
      <c r="CL584" s="14"/>
      <c r="CT584" s="14"/>
      <c r="CW584" s="3"/>
      <c r="DG584" s="4"/>
    </row>
    <row r="585" customFormat="false" ht="11.25" hidden="false" customHeight="true" outlineLevel="0" collapsed="false">
      <c r="A585" s="14"/>
      <c r="B585" s="15"/>
      <c r="C585" s="15"/>
      <c r="D585" s="14"/>
      <c r="E585" s="14"/>
      <c r="F585" s="14"/>
      <c r="G585" s="14"/>
      <c r="H585" s="15"/>
      <c r="I585" s="15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  <c r="BP585" s="14"/>
      <c r="BQ585" s="14"/>
      <c r="BR585" s="14"/>
      <c r="BS585" s="14"/>
      <c r="BT585" s="14"/>
      <c r="BU585" s="14"/>
      <c r="BV585" s="14"/>
      <c r="BW585" s="14"/>
      <c r="BX585" s="14"/>
      <c r="BY585" s="14"/>
      <c r="BZ585" s="14"/>
      <c r="CA585" s="14"/>
      <c r="CB585" s="14"/>
      <c r="CC585" s="14"/>
      <c r="CD585" s="14"/>
      <c r="CE585" s="14"/>
      <c r="CF585" s="14"/>
      <c r="CG585" s="14"/>
      <c r="CH585" s="14"/>
      <c r="CI585" s="14"/>
      <c r="CJ585" s="14"/>
      <c r="CK585" s="14"/>
      <c r="CL585" s="14"/>
      <c r="CT585" s="14"/>
      <c r="CW585" s="3"/>
      <c r="DG585" s="4"/>
    </row>
    <row r="586" customFormat="false" ht="11.25" hidden="false" customHeight="true" outlineLevel="0" collapsed="false">
      <c r="A586" s="14"/>
      <c r="B586" s="15"/>
      <c r="C586" s="15"/>
      <c r="D586" s="14"/>
      <c r="E586" s="14"/>
      <c r="F586" s="14"/>
      <c r="G586" s="14"/>
      <c r="H586" s="15"/>
      <c r="I586" s="15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  <c r="BP586" s="14"/>
      <c r="BQ586" s="14"/>
      <c r="BR586" s="14"/>
      <c r="BS586" s="14"/>
      <c r="BT586" s="14"/>
      <c r="BU586" s="14"/>
      <c r="BV586" s="14"/>
      <c r="BW586" s="14"/>
      <c r="BX586" s="14"/>
      <c r="BY586" s="14"/>
      <c r="BZ586" s="14"/>
      <c r="CA586" s="14"/>
      <c r="CB586" s="14"/>
      <c r="CC586" s="14"/>
      <c r="CD586" s="14"/>
      <c r="CE586" s="14"/>
      <c r="CF586" s="14"/>
      <c r="CG586" s="14"/>
      <c r="CH586" s="14"/>
      <c r="CI586" s="14"/>
      <c r="CJ586" s="14"/>
      <c r="CK586" s="14"/>
      <c r="CL586" s="14"/>
      <c r="CT586" s="14"/>
      <c r="CW586" s="3"/>
      <c r="DG586" s="4"/>
    </row>
    <row r="587" customFormat="false" ht="11.25" hidden="false" customHeight="true" outlineLevel="0" collapsed="false">
      <c r="A587" s="14"/>
      <c r="B587" s="15"/>
      <c r="C587" s="15"/>
      <c r="D587" s="14"/>
      <c r="E587" s="14"/>
      <c r="F587" s="14"/>
      <c r="G587" s="14"/>
      <c r="H587" s="15"/>
      <c r="I587" s="15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  <c r="BP587" s="14"/>
      <c r="BQ587" s="14"/>
      <c r="BR587" s="14"/>
      <c r="BS587" s="14"/>
      <c r="BT587" s="14"/>
      <c r="BU587" s="14"/>
      <c r="BV587" s="14"/>
      <c r="BW587" s="14"/>
      <c r="BX587" s="14"/>
      <c r="BY587" s="14"/>
      <c r="BZ587" s="14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T587" s="14"/>
      <c r="CW587" s="3"/>
      <c r="DG587" s="4"/>
    </row>
    <row r="588" customFormat="false" ht="11.25" hidden="false" customHeight="true" outlineLevel="0" collapsed="false">
      <c r="A588" s="14"/>
      <c r="B588" s="15"/>
      <c r="C588" s="15"/>
      <c r="D588" s="14"/>
      <c r="E588" s="14"/>
      <c r="F588" s="14"/>
      <c r="G588" s="14"/>
      <c r="H588" s="15"/>
      <c r="I588" s="15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  <c r="BP588" s="14"/>
      <c r="BQ588" s="14"/>
      <c r="BR588" s="14"/>
      <c r="BS588" s="14"/>
      <c r="BT588" s="14"/>
      <c r="BU588" s="14"/>
      <c r="BV588" s="14"/>
      <c r="BW588" s="14"/>
      <c r="BX588" s="14"/>
      <c r="BY588" s="14"/>
      <c r="BZ588" s="1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T588" s="14"/>
      <c r="CW588" s="3"/>
      <c r="DG588" s="4"/>
    </row>
    <row r="589" customFormat="false" ht="11.25" hidden="false" customHeight="true" outlineLevel="0" collapsed="false">
      <c r="A589" s="14"/>
      <c r="B589" s="15"/>
      <c r="C589" s="15"/>
      <c r="D589" s="14"/>
      <c r="E589" s="14"/>
      <c r="F589" s="14"/>
      <c r="G589" s="14"/>
      <c r="H589" s="15"/>
      <c r="I589" s="15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  <c r="BP589" s="14"/>
      <c r="BQ589" s="14"/>
      <c r="BR589" s="14"/>
      <c r="BS589" s="14"/>
      <c r="BT589" s="14"/>
      <c r="BU589" s="14"/>
      <c r="BV589" s="14"/>
      <c r="BW589" s="14"/>
      <c r="BX589" s="14"/>
      <c r="BY589" s="14"/>
      <c r="BZ589" s="14"/>
      <c r="CA589" s="14"/>
      <c r="CB589" s="14"/>
      <c r="CC589" s="14"/>
      <c r="CD589" s="14"/>
      <c r="CE589" s="14"/>
      <c r="CF589" s="14"/>
      <c r="CG589" s="14"/>
      <c r="CH589" s="14"/>
      <c r="CI589" s="14"/>
      <c r="CJ589" s="14"/>
      <c r="CK589" s="14"/>
      <c r="CL589" s="14"/>
      <c r="CT589" s="14"/>
      <c r="CW589" s="3"/>
      <c r="DG589" s="4"/>
    </row>
    <row r="590" customFormat="false" ht="11.25" hidden="false" customHeight="true" outlineLevel="0" collapsed="false">
      <c r="A590" s="14"/>
      <c r="B590" s="15"/>
      <c r="C590" s="15"/>
      <c r="D590" s="14"/>
      <c r="E590" s="14"/>
      <c r="F590" s="14"/>
      <c r="G590" s="14"/>
      <c r="H590" s="15"/>
      <c r="I590" s="15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4"/>
      <c r="BK590" s="14"/>
      <c r="BL590" s="14"/>
      <c r="BM590" s="14"/>
      <c r="BN590" s="14"/>
      <c r="BO590" s="14"/>
      <c r="BP590" s="14"/>
      <c r="BQ590" s="14"/>
      <c r="BR590" s="14"/>
      <c r="BS590" s="14"/>
      <c r="BT590" s="14"/>
      <c r="BU590" s="14"/>
      <c r="BV590" s="14"/>
      <c r="BW590" s="14"/>
      <c r="BX590" s="14"/>
      <c r="BY590" s="14"/>
      <c r="BZ590" s="14"/>
      <c r="CA590" s="14"/>
      <c r="CB590" s="14"/>
      <c r="CC590" s="14"/>
      <c r="CD590" s="14"/>
      <c r="CE590" s="14"/>
      <c r="CF590" s="14"/>
      <c r="CG590" s="14"/>
      <c r="CH590" s="14"/>
      <c r="CI590" s="14"/>
      <c r="CJ590" s="14"/>
      <c r="CK590" s="14"/>
      <c r="CL590" s="14"/>
      <c r="CT590" s="14"/>
      <c r="CW590" s="3"/>
      <c r="DG590" s="4"/>
    </row>
    <row r="591" customFormat="false" ht="11.25" hidden="false" customHeight="true" outlineLevel="0" collapsed="false">
      <c r="A591" s="14"/>
      <c r="B591" s="15"/>
      <c r="C591" s="15"/>
      <c r="D591" s="14"/>
      <c r="E591" s="14"/>
      <c r="F591" s="14"/>
      <c r="G591" s="14"/>
      <c r="H591" s="15"/>
      <c r="I591" s="15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  <c r="BP591" s="14"/>
      <c r="BQ591" s="14"/>
      <c r="BR591" s="14"/>
      <c r="BS591" s="14"/>
      <c r="BT591" s="14"/>
      <c r="BU591" s="14"/>
      <c r="BV591" s="14"/>
      <c r="BW591" s="14"/>
      <c r="BX591" s="14"/>
      <c r="BY591" s="14"/>
      <c r="BZ591" s="14"/>
      <c r="CA591" s="14"/>
      <c r="CB591" s="14"/>
      <c r="CC591" s="14"/>
      <c r="CD591" s="14"/>
      <c r="CE591" s="14"/>
      <c r="CF591" s="14"/>
      <c r="CG591" s="14"/>
      <c r="CH591" s="14"/>
      <c r="CI591" s="14"/>
      <c r="CJ591" s="14"/>
      <c r="CK591" s="14"/>
      <c r="CL591" s="14"/>
      <c r="CT591" s="14"/>
      <c r="CW591" s="3"/>
      <c r="DG591" s="4"/>
    </row>
    <row r="592" customFormat="false" ht="11.25" hidden="false" customHeight="true" outlineLevel="0" collapsed="false">
      <c r="A592" s="14"/>
      <c r="B592" s="15"/>
      <c r="C592" s="15"/>
      <c r="D592" s="14"/>
      <c r="E592" s="14"/>
      <c r="F592" s="14"/>
      <c r="G592" s="14"/>
      <c r="H592" s="15"/>
      <c r="I592" s="15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  <c r="BP592" s="14"/>
      <c r="BQ592" s="14"/>
      <c r="BR592" s="14"/>
      <c r="BS592" s="14"/>
      <c r="BT592" s="14"/>
      <c r="BU592" s="14"/>
      <c r="BV592" s="14"/>
      <c r="BW592" s="14"/>
      <c r="BX592" s="14"/>
      <c r="BY592" s="14"/>
      <c r="BZ592" s="14"/>
      <c r="CA592" s="14"/>
      <c r="CB592" s="14"/>
      <c r="CC592" s="14"/>
      <c r="CD592" s="14"/>
      <c r="CE592" s="14"/>
      <c r="CF592" s="14"/>
      <c r="CG592" s="14"/>
      <c r="CH592" s="14"/>
      <c r="CI592" s="14"/>
      <c r="CJ592" s="14"/>
      <c r="CK592" s="14"/>
      <c r="CL592" s="14"/>
      <c r="CT592" s="14"/>
      <c r="CW592" s="3"/>
      <c r="DG592" s="4"/>
    </row>
    <row r="593" customFormat="false" ht="11.25" hidden="false" customHeight="true" outlineLevel="0" collapsed="false">
      <c r="A593" s="14"/>
      <c r="B593" s="15"/>
      <c r="C593" s="15"/>
      <c r="D593" s="14"/>
      <c r="E593" s="14"/>
      <c r="F593" s="14"/>
      <c r="G593" s="14"/>
      <c r="H593" s="15"/>
      <c r="I593" s="15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  <c r="BP593" s="14"/>
      <c r="BQ593" s="14"/>
      <c r="BR593" s="14"/>
      <c r="BS593" s="14"/>
      <c r="BT593" s="14"/>
      <c r="BU593" s="14"/>
      <c r="BV593" s="14"/>
      <c r="BW593" s="14"/>
      <c r="BX593" s="14"/>
      <c r="BY593" s="14"/>
      <c r="BZ593" s="14"/>
      <c r="CA593" s="14"/>
      <c r="CB593" s="14"/>
      <c r="CC593" s="14"/>
      <c r="CD593" s="14"/>
      <c r="CE593" s="14"/>
      <c r="CF593" s="14"/>
      <c r="CG593" s="14"/>
      <c r="CH593" s="14"/>
      <c r="CI593" s="14"/>
      <c r="CJ593" s="14"/>
      <c r="CK593" s="14"/>
      <c r="CL593" s="14"/>
      <c r="CT593" s="14"/>
      <c r="CW593" s="3"/>
      <c r="DG593" s="4"/>
    </row>
    <row r="594" customFormat="false" ht="11.25" hidden="false" customHeight="true" outlineLevel="0" collapsed="false">
      <c r="A594" s="14"/>
      <c r="B594" s="15"/>
      <c r="C594" s="15"/>
      <c r="D594" s="14"/>
      <c r="E594" s="14"/>
      <c r="F594" s="14"/>
      <c r="G594" s="14"/>
      <c r="H594" s="15"/>
      <c r="I594" s="15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  <c r="BP594" s="14"/>
      <c r="BQ594" s="14"/>
      <c r="BR594" s="14"/>
      <c r="BS594" s="14"/>
      <c r="BT594" s="14"/>
      <c r="BU594" s="14"/>
      <c r="BV594" s="14"/>
      <c r="BW594" s="14"/>
      <c r="BX594" s="14"/>
      <c r="BY594" s="14"/>
      <c r="BZ594" s="14"/>
      <c r="CA594" s="14"/>
      <c r="CB594" s="14"/>
      <c r="CC594" s="14"/>
      <c r="CD594" s="14"/>
      <c r="CE594" s="14"/>
      <c r="CF594" s="14"/>
      <c r="CG594" s="14"/>
      <c r="CH594" s="14"/>
      <c r="CI594" s="14"/>
      <c r="CJ594" s="14"/>
      <c r="CK594" s="14"/>
      <c r="CL594" s="14"/>
      <c r="CT594" s="14"/>
      <c r="CW594" s="3"/>
      <c r="DG594" s="4"/>
    </row>
    <row r="595" customFormat="false" ht="11.25" hidden="false" customHeight="true" outlineLevel="0" collapsed="false">
      <c r="A595" s="14"/>
      <c r="B595" s="15"/>
      <c r="C595" s="15"/>
      <c r="D595" s="14"/>
      <c r="E595" s="14"/>
      <c r="F595" s="14"/>
      <c r="G595" s="14"/>
      <c r="H595" s="15"/>
      <c r="I595" s="15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  <c r="BP595" s="14"/>
      <c r="BQ595" s="14"/>
      <c r="BR595" s="14"/>
      <c r="BS595" s="14"/>
      <c r="BT595" s="14"/>
      <c r="BU595" s="14"/>
      <c r="BV595" s="14"/>
      <c r="BW595" s="14"/>
      <c r="BX595" s="14"/>
      <c r="BY595" s="14"/>
      <c r="BZ595" s="14"/>
      <c r="CA595" s="14"/>
      <c r="CB595" s="14"/>
      <c r="CC595" s="14"/>
      <c r="CD595" s="14"/>
      <c r="CE595" s="14"/>
      <c r="CF595" s="14"/>
      <c r="CG595" s="14"/>
      <c r="CH595" s="14"/>
      <c r="CI595" s="14"/>
      <c r="CJ595" s="14"/>
      <c r="CK595" s="14"/>
      <c r="CL595" s="14"/>
      <c r="CT595" s="14"/>
      <c r="CW595" s="3"/>
      <c r="DG595" s="4"/>
    </row>
    <row r="596" customFormat="false" ht="11.25" hidden="false" customHeight="true" outlineLevel="0" collapsed="false">
      <c r="A596" s="14"/>
      <c r="B596" s="15"/>
      <c r="C596" s="15"/>
      <c r="D596" s="14"/>
      <c r="E596" s="14"/>
      <c r="F596" s="14"/>
      <c r="G596" s="14"/>
      <c r="H596" s="15"/>
      <c r="I596" s="15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  <c r="BP596" s="14"/>
      <c r="BQ596" s="14"/>
      <c r="BR596" s="14"/>
      <c r="BS596" s="14"/>
      <c r="BT596" s="14"/>
      <c r="BU596" s="14"/>
      <c r="BV596" s="14"/>
      <c r="BW596" s="14"/>
      <c r="BX596" s="14"/>
      <c r="BY596" s="14"/>
      <c r="BZ596" s="14"/>
      <c r="CA596" s="14"/>
      <c r="CB596" s="14"/>
      <c r="CC596" s="14"/>
      <c r="CD596" s="14"/>
      <c r="CE596" s="14"/>
      <c r="CF596" s="14"/>
      <c r="CG596" s="14"/>
      <c r="CH596" s="14"/>
      <c r="CI596" s="14"/>
      <c r="CJ596" s="14"/>
      <c r="CK596" s="14"/>
      <c r="CL596" s="14"/>
      <c r="CT596" s="14"/>
      <c r="CW596" s="3"/>
      <c r="DG596" s="4"/>
    </row>
    <row r="597" customFormat="false" ht="11.25" hidden="false" customHeight="true" outlineLevel="0" collapsed="false">
      <c r="A597" s="14"/>
      <c r="B597" s="15"/>
      <c r="C597" s="15"/>
      <c r="D597" s="14"/>
      <c r="E597" s="14"/>
      <c r="F597" s="14"/>
      <c r="G597" s="14"/>
      <c r="H597" s="15"/>
      <c r="I597" s="15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  <c r="BP597" s="14"/>
      <c r="BQ597" s="14"/>
      <c r="BR597" s="14"/>
      <c r="BS597" s="14"/>
      <c r="BT597" s="14"/>
      <c r="BU597" s="14"/>
      <c r="BV597" s="14"/>
      <c r="BW597" s="14"/>
      <c r="BX597" s="14"/>
      <c r="BY597" s="14"/>
      <c r="BZ597" s="14"/>
      <c r="CA597" s="14"/>
      <c r="CB597" s="14"/>
      <c r="CC597" s="14"/>
      <c r="CD597" s="14"/>
      <c r="CE597" s="14"/>
      <c r="CF597" s="14"/>
      <c r="CG597" s="14"/>
      <c r="CH597" s="14"/>
      <c r="CI597" s="14"/>
      <c r="CJ597" s="14"/>
      <c r="CK597" s="14"/>
      <c r="CL597" s="14"/>
      <c r="CT597" s="14"/>
      <c r="CW597" s="3"/>
      <c r="DG597" s="4"/>
    </row>
    <row r="598" customFormat="false" ht="11.25" hidden="false" customHeight="true" outlineLevel="0" collapsed="false">
      <c r="A598" s="14"/>
      <c r="B598" s="15"/>
      <c r="C598" s="15"/>
      <c r="D598" s="14"/>
      <c r="E598" s="14"/>
      <c r="F598" s="14"/>
      <c r="G598" s="14"/>
      <c r="H598" s="15"/>
      <c r="I598" s="15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  <c r="BP598" s="14"/>
      <c r="BQ598" s="14"/>
      <c r="BR598" s="14"/>
      <c r="BS598" s="14"/>
      <c r="BT598" s="14"/>
      <c r="BU598" s="14"/>
      <c r="BV598" s="14"/>
      <c r="BW598" s="14"/>
      <c r="BX598" s="14"/>
      <c r="BY598" s="14"/>
      <c r="BZ598" s="14"/>
      <c r="CA598" s="14"/>
      <c r="CB598" s="14"/>
      <c r="CC598" s="14"/>
      <c r="CD598" s="14"/>
      <c r="CE598" s="14"/>
      <c r="CF598" s="14"/>
      <c r="CG598" s="14"/>
      <c r="CH598" s="14"/>
      <c r="CI598" s="14"/>
      <c r="CJ598" s="14"/>
      <c r="CK598" s="14"/>
      <c r="CL598" s="14"/>
      <c r="CT598" s="14"/>
      <c r="CW598" s="3"/>
      <c r="DG598" s="4"/>
    </row>
    <row r="599" customFormat="false" ht="11.25" hidden="false" customHeight="true" outlineLevel="0" collapsed="false">
      <c r="A599" s="14"/>
      <c r="B599" s="15"/>
      <c r="C599" s="15"/>
      <c r="D599" s="14"/>
      <c r="E599" s="14"/>
      <c r="F599" s="14"/>
      <c r="G599" s="14"/>
      <c r="H599" s="15"/>
      <c r="I599" s="15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  <c r="BP599" s="14"/>
      <c r="BQ599" s="14"/>
      <c r="BR599" s="14"/>
      <c r="BS599" s="14"/>
      <c r="BT599" s="14"/>
      <c r="BU599" s="14"/>
      <c r="BV599" s="14"/>
      <c r="BW599" s="14"/>
      <c r="BX599" s="14"/>
      <c r="BY599" s="14"/>
      <c r="BZ599" s="14"/>
      <c r="CA599" s="14"/>
      <c r="CB599" s="14"/>
      <c r="CC599" s="14"/>
      <c r="CD599" s="14"/>
      <c r="CE599" s="14"/>
      <c r="CF599" s="14"/>
      <c r="CG599" s="14"/>
      <c r="CH599" s="14"/>
      <c r="CI599" s="14"/>
      <c r="CJ599" s="14"/>
      <c r="CK599" s="14"/>
      <c r="CL599" s="14"/>
      <c r="CT599" s="14"/>
      <c r="CW599" s="3"/>
      <c r="DG599" s="4"/>
    </row>
    <row r="600" customFormat="false" ht="11.25" hidden="false" customHeight="true" outlineLevel="0" collapsed="false">
      <c r="A600" s="14"/>
      <c r="B600" s="15"/>
      <c r="C600" s="15"/>
      <c r="D600" s="14"/>
      <c r="E600" s="14"/>
      <c r="F600" s="14"/>
      <c r="G600" s="14"/>
      <c r="H600" s="15"/>
      <c r="I600" s="15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  <c r="BP600" s="14"/>
      <c r="BQ600" s="14"/>
      <c r="BR600" s="14"/>
      <c r="BS600" s="14"/>
      <c r="BT600" s="14"/>
      <c r="BU600" s="14"/>
      <c r="BV600" s="14"/>
      <c r="BW600" s="14"/>
      <c r="BX600" s="14"/>
      <c r="BY600" s="14"/>
      <c r="BZ600" s="14"/>
      <c r="CA600" s="14"/>
      <c r="CB600" s="14"/>
      <c r="CC600" s="14"/>
      <c r="CD600" s="14"/>
      <c r="CE600" s="14"/>
      <c r="CF600" s="14"/>
      <c r="CG600" s="14"/>
      <c r="CH600" s="14"/>
      <c r="CI600" s="14"/>
      <c r="CJ600" s="14"/>
      <c r="CK600" s="14"/>
      <c r="CL600" s="14"/>
      <c r="CT600" s="14"/>
      <c r="CW600" s="3"/>
      <c r="DG600" s="4"/>
    </row>
    <row r="601" customFormat="false" ht="11.25" hidden="false" customHeight="true" outlineLevel="0" collapsed="false">
      <c r="A601" s="14"/>
      <c r="B601" s="15"/>
      <c r="C601" s="15"/>
      <c r="D601" s="14"/>
      <c r="E601" s="14"/>
      <c r="F601" s="14"/>
      <c r="G601" s="14"/>
      <c r="H601" s="15"/>
      <c r="I601" s="15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  <c r="BP601" s="14"/>
      <c r="BQ601" s="14"/>
      <c r="BR601" s="14"/>
      <c r="BS601" s="14"/>
      <c r="BT601" s="14"/>
      <c r="BU601" s="14"/>
      <c r="BV601" s="14"/>
      <c r="BW601" s="14"/>
      <c r="BX601" s="14"/>
      <c r="BY601" s="14"/>
      <c r="BZ601" s="14"/>
      <c r="CA601" s="14"/>
      <c r="CB601" s="14"/>
      <c r="CC601" s="14"/>
      <c r="CD601" s="14"/>
      <c r="CE601" s="14"/>
      <c r="CF601" s="14"/>
      <c r="CG601" s="14"/>
      <c r="CH601" s="14"/>
      <c r="CI601" s="14"/>
      <c r="CJ601" s="14"/>
      <c r="CK601" s="14"/>
      <c r="CL601" s="14"/>
      <c r="CT601" s="14"/>
      <c r="CW601" s="3"/>
      <c r="DG601" s="4"/>
    </row>
    <row r="602" customFormat="false" ht="11.25" hidden="false" customHeight="true" outlineLevel="0" collapsed="false">
      <c r="A602" s="14"/>
      <c r="B602" s="15"/>
      <c r="C602" s="15"/>
      <c r="D602" s="14"/>
      <c r="E602" s="14"/>
      <c r="F602" s="14"/>
      <c r="G602" s="14"/>
      <c r="H602" s="15"/>
      <c r="I602" s="15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  <c r="BP602" s="14"/>
      <c r="BQ602" s="14"/>
      <c r="BR602" s="14"/>
      <c r="BS602" s="14"/>
      <c r="BT602" s="14"/>
      <c r="BU602" s="14"/>
      <c r="BV602" s="14"/>
      <c r="BW602" s="14"/>
      <c r="BX602" s="14"/>
      <c r="BY602" s="14"/>
      <c r="BZ602" s="14"/>
      <c r="CA602" s="14"/>
      <c r="CB602" s="14"/>
      <c r="CC602" s="14"/>
      <c r="CD602" s="14"/>
      <c r="CE602" s="14"/>
      <c r="CF602" s="14"/>
      <c r="CG602" s="14"/>
      <c r="CH602" s="14"/>
      <c r="CI602" s="14"/>
      <c r="CJ602" s="14"/>
      <c r="CK602" s="14"/>
      <c r="CL602" s="14"/>
      <c r="CT602" s="14"/>
      <c r="CW602" s="3"/>
      <c r="DG602" s="4"/>
    </row>
    <row r="603" customFormat="false" ht="11.25" hidden="false" customHeight="true" outlineLevel="0" collapsed="false">
      <c r="A603" s="14"/>
      <c r="B603" s="15"/>
      <c r="C603" s="15"/>
      <c r="D603" s="14"/>
      <c r="E603" s="14"/>
      <c r="F603" s="14"/>
      <c r="G603" s="14"/>
      <c r="H603" s="15"/>
      <c r="I603" s="15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  <c r="BP603" s="14"/>
      <c r="BQ603" s="14"/>
      <c r="BR603" s="14"/>
      <c r="BS603" s="14"/>
      <c r="BT603" s="14"/>
      <c r="BU603" s="14"/>
      <c r="BV603" s="14"/>
      <c r="BW603" s="14"/>
      <c r="BX603" s="14"/>
      <c r="BY603" s="14"/>
      <c r="BZ603" s="14"/>
      <c r="CA603" s="14"/>
      <c r="CB603" s="14"/>
      <c r="CC603" s="14"/>
      <c r="CD603" s="14"/>
      <c r="CE603" s="14"/>
      <c r="CF603" s="14"/>
      <c r="CG603" s="14"/>
      <c r="CH603" s="14"/>
      <c r="CI603" s="14"/>
      <c r="CJ603" s="14"/>
      <c r="CK603" s="14"/>
      <c r="CL603" s="14"/>
      <c r="CT603" s="14"/>
      <c r="CW603" s="3"/>
      <c r="DG603" s="4"/>
    </row>
    <row r="604" customFormat="false" ht="11.25" hidden="false" customHeight="true" outlineLevel="0" collapsed="false">
      <c r="A604" s="14"/>
      <c r="B604" s="15"/>
      <c r="C604" s="15"/>
      <c r="D604" s="14"/>
      <c r="E604" s="14"/>
      <c r="F604" s="14"/>
      <c r="G604" s="14"/>
      <c r="H604" s="15"/>
      <c r="I604" s="15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  <c r="BP604" s="14"/>
      <c r="BQ604" s="14"/>
      <c r="BR604" s="14"/>
      <c r="BS604" s="14"/>
      <c r="BT604" s="14"/>
      <c r="BU604" s="14"/>
      <c r="BV604" s="14"/>
      <c r="BW604" s="14"/>
      <c r="BX604" s="14"/>
      <c r="BY604" s="14"/>
      <c r="BZ604" s="14"/>
      <c r="CA604" s="14"/>
      <c r="CB604" s="14"/>
      <c r="CC604" s="14"/>
      <c r="CD604" s="14"/>
      <c r="CE604" s="14"/>
      <c r="CF604" s="14"/>
      <c r="CG604" s="14"/>
      <c r="CH604" s="14"/>
      <c r="CI604" s="14"/>
      <c r="CJ604" s="14"/>
      <c r="CK604" s="14"/>
      <c r="CL604" s="14"/>
      <c r="CT604" s="14"/>
      <c r="CW604" s="3"/>
      <c r="DG604" s="4"/>
    </row>
    <row r="605" customFormat="false" ht="11.25" hidden="false" customHeight="true" outlineLevel="0" collapsed="false">
      <c r="A605" s="14"/>
      <c r="B605" s="15"/>
      <c r="C605" s="15"/>
      <c r="D605" s="14"/>
      <c r="E605" s="14"/>
      <c r="F605" s="14"/>
      <c r="G605" s="14"/>
      <c r="H605" s="15"/>
      <c r="I605" s="15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  <c r="BP605" s="14"/>
      <c r="BQ605" s="14"/>
      <c r="BR605" s="14"/>
      <c r="BS605" s="14"/>
      <c r="BT605" s="14"/>
      <c r="BU605" s="14"/>
      <c r="BV605" s="14"/>
      <c r="BW605" s="14"/>
      <c r="BX605" s="14"/>
      <c r="BY605" s="14"/>
      <c r="BZ605" s="14"/>
      <c r="CA605" s="14"/>
      <c r="CB605" s="14"/>
      <c r="CC605" s="14"/>
      <c r="CD605" s="14"/>
      <c r="CE605" s="14"/>
      <c r="CF605" s="14"/>
      <c r="CG605" s="14"/>
      <c r="CH605" s="14"/>
      <c r="CI605" s="14"/>
      <c r="CJ605" s="14"/>
      <c r="CK605" s="14"/>
      <c r="CL605" s="14"/>
      <c r="CT605" s="14"/>
      <c r="CW605" s="3"/>
      <c r="DG605" s="4"/>
    </row>
    <row r="606" customFormat="false" ht="11.25" hidden="false" customHeight="true" outlineLevel="0" collapsed="false">
      <c r="A606" s="14"/>
      <c r="B606" s="15"/>
      <c r="C606" s="15"/>
      <c r="D606" s="14"/>
      <c r="E606" s="14"/>
      <c r="F606" s="14"/>
      <c r="G606" s="14"/>
      <c r="H606" s="15"/>
      <c r="I606" s="15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  <c r="BP606" s="14"/>
      <c r="BQ606" s="14"/>
      <c r="BR606" s="14"/>
      <c r="BS606" s="14"/>
      <c r="BT606" s="14"/>
      <c r="BU606" s="14"/>
      <c r="BV606" s="14"/>
      <c r="BW606" s="14"/>
      <c r="BX606" s="14"/>
      <c r="BY606" s="14"/>
      <c r="BZ606" s="14"/>
      <c r="CA606" s="14"/>
      <c r="CB606" s="14"/>
      <c r="CC606" s="14"/>
      <c r="CD606" s="14"/>
      <c r="CE606" s="14"/>
      <c r="CF606" s="14"/>
      <c r="CG606" s="14"/>
      <c r="CH606" s="14"/>
      <c r="CI606" s="14"/>
      <c r="CJ606" s="14"/>
      <c r="CK606" s="14"/>
      <c r="CL606" s="14"/>
      <c r="CT606" s="14"/>
      <c r="CW606" s="3"/>
      <c r="DG606" s="4"/>
    </row>
    <row r="607" customFormat="false" ht="11.25" hidden="false" customHeight="true" outlineLevel="0" collapsed="false">
      <c r="A607" s="14"/>
      <c r="B607" s="15"/>
      <c r="C607" s="15"/>
      <c r="D607" s="14"/>
      <c r="E607" s="14"/>
      <c r="F607" s="14"/>
      <c r="G607" s="14"/>
      <c r="H607" s="15"/>
      <c r="I607" s="15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  <c r="BP607" s="14"/>
      <c r="BQ607" s="14"/>
      <c r="BR607" s="14"/>
      <c r="BS607" s="14"/>
      <c r="BT607" s="14"/>
      <c r="BU607" s="14"/>
      <c r="BV607" s="14"/>
      <c r="BW607" s="14"/>
      <c r="BX607" s="14"/>
      <c r="BY607" s="14"/>
      <c r="BZ607" s="14"/>
      <c r="CA607" s="14"/>
      <c r="CB607" s="14"/>
      <c r="CC607" s="14"/>
      <c r="CD607" s="14"/>
      <c r="CE607" s="14"/>
      <c r="CF607" s="14"/>
      <c r="CG607" s="14"/>
      <c r="CH607" s="14"/>
      <c r="CI607" s="14"/>
      <c r="CJ607" s="14"/>
      <c r="CK607" s="14"/>
      <c r="CL607" s="14"/>
      <c r="CT607" s="14"/>
      <c r="CW607" s="3"/>
      <c r="DG607" s="4"/>
    </row>
    <row r="608" customFormat="false" ht="11.25" hidden="false" customHeight="true" outlineLevel="0" collapsed="false">
      <c r="A608" s="14"/>
      <c r="B608" s="15"/>
      <c r="C608" s="15"/>
      <c r="D608" s="14"/>
      <c r="E608" s="14"/>
      <c r="F608" s="14"/>
      <c r="G608" s="14"/>
      <c r="H608" s="15"/>
      <c r="I608" s="15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  <c r="BP608" s="14"/>
      <c r="BQ608" s="14"/>
      <c r="BR608" s="14"/>
      <c r="BS608" s="14"/>
      <c r="BT608" s="14"/>
      <c r="BU608" s="14"/>
      <c r="BV608" s="14"/>
      <c r="BW608" s="14"/>
      <c r="BX608" s="14"/>
      <c r="BY608" s="14"/>
      <c r="BZ608" s="14"/>
      <c r="CA608" s="14"/>
      <c r="CB608" s="14"/>
      <c r="CC608" s="14"/>
      <c r="CD608" s="14"/>
      <c r="CE608" s="14"/>
      <c r="CF608" s="14"/>
      <c r="CG608" s="14"/>
      <c r="CH608" s="14"/>
      <c r="CI608" s="14"/>
      <c r="CJ608" s="14"/>
      <c r="CK608" s="14"/>
      <c r="CL608" s="14"/>
      <c r="CT608" s="14"/>
      <c r="CW608" s="3"/>
      <c r="DG608" s="4"/>
    </row>
    <row r="609" customFormat="false" ht="11.25" hidden="false" customHeight="true" outlineLevel="0" collapsed="false">
      <c r="A609" s="14"/>
      <c r="B609" s="15"/>
      <c r="C609" s="15"/>
      <c r="D609" s="14"/>
      <c r="E609" s="14"/>
      <c r="F609" s="14"/>
      <c r="G609" s="14"/>
      <c r="H609" s="15"/>
      <c r="I609" s="15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  <c r="BP609" s="14"/>
      <c r="BQ609" s="14"/>
      <c r="BR609" s="14"/>
      <c r="BS609" s="14"/>
      <c r="BT609" s="14"/>
      <c r="BU609" s="14"/>
      <c r="BV609" s="14"/>
      <c r="BW609" s="14"/>
      <c r="BX609" s="14"/>
      <c r="BY609" s="14"/>
      <c r="BZ609" s="14"/>
      <c r="CA609" s="14"/>
      <c r="CB609" s="14"/>
      <c r="CC609" s="14"/>
      <c r="CD609" s="14"/>
      <c r="CE609" s="14"/>
      <c r="CF609" s="14"/>
      <c r="CG609" s="14"/>
      <c r="CH609" s="14"/>
      <c r="CI609" s="14"/>
      <c r="CJ609" s="14"/>
      <c r="CK609" s="14"/>
      <c r="CL609" s="14"/>
      <c r="CT609" s="14"/>
      <c r="CW609" s="3"/>
      <c r="DG609" s="4"/>
    </row>
    <row r="610" customFormat="false" ht="11.25" hidden="false" customHeight="true" outlineLevel="0" collapsed="false">
      <c r="A610" s="14"/>
      <c r="B610" s="15"/>
      <c r="C610" s="15"/>
      <c r="D610" s="14"/>
      <c r="E610" s="14"/>
      <c r="F610" s="14"/>
      <c r="G610" s="14"/>
      <c r="H610" s="15"/>
      <c r="I610" s="15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  <c r="BP610" s="14"/>
      <c r="BQ610" s="14"/>
      <c r="BR610" s="14"/>
      <c r="BS610" s="14"/>
      <c r="BT610" s="14"/>
      <c r="BU610" s="14"/>
      <c r="BV610" s="14"/>
      <c r="BW610" s="14"/>
      <c r="BX610" s="14"/>
      <c r="BY610" s="14"/>
      <c r="BZ610" s="14"/>
      <c r="CA610" s="14"/>
      <c r="CB610" s="14"/>
      <c r="CC610" s="14"/>
      <c r="CD610" s="14"/>
      <c r="CE610" s="14"/>
      <c r="CF610" s="14"/>
      <c r="CG610" s="14"/>
      <c r="CH610" s="14"/>
      <c r="CI610" s="14"/>
      <c r="CJ610" s="14"/>
      <c r="CK610" s="14"/>
      <c r="CL610" s="14"/>
      <c r="CT610" s="14"/>
      <c r="CW610" s="3"/>
      <c r="DG610" s="4"/>
    </row>
    <row r="611" customFormat="false" ht="11.25" hidden="false" customHeight="true" outlineLevel="0" collapsed="false">
      <c r="A611" s="14"/>
      <c r="B611" s="15"/>
      <c r="C611" s="15"/>
      <c r="D611" s="14"/>
      <c r="E611" s="14"/>
      <c r="F611" s="14"/>
      <c r="G611" s="14"/>
      <c r="H611" s="15"/>
      <c r="I611" s="15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  <c r="BP611" s="14"/>
      <c r="BQ611" s="14"/>
      <c r="BR611" s="14"/>
      <c r="BS611" s="14"/>
      <c r="BT611" s="14"/>
      <c r="BU611" s="14"/>
      <c r="BV611" s="14"/>
      <c r="BW611" s="14"/>
      <c r="BX611" s="14"/>
      <c r="BY611" s="14"/>
      <c r="BZ611" s="14"/>
      <c r="CA611" s="14"/>
      <c r="CB611" s="14"/>
      <c r="CC611" s="14"/>
      <c r="CD611" s="14"/>
      <c r="CE611" s="14"/>
      <c r="CF611" s="14"/>
      <c r="CG611" s="14"/>
      <c r="CH611" s="14"/>
      <c r="CI611" s="14"/>
      <c r="CJ611" s="14"/>
      <c r="CK611" s="14"/>
      <c r="CL611" s="14"/>
      <c r="CT611" s="14"/>
      <c r="CW611" s="3"/>
      <c r="DG611" s="4"/>
    </row>
    <row r="612" customFormat="false" ht="11.25" hidden="false" customHeight="true" outlineLevel="0" collapsed="false">
      <c r="A612" s="14"/>
      <c r="B612" s="15"/>
      <c r="C612" s="15"/>
      <c r="D612" s="14"/>
      <c r="E612" s="14"/>
      <c r="F612" s="14"/>
      <c r="G612" s="14"/>
      <c r="H612" s="15"/>
      <c r="I612" s="15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  <c r="BP612" s="14"/>
      <c r="BQ612" s="14"/>
      <c r="BR612" s="14"/>
      <c r="BS612" s="14"/>
      <c r="BT612" s="14"/>
      <c r="BU612" s="14"/>
      <c r="BV612" s="14"/>
      <c r="BW612" s="14"/>
      <c r="BX612" s="14"/>
      <c r="BY612" s="14"/>
      <c r="BZ612" s="14"/>
      <c r="CA612" s="14"/>
      <c r="CB612" s="14"/>
      <c r="CC612" s="14"/>
      <c r="CD612" s="14"/>
      <c r="CE612" s="14"/>
      <c r="CF612" s="14"/>
      <c r="CG612" s="14"/>
      <c r="CH612" s="14"/>
      <c r="CI612" s="14"/>
      <c r="CJ612" s="14"/>
      <c r="CK612" s="14"/>
      <c r="CL612" s="14"/>
      <c r="CT612" s="14"/>
      <c r="CW612" s="3"/>
      <c r="DG612" s="4"/>
    </row>
    <row r="613" customFormat="false" ht="11.25" hidden="false" customHeight="true" outlineLevel="0" collapsed="false">
      <c r="A613" s="14"/>
      <c r="B613" s="15"/>
      <c r="C613" s="15"/>
      <c r="D613" s="14"/>
      <c r="E613" s="14"/>
      <c r="F613" s="14"/>
      <c r="G613" s="14"/>
      <c r="H613" s="15"/>
      <c r="I613" s="15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  <c r="BP613" s="14"/>
      <c r="BQ613" s="14"/>
      <c r="BR613" s="14"/>
      <c r="BS613" s="14"/>
      <c r="BT613" s="14"/>
      <c r="BU613" s="14"/>
      <c r="BV613" s="14"/>
      <c r="BW613" s="14"/>
      <c r="BX613" s="14"/>
      <c r="BY613" s="14"/>
      <c r="BZ613" s="14"/>
      <c r="CA613" s="14"/>
      <c r="CB613" s="14"/>
      <c r="CC613" s="14"/>
      <c r="CD613" s="14"/>
      <c r="CE613" s="14"/>
      <c r="CF613" s="14"/>
      <c r="CG613" s="14"/>
      <c r="CH613" s="14"/>
      <c r="CI613" s="14"/>
      <c r="CJ613" s="14"/>
      <c r="CK613" s="14"/>
      <c r="CL613" s="14"/>
      <c r="CT613" s="14"/>
      <c r="CW613" s="3"/>
      <c r="DG613" s="4"/>
    </row>
    <row r="614" customFormat="false" ht="11.25" hidden="false" customHeight="true" outlineLevel="0" collapsed="false">
      <c r="A614" s="14"/>
      <c r="B614" s="15"/>
      <c r="C614" s="15"/>
      <c r="D614" s="14"/>
      <c r="E614" s="14"/>
      <c r="F614" s="14"/>
      <c r="G614" s="14"/>
      <c r="H614" s="15"/>
      <c r="I614" s="15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  <c r="BP614" s="14"/>
      <c r="BQ614" s="14"/>
      <c r="BR614" s="14"/>
      <c r="BS614" s="14"/>
      <c r="BT614" s="14"/>
      <c r="BU614" s="14"/>
      <c r="BV614" s="14"/>
      <c r="BW614" s="14"/>
      <c r="BX614" s="14"/>
      <c r="BY614" s="14"/>
      <c r="BZ614" s="14"/>
      <c r="CA614" s="14"/>
      <c r="CB614" s="14"/>
      <c r="CC614" s="14"/>
      <c r="CD614" s="14"/>
      <c r="CE614" s="14"/>
      <c r="CF614" s="14"/>
      <c r="CG614" s="14"/>
      <c r="CH614" s="14"/>
      <c r="CI614" s="14"/>
      <c r="CJ614" s="14"/>
      <c r="CK614" s="14"/>
      <c r="CL614" s="14"/>
      <c r="CT614" s="14"/>
      <c r="CW614" s="3"/>
      <c r="DG614" s="4"/>
    </row>
    <row r="615" customFormat="false" ht="11.25" hidden="false" customHeight="true" outlineLevel="0" collapsed="false">
      <c r="A615" s="14"/>
      <c r="B615" s="15"/>
      <c r="C615" s="15"/>
      <c r="D615" s="14"/>
      <c r="E615" s="14"/>
      <c r="F615" s="14"/>
      <c r="G615" s="14"/>
      <c r="H615" s="15"/>
      <c r="I615" s="15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  <c r="BP615" s="14"/>
      <c r="BQ615" s="14"/>
      <c r="BR615" s="14"/>
      <c r="BS615" s="14"/>
      <c r="BT615" s="14"/>
      <c r="BU615" s="14"/>
      <c r="BV615" s="14"/>
      <c r="BW615" s="14"/>
      <c r="BX615" s="14"/>
      <c r="BY615" s="14"/>
      <c r="BZ615" s="14"/>
      <c r="CA615" s="14"/>
      <c r="CB615" s="14"/>
      <c r="CC615" s="14"/>
      <c r="CD615" s="14"/>
      <c r="CE615" s="14"/>
      <c r="CF615" s="14"/>
      <c r="CG615" s="14"/>
      <c r="CH615" s="14"/>
      <c r="CI615" s="14"/>
      <c r="CJ615" s="14"/>
      <c r="CK615" s="14"/>
      <c r="CL615" s="14"/>
      <c r="CT615" s="14"/>
      <c r="CW615" s="3"/>
      <c r="DG615" s="4"/>
    </row>
    <row r="616" customFormat="false" ht="11.25" hidden="false" customHeight="true" outlineLevel="0" collapsed="false">
      <c r="A616" s="14"/>
      <c r="B616" s="15"/>
      <c r="C616" s="15"/>
      <c r="D616" s="14"/>
      <c r="E616" s="14"/>
      <c r="F616" s="14"/>
      <c r="G616" s="14"/>
      <c r="H616" s="15"/>
      <c r="I616" s="15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  <c r="BP616" s="14"/>
      <c r="BQ616" s="14"/>
      <c r="BR616" s="14"/>
      <c r="BS616" s="14"/>
      <c r="BT616" s="14"/>
      <c r="BU616" s="14"/>
      <c r="BV616" s="14"/>
      <c r="BW616" s="14"/>
      <c r="BX616" s="14"/>
      <c r="BY616" s="14"/>
      <c r="BZ616" s="14"/>
      <c r="CA616" s="14"/>
      <c r="CB616" s="14"/>
      <c r="CC616" s="14"/>
      <c r="CD616" s="14"/>
      <c r="CE616" s="14"/>
      <c r="CF616" s="14"/>
      <c r="CG616" s="14"/>
      <c r="CH616" s="14"/>
      <c r="CI616" s="14"/>
      <c r="CJ616" s="14"/>
      <c r="CK616" s="14"/>
      <c r="CL616" s="14"/>
      <c r="CT616" s="14"/>
      <c r="CW616" s="3"/>
      <c r="DG616" s="4"/>
    </row>
    <row r="617" customFormat="false" ht="11.25" hidden="false" customHeight="true" outlineLevel="0" collapsed="false">
      <c r="A617" s="14"/>
      <c r="B617" s="15"/>
      <c r="C617" s="15"/>
      <c r="D617" s="14"/>
      <c r="E617" s="14"/>
      <c r="F617" s="14"/>
      <c r="G617" s="14"/>
      <c r="H617" s="15"/>
      <c r="I617" s="15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  <c r="BP617" s="14"/>
      <c r="BQ617" s="14"/>
      <c r="BR617" s="14"/>
      <c r="BS617" s="14"/>
      <c r="BT617" s="14"/>
      <c r="BU617" s="14"/>
      <c r="BV617" s="14"/>
      <c r="BW617" s="14"/>
      <c r="BX617" s="14"/>
      <c r="BY617" s="14"/>
      <c r="BZ617" s="14"/>
      <c r="CA617" s="14"/>
      <c r="CB617" s="14"/>
      <c r="CC617" s="14"/>
      <c r="CD617" s="14"/>
      <c r="CE617" s="14"/>
      <c r="CF617" s="14"/>
      <c r="CG617" s="14"/>
      <c r="CH617" s="14"/>
      <c r="CI617" s="14"/>
      <c r="CJ617" s="14"/>
      <c r="CK617" s="14"/>
      <c r="CL617" s="14"/>
      <c r="CT617" s="14"/>
      <c r="CW617" s="3"/>
      <c r="DG617" s="4"/>
    </row>
    <row r="618" customFormat="false" ht="11.25" hidden="false" customHeight="true" outlineLevel="0" collapsed="false">
      <c r="A618" s="14"/>
      <c r="B618" s="15"/>
      <c r="C618" s="15"/>
      <c r="D618" s="14"/>
      <c r="E618" s="14"/>
      <c r="F618" s="14"/>
      <c r="G618" s="14"/>
      <c r="H618" s="15"/>
      <c r="I618" s="15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  <c r="BP618" s="14"/>
      <c r="BQ618" s="14"/>
      <c r="BR618" s="14"/>
      <c r="BS618" s="14"/>
      <c r="BT618" s="14"/>
      <c r="BU618" s="14"/>
      <c r="BV618" s="14"/>
      <c r="BW618" s="14"/>
      <c r="BX618" s="14"/>
      <c r="BY618" s="14"/>
      <c r="BZ618" s="14"/>
      <c r="CA618" s="14"/>
      <c r="CB618" s="14"/>
      <c r="CC618" s="14"/>
      <c r="CD618" s="14"/>
      <c r="CE618" s="14"/>
      <c r="CF618" s="14"/>
      <c r="CG618" s="14"/>
      <c r="CH618" s="14"/>
      <c r="CI618" s="14"/>
      <c r="CJ618" s="14"/>
      <c r="CK618" s="14"/>
      <c r="CL618" s="14"/>
      <c r="CT618" s="14"/>
      <c r="CW618" s="3"/>
      <c r="DG618" s="4"/>
    </row>
    <row r="619" customFormat="false" ht="11.25" hidden="false" customHeight="true" outlineLevel="0" collapsed="false">
      <c r="A619" s="14"/>
      <c r="B619" s="15"/>
      <c r="C619" s="15"/>
      <c r="D619" s="14"/>
      <c r="E619" s="14"/>
      <c r="F619" s="14"/>
      <c r="G619" s="14"/>
      <c r="H619" s="15"/>
      <c r="I619" s="15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  <c r="BP619" s="14"/>
      <c r="BQ619" s="14"/>
      <c r="BR619" s="14"/>
      <c r="BS619" s="14"/>
      <c r="BT619" s="14"/>
      <c r="BU619" s="14"/>
      <c r="BV619" s="14"/>
      <c r="BW619" s="14"/>
      <c r="BX619" s="14"/>
      <c r="BY619" s="14"/>
      <c r="BZ619" s="14"/>
      <c r="CA619" s="14"/>
      <c r="CB619" s="14"/>
      <c r="CC619" s="14"/>
      <c r="CD619" s="14"/>
      <c r="CE619" s="14"/>
      <c r="CF619" s="14"/>
      <c r="CG619" s="14"/>
      <c r="CH619" s="14"/>
      <c r="CI619" s="14"/>
      <c r="CJ619" s="14"/>
      <c r="CK619" s="14"/>
      <c r="CL619" s="14"/>
      <c r="CT619" s="14"/>
      <c r="CW619" s="3"/>
      <c r="DG619" s="4"/>
    </row>
    <row r="620" customFormat="false" ht="11.25" hidden="false" customHeight="true" outlineLevel="0" collapsed="false">
      <c r="A620" s="14"/>
      <c r="B620" s="15"/>
      <c r="C620" s="15"/>
      <c r="D620" s="14"/>
      <c r="E620" s="14"/>
      <c r="F620" s="14"/>
      <c r="G620" s="14"/>
      <c r="H620" s="15"/>
      <c r="I620" s="15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  <c r="BP620" s="14"/>
      <c r="BQ620" s="14"/>
      <c r="BR620" s="14"/>
      <c r="BS620" s="14"/>
      <c r="BT620" s="14"/>
      <c r="BU620" s="14"/>
      <c r="BV620" s="14"/>
      <c r="BW620" s="14"/>
      <c r="BX620" s="14"/>
      <c r="BY620" s="14"/>
      <c r="BZ620" s="14"/>
      <c r="CA620" s="14"/>
      <c r="CB620" s="14"/>
      <c r="CC620" s="14"/>
      <c r="CD620" s="14"/>
      <c r="CE620" s="14"/>
      <c r="CF620" s="14"/>
      <c r="CG620" s="14"/>
      <c r="CH620" s="14"/>
      <c r="CI620" s="14"/>
      <c r="CJ620" s="14"/>
      <c r="CK620" s="14"/>
      <c r="CL620" s="14"/>
      <c r="CT620" s="14"/>
      <c r="CW620" s="3"/>
      <c r="DG620" s="4"/>
    </row>
    <row r="621" customFormat="false" ht="11.25" hidden="false" customHeight="true" outlineLevel="0" collapsed="false">
      <c r="A621" s="14"/>
      <c r="B621" s="15"/>
      <c r="C621" s="15"/>
      <c r="D621" s="14"/>
      <c r="E621" s="14"/>
      <c r="F621" s="14"/>
      <c r="G621" s="14"/>
      <c r="H621" s="15"/>
      <c r="I621" s="15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  <c r="BP621" s="14"/>
      <c r="BQ621" s="14"/>
      <c r="BR621" s="14"/>
      <c r="BS621" s="14"/>
      <c r="BT621" s="14"/>
      <c r="BU621" s="14"/>
      <c r="BV621" s="14"/>
      <c r="BW621" s="14"/>
      <c r="BX621" s="14"/>
      <c r="BY621" s="14"/>
      <c r="BZ621" s="14"/>
      <c r="CA621" s="14"/>
      <c r="CB621" s="14"/>
      <c r="CC621" s="14"/>
      <c r="CD621" s="14"/>
      <c r="CE621" s="14"/>
      <c r="CF621" s="14"/>
      <c r="CG621" s="14"/>
      <c r="CH621" s="14"/>
      <c r="CI621" s="14"/>
      <c r="CJ621" s="14"/>
      <c r="CK621" s="14"/>
      <c r="CL621" s="14"/>
      <c r="CT621" s="14"/>
      <c r="CW621" s="3"/>
      <c r="DG621" s="4"/>
    </row>
    <row r="622" customFormat="false" ht="11.25" hidden="false" customHeight="true" outlineLevel="0" collapsed="false">
      <c r="A622" s="14"/>
      <c r="B622" s="15"/>
      <c r="C622" s="15"/>
      <c r="D622" s="14"/>
      <c r="E622" s="14"/>
      <c r="F622" s="14"/>
      <c r="G622" s="14"/>
      <c r="H622" s="15"/>
      <c r="I622" s="15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  <c r="BP622" s="14"/>
      <c r="BQ622" s="14"/>
      <c r="BR622" s="14"/>
      <c r="BS622" s="14"/>
      <c r="BT622" s="14"/>
      <c r="BU622" s="14"/>
      <c r="BV622" s="14"/>
      <c r="BW622" s="14"/>
      <c r="BX622" s="14"/>
      <c r="BY622" s="14"/>
      <c r="BZ622" s="14"/>
      <c r="CA622" s="14"/>
      <c r="CB622" s="14"/>
      <c r="CC622" s="14"/>
      <c r="CD622" s="14"/>
      <c r="CE622" s="14"/>
      <c r="CF622" s="14"/>
      <c r="CG622" s="14"/>
      <c r="CH622" s="14"/>
      <c r="CI622" s="14"/>
      <c r="CJ622" s="14"/>
      <c r="CK622" s="14"/>
      <c r="CL622" s="14"/>
      <c r="CT622" s="14"/>
      <c r="CW622" s="3"/>
      <c r="DG622" s="4"/>
    </row>
    <row r="623" customFormat="false" ht="11.25" hidden="false" customHeight="true" outlineLevel="0" collapsed="false">
      <c r="A623" s="14"/>
      <c r="B623" s="15"/>
      <c r="C623" s="15"/>
      <c r="D623" s="14"/>
      <c r="E623" s="14"/>
      <c r="F623" s="14"/>
      <c r="G623" s="14"/>
      <c r="H623" s="15"/>
      <c r="I623" s="15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  <c r="BP623" s="14"/>
      <c r="BQ623" s="14"/>
      <c r="BR623" s="14"/>
      <c r="BS623" s="14"/>
      <c r="BT623" s="14"/>
      <c r="BU623" s="14"/>
      <c r="BV623" s="14"/>
      <c r="BW623" s="14"/>
      <c r="BX623" s="14"/>
      <c r="BY623" s="14"/>
      <c r="BZ623" s="14"/>
      <c r="CA623" s="14"/>
      <c r="CB623" s="14"/>
      <c r="CC623" s="14"/>
      <c r="CD623" s="14"/>
      <c r="CE623" s="14"/>
      <c r="CF623" s="14"/>
      <c r="CG623" s="14"/>
      <c r="CH623" s="14"/>
      <c r="CI623" s="14"/>
      <c r="CJ623" s="14"/>
      <c r="CK623" s="14"/>
      <c r="CL623" s="14"/>
      <c r="CT623" s="14"/>
      <c r="CW623" s="3"/>
      <c r="DG623" s="4"/>
    </row>
    <row r="624" customFormat="false" ht="11.25" hidden="false" customHeight="true" outlineLevel="0" collapsed="false">
      <c r="A624" s="14"/>
      <c r="B624" s="15"/>
      <c r="C624" s="15"/>
      <c r="D624" s="14"/>
      <c r="E624" s="14"/>
      <c r="F624" s="14"/>
      <c r="G624" s="14"/>
      <c r="H624" s="15"/>
      <c r="I624" s="15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  <c r="BP624" s="14"/>
      <c r="BQ624" s="14"/>
      <c r="BR624" s="14"/>
      <c r="BS624" s="14"/>
      <c r="BT624" s="14"/>
      <c r="BU624" s="14"/>
      <c r="BV624" s="14"/>
      <c r="BW624" s="14"/>
      <c r="BX624" s="14"/>
      <c r="BY624" s="14"/>
      <c r="BZ624" s="14"/>
      <c r="CA624" s="14"/>
      <c r="CB624" s="14"/>
      <c r="CC624" s="14"/>
      <c r="CD624" s="14"/>
      <c r="CE624" s="14"/>
      <c r="CF624" s="14"/>
      <c r="CG624" s="14"/>
      <c r="CH624" s="14"/>
      <c r="CI624" s="14"/>
      <c r="CJ624" s="14"/>
      <c r="CK624" s="14"/>
      <c r="CL624" s="14"/>
      <c r="CT624" s="14"/>
      <c r="CW624" s="3"/>
      <c r="DG624" s="4"/>
    </row>
    <row r="625" customFormat="false" ht="11.25" hidden="false" customHeight="true" outlineLevel="0" collapsed="false">
      <c r="A625" s="14"/>
      <c r="B625" s="15"/>
      <c r="C625" s="15"/>
      <c r="D625" s="14"/>
      <c r="E625" s="14"/>
      <c r="F625" s="14"/>
      <c r="G625" s="14"/>
      <c r="H625" s="15"/>
      <c r="I625" s="15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  <c r="BP625" s="14"/>
      <c r="BQ625" s="14"/>
      <c r="BR625" s="14"/>
      <c r="BS625" s="14"/>
      <c r="BT625" s="14"/>
      <c r="BU625" s="14"/>
      <c r="BV625" s="14"/>
      <c r="BW625" s="14"/>
      <c r="BX625" s="14"/>
      <c r="BY625" s="14"/>
      <c r="BZ625" s="14"/>
      <c r="CA625" s="14"/>
      <c r="CB625" s="14"/>
      <c r="CC625" s="14"/>
      <c r="CD625" s="14"/>
      <c r="CE625" s="14"/>
      <c r="CF625" s="14"/>
      <c r="CG625" s="14"/>
      <c r="CH625" s="14"/>
      <c r="CI625" s="14"/>
      <c r="CJ625" s="14"/>
      <c r="CK625" s="14"/>
      <c r="CL625" s="14"/>
      <c r="CT625" s="14"/>
      <c r="CW625" s="3"/>
      <c r="DG625" s="4"/>
    </row>
    <row r="626" customFormat="false" ht="11.25" hidden="false" customHeight="true" outlineLevel="0" collapsed="false">
      <c r="A626" s="14"/>
      <c r="B626" s="15"/>
      <c r="C626" s="15"/>
      <c r="D626" s="14"/>
      <c r="E626" s="14"/>
      <c r="F626" s="14"/>
      <c r="G626" s="14"/>
      <c r="H626" s="15"/>
      <c r="I626" s="15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  <c r="BP626" s="14"/>
      <c r="BQ626" s="14"/>
      <c r="BR626" s="14"/>
      <c r="BS626" s="14"/>
      <c r="BT626" s="14"/>
      <c r="BU626" s="14"/>
      <c r="BV626" s="14"/>
      <c r="BW626" s="14"/>
      <c r="BX626" s="14"/>
      <c r="BY626" s="14"/>
      <c r="BZ626" s="14"/>
      <c r="CA626" s="14"/>
      <c r="CB626" s="14"/>
      <c r="CC626" s="14"/>
      <c r="CD626" s="14"/>
      <c r="CE626" s="14"/>
      <c r="CF626" s="14"/>
      <c r="CG626" s="14"/>
      <c r="CH626" s="14"/>
      <c r="CI626" s="14"/>
      <c r="CJ626" s="14"/>
      <c r="CK626" s="14"/>
      <c r="CL626" s="14"/>
      <c r="CT626" s="14"/>
      <c r="CW626" s="3"/>
      <c r="DG626" s="4"/>
    </row>
    <row r="627" customFormat="false" ht="11.25" hidden="false" customHeight="true" outlineLevel="0" collapsed="false">
      <c r="A627" s="14"/>
      <c r="B627" s="15"/>
      <c r="C627" s="15"/>
      <c r="D627" s="14"/>
      <c r="E627" s="14"/>
      <c r="F627" s="14"/>
      <c r="G627" s="14"/>
      <c r="H627" s="15"/>
      <c r="I627" s="15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  <c r="BP627" s="14"/>
      <c r="BQ627" s="14"/>
      <c r="BR627" s="14"/>
      <c r="BS627" s="14"/>
      <c r="BT627" s="14"/>
      <c r="BU627" s="14"/>
      <c r="BV627" s="14"/>
      <c r="BW627" s="14"/>
      <c r="BX627" s="14"/>
      <c r="BY627" s="14"/>
      <c r="BZ627" s="14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T627" s="14"/>
      <c r="CW627" s="3"/>
      <c r="DG627" s="4"/>
    </row>
    <row r="628" customFormat="false" ht="11.25" hidden="false" customHeight="true" outlineLevel="0" collapsed="false">
      <c r="A628" s="14"/>
      <c r="B628" s="15"/>
      <c r="C628" s="15"/>
      <c r="D628" s="14"/>
      <c r="E628" s="14"/>
      <c r="F628" s="14"/>
      <c r="G628" s="14"/>
      <c r="H628" s="15"/>
      <c r="I628" s="15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  <c r="BN628" s="14"/>
      <c r="BO628" s="14"/>
      <c r="BP628" s="14"/>
      <c r="BQ628" s="14"/>
      <c r="BR628" s="14"/>
      <c r="BS628" s="14"/>
      <c r="BT628" s="14"/>
      <c r="BU628" s="14"/>
      <c r="BV628" s="14"/>
      <c r="BW628" s="14"/>
      <c r="BX628" s="14"/>
      <c r="BY628" s="14"/>
      <c r="BZ628" s="14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T628" s="14"/>
      <c r="CW628" s="3"/>
      <c r="DG628" s="4"/>
    </row>
    <row r="629" customFormat="false" ht="11.25" hidden="false" customHeight="true" outlineLevel="0" collapsed="false">
      <c r="A629" s="14"/>
      <c r="B629" s="15"/>
      <c r="C629" s="15"/>
      <c r="D629" s="14"/>
      <c r="E629" s="14"/>
      <c r="F629" s="14"/>
      <c r="G629" s="14"/>
      <c r="H629" s="15"/>
      <c r="I629" s="15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  <c r="BP629" s="14"/>
      <c r="BQ629" s="14"/>
      <c r="BR629" s="14"/>
      <c r="BS629" s="14"/>
      <c r="BT629" s="14"/>
      <c r="BU629" s="14"/>
      <c r="BV629" s="14"/>
      <c r="BW629" s="14"/>
      <c r="BX629" s="14"/>
      <c r="BY629" s="14"/>
      <c r="BZ629" s="14"/>
      <c r="CA629" s="14"/>
      <c r="CB629" s="14"/>
      <c r="CC629" s="14"/>
      <c r="CD629" s="14"/>
      <c r="CE629" s="14"/>
      <c r="CF629" s="14"/>
      <c r="CG629" s="14"/>
      <c r="CH629" s="14"/>
      <c r="CI629" s="14"/>
      <c r="CJ629" s="14"/>
      <c r="CK629" s="14"/>
      <c r="CL629" s="14"/>
      <c r="CT629" s="14"/>
      <c r="CW629" s="3"/>
      <c r="DG629" s="4"/>
    </row>
    <row r="630" customFormat="false" ht="11.25" hidden="false" customHeight="true" outlineLevel="0" collapsed="false">
      <c r="A630" s="14"/>
      <c r="B630" s="15"/>
      <c r="C630" s="15"/>
      <c r="D630" s="14"/>
      <c r="E630" s="14"/>
      <c r="F630" s="14"/>
      <c r="G630" s="14"/>
      <c r="H630" s="15"/>
      <c r="I630" s="15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  <c r="BP630" s="14"/>
      <c r="BQ630" s="14"/>
      <c r="BR630" s="14"/>
      <c r="BS630" s="14"/>
      <c r="BT630" s="14"/>
      <c r="BU630" s="14"/>
      <c r="BV630" s="14"/>
      <c r="BW630" s="14"/>
      <c r="BX630" s="14"/>
      <c r="BY630" s="14"/>
      <c r="BZ630" s="14"/>
      <c r="CA630" s="14"/>
      <c r="CB630" s="14"/>
      <c r="CC630" s="14"/>
      <c r="CD630" s="14"/>
      <c r="CE630" s="14"/>
      <c r="CF630" s="14"/>
      <c r="CG630" s="14"/>
      <c r="CH630" s="14"/>
      <c r="CI630" s="14"/>
      <c r="CJ630" s="14"/>
      <c r="CK630" s="14"/>
      <c r="CL630" s="14"/>
      <c r="CT630" s="14"/>
      <c r="CW630" s="3"/>
      <c r="DG630" s="4"/>
    </row>
    <row r="631" customFormat="false" ht="11.25" hidden="false" customHeight="true" outlineLevel="0" collapsed="false">
      <c r="A631" s="14"/>
      <c r="B631" s="15"/>
      <c r="C631" s="15"/>
      <c r="D631" s="14"/>
      <c r="E631" s="14"/>
      <c r="F631" s="14"/>
      <c r="G631" s="14"/>
      <c r="H631" s="15"/>
      <c r="I631" s="15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  <c r="BP631" s="14"/>
      <c r="BQ631" s="14"/>
      <c r="BR631" s="14"/>
      <c r="BS631" s="14"/>
      <c r="BT631" s="14"/>
      <c r="BU631" s="14"/>
      <c r="BV631" s="14"/>
      <c r="BW631" s="14"/>
      <c r="BX631" s="14"/>
      <c r="BY631" s="14"/>
      <c r="BZ631" s="14"/>
      <c r="CA631" s="14"/>
      <c r="CB631" s="14"/>
      <c r="CC631" s="14"/>
      <c r="CD631" s="14"/>
      <c r="CE631" s="14"/>
      <c r="CF631" s="14"/>
      <c r="CG631" s="14"/>
      <c r="CH631" s="14"/>
      <c r="CI631" s="14"/>
      <c r="CJ631" s="14"/>
      <c r="CK631" s="14"/>
      <c r="CL631" s="14"/>
      <c r="CT631" s="14"/>
      <c r="CW631" s="3"/>
      <c r="DG631" s="4"/>
    </row>
    <row r="632" customFormat="false" ht="11.25" hidden="false" customHeight="true" outlineLevel="0" collapsed="false">
      <c r="A632" s="14"/>
      <c r="B632" s="15"/>
      <c r="C632" s="15"/>
      <c r="D632" s="14"/>
      <c r="E632" s="14"/>
      <c r="F632" s="14"/>
      <c r="G632" s="14"/>
      <c r="H632" s="15"/>
      <c r="I632" s="15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  <c r="BP632" s="14"/>
      <c r="BQ632" s="14"/>
      <c r="BR632" s="14"/>
      <c r="BS632" s="14"/>
      <c r="BT632" s="14"/>
      <c r="BU632" s="14"/>
      <c r="BV632" s="14"/>
      <c r="BW632" s="14"/>
      <c r="BX632" s="14"/>
      <c r="BY632" s="14"/>
      <c r="BZ632" s="14"/>
      <c r="CA632" s="14"/>
      <c r="CB632" s="14"/>
      <c r="CC632" s="14"/>
      <c r="CD632" s="14"/>
      <c r="CE632" s="14"/>
      <c r="CF632" s="14"/>
      <c r="CG632" s="14"/>
      <c r="CH632" s="14"/>
      <c r="CI632" s="14"/>
      <c r="CJ632" s="14"/>
      <c r="CK632" s="14"/>
      <c r="CL632" s="14"/>
      <c r="CT632" s="14"/>
      <c r="CW632" s="3"/>
      <c r="DG632" s="4"/>
    </row>
    <row r="633" customFormat="false" ht="11.25" hidden="false" customHeight="true" outlineLevel="0" collapsed="false">
      <c r="A633" s="14"/>
      <c r="B633" s="15"/>
      <c r="C633" s="15"/>
      <c r="D633" s="14"/>
      <c r="E633" s="14"/>
      <c r="F633" s="14"/>
      <c r="G633" s="14"/>
      <c r="H633" s="15"/>
      <c r="I633" s="15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  <c r="BP633" s="14"/>
      <c r="BQ633" s="14"/>
      <c r="BR633" s="14"/>
      <c r="BS633" s="14"/>
      <c r="BT633" s="14"/>
      <c r="BU633" s="14"/>
      <c r="BV633" s="14"/>
      <c r="BW633" s="14"/>
      <c r="BX633" s="14"/>
      <c r="BY633" s="14"/>
      <c r="BZ633" s="14"/>
      <c r="CA633" s="14"/>
      <c r="CB633" s="14"/>
      <c r="CC633" s="14"/>
      <c r="CD633" s="14"/>
      <c r="CE633" s="14"/>
      <c r="CF633" s="14"/>
      <c r="CG633" s="14"/>
      <c r="CH633" s="14"/>
      <c r="CI633" s="14"/>
      <c r="CJ633" s="14"/>
      <c r="CK633" s="14"/>
      <c r="CL633" s="14"/>
      <c r="CT633" s="14"/>
      <c r="CW633" s="3"/>
      <c r="DG633" s="4"/>
    </row>
    <row r="634" customFormat="false" ht="11.25" hidden="false" customHeight="true" outlineLevel="0" collapsed="false">
      <c r="A634" s="14"/>
      <c r="B634" s="15"/>
      <c r="C634" s="15"/>
      <c r="D634" s="14"/>
      <c r="E634" s="14"/>
      <c r="F634" s="14"/>
      <c r="G634" s="14"/>
      <c r="H634" s="15"/>
      <c r="I634" s="15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  <c r="BP634" s="14"/>
      <c r="BQ634" s="14"/>
      <c r="BR634" s="14"/>
      <c r="BS634" s="14"/>
      <c r="BT634" s="14"/>
      <c r="BU634" s="14"/>
      <c r="BV634" s="14"/>
      <c r="BW634" s="14"/>
      <c r="BX634" s="14"/>
      <c r="BY634" s="14"/>
      <c r="BZ634" s="14"/>
      <c r="CA634" s="14"/>
      <c r="CB634" s="14"/>
      <c r="CC634" s="14"/>
      <c r="CD634" s="14"/>
      <c r="CE634" s="14"/>
      <c r="CF634" s="14"/>
      <c r="CG634" s="14"/>
      <c r="CH634" s="14"/>
      <c r="CI634" s="14"/>
      <c r="CJ634" s="14"/>
      <c r="CK634" s="14"/>
      <c r="CL634" s="14"/>
      <c r="CT634" s="14"/>
      <c r="CW634" s="3"/>
      <c r="DG634" s="4"/>
    </row>
    <row r="635" customFormat="false" ht="11.25" hidden="false" customHeight="true" outlineLevel="0" collapsed="false">
      <c r="A635" s="14"/>
      <c r="B635" s="15"/>
      <c r="C635" s="15"/>
      <c r="D635" s="14"/>
      <c r="E635" s="14"/>
      <c r="F635" s="14"/>
      <c r="G635" s="14"/>
      <c r="H635" s="15"/>
      <c r="I635" s="15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  <c r="BP635" s="14"/>
      <c r="BQ635" s="14"/>
      <c r="BR635" s="14"/>
      <c r="BS635" s="14"/>
      <c r="BT635" s="14"/>
      <c r="BU635" s="14"/>
      <c r="BV635" s="14"/>
      <c r="BW635" s="14"/>
      <c r="BX635" s="14"/>
      <c r="BY635" s="14"/>
      <c r="BZ635" s="14"/>
      <c r="CA635" s="14"/>
      <c r="CB635" s="14"/>
      <c r="CC635" s="14"/>
      <c r="CD635" s="14"/>
      <c r="CE635" s="14"/>
      <c r="CF635" s="14"/>
      <c r="CG635" s="14"/>
      <c r="CH635" s="14"/>
      <c r="CI635" s="14"/>
      <c r="CJ635" s="14"/>
      <c r="CK635" s="14"/>
      <c r="CL635" s="14"/>
      <c r="CT635" s="14"/>
      <c r="CW635" s="3"/>
      <c r="DG635" s="4"/>
    </row>
    <row r="636" customFormat="false" ht="11.25" hidden="false" customHeight="true" outlineLevel="0" collapsed="false">
      <c r="A636" s="14"/>
      <c r="B636" s="15"/>
      <c r="C636" s="15"/>
      <c r="D636" s="14"/>
      <c r="E636" s="14"/>
      <c r="F636" s="14"/>
      <c r="G636" s="14"/>
      <c r="H636" s="15"/>
      <c r="I636" s="15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  <c r="BP636" s="14"/>
      <c r="BQ636" s="14"/>
      <c r="BR636" s="14"/>
      <c r="BS636" s="14"/>
      <c r="BT636" s="14"/>
      <c r="BU636" s="14"/>
      <c r="BV636" s="14"/>
      <c r="BW636" s="14"/>
      <c r="BX636" s="14"/>
      <c r="BY636" s="14"/>
      <c r="BZ636" s="14"/>
      <c r="CA636" s="14"/>
      <c r="CB636" s="14"/>
      <c r="CC636" s="14"/>
      <c r="CD636" s="14"/>
      <c r="CE636" s="14"/>
      <c r="CF636" s="14"/>
      <c r="CG636" s="14"/>
      <c r="CH636" s="14"/>
      <c r="CI636" s="14"/>
      <c r="CJ636" s="14"/>
      <c r="CK636" s="14"/>
      <c r="CL636" s="14"/>
      <c r="CT636" s="14"/>
      <c r="CW636" s="3"/>
      <c r="DG636" s="4"/>
    </row>
    <row r="637" customFormat="false" ht="11.25" hidden="false" customHeight="true" outlineLevel="0" collapsed="false">
      <c r="A637" s="14"/>
      <c r="B637" s="15"/>
      <c r="C637" s="15"/>
      <c r="D637" s="14"/>
      <c r="E637" s="14"/>
      <c r="F637" s="14"/>
      <c r="G637" s="14"/>
      <c r="H637" s="15"/>
      <c r="I637" s="15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  <c r="BP637" s="14"/>
      <c r="BQ637" s="14"/>
      <c r="BR637" s="14"/>
      <c r="BS637" s="14"/>
      <c r="BT637" s="14"/>
      <c r="BU637" s="14"/>
      <c r="BV637" s="14"/>
      <c r="BW637" s="14"/>
      <c r="BX637" s="14"/>
      <c r="BY637" s="14"/>
      <c r="BZ637" s="14"/>
      <c r="CA637" s="14"/>
      <c r="CB637" s="14"/>
      <c r="CC637" s="14"/>
      <c r="CD637" s="14"/>
      <c r="CE637" s="14"/>
      <c r="CF637" s="14"/>
      <c r="CG637" s="14"/>
      <c r="CH637" s="14"/>
      <c r="CI637" s="14"/>
      <c r="CJ637" s="14"/>
      <c r="CK637" s="14"/>
      <c r="CL637" s="14"/>
      <c r="CT637" s="14"/>
      <c r="CW637" s="3"/>
      <c r="DG637" s="4"/>
    </row>
    <row r="638" customFormat="false" ht="11.25" hidden="false" customHeight="true" outlineLevel="0" collapsed="false">
      <c r="A638" s="14"/>
      <c r="B638" s="15"/>
      <c r="C638" s="15"/>
      <c r="D638" s="14"/>
      <c r="E638" s="14"/>
      <c r="F638" s="14"/>
      <c r="G638" s="14"/>
      <c r="H638" s="15"/>
      <c r="I638" s="15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  <c r="BP638" s="14"/>
      <c r="BQ638" s="14"/>
      <c r="BR638" s="14"/>
      <c r="BS638" s="14"/>
      <c r="BT638" s="14"/>
      <c r="BU638" s="14"/>
      <c r="BV638" s="14"/>
      <c r="BW638" s="14"/>
      <c r="BX638" s="14"/>
      <c r="BY638" s="14"/>
      <c r="BZ638" s="14"/>
      <c r="CA638" s="14"/>
      <c r="CB638" s="14"/>
      <c r="CC638" s="14"/>
      <c r="CD638" s="14"/>
      <c r="CE638" s="14"/>
      <c r="CF638" s="14"/>
      <c r="CG638" s="14"/>
      <c r="CH638" s="14"/>
      <c r="CI638" s="14"/>
      <c r="CJ638" s="14"/>
      <c r="CK638" s="14"/>
      <c r="CL638" s="14"/>
      <c r="CT638" s="14"/>
      <c r="CW638" s="3"/>
      <c r="DG638" s="4"/>
    </row>
    <row r="639" customFormat="false" ht="11.25" hidden="false" customHeight="true" outlineLevel="0" collapsed="false">
      <c r="A639" s="14"/>
      <c r="B639" s="15"/>
      <c r="C639" s="15"/>
      <c r="D639" s="14"/>
      <c r="E639" s="14"/>
      <c r="F639" s="14"/>
      <c r="G639" s="14"/>
      <c r="H639" s="15"/>
      <c r="I639" s="15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  <c r="BP639" s="14"/>
      <c r="BQ639" s="14"/>
      <c r="BR639" s="14"/>
      <c r="BS639" s="14"/>
      <c r="BT639" s="14"/>
      <c r="BU639" s="14"/>
      <c r="BV639" s="14"/>
      <c r="BW639" s="14"/>
      <c r="BX639" s="14"/>
      <c r="BY639" s="14"/>
      <c r="BZ639" s="14"/>
      <c r="CA639" s="14"/>
      <c r="CB639" s="14"/>
      <c r="CC639" s="14"/>
      <c r="CD639" s="14"/>
      <c r="CE639" s="14"/>
      <c r="CF639" s="14"/>
      <c r="CG639" s="14"/>
      <c r="CH639" s="14"/>
      <c r="CI639" s="14"/>
      <c r="CJ639" s="14"/>
      <c r="CK639" s="14"/>
      <c r="CL639" s="14"/>
      <c r="CT639" s="14"/>
      <c r="CW639" s="3"/>
      <c r="DG639" s="4"/>
    </row>
    <row r="640" customFormat="false" ht="11.25" hidden="false" customHeight="true" outlineLevel="0" collapsed="false">
      <c r="A640" s="14"/>
      <c r="B640" s="15"/>
      <c r="C640" s="15"/>
      <c r="D640" s="14"/>
      <c r="E640" s="14"/>
      <c r="F640" s="14"/>
      <c r="G640" s="14"/>
      <c r="H640" s="15"/>
      <c r="I640" s="15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  <c r="BP640" s="14"/>
      <c r="BQ640" s="14"/>
      <c r="BR640" s="14"/>
      <c r="BS640" s="14"/>
      <c r="BT640" s="14"/>
      <c r="BU640" s="14"/>
      <c r="BV640" s="14"/>
      <c r="BW640" s="14"/>
      <c r="BX640" s="14"/>
      <c r="BY640" s="14"/>
      <c r="BZ640" s="14"/>
      <c r="CA640" s="14"/>
      <c r="CB640" s="14"/>
      <c r="CC640" s="14"/>
      <c r="CD640" s="14"/>
      <c r="CE640" s="14"/>
      <c r="CF640" s="14"/>
      <c r="CG640" s="14"/>
      <c r="CH640" s="14"/>
      <c r="CI640" s="14"/>
      <c r="CJ640" s="14"/>
      <c r="CK640" s="14"/>
      <c r="CL640" s="14"/>
      <c r="CT640" s="14"/>
      <c r="CW640" s="3"/>
      <c r="DG640" s="4"/>
    </row>
    <row r="641" customFormat="false" ht="11.25" hidden="false" customHeight="true" outlineLevel="0" collapsed="false">
      <c r="A641" s="14"/>
      <c r="B641" s="15"/>
      <c r="C641" s="15"/>
      <c r="D641" s="14"/>
      <c r="E641" s="14"/>
      <c r="F641" s="14"/>
      <c r="G641" s="14"/>
      <c r="H641" s="15"/>
      <c r="I641" s="15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  <c r="BP641" s="14"/>
      <c r="BQ641" s="14"/>
      <c r="BR641" s="14"/>
      <c r="BS641" s="14"/>
      <c r="BT641" s="14"/>
      <c r="BU641" s="14"/>
      <c r="BV641" s="14"/>
      <c r="BW641" s="14"/>
      <c r="BX641" s="14"/>
      <c r="BY641" s="14"/>
      <c r="BZ641" s="14"/>
      <c r="CA641" s="14"/>
      <c r="CB641" s="14"/>
      <c r="CC641" s="14"/>
      <c r="CD641" s="14"/>
      <c r="CE641" s="14"/>
      <c r="CF641" s="14"/>
      <c r="CG641" s="14"/>
      <c r="CH641" s="14"/>
      <c r="CI641" s="14"/>
      <c r="CJ641" s="14"/>
      <c r="CK641" s="14"/>
      <c r="CL641" s="14"/>
      <c r="CT641" s="14"/>
      <c r="CW641" s="3"/>
      <c r="DG641" s="4"/>
    </row>
    <row r="642" customFormat="false" ht="11.25" hidden="false" customHeight="true" outlineLevel="0" collapsed="false">
      <c r="A642" s="14"/>
      <c r="B642" s="15"/>
      <c r="C642" s="15"/>
      <c r="D642" s="14"/>
      <c r="E642" s="14"/>
      <c r="F642" s="14"/>
      <c r="G642" s="14"/>
      <c r="H642" s="15"/>
      <c r="I642" s="15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  <c r="BP642" s="14"/>
      <c r="BQ642" s="14"/>
      <c r="BR642" s="14"/>
      <c r="BS642" s="14"/>
      <c r="BT642" s="14"/>
      <c r="BU642" s="14"/>
      <c r="BV642" s="14"/>
      <c r="BW642" s="14"/>
      <c r="BX642" s="14"/>
      <c r="BY642" s="14"/>
      <c r="BZ642" s="14"/>
      <c r="CA642" s="14"/>
      <c r="CB642" s="14"/>
      <c r="CC642" s="14"/>
      <c r="CD642" s="14"/>
      <c r="CE642" s="14"/>
      <c r="CF642" s="14"/>
      <c r="CG642" s="14"/>
      <c r="CH642" s="14"/>
      <c r="CI642" s="14"/>
      <c r="CJ642" s="14"/>
      <c r="CK642" s="14"/>
      <c r="CL642" s="14"/>
      <c r="CT642" s="14"/>
      <c r="CW642" s="3"/>
      <c r="DG642" s="4"/>
    </row>
    <row r="643" customFormat="false" ht="11.25" hidden="false" customHeight="true" outlineLevel="0" collapsed="false">
      <c r="A643" s="14"/>
      <c r="B643" s="15"/>
      <c r="C643" s="15"/>
      <c r="D643" s="14"/>
      <c r="E643" s="14"/>
      <c r="F643" s="14"/>
      <c r="G643" s="14"/>
      <c r="H643" s="15"/>
      <c r="I643" s="15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  <c r="BP643" s="14"/>
      <c r="BQ643" s="14"/>
      <c r="BR643" s="14"/>
      <c r="BS643" s="14"/>
      <c r="BT643" s="14"/>
      <c r="BU643" s="14"/>
      <c r="BV643" s="14"/>
      <c r="BW643" s="14"/>
      <c r="BX643" s="14"/>
      <c r="BY643" s="14"/>
      <c r="BZ643" s="14"/>
      <c r="CA643" s="14"/>
      <c r="CB643" s="14"/>
      <c r="CC643" s="14"/>
      <c r="CD643" s="14"/>
      <c r="CE643" s="14"/>
      <c r="CF643" s="14"/>
      <c r="CG643" s="14"/>
      <c r="CH643" s="14"/>
      <c r="CI643" s="14"/>
      <c r="CJ643" s="14"/>
      <c r="CK643" s="14"/>
      <c r="CL643" s="14"/>
      <c r="CT643" s="14"/>
      <c r="CW643" s="3"/>
      <c r="DG643" s="4"/>
    </row>
    <row r="644" customFormat="false" ht="11.25" hidden="false" customHeight="true" outlineLevel="0" collapsed="false">
      <c r="A644" s="14"/>
      <c r="B644" s="15"/>
      <c r="C644" s="15"/>
      <c r="D644" s="14"/>
      <c r="E644" s="14"/>
      <c r="F644" s="14"/>
      <c r="G644" s="14"/>
      <c r="H644" s="15"/>
      <c r="I644" s="15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4"/>
      <c r="BK644" s="14"/>
      <c r="BL644" s="14"/>
      <c r="BM644" s="14"/>
      <c r="BN644" s="14"/>
      <c r="BO644" s="14"/>
      <c r="BP644" s="14"/>
      <c r="BQ644" s="14"/>
      <c r="BR644" s="14"/>
      <c r="BS644" s="14"/>
      <c r="BT644" s="14"/>
      <c r="BU644" s="14"/>
      <c r="BV644" s="14"/>
      <c r="BW644" s="14"/>
      <c r="BX644" s="14"/>
      <c r="BY644" s="14"/>
      <c r="BZ644" s="14"/>
      <c r="CA644" s="14"/>
      <c r="CB644" s="14"/>
      <c r="CC644" s="14"/>
      <c r="CD644" s="14"/>
      <c r="CE644" s="14"/>
      <c r="CF644" s="14"/>
      <c r="CG644" s="14"/>
      <c r="CH644" s="14"/>
      <c r="CI644" s="14"/>
      <c r="CJ644" s="14"/>
      <c r="CK644" s="14"/>
      <c r="CL644" s="14"/>
      <c r="CT644" s="14"/>
      <c r="CW644" s="3"/>
      <c r="DG644" s="4"/>
    </row>
    <row r="645" customFormat="false" ht="11.25" hidden="false" customHeight="true" outlineLevel="0" collapsed="false">
      <c r="A645" s="14"/>
      <c r="B645" s="15"/>
      <c r="C645" s="15"/>
      <c r="D645" s="14"/>
      <c r="E645" s="14"/>
      <c r="F645" s="14"/>
      <c r="G645" s="14"/>
      <c r="H645" s="15"/>
      <c r="I645" s="15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  <c r="BP645" s="14"/>
      <c r="BQ645" s="14"/>
      <c r="BR645" s="14"/>
      <c r="BS645" s="14"/>
      <c r="BT645" s="14"/>
      <c r="BU645" s="14"/>
      <c r="BV645" s="14"/>
      <c r="BW645" s="14"/>
      <c r="BX645" s="14"/>
      <c r="BY645" s="14"/>
      <c r="BZ645" s="14"/>
      <c r="CA645" s="14"/>
      <c r="CB645" s="14"/>
      <c r="CC645" s="14"/>
      <c r="CD645" s="14"/>
      <c r="CE645" s="14"/>
      <c r="CF645" s="14"/>
      <c r="CG645" s="14"/>
      <c r="CH645" s="14"/>
      <c r="CI645" s="14"/>
      <c r="CJ645" s="14"/>
      <c r="CK645" s="14"/>
      <c r="CL645" s="14"/>
      <c r="CT645" s="14"/>
      <c r="CW645" s="3"/>
      <c r="DG645" s="4"/>
    </row>
    <row r="646" customFormat="false" ht="11.25" hidden="false" customHeight="true" outlineLevel="0" collapsed="false">
      <c r="A646" s="14"/>
      <c r="B646" s="15"/>
      <c r="C646" s="15"/>
      <c r="D646" s="14"/>
      <c r="E646" s="14"/>
      <c r="F646" s="14"/>
      <c r="G646" s="14"/>
      <c r="H646" s="15"/>
      <c r="I646" s="15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  <c r="BP646" s="14"/>
      <c r="BQ646" s="14"/>
      <c r="BR646" s="14"/>
      <c r="BS646" s="14"/>
      <c r="BT646" s="14"/>
      <c r="BU646" s="14"/>
      <c r="BV646" s="14"/>
      <c r="BW646" s="14"/>
      <c r="BX646" s="14"/>
      <c r="BY646" s="14"/>
      <c r="BZ646" s="14"/>
      <c r="CA646" s="14"/>
      <c r="CB646" s="14"/>
      <c r="CC646" s="14"/>
      <c r="CD646" s="14"/>
      <c r="CE646" s="14"/>
      <c r="CF646" s="14"/>
      <c r="CG646" s="14"/>
      <c r="CH646" s="14"/>
      <c r="CI646" s="14"/>
      <c r="CJ646" s="14"/>
      <c r="CK646" s="14"/>
      <c r="CL646" s="14"/>
      <c r="CT646" s="14"/>
      <c r="CW646" s="3"/>
      <c r="DG646" s="4"/>
    </row>
    <row r="647" customFormat="false" ht="11.25" hidden="false" customHeight="true" outlineLevel="0" collapsed="false">
      <c r="A647" s="14"/>
      <c r="B647" s="15"/>
      <c r="C647" s="15"/>
      <c r="D647" s="14"/>
      <c r="E647" s="14"/>
      <c r="F647" s="14"/>
      <c r="G647" s="14"/>
      <c r="H647" s="15"/>
      <c r="I647" s="15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  <c r="BP647" s="14"/>
      <c r="BQ647" s="14"/>
      <c r="BR647" s="14"/>
      <c r="BS647" s="14"/>
      <c r="BT647" s="14"/>
      <c r="BU647" s="14"/>
      <c r="BV647" s="14"/>
      <c r="BW647" s="14"/>
      <c r="BX647" s="14"/>
      <c r="BY647" s="14"/>
      <c r="BZ647" s="14"/>
      <c r="CA647" s="14"/>
      <c r="CB647" s="14"/>
      <c r="CC647" s="14"/>
      <c r="CD647" s="14"/>
      <c r="CE647" s="14"/>
      <c r="CF647" s="14"/>
      <c r="CG647" s="14"/>
      <c r="CH647" s="14"/>
      <c r="CI647" s="14"/>
      <c r="CJ647" s="14"/>
      <c r="CK647" s="14"/>
      <c r="CL647" s="14"/>
      <c r="CT647" s="14"/>
      <c r="CW647" s="3"/>
      <c r="DG647" s="4"/>
    </row>
    <row r="648" customFormat="false" ht="11.25" hidden="false" customHeight="true" outlineLevel="0" collapsed="false">
      <c r="A648" s="14"/>
      <c r="B648" s="15"/>
      <c r="C648" s="15"/>
      <c r="D648" s="14"/>
      <c r="E648" s="14"/>
      <c r="F648" s="14"/>
      <c r="G648" s="14"/>
      <c r="H648" s="15"/>
      <c r="I648" s="15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  <c r="BP648" s="14"/>
      <c r="BQ648" s="14"/>
      <c r="BR648" s="14"/>
      <c r="BS648" s="14"/>
      <c r="BT648" s="14"/>
      <c r="BU648" s="14"/>
      <c r="BV648" s="14"/>
      <c r="BW648" s="14"/>
      <c r="BX648" s="14"/>
      <c r="BY648" s="14"/>
      <c r="BZ648" s="14"/>
      <c r="CA648" s="14"/>
      <c r="CB648" s="14"/>
      <c r="CC648" s="14"/>
      <c r="CD648" s="14"/>
      <c r="CE648" s="14"/>
      <c r="CF648" s="14"/>
      <c r="CG648" s="14"/>
      <c r="CH648" s="14"/>
      <c r="CI648" s="14"/>
      <c r="CJ648" s="14"/>
      <c r="CK648" s="14"/>
      <c r="CL648" s="14"/>
      <c r="CT648" s="14"/>
      <c r="CW648" s="3"/>
      <c r="DG648" s="4"/>
    </row>
    <row r="649" customFormat="false" ht="11.25" hidden="false" customHeight="true" outlineLevel="0" collapsed="false">
      <c r="A649" s="14"/>
      <c r="B649" s="15"/>
      <c r="C649" s="15"/>
      <c r="D649" s="14"/>
      <c r="E649" s="14"/>
      <c r="F649" s="14"/>
      <c r="G649" s="14"/>
      <c r="H649" s="15"/>
      <c r="I649" s="15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  <c r="BP649" s="14"/>
      <c r="BQ649" s="14"/>
      <c r="BR649" s="14"/>
      <c r="BS649" s="14"/>
      <c r="BT649" s="14"/>
      <c r="BU649" s="14"/>
      <c r="BV649" s="14"/>
      <c r="BW649" s="14"/>
      <c r="BX649" s="14"/>
      <c r="BY649" s="14"/>
      <c r="BZ649" s="14"/>
      <c r="CA649" s="14"/>
      <c r="CB649" s="14"/>
      <c r="CC649" s="14"/>
      <c r="CD649" s="14"/>
      <c r="CE649" s="14"/>
      <c r="CF649" s="14"/>
      <c r="CG649" s="14"/>
      <c r="CH649" s="14"/>
      <c r="CI649" s="14"/>
      <c r="CJ649" s="14"/>
      <c r="CK649" s="14"/>
      <c r="CL649" s="14"/>
      <c r="CT649" s="14"/>
      <c r="CW649" s="3"/>
      <c r="DG649" s="4"/>
    </row>
    <row r="650" customFormat="false" ht="11.25" hidden="false" customHeight="true" outlineLevel="0" collapsed="false">
      <c r="A650" s="14"/>
      <c r="B650" s="15"/>
      <c r="C650" s="15"/>
      <c r="D650" s="14"/>
      <c r="E650" s="14"/>
      <c r="F650" s="14"/>
      <c r="G650" s="14"/>
      <c r="H650" s="15"/>
      <c r="I650" s="15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  <c r="BP650" s="14"/>
      <c r="BQ650" s="14"/>
      <c r="BR650" s="14"/>
      <c r="BS650" s="14"/>
      <c r="BT650" s="14"/>
      <c r="BU650" s="14"/>
      <c r="BV650" s="14"/>
      <c r="BW650" s="14"/>
      <c r="BX650" s="14"/>
      <c r="BY650" s="14"/>
      <c r="BZ650" s="14"/>
      <c r="CA650" s="14"/>
      <c r="CB650" s="14"/>
      <c r="CC650" s="14"/>
      <c r="CD650" s="14"/>
      <c r="CE650" s="14"/>
      <c r="CF650" s="14"/>
      <c r="CG650" s="14"/>
      <c r="CH650" s="14"/>
      <c r="CI650" s="14"/>
      <c r="CJ650" s="14"/>
      <c r="CK650" s="14"/>
      <c r="CL650" s="14"/>
      <c r="CT650" s="14"/>
      <c r="CW650" s="3"/>
      <c r="DG650" s="4"/>
    </row>
    <row r="651" customFormat="false" ht="11.25" hidden="false" customHeight="true" outlineLevel="0" collapsed="false">
      <c r="A651" s="14"/>
      <c r="B651" s="15"/>
      <c r="C651" s="15"/>
      <c r="D651" s="14"/>
      <c r="E651" s="14"/>
      <c r="F651" s="14"/>
      <c r="G651" s="14"/>
      <c r="H651" s="15"/>
      <c r="I651" s="15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  <c r="BP651" s="14"/>
      <c r="BQ651" s="14"/>
      <c r="BR651" s="14"/>
      <c r="BS651" s="14"/>
      <c r="BT651" s="14"/>
      <c r="BU651" s="14"/>
      <c r="BV651" s="14"/>
      <c r="BW651" s="14"/>
      <c r="BX651" s="14"/>
      <c r="BY651" s="14"/>
      <c r="BZ651" s="14"/>
      <c r="CA651" s="14"/>
      <c r="CB651" s="14"/>
      <c r="CC651" s="14"/>
      <c r="CD651" s="14"/>
      <c r="CE651" s="14"/>
      <c r="CF651" s="14"/>
      <c r="CG651" s="14"/>
      <c r="CH651" s="14"/>
      <c r="CI651" s="14"/>
      <c r="CJ651" s="14"/>
      <c r="CK651" s="14"/>
      <c r="CL651" s="14"/>
      <c r="CT651" s="14"/>
      <c r="CW651" s="3"/>
      <c r="DG651" s="4"/>
    </row>
    <row r="652" customFormat="false" ht="11.25" hidden="false" customHeight="true" outlineLevel="0" collapsed="false">
      <c r="A652" s="14"/>
      <c r="B652" s="15"/>
      <c r="C652" s="15"/>
      <c r="D652" s="14"/>
      <c r="E652" s="14"/>
      <c r="F652" s="14"/>
      <c r="G652" s="14"/>
      <c r="H652" s="15"/>
      <c r="I652" s="15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  <c r="BN652" s="14"/>
      <c r="BO652" s="14"/>
      <c r="BP652" s="14"/>
      <c r="BQ652" s="14"/>
      <c r="BR652" s="14"/>
      <c r="BS652" s="14"/>
      <c r="BT652" s="14"/>
      <c r="BU652" s="14"/>
      <c r="BV652" s="14"/>
      <c r="BW652" s="14"/>
      <c r="BX652" s="14"/>
      <c r="BY652" s="14"/>
      <c r="BZ652" s="14"/>
      <c r="CA652" s="14"/>
      <c r="CB652" s="14"/>
      <c r="CC652" s="14"/>
      <c r="CD652" s="14"/>
      <c r="CE652" s="14"/>
      <c r="CF652" s="14"/>
      <c r="CG652" s="14"/>
      <c r="CH652" s="14"/>
      <c r="CI652" s="14"/>
      <c r="CJ652" s="14"/>
      <c r="CK652" s="14"/>
      <c r="CL652" s="14"/>
      <c r="CT652" s="14"/>
      <c r="CW652" s="3"/>
      <c r="DG652" s="4"/>
    </row>
    <row r="653" customFormat="false" ht="11.25" hidden="false" customHeight="true" outlineLevel="0" collapsed="false">
      <c r="A653" s="14"/>
      <c r="B653" s="15"/>
      <c r="C653" s="15"/>
      <c r="D653" s="14"/>
      <c r="E653" s="14"/>
      <c r="F653" s="14"/>
      <c r="G653" s="14"/>
      <c r="H653" s="15"/>
      <c r="I653" s="15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  <c r="BP653" s="14"/>
      <c r="BQ653" s="14"/>
      <c r="BR653" s="14"/>
      <c r="BS653" s="14"/>
      <c r="BT653" s="14"/>
      <c r="BU653" s="14"/>
      <c r="BV653" s="14"/>
      <c r="BW653" s="14"/>
      <c r="BX653" s="14"/>
      <c r="BY653" s="14"/>
      <c r="BZ653" s="14"/>
      <c r="CA653" s="14"/>
      <c r="CB653" s="14"/>
      <c r="CC653" s="14"/>
      <c r="CD653" s="14"/>
      <c r="CE653" s="14"/>
      <c r="CF653" s="14"/>
      <c r="CG653" s="14"/>
      <c r="CH653" s="14"/>
      <c r="CI653" s="14"/>
      <c r="CJ653" s="14"/>
      <c r="CK653" s="14"/>
      <c r="CL653" s="14"/>
      <c r="CT653" s="14"/>
      <c r="CW653" s="3"/>
      <c r="DG653" s="4"/>
    </row>
    <row r="654" customFormat="false" ht="11.25" hidden="false" customHeight="true" outlineLevel="0" collapsed="false">
      <c r="A654" s="14"/>
      <c r="B654" s="15"/>
      <c r="C654" s="15"/>
      <c r="D654" s="14"/>
      <c r="E654" s="14"/>
      <c r="F654" s="14"/>
      <c r="G654" s="14"/>
      <c r="H654" s="15"/>
      <c r="I654" s="15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4"/>
      <c r="BK654" s="14"/>
      <c r="BL654" s="14"/>
      <c r="BM654" s="14"/>
      <c r="BN654" s="14"/>
      <c r="BO654" s="14"/>
      <c r="BP654" s="14"/>
      <c r="BQ654" s="14"/>
      <c r="BR654" s="14"/>
      <c r="BS654" s="14"/>
      <c r="BT654" s="14"/>
      <c r="BU654" s="14"/>
      <c r="BV654" s="14"/>
      <c r="BW654" s="14"/>
      <c r="BX654" s="14"/>
      <c r="BY654" s="14"/>
      <c r="BZ654" s="14"/>
      <c r="CA654" s="14"/>
      <c r="CB654" s="14"/>
      <c r="CC654" s="14"/>
      <c r="CD654" s="14"/>
      <c r="CE654" s="14"/>
      <c r="CF654" s="14"/>
      <c r="CG654" s="14"/>
      <c r="CH654" s="14"/>
      <c r="CI654" s="14"/>
      <c r="CJ654" s="14"/>
      <c r="CK654" s="14"/>
      <c r="CL654" s="14"/>
      <c r="CT654" s="14"/>
      <c r="CW654" s="3"/>
      <c r="DG654" s="4"/>
    </row>
    <row r="655" customFormat="false" ht="11.25" hidden="false" customHeight="true" outlineLevel="0" collapsed="false">
      <c r="A655" s="14"/>
      <c r="B655" s="15"/>
      <c r="C655" s="15"/>
      <c r="D655" s="14"/>
      <c r="E655" s="14"/>
      <c r="F655" s="14"/>
      <c r="G655" s="14"/>
      <c r="H655" s="15"/>
      <c r="I655" s="15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  <c r="BP655" s="14"/>
      <c r="BQ655" s="14"/>
      <c r="BR655" s="14"/>
      <c r="BS655" s="14"/>
      <c r="BT655" s="14"/>
      <c r="BU655" s="14"/>
      <c r="BV655" s="14"/>
      <c r="BW655" s="14"/>
      <c r="BX655" s="14"/>
      <c r="BY655" s="14"/>
      <c r="BZ655" s="14"/>
      <c r="CA655" s="14"/>
      <c r="CB655" s="14"/>
      <c r="CC655" s="14"/>
      <c r="CD655" s="14"/>
      <c r="CE655" s="14"/>
      <c r="CF655" s="14"/>
      <c r="CG655" s="14"/>
      <c r="CH655" s="14"/>
      <c r="CI655" s="14"/>
      <c r="CJ655" s="14"/>
      <c r="CK655" s="14"/>
      <c r="CL655" s="14"/>
      <c r="CT655" s="14"/>
      <c r="CW655" s="3"/>
      <c r="DG655" s="4"/>
    </row>
    <row r="656" customFormat="false" ht="11.25" hidden="false" customHeight="true" outlineLevel="0" collapsed="false">
      <c r="A656" s="14"/>
      <c r="B656" s="15"/>
      <c r="C656" s="15"/>
      <c r="D656" s="14"/>
      <c r="E656" s="14"/>
      <c r="F656" s="14"/>
      <c r="G656" s="14"/>
      <c r="H656" s="15"/>
      <c r="I656" s="15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  <c r="BP656" s="14"/>
      <c r="BQ656" s="14"/>
      <c r="BR656" s="14"/>
      <c r="BS656" s="14"/>
      <c r="BT656" s="14"/>
      <c r="BU656" s="14"/>
      <c r="BV656" s="14"/>
      <c r="BW656" s="14"/>
      <c r="BX656" s="14"/>
      <c r="BY656" s="14"/>
      <c r="BZ656" s="14"/>
      <c r="CA656" s="14"/>
      <c r="CB656" s="14"/>
      <c r="CC656" s="14"/>
      <c r="CD656" s="14"/>
      <c r="CE656" s="14"/>
      <c r="CF656" s="14"/>
      <c r="CG656" s="14"/>
      <c r="CH656" s="14"/>
      <c r="CI656" s="14"/>
      <c r="CJ656" s="14"/>
      <c r="CK656" s="14"/>
      <c r="CL656" s="14"/>
      <c r="CT656" s="14"/>
      <c r="CW656" s="3"/>
      <c r="DG656" s="4"/>
    </row>
    <row r="657" customFormat="false" ht="11.25" hidden="false" customHeight="true" outlineLevel="0" collapsed="false">
      <c r="A657" s="14"/>
      <c r="B657" s="15"/>
      <c r="C657" s="15"/>
      <c r="D657" s="14"/>
      <c r="E657" s="14"/>
      <c r="F657" s="14"/>
      <c r="G657" s="14"/>
      <c r="H657" s="15"/>
      <c r="I657" s="15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  <c r="BP657" s="14"/>
      <c r="BQ657" s="14"/>
      <c r="BR657" s="14"/>
      <c r="BS657" s="14"/>
      <c r="BT657" s="14"/>
      <c r="BU657" s="14"/>
      <c r="BV657" s="14"/>
      <c r="BW657" s="14"/>
      <c r="BX657" s="14"/>
      <c r="BY657" s="14"/>
      <c r="BZ657" s="14"/>
      <c r="CA657" s="14"/>
      <c r="CB657" s="14"/>
      <c r="CC657" s="14"/>
      <c r="CD657" s="14"/>
      <c r="CE657" s="14"/>
      <c r="CF657" s="14"/>
      <c r="CG657" s="14"/>
      <c r="CH657" s="14"/>
      <c r="CI657" s="14"/>
      <c r="CJ657" s="14"/>
      <c r="CK657" s="14"/>
      <c r="CL657" s="14"/>
      <c r="CT657" s="14"/>
      <c r="CW657" s="3"/>
      <c r="DG657" s="4"/>
    </row>
    <row r="658" customFormat="false" ht="11.25" hidden="false" customHeight="true" outlineLevel="0" collapsed="false">
      <c r="A658" s="14"/>
      <c r="B658" s="15"/>
      <c r="C658" s="15"/>
      <c r="D658" s="14"/>
      <c r="E658" s="14"/>
      <c r="F658" s="14"/>
      <c r="G658" s="14"/>
      <c r="H658" s="15"/>
      <c r="I658" s="15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  <c r="BP658" s="14"/>
      <c r="BQ658" s="14"/>
      <c r="BR658" s="14"/>
      <c r="BS658" s="14"/>
      <c r="BT658" s="14"/>
      <c r="BU658" s="14"/>
      <c r="BV658" s="14"/>
      <c r="BW658" s="14"/>
      <c r="BX658" s="14"/>
      <c r="BY658" s="14"/>
      <c r="BZ658" s="14"/>
      <c r="CA658" s="14"/>
      <c r="CB658" s="14"/>
      <c r="CC658" s="14"/>
      <c r="CD658" s="14"/>
      <c r="CE658" s="14"/>
      <c r="CF658" s="14"/>
      <c r="CG658" s="14"/>
      <c r="CH658" s="14"/>
      <c r="CI658" s="14"/>
      <c r="CJ658" s="14"/>
      <c r="CK658" s="14"/>
      <c r="CL658" s="14"/>
      <c r="CT658" s="14"/>
      <c r="CW658" s="3"/>
      <c r="DG658" s="4"/>
    </row>
    <row r="659" customFormat="false" ht="11.25" hidden="false" customHeight="true" outlineLevel="0" collapsed="false">
      <c r="A659" s="14"/>
      <c r="B659" s="15"/>
      <c r="C659" s="15"/>
      <c r="D659" s="14"/>
      <c r="E659" s="14"/>
      <c r="F659" s="14"/>
      <c r="G659" s="14"/>
      <c r="H659" s="15"/>
      <c r="I659" s="15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  <c r="BP659" s="14"/>
      <c r="BQ659" s="14"/>
      <c r="BR659" s="14"/>
      <c r="BS659" s="14"/>
      <c r="BT659" s="14"/>
      <c r="BU659" s="14"/>
      <c r="BV659" s="14"/>
      <c r="BW659" s="14"/>
      <c r="BX659" s="14"/>
      <c r="BY659" s="14"/>
      <c r="BZ659" s="14"/>
      <c r="CA659" s="14"/>
      <c r="CB659" s="14"/>
      <c r="CC659" s="14"/>
      <c r="CD659" s="14"/>
      <c r="CE659" s="14"/>
      <c r="CF659" s="14"/>
      <c r="CG659" s="14"/>
      <c r="CH659" s="14"/>
      <c r="CI659" s="14"/>
      <c r="CJ659" s="14"/>
      <c r="CK659" s="14"/>
      <c r="CL659" s="14"/>
      <c r="CT659" s="14"/>
      <c r="CW659" s="3"/>
      <c r="DG659" s="4"/>
    </row>
    <row r="660" customFormat="false" ht="11.25" hidden="false" customHeight="true" outlineLevel="0" collapsed="false">
      <c r="A660" s="14"/>
      <c r="B660" s="15"/>
      <c r="C660" s="15"/>
      <c r="D660" s="14"/>
      <c r="E660" s="14"/>
      <c r="F660" s="14"/>
      <c r="G660" s="14"/>
      <c r="H660" s="15"/>
      <c r="I660" s="15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  <c r="BP660" s="14"/>
      <c r="BQ660" s="14"/>
      <c r="BR660" s="14"/>
      <c r="BS660" s="14"/>
      <c r="BT660" s="14"/>
      <c r="BU660" s="14"/>
      <c r="BV660" s="14"/>
      <c r="BW660" s="14"/>
      <c r="BX660" s="14"/>
      <c r="BY660" s="14"/>
      <c r="BZ660" s="14"/>
      <c r="CA660" s="14"/>
      <c r="CB660" s="14"/>
      <c r="CC660" s="14"/>
      <c r="CD660" s="14"/>
      <c r="CE660" s="14"/>
      <c r="CF660" s="14"/>
      <c r="CG660" s="14"/>
      <c r="CH660" s="14"/>
      <c r="CI660" s="14"/>
      <c r="CJ660" s="14"/>
      <c r="CK660" s="14"/>
      <c r="CL660" s="14"/>
      <c r="CT660" s="14"/>
      <c r="CW660" s="3"/>
      <c r="DG660" s="4"/>
    </row>
    <row r="661" customFormat="false" ht="11.25" hidden="false" customHeight="true" outlineLevel="0" collapsed="false">
      <c r="A661" s="14"/>
      <c r="B661" s="15"/>
      <c r="C661" s="15"/>
      <c r="D661" s="14"/>
      <c r="E661" s="14"/>
      <c r="F661" s="14"/>
      <c r="G661" s="14"/>
      <c r="H661" s="15"/>
      <c r="I661" s="15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  <c r="BP661" s="14"/>
      <c r="BQ661" s="14"/>
      <c r="BR661" s="14"/>
      <c r="BS661" s="14"/>
      <c r="BT661" s="14"/>
      <c r="BU661" s="14"/>
      <c r="BV661" s="14"/>
      <c r="BW661" s="14"/>
      <c r="BX661" s="14"/>
      <c r="BY661" s="14"/>
      <c r="BZ661" s="14"/>
      <c r="CA661" s="14"/>
      <c r="CB661" s="14"/>
      <c r="CC661" s="14"/>
      <c r="CD661" s="14"/>
      <c r="CE661" s="14"/>
      <c r="CF661" s="14"/>
      <c r="CG661" s="14"/>
      <c r="CH661" s="14"/>
      <c r="CI661" s="14"/>
      <c r="CJ661" s="14"/>
      <c r="CK661" s="14"/>
      <c r="CL661" s="14"/>
      <c r="CT661" s="14"/>
      <c r="CW661" s="3"/>
      <c r="DG661" s="4"/>
    </row>
    <row r="662" customFormat="false" ht="11.25" hidden="false" customHeight="true" outlineLevel="0" collapsed="false">
      <c r="A662" s="14"/>
      <c r="B662" s="15"/>
      <c r="C662" s="15"/>
      <c r="D662" s="14"/>
      <c r="E662" s="14"/>
      <c r="F662" s="14"/>
      <c r="G662" s="14"/>
      <c r="H662" s="15"/>
      <c r="I662" s="15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  <c r="BP662" s="14"/>
      <c r="BQ662" s="14"/>
      <c r="BR662" s="14"/>
      <c r="BS662" s="14"/>
      <c r="BT662" s="14"/>
      <c r="BU662" s="14"/>
      <c r="BV662" s="14"/>
      <c r="BW662" s="14"/>
      <c r="BX662" s="14"/>
      <c r="BY662" s="14"/>
      <c r="BZ662" s="14"/>
      <c r="CA662" s="14"/>
      <c r="CB662" s="14"/>
      <c r="CC662" s="14"/>
      <c r="CD662" s="14"/>
      <c r="CE662" s="14"/>
      <c r="CF662" s="14"/>
      <c r="CG662" s="14"/>
      <c r="CH662" s="14"/>
      <c r="CI662" s="14"/>
      <c r="CJ662" s="14"/>
      <c r="CK662" s="14"/>
      <c r="CL662" s="14"/>
      <c r="CT662" s="14"/>
      <c r="CW662" s="3"/>
      <c r="DG662" s="4"/>
    </row>
    <row r="663" customFormat="false" ht="11.25" hidden="false" customHeight="true" outlineLevel="0" collapsed="false">
      <c r="A663" s="14"/>
      <c r="B663" s="15"/>
      <c r="C663" s="15"/>
      <c r="D663" s="14"/>
      <c r="E663" s="14"/>
      <c r="F663" s="14"/>
      <c r="G663" s="14"/>
      <c r="H663" s="15"/>
      <c r="I663" s="15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  <c r="BP663" s="14"/>
      <c r="BQ663" s="14"/>
      <c r="BR663" s="14"/>
      <c r="BS663" s="14"/>
      <c r="BT663" s="14"/>
      <c r="BU663" s="14"/>
      <c r="BV663" s="14"/>
      <c r="BW663" s="14"/>
      <c r="BX663" s="14"/>
      <c r="BY663" s="14"/>
      <c r="BZ663" s="14"/>
      <c r="CA663" s="14"/>
      <c r="CB663" s="14"/>
      <c r="CC663" s="14"/>
      <c r="CD663" s="14"/>
      <c r="CE663" s="14"/>
      <c r="CF663" s="14"/>
      <c r="CG663" s="14"/>
      <c r="CH663" s="14"/>
      <c r="CI663" s="14"/>
      <c r="CJ663" s="14"/>
      <c r="CK663" s="14"/>
      <c r="CL663" s="14"/>
      <c r="CT663" s="14"/>
      <c r="CW663" s="3"/>
      <c r="DG663" s="4"/>
    </row>
    <row r="664" customFormat="false" ht="11.25" hidden="false" customHeight="true" outlineLevel="0" collapsed="false">
      <c r="A664" s="14"/>
      <c r="B664" s="15"/>
      <c r="C664" s="15"/>
      <c r="D664" s="14"/>
      <c r="E664" s="14"/>
      <c r="F664" s="14"/>
      <c r="G664" s="14"/>
      <c r="H664" s="15"/>
      <c r="I664" s="15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  <c r="BP664" s="14"/>
      <c r="BQ664" s="14"/>
      <c r="BR664" s="14"/>
      <c r="BS664" s="14"/>
      <c r="BT664" s="14"/>
      <c r="BU664" s="14"/>
      <c r="BV664" s="14"/>
      <c r="BW664" s="14"/>
      <c r="BX664" s="14"/>
      <c r="BY664" s="14"/>
      <c r="BZ664" s="14"/>
      <c r="CA664" s="14"/>
      <c r="CB664" s="14"/>
      <c r="CC664" s="14"/>
      <c r="CD664" s="14"/>
      <c r="CE664" s="14"/>
      <c r="CF664" s="14"/>
      <c r="CG664" s="14"/>
      <c r="CH664" s="14"/>
      <c r="CI664" s="14"/>
      <c r="CJ664" s="14"/>
      <c r="CK664" s="14"/>
      <c r="CL664" s="14"/>
      <c r="CT664" s="14"/>
      <c r="CW664" s="3"/>
      <c r="DG664" s="4"/>
    </row>
    <row r="665" customFormat="false" ht="11.25" hidden="false" customHeight="true" outlineLevel="0" collapsed="false">
      <c r="A665" s="14"/>
      <c r="B665" s="15"/>
      <c r="C665" s="15"/>
      <c r="D665" s="14"/>
      <c r="E665" s="14"/>
      <c r="F665" s="14"/>
      <c r="G665" s="14"/>
      <c r="H665" s="15"/>
      <c r="I665" s="15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  <c r="BP665" s="14"/>
      <c r="BQ665" s="14"/>
      <c r="BR665" s="14"/>
      <c r="BS665" s="14"/>
      <c r="BT665" s="14"/>
      <c r="BU665" s="14"/>
      <c r="BV665" s="14"/>
      <c r="BW665" s="14"/>
      <c r="BX665" s="14"/>
      <c r="BY665" s="14"/>
      <c r="BZ665" s="14"/>
      <c r="CA665" s="14"/>
      <c r="CB665" s="14"/>
      <c r="CC665" s="14"/>
      <c r="CD665" s="14"/>
      <c r="CE665" s="14"/>
      <c r="CF665" s="14"/>
      <c r="CG665" s="14"/>
      <c r="CH665" s="14"/>
      <c r="CI665" s="14"/>
      <c r="CJ665" s="14"/>
      <c r="CK665" s="14"/>
      <c r="CL665" s="14"/>
      <c r="CT665" s="14"/>
      <c r="CW665" s="3"/>
      <c r="DG665" s="4"/>
    </row>
    <row r="666" customFormat="false" ht="11.25" hidden="false" customHeight="true" outlineLevel="0" collapsed="false">
      <c r="A666" s="14"/>
      <c r="B666" s="15"/>
      <c r="C666" s="15"/>
      <c r="D666" s="14"/>
      <c r="E666" s="14"/>
      <c r="F666" s="14"/>
      <c r="G666" s="14"/>
      <c r="H666" s="15"/>
      <c r="I666" s="15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  <c r="BP666" s="14"/>
      <c r="BQ666" s="14"/>
      <c r="BR666" s="14"/>
      <c r="BS666" s="14"/>
      <c r="BT666" s="14"/>
      <c r="BU666" s="14"/>
      <c r="BV666" s="14"/>
      <c r="BW666" s="14"/>
      <c r="BX666" s="14"/>
      <c r="BY666" s="14"/>
      <c r="BZ666" s="14"/>
      <c r="CA666" s="14"/>
      <c r="CB666" s="14"/>
      <c r="CC666" s="14"/>
      <c r="CD666" s="14"/>
      <c r="CE666" s="14"/>
      <c r="CF666" s="14"/>
      <c r="CG666" s="14"/>
      <c r="CH666" s="14"/>
      <c r="CI666" s="14"/>
      <c r="CJ666" s="14"/>
      <c r="CK666" s="14"/>
      <c r="CL666" s="14"/>
      <c r="CT666" s="14"/>
      <c r="CW666" s="3"/>
      <c r="DG666" s="4"/>
    </row>
    <row r="667" customFormat="false" ht="11.25" hidden="false" customHeight="true" outlineLevel="0" collapsed="false">
      <c r="A667" s="14"/>
      <c r="B667" s="15"/>
      <c r="C667" s="15"/>
      <c r="D667" s="14"/>
      <c r="E667" s="14"/>
      <c r="F667" s="14"/>
      <c r="G667" s="14"/>
      <c r="H667" s="15"/>
      <c r="I667" s="15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  <c r="BP667" s="14"/>
      <c r="BQ667" s="14"/>
      <c r="BR667" s="14"/>
      <c r="BS667" s="14"/>
      <c r="BT667" s="14"/>
      <c r="BU667" s="14"/>
      <c r="BV667" s="14"/>
      <c r="BW667" s="14"/>
      <c r="BX667" s="14"/>
      <c r="BY667" s="14"/>
      <c r="BZ667" s="14"/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T667" s="14"/>
      <c r="CW667" s="3"/>
      <c r="DG667" s="4"/>
    </row>
    <row r="668" customFormat="false" ht="11.25" hidden="false" customHeight="true" outlineLevel="0" collapsed="false">
      <c r="A668" s="14"/>
      <c r="B668" s="15"/>
      <c r="C668" s="15"/>
      <c r="D668" s="14"/>
      <c r="E668" s="14"/>
      <c r="F668" s="14"/>
      <c r="G668" s="14"/>
      <c r="H668" s="15"/>
      <c r="I668" s="15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  <c r="BP668" s="14"/>
      <c r="BQ668" s="14"/>
      <c r="BR668" s="14"/>
      <c r="BS668" s="14"/>
      <c r="BT668" s="14"/>
      <c r="BU668" s="14"/>
      <c r="BV668" s="14"/>
      <c r="BW668" s="14"/>
      <c r="BX668" s="14"/>
      <c r="BY668" s="14"/>
      <c r="BZ668" s="14"/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T668" s="14"/>
      <c r="CW668" s="3"/>
      <c r="DG668" s="4"/>
    </row>
    <row r="669" customFormat="false" ht="11.25" hidden="false" customHeight="true" outlineLevel="0" collapsed="false">
      <c r="A669" s="14"/>
      <c r="B669" s="15"/>
      <c r="C669" s="15"/>
      <c r="D669" s="14"/>
      <c r="E669" s="14"/>
      <c r="F669" s="14"/>
      <c r="G669" s="14"/>
      <c r="H669" s="15"/>
      <c r="I669" s="15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  <c r="BP669" s="14"/>
      <c r="BQ669" s="14"/>
      <c r="BR669" s="14"/>
      <c r="BS669" s="14"/>
      <c r="BT669" s="14"/>
      <c r="BU669" s="14"/>
      <c r="BV669" s="14"/>
      <c r="BW669" s="14"/>
      <c r="BX669" s="14"/>
      <c r="BY669" s="14"/>
      <c r="BZ669" s="14"/>
      <c r="CA669" s="14"/>
      <c r="CB669" s="14"/>
      <c r="CC669" s="14"/>
      <c r="CD669" s="14"/>
      <c r="CE669" s="14"/>
      <c r="CF669" s="14"/>
      <c r="CG669" s="14"/>
      <c r="CH669" s="14"/>
      <c r="CI669" s="14"/>
      <c r="CJ669" s="14"/>
      <c r="CK669" s="14"/>
      <c r="CL669" s="14"/>
      <c r="CT669" s="14"/>
      <c r="CW669" s="3"/>
      <c r="DG669" s="4"/>
    </row>
    <row r="670" customFormat="false" ht="11.25" hidden="false" customHeight="true" outlineLevel="0" collapsed="false">
      <c r="A670" s="14"/>
      <c r="B670" s="15"/>
      <c r="C670" s="15"/>
      <c r="D670" s="14"/>
      <c r="E670" s="14"/>
      <c r="F670" s="14"/>
      <c r="G670" s="14"/>
      <c r="H670" s="15"/>
      <c r="I670" s="15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  <c r="BP670" s="14"/>
      <c r="BQ670" s="14"/>
      <c r="BR670" s="14"/>
      <c r="BS670" s="14"/>
      <c r="BT670" s="14"/>
      <c r="BU670" s="14"/>
      <c r="BV670" s="14"/>
      <c r="BW670" s="14"/>
      <c r="BX670" s="14"/>
      <c r="BY670" s="14"/>
      <c r="BZ670" s="14"/>
      <c r="CA670" s="14"/>
      <c r="CB670" s="14"/>
      <c r="CC670" s="14"/>
      <c r="CD670" s="14"/>
      <c r="CE670" s="14"/>
      <c r="CF670" s="14"/>
      <c r="CG670" s="14"/>
      <c r="CH670" s="14"/>
      <c r="CI670" s="14"/>
      <c r="CJ670" s="14"/>
      <c r="CK670" s="14"/>
      <c r="CL670" s="14"/>
      <c r="CT670" s="14"/>
      <c r="CW670" s="3"/>
      <c r="DG670" s="4"/>
    </row>
    <row r="671" customFormat="false" ht="11.25" hidden="false" customHeight="true" outlineLevel="0" collapsed="false">
      <c r="A671" s="14"/>
      <c r="B671" s="15"/>
      <c r="C671" s="15"/>
      <c r="D671" s="14"/>
      <c r="E671" s="14"/>
      <c r="F671" s="14"/>
      <c r="G671" s="14"/>
      <c r="H671" s="15"/>
      <c r="I671" s="15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  <c r="BP671" s="14"/>
      <c r="BQ671" s="14"/>
      <c r="BR671" s="14"/>
      <c r="BS671" s="14"/>
      <c r="BT671" s="14"/>
      <c r="BU671" s="14"/>
      <c r="BV671" s="14"/>
      <c r="BW671" s="14"/>
      <c r="BX671" s="14"/>
      <c r="BY671" s="14"/>
      <c r="BZ671" s="14"/>
      <c r="CA671" s="14"/>
      <c r="CB671" s="14"/>
      <c r="CC671" s="14"/>
      <c r="CD671" s="14"/>
      <c r="CE671" s="14"/>
      <c r="CF671" s="14"/>
      <c r="CG671" s="14"/>
      <c r="CH671" s="14"/>
      <c r="CI671" s="14"/>
      <c r="CJ671" s="14"/>
      <c r="CK671" s="14"/>
      <c r="CL671" s="14"/>
      <c r="CT671" s="14"/>
      <c r="CW671" s="3"/>
      <c r="DG671" s="4"/>
    </row>
    <row r="672" customFormat="false" ht="11.25" hidden="false" customHeight="true" outlineLevel="0" collapsed="false">
      <c r="A672" s="14"/>
      <c r="B672" s="15"/>
      <c r="C672" s="15"/>
      <c r="D672" s="14"/>
      <c r="E672" s="14"/>
      <c r="F672" s="14"/>
      <c r="G672" s="14"/>
      <c r="H672" s="15"/>
      <c r="I672" s="15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  <c r="BP672" s="14"/>
      <c r="BQ672" s="14"/>
      <c r="BR672" s="14"/>
      <c r="BS672" s="14"/>
      <c r="BT672" s="14"/>
      <c r="BU672" s="14"/>
      <c r="BV672" s="14"/>
      <c r="BW672" s="14"/>
      <c r="BX672" s="14"/>
      <c r="BY672" s="14"/>
      <c r="BZ672" s="14"/>
      <c r="CA672" s="14"/>
      <c r="CB672" s="14"/>
      <c r="CC672" s="14"/>
      <c r="CD672" s="14"/>
      <c r="CE672" s="14"/>
      <c r="CF672" s="14"/>
      <c r="CG672" s="14"/>
      <c r="CH672" s="14"/>
      <c r="CI672" s="14"/>
      <c r="CJ672" s="14"/>
      <c r="CK672" s="14"/>
      <c r="CL672" s="14"/>
      <c r="CT672" s="14"/>
      <c r="CW672" s="3"/>
      <c r="DG672" s="4"/>
    </row>
    <row r="673" customFormat="false" ht="11.25" hidden="false" customHeight="true" outlineLevel="0" collapsed="false">
      <c r="A673" s="14"/>
      <c r="B673" s="15"/>
      <c r="C673" s="15"/>
      <c r="D673" s="14"/>
      <c r="E673" s="14"/>
      <c r="F673" s="14"/>
      <c r="G673" s="14"/>
      <c r="H673" s="15"/>
      <c r="I673" s="15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  <c r="BP673" s="14"/>
      <c r="BQ673" s="14"/>
      <c r="BR673" s="14"/>
      <c r="BS673" s="14"/>
      <c r="BT673" s="14"/>
      <c r="BU673" s="14"/>
      <c r="BV673" s="14"/>
      <c r="BW673" s="14"/>
      <c r="BX673" s="14"/>
      <c r="BY673" s="14"/>
      <c r="BZ673" s="14"/>
      <c r="CA673" s="14"/>
      <c r="CB673" s="14"/>
      <c r="CC673" s="14"/>
      <c r="CD673" s="14"/>
      <c r="CE673" s="14"/>
      <c r="CF673" s="14"/>
      <c r="CG673" s="14"/>
      <c r="CH673" s="14"/>
      <c r="CI673" s="14"/>
      <c r="CJ673" s="14"/>
      <c r="CK673" s="14"/>
      <c r="CL673" s="14"/>
      <c r="CT673" s="14"/>
      <c r="CW673" s="3"/>
      <c r="DG673" s="4"/>
    </row>
    <row r="674" customFormat="false" ht="11.25" hidden="false" customHeight="true" outlineLevel="0" collapsed="false">
      <c r="A674" s="14"/>
      <c r="B674" s="15"/>
      <c r="C674" s="15"/>
      <c r="D674" s="14"/>
      <c r="E674" s="14"/>
      <c r="F674" s="14"/>
      <c r="G674" s="14"/>
      <c r="H674" s="15"/>
      <c r="I674" s="15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  <c r="BP674" s="14"/>
      <c r="BQ674" s="14"/>
      <c r="BR674" s="14"/>
      <c r="BS674" s="14"/>
      <c r="BT674" s="14"/>
      <c r="BU674" s="14"/>
      <c r="BV674" s="14"/>
      <c r="BW674" s="14"/>
      <c r="BX674" s="14"/>
      <c r="BY674" s="14"/>
      <c r="BZ674" s="14"/>
      <c r="CA674" s="14"/>
      <c r="CB674" s="14"/>
      <c r="CC674" s="14"/>
      <c r="CD674" s="14"/>
      <c r="CE674" s="14"/>
      <c r="CF674" s="14"/>
      <c r="CG674" s="14"/>
      <c r="CH674" s="14"/>
      <c r="CI674" s="14"/>
      <c r="CJ674" s="14"/>
      <c r="CK674" s="14"/>
      <c r="CL674" s="14"/>
      <c r="CT674" s="14"/>
      <c r="CW674" s="3"/>
      <c r="DG674" s="4"/>
    </row>
    <row r="675" customFormat="false" ht="11.25" hidden="false" customHeight="true" outlineLevel="0" collapsed="false">
      <c r="A675" s="14"/>
      <c r="B675" s="15"/>
      <c r="C675" s="15"/>
      <c r="D675" s="14"/>
      <c r="E675" s="14"/>
      <c r="F675" s="14"/>
      <c r="G675" s="14"/>
      <c r="H675" s="15"/>
      <c r="I675" s="15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  <c r="BP675" s="14"/>
      <c r="BQ675" s="14"/>
      <c r="BR675" s="14"/>
      <c r="BS675" s="14"/>
      <c r="BT675" s="14"/>
      <c r="BU675" s="14"/>
      <c r="BV675" s="14"/>
      <c r="BW675" s="14"/>
      <c r="BX675" s="14"/>
      <c r="BY675" s="14"/>
      <c r="BZ675" s="14"/>
      <c r="CA675" s="14"/>
      <c r="CB675" s="14"/>
      <c r="CC675" s="14"/>
      <c r="CD675" s="14"/>
      <c r="CE675" s="14"/>
      <c r="CF675" s="14"/>
      <c r="CG675" s="14"/>
      <c r="CH675" s="14"/>
      <c r="CI675" s="14"/>
      <c r="CJ675" s="14"/>
      <c r="CK675" s="14"/>
      <c r="CL675" s="14"/>
      <c r="CT675" s="14"/>
      <c r="CW675" s="3"/>
      <c r="DG675" s="4"/>
    </row>
    <row r="676" customFormat="false" ht="11.25" hidden="false" customHeight="true" outlineLevel="0" collapsed="false">
      <c r="A676" s="14"/>
      <c r="B676" s="15"/>
      <c r="C676" s="15"/>
      <c r="D676" s="14"/>
      <c r="E676" s="14"/>
      <c r="F676" s="14"/>
      <c r="G676" s="14"/>
      <c r="H676" s="15"/>
      <c r="I676" s="15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  <c r="BP676" s="14"/>
      <c r="BQ676" s="14"/>
      <c r="BR676" s="14"/>
      <c r="BS676" s="14"/>
      <c r="BT676" s="14"/>
      <c r="BU676" s="14"/>
      <c r="BV676" s="14"/>
      <c r="BW676" s="14"/>
      <c r="BX676" s="14"/>
      <c r="BY676" s="14"/>
      <c r="BZ676" s="14"/>
      <c r="CA676" s="14"/>
      <c r="CB676" s="14"/>
      <c r="CC676" s="14"/>
      <c r="CD676" s="14"/>
      <c r="CE676" s="14"/>
      <c r="CF676" s="14"/>
      <c r="CG676" s="14"/>
      <c r="CH676" s="14"/>
      <c r="CI676" s="14"/>
      <c r="CJ676" s="14"/>
      <c r="CK676" s="14"/>
      <c r="CL676" s="14"/>
      <c r="CT676" s="14"/>
      <c r="CW676" s="3"/>
      <c r="DG676" s="4"/>
    </row>
    <row r="677" customFormat="false" ht="11.25" hidden="false" customHeight="true" outlineLevel="0" collapsed="false">
      <c r="A677" s="14"/>
      <c r="B677" s="15"/>
      <c r="C677" s="15"/>
      <c r="D677" s="14"/>
      <c r="E677" s="14"/>
      <c r="F677" s="14"/>
      <c r="G677" s="14"/>
      <c r="H677" s="15"/>
      <c r="I677" s="15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  <c r="BP677" s="14"/>
      <c r="BQ677" s="14"/>
      <c r="BR677" s="14"/>
      <c r="BS677" s="14"/>
      <c r="BT677" s="14"/>
      <c r="BU677" s="14"/>
      <c r="BV677" s="14"/>
      <c r="BW677" s="14"/>
      <c r="BX677" s="14"/>
      <c r="BY677" s="14"/>
      <c r="BZ677" s="14"/>
      <c r="CA677" s="14"/>
      <c r="CB677" s="14"/>
      <c r="CC677" s="14"/>
      <c r="CD677" s="14"/>
      <c r="CE677" s="14"/>
      <c r="CF677" s="14"/>
      <c r="CG677" s="14"/>
      <c r="CH677" s="14"/>
      <c r="CI677" s="14"/>
      <c r="CJ677" s="14"/>
      <c r="CK677" s="14"/>
      <c r="CL677" s="14"/>
      <c r="CT677" s="14"/>
      <c r="CW677" s="3"/>
      <c r="DG677" s="4"/>
    </row>
    <row r="678" customFormat="false" ht="11.25" hidden="false" customHeight="true" outlineLevel="0" collapsed="false">
      <c r="A678" s="14"/>
      <c r="B678" s="15"/>
      <c r="C678" s="15"/>
      <c r="D678" s="14"/>
      <c r="E678" s="14"/>
      <c r="F678" s="14"/>
      <c r="G678" s="14"/>
      <c r="H678" s="15"/>
      <c r="I678" s="15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  <c r="BP678" s="14"/>
      <c r="BQ678" s="14"/>
      <c r="BR678" s="14"/>
      <c r="BS678" s="14"/>
      <c r="BT678" s="14"/>
      <c r="BU678" s="14"/>
      <c r="BV678" s="14"/>
      <c r="BW678" s="14"/>
      <c r="BX678" s="14"/>
      <c r="BY678" s="14"/>
      <c r="BZ678" s="14"/>
      <c r="CA678" s="14"/>
      <c r="CB678" s="14"/>
      <c r="CC678" s="14"/>
      <c r="CD678" s="14"/>
      <c r="CE678" s="14"/>
      <c r="CF678" s="14"/>
      <c r="CG678" s="14"/>
      <c r="CH678" s="14"/>
      <c r="CI678" s="14"/>
      <c r="CJ678" s="14"/>
      <c r="CK678" s="14"/>
      <c r="CL678" s="14"/>
      <c r="CT678" s="14"/>
      <c r="CW678" s="3"/>
      <c r="DG678" s="4"/>
    </row>
    <row r="679" customFormat="false" ht="11.25" hidden="false" customHeight="true" outlineLevel="0" collapsed="false">
      <c r="A679" s="14"/>
      <c r="B679" s="15"/>
      <c r="C679" s="15"/>
      <c r="D679" s="14"/>
      <c r="E679" s="14"/>
      <c r="F679" s="14"/>
      <c r="G679" s="14"/>
      <c r="H679" s="15"/>
      <c r="I679" s="15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  <c r="BP679" s="14"/>
      <c r="BQ679" s="14"/>
      <c r="BR679" s="14"/>
      <c r="BS679" s="14"/>
      <c r="BT679" s="14"/>
      <c r="BU679" s="14"/>
      <c r="BV679" s="14"/>
      <c r="BW679" s="14"/>
      <c r="BX679" s="14"/>
      <c r="BY679" s="14"/>
      <c r="BZ679" s="14"/>
      <c r="CA679" s="14"/>
      <c r="CB679" s="14"/>
      <c r="CC679" s="14"/>
      <c r="CD679" s="14"/>
      <c r="CE679" s="14"/>
      <c r="CF679" s="14"/>
      <c r="CG679" s="14"/>
      <c r="CH679" s="14"/>
      <c r="CI679" s="14"/>
      <c r="CJ679" s="14"/>
      <c r="CK679" s="14"/>
      <c r="CL679" s="14"/>
      <c r="CT679" s="14"/>
      <c r="CW679" s="3"/>
      <c r="DG679" s="4"/>
    </row>
    <row r="680" customFormat="false" ht="11.25" hidden="false" customHeight="true" outlineLevel="0" collapsed="false">
      <c r="A680" s="14"/>
      <c r="B680" s="15"/>
      <c r="C680" s="15"/>
      <c r="D680" s="14"/>
      <c r="E680" s="14"/>
      <c r="F680" s="14"/>
      <c r="G680" s="14"/>
      <c r="H680" s="15"/>
      <c r="I680" s="15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  <c r="BP680" s="14"/>
      <c r="BQ680" s="14"/>
      <c r="BR680" s="14"/>
      <c r="BS680" s="14"/>
      <c r="BT680" s="14"/>
      <c r="BU680" s="14"/>
      <c r="BV680" s="14"/>
      <c r="BW680" s="14"/>
      <c r="BX680" s="14"/>
      <c r="BY680" s="14"/>
      <c r="BZ680" s="14"/>
      <c r="CA680" s="14"/>
      <c r="CB680" s="14"/>
      <c r="CC680" s="14"/>
      <c r="CD680" s="14"/>
      <c r="CE680" s="14"/>
      <c r="CF680" s="14"/>
      <c r="CG680" s="14"/>
      <c r="CH680" s="14"/>
      <c r="CI680" s="14"/>
      <c r="CJ680" s="14"/>
      <c r="CK680" s="14"/>
      <c r="CL680" s="14"/>
      <c r="CT680" s="14"/>
      <c r="CW680" s="3"/>
      <c r="DG680" s="4"/>
    </row>
    <row r="681" customFormat="false" ht="11.25" hidden="false" customHeight="true" outlineLevel="0" collapsed="false">
      <c r="A681" s="14"/>
      <c r="B681" s="15"/>
      <c r="C681" s="15"/>
      <c r="D681" s="14"/>
      <c r="E681" s="14"/>
      <c r="F681" s="14"/>
      <c r="G681" s="14"/>
      <c r="H681" s="15"/>
      <c r="I681" s="15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  <c r="BP681" s="14"/>
      <c r="BQ681" s="14"/>
      <c r="BR681" s="14"/>
      <c r="BS681" s="14"/>
      <c r="BT681" s="14"/>
      <c r="BU681" s="14"/>
      <c r="BV681" s="14"/>
      <c r="BW681" s="14"/>
      <c r="BX681" s="14"/>
      <c r="BY681" s="14"/>
      <c r="BZ681" s="14"/>
      <c r="CA681" s="14"/>
      <c r="CB681" s="14"/>
      <c r="CC681" s="14"/>
      <c r="CD681" s="14"/>
      <c r="CE681" s="14"/>
      <c r="CF681" s="14"/>
      <c r="CG681" s="14"/>
      <c r="CH681" s="14"/>
      <c r="CI681" s="14"/>
      <c r="CJ681" s="14"/>
      <c r="CK681" s="14"/>
      <c r="CL681" s="14"/>
      <c r="CT681" s="14"/>
      <c r="CW681" s="3"/>
      <c r="DG681" s="4"/>
    </row>
    <row r="682" customFormat="false" ht="11.25" hidden="false" customHeight="true" outlineLevel="0" collapsed="false">
      <c r="A682" s="14"/>
      <c r="B682" s="15"/>
      <c r="C682" s="15"/>
      <c r="D682" s="14"/>
      <c r="E682" s="14"/>
      <c r="F682" s="14"/>
      <c r="G682" s="14"/>
      <c r="H682" s="15"/>
      <c r="I682" s="15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  <c r="BP682" s="14"/>
      <c r="BQ682" s="14"/>
      <c r="BR682" s="14"/>
      <c r="BS682" s="14"/>
      <c r="BT682" s="14"/>
      <c r="BU682" s="14"/>
      <c r="BV682" s="14"/>
      <c r="BW682" s="14"/>
      <c r="BX682" s="14"/>
      <c r="BY682" s="14"/>
      <c r="BZ682" s="14"/>
      <c r="CA682" s="14"/>
      <c r="CB682" s="14"/>
      <c r="CC682" s="14"/>
      <c r="CD682" s="14"/>
      <c r="CE682" s="14"/>
      <c r="CF682" s="14"/>
      <c r="CG682" s="14"/>
      <c r="CH682" s="14"/>
      <c r="CI682" s="14"/>
      <c r="CJ682" s="14"/>
      <c r="CK682" s="14"/>
      <c r="CL682" s="14"/>
      <c r="CT682" s="14"/>
      <c r="CW682" s="3"/>
      <c r="DG682" s="4"/>
    </row>
    <row r="683" customFormat="false" ht="11.25" hidden="false" customHeight="true" outlineLevel="0" collapsed="false">
      <c r="A683" s="14"/>
      <c r="B683" s="15"/>
      <c r="C683" s="15"/>
      <c r="D683" s="14"/>
      <c r="E683" s="14"/>
      <c r="F683" s="14"/>
      <c r="G683" s="14"/>
      <c r="H683" s="15"/>
      <c r="I683" s="15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  <c r="BP683" s="14"/>
      <c r="BQ683" s="14"/>
      <c r="BR683" s="14"/>
      <c r="BS683" s="14"/>
      <c r="BT683" s="14"/>
      <c r="BU683" s="14"/>
      <c r="BV683" s="14"/>
      <c r="BW683" s="14"/>
      <c r="BX683" s="14"/>
      <c r="BY683" s="14"/>
      <c r="BZ683" s="14"/>
      <c r="CA683" s="14"/>
      <c r="CB683" s="14"/>
      <c r="CC683" s="14"/>
      <c r="CD683" s="14"/>
      <c r="CE683" s="14"/>
      <c r="CF683" s="14"/>
      <c r="CG683" s="14"/>
      <c r="CH683" s="14"/>
      <c r="CI683" s="14"/>
      <c r="CJ683" s="14"/>
      <c r="CK683" s="14"/>
      <c r="CL683" s="14"/>
      <c r="CT683" s="14"/>
      <c r="CW683" s="3"/>
      <c r="DG683" s="4"/>
    </row>
    <row r="684" customFormat="false" ht="11.25" hidden="false" customHeight="true" outlineLevel="0" collapsed="false">
      <c r="A684" s="14"/>
      <c r="B684" s="15"/>
      <c r="C684" s="15"/>
      <c r="D684" s="14"/>
      <c r="E684" s="14"/>
      <c r="F684" s="14"/>
      <c r="G684" s="14"/>
      <c r="H684" s="15"/>
      <c r="I684" s="15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  <c r="BP684" s="14"/>
      <c r="BQ684" s="14"/>
      <c r="BR684" s="14"/>
      <c r="BS684" s="14"/>
      <c r="BT684" s="14"/>
      <c r="BU684" s="14"/>
      <c r="BV684" s="14"/>
      <c r="BW684" s="14"/>
      <c r="BX684" s="14"/>
      <c r="BY684" s="14"/>
      <c r="BZ684" s="14"/>
      <c r="CA684" s="14"/>
      <c r="CB684" s="14"/>
      <c r="CC684" s="14"/>
      <c r="CD684" s="14"/>
      <c r="CE684" s="14"/>
      <c r="CF684" s="14"/>
      <c r="CG684" s="14"/>
      <c r="CH684" s="14"/>
      <c r="CI684" s="14"/>
      <c r="CJ684" s="14"/>
      <c r="CK684" s="14"/>
      <c r="CL684" s="14"/>
      <c r="CT684" s="14"/>
      <c r="CW684" s="3"/>
      <c r="DG684" s="4"/>
    </row>
    <row r="685" customFormat="false" ht="11.25" hidden="false" customHeight="true" outlineLevel="0" collapsed="false">
      <c r="A685" s="14"/>
      <c r="B685" s="15"/>
      <c r="C685" s="15"/>
      <c r="D685" s="14"/>
      <c r="E685" s="14"/>
      <c r="F685" s="14"/>
      <c r="G685" s="14"/>
      <c r="H685" s="15"/>
      <c r="I685" s="15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  <c r="BP685" s="14"/>
      <c r="BQ685" s="14"/>
      <c r="BR685" s="14"/>
      <c r="BS685" s="14"/>
      <c r="BT685" s="14"/>
      <c r="BU685" s="14"/>
      <c r="BV685" s="14"/>
      <c r="BW685" s="14"/>
      <c r="BX685" s="14"/>
      <c r="BY685" s="14"/>
      <c r="BZ685" s="14"/>
      <c r="CA685" s="14"/>
      <c r="CB685" s="14"/>
      <c r="CC685" s="14"/>
      <c r="CD685" s="14"/>
      <c r="CE685" s="14"/>
      <c r="CF685" s="14"/>
      <c r="CG685" s="14"/>
      <c r="CH685" s="14"/>
      <c r="CI685" s="14"/>
      <c r="CJ685" s="14"/>
      <c r="CK685" s="14"/>
      <c r="CL685" s="14"/>
      <c r="CT685" s="14"/>
      <c r="CW685" s="3"/>
      <c r="DG685" s="4"/>
    </row>
    <row r="686" customFormat="false" ht="11.25" hidden="false" customHeight="true" outlineLevel="0" collapsed="false">
      <c r="A686" s="14"/>
      <c r="B686" s="15"/>
      <c r="C686" s="15"/>
      <c r="D686" s="14"/>
      <c r="E686" s="14"/>
      <c r="F686" s="14"/>
      <c r="G686" s="14"/>
      <c r="H686" s="15"/>
      <c r="I686" s="15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4"/>
      <c r="BK686" s="14"/>
      <c r="BL686" s="14"/>
      <c r="BM686" s="14"/>
      <c r="BN686" s="14"/>
      <c r="BO686" s="14"/>
      <c r="BP686" s="14"/>
      <c r="BQ686" s="14"/>
      <c r="BR686" s="14"/>
      <c r="BS686" s="14"/>
      <c r="BT686" s="14"/>
      <c r="BU686" s="14"/>
      <c r="BV686" s="14"/>
      <c r="BW686" s="14"/>
      <c r="BX686" s="14"/>
      <c r="BY686" s="14"/>
      <c r="BZ686" s="14"/>
      <c r="CA686" s="14"/>
      <c r="CB686" s="14"/>
      <c r="CC686" s="14"/>
      <c r="CD686" s="14"/>
      <c r="CE686" s="14"/>
      <c r="CF686" s="14"/>
      <c r="CG686" s="14"/>
      <c r="CH686" s="14"/>
      <c r="CI686" s="14"/>
      <c r="CJ686" s="14"/>
      <c r="CK686" s="14"/>
      <c r="CL686" s="14"/>
      <c r="CT686" s="14"/>
      <c r="CW686" s="3"/>
      <c r="DG686" s="4"/>
    </row>
    <row r="687" customFormat="false" ht="11.25" hidden="false" customHeight="true" outlineLevel="0" collapsed="false">
      <c r="A687" s="14"/>
      <c r="B687" s="15"/>
      <c r="C687" s="15"/>
      <c r="D687" s="14"/>
      <c r="E687" s="14"/>
      <c r="F687" s="14"/>
      <c r="G687" s="14"/>
      <c r="H687" s="15"/>
      <c r="I687" s="15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  <c r="BP687" s="14"/>
      <c r="BQ687" s="14"/>
      <c r="BR687" s="14"/>
      <c r="BS687" s="14"/>
      <c r="BT687" s="14"/>
      <c r="BU687" s="14"/>
      <c r="BV687" s="14"/>
      <c r="BW687" s="14"/>
      <c r="BX687" s="14"/>
      <c r="BY687" s="14"/>
      <c r="BZ687" s="14"/>
      <c r="CA687" s="14"/>
      <c r="CB687" s="14"/>
      <c r="CC687" s="14"/>
      <c r="CD687" s="14"/>
      <c r="CE687" s="14"/>
      <c r="CF687" s="14"/>
      <c r="CG687" s="14"/>
      <c r="CH687" s="14"/>
      <c r="CI687" s="14"/>
      <c r="CJ687" s="14"/>
      <c r="CK687" s="14"/>
      <c r="CL687" s="14"/>
      <c r="CT687" s="14"/>
      <c r="CW687" s="3"/>
      <c r="DG687" s="4"/>
    </row>
    <row r="688" customFormat="false" ht="11.25" hidden="false" customHeight="true" outlineLevel="0" collapsed="false">
      <c r="A688" s="14"/>
      <c r="B688" s="15"/>
      <c r="C688" s="15"/>
      <c r="D688" s="14"/>
      <c r="E688" s="14"/>
      <c r="F688" s="14"/>
      <c r="G688" s="14"/>
      <c r="H688" s="15"/>
      <c r="I688" s="15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  <c r="BP688" s="14"/>
      <c r="BQ688" s="14"/>
      <c r="BR688" s="14"/>
      <c r="BS688" s="14"/>
      <c r="BT688" s="14"/>
      <c r="BU688" s="14"/>
      <c r="BV688" s="14"/>
      <c r="BW688" s="14"/>
      <c r="BX688" s="14"/>
      <c r="BY688" s="14"/>
      <c r="BZ688" s="14"/>
      <c r="CA688" s="14"/>
      <c r="CB688" s="14"/>
      <c r="CC688" s="14"/>
      <c r="CD688" s="14"/>
      <c r="CE688" s="14"/>
      <c r="CF688" s="14"/>
      <c r="CG688" s="14"/>
      <c r="CH688" s="14"/>
      <c r="CI688" s="14"/>
      <c r="CJ688" s="14"/>
      <c r="CK688" s="14"/>
      <c r="CL688" s="14"/>
      <c r="CT688" s="14"/>
      <c r="CW688" s="3"/>
      <c r="DG688" s="4"/>
    </row>
    <row r="689" customFormat="false" ht="11.25" hidden="false" customHeight="true" outlineLevel="0" collapsed="false">
      <c r="A689" s="14"/>
      <c r="B689" s="15"/>
      <c r="C689" s="15"/>
      <c r="D689" s="14"/>
      <c r="E689" s="14"/>
      <c r="F689" s="14"/>
      <c r="G689" s="14"/>
      <c r="H689" s="15"/>
      <c r="I689" s="15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  <c r="BP689" s="14"/>
      <c r="BQ689" s="14"/>
      <c r="BR689" s="14"/>
      <c r="BS689" s="14"/>
      <c r="BT689" s="14"/>
      <c r="BU689" s="14"/>
      <c r="BV689" s="14"/>
      <c r="BW689" s="14"/>
      <c r="BX689" s="14"/>
      <c r="BY689" s="14"/>
      <c r="BZ689" s="14"/>
      <c r="CA689" s="14"/>
      <c r="CB689" s="14"/>
      <c r="CC689" s="14"/>
      <c r="CD689" s="14"/>
      <c r="CE689" s="14"/>
      <c r="CF689" s="14"/>
      <c r="CG689" s="14"/>
      <c r="CH689" s="14"/>
      <c r="CI689" s="14"/>
      <c r="CJ689" s="14"/>
      <c r="CK689" s="14"/>
      <c r="CL689" s="14"/>
      <c r="CT689" s="14"/>
      <c r="CW689" s="3"/>
      <c r="DG689" s="4"/>
    </row>
    <row r="690" customFormat="false" ht="11.25" hidden="false" customHeight="true" outlineLevel="0" collapsed="false">
      <c r="A690" s="14"/>
      <c r="B690" s="15"/>
      <c r="C690" s="15"/>
      <c r="D690" s="14"/>
      <c r="E690" s="14"/>
      <c r="F690" s="14"/>
      <c r="G690" s="14"/>
      <c r="H690" s="15"/>
      <c r="I690" s="15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  <c r="BP690" s="14"/>
      <c r="BQ690" s="14"/>
      <c r="BR690" s="14"/>
      <c r="BS690" s="14"/>
      <c r="BT690" s="14"/>
      <c r="BU690" s="14"/>
      <c r="BV690" s="14"/>
      <c r="BW690" s="14"/>
      <c r="BX690" s="14"/>
      <c r="BY690" s="14"/>
      <c r="BZ690" s="14"/>
      <c r="CA690" s="14"/>
      <c r="CB690" s="14"/>
      <c r="CC690" s="14"/>
      <c r="CD690" s="14"/>
      <c r="CE690" s="14"/>
      <c r="CF690" s="14"/>
      <c r="CG690" s="14"/>
      <c r="CH690" s="14"/>
      <c r="CI690" s="14"/>
      <c r="CJ690" s="14"/>
      <c r="CK690" s="14"/>
      <c r="CL690" s="14"/>
      <c r="CT690" s="14"/>
      <c r="CW690" s="3"/>
      <c r="DG690" s="4"/>
    </row>
    <row r="691" customFormat="false" ht="11.25" hidden="false" customHeight="true" outlineLevel="0" collapsed="false">
      <c r="A691" s="14"/>
      <c r="B691" s="15"/>
      <c r="C691" s="15"/>
      <c r="D691" s="14"/>
      <c r="E691" s="14"/>
      <c r="F691" s="14"/>
      <c r="G691" s="14"/>
      <c r="H691" s="15"/>
      <c r="I691" s="15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  <c r="BP691" s="14"/>
      <c r="BQ691" s="14"/>
      <c r="BR691" s="14"/>
      <c r="BS691" s="14"/>
      <c r="BT691" s="14"/>
      <c r="BU691" s="14"/>
      <c r="BV691" s="14"/>
      <c r="BW691" s="14"/>
      <c r="BX691" s="14"/>
      <c r="BY691" s="14"/>
      <c r="BZ691" s="14"/>
      <c r="CA691" s="14"/>
      <c r="CB691" s="14"/>
      <c r="CC691" s="14"/>
      <c r="CD691" s="14"/>
      <c r="CE691" s="14"/>
      <c r="CF691" s="14"/>
      <c r="CG691" s="14"/>
      <c r="CH691" s="14"/>
      <c r="CI691" s="14"/>
      <c r="CJ691" s="14"/>
      <c r="CK691" s="14"/>
      <c r="CL691" s="14"/>
      <c r="CT691" s="14"/>
      <c r="CW691" s="3"/>
      <c r="DG691" s="4"/>
    </row>
    <row r="692" customFormat="false" ht="11.25" hidden="false" customHeight="true" outlineLevel="0" collapsed="false">
      <c r="A692" s="14"/>
      <c r="B692" s="15"/>
      <c r="C692" s="15"/>
      <c r="D692" s="14"/>
      <c r="E692" s="14"/>
      <c r="F692" s="14"/>
      <c r="G692" s="14"/>
      <c r="H692" s="15"/>
      <c r="I692" s="15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  <c r="BP692" s="14"/>
      <c r="BQ692" s="14"/>
      <c r="BR692" s="14"/>
      <c r="BS692" s="14"/>
      <c r="BT692" s="14"/>
      <c r="BU692" s="14"/>
      <c r="BV692" s="14"/>
      <c r="BW692" s="14"/>
      <c r="BX692" s="14"/>
      <c r="BY692" s="14"/>
      <c r="BZ692" s="14"/>
      <c r="CA692" s="14"/>
      <c r="CB692" s="14"/>
      <c r="CC692" s="14"/>
      <c r="CD692" s="14"/>
      <c r="CE692" s="14"/>
      <c r="CF692" s="14"/>
      <c r="CG692" s="14"/>
      <c r="CH692" s="14"/>
      <c r="CI692" s="14"/>
      <c r="CJ692" s="14"/>
      <c r="CK692" s="14"/>
      <c r="CL692" s="14"/>
      <c r="CT692" s="14"/>
      <c r="CW692" s="3"/>
      <c r="DG692" s="4"/>
    </row>
    <row r="693" customFormat="false" ht="11.25" hidden="false" customHeight="true" outlineLevel="0" collapsed="false">
      <c r="A693" s="14"/>
      <c r="B693" s="15"/>
      <c r="C693" s="15"/>
      <c r="D693" s="14"/>
      <c r="E693" s="14"/>
      <c r="F693" s="14"/>
      <c r="G693" s="14"/>
      <c r="H693" s="15"/>
      <c r="I693" s="15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  <c r="BP693" s="14"/>
      <c r="BQ693" s="14"/>
      <c r="BR693" s="14"/>
      <c r="BS693" s="14"/>
      <c r="BT693" s="14"/>
      <c r="BU693" s="14"/>
      <c r="BV693" s="14"/>
      <c r="BW693" s="14"/>
      <c r="BX693" s="14"/>
      <c r="BY693" s="14"/>
      <c r="BZ693" s="14"/>
      <c r="CA693" s="14"/>
      <c r="CB693" s="14"/>
      <c r="CC693" s="14"/>
      <c r="CD693" s="14"/>
      <c r="CE693" s="14"/>
      <c r="CF693" s="14"/>
      <c r="CG693" s="14"/>
      <c r="CH693" s="14"/>
      <c r="CI693" s="14"/>
      <c r="CJ693" s="14"/>
      <c r="CK693" s="14"/>
      <c r="CL693" s="14"/>
      <c r="CT693" s="14"/>
      <c r="CW693" s="3"/>
      <c r="DG693" s="4"/>
    </row>
    <row r="694" customFormat="false" ht="11.25" hidden="false" customHeight="true" outlineLevel="0" collapsed="false">
      <c r="A694" s="14"/>
      <c r="B694" s="15"/>
      <c r="C694" s="15"/>
      <c r="D694" s="14"/>
      <c r="E694" s="14"/>
      <c r="F694" s="14"/>
      <c r="G694" s="14"/>
      <c r="H694" s="15"/>
      <c r="I694" s="15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  <c r="BP694" s="14"/>
      <c r="BQ694" s="14"/>
      <c r="BR694" s="14"/>
      <c r="BS694" s="14"/>
      <c r="BT694" s="14"/>
      <c r="BU694" s="14"/>
      <c r="BV694" s="14"/>
      <c r="BW694" s="14"/>
      <c r="BX694" s="14"/>
      <c r="BY694" s="14"/>
      <c r="BZ694" s="14"/>
      <c r="CA694" s="14"/>
      <c r="CB694" s="14"/>
      <c r="CC694" s="14"/>
      <c r="CD694" s="14"/>
      <c r="CE694" s="14"/>
      <c r="CF694" s="14"/>
      <c r="CG694" s="14"/>
      <c r="CH694" s="14"/>
      <c r="CI694" s="14"/>
      <c r="CJ694" s="14"/>
      <c r="CK694" s="14"/>
      <c r="CL694" s="14"/>
      <c r="CT694" s="14"/>
      <c r="CW694" s="3"/>
      <c r="DG694" s="4"/>
    </row>
    <row r="695" customFormat="false" ht="11.25" hidden="false" customHeight="true" outlineLevel="0" collapsed="false">
      <c r="A695" s="14"/>
      <c r="B695" s="15"/>
      <c r="C695" s="15"/>
      <c r="D695" s="14"/>
      <c r="E695" s="14"/>
      <c r="F695" s="14"/>
      <c r="G695" s="14"/>
      <c r="H695" s="15"/>
      <c r="I695" s="15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  <c r="BP695" s="14"/>
      <c r="BQ695" s="14"/>
      <c r="BR695" s="14"/>
      <c r="BS695" s="14"/>
      <c r="BT695" s="14"/>
      <c r="BU695" s="14"/>
      <c r="BV695" s="14"/>
      <c r="BW695" s="14"/>
      <c r="BX695" s="14"/>
      <c r="BY695" s="14"/>
      <c r="BZ695" s="14"/>
      <c r="CA695" s="14"/>
      <c r="CB695" s="14"/>
      <c r="CC695" s="14"/>
      <c r="CD695" s="14"/>
      <c r="CE695" s="14"/>
      <c r="CF695" s="14"/>
      <c r="CG695" s="14"/>
      <c r="CH695" s="14"/>
      <c r="CI695" s="14"/>
      <c r="CJ695" s="14"/>
      <c r="CK695" s="14"/>
      <c r="CL695" s="14"/>
      <c r="CT695" s="14"/>
      <c r="CW695" s="3"/>
      <c r="DG695" s="4"/>
    </row>
    <row r="696" customFormat="false" ht="11.25" hidden="false" customHeight="true" outlineLevel="0" collapsed="false">
      <c r="A696" s="14"/>
      <c r="B696" s="15"/>
      <c r="C696" s="15"/>
      <c r="D696" s="14"/>
      <c r="E696" s="14"/>
      <c r="F696" s="14"/>
      <c r="G696" s="14"/>
      <c r="H696" s="15"/>
      <c r="I696" s="15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  <c r="BP696" s="14"/>
      <c r="BQ696" s="14"/>
      <c r="BR696" s="14"/>
      <c r="BS696" s="14"/>
      <c r="BT696" s="14"/>
      <c r="BU696" s="14"/>
      <c r="BV696" s="14"/>
      <c r="BW696" s="14"/>
      <c r="BX696" s="14"/>
      <c r="BY696" s="14"/>
      <c r="BZ696" s="14"/>
      <c r="CA696" s="14"/>
      <c r="CB696" s="14"/>
      <c r="CC696" s="14"/>
      <c r="CD696" s="14"/>
      <c r="CE696" s="14"/>
      <c r="CF696" s="14"/>
      <c r="CG696" s="14"/>
      <c r="CH696" s="14"/>
      <c r="CI696" s="14"/>
      <c r="CJ696" s="14"/>
      <c r="CK696" s="14"/>
      <c r="CL696" s="14"/>
      <c r="CT696" s="14"/>
      <c r="CW696" s="3"/>
      <c r="DG696" s="4"/>
    </row>
    <row r="697" customFormat="false" ht="11.25" hidden="false" customHeight="true" outlineLevel="0" collapsed="false">
      <c r="A697" s="14"/>
      <c r="B697" s="15"/>
      <c r="C697" s="15"/>
      <c r="D697" s="14"/>
      <c r="E697" s="14"/>
      <c r="F697" s="14"/>
      <c r="G697" s="14"/>
      <c r="H697" s="15"/>
      <c r="I697" s="15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  <c r="BP697" s="14"/>
      <c r="BQ697" s="14"/>
      <c r="BR697" s="14"/>
      <c r="BS697" s="14"/>
      <c r="BT697" s="14"/>
      <c r="BU697" s="14"/>
      <c r="BV697" s="14"/>
      <c r="BW697" s="14"/>
      <c r="BX697" s="14"/>
      <c r="BY697" s="14"/>
      <c r="BZ697" s="14"/>
      <c r="CA697" s="14"/>
      <c r="CB697" s="14"/>
      <c r="CC697" s="14"/>
      <c r="CD697" s="14"/>
      <c r="CE697" s="14"/>
      <c r="CF697" s="14"/>
      <c r="CG697" s="14"/>
      <c r="CH697" s="14"/>
      <c r="CI697" s="14"/>
      <c r="CJ697" s="14"/>
      <c r="CK697" s="14"/>
      <c r="CL697" s="14"/>
      <c r="CT697" s="14"/>
      <c r="CW697" s="3"/>
      <c r="DG697" s="4"/>
    </row>
    <row r="698" customFormat="false" ht="11.25" hidden="false" customHeight="true" outlineLevel="0" collapsed="false">
      <c r="A698" s="14"/>
      <c r="B698" s="15"/>
      <c r="C698" s="15"/>
      <c r="D698" s="14"/>
      <c r="E698" s="14"/>
      <c r="F698" s="14"/>
      <c r="G698" s="14"/>
      <c r="H698" s="15"/>
      <c r="I698" s="15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  <c r="BP698" s="14"/>
      <c r="BQ698" s="14"/>
      <c r="BR698" s="14"/>
      <c r="BS698" s="14"/>
      <c r="BT698" s="14"/>
      <c r="BU698" s="14"/>
      <c r="BV698" s="14"/>
      <c r="BW698" s="14"/>
      <c r="BX698" s="14"/>
      <c r="BY698" s="14"/>
      <c r="BZ698" s="14"/>
      <c r="CA698" s="14"/>
      <c r="CB698" s="14"/>
      <c r="CC698" s="14"/>
      <c r="CD698" s="14"/>
      <c r="CE698" s="14"/>
      <c r="CF698" s="14"/>
      <c r="CG698" s="14"/>
      <c r="CH698" s="14"/>
      <c r="CI698" s="14"/>
      <c r="CJ698" s="14"/>
      <c r="CK698" s="14"/>
      <c r="CL698" s="14"/>
      <c r="CT698" s="14"/>
      <c r="CW698" s="3"/>
      <c r="DG698" s="4"/>
    </row>
    <row r="699" customFormat="false" ht="11.25" hidden="false" customHeight="true" outlineLevel="0" collapsed="false">
      <c r="A699" s="14"/>
      <c r="B699" s="15"/>
      <c r="C699" s="15"/>
      <c r="D699" s="14"/>
      <c r="E699" s="14"/>
      <c r="F699" s="14"/>
      <c r="G699" s="14"/>
      <c r="H699" s="15"/>
      <c r="I699" s="15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  <c r="BP699" s="14"/>
      <c r="BQ699" s="14"/>
      <c r="BR699" s="14"/>
      <c r="BS699" s="14"/>
      <c r="BT699" s="14"/>
      <c r="BU699" s="14"/>
      <c r="BV699" s="14"/>
      <c r="BW699" s="14"/>
      <c r="BX699" s="14"/>
      <c r="BY699" s="14"/>
      <c r="BZ699" s="14"/>
      <c r="CA699" s="14"/>
      <c r="CB699" s="14"/>
      <c r="CC699" s="14"/>
      <c r="CD699" s="14"/>
      <c r="CE699" s="14"/>
      <c r="CF699" s="14"/>
      <c r="CG699" s="14"/>
      <c r="CH699" s="14"/>
      <c r="CI699" s="14"/>
      <c r="CJ699" s="14"/>
      <c r="CK699" s="14"/>
      <c r="CL699" s="14"/>
      <c r="CT699" s="14"/>
      <c r="CW699" s="3"/>
      <c r="DG699" s="4"/>
    </row>
    <row r="700" customFormat="false" ht="11.25" hidden="false" customHeight="true" outlineLevel="0" collapsed="false">
      <c r="A700" s="14"/>
      <c r="B700" s="15"/>
      <c r="C700" s="15"/>
      <c r="D700" s="14"/>
      <c r="E700" s="14"/>
      <c r="F700" s="14"/>
      <c r="G700" s="14"/>
      <c r="H700" s="15"/>
      <c r="I700" s="15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  <c r="BP700" s="14"/>
      <c r="BQ700" s="14"/>
      <c r="BR700" s="14"/>
      <c r="BS700" s="14"/>
      <c r="BT700" s="14"/>
      <c r="BU700" s="14"/>
      <c r="BV700" s="14"/>
      <c r="BW700" s="14"/>
      <c r="BX700" s="14"/>
      <c r="BY700" s="14"/>
      <c r="BZ700" s="14"/>
      <c r="CA700" s="14"/>
      <c r="CB700" s="14"/>
      <c r="CC700" s="14"/>
      <c r="CD700" s="14"/>
      <c r="CE700" s="14"/>
      <c r="CF700" s="14"/>
      <c r="CG700" s="14"/>
      <c r="CH700" s="14"/>
      <c r="CI700" s="14"/>
      <c r="CJ700" s="14"/>
      <c r="CK700" s="14"/>
      <c r="CL700" s="14"/>
      <c r="CT700" s="14"/>
      <c r="CW700" s="3"/>
      <c r="DG700" s="4"/>
    </row>
    <row r="701" customFormat="false" ht="11.25" hidden="false" customHeight="true" outlineLevel="0" collapsed="false">
      <c r="A701" s="14"/>
      <c r="B701" s="15"/>
      <c r="C701" s="15"/>
      <c r="D701" s="14"/>
      <c r="E701" s="14"/>
      <c r="F701" s="14"/>
      <c r="G701" s="14"/>
      <c r="H701" s="15"/>
      <c r="I701" s="15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  <c r="BP701" s="14"/>
      <c r="BQ701" s="14"/>
      <c r="BR701" s="14"/>
      <c r="BS701" s="14"/>
      <c r="BT701" s="14"/>
      <c r="BU701" s="14"/>
      <c r="BV701" s="14"/>
      <c r="BW701" s="14"/>
      <c r="BX701" s="14"/>
      <c r="BY701" s="14"/>
      <c r="BZ701" s="14"/>
      <c r="CA701" s="14"/>
      <c r="CB701" s="14"/>
      <c r="CC701" s="14"/>
      <c r="CD701" s="14"/>
      <c r="CE701" s="14"/>
      <c r="CF701" s="14"/>
      <c r="CG701" s="14"/>
      <c r="CH701" s="14"/>
      <c r="CI701" s="14"/>
      <c r="CJ701" s="14"/>
      <c r="CK701" s="14"/>
      <c r="CL701" s="14"/>
      <c r="CT701" s="14"/>
      <c r="CW701" s="3"/>
      <c r="DG701" s="4"/>
    </row>
    <row r="702" customFormat="false" ht="11.25" hidden="false" customHeight="true" outlineLevel="0" collapsed="false">
      <c r="A702" s="14"/>
      <c r="B702" s="15"/>
      <c r="C702" s="15"/>
      <c r="D702" s="14"/>
      <c r="E702" s="14"/>
      <c r="F702" s="14"/>
      <c r="G702" s="14"/>
      <c r="H702" s="15"/>
      <c r="I702" s="15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  <c r="BP702" s="14"/>
      <c r="BQ702" s="14"/>
      <c r="BR702" s="14"/>
      <c r="BS702" s="14"/>
      <c r="BT702" s="14"/>
      <c r="BU702" s="14"/>
      <c r="BV702" s="14"/>
      <c r="BW702" s="14"/>
      <c r="BX702" s="14"/>
      <c r="BY702" s="14"/>
      <c r="BZ702" s="14"/>
      <c r="CA702" s="14"/>
      <c r="CB702" s="14"/>
      <c r="CC702" s="14"/>
      <c r="CD702" s="14"/>
      <c r="CE702" s="14"/>
      <c r="CF702" s="14"/>
      <c r="CG702" s="14"/>
      <c r="CH702" s="14"/>
      <c r="CI702" s="14"/>
      <c r="CJ702" s="14"/>
      <c r="CK702" s="14"/>
      <c r="CL702" s="14"/>
      <c r="CT702" s="14"/>
      <c r="CW702" s="3"/>
      <c r="DG702" s="4"/>
    </row>
    <row r="703" customFormat="false" ht="11.25" hidden="false" customHeight="true" outlineLevel="0" collapsed="false">
      <c r="A703" s="14"/>
      <c r="B703" s="15"/>
      <c r="C703" s="15"/>
      <c r="D703" s="14"/>
      <c r="E703" s="14"/>
      <c r="F703" s="14"/>
      <c r="G703" s="14"/>
      <c r="H703" s="15"/>
      <c r="I703" s="15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  <c r="BP703" s="14"/>
      <c r="BQ703" s="14"/>
      <c r="BR703" s="14"/>
      <c r="BS703" s="14"/>
      <c r="BT703" s="14"/>
      <c r="BU703" s="14"/>
      <c r="BV703" s="14"/>
      <c r="BW703" s="14"/>
      <c r="BX703" s="14"/>
      <c r="BY703" s="14"/>
      <c r="BZ703" s="14"/>
      <c r="CA703" s="14"/>
      <c r="CB703" s="14"/>
      <c r="CC703" s="14"/>
      <c r="CD703" s="14"/>
      <c r="CE703" s="14"/>
      <c r="CF703" s="14"/>
      <c r="CG703" s="14"/>
      <c r="CH703" s="14"/>
      <c r="CI703" s="14"/>
      <c r="CJ703" s="14"/>
      <c r="CK703" s="14"/>
      <c r="CL703" s="14"/>
      <c r="CT703" s="14"/>
      <c r="CW703" s="3"/>
      <c r="DG703" s="4"/>
    </row>
    <row r="704" customFormat="false" ht="11.25" hidden="false" customHeight="true" outlineLevel="0" collapsed="false">
      <c r="A704" s="14"/>
      <c r="B704" s="15"/>
      <c r="C704" s="15"/>
      <c r="D704" s="14"/>
      <c r="E704" s="14"/>
      <c r="F704" s="14"/>
      <c r="G704" s="14"/>
      <c r="H704" s="15"/>
      <c r="I704" s="15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  <c r="BP704" s="14"/>
      <c r="BQ704" s="14"/>
      <c r="BR704" s="14"/>
      <c r="BS704" s="14"/>
      <c r="BT704" s="14"/>
      <c r="BU704" s="14"/>
      <c r="BV704" s="14"/>
      <c r="BW704" s="14"/>
      <c r="BX704" s="14"/>
      <c r="BY704" s="14"/>
      <c r="BZ704" s="14"/>
      <c r="CA704" s="14"/>
      <c r="CB704" s="14"/>
      <c r="CC704" s="14"/>
      <c r="CD704" s="14"/>
      <c r="CE704" s="14"/>
      <c r="CF704" s="14"/>
      <c r="CG704" s="14"/>
      <c r="CH704" s="14"/>
      <c r="CI704" s="14"/>
      <c r="CJ704" s="14"/>
      <c r="CK704" s="14"/>
      <c r="CL704" s="14"/>
      <c r="CT704" s="14"/>
      <c r="CW704" s="3"/>
      <c r="DG704" s="4"/>
    </row>
    <row r="705" customFormat="false" ht="11.25" hidden="false" customHeight="true" outlineLevel="0" collapsed="false">
      <c r="A705" s="14"/>
      <c r="B705" s="15"/>
      <c r="C705" s="15"/>
      <c r="D705" s="14"/>
      <c r="E705" s="14"/>
      <c r="F705" s="14"/>
      <c r="G705" s="14"/>
      <c r="H705" s="15"/>
      <c r="I705" s="15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  <c r="BP705" s="14"/>
      <c r="BQ705" s="14"/>
      <c r="BR705" s="14"/>
      <c r="BS705" s="14"/>
      <c r="BT705" s="14"/>
      <c r="BU705" s="14"/>
      <c r="BV705" s="14"/>
      <c r="BW705" s="14"/>
      <c r="BX705" s="14"/>
      <c r="BY705" s="14"/>
      <c r="BZ705" s="14"/>
      <c r="CA705" s="14"/>
      <c r="CB705" s="14"/>
      <c r="CC705" s="14"/>
      <c r="CD705" s="14"/>
      <c r="CE705" s="14"/>
      <c r="CF705" s="14"/>
      <c r="CG705" s="14"/>
      <c r="CH705" s="14"/>
      <c r="CI705" s="14"/>
      <c r="CJ705" s="14"/>
      <c r="CK705" s="14"/>
      <c r="CL705" s="14"/>
      <c r="CT705" s="14"/>
      <c r="CW705" s="3"/>
      <c r="DG705" s="4"/>
    </row>
    <row r="706" customFormat="false" ht="11.25" hidden="false" customHeight="true" outlineLevel="0" collapsed="false">
      <c r="A706" s="14"/>
      <c r="B706" s="15"/>
      <c r="C706" s="15"/>
      <c r="D706" s="14"/>
      <c r="E706" s="14"/>
      <c r="F706" s="14"/>
      <c r="G706" s="14"/>
      <c r="H706" s="15"/>
      <c r="I706" s="15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  <c r="BP706" s="14"/>
      <c r="BQ706" s="14"/>
      <c r="BR706" s="14"/>
      <c r="BS706" s="14"/>
      <c r="BT706" s="14"/>
      <c r="BU706" s="14"/>
      <c r="BV706" s="14"/>
      <c r="BW706" s="14"/>
      <c r="BX706" s="14"/>
      <c r="BY706" s="14"/>
      <c r="BZ706" s="14"/>
      <c r="CA706" s="14"/>
      <c r="CB706" s="14"/>
      <c r="CC706" s="14"/>
      <c r="CD706" s="14"/>
      <c r="CE706" s="14"/>
      <c r="CF706" s="14"/>
      <c r="CG706" s="14"/>
      <c r="CH706" s="14"/>
      <c r="CI706" s="14"/>
      <c r="CJ706" s="14"/>
      <c r="CK706" s="14"/>
      <c r="CL706" s="14"/>
      <c r="CT706" s="14"/>
      <c r="CW706" s="3"/>
      <c r="DG706" s="4"/>
    </row>
    <row r="707" customFormat="false" ht="11.25" hidden="false" customHeight="true" outlineLevel="0" collapsed="false">
      <c r="A707" s="14"/>
      <c r="B707" s="15"/>
      <c r="C707" s="15"/>
      <c r="D707" s="14"/>
      <c r="E707" s="14"/>
      <c r="F707" s="14"/>
      <c r="G707" s="14"/>
      <c r="H707" s="15"/>
      <c r="I707" s="15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  <c r="BP707" s="14"/>
      <c r="BQ707" s="14"/>
      <c r="BR707" s="14"/>
      <c r="BS707" s="14"/>
      <c r="BT707" s="14"/>
      <c r="BU707" s="14"/>
      <c r="BV707" s="14"/>
      <c r="BW707" s="14"/>
      <c r="BX707" s="14"/>
      <c r="BY707" s="14"/>
      <c r="BZ707" s="14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T707" s="14"/>
      <c r="CW707" s="3"/>
      <c r="DG707" s="4"/>
    </row>
    <row r="708" customFormat="false" ht="11.25" hidden="false" customHeight="true" outlineLevel="0" collapsed="false">
      <c r="A708" s="14"/>
      <c r="B708" s="15"/>
      <c r="C708" s="15"/>
      <c r="D708" s="14"/>
      <c r="E708" s="14"/>
      <c r="F708" s="14"/>
      <c r="G708" s="14"/>
      <c r="H708" s="15"/>
      <c r="I708" s="15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  <c r="BP708" s="14"/>
      <c r="BQ708" s="14"/>
      <c r="BR708" s="14"/>
      <c r="BS708" s="14"/>
      <c r="BT708" s="14"/>
      <c r="BU708" s="14"/>
      <c r="BV708" s="14"/>
      <c r="BW708" s="14"/>
      <c r="BX708" s="14"/>
      <c r="BY708" s="14"/>
      <c r="BZ708" s="14"/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T708" s="14"/>
      <c r="CW708" s="3"/>
      <c r="DG708" s="4"/>
    </row>
    <row r="709" customFormat="false" ht="11.25" hidden="false" customHeight="true" outlineLevel="0" collapsed="false">
      <c r="A709" s="14"/>
      <c r="B709" s="15"/>
      <c r="C709" s="15"/>
      <c r="D709" s="14"/>
      <c r="E709" s="14"/>
      <c r="F709" s="14"/>
      <c r="G709" s="14"/>
      <c r="H709" s="15"/>
      <c r="I709" s="15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  <c r="BP709" s="14"/>
      <c r="BQ709" s="14"/>
      <c r="BR709" s="14"/>
      <c r="BS709" s="14"/>
      <c r="BT709" s="14"/>
      <c r="BU709" s="14"/>
      <c r="BV709" s="14"/>
      <c r="BW709" s="14"/>
      <c r="BX709" s="14"/>
      <c r="BY709" s="14"/>
      <c r="BZ709" s="14"/>
      <c r="CA709" s="14"/>
      <c r="CB709" s="14"/>
      <c r="CC709" s="14"/>
      <c r="CD709" s="14"/>
      <c r="CE709" s="14"/>
      <c r="CF709" s="14"/>
      <c r="CG709" s="14"/>
      <c r="CH709" s="14"/>
      <c r="CI709" s="14"/>
      <c r="CJ709" s="14"/>
      <c r="CK709" s="14"/>
      <c r="CL709" s="14"/>
      <c r="CT709" s="14"/>
      <c r="CW709" s="3"/>
      <c r="DG709" s="4"/>
    </row>
    <row r="710" customFormat="false" ht="11.25" hidden="false" customHeight="true" outlineLevel="0" collapsed="false">
      <c r="A710" s="14"/>
      <c r="B710" s="15"/>
      <c r="C710" s="15"/>
      <c r="D710" s="14"/>
      <c r="E710" s="14"/>
      <c r="F710" s="14"/>
      <c r="G710" s="14"/>
      <c r="H710" s="15"/>
      <c r="I710" s="15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/>
      <c r="BL710" s="14"/>
      <c r="BM710" s="14"/>
      <c r="BN710" s="14"/>
      <c r="BO710" s="14"/>
      <c r="BP710" s="14"/>
      <c r="BQ710" s="14"/>
      <c r="BR710" s="14"/>
      <c r="BS710" s="14"/>
      <c r="BT710" s="14"/>
      <c r="BU710" s="14"/>
      <c r="BV710" s="14"/>
      <c r="BW710" s="14"/>
      <c r="BX710" s="14"/>
      <c r="BY710" s="14"/>
      <c r="BZ710" s="14"/>
      <c r="CA710" s="14"/>
      <c r="CB710" s="14"/>
      <c r="CC710" s="14"/>
      <c r="CD710" s="14"/>
      <c r="CE710" s="14"/>
      <c r="CF710" s="14"/>
      <c r="CG710" s="14"/>
      <c r="CH710" s="14"/>
      <c r="CI710" s="14"/>
      <c r="CJ710" s="14"/>
      <c r="CK710" s="14"/>
      <c r="CL710" s="14"/>
      <c r="CT710" s="14"/>
      <c r="CW710" s="3"/>
      <c r="DG710" s="4"/>
    </row>
    <row r="711" customFormat="false" ht="11.25" hidden="false" customHeight="true" outlineLevel="0" collapsed="false">
      <c r="A711" s="14"/>
      <c r="B711" s="15"/>
      <c r="C711" s="15"/>
      <c r="D711" s="14"/>
      <c r="E711" s="14"/>
      <c r="F711" s="14"/>
      <c r="G711" s="14"/>
      <c r="H711" s="15"/>
      <c r="I711" s="15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  <c r="BP711" s="14"/>
      <c r="BQ711" s="14"/>
      <c r="BR711" s="14"/>
      <c r="BS711" s="14"/>
      <c r="BT711" s="14"/>
      <c r="BU711" s="14"/>
      <c r="BV711" s="14"/>
      <c r="BW711" s="14"/>
      <c r="BX711" s="14"/>
      <c r="BY711" s="14"/>
      <c r="BZ711" s="14"/>
      <c r="CA711" s="14"/>
      <c r="CB711" s="14"/>
      <c r="CC711" s="14"/>
      <c r="CD711" s="14"/>
      <c r="CE711" s="14"/>
      <c r="CF711" s="14"/>
      <c r="CG711" s="14"/>
      <c r="CH711" s="14"/>
      <c r="CI711" s="14"/>
      <c r="CJ711" s="14"/>
      <c r="CK711" s="14"/>
      <c r="CL711" s="14"/>
      <c r="CT711" s="14"/>
      <c r="CW711" s="3"/>
      <c r="DG711" s="4"/>
    </row>
    <row r="712" customFormat="false" ht="11.25" hidden="false" customHeight="true" outlineLevel="0" collapsed="false">
      <c r="A712" s="14"/>
      <c r="B712" s="15"/>
      <c r="C712" s="15"/>
      <c r="D712" s="14"/>
      <c r="E712" s="14"/>
      <c r="F712" s="14"/>
      <c r="G712" s="14"/>
      <c r="H712" s="15"/>
      <c r="I712" s="15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  <c r="BP712" s="14"/>
      <c r="BQ712" s="14"/>
      <c r="BR712" s="14"/>
      <c r="BS712" s="14"/>
      <c r="BT712" s="14"/>
      <c r="BU712" s="14"/>
      <c r="BV712" s="14"/>
      <c r="BW712" s="14"/>
      <c r="BX712" s="14"/>
      <c r="BY712" s="14"/>
      <c r="BZ712" s="14"/>
      <c r="CA712" s="14"/>
      <c r="CB712" s="14"/>
      <c r="CC712" s="14"/>
      <c r="CD712" s="14"/>
      <c r="CE712" s="14"/>
      <c r="CF712" s="14"/>
      <c r="CG712" s="14"/>
      <c r="CH712" s="14"/>
      <c r="CI712" s="14"/>
      <c r="CJ712" s="14"/>
      <c r="CK712" s="14"/>
      <c r="CL712" s="14"/>
      <c r="CT712" s="14"/>
      <c r="CW712" s="3"/>
      <c r="DG712" s="4"/>
    </row>
    <row r="713" customFormat="false" ht="11.25" hidden="false" customHeight="true" outlineLevel="0" collapsed="false">
      <c r="A713" s="14"/>
      <c r="B713" s="15"/>
      <c r="C713" s="15"/>
      <c r="D713" s="14"/>
      <c r="E713" s="14"/>
      <c r="F713" s="14"/>
      <c r="G713" s="14"/>
      <c r="H713" s="15"/>
      <c r="I713" s="15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  <c r="BP713" s="14"/>
      <c r="BQ713" s="14"/>
      <c r="BR713" s="14"/>
      <c r="BS713" s="14"/>
      <c r="BT713" s="14"/>
      <c r="BU713" s="14"/>
      <c r="BV713" s="14"/>
      <c r="BW713" s="14"/>
      <c r="BX713" s="14"/>
      <c r="BY713" s="14"/>
      <c r="BZ713" s="14"/>
      <c r="CA713" s="14"/>
      <c r="CB713" s="14"/>
      <c r="CC713" s="14"/>
      <c r="CD713" s="14"/>
      <c r="CE713" s="14"/>
      <c r="CF713" s="14"/>
      <c r="CG713" s="14"/>
      <c r="CH713" s="14"/>
      <c r="CI713" s="14"/>
      <c r="CJ713" s="14"/>
      <c r="CK713" s="14"/>
      <c r="CL713" s="14"/>
      <c r="CT713" s="14"/>
      <c r="CW713" s="3"/>
      <c r="DG713" s="4"/>
    </row>
    <row r="714" customFormat="false" ht="11.25" hidden="false" customHeight="true" outlineLevel="0" collapsed="false">
      <c r="A714" s="14"/>
      <c r="B714" s="15"/>
      <c r="C714" s="15"/>
      <c r="D714" s="14"/>
      <c r="E714" s="14"/>
      <c r="F714" s="14"/>
      <c r="G714" s="14"/>
      <c r="H714" s="15"/>
      <c r="I714" s="15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  <c r="BP714" s="14"/>
      <c r="BQ714" s="14"/>
      <c r="BR714" s="14"/>
      <c r="BS714" s="14"/>
      <c r="BT714" s="14"/>
      <c r="BU714" s="14"/>
      <c r="BV714" s="14"/>
      <c r="BW714" s="14"/>
      <c r="BX714" s="14"/>
      <c r="BY714" s="14"/>
      <c r="BZ714" s="14"/>
      <c r="CA714" s="14"/>
      <c r="CB714" s="14"/>
      <c r="CC714" s="14"/>
      <c r="CD714" s="14"/>
      <c r="CE714" s="14"/>
      <c r="CF714" s="14"/>
      <c r="CG714" s="14"/>
      <c r="CH714" s="14"/>
      <c r="CI714" s="14"/>
      <c r="CJ714" s="14"/>
      <c r="CK714" s="14"/>
      <c r="CL714" s="14"/>
      <c r="CT714" s="14"/>
      <c r="CW714" s="3"/>
      <c r="DG714" s="4"/>
    </row>
    <row r="715" customFormat="false" ht="11.25" hidden="false" customHeight="true" outlineLevel="0" collapsed="false">
      <c r="A715" s="14"/>
      <c r="B715" s="15"/>
      <c r="C715" s="15"/>
      <c r="D715" s="14"/>
      <c r="E715" s="14"/>
      <c r="F715" s="14"/>
      <c r="G715" s="14"/>
      <c r="H715" s="15"/>
      <c r="I715" s="15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  <c r="BP715" s="14"/>
      <c r="BQ715" s="14"/>
      <c r="BR715" s="14"/>
      <c r="BS715" s="14"/>
      <c r="BT715" s="14"/>
      <c r="BU715" s="14"/>
      <c r="BV715" s="14"/>
      <c r="BW715" s="14"/>
      <c r="BX715" s="14"/>
      <c r="BY715" s="14"/>
      <c r="BZ715" s="14"/>
      <c r="CA715" s="14"/>
      <c r="CB715" s="14"/>
      <c r="CC715" s="14"/>
      <c r="CD715" s="14"/>
      <c r="CE715" s="14"/>
      <c r="CF715" s="14"/>
      <c r="CG715" s="14"/>
      <c r="CH715" s="14"/>
      <c r="CI715" s="14"/>
      <c r="CJ715" s="14"/>
      <c r="CK715" s="14"/>
      <c r="CL715" s="14"/>
      <c r="CT715" s="14"/>
      <c r="CW715" s="3"/>
      <c r="DG715" s="4"/>
    </row>
    <row r="716" customFormat="false" ht="11.25" hidden="false" customHeight="true" outlineLevel="0" collapsed="false">
      <c r="A716" s="14"/>
      <c r="B716" s="15"/>
      <c r="C716" s="15"/>
      <c r="D716" s="14"/>
      <c r="E716" s="14"/>
      <c r="F716" s="14"/>
      <c r="G716" s="14"/>
      <c r="H716" s="15"/>
      <c r="I716" s="15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  <c r="BP716" s="14"/>
      <c r="BQ716" s="14"/>
      <c r="BR716" s="14"/>
      <c r="BS716" s="14"/>
      <c r="BT716" s="14"/>
      <c r="BU716" s="14"/>
      <c r="BV716" s="14"/>
      <c r="BW716" s="14"/>
      <c r="BX716" s="14"/>
      <c r="BY716" s="14"/>
      <c r="BZ716" s="14"/>
      <c r="CA716" s="14"/>
      <c r="CB716" s="14"/>
      <c r="CC716" s="14"/>
      <c r="CD716" s="14"/>
      <c r="CE716" s="14"/>
      <c r="CF716" s="14"/>
      <c r="CG716" s="14"/>
      <c r="CH716" s="14"/>
      <c r="CI716" s="14"/>
      <c r="CJ716" s="14"/>
      <c r="CK716" s="14"/>
      <c r="CL716" s="14"/>
      <c r="CT716" s="14"/>
      <c r="CW716" s="3"/>
      <c r="DG716" s="4"/>
    </row>
    <row r="717" customFormat="false" ht="11.25" hidden="false" customHeight="true" outlineLevel="0" collapsed="false">
      <c r="A717" s="14"/>
      <c r="B717" s="15"/>
      <c r="C717" s="15"/>
      <c r="D717" s="14"/>
      <c r="E717" s="14"/>
      <c r="F717" s="14"/>
      <c r="G717" s="14"/>
      <c r="H717" s="15"/>
      <c r="I717" s="15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  <c r="BP717" s="14"/>
      <c r="BQ717" s="14"/>
      <c r="BR717" s="14"/>
      <c r="BS717" s="14"/>
      <c r="BT717" s="14"/>
      <c r="BU717" s="14"/>
      <c r="BV717" s="14"/>
      <c r="BW717" s="14"/>
      <c r="BX717" s="14"/>
      <c r="BY717" s="14"/>
      <c r="BZ717" s="14"/>
      <c r="CA717" s="14"/>
      <c r="CB717" s="14"/>
      <c r="CC717" s="14"/>
      <c r="CD717" s="14"/>
      <c r="CE717" s="14"/>
      <c r="CF717" s="14"/>
      <c r="CG717" s="14"/>
      <c r="CH717" s="14"/>
      <c r="CI717" s="14"/>
      <c r="CJ717" s="14"/>
      <c r="CK717" s="14"/>
      <c r="CL717" s="14"/>
      <c r="CT717" s="14"/>
      <c r="CW717" s="3"/>
      <c r="DG717" s="4"/>
    </row>
    <row r="718" customFormat="false" ht="11.25" hidden="false" customHeight="true" outlineLevel="0" collapsed="false">
      <c r="A718" s="14"/>
      <c r="B718" s="15"/>
      <c r="C718" s="15"/>
      <c r="D718" s="14"/>
      <c r="E718" s="14"/>
      <c r="F718" s="14"/>
      <c r="G718" s="14"/>
      <c r="H718" s="15"/>
      <c r="I718" s="15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  <c r="BP718" s="14"/>
      <c r="BQ718" s="14"/>
      <c r="BR718" s="14"/>
      <c r="BS718" s="14"/>
      <c r="BT718" s="14"/>
      <c r="BU718" s="14"/>
      <c r="BV718" s="14"/>
      <c r="BW718" s="14"/>
      <c r="BX718" s="14"/>
      <c r="BY718" s="14"/>
      <c r="BZ718" s="14"/>
      <c r="CA718" s="14"/>
      <c r="CB718" s="14"/>
      <c r="CC718" s="14"/>
      <c r="CD718" s="14"/>
      <c r="CE718" s="14"/>
      <c r="CF718" s="14"/>
      <c r="CG718" s="14"/>
      <c r="CH718" s="14"/>
      <c r="CI718" s="14"/>
      <c r="CJ718" s="14"/>
      <c r="CK718" s="14"/>
      <c r="CL718" s="14"/>
      <c r="CT718" s="14"/>
      <c r="CW718" s="3"/>
      <c r="DG718" s="4"/>
    </row>
    <row r="719" customFormat="false" ht="11.25" hidden="false" customHeight="true" outlineLevel="0" collapsed="false">
      <c r="A719" s="14"/>
      <c r="B719" s="15"/>
      <c r="C719" s="15"/>
      <c r="D719" s="14"/>
      <c r="E719" s="14"/>
      <c r="F719" s="14"/>
      <c r="G719" s="14"/>
      <c r="H719" s="15"/>
      <c r="I719" s="15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  <c r="BP719" s="14"/>
      <c r="BQ719" s="14"/>
      <c r="BR719" s="14"/>
      <c r="BS719" s="14"/>
      <c r="BT719" s="14"/>
      <c r="BU719" s="14"/>
      <c r="BV719" s="14"/>
      <c r="BW719" s="14"/>
      <c r="BX719" s="14"/>
      <c r="BY719" s="14"/>
      <c r="BZ719" s="14"/>
      <c r="CA719" s="14"/>
      <c r="CB719" s="14"/>
      <c r="CC719" s="14"/>
      <c r="CD719" s="14"/>
      <c r="CE719" s="14"/>
      <c r="CF719" s="14"/>
      <c r="CG719" s="14"/>
      <c r="CH719" s="14"/>
      <c r="CI719" s="14"/>
      <c r="CJ719" s="14"/>
      <c r="CK719" s="14"/>
      <c r="CL719" s="14"/>
      <c r="CT719" s="14"/>
      <c r="CW719" s="3"/>
      <c r="DG719" s="4"/>
    </row>
    <row r="720" customFormat="false" ht="11.25" hidden="false" customHeight="true" outlineLevel="0" collapsed="false">
      <c r="A720" s="14"/>
      <c r="B720" s="15"/>
      <c r="C720" s="15"/>
      <c r="D720" s="14"/>
      <c r="E720" s="14"/>
      <c r="F720" s="14"/>
      <c r="G720" s="14"/>
      <c r="H720" s="15"/>
      <c r="I720" s="15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  <c r="BP720" s="14"/>
      <c r="BQ720" s="14"/>
      <c r="BR720" s="14"/>
      <c r="BS720" s="14"/>
      <c r="BT720" s="14"/>
      <c r="BU720" s="14"/>
      <c r="BV720" s="14"/>
      <c r="BW720" s="14"/>
      <c r="BX720" s="14"/>
      <c r="BY720" s="14"/>
      <c r="BZ720" s="14"/>
      <c r="CA720" s="14"/>
      <c r="CB720" s="14"/>
      <c r="CC720" s="14"/>
      <c r="CD720" s="14"/>
      <c r="CE720" s="14"/>
      <c r="CF720" s="14"/>
      <c r="CG720" s="14"/>
      <c r="CH720" s="14"/>
      <c r="CI720" s="14"/>
      <c r="CJ720" s="14"/>
      <c r="CK720" s="14"/>
      <c r="CL720" s="14"/>
      <c r="CT720" s="14"/>
      <c r="CW720" s="3"/>
      <c r="DG720" s="4"/>
    </row>
    <row r="721" customFormat="false" ht="11.25" hidden="false" customHeight="true" outlineLevel="0" collapsed="false">
      <c r="A721" s="14"/>
      <c r="B721" s="15"/>
      <c r="C721" s="15"/>
      <c r="D721" s="14"/>
      <c r="E721" s="14"/>
      <c r="F721" s="14"/>
      <c r="G721" s="14"/>
      <c r="H721" s="15"/>
      <c r="I721" s="15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  <c r="BP721" s="14"/>
      <c r="BQ721" s="14"/>
      <c r="BR721" s="14"/>
      <c r="BS721" s="14"/>
      <c r="BT721" s="14"/>
      <c r="BU721" s="14"/>
      <c r="BV721" s="14"/>
      <c r="BW721" s="14"/>
      <c r="BX721" s="14"/>
      <c r="BY721" s="14"/>
      <c r="BZ721" s="14"/>
      <c r="CA721" s="14"/>
      <c r="CB721" s="14"/>
      <c r="CC721" s="14"/>
      <c r="CD721" s="14"/>
      <c r="CE721" s="14"/>
      <c r="CF721" s="14"/>
      <c r="CG721" s="14"/>
      <c r="CH721" s="14"/>
      <c r="CI721" s="14"/>
      <c r="CJ721" s="14"/>
      <c r="CK721" s="14"/>
      <c r="CL721" s="14"/>
      <c r="CT721" s="14"/>
      <c r="CW721" s="3"/>
      <c r="DG721" s="4"/>
    </row>
    <row r="722" customFormat="false" ht="11.25" hidden="false" customHeight="true" outlineLevel="0" collapsed="false">
      <c r="A722" s="14"/>
      <c r="B722" s="15"/>
      <c r="C722" s="15"/>
      <c r="D722" s="14"/>
      <c r="E722" s="14"/>
      <c r="F722" s="14"/>
      <c r="G722" s="14"/>
      <c r="H722" s="15"/>
      <c r="I722" s="15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  <c r="BP722" s="14"/>
      <c r="BQ722" s="14"/>
      <c r="BR722" s="14"/>
      <c r="BS722" s="14"/>
      <c r="BT722" s="14"/>
      <c r="BU722" s="14"/>
      <c r="BV722" s="14"/>
      <c r="BW722" s="14"/>
      <c r="BX722" s="14"/>
      <c r="BY722" s="14"/>
      <c r="BZ722" s="14"/>
      <c r="CA722" s="14"/>
      <c r="CB722" s="14"/>
      <c r="CC722" s="14"/>
      <c r="CD722" s="14"/>
      <c r="CE722" s="14"/>
      <c r="CF722" s="14"/>
      <c r="CG722" s="14"/>
      <c r="CH722" s="14"/>
      <c r="CI722" s="14"/>
      <c r="CJ722" s="14"/>
      <c r="CK722" s="14"/>
      <c r="CL722" s="14"/>
      <c r="CT722" s="14"/>
      <c r="CW722" s="3"/>
      <c r="DG722" s="4"/>
    </row>
    <row r="723" customFormat="false" ht="11.25" hidden="false" customHeight="true" outlineLevel="0" collapsed="false">
      <c r="A723" s="14"/>
      <c r="B723" s="15"/>
      <c r="C723" s="15"/>
      <c r="D723" s="14"/>
      <c r="E723" s="14"/>
      <c r="F723" s="14"/>
      <c r="G723" s="14"/>
      <c r="H723" s="15"/>
      <c r="I723" s="15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  <c r="BP723" s="14"/>
      <c r="BQ723" s="14"/>
      <c r="BR723" s="14"/>
      <c r="BS723" s="14"/>
      <c r="BT723" s="14"/>
      <c r="BU723" s="14"/>
      <c r="BV723" s="14"/>
      <c r="BW723" s="14"/>
      <c r="BX723" s="14"/>
      <c r="BY723" s="14"/>
      <c r="BZ723" s="14"/>
      <c r="CA723" s="14"/>
      <c r="CB723" s="14"/>
      <c r="CC723" s="14"/>
      <c r="CD723" s="14"/>
      <c r="CE723" s="14"/>
      <c r="CF723" s="14"/>
      <c r="CG723" s="14"/>
      <c r="CH723" s="14"/>
      <c r="CI723" s="14"/>
      <c r="CJ723" s="14"/>
      <c r="CK723" s="14"/>
      <c r="CL723" s="14"/>
      <c r="CT723" s="14"/>
      <c r="CW723" s="3"/>
      <c r="DG723" s="4"/>
    </row>
    <row r="724" customFormat="false" ht="11.25" hidden="false" customHeight="true" outlineLevel="0" collapsed="false">
      <c r="A724" s="14"/>
      <c r="B724" s="15"/>
      <c r="C724" s="15"/>
      <c r="D724" s="14"/>
      <c r="E724" s="14"/>
      <c r="F724" s="14"/>
      <c r="G724" s="14"/>
      <c r="H724" s="15"/>
      <c r="I724" s="15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  <c r="BP724" s="14"/>
      <c r="BQ724" s="14"/>
      <c r="BR724" s="14"/>
      <c r="BS724" s="14"/>
      <c r="BT724" s="14"/>
      <c r="BU724" s="14"/>
      <c r="BV724" s="14"/>
      <c r="BW724" s="14"/>
      <c r="BX724" s="14"/>
      <c r="BY724" s="14"/>
      <c r="BZ724" s="14"/>
      <c r="CA724" s="14"/>
      <c r="CB724" s="14"/>
      <c r="CC724" s="14"/>
      <c r="CD724" s="14"/>
      <c r="CE724" s="14"/>
      <c r="CF724" s="14"/>
      <c r="CG724" s="14"/>
      <c r="CH724" s="14"/>
      <c r="CI724" s="14"/>
      <c r="CJ724" s="14"/>
      <c r="CK724" s="14"/>
      <c r="CL724" s="14"/>
      <c r="CT724" s="14"/>
      <c r="CW724" s="3"/>
      <c r="DG724" s="4"/>
    </row>
    <row r="725" customFormat="false" ht="11.25" hidden="false" customHeight="true" outlineLevel="0" collapsed="false">
      <c r="A725" s="14"/>
      <c r="B725" s="15"/>
      <c r="C725" s="15"/>
      <c r="D725" s="14"/>
      <c r="E725" s="14"/>
      <c r="F725" s="14"/>
      <c r="G725" s="14"/>
      <c r="H725" s="15"/>
      <c r="I725" s="15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  <c r="BP725" s="14"/>
      <c r="BQ725" s="14"/>
      <c r="BR725" s="14"/>
      <c r="BS725" s="14"/>
      <c r="BT725" s="14"/>
      <c r="BU725" s="14"/>
      <c r="BV725" s="14"/>
      <c r="BW725" s="14"/>
      <c r="BX725" s="14"/>
      <c r="BY725" s="14"/>
      <c r="BZ725" s="14"/>
      <c r="CA725" s="14"/>
      <c r="CB725" s="14"/>
      <c r="CC725" s="14"/>
      <c r="CD725" s="14"/>
      <c r="CE725" s="14"/>
      <c r="CF725" s="14"/>
      <c r="CG725" s="14"/>
      <c r="CH725" s="14"/>
      <c r="CI725" s="14"/>
      <c r="CJ725" s="14"/>
      <c r="CK725" s="14"/>
      <c r="CL725" s="14"/>
      <c r="CT725" s="14"/>
      <c r="CW725" s="3"/>
      <c r="DG725" s="4"/>
    </row>
    <row r="726" customFormat="false" ht="11.25" hidden="false" customHeight="true" outlineLevel="0" collapsed="false">
      <c r="A726" s="14"/>
      <c r="B726" s="15"/>
      <c r="C726" s="15"/>
      <c r="D726" s="14"/>
      <c r="E726" s="14"/>
      <c r="F726" s="14"/>
      <c r="G726" s="14"/>
      <c r="H726" s="15"/>
      <c r="I726" s="15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  <c r="BP726" s="14"/>
      <c r="BQ726" s="14"/>
      <c r="BR726" s="14"/>
      <c r="BS726" s="14"/>
      <c r="BT726" s="14"/>
      <c r="BU726" s="14"/>
      <c r="BV726" s="14"/>
      <c r="BW726" s="14"/>
      <c r="BX726" s="14"/>
      <c r="BY726" s="14"/>
      <c r="BZ726" s="14"/>
      <c r="CA726" s="14"/>
      <c r="CB726" s="14"/>
      <c r="CC726" s="14"/>
      <c r="CD726" s="14"/>
      <c r="CE726" s="14"/>
      <c r="CF726" s="14"/>
      <c r="CG726" s="14"/>
      <c r="CH726" s="14"/>
      <c r="CI726" s="14"/>
      <c r="CJ726" s="14"/>
      <c r="CK726" s="14"/>
      <c r="CL726" s="14"/>
      <c r="CT726" s="14"/>
      <c r="CW726" s="3"/>
      <c r="DG726" s="4"/>
    </row>
    <row r="727" customFormat="false" ht="11.25" hidden="false" customHeight="true" outlineLevel="0" collapsed="false">
      <c r="A727" s="14"/>
      <c r="B727" s="15"/>
      <c r="C727" s="15"/>
      <c r="D727" s="14"/>
      <c r="E727" s="14"/>
      <c r="F727" s="14"/>
      <c r="G727" s="14"/>
      <c r="H727" s="15"/>
      <c r="I727" s="15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  <c r="BP727" s="14"/>
      <c r="BQ727" s="14"/>
      <c r="BR727" s="14"/>
      <c r="BS727" s="14"/>
      <c r="BT727" s="14"/>
      <c r="BU727" s="14"/>
      <c r="BV727" s="14"/>
      <c r="BW727" s="14"/>
      <c r="BX727" s="14"/>
      <c r="BY727" s="14"/>
      <c r="BZ727" s="14"/>
      <c r="CA727" s="14"/>
      <c r="CB727" s="14"/>
      <c r="CC727" s="14"/>
      <c r="CD727" s="14"/>
      <c r="CE727" s="14"/>
      <c r="CF727" s="14"/>
      <c r="CG727" s="14"/>
      <c r="CH727" s="14"/>
      <c r="CI727" s="14"/>
      <c r="CJ727" s="14"/>
      <c r="CK727" s="14"/>
      <c r="CL727" s="14"/>
      <c r="CT727" s="14"/>
      <c r="CW727" s="3"/>
      <c r="DG727" s="4"/>
    </row>
    <row r="728" customFormat="false" ht="11.25" hidden="false" customHeight="true" outlineLevel="0" collapsed="false">
      <c r="A728" s="14"/>
      <c r="B728" s="15"/>
      <c r="C728" s="15"/>
      <c r="D728" s="14"/>
      <c r="E728" s="14"/>
      <c r="F728" s="14"/>
      <c r="G728" s="14"/>
      <c r="H728" s="15"/>
      <c r="I728" s="15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  <c r="BP728" s="14"/>
      <c r="BQ728" s="14"/>
      <c r="BR728" s="14"/>
      <c r="BS728" s="14"/>
      <c r="BT728" s="14"/>
      <c r="BU728" s="14"/>
      <c r="BV728" s="14"/>
      <c r="BW728" s="14"/>
      <c r="BX728" s="14"/>
      <c r="BY728" s="14"/>
      <c r="BZ728" s="14"/>
      <c r="CA728" s="14"/>
      <c r="CB728" s="14"/>
      <c r="CC728" s="14"/>
      <c r="CD728" s="14"/>
      <c r="CE728" s="14"/>
      <c r="CF728" s="14"/>
      <c r="CG728" s="14"/>
      <c r="CH728" s="14"/>
      <c r="CI728" s="14"/>
      <c r="CJ728" s="14"/>
      <c r="CK728" s="14"/>
      <c r="CL728" s="14"/>
      <c r="CT728" s="14"/>
      <c r="CW728" s="3"/>
      <c r="DG728" s="4"/>
    </row>
    <row r="729" customFormat="false" ht="11.25" hidden="false" customHeight="true" outlineLevel="0" collapsed="false">
      <c r="A729" s="14"/>
      <c r="B729" s="15"/>
      <c r="C729" s="15"/>
      <c r="D729" s="14"/>
      <c r="E729" s="14"/>
      <c r="F729" s="14"/>
      <c r="G729" s="14"/>
      <c r="H729" s="15"/>
      <c r="I729" s="15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  <c r="BP729" s="14"/>
      <c r="BQ729" s="14"/>
      <c r="BR729" s="14"/>
      <c r="BS729" s="14"/>
      <c r="BT729" s="14"/>
      <c r="BU729" s="14"/>
      <c r="BV729" s="14"/>
      <c r="BW729" s="14"/>
      <c r="BX729" s="14"/>
      <c r="BY729" s="14"/>
      <c r="BZ729" s="14"/>
      <c r="CA729" s="14"/>
      <c r="CB729" s="14"/>
      <c r="CC729" s="14"/>
      <c r="CD729" s="14"/>
      <c r="CE729" s="14"/>
      <c r="CF729" s="14"/>
      <c r="CG729" s="14"/>
      <c r="CH729" s="14"/>
      <c r="CI729" s="14"/>
      <c r="CJ729" s="14"/>
      <c r="CK729" s="14"/>
      <c r="CL729" s="14"/>
      <c r="CT729" s="14"/>
      <c r="CW729" s="3"/>
      <c r="DG729" s="4"/>
    </row>
    <row r="730" customFormat="false" ht="11.25" hidden="false" customHeight="true" outlineLevel="0" collapsed="false">
      <c r="A730" s="14"/>
      <c r="B730" s="15"/>
      <c r="C730" s="15"/>
      <c r="D730" s="14"/>
      <c r="E730" s="14"/>
      <c r="F730" s="14"/>
      <c r="G730" s="14"/>
      <c r="H730" s="15"/>
      <c r="I730" s="15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  <c r="BP730" s="14"/>
      <c r="BQ730" s="14"/>
      <c r="BR730" s="14"/>
      <c r="BS730" s="14"/>
      <c r="BT730" s="14"/>
      <c r="BU730" s="14"/>
      <c r="BV730" s="14"/>
      <c r="BW730" s="14"/>
      <c r="BX730" s="14"/>
      <c r="BY730" s="14"/>
      <c r="BZ730" s="14"/>
      <c r="CA730" s="14"/>
      <c r="CB730" s="14"/>
      <c r="CC730" s="14"/>
      <c r="CD730" s="14"/>
      <c r="CE730" s="14"/>
      <c r="CF730" s="14"/>
      <c r="CG730" s="14"/>
      <c r="CH730" s="14"/>
      <c r="CI730" s="14"/>
      <c r="CJ730" s="14"/>
      <c r="CK730" s="14"/>
      <c r="CL730" s="14"/>
      <c r="CT730" s="14"/>
      <c r="CW730" s="3"/>
      <c r="DG730" s="4"/>
    </row>
    <row r="731" customFormat="false" ht="11.25" hidden="false" customHeight="true" outlineLevel="0" collapsed="false">
      <c r="A731" s="14"/>
      <c r="B731" s="15"/>
      <c r="C731" s="15"/>
      <c r="D731" s="14"/>
      <c r="E731" s="14"/>
      <c r="F731" s="14"/>
      <c r="G731" s="14"/>
      <c r="H731" s="15"/>
      <c r="I731" s="15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  <c r="BP731" s="14"/>
      <c r="BQ731" s="14"/>
      <c r="BR731" s="14"/>
      <c r="BS731" s="14"/>
      <c r="BT731" s="14"/>
      <c r="BU731" s="14"/>
      <c r="BV731" s="14"/>
      <c r="BW731" s="14"/>
      <c r="BX731" s="14"/>
      <c r="BY731" s="14"/>
      <c r="BZ731" s="14"/>
      <c r="CA731" s="14"/>
      <c r="CB731" s="14"/>
      <c r="CC731" s="14"/>
      <c r="CD731" s="14"/>
      <c r="CE731" s="14"/>
      <c r="CF731" s="14"/>
      <c r="CG731" s="14"/>
      <c r="CH731" s="14"/>
      <c r="CI731" s="14"/>
      <c r="CJ731" s="14"/>
      <c r="CK731" s="14"/>
      <c r="CL731" s="14"/>
      <c r="CT731" s="14"/>
      <c r="CW731" s="3"/>
      <c r="DG731" s="4"/>
    </row>
    <row r="732" customFormat="false" ht="11.25" hidden="false" customHeight="true" outlineLevel="0" collapsed="false">
      <c r="A732" s="14"/>
      <c r="B732" s="15"/>
      <c r="C732" s="15"/>
      <c r="D732" s="14"/>
      <c r="E732" s="14"/>
      <c r="F732" s="14"/>
      <c r="G732" s="14"/>
      <c r="H732" s="15"/>
      <c r="I732" s="15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  <c r="BP732" s="14"/>
      <c r="BQ732" s="14"/>
      <c r="BR732" s="14"/>
      <c r="BS732" s="14"/>
      <c r="BT732" s="14"/>
      <c r="BU732" s="14"/>
      <c r="BV732" s="14"/>
      <c r="BW732" s="14"/>
      <c r="BX732" s="14"/>
      <c r="BY732" s="14"/>
      <c r="BZ732" s="14"/>
      <c r="CA732" s="14"/>
      <c r="CB732" s="14"/>
      <c r="CC732" s="14"/>
      <c r="CD732" s="14"/>
      <c r="CE732" s="14"/>
      <c r="CF732" s="14"/>
      <c r="CG732" s="14"/>
      <c r="CH732" s="14"/>
      <c r="CI732" s="14"/>
      <c r="CJ732" s="14"/>
      <c r="CK732" s="14"/>
      <c r="CL732" s="14"/>
      <c r="CT732" s="14"/>
      <c r="CW732" s="3"/>
      <c r="DG732" s="4"/>
    </row>
    <row r="733" customFormat="false" ht="11.25" hidden="false" customHeight="true" outlineLevel="0" collapsed="false">
      <c r="A733" s="14"/>
      <c r="B733" s="15"/>
      <c r="C733" s="15"/>
      <c r="D733" s="14"/>
      <c r="E733" s="14"/>
      <c r="F733" s="14"/>
      <c r="G733" s="14"/>
      <c r="H733" s="15"/>
      <c r="I733" s="15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  <c r="BP733" s="14"/>
      <c r="BQ733" s="14"/>
      <c r="BR733" s="14"/>
      <c r="BS733" s="14"/>
      <c r="BT733" s="14"/>
      <c r="BU733" s="14"/>
      <c r="BV733" s="14"/>
      <c r="BW733" s="14"/>
      <c r="BX733" s="14"/>
      <c r="BY733" s="14"/>
      <c r="BZ733" s="14"/>
      <c r="CA733" s="14"/>
      <c r="CB733" s="14"/>
      <c r="CC733" s="14"/>
      <c r="CD733" s="14"/>
      <c r="CE733" s="14"/>
      <c r="CF733" s="14"/>
      <c r="CG733" s="14"/>
      <c r="CH733" s="14"/>
      <c r="CI733" s="14"/>
      <c r="CJ733" s="14"/>
      <c r="CK733" s="14"/>
      <c r="CL733" s="14"/>
      <c r="CT733" s="14"/>
      <c r="CW733" s="3"/>
      <c r="DG733" s="4"/>
    </row>
    <row r="734" customFormat="false" ht="11.25" hidden="false" customHeight="true" outlineLevel="0" collapsed="false">
      <c r="A734" s="14"/>
      <c r="B734" s="15"/>
      <c r="C734" s="15"/>
      <c r="D734" s="14"/>
      <c r="E734" s="14"/>
      <c r="F734" s="14"/>
      <c r="G734" s="14"/>
      <c r="H734" s="15"/>
      <c r="I734" s="15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  <c r="BP734" s="14"/>
      <c r="BQ734" s="14"/>
      <c r="BR734" s="14"/>
      <c r="BS734" s="14"/>
      <c r="BT734" s="14"/>
      <c r="BU734" s="14"/>
      <c r="BV734" s="14"/>
      <c r="BW734" s="14"/>
      <c r="BX734" s="14"/>
      <c r="BY734" s="14"/>
      <c r="BZ734" s="14"/>
      <c r="CA734" s="14"/>
      <c r="CB734" s="14"/>
      <c r="CC734" s="14"/>
      <c r="CD734" s="14"/>
      <c r="CE734" s="14"/>
      <c r="CF734" s="14"/>
      <c r="CG734" s="14"/>
      <c r="CH734" s="14"/>
      <c r="CI734" s="14"/>
      <c r="CJ734" s="14"/>
      <c r="CK734" s="14"/>
      <c r="CL734" s="14"/>
      <c r="CT734" s="14"/>
      <c r="CW734" s="3"/>
      <c r="DG734" s="4"/>
    </row>
    <row r="735" customFormat="false" ht="11.25" hidden="false" customHeight="true" outlineLevel="0" collapsed="false">
      <c r="A735" s="14"/>
      <c r="B735" s="15"/>
      <c r="C735" s="15"/>
      <c r="D735" s="14"/>
      <c r="E735" s="14"/>
      <c r="F735" s="14"/>
      <c r="G735" s="14"/>
      <c r="H735" s="15"/>
      <c r="I735" s="15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  <c r="BP735" s="14"/>
      <c r="BQ735" s="14"/>
      <c r="BR735" s="14"/>
      <c r="BS735" s="14"/>
      <c r="BT735" s="14"/>
      <c r="BU735" s="14"/>
      <c r="BV735" s="14"/>
      <c r="BW735" s="14"/>
      <c r="BX735" s="14"/>
      <c r="BY735" s="14"/>
      <c r="BZ735" s="14"/>
      <c r="CA735" s="14"/>
      <c r="CB735" s="14"/>
      <c r="CC735" s="14"/>
      <c r="CD735" s="14"/>
      <c r="CE735" s="14"/>
      <c r="CF735" s="14"/>
      <c r="CG735" s="14"/>
      <c r="CH735" s="14"/>
      <c r="CI735" s="14"/>
      <c r="CJ735" s="14"/>
      <c r="CK735" s="14"/>
      <c r="CL735" s="14"/>
      <c r="CT735" s="14"/>
      <c r="CW735" s="3"/>
      <c r="DG735" s="4"/>
    </row>
    <row r="736" customFormat="false" ht="11.25" hidden="false" customHeight="true" outlineLevel="0" collapsed="false">
      <c r="A736" s="14"/>
      <c r="B736" s="15"/>
      <c r="C736" s="15"/>
      <c r="D736" s="14"/>
      <c r="E736" s="14"/>
      <c r="F736" s="14"/>
      <c r="G736" s="14"/>
      <c r="H736" s="15"/>
      <c r="I736" s="15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  <c r="BP736" s="14"/>
      <c r="BQ736" s="14"/>
      <c r="BR736" s="14"/>
      <c r="BS736" s="14"/>
      <c r="BT736" s="14"/>
      <c r="BU736" s="14"/>
      <c r="BV736" s="14"/>
      <c r="BW736" s="14"/>
      <c r="BX736" s="14"/>
      <c r="BY736" s="14"/>
      <c r="BZ736" s="14"/>
      <c r="CA736" s="14"/>
      <c r="CB736" s="14"/>
      <c r="CC736" s="14"/>
      <c r="CD736" s="14"/>
      <c r="CE736" s="14"/>
      <c r="CF736" s="14"/>
      <c r="CG736" s="14"/>
      <c r="CH736" s="14"/>
      <c r="CI736" s="14"/>
      <c r="CJ736" s="14"/>
      <c r="CK736" s="14"/>
      <c r="CL736" s="14"/>
      <c r="CT736" s="14"/>
      <c r="CW736" s="3"/>
      <c r="DG736" s="4"/>
    </row>
    <row r="737" customFormat="false" ht="11.25" hidden="false" customHeight="true" outlineLevel="0" collapsed="false">
      <c r="A737" s="14"/>
      <c r="B737" s="15"/>
      <c r="C737" s="15"/>
      <c r="D737" s="14"/>
      <c r="E737" s="14"/>
      <c r="F737" s="14"/>
      <c r="G737" s="14"/>
      <c r="H737" s="15"/>
      <c r="I737" s="15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  <c r="BP737" s="14"/>
      <c r="BQ737" s="14"/>
      <c r="BR737" s="14"/>
      <c r="BS737" s="14"/>
      <c r="BT737" s="14"/>
      <c r="BU737" s="14"/>
      <c r="BV737" s="14"/>
      <c r="BW737" s="14"/>
      <c r="BX737" s="14"/>
      <c r="BY737" s="14"/>
      <c r="BZ737" s="14"/>
      <c r="CA737" s="14"/>
      <c r="CB737" s="14"/>
      <c r="CC737" s="14"/>
      <c r="CD737" s="14"/>
      <c r="CE737" s="14"/>
      <c r="CF737" s="14"/>
      <c r="CG737" s="14"/>
      <c r="CH737" s="14"/>
      <c r="CI737" s="14"/>
      <c r="CJ737" s="14"/>
      <c r="CK737" s="14"/>
      <c r="CL737" s="14"/>
      <c r="CT737" s="14"/>
      <c r="CW737" s="3"/>
      <c r="DG737" s="4"/>
    </row>
    <row r="738" customFormat="false" ht="11.25" hidden="false" customHeight="true" outlineLevel="0" collapsed="false">
      <c r="A738" s="14"/>
      <c r="B738" s="15"/>
      <c r="C738" s="15"/>
      <c r="D738" s="14"/>
      <c r="E738" s="14"/>
      <c r="F738" s="14"/>
      <c r="G738" s="14"/>
      <c r="H738" s="15"/>
      <c r="I738" s="15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  <c r="BP738" s="14"/>
      <c r="BQ738" s="14"/>
      <c r="BR738" s="14"/>
      <c r="BS738" s="14"/>
      <c r="BT738" s="14"/>
      <c r="BU738" s="14"/>
      <c r="BV738" s="14"/>
      <c r="BW738" s="14"/>
      <c r="BX738" s="14"/>
      <c r="BY738" s="14"/>
      <c r="BZ738" s="14"/>
      <c r="CA738" s="14"/>
      <c r="CB738" s="14"/>
      <c r="CC738" s="14"/>
      <c r="CD738" s="14"/>
      <c r="CE738" s="14"/>
      <c r="CF738" s="14"/>
      <c r="CG738" s="14"/>
      <c r="CH738" s="14"/>
      <c r="CI738" s="14"/>
      <c r="CJ738" s="14"/>
      <c r="CK738" s="14"/>
      <c r="CL738" s="14"/>
      <c r="CT738" s="14"/>
      <c r="CW738" s="3"/>
      <c r="DG738" s="4"/>
    </row>
    <row r="739" customFormat="false" ht="11.25" hidden="false" customHeight="true" outlineLevel="0" collapsed="false">
      <c r="A739" s="14"/>
      <c r="B739" s="15"/>
      <c r="C739" s="15"/>
      <c r="D739" s="14"/>
      <c r="E739" s="14"/>
      <c r="F739" s="14"/>
      <c r="G739" s="14"/>
      <c r="H739" s="15"/>
      <c r="I739" s="15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  <c r="BP739" s="14"/>
      <c r="BQ739" s="14"/>
      <c r="BR739" s="14"/>
      <c r="BS739" s="14"/>
      <c r="BT739" s="14"/>
      <c r="BU739" s="14"/>
      <c r="BV739" s="14"/>
      <c r="BW739" s="14"/>
      <c r="BX739" s="14"/>
      <c r="BY739" s="14"/>
      <c r="BZ739" s="14"/>
      <c r="CA739" s="14"/>
      <c r="CB739" s="14"/>
      <c r="CC739" s="14"/>
      <c r="CD739" s="14"/>
      <c r="CE739" s="14"/>
      <c r="CF739" s="14"/>
      <c r="CG739" s="14"/>
      <c r="CH739" s="14"/>
      <c r="CI739" s="14"/>
      <c r="CJ739" s="14"/>
      <c r="CK739" s="14"/>
      <c r="CL739" s="14"/>
      <c r="CT739" s="14"/>
      <c r="CW739" s="3"/>
      <c r="DG739" s="4"/>
    </row>
    <row r="740" customFormat="false" ht="11.25" hidden="false" customHeight="true" outlineLevel="0" collapsed="false">
      <c r="A740" s="14"/>
      <c r="B740" s="15"/>
      <c r="C740" s="15"/>
      <c r="D740" s="14"/>
      <c r="E740" s="14"/>
      <c r="F740" s="14"/>
      <c r="G740" s="14"/>
      <c r="H740" s="15"/>
      <c r="I740" s="15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  <c r="BP740" s="14"/>
      <c r="BQ740" s="14"/>
      <c r="BR740" s="14"/>
      <c r="BS740" s="14"/>
      <c r="BT740" s="14"/>
      <c r="BU740" s="14"/>
      <c r="BV740" s="14"/>
      <c r="BW740" s="14"/>
      <c r="BX740" s="14"/>
      <c r="BY740" s="14"/>
      <c r="BZ740" s="14"/>
      <c r="CA740" s="14"/>
      <c r="CB740" s="14"/>
      <c r="CC740" s="14"/>
      <c r="CD740" s="14"/>
      <c r="CE740" s="14"/>
      <c r="CF740" s="14"/>
      <c r="CG740" s="14"/>
      <c r="CH740" s="14"/>
      <c r="CI740" s="14"/>
      <c r="CJ740" s="14"/>
      <c r="CK740" s="14"/>
      <c r="CL740" s="14"/>
      <c r="CT740" s="14"/>
      <c r="CW740" s="3"/>
      <c r="DG740" s="4"/>
    </row>
    <row r="741" customFormat="false" ht="11.25" hidden="false" customHeight="true" outlineLevel="0" collapsed="false">
      <c r="A741" s="14"/>
      <c r="B741" s="15"/>
      <c r="C741" s="15"/>
      <c r="D741" s="14"/>
      <c r="E741" s="14"/>
      <c r="F741" s="14"/>
      <c r="G741" s="14"/>
      <c r="H741" s="15"/>
      <c r="I741" s="15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  <c r="BP741" s="14"/>
      <c r="BQ741" s="14"/>
      <c r="BR741" s="14"/>
      <c r="BS741" s="14"/>
      <c r="BT741" s="14"/>
      <c r="BU741" s="14"/>
      <c r="BV741" s="14"/>
      <c r="BW741" s="14"/>
      <c r="BX741" s="14"/>
      <c r="BY741" s="14"/>
      <c r="BZ741" s="14"/>
      <c r="CA741" s="14"/>
      <c r="CB741" s="14"/>
      <c r="CC741" s="14"/>
      <c r="CD741" s="14"/>
      <c r="CE741" s="14"/>
      <c r="CF741" s="14"/>
      <c r="CG741" s="14"/>
      <c r="CH741" s="14"/>
      <c r="CI741" s="14"/>
      <c r="CJ741" s="14"/>
      <c r="CK741" s="14"/>
      <c r="CL741" s="14"/>
      <c r="CT741" s="14"/>
      <c r="CW741" s="3"/>
      <c r="DG741" s="4"/>
    </row>
    <row r="742" customFormat="false" ht="11.25" hidden="false" customHeight="true" outlineLevel="0" collapsed="false">
      <c r="A742" s="14"/>
      <c r="B742" s="15"/>
      <c r="C742" s="15"/>
      <c r="D742" s="14"/>
      <c r="E742" s="14"/>
      <c r="F742" s="14"/>
      <c r="G742" s="14"/>
      <c r="H742" s="15"/>
      <c r="I742" s="15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  <c r="BP742" s="14"/>
      <c r="BQ742" s="14"/>
      <c r="BR742" s="14"/>
      <c r="BS742" s="14"/>
      <c r="BT742" s="14"/>
      <c r="BU742" s="14"/>
      <c r="BV742" s="14"/>
      <c r="BW742" s="14"/>
      <c r="BX742" s="14"/>
      <c r="BY742" s="14"/>
      <c r="BZ742" s="14"/>
      <c r="CA742" s="14"/>
      <c r="CB742" s="14"/>
      <c r="CC742" s="14"/>
      <c r="CD742" s="14"/>
      <c r="CE742" s="14"/>
      <c r="CF742" s="14"/>
      <c r="CG742" s="14"/>
      <c r="CH742" s="14"/>
      <c r="CI742" s="14"/>
      <c r="CJ742" s="14"/>
      <c r="CK742" s="14"/>
      <c r="CL742" s="14"/>
      <c r="CT742" s="14"/>
      <c r="CW742" s="3"/>
      <c r="DG742" s="4"/>
    </row>
    <row r="743" customFormat="false" ht="11.25" hidden="false" customHeight="true" outlineLevel="0" collapsed="false">
      <c r="A743" s="14"/>
      <c r="B743" s="15"/>
      <c r="C743" s="15"/>
      <c r="D743" s="14"/>
      <c r="E743" s="14"/>
      <c r="F743" s="14"/>
      <c r="G743" s="14"/>
      <c r="H743" s="15"/>
      <c r="I743" s="15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  <c r="BP743" s="14"/>
      <c r="BQ743" s="14"/>
      <c r="BR743" s="14"/>
      <c r="BS743" s="14"/>
      <c r="BT743" s="14"/>
      <c r="BU743" s="14"/>
      <c r="BV743" s="14"/>
      <c r="BW743" s="14"/>
      <c r="BX743" s="14"/>
      <c r="BY743" s="14"/>
      <c r="BZ743" s="14"/>
      <c r="CA743" s="14"/>
      <c r="CB743" s="14"/>
      <c r="CC743" s="14"/>
      <c r="CD743" s="14"/>
      <c r="CE743" s="14"/>
      <c r="CF743" s="14"/>
      <c r="CG743" s="14"/>
      <c r="CH743" s="14"/>
      <c r="CI743" s="14"/>
      <c r="CJ743" s="14"/>
      <c r="CK743" s="14"/>
      <c r="CL743" s="14"/>
      <c r="CT743" s="14"/>
      <c r="CW743" s="3"/>
      <c r="DG743" s="4"/>
    </row>
    <row r="744" customFormat="false" ht="11.25" hidden="false" customHeight="true" outlineLevel="0" collapsed="false">
      <c r="A744" s="14"/>
      <c r="B744" s="15"/>
      <c r="C744" s="15"/>
      <c r="D744" s="14"/>
      <c r="E744" s="14"/>
      <c r="F744" s="14"/>
      <c r="G744" s="14"/>
      <c r="H744" s="15"/>
      <c r="I744" s="15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  <c r="BP744" s="14"/>
      <c r="BQ744" s="14"/>
      <c r="BR744" s="14"/>
      <c r="BS744" s="14"/>
      <c r="BT744" s="14"/>
      <c r="BU744" s="14"/>
      <c r="BV744" s="14"/>
      <c r="BW744" s="14"/>
      <c r="BX744" s="14"/>
      <c r="BY744" s="14"/>
      <c r="BZ744" s="14"/>
      <c r="CA744" s="14"/>
      <c r="CB744" s="14"/>
      <c r="CC744" s="14"/>
      <c r="CD744" s="14"/>
      <c r="CE744" s="14"/>
      <c r="CF744" s="14"/>
      <c r="CG744" s="14"/>
      <c r="CH744" s="14"/>
      <c r="CI744" s="14"/>
      <c r="CJ744" s="14"/>
      <c r="CK744" s="14"/>
      <c r="CL744" s="14"/>
      <c r="CT744" s="14"/>
      <c r="CW744" s="3"/>
      <c r="DG744" s="4"/>
    </row>
    <row r="745" customFormat="false" ht="11.25" hidden="false" customHeight="true" outlineLevel="0" collapsed="false">
      <c r="A745" s="14"/>
      <c r="B745" s="15"/>
      <c r="C745" s="15"/>
      <c r="D745" s="14"/>
      <c r="E745" s="14"/>
      <c r="F745" s="14"/>
      <c r="G745" s="14"/>
      <c r="H745" s="15"/>
      <c r="I745" s="15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  <c r="BP745" s="14"/>
      <c r="BQ745" s="14"/>
      <c r="BR745" s="14"/>
      <c r="BS745" s="14"/>
      <c r="BT745" s="14"/>
      <c r="BU745" s="14"/>
      <c r="BV745" s="14"/>
      <c r="BW745" s="14"/>
      <c r="BX745" s="14"/>
      <c r="BY745" s="14"/>
      <c r="BZ745" s="14"/>
      <c r="CA745" s="14"/>
      <c r="CB745" s="14"/>
      <c r="CC745" s="14"/>
      <c r="CD745" s="14"/>
      <c r="CE745" s="14"/>
      <c r="CF745" s="14"/>
      <c r="CG745" s="14"/>
      <c r="CH745" s="14"/>
      <c r="CI745" s="14"/>
      <c r="CJ745" s="14"/>
      <c r="CK745" s="14"/>
      <c r="CL745" s="14"/>
      <c r="CT745" s="14"/>
      <c r="CW745" s="3"/>
      <c r="DG745" s="4"/>
    </row>
    <row r="746" customFormat="false" ht="11.25" hidden="false" customHeight="true" outlineLevel="0" collapsed="false">
      <c r="A746" s="14"/>
      <c r="B746" s="15"/>
      <c r="C746" s="15"/>
      <c r="D746" s="14"/>
      <c r="E746" s="14"/>
      <c r="F746" s="14"/>
      <c r="G746" s="14"/>
      <c r="H746" s="15"/>
      <c r="I746" s="15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  <c r="BP746" s="14"/>
      <c r="BQ746" s="14"/>
      <c r="BR746" s="14"/>
      <c r="BS746" s="14"/>
      <c r="BT746" s="14"/>
      <c r="BU746" s="14"/>
      <c r="BV746" s="14"/>
      <c r="BW746" s="14"/>
      <c r="BX746" s="14"/>
      <c r="BY746" s="14"/>
      <c r="BZ746" s="14"/>
      <c r="CA746" s="14"/>
      <c r="CB746" s="14"/>
      <c r="CC746" s="14"/>
      <c r="CD746" s="14"/>
      <c r="CE746" s="14"/>
      <c r="CF746" s="14"/>
      <c r="CG746" s="14"/>
      <c r="CH746" s="14"/>
      <c r="CI746" s="14"/>
      <c r="CJ746" s="14"/>
      <c r="CK746" s="14"/>
      <c r="CL746" s="14"/>
      <c r="CT746" s="14"/>
      <c r="CW746" s="3"/>
      <c r="DG746" s="4"/>
    </row>
    <row r="747" customFormat="false" ht="11.25" hidden="false" customHeight="true" outlineLevel="0" collapsed="false">
      <c r="A747" s="14"/>
      <c r="B747" s="15"/>
      <c r="C747" s="15"/>
      <c r="D747" s="14"/>
      <c r="E747" s="14"/>
      <c r="F747" s="14"/>
      <c r="G747" s="14"/>
      <c r="H747" s="15"/>
      <c r="I747" s="15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  <c r="BP747" s="14"/>
      <c r="BQ747" s="14"/>
      <c r="BR747" s="14"/>
      <c r="BS747" s="14"/>
      <c r="BT747" s="14"/>
      <c r="BU747" s="14"/>
      <c r="BV747" s="14"/>
      <c r="BW747" s="14"/>
      <c r="BX747" s="14"/>
      <c r="BY747" s="14"/>
      <c r="BZ747" s="14"/>
      <c r="CA747" s="14"/>
      <c r="CB747" s="14"/>
      <c r="CC747" s="14"/>
      <c r="CD747" s="14"/>
      <c r="CE747" s="14"/>
      <c r="CF747" s="14"/>
      <c r="CG747" s="14"/>
      <c r="CH747" s="14"/>
      <c r="CI747" s="14"/>
      <c r="CJ747" s="14"/>
      <c r="CK747" s="14"/>
      <c r="CL747" s="14"/>
      <c r="CT747" s="14"/>
      <c r="CW747" s="3"/>
      <c r="DG747" s="4"/>
    </row>
    <row r="748" customFormat="false" ht="11.25" hidden="false" customHeight="true" outlineLevel="0" collapsed="false">
      <c r="A748" s="14"/>
      <c r="B748" s="15"/>
      <c r="C748" s="15"/>
      <c r="D748" s="14"/>
      <c r="E748" s="14"/>
      <c r="F748" s="14"/>
      <c r="G748" s="14"/>
      <c r="H748" s="15"/>
      <c r="I748" s="15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  <c r="BP748" s="14"/>
      <c r="BQ748" s="14"/>
      <c r="BR748" s="14"/>
      <c r="BS748" s="14"/>
      <c r="BT748" s="14"/>
      <c r="BU748" s="14"/>
      <c r="BV748" s="14"/>
      <c r="BW748" s="14"/>
      <c r="BX748" s="14"/>
      <c r="BY748" s="14"/>
      <c r="BZ748" s="14"/>
      <c r="CA748" s="14"/>
      <c r="CB748" s="14"/>
      <c r="CC748" s="14"/>
      <c r="CD748" s="14"/>
      <c r="CE748" s="14"/>
      <c r="CF748" s="14"/>
      <c r="CG748" s="14"/>
      <c r="CH748" s="14"/>
      <c r="CI748" s="14"/>
      <c r="CJ748" s="14"/>
      <c r="CK748" s="14"/>
      <c r="CL748" s="14"/>
      <c r="CT748" s="14"/>
      <c r="CW748" s="3"/>
      <c r="DG748" s="4"/>
    </row>
    <row r="749" customFormat="false" ht="11.25" hidden="false" customHeight="true" outlineLevel="0" collapsed="false">
      <c r="A749" s="14"/>
      <c r="B749" s="15"/>
      <c r="C749" s="15"/>
      <c r="D749" s="14"/>
      <c r="E749" s="14"/>
      <c r="F749" s="14"/>
      <c r="G749" s="14"/>
      <c r="H749" s="15"/>
      <c r="I749" s="15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  <c r="BP749" s="14"/>
      <c r="BQ749" s="14"/>
      <c r="BR749" s="14"/>
      <c r="BS749" s="14"/>
      <c r="BT749" s="14"/>
      <c r="BU749" s="14"/>
      <c r="BV749" s="14"/>
      <c r="BW749" s="14"/>
      <c r="BX749" s="14"/>
      <c r="BY749" s="14"/>
      <c r="BZ749" s="14"/>
      <c r="CA749" s="14"/>
      <c r="CB749" s="14"/>
      <c r="CC749" s="14"/>
      <c r="CD749" s="14"/>
      <c r="CE749" s="14"/>
      <c r="CF749" s="14"/>
      <c r="CG749" s="14"/>
      <c r="CH749" s="14"/>
      <c r="CI749" s="14"/>
      <c r="CJ749" s="14"/>
      <c r="CK749" s="14"/>
      <c r="CL749" s="14"/>
      <c r="CT749" s="14"/>
      <c r="CW749" s="3"/>
      <c r="DG749" s="4"/>
    </row>
    <row r="750" customFormat="false" ht="11.25" hidden="false" customHeight="true" outlineLevel="0" collapsed="false">
      <c r="A750" s="14"/>
      <c r="B750" s="15"/>
      <c r="C750" s="15"/>
      <c r="D750" s="14"/>
      <c r="E750" s="14"/>
      <c r="F750" s="14"/>
      <c r="G750" s="14"/>
      <c r="H750" s="15"/>
      <c r="I750" s="15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4"/>
      <c r="BP750" s="14"/>
      <c r="BQ750" s="14"/>
      <c r="BR750" s="14"/>
      <c r="BS750" s="14"/>
      <c r="BT750" s="14"/>
      <c r="BU750" s="14"/>
      <c r="BV750" s="14"/>
      <c r="BW750" s="14"/>
      <c r="BX750" s="14"/>
      <c r="BY750" s="14"/>
      <c r="BZ750" s="14"/>
      <c r="CA750" s="14"/>
      <c r="CB750" s="14"/>
      <c r="CC750" s="14"/>
      <c r="CD750" s="14"/>
      <c r="CE750" s="14"/>
      <c r="CF750" s="14"/>
      <c r="CG750" s="14"/>
      <c r="CH750" s="14"/>
      <c r="CI750" s="14"/>
      <c r="CJ750" s="14"/>
      <c r="CK750" s="14"/>
      <c r="CL750" s="14"/>
      <c r="CT750" s="14"/>
      <c r="CW750" s="3"/>
      <c r="DG750" s="4"/>
    </row>
    <row r="751" customFormat="false" ht="11.25" hidden="false" customHeight="true" outlineLevel="0" collapsed="false">
      <c r="A751" s="14"/>
      <c r="B751" s="15"/>
      <c r="C751" s="15"/>
      <c r="D751" s="14"/>
      <c r="E751" s="14"/>
      <c r="F751" s="14"/>
      <c r="G751" s="14"/>
      <c r="H751" s="15"/>
      <c r="I751" s="15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  <c r="BP751" s="14"/>
      <c r="BQ751" s="14"/>
      <c r="BR751" s="14"/>
      <c r="BS751" s="14"/>
      <c r="BT751" s="14"/>
      <c r="BU751" s="14"/>
      <c r="BV751" s="14"/>
      <c r="BW751" s="14"/>
      <c r="BX751" s="14"/>
      <c r="BY751" s="14"/>
      <c r="BZ751" s="14"/>
      <c r="CA751" s="14"/>
      <c r="CB751" s="14"/>
      <c r="CC751" s="14"/>
      <c r="CD751" s="14"/>
      <c r="CE751" s="14"/>
      <c r="CF751" s="14"/>
      <c r="CG751" s="14"/>
      <c r="CH751" s="14"/>
      <c r="CI751" s="14"/>
      <c r="CJ751" s="14"/>
      <c r="CK751" s="14"/>
      <c r="CL751" s="14"/>
      <c r="CT751" s="14"/>
      <c r="CW751" s="3"/>
      <c r="DG751" s="4"/>
    </row>
    <row r="752" customFormat="false" ht="11.25" hidden="false" customHeight="true" outlineLevel="0" collapsed="false">
      <c r="A752" s="14"/>
      <c r="B752" s="15"/>
      <c r="C752" s="15"/>
      <c r="D752" s="14"/>
      <c r="E752" s="14"/>
      <c r="F752" s="14"/>
      <c r="G752" s="14"/>
      <c r="H752" s="15"/>
      <c r="I752" s="15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4"/>
      <c r="BP752" s="14"/>
      <c r="BQ752" s="14"/>
      <c r="BR752" s="14"/>
      <c r="BS752" s="14"/>
      <c r="BT752" s="14"/>
      <c r="BU752" s="14"/>
      <c r="BV752" s="14"/>
      <c r="BW752" s="14"/>
      <c r="BX752" s="14"/>
      <c r="BY752" s="14"/>
      <c r="BZ752" s="14"/>
      <c r="CA752" s="14"/>
      <c r="CB752" s="14"/>
      <c r="CC752" s="14"/>
      <c r="CD752" s="14"/>
      <c r="CE752" s="14"/>
      <c r="CF752" s="14"/>
      <c r="CG752" s="14"/>
      <c r="CH752" s="14"/>
      <c r="CI752" s="14"/>
      <c r="CJ752" s="14"/>
      <c r="CK752" s="14"/>
      <c r="CL752" s="14"/>
      <c r="CT752" s="14"/>
      <c r="CW752" s="3"/>
      <c r="DG752" s="4"/>
    </row>
    <row r="753" customFormat="false" ht="11.25" hidden="false" customHeight="true" outlineLevel="0" collapsed="false">
      <c r="A753" s="14"/>
      <c r="B753" s="15"/>
      <c r="C753" s="15"/>
      <c r="D753" s="14"/>
      <c r="E753" s="14"/>
      <c r="F753" s="14"/>
      <c r="G753" s="14"/>
      <c r="H753" s="15"/>
      <c r="I753" s="15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  <c r="BP753" s="14"/>
      <c r="BQ753" s="14"/>
      <c r="BR753" s="14"/>
      <c r="BS753" s="14"/>
      <c r="BT753" s="14"/>
      <c r="BU753" s="14"/>
      <c r="BV753" s="14"/>
      <c r="BW753" s="14"/>
      <c r="BX753" s="14"/>
      <c r="BY753" s="14"/>
      <c r="BZ753" s="14"/>
      <c r="CA753" s="14"/>
      <c r="CB753" s="14"/>
      <c r="CC753" s="14"/>
      <c r="CD753" s="14"/>
      <c r="CE753" s="14"/>
      <c r="CF753" s="14"/>
      <c r="CG753" s="14"/>
      <c r="CH753" s="14"/>
      <c r="CI753" s="14"/>
      <c r="CJ753" s="14"/>
      <c r="CK753" s="14"/>
      <c r="CL753" s="14"/>
      <c r="CT753" s="14"/>
      <c r="CW753" s="3"/>
      <c r="DG753" s="4"/>
    </row>
    <row r="754" customFormat="false" ht="11.25" hidden="false" customHeight="true" outlineLevel="0" collapsed="false">
      <c r="A754" s="14"/>
      <c r="B754" s="15"/>
      <c r="C754" s="15"/>
      <c r="D754" s="14"/>
      <c r="E754" s="14"/>
      <c r="F754" s="14"/>
      <c r="G754" s="14"/>
      <c r="H754" s="15"/>
      <c r="I754" s="15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4"/>
      <c r="BP754" s="14"/>
      <c r="BQ754" s="14"/>
      <c r="BR754" s="14"/>
      <c r="BS754" s="14"/>
      <c r="BT754" s="14"/>
      <c r="BU754" s="14"/>
      <c r="BV754" s="14"/>
      <c r="BW754" s="14"/>
      <c r="BX754" s="14"/>
      <c r="BY754" s="14"/>
      <c r="BZ754" s="14"/>
      <c r="CA754" s="14"/>
      <c r="CB754" s="14"/>
      <c r="CC754" s="14"/>
      <c r="CD754" s="14"/>
      <c r="CE754" s="14"/>
      <c r="CF754" s="14"/>
      <c r="CG754" s="14"/>
      <c r="CH754" s="14"/>
      <c r="CI754" s="14"/>
      <c r="CJ754" s="14"/>
      <c r="CK754" s="14"/>
      <c r="CL754" s="14"/>
      <c r="CT754" s="14"/>
      <c r="CW754" s="3"/>
      <c r="DG754" s="4"/>
    </row>
    <row r="755" customFormat="false" ht="11.25" hidden="false" customHeight="true" outlineLevel="0" collapsed="false">
      <c r="A755" s="14"/>
      <c r="B755" s="15"/>
      <c r="C755" s="15"/>
      <c r="D755" s="14"/>
      <c r="E755" s="14"/>
      <c r="F755" s="14"/>
      <c r="G755" s="14"/>
      <c r="H755" s="15"/>
      <c r="I755" s="15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  <c r="BP755" s="14"/>
      <c r="BQ755" s="14"/>
      <c r="BR755" s="14"/>
      <c r="BS755" s="14"/>
      <c r="BT755" s="14"/>
      <c r="BU755" s="14"/>
      <c r="BV755" s="14"/>
      <c r="BW755" s="14"/>
      <c r="BX755" s="14"/>
      <c r="BY755" s="14"/>
      <c r="BZ755" s="14"/>
      <c r="CA755" s="14"/>
      <c r="CB755" s="14"/>
      <c r="CC755" s="14"/>
      <c r="CD755" s="14"/>
      <c r="CE755" s="14"/>
      <c r="CF755" s="14"/>
      <c r="CG755" s="14"/>
      <c r="CH755" s="14"/>
      <c r="CI755" s="14"/>
      <c r="CJ755" s="14"/>
      <c r="CK755" s="14"/>
      <c r="CL755" s="14"/>
      <c r="CT755" s="14"/>
      <c r="CW755" s="3"/>
      <c r="DG755" s="4"/>
    </row>
    <row r="756" customFormat="false" ht="11.25" hidden="false" customHeight="true" outlineLevel="0" collapsed="false">
      <c r="A756" s="14"/>
      <c r="B756" s="15"/>
      <c r="C756" s="15"/>
      <c r="D756" s="14"/>
      <c r="E756" s="14"/>
      <c r="F756" s="14"/>
      <c r="G756" s="14"/>
      <c r="H756" s="15"/>
      <c r="I756" s="15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4"/>
      <c r="BP756" s="14"/>
      <c r="BQ756" s="14"/>
      <c r="BR756" s="14"/>
      <c r="BS756" s="14"/>
      <c r="BT756" s="14"/>
      <c r="BU756" s="14"/>
      <c r="BV756" s="14"/>
      <c r="BW756" s="14"/>
      <c r="BX756" s="14"/>
      <c r="BY756" s="14"/>
      <c r="BZ756" s="14"/>
      <c r="CA756" s="14"/>
      <c r="CB756" s="14"/>
      <c r="CC756" s="14"/>
      <c r="CD756" s="14"/>
      <c r="CE756" s="14"/>
      <c r="CF756" s="14"/>
      <c r="CG756" s="14"/>
      <c r="CH756" s="14"/>
      <c r="CI756" s="14"/>
      <c r="CJ756" s="14"/>
      <c r="CK756" s="14"/>
      <c r="CL756" s="14"/>
      <c r="CT756" s="14"/>
      <c r="CW756" s="3"/>
      <c r="DG756" s="4"/>
    </row>
    <row r="757" customFormat="false" ht="11.25" hidden="false" customHeight="true" outlineLevel="0" collapsed="false">
      <c r="A757" s="14"/>
      <c r="B757" s="15"/>
      <c r="C757" s="15"/>
      <c r="D757" s="14"/>
      <c r="E757" s="14"/>
      <c r="F757" s="14"/>
      <c r="G757" s="14"/>
      <c r="H757" s="15"/>
      <c r="I757" s="15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  <c r="BP757" s="14"/>
      <c r="BQ757" s="14"/>
      <c r="BR757" s="14"/>
      <c r="BS757" s="14"/>
      <c r="BT757" s="14"/>
      <c r="BU757" s="14"/>
      <c r="BV757" s="14"/>
      <c r="BW757" s="14"/>
      <c r="BX757" s="14"/>
      <c r="BY757" s="14"/>
      <c r="BZ757" s="14"/>
      <c r="CA757" s="14"/>
      <c r="CB757" s="14"/>
      <c r="CC757" s="14"/>
      <c r="CD757" s="14"/>
      <c r="CE757" s="14"/>
      <c r="CF757" s="14"/>
      <c r="CG757" s="14"/>
      <c r="CH757" s="14"/>
      <c r="CI757" s="14"/>
      <c r="CJ757" s="14"/>
      <c r="CK757" s="14"/>
      <c r="CL757" s="14"/>
      <c r="CT757" s="14"/>
      <c r="CW757" s="3"/>
      <c r="DG757" s="4"/>
    </row>
    <row r="758" customFormat="false" ht="11.25" hidden="false" customHeight="true" outlineLevel="0" collapsed="false">
      <c r="A758" s="14"/>
      <c r="B758" s="15"/>
      <c r="C758" s="15"/>
      <c r="D758" s="14"/>
      <c r="E758" s="14"/>
      <c r="F758" s="14"/>
      <c r="G758" s="14"/>
      <c r="H758" s="15"/>
      <c r="I758" s="15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  <c r="BO758" s="14"/>
      <c r="BP758" s="14"/>
      <c r="BQ758" s="14"/>
      <c r="BR758" s="14"/>
      <c r="BS758" s="14"/>
      <c r="BT758" s="14"/>
      <c r="BU758" s="14"/>
      <c r="BV758" s="14"/>
      <c r="BW758" s="14"/>
      <c r="BX758" s="14"/>
      <c r="BY758" s="14"/>
      <c r="BZ758" s="14"/>
      <c r="CA758" s="14"/>
      <c r="CB758" s="14"/>
      <c r="CC758" s="14"/>
      <c r="CD758" s="14"/>
      <c r="CE758" s="14"/>
      <c r="CF758" s="14"/>
      <c r="CG758" s="14"/>
      <c r="CH758" s="14"/>
      <c r="CI758" s="14"/>
      <c r="CJ758" s="14"/>
      <c r="CK758" s="14"/>
      <c r="CL758" s="14"/>
      <c r="CT758" s="14"/>
      <c r="CW758" s="3"/>
      <c r="DG758" s="4"/>
    </row>
    <row r="759" customFormat="false" ht="11.25" hidden="false" customHeight="true" outlineLevel="0" collapsed="false">
      <c r="A759" s="14"/>
      <c r="B759" s="15"/>
      <c r="C759" s="15"/>
      <c r="D759" s="14"/>
      <c r="E759" s="14"/>
      <c r="F759" s="14"/>
      <c r="G759" s="14"/>
      <c r="H759" s="15"/>
      <c r="I759" s="15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  <c r="BP759" s="14"/>
      <c r="BQ759" s="14"/>
      <c r="BR759" s="14"/>
      <c r="BS759" s="14"/>
      <c r="BT759" s="14"/>
      <c r="BU759" s="14"/>
      <c r="BV759" s="14"/>
      <c r="BW759" s="14"/>
      <c r="BX759" s="14"/>
      <c r="BY759" s="14"/>
      <c r="BZ759" s="14"/>
      <c r="CA759" s="14"/>
      <c r="CB759" s="14"/>
      <c r="CC759" s="14"/>
      <c r="CD759" s="14"/>
      <c r="CE759" s="14"/>
      <c r="CF759" s="14"/>
      <c r="CG759" s="14"/>
      <c r="CH759" s="14"/>
      <c r="CI759" s="14"/>
      <c r="CJ759" s="14"/>
      <c r="CK759" s="14"/>
      <c r="CL759" s="14"/>
      <c r="CT759" s="14"/>
      <c r="CW759" s="3"/>
      <c r="DG759" s="4"/>
    </row>
    <row r="760" customFormat="false" ht="11.25" hidden="false" customHeight="true" outlineLevel="0" collapsed="false">
      <c r="A760" s="14"/>
      <c r="B760" s="15"/>
      <c r="C760" s="15"/>
      <c r="D760" s="14"/>
      <c r="E760" s="14"/>
      <c r="F760" s="14"/>
      <c r="G760" s="14"/>
      <c r="H760" s="15"/>
      <c r="I760" s="15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  <c r="BO760" s="14"/>
      <c r="BP760" s="14"/>
      <c r="BQ760" s="14"/>
      <c r="BR760" s="14"/>
      <c r="BS760" s="14"/>
      <c r="BT760" s="14"/>
      <c r="BU760" s="14"/>
      <c r="BV760" s="14"/>
      <c r="BW760" s="14"/>
      <c r="BX760" s="14"/>
      <c r="BY760" s="14"/>
      <c r="BZ760" s="14"/>
      <c r="CA760" s="14"/>
      <c r="CB760" s="14"/>
      <c r="CC760" s="14"/>
      <c r="CD760" s="14"/>
      <c r="CE760" s="14"/>
      <c r="CF760" s="14"/>
      <c r="CG760" s="14"/>
      <c r="CH760" s="14"/>
      <c r="CI760" s="14"/>
      <c r="CJ760" s="14"/>
      <c r="CK760" s="14"/>
      <c r="CL760" s="14"/>
      <c r="CT760" s="14"/>
      <c r="CW760" s="3"/>
      <c r="DG760" s="4"/>
    </row>
    <row r="761" customFormat="false" ht="11.25" hidden="false" customHeight="true" outlineLevel="0" collapsed="false">
      <c r="A761" s="14"/>
      <c r="B761" s="15"/>
      <c r="C761" s="15"/>
      <c r="D761" s="14"/>
      <c r="E761" s="14"/>
      <c r="F761" s="14"/>
      <c r="G761" s="14"/>
      <c r="H761" s="15"/>
      <c r="I761" s="15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  <c r="BP761" s="14"/>
      <c r="BQ761" s="14"/>
      <c r="BR761" s="14"/>
      <c r="BS761" s="14"/>
      <c r="BT761" s="14"/>
      <c r="BU761" s="14"/>
      <c r="BV761" s="14"/>
      <c r="BW761" s="14"/>
      <c r="BX761" s="14"/>
      <c r="BY761" s="14"/>
      <c r="BZ761" s="14"/>
      <c r="CA761" s="14"/>
      <c r="CB761" s="14"/>
      <c r="CC761" s="14"/>
      <c r="CD761" s="14"/>
      <c r="CE761" s="14"/>
      <c r="CF761" s="14"/>
      <c r="CG761" s="14"/>
      <c r="CH761" s="14"/>
      <c r="CI761" s="14"/>
      <c r="CJ761" s="14"/>
      <c r="CK761" s="14"/>
      <c r="CL761" s="14"/>
      <c r="CT761" s="14"/>
      <c r="CW761" s="3"/>
      <c r="DG761" s="4"/>
    </row>
    <row r="762" customFormat="false" ht="11.25" hidden="false" customHeight="true" outlineLevel="0" collapsed="false">
      <c r="A762" s="14"/>
      <c r="B762" s="15"/>
      <c r="C762" s="15"/>
      <c r="D762" s="14"/>
      <c r="E762" s="14"/>
      <c r="F762" s="14"/>
      <c r="G762" s="14"/>
      <c r="H762" s="15"/>
      <c r="I762" s="15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4"/>
      <c r="BP762" s="14"/>
      <c r="BQ762" s="14"/>
      <c r="BR762" s="14"/>
      <c r="BS762" s="14"/>
      <c r="BT762" s="14"/>
      <c r="BU762" s="14"/>
      <c r="BV762" s="14"/>
      <c r="BW762" s="14"/>
      <c r="BX762" s="14"/>
      <c r="BY762" s="14"/>
      <c r="BZ762" s="14"/>
      <c r="CA762" s="14"/>
      <c r="CB762" s="14"/>
      <c r="CC762" s="14"/>
      <c r="CD762" s="14"/>
      <c r="CE762" s="14"/>
      <c r="CF762" s="14"/>
      <c r="CG762" s="14"/>
      <c r="CH762" s="14"/>
      <c r="CI762" s="14"/>
      <c r="CJ762" s="14"/>
      <c r="CK762" s="14"/>
      <c r="CL762" s="14"/>
      <c r="CT762" s="14"/>
      <c r="CW762" s="3"/>
      <c r="DG762" s="4"/>
    </row>
    <row r="763" customFormat="false" ht="11.25" hidden="false" customHeight="true" outlineLevel="0" collapsed="false">
      <c r="A763" s="14"/>
      <c r="B763" s="15"/>
      <c r="C763" s="15"/>
      <c r="D763" s="14"/>
      <c r="E763" s="14"/>
      <c r="F763" s="14"/>
      <c r="G763" s="14"/>
      <c r="H763" s="15"/>
      <c r="I763" s="15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  <c r="BP763" s="14"/>
      <c r="BQ763" s="14"/>
      <c r="BR763" s="14"/>
      <c r="BS763" s="14"/>
      <c r="BT763" s="14"/>
      <c r="BU763" s="14"/>
      <c r="BV763" s="14"/>
      <c r="BW763" s="14"/>
      <c r="BX763" s="14"/>
      <c r="BY763" s="14"/>
      <c r="BZ763" s="14"/>
      <c r="CA763" s="14"/>
      <c r="CB763" s="14"/>
      <c r="CC763" s="14"/>
      <c r="CD763" s="14"/>
      <c r="CE763" s="14"/>
      <c r="CF763" s="14"/>
      <c r="CG763" s="14"/>
      <c r="CH763" s="14"/>
      <c r="CI763" s="14"/>
      <c r="CJ763" s="14"/>
      <c r="CK763" s="14"/>
      <c r="CL763" s="14"/>
      <c r="CT763" s="14"/>
      <c r="CW763" s="3"/>
      <c r="DG763" s="4"/>
    </row>
    <row r="764" customFormat="false" ht="11.25" hidden="false" customHeight="true" outlineLevel="0" collapsed="false">
      <c r="A764" s="14"/>
      <c r="B764" s="15"/>
      <c r="C764" s="15"/>
      <c r="D764" s="14"/>
      <c r="E764" s="14"/>
      <c r="F764" s="14"/>
      <c r="G764" s="14"/>
      <c r="H764" s="15"/>
      <c r="I764" s="15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  <c r="BP764" s="14"/>
      <c r="BQ764" s="14"/>
      <c r="BR764" s="14"/>
      <c r="BS764" s="14"/>
      <c r="BT764" s="14"/>
      <c r="BU764" s="14"/>
      <c r="BV764" s="14"/>
      <c r="BW764" s="14"/>
      <c r="BX764" s="14"/>
      <c r="BY764" s="14"/>
      <c r="BZ764" s="14"/>
      <c r="CA764" s="14"/>
      <c r="CB764" s="14"/>
      <c r="CC764" s="14"/>
      <c r="CD764" s="14"/>
      <c r="CE764" s="14"/>
      <c r="CF764" s="14"/>
      <c r="CG764" s="14"/>
      <c r="CH764" s="14"/>
      <c r="CI764" s="14"/>
      <c r="CJ764" s="14"/>
      <c r="CK764" s="14"/>
      <c r="CL764" s="14"/>
      <c r="CT764" s="14"/>
      <c r="CW764" s="3"/>
      <c r="DG764" s="4"/>
    </row>
    <row r="765" customFormat="false" ht="11.25" hidden="false" customHeight="true" outlineLevel="0" collapsed="false">
      <c r="A765" s="14"/>
      <c r="B765" s="15"/>
      <c r="C765" s="15"/>
      <c r="D765" s="14"/>
      <c r="E765" s="14"/>
      <c r="F765" s="14"/>
      <c r="G765" s="14"/>
      <c r="H765" s="15"/>
      <c r="I765" s="15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  <c r="BP765" s="14"/>
      <c r="BQ765" s="14"/>
      <c r="BR765" s="14"/>
      <c r="BS765" s="14"/>
      <c r="BT765" s="14"/>
      <c r="BU765" s="14"/>
      <c r="BV765" s="14"/>
      <c r="BW765" s="14"/>
      <c r="BX765" s="14"/>
      <c r="BY765" s="14"/>
      <c r="BZ765" s="14"/>
      <c r="CA765" s="14"/>
      <c r="CB765" s="14"/>
      <c r="CC765" s="14"/>
      <c r="CD765" s="14"/>
      <c r="CE765" s="14"/>
      <c r="CF765" s="14"/>
      <c r="CG765" s="14"/>
      <c r="CH765" s="14"/>
      <c r="CI765" s="14"/>
      <c r="CJ765" s="14"/>
      <c r="CK765" s="14"/>
      <c r="CL765" s="14"/>
      <c r="CT765" s="14"/>
      <c r="CW765" s="3"/>
      <c r="DG765" s="4"/>
    </row>
    <row r="766" customFormat="false" ht="11.25" hidden="false" customHeight="true" outlineLevel="0" collapsed="false">
      <c r="A766" s="14"/>
      <c r="B766" s="15"/>
      <c r="C766" s="15"/>
      <c r="D766" s="14"/>
      <c r="E766" s="14"/>
      <c r="F766" s="14"/>
      <c r="G766" s="14"/>
      <c r="H766" s="15"/>
      <c r="I766" s="15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4"/>
      <c r="BP766" s="14"/>
      <c r="BQ766" s="14"/>
      <c r="BR766" s="14"/>
      <c r="BS766" s="14"/>
      <c r="BT766" s="14"/>
      <c r="BU766" s="14"/>
      <c r="BV766" s="14"/>
      <c r="BW766" s="14"/>
      <c r="BX766" s="14"/>
      <c r="BY766" s="14"/>
      <c r="BZ766" s="14"/>
      <c r="CA766" s="14"/>
      <c r="CB766" s="14"/>
      <c r="CC766" s="14"/>
      <c r="CD766" s="14"/>
      <c r="CE766" s="14"/>
      <c r="CF766" s="14"/>
      <c r="CG766" s="14"/>
      <c r="CH766" s="14"/>
      <c r="CI766" s="14"/>
      <c r="CJ766" s="14"/>
      <c r="CK766" s="14"/>
      <c r="CL766" s="14"/>
      <c r="CT766" s="14"/>
      <c r="CW766" s="3"/>
      <c r="DG766" s="4"/>
    </row>
    <row r="767" customFormat="false" ht="11.25" hidden="false" customHeight="true" outlineLevel="0" collapsed="false">
      <c r="A767" s="14"/>
      <c r="B767" s="15"/>
      <c r="C767" s="15"/>
      <c r="D767" s="14"/>
      <c r="E767" s="14"/>
      <c r="F767" s="14"/>
      <c r="G767" s="14"/>
      <c r="H767" s="15"/>
      <c r="I767" s="15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  <c r="BP767" s="14"/>
      <c r="BQ767" s="14"/>
      <c r="BR767" s="14"/>
      <c r="BS767" s="14"/>
      <c r="BT767" s="14"/>
      <c r="BU767" s="14"/>
      <c r="BV767" s="14"/>
      <c r="BW767" s="14"/>
      <c r="BX767" s="14"/>
      <c r="BY767" s="14"/>
      <c r="BZ767" s="14"/>
      <c r="CA767" s="14"/>
      <c r="CB767" s="14"/>
      <c r="CC767" s="14"/>
      <c r="CD767" s="14"/>
      <c r="CE767" s="14"/>
      <c r="CF767" s="14"/>
      <c r="CG767" s="14"/>
      <c r="CH767" s="14"/>
      <c r="CI767" s="14"/>
      <c r="CJ767" s="14"/>
      <c r="CK767" s="14"/>
      <c r="CL767" s="14"/>
      <c r="CT767" s="14"/>
      <c r="CW767" s="3"/>
      <c r="DG767" s="4"/>
    </row>
    <row r="768" customFormat="false" ht="11.25" hidden="false" customHeight="true" outlineLevel="0" collapsed="false">
      <c r="A768" s="14"/>
      <c r="B768" s="15"/>
      <c r="C768" s="15"/>
      <c r="D768" s="14"/>
      <c r="E768" s="14"/>
      <c r="F768" s="14"/>
      <c r="G768" s="14"/>
      <c r="H768" s="15"/>
      <c r="I768" s="15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4"/>
      <c r="BP768" s="14"/>
      <c r="BQ768" s="14"/>
      <c r="BR768" s="14"/>
      <c r="BS768" s="14"/>
      <c r="BT768" s="14"/>
      <c r="BU768" s="14"/>
      <c r="BV768" s="14"/>
      <c r="BW768" s="14"/>
      <c r="BX768" s="14"/>
      <c r="BY768" s="14"/>
      <c r="BZ768" s="14"/>
      <c r="CA768" s="14"/>
      <c r="CB768" s="14"/>
      <c r="CC768" s="14"/>
      <c r="CD768" s="14"/>
      <c r="CE768" s="14"/>
      <c r="CF768" s="14"/>
      <c r="CG768" s="14"/>
      <c r="CH768" s="14"/>
      <c r="CI768" s="14"/>
      <c r="CJ768" s="14"/>
      <c r="CK768" s="14"/>
      <c r="CL768" s="14"/>
      <c r="CT768" s="14"/>
      <c r="CW768" s="3"/>
      <c r="DG768" s="4"/>
    </row>
    <row r="769" customFormat="false" ht="11.25" hidden="false" customHeight="true" outlineLevel="0" collapsed="false">
      <c r="A769" s="14"/>
      <c r="B769" s="15"/>
      <c r="C769" s="15"/>
      <c r="D769" s="14"/>
      <c r="E769" s="14"/>
      <c r="F769" s="14"/>
      <c r="G769" s="14"/>
      <c r="H769" s="15"/>
      <c r="I769" s="15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  <c r="BP769" s="14"/>
      <c r="BQ769" s="14"/>
      <c r="BR769" s="14"/>
      <c r="BS769" s="14"/>
      <c r="BT769" s="14"/>
      <c r="BU769" s="14"/>
      <c r="BV769" s="14"/>
      <c r="BW769" s="14"/>
      <c r="BX769" s="14"/>
      <c r="BY769" s="14"/>
      <c r="BZ769" s="14"/>
      <c r="CA769" s="14"/>
      <c r="CB769" s="14"/>
      <c r="CC769" s="14"/>
      <c r="CD769" s="14"/>
      <c r="CE769" s="14"/>
      <c r="CF769" s="14"/>
      <c r="CG769" s="14"/>
      <c r="CH769" s="14"/>
      <c r="CI769" s="14"/>
      <c r="CJ769" s="14"/>
      <c r="CK769" s="14"/>
      <c r="CL769" s="14"/>
      <c r="CT769" s="14"/>
      <c r="CW769" s="3"/>
      <c r="DG769" s="4"/>
    </row>
    <row r="770" customFormat="false" ht="11.25" hidden="false" customHeight="true" outlineLevel="0" collapsed="false">
      <c r="A770" s="14"/>
      <c r="B770" s="15"/>
      <c r="C770" s="15"/>
      <c r="D770" s="14"/>
      <c r="E770" s="14"/>
      <c r="F770" s="14"/>
      <c r="G770" s="14"/>
      <c r="H770" s="15"/>
      <c r="I770" s="15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4"/>
      <c r="BP770" s="14"/>
      <c r="BQ770" s="14"/>
      <c r="BR770" s="14"/>
      <c r="BS770" s="14"/>
      <c r="BT770" s="14"/>
      <c r="BU770" s="14"/>
      <c r="BV770" s="14"/>
      <c r="BW770" s="14"/>
      <c r="BX770" s="14"/>
      <c r="BY770" s="14"/>
      <c r="BZ770" s="14"/>
      <c r="CA770" s="14"/>
      <c r="CB770" s="14"/>
      <c r="CC770" s="14"/>
      <c r="CD770" s="14"/>
      <c r="CE770" s="14"/>
      <c r="CF770" s="14"/>
      <c r="CG770" s="14"/>
      <c r="CH770" s="14"/>
      <c r="CI770" s="14"/>
      <c r="CJ770" s="14"/>
      <c r="CK770" s="14"/>
      <c r="CL770" s="14"/>
      <c r="CT770" s="14"/>
      <c r="CW770" s="3"/>
      <c r="DG770" s="4"/>
    </row>
    <row r="771" customFormat="false" ht="11.25" hidden="false" customHeight="true" outlineLevel="0" collapsed="false">
      <c r="A771" s="14"/>
      <c r="B771" s="15"/>
      <c r="C771" s="15"/>
      <c r="D771" s="14"/>
      <c r="E771" s="14"/>
      <c r="F771" s="14"/>
      <c r="G771" s="14"/>
      <c r="H771" s="15"/>
      <c r="I771" s="15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  <c r="BP771" s="14"/>
      <c r="BQ771" s="14"/>
      <c r="BR771" s="14"/>
      <c r="BS771" s="14"/>
      <c r="BT771" s="14"/>
      <c r="BU771" s="14"/>
      <c r="BV771" s="14"/>
      <c r="BW771" s="14"/>
      <c r="BX771" s="14"/>
      <c r="BY771" s="14"/>
      <c r="BZ771" s="14"/>
      <c r="CA771" s="14"/>
      <c r="CB771" s="14"/>
      <c r="CC771" s="14"/>
      <c r="CD771" s="14"/>
      <c r="CE771" s="14"/>
      <c r="CF771" s="14"/>
      <c r="CG771" s="14"/>
      <c r="CH771" s="14"/>
      <c r="CI771" s="14"/>
      <c r="CJ771" s="14"/>
      <c r="CK771" s="14"/>
      <c r="CL771" s="14"/>
      <c r="CT771" s="14"/>
      <c r="CW771" s="3"/>
      <c r="DG771" s="4"/>
    </row>
    <row r="772" customFormat="false" ht="11.25" hidden="false" customHeight="true" outlineLevel="0" collapsed="false">
      <c r="A772" s="14"/>
      <c r="B772" s="15"/>
      <c r="C772" s="15"/>
      <c r="D772" s="14"/>
      <c r="E772" s="14"/>
      <c r="F772" s="14"/>
      <c r="G772" s="14"/>
      <c r="H772" s="15"/>
      <c r="I772" s="15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4"/>
      <c r="BP772" s="14"/>
      <c r="BQ772" s="14"/>
      <c r="BR772" s="14"/>
      <c r="BS772" s="14"/>
      <c r="BT772" s="14"/>
      <c r="BU772" s="14"/>
      <c r="BV772" s="14"/>
      <c r="BW772" s="14"/>
      <c r="BX772" s="14"/>
      <c r="BY772" s="14"/>
      <c r="BZ772" s="14"/>
      <c r="CA772" s="14"/>
      <c r="CB772" s="14"/>
      <c r="CC772" s="14"/>
      <c r="CD772" s="14"/>
      <c r="CE772" s="14"/>
      <c r="CF772" s="14"/>
      <c r="CG772" s="14"/>
      <c r="CH772" s="14"/>
      <c r="CI772" s="14"/>
      <c r="CJ772" s="14"/>
      <c r="CK772" s="14"/>
      <c r="CL772" s="14"/>
      <c r="CT772" s="14"/>
      <c r="CW772" s="3"/>
      <c r="DG772" s="4"/>
    </row>
    <row r="773" customFormat="false" ht="11.25" hidden="false" customHeight="true" outlineLevel="0" collapsed="false">
      <c r="A773" s="14"/>
      <c r="B773" s="15"/>
      <c r="C773" s="15"/>
      <c r="D773" s="14"/>
      <c r="E773" s="14"/>
      <c r="F773" s="14"/>
      <c r="G773" s="14"/>
      <c r="H773" s="15"/>
      <c r="I773" s="15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  <c r="BP773" s="14"/>
      <c r="BQ773" s="14"/>
      <c r="BR773" s="14"/>
      <c r="BS773" s="14"/>
      <c r="BT773" s="14"/>
      <c r="BU773" s="14"/>
      <c r="BV773" s="14"/>
      <c r="BW773" s="14"/>
      <c r="BX773" s="14"/>
      <c r="BY773" s="14"/>
      <c r="BZ773" s="14"/>
      <c r="CA773" s="14"/>
      <c r="CB773" s="14"/>
      <c r="CC773" s="14"/>
      <c r="CD773" s="14"/>
      <c r="CE773" s="14"/>
      <c r="CF773" s="14"/>
      <c r="CG773" s="14"/>
      <c r="CH773" s="14"/>
      <c r="CI773" s="14"/>
      <c r="CJ773" s="14"/>
      <c r="CK773" s="14"/>
      <c r="CL773" s="14"/>
      <c r="CT773" s="14"/>
      <c r="CW773" s="3"/>
      <c r="DG773" s="4"/>
    </row>
    <row r="774" customFormat="false" ht="11.25" hidden="false" customHeight="true" outlineLevel="0" collapsed="false">
      <c r="A774" s="14"/>
      <c r="B774" s="15"/>
      <c r="C774" s="15"/>
      <c r="D774" s="14"/>
      <c r="E774" s="14"/>
      <c r="F774" s="14"/>
      <c r="G774" s="14"/>
      <c r="H774" s="15"/>
      <c r="I774" s="15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  <c r="BN774" s="14"/>
      <c r="BO774" s="14"/>
      <c r="BP774" s="14"/>
      <c r="BQ774" s="14"/>
      <c r="BR774" s="14"/>
      <c r="BS774" s="14"/>
      <c r="BT774" s="14"/>
      <c r="BU774" s="14"/>
      <c r="BV774" s="14"/>
      <c r="BW774" s="14"/>
      <c r="BX774" s="14"/>
      <c r="BY774" s="14"/>
      <c r="BZ774" s="14"/>
      <c r="CA774" s="14"/>
      <c r="CB774" s="14"/>
      <c r="CC774" s="14"/>
      <c r="CD774" s="14"/>
      <c r="CE774" s="14"/>
      <c r="CF774" s="14"/>
      <c r="CG774" s="14"/>
      <c r="CH774" s="14"/>
      <c r="CI774" s="14"/>
      <c r="CJ774" s="14"/>
      <c r="CK774" s="14"/>
      <c r="CL774" s="14"/>
      <c r="CT774" s="14"/>
      <c r="CW774" s="3"/>
      <c r="DG774" s="4"/>
    </row>
    <row r="775" customFormat="false" ht="11.25" hidden="false" customHeight="true" outlineLevel="0" collapsed="false">
      <c r="A775" s="14"/>
      <c r="B775" s="15"/>
      <c r="C775" s="15"/>
      <c r="D775" s="14"/>
      <c r="E775" s="14"/>
      <c r="F775" s="14"/>
      <c r="G775" s="14"/>
      <c r="H775" s="15"/>
      <c r="I775" s="15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4"/>
      <c r="BP775" s="14"/>
      <c r="BQ775" s="14"/>
      <c r="BR775" s="14"/>
      <c r="BS775" s="14"/>
      <c r="BT775" s="14"/>
      <c r="BU775" s="14"/>
      <c r="BV775" s="14"/>
      <c r="BW775" s="14"/>
      <c r="BX775" s="14"/>
      <c r="BY775" s="14"/>
      <c r="BZ775" s="14"/>
      <c r="CA775" s="14"/>
      <c r="CB775" s="14"/>
      <c r="CC775" s="14"/>
      <c r="CD775" s="14"/>
      <c r="CE775" s="14"/>
      <c r="CF775" s="14"/>
      <c r="CG775" s="14"/>
      <c r="CH775" s="14"/>
      <c r="CI775" s="14"/>
      <c r="CJ775" s="14"/>
      <c r="CK775" s="14"/>
      <c r="CL775" s="14"/>
      <c r="CT775" s="14"/>
      <c r="CW775" s="3"/>
      <c r="DG775" s="4"/>
    </row>
    <row r="776" customFormat="false" ht="11.25" hidden="false" customHeight="true" outlineLevel="0" collapsed="false">
      <c r="A776" s="14"/>
      <c r="B776" s="15"/>
      <c r="C776" s="15"/>
      <c r="D776" s="14"/>
      <c r="E776" s="14"/>
      <c r="F776" s="14"/>
      <c r="G776" s="14"/>
      <c r="H776" s="15"/>
      <c r="I776" s="15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  <c r="BN776" s="14"/>
      <c r="BO776" s="14"/>
      <c r="BP776" s="14"/>
      <c r="BQ776" s="14"/>
      <c r="BR776" s="14"/>
      <c r="BS776" s="14"/>
      <c r="BT776" s="14"/>
      <c r="BU776" s="14"/>
      <c r="BV776" s="14"/>
      <c r="BW776" s="14"/>
      <c r="BX776" s="14"/>
      <c r="BY776" s="14"/>
      <c r="BZ776" s="14"/>
      <c r="CA776" s="14"/>
      <c r="CB776" s="14"/>
      <c r="CC776" s="14"/>
      <c r="CD776" s="14"/>
      <c r="CE776" s="14"/>
      <c r="CF776" s="14"/>
      <c r="CG776" s="14"/>
      <c r="CH776" s="14"/>
      <c r="CI776" s="14"/>
      <c r="CJ776" s="14"/>
      <c r="CK776" s="14"/>
      <c r="CL776" s="14"/>
      <c r="CT776" s="14"/>
      <c r="CW776" s="3"/>
      <c r="DG776" s="4"/>
    </row>
    <row r="777" customFormat="false" ht="11.25" hidden="false" customHeight="true" outlineLevel="0" collapsed="false">
      <c r="A777" s="14"/>
      <c r="B777" s="15"/>
      <c r="C777" s="15"/>
      <c r="D777" s="14"/>
      <c r="E777" s="14"/>
      <c r="F777" s="14"/>
      <c r="G777" s="14"/>
      <c r="H777" s="15"/>
      <c r="I777" s="15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  <c r="BP777" s="14"/>
      <c r="BQ777" s="14"/>
      <c r="BR777" s="14"/>
      <c r="BS777" s="14"/>
      <c r="BT777" s="14"/>
      <c r="BU777" s="14"/>
      <c r="BV777" s="14"/>
      <c r="BW777" s="14"/>
      <c r="BX777" s="14"/>
      <c r="BY777" s="14"/>
      <c r="BZ777" s="14"/>
      <c r="CA777" s="14"/>
      <c r="CB777" s="14"/>
      <c r="CC777" s="14"/>
      <c r="CD777" s="14"/>
      <c r="CE777" s="14"/>
      <c r="CF777" s="14"/>
      <c r="CG777" s="14"/>
      <c r="CH777" s="14"/>
      <c r="CI777" s="14"/>
      <c r="CJ777" s="14"/>
      <c r="CK777" s="14"/>
      <c r="CL777" s="14"/>
      <c r="CT777" s="14"/>
      <c r="CW777" s="3"/>
      <c r="DG777" s="4"/>
    </row>
    <row r="778" customFormat="false" ht="11.25" hidden="false" customHeight="true" outlineLevel="0" collapsed="false">
      <c r="A778" s="14"/>
      <c r="B778" s="15"/>
      <c r="C778" s="15"/>
      <c r="D778" s="14"/>
      <c r="E778" s="14"/>
      <c r="F778" s="14"/>
      <c r="G778" s="14"/>
      <c r="H778" s="15"/>
      <c r="I778" s="15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  <c r="BN778" s="14"/>
      <c r="BO778" s="14"/>
      <c r="BP778" s="14"/>
      <c r="BQ778" s="14"/>
      <c r="BR778" s="14"/>
      <c r="BS778" s="14"/>
      <c r="BT778" s="14"/>
      <c r="BU778" s="14"/>
      <c r="BV778" s="14"/>
      <c r="BW778" s="14"/>
      <c r="BX778" s="14"/>
      <c r="BY778" s="14"/>
      <c r="BZ778" s="14"/>
      <c r="CA778" s="14"/>
      <c r="CB778" s="14"/>
      <c r="CC778" s="14"/>
      <c r="CD778" s="14"/>
      <c r="CE778" s="14"/>
      <c r="CF778" s="14"/>
      <c r="CG778" s="14"/>
      <c r="CH778" s="14"/>
      <c r="CI778" s="14"/>
      <c r="CJ778" s="14"/>
      <c r="CK778" s="14"/>
      <c r="CL778" s="14"/>
      <c r="CT778" s="14"/>
      <c r="CW778" s="3"/>
      <c r="DG778" s="4"/>
    </row>
    <row r="779" customFormat="false" ht="11.25" hidden="false" customHeight="true" outlineLevel="0" collapsed="false">
      <c r="A779" s="14"/>
      <c r="B779" s="15"/>
      <c r="C779" s="15"/>
      <c r="D779" s="14"/>
      <c r="E779" s="14"/>
      <c r="F779" s="14"/>
      <c r="G779" s="14"/>
      <c r="H779" s="15"/>
      <c r="I779" s="15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  <c r="BP779" s="14"/>
      <c r="BQ779" s="14"/>
      <c r="BR779" s="14"/>
      <c r="BS779" s="14"/>
      <c r="BT779" s="14"/>
      <c r="BU779" s="14"/>
      <c r="BV779" s="14"/>
      <c r="BW779" s="14"/>
      <c r="BX779" s="14"/>
      <c r="BY779" s="14"/>
      <c r="BZ779" s="14"/>
      <c r="CA779" s="14"/>
      <c r="CB779" s="14"/>
      <c r="CC779" s="14"/>
      <c r="CD779" s="14"/>
      <c r="CE779" s="14"/>
      <c r="CF779" s="14"/>
      <c r="CG779" s="14"/>
      <c r="CH779" s="14"/>
      <c r="CI779" s="14"/>
      <c r="CJ779" s="14"/>
      <c r="CK779" s="14"/>
      <c r="CL779" s="14"/>
      <c r="CT779" s="14"/>
      <c r="CW779" s="3"/>
      <c r="DG779" s="4"/>
    </row>
    <row r="780" customFormat="false" ht="11.25" hidden="false" customHeight="true" outlineLevel="0" collapsed="false">
      <c r="A780" s="14"/>
      <c r="B780" s="15"/>
      <c r="C780" s="15"/>
      <c r="D780" s="14"/>
      <c r="E780" s="14"/>
      <c r="F780" s="14"/>
      <c r="G780" s="14"/>
      <c r="H780" s="15"/>
      <c r="I780" s="15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K780" s="14"/>
      <c r="BL780" s="14"/>
      <c r="BM780" s="14"/>
      <c r="BN780" s="14"/>
      <c r="BO780" s="14"/>
      <c r="BP780" s="14"/>
      <c r="BQ780" s="14"/>
      <c r="BR780" s="14"/>
      <c r="BS780" s="14"/>
      <c r="BT780" s="14"/>
      <c r="BU780" s="14"/>
      <c r="BV780" s="14"/>
      <c r="BW780" s="14"/>
      <c r="BX780" s="14"/>
      <c r="BY780" s="14"/>
      <c r="BZ780" s="14"/>
      <c r="CA780" s="14"/>
      <c r="CB780" s="14"/>
      <c r="CC780" s="14"/>
      <c r="CD780" s="14"/>
      <c r="CE780" s="14"/>
      <c r="CF780" s="14"/>
      <c r="CG780" s="14"/>
      <c r="CH780" s="14"/>
      <c r="CI780" s="14"/>
      <c r="CJ780" s="14"/>
      <c r="CK780" s="14"/>
      <c r="CL780" s="14"/>
      <c r="CT780" s="14"/>
      <c r="CW780" s="3"/>
      <c r="DG780" s="4"/>
    </row>
    <row r="781" customFormat="false" ht="11.25" hidden="false" customHeight="true" outlineLevel="0" collapsed="false">
      <c r="A781" s="14"/>
      <c r="B781" s="15"/>
      <c r="C781" s="15"/>
      <c r="D781" s="14"/>
      <c r="E781" s="14"/>
      <c r="F781" s="14"/>
      <c r="G781" s="14"/>
      <c r="H781" s="15"/>
      <c r="I781" s="15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  <c r="BP781" s="14"/>
      <c r="BQ781" s="14"/>
      <c r="BR781" s="14"/>
      <c r="BS781" s="14"/>
      <c r="BT781" s="14"/>
      <c r="BU781" s="14"/>
      <c r="BV781" s="14"/>
      <c r="BW781" s="14"/>
      <c r="BX781" s="14"/>
      <c r="BY781" s="14"/>
      <c r="BZ781" s="14"/>
      <c r="CA781" s="14"/>
      <c r="CB781" s="14"/>
      <c r="CC781" s="14"/>
      <c r="CD781" s="14"/>
      <c r="CE781" s="14"/>
      <c r="CF781" s="14"/>
      <c r="CG781" s="14"/>
      <c r="CH781" s="14"/>
      <c r="CI781" s="14"/>
      <c r="CJ781" s="14"/>
      <c r="CK781" s="14"/>
      <c r="CL781" s="14"/>
      <c r="CT781" s="14"/>
      <c r="CW781" s="3"/>
      <c r="DG781" s="4"/>
    </row>
    <row r="782" customFormat="false" ht="11.25" hidden="false" customHeight="true" outlineLevel="0" collapsed="false">
      <c r="A782" s="14"/>
      <c r="B782" s="15"/>
      <c r="C782" s="15"/>
      <c r="D782" s="14"/>
      <c r="E782" s="14"/>
      <c r="F782" s="14"/>
      <c r="G782" s="14"/>
      <c r="H782" s="15"/>
      <c r="I782" s="15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  <c r="BO782" s="14"/>
      <c r="BP782" s="14"/>
      <c r="BQ782" s="14"/>
      <c r="BR782" s="14"/>
      <c r="BS782" s="14"/>
      <c r="BT782" s="14"/>
      <c r="BU782" s="14"/>
      <c r="BV782" s="14"/>
      <c r="BW782" s="14"/>
      <c r="BX782" s="14"/>
      <c r="BY782" s="14"/>
      <c r="BZ782" s="14"/>
      <c r="CA782" s="14"/>
      <c r="CB782" s="14"/>
      <c r="CC782" s="14"/>
      <c r="CD782" s="14"/>
      <c r="CE782" s="14"/>
      <c r="CF782" s="14"/>
      <c r="CG782" s="14"/>
      <c r="CH782" s="14"/>
      <c r="CI782" s="14"/>
      <c r="CJ782" s="14"/>
      <c r="CK782" s="14"/>
      <c r="CL782" s="14"/>
      <c r="CT782" s="14"/>
      <c r="CW782" s="3"/>
      <c r="DG782" s="4"/>
    </row>
    <row r="783" customFormat="false" ht="11.25" hidden="false" customHeight="true" outlineLevel="0" collapsed="false">
      <c r="A783" s="14"/>
      <c r="B783" s="15"/>
      <c r="C783" s="15"/>
      <c r="D783" s="14"/>
      <c r="E783" s="14"/>
      <c r="F783" s="14"/>
      <c r="G783" s="14"/>
      <c r="H783" s="15"/>
      <c r="I783" s="15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  <c r="BP783" s="14"/>
      <c r="BQ783" s="14"/>
      <c r="BR783" s="14"/>
      <c r="BS783" s="14"/>
      <c r="BT783" s="14"/>
      <c r="BU783" s="14"/>
      <c r="BV783" s="14"/>
      <c r="BW783" s="14"/>
      <c r="BX783" s="14"/>
      <c r="BY783" s="14"/>
      <c r="BZ783" s="14"/>
      <c r="CA783" s="14"/>
      <c r="CB783" s="14"/>
      <c r="CC783" s="14"/>
      <c r="CD783" s="14"/>
      <c r="CE783" s="14"/>
      <c r="CF783" s="14"/>
      <c r="CG783" s="14"/>
      <c r="CH783" s="14"/>
      <c r="CI783" s="14"/>
      <c r="CJ783" s="14"/>
      <c r="CK783" s="14"/>
      <c r="CL783" s="14"/>
      <c r="CT783" s="14"/>
      <c r="CW783" s="3"/>
      <c r="DG783" s="4"/>
    </row>
    <row r="784" customFormat="false" ht="11.25" hidden="false" customHeight="true" outlineLevel="0" collapsed="false">
      <c r="A784" s="14"/>
      <c r="B784" s="15"/>
      <c r="C784" s="15"/>
      <c r="D784" s="14"/>
      <c r="E784" s="14"/>
      <c r="F784" s="14"/>
      <c r="G784" s="14"/>
      <c r="H784" s="15"/>
      <c r="I784" s="15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  <c r="BN784" s="14"/>
      <c r="BO784" s="14"/>
      <c r="BP784" s="14"/>
      <c r="BQ784" s="14"/>
      <c r="BR784" s="14"/>
      <c r="BS784" s="14"/>
      <c r="BT784" s="14"/>
      <c r="BU784" s="14"/>
      <c r="BV784" s="14"/>
      <c r="BW784" s="14"/>
      <c r="BX784" s="14"/>
      <c r="BY784" s="14"/>
      <c r="BZ784" s="14"/>
      <c r="CA784" s="14"/>
      <c r="CB784" s="14"/>
      <c r="CC784" s="14"/>
      <c r="CD784" s="14"/>
      <c r="CE784" s="14"/>
      <c r="CF784" s="14"/>
      <c r="CG784" s="14"/>
      <c r="CH784" s="14"/>
      <c r="CI784" s="14"/>
      <c r="CJ784" s="14"/>
      <c r="CK784" s="14"/>
      <c r="CL784" s="14"/>
      <c r="CT784" s="14"/>
      <c r="CW784" s="3"/>
      <c r="DG784" s="4"/>
    </row>
    <row r="785" customFormat="false" ht="11.25" hidden="false" customHeight="true" outlineLevel="0" collapsed="false">
      <c r="A785" s="14"/>
      <c r="B785" s="15"/>
      <c r="C785" s="15"/>
      <c r="D785" s="14"/>
      <c r="E785" s="14"/>
      <c r="F785" s="14"/>
      <c r="G785" s="14"/>
      <c r="H785" s="15"/>
      <c r="I785" s="15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  <c r="BP785" s="14"/>
      <c r="BQ785" s="14"/>
      <c r="BR785" s="14"/>
      <c r="BS785" s="14"/>
      <c r="BT785" s="14"/>
      <c r="BU785" s="14"/>
      <c r="BV785" s="14"/>
      <c r="BW785" s="14"/>
      <c r="BX785" s="14"/>
      <c r="BY785" s="14"/>
      <c r="BZ785" s="14"/>
      <c r="CA785" s="14"/>
      <c r="CB785" s="14"/>
      <c r="CC785" s="14"/>
      <c r="CD785" s="14"/>
      <c r="CE785" s="14"/>
      <c r="CF785" s="14"/>
      <c r="CG785" s="14"/>
      <c r="CH785" s="14"/>
      <c r="CI785" s="14"/>
      <c r="CJ785" s="14"/>
      <c r="CK785" s="14"/>
      <c r="CL785" s="14"/>
      <c r="CT785" s="14"/>
      <c r="CW785" s="3"/>
      <c r="DG785" s="4"/>
    </row>
    <row r="786" customFormat="false" ht="11.25" hidden="false" customHeight="true" outlineLevel="0" collapsed="false">
      <c r="A786" s="14"/>
      <c r="B786" s="15"/>
      <c r="C786" s="15"/>
      <c r="D786" s="14"/>
      <c r="E786" s="14"/>
      <c r="F786" s="14"/>
      <c r="G786" s="14"/>
      <c r="H786" s="15"/>
      <c r="I786" s="15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  <c r="BO786" s="14"/>
      <c r="BP786" s="14"/>
      <c r="BQ786" s="14"/>
      <c r="BR786" s="14"/>
      <c r="BS786" s="14"/>
      <c r="BT786" s="14"/>
      <c r="BU786" s="14"/>
      <c r="BV786" s="14"/>
      <c r="BW786" s="14"/>
      <c r="BX786" s="14"/>
      <c r="BY786" s="14"/>
      <c r="BZ786" s="14"/>
      <c r="CA786" s="14"/>
      <c r="CB786" s="14"/>
      <c r="CC786" s="14"/>
      <c r="CD786" s="14"/>
      <c r="CE786" s="14"/>
      <c r="CF786" s="14"/>
      <c r="CG786" s="14"/>
      <c r="CH786" s="14"/>
      <c r="CI786" s="14"/>
      <c r="CJ786" s="14"/>
      <c r="CK786" s="14"/>
      <c r="CL786" s="14"/>
      <c r="CT786" s="14"/>
      <c r="CW786" s="3"/>
      <c r="DG786" s="4"/>
    </row>
    <row r="787" customFormat="false" ht="11.25" hidden="false" customHeight="true" outlineLevel="0" collapsed="false">
      <c r="A787" s="14"/>
      <c r="B787" s="15"/>
      <c r="C787" s="15"/>
      <c r="D787" s="14"/>
      <c r="E787" s="14"/>
      <c r="F787" s="14"/>
      <c r="G787" s="14"/>
      <c r="H787" s="15"/>
      <c r="I787" s="15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  <c r="BP787" s="14"/>
      <c r="BQ787" s="14"/>
      <c r="BR787" s="14"/>
      <c r="BS787" s="14"/>
      <c r="BT787" s="14"/>
      <c r="BU787" s="14"/>
      <c r="BV787" s="14"/>
      <c r="BW787" s="14"/>
      <c r="BX787" s="14"/>
      <c r="BY787" s="14"/>
      <c r="BZ787" s="14"/>
      <c r="CA787" s="14"/>
      <c r="CB787" s="14"/>
      <c r="CC787" s="14"/>
      <c r="CD787" s="14"/>
      <c r="CE787" s="14"/>
      <c r="CF787" s="14"/>
      <c r="CG787" s="14"/>
      <c r="CH787" s="14"/>
      <c r="CI787" s="14"/>
      <c r="CJ787" s="14"/>
      <c r="CK787" s="14"/>
      <c r="CL787" s="14"/>
      <c r="CT787" s="14"/>
      <c r="CW787" s="3"/>
      <c r="DG787" s="4"/>
    </row>
    <row r="788" customFormat="false" ht="11.25" hidden="false" customHeight="true" outlineLevel="0" collapsed="false">
      <c r="A788" s="14"/>
      <c r="B788" s="15"/>
      <c r="C788" s="15"/>
      <c r="D788" s="14"/>
      <c r="E788" s="14"/>
      <c r="F788" s="14"/>
      <c r="G788" s="14"/>
      <c r="H788" s="15"/>
      <c r="I788" s="15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  <c r="BO788" s="14"/>
      <c r="BP788" s="14"/>
      <c r="BQ788" s="14"/>
      <c r="BR788" s="14"/>
      <c r="BS788" s="14"/>
      <c r="BT788" s="14"/>
      <c r="BU788" s="14"/>
      <c r="BV788" s="14"/>
      <c r="BW788" s="14"/>
      <c r="BX788" s="14"/>
      <c r="BY788" s="14"/>
      <c r="BZ788" s="14"/>
      <c r="CA788" s="14"/>
      <c r="CB788" s="14"/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T788" s="14"/>
      <c r="CW788" s="3"/>
      <c r="DG788" s="4"/>
    </row>
    <row r="789" customFormat="false" ht="11.25" hidden="false" customHeight="true" outlineLevel="0" collapsed="false">
      <c r="A789" s="14"/>
      <c r="B789" s="15"/>
      <c r="C789" s="15"/>
      <c r="D789" s="14"/>
      <c r="E789" s="14"/>
      <c r="F789" s="14"/>
      <c r="G789" s="14"/>
      <c r="H789" s="15"/>
      <c r="I789" s="15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  <c r="BP789" s="14"/>
      <c r="BQ789" s="14"/>
      <c r="BR789" s="14"/>
      <c r="BS789" s="14"/>
      <c r="BT789" s="14"/>
      <c r="BU789" s="14"/>
      <c r="BV789" s="14"/>
      <c r="BW789" s="14"/>
      <c r="BX789" s="14"/>
      <c r="BY789" s="14"/>
      <c r="BZ789" s="14"/>
      <c r="CA789" s="14"/>
      <c r="CB789" s="14"/>
      <c r="CC789" s="14"/>
      <c r="CD789" s="14"/>
      <c r="CE789" s="14"/>
      <c r="CF789" s="14"/>
      <c r="CG789" s="14"/>
      <c r="CH789" s="14"/>
      <c r="CI789" s="14"/>
      <c r="CJ789" s="14"/>
      <c r="CK789" s="14"/>
      <c r="CL789" s="14"/>
      <c r="CT789" s="14"/>
      <c r="CW789" s="3"/>
      <c r="DG789" s="4"/>
    </row>
    <row r="790" customFormat="false" ht="11.25" hidden="false" customHeight="true" outlineLevel="0" collapsed="false">
      <c r="A790" s="14"/>
      <c r="B790" s="15"/>
      <c r="C790" s="15"/>
      <c r="D790" s="14"/>
      <c r="E790" s="14"/>
      <c r="F790" s="14"/>
      <c r="G790" s="14"/>
      <c r="H790" s="15"/>
      <c r="I790" s="15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  <c r="BN790" s="14"/>
      <c r="BO790" s="14"/>
      <c r="BP790" s="14"/>
      <c r="BQ790" s="14"/>
      <c r="BR790" s="14"/>
      <c r="BS790" s="14"/>
      <c r="BT790" s="14"/>
      <c r="BU790" s="14"/>
      <c r="BV790" s="14"/>
      <c r="BW790" s="14"/>
      <c r="BX790" s="14"/>
      <c r="BY790" s="14"/>
      <c r="BZ790" s="14"/>
      <c r="CA790" s="14"/>
      <c r="CB790" s="14"/>
      <c r="CC790" s="14"/>
      <c r="CD790" s="14"/>
      <c r="CE790" s="14"/>
      <c r="CF790" s="14"/>
      <c r="CG790" s="14"/>
      <c r="CH790" s="14"/>
      <c r="CI790" s="14"/>
      <c r="CJ790" s="14"/>
      <c r="CK790" s="14"/>
      <c r="CL790" s="14"/>
      <c r="CT790" s="14"/>
      <c r="CW790" s="3"/>
      <c r="DG790" s="4"/>
    </row>
    <row r="791" customFormat="false" ht="11.25" hidden="false" customHeight="true" outlineLevel="0" collapsed="false">
      <c r="A791" s="14"/>
      <c r="B791" s="15"/>
      <c r="C791" s="15"/>
      <c r="D791" s="14"/>
      <c r="E791" s="14"/>
      <c r="F791" s="14"/>
      <c r="G791" s="14"/>
      <c r="H791" s="15"/>
      <c r="I791" s="15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4"/>
      <c r="BP791" s="14"/>
      <c r="BQ791" s="14"/>
      <c r="BR791" s="14"/>
      <c r="BS791" s="14"/>
      <c r="BT791" s="14"/>
      <c r="BU791" s="14"/>
      <c r="BV791" s="14"/>
      <c r="BW791" s="14"/>
      <c r="BX791" s="14"/>
      <c r="BY791" s="14"/>
      <c r="BZ791" s="14"/>
      <c r="CA791" s="14"/>
      <c r="CB791" s="14"/>
      <c r="CC791" s="14"/>
      <c r="CD791" s="14"/>
      <c r="CE791" s="14"/>
      <c r="CF791" s="14"/>
      <c r="CG791" s="14"/>
      <c r="CH791" s="14"/>
      <c r="CI791" s="14"/>
      <c r="CJ791" s="14"/>
      <c r="CK791" s="14"/>
      <c r="CL791" s="14"/>
      <c r="CT791" s="14"/>
      <c r="CW791" s="3"/>
      <c r="DG791" s="4"/>
    </row>
    <row r="792" customFormat="false" ht="11.25" hidden="false" customHeight="true" outlineLevel="0" collapsed="false">
      <c r="A792" s="14"/>
      <c r="B792" s="15"/>
      <c r="C792" s="15"/>
      <c r="D792" s="14"/>
      <c r="E792" s="14"/>
      <c r="F792" s="14"/>
      <c r="G792" s="14"/>
      <c r="H792" s="15"/>
      <c r="I792" s="15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  <c r="BN792" s="14"/>
      <c r="BO792" s="14"/>
      <c r="BP792" s="14"/>
      <c r="BQ792" s="14"/>
      <c r="BR792" s="14"/>
      <c r="BS792" s="14"/>
      <c r="BT792" s="14"/>
      <c r="BU792" s="14"/>
      <c r="BV792" s="14"/>
      <c r="BW792" s="14"/>
      <c r="BX792" s="14"/>
      <c r="BY792" s="14"/>
      <c r="BZ792" s="14"/>
      <c r="CA792" s="14"/>
      <c r="CB792" s="14"/>
      <c r="CC792" s="14"/>
      <c r="CD792" s="14"/>
      <c r="CE792" s="14"/>
      <c r="CF792" s="14"/>
      <c r="CG792" s="14"/>
      <c r="CH792" s="14"/>
      <c r="CI792" s="14"/>
      <c r="CJ792" s="14"/>
      <c r="CK792" s="14"/>
      <c r="CL792" s="14"/>
      <c r="CT792" s="14"/>
      <c r="CW792" s="3"/>
      <c r="DG792" s="4"/>
    </row>
    <row r="793" customFormat="false" ht="11.25" hidden="false" customHeight="true" outlineLevel="0" collapsed="false">
      <c r="A793" s="14"/>
      <c r="B793" s="15"/>
      <c r="C793" s="15"/>
      <c r="D793" s="14"/>
      <c r="E793" s="14"/>
      <c r="F793" s="14"/>
      <c r="G793" s="14"/>
      <c r="H793" s="15"/>
      <c r="I793" s="15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  <c r="BP793" s="14"/>
      <c r="BQ793" s="14"/>
      <c r="BR793" s="14"/>
      <c r="BS793" s="14"/>
      <c r="BT793" s="14"/>
      <c r="BU793" s="14"/>
      <c r="BV793" s="14"/>
      <c r="BW793" s="14"/>
      <c r="BX793" s="14"/>
      <c r="BY793" s="14"/>
      <c r="BZ793" s="14"/>
      <c r="CA793" s="14"/>
      <c r="CB793" s="14"/>
      <c r="CC793" s="14"/>
      <c r="CD793" s="14"/>
      <c r="CE793" s="14"/>
      <c r="CF793" s="14"/>
      <c r="CG793" s="14"/>
      <c r="CH793" s="14"/>
      <c r="CI793" s="14"/>
      <c r="CJ793" s="14"/>
      <c r="CK793" s="14"/>
      <c r="CL793" s="14"/>
      <c r="CT793" s="14"/>
      <c r="CW793" s="3"/>
      <c r="DG793" s="4"/>
    </row>
    <row r="794" customFormat="false" ht="11.25" hidden="false" customHeight="true" outlineLevel="0" collapsed="false">
      <c r="A794" s="14"/>
      <c r="B794" s="15"/>
      <c r="C794" s="15"/>
      <c r="D794" s="14"/>
      <c r="E794" s="14"/>
      <c r="F794" s="14"/>
      <c r="G794" s="14"/>
      <c r="H794" s="15"/>
      <c r="I794" s="15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  <c r="BN794" s="14"/>
      <c r="BO794" s="14"/>
      <c r="BP794" s="14"/>
      <c r="BQ794" s="14"/>
      <c r="BR794" s="14"/>
      <c r="BS794" s="14"/>
      <c r="BT794" s="14"/>
      <c r="BU794" s="14"/>
      <c r="BV794" s="14"/>
      <c r="BW794" s="14"/>
      <c r="BX794" s="14"/>
      <c r="BY794" s="14"/>
      <c r="BZ794" s="14"/>
      <c r="CA794" s="14"/>
      <c r="CB794" s="14"/>
      <c r="CC794" s="14"/>
      <c r="CD794" s="14"/>
      <c r="CE794" s="14"/>
      <c r="CF794" s="14"/>
      <c r="CG794" s="14"/>
      <c r="CH794" s="14"/>
      <c r="CI794" s="14"/>
      <c r="CJ794" s="14"/>
      <c r="CK794" s="14"/>
      <c r="CL794" s="14"/>
      <c r="CT794" s="14"/>
      <c r="CW794" s="3"/>
      <c r="DG794" s="4"/>
    </row>
    <row r="795" customFormat="false" ht="11.25" hidden="false" customHeight="true" outlineLevel="0" collapsed="false">
      <c r="A795" s="14"/>
      <c r="B795" s="15"/>
      <c r="C795" s="15"/>
      <c r="D795" s="14"/>
      <c r="E795" s="14"/>
      <c r="F795" s="14"/>
      <c r="G795" s="14"/>
      <c r="H795" s="15"/>
      <c r="I795" s="15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  <c r="BP795" s="14"/>
      <c r="BQ795" s="14"/>
      <c r="BR795" s="14"/>
      <c r="BS795" s="14"/>
      <c r="BT795" s="14"/>
      <c r="BU795" s="14"/>
      <c r="BV795" s="14"/>
      <c r="BW795" s="14"/>
      <c r="BX795" s="14"/>
      <c r="BY795" s="14"/>
      <c r="BZ795" s="14"/>
      <c r="CA795" s="14"/>
      <c r="CB795" s="14"/>
      <c r="CC795" s="14"/>
      <c r="CD795" s="14"/>
      <c r="CE795" s="14"/>
      <c r="CF795" s="14"/>
      <c r="CG795" s="14"/>
      <c r="CH795" s="14"/>
      <c r="CI795" s="14"/>
      <c r="CJ795" s="14"/>
      <c r="CK795" s="14"/>
      <c r="CL795" s="14"/>
      <c r="CT795" s="14"/>
      <c r="CW795" s="3"/>
      <c r="DG795" s="4"/>
    </row>
    <row r="796" customFormat="false" ht="11.25" hidden="false" customHeight="true" outlineLevel="0" collapsed="false">
      <c r="A796" s="14"/>
      <c r="B796" s="15"/>
      <c r="C796" s="15"/>
      <c r="D796" s="14"/>
      <c r="E796" s="14"/>
      <c r="F796" s="14"/>
      <c r="G796" s="14"/>
      <c r="H796" s="15"/>
      <c r="I796" s="15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4"/>
      <c r="BK796" s="14"/>
      <c r="BL796" s="14"/>
      <c r="BM796" s="14"/>
      <c r="BN796" s="14"/>
      <c r="BO796" s="14"/>
      <c r="BP796" s="14"/>
      <c r="BQ796" s="14"/>
      <c r="BR796" s="14"/>
      <c r="BS796" s="14"/>
      <c r="BT796" s="14"/>
      <c r="BU796" s="14"/>
      <c r="BV796" s="14"/>
      <c r="BW796" s="14"/>
      <c r="BX796" s="14"/>
      <c r="BY796" s="14"/>
      <c r="BZ796" s="14"/>
      <c r="CA796" s="14"/>
      <c r="CB796" s="14"/>
      <c r="CC796" s="14"/>
      <c r="CD796" s="14"/>
      <c r="CE796" s="14"/>
      <c r="CF796" s="14"/>
      <c r="CG796" s="14"/>
      <c r="CH796" s="14"/>
      <c r="CI796" s="14"/>
      <c r="CJ796" s="14"/>
      <c r="CK796" s="14"/>
      <c r="CL796" s="14"/>
      <c r="CT796" s="14"/>
      <c r="CW796" s="3"/>
      <c r="DG796" s="4"/>
    </row>
    <row r="797" customFormat="false" ht="11.25" hidden="false" customHeight="true" outlineLevel="0" collapsed="false">
      <c r="A797" s="14"/>
      <c r="B797" s="15"/>
      <c r="C797" s="15"/>
      <c r="D797" s="14"/>
      <c r="E797" s="14"/>
      <c r="F797" s="14"/>
      <c r="G797" s="14"/>
      <c r="H797" s="15"/>
      <c r="I797" s="15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  <c r="BP797" s="14"/>
      <c r="BQ797" s="14"/>
      <c r="BR797" s="14"/>
      <c r="BS797" s="14"/>
      <c r="BT797" s="14"/>
      <c r="BU797" s="14"/>
      <c r="BV797" s="14"/>
      <c r="BW797" s="14"/>
      <c r="BX797" s="14"/>
      <c r="BY797" s="14"/>
      <c r="BZ797" s="14"/>
      <c r="CA797" s="14"/>
      <c r="CB797" s="14"/>
      <c r="CC797" s="14"/>
      <c r="CD797" s="14"/>
      <c r="CE797" s="14"/>
      <c r="CF797" s="14"/>
      <c r="CG797" s="14"/>
      <c r="CH797" s="14"/>
      <c r="CI797" s="14"/>
      <c r="CJ797" s="14"/>
      <c r="CK797" s="14"/>
      <c r="CL797" s="14"/>
      <c r="CT797" s="14"/>
      <c r="CW797" s="3"/>
      <c r="DG797" s="4"/>
    </row>
    <row r="798" customFormat="false" ht="11.25" hidden="false" customHeight="true" outlineLevel="0" collapsed="false">
      <c r="A798" s="14"/>
      <c r="B798" s="15"/>
      <c r="C798" s="15"/>
      <c r="D798" s="14"/>
      <c r="E798" s="14"/>
      <c r="F798" s="14"/>
      <c r="G798" s="14"/>
      <c r="H798" s="15"/>
      <c r="I798" s="15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  <c r="BL798" s="14"/>
      <c r="BM798" s="14"/>
      <c r="BN798" s="14"/>
      <c r="BO798" s="14"/>
      <c r="BP798" s="14"/>
      <c r="BQ798" s="14"/>
      <c r="BR798" s="14"/>
      <c r="BS798" s="14"/>
      <c r="BT798" s="14"/>
      <c r="BU798" s="14"/>
      <c r="BV798" s="14"/>
      <c r="BW798" s="14"/>
      <c r="BX798" s="14"/>
      <c r="BY798" s="14"/>
      <c r="BZ798" s="14"/>
      <c r="CA798" s="14"/>
      <c r="CB798" s="14"/>
      <c r="CC798" s="14"/>
      <c r="CD798" s="14"/>
      <c r="CE798" s="14"/>
      <c r="CF798" s="14"/>
      <c r="CG798" s="14"/>
      <c r="CH798" s="14"/>
      <c r="CI798" s="14"/>
      <c r="CJ798" s="14"/>
      <c r="CK798" s="14"/>
      <c r="CL798" s="14"/>
      <c r="CT798" s="14"/>
      <c r="CW798" s="3"/>
      <c r="DG798" s="4"/>
    </row>
    <row r="799" customFormat="false" ht="11.25" hidden="false" customHeight="true" outlineLevel="0" collapsed="false">
      <c r="A799" s="14"/>
      <c r="B799" s="15"/>
      <c r="C799" s="15"/>
      <c r="D799" s="14"/>
      <c r="E799" s="14"/>
      <c r="F799" s="14"/>
      <c r="G799" s="14"/>
      <c r="H799" s="15"/>
      <c r="I799" s="15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  <c r="BP799" s="14"/>
      <c r="BQ799" s="14"/>
      <c r="BR799" s="14"/>
      <c r="BS799" s="14"/>
      <c r="BT799" s="14"/>
      <c r="BU799" s="14"/>
      <c r="BV799" s="14"/>
      <c r="BW799" s="14"/>
      <c r="BX799" s="14"/>
      <c r="BY799" s="14"/>
      <c r="BZ799" s="14"/>
      <c r="CA799" s="14"/>
      <c r="CB799" s="14"/>
      <c r="CC799" s="14"/>
      <c r="CD799" s="14"/>
      <c r="CE799" s="14"/>
      <c r="CF799" s="14"/>
      <c r="CG799" s="14"/>
      <c r="CH799" s="14"/>
      <c r="CI799" s="14"/>
      <c r="CJ799" s="14"/>
      <c r="CK799" s="14"/>
      <c r="CL799" s="14"/>
      <c r="CT799" s="14"/>
      <c r="CW799" s="3"/>
      <c r="DG799" s="4"/>
    </row>
    <row r="800" customFormat="false" ht="11.25" hidden="false" customHeight="true" outlineLevel="0" collapsed="false">
      <c r="A800" s="14"/>
      <c r="B800" s="15"/>
      <c r="C800" s="15"/>
      <c r="D800" s="14"/>
      <c r="E800" s="14"/>
      <c r="F800" s="14"/>
      <c r="G800" s="14"/>
      <c r="H800" s="15"/>
      <c r="I800" s="15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  <c r="BN800" s="14"/>
      <c r="BO800" s="14"/>
      <c r="BP800" s="14"/>
      <c r="BQ800" s="14"/>
      <c r="BR800" s="14"/>
      <c r="BS800" s="14"/>
      <c r="BT800" s="14"/>
      <c r="BU800" s="14"/>
      <c r="BV800" s="14"/>
      <c r="BW800" s="14"/>
      <c r="BX800" s="14"/>
      <c r="BY800" s="14"/>
      <c r="BZ800" s="14"/>
      <c r="CA800" s="14"/>
      <c r="CB800" s="14"/>
      <c r="CC800" s="14"/>
      <c r="CD800" s="14"/>
      <c r="CE800" s="14"/>
      <c r="CF800" s="14"/>
      <c r="CG800" s="14"/>
      <c r="CH800" s="14"/>
      <c r="CI800" s="14"/>
      <c r="CJ800" s="14"/>
      <c r="CK800" s="14"/>
      <c r="CL800" s="14"/>
      <c r="CT800" s="14"/>
      <c r="CW800" s="3"/>
      <c r="DG800" s="4"/>
    </row>
    <row r="801" customFormat="false" ht="11.25" hidden="false" customHeight="true" outlineLevel="0" collapsed="false">
      <c r="A801" s="14"/>
      <c r="B801" s="15"/>
      <c r="C801" s="15"/>
      <c r="D801" s="14"/>
      <c r="E801" s="14"/>
      <c r="F801" s="14"/>
      <c r="G801" s="14"/>
      <c r="H801" s="15"/>
      <c r="I801" s="15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4"/>
      <c r="BP801" s="14"/>
      <c r="BQ801" s="14"/>
      <c r="BR801" s="14"/>
      <c r="BS801" s="14"/>
      <c r="BT801" s="14"/>
      <c r="BU801" s="14"/>
      <c r="BV801" s="14"/>
      <c r="BW801" s="14"/>
      <c r="BX801" s="14"/>
      <c r="BY801" s="14"/>
      <c r="BZ801" s="14"/>
      <c r="CA801" s="14"/>
      <c r="CB801" s="14"/>
      <c r="CC801" s="14"/>
      <c r="CD801" s="14"/>
      <c r="CE801" s="14"/>
      <c r="CF801" s="14"/>
      <c r="CG801" s="14"/>
      <c r="CH801" s="14"/>
      <c r="CI801" s="14"/>
      <c r="CJ801" s="14"/>
      <c r="CK801" s="14"/>
      <c r="CL801" s="14"/>
      <c r="CT801" s="14"/>
      <c r="CW801" s="3"/>
      <c r="DG801" s="4"/>
    </row>
    <row r="802" customFormat="false" ht="11.25" hidden="false" customHeight="true" outlineLevel="0" collapsed="false">
      <c r="A802" s="14"/>
      <c r="B802" s="15"/>
      <c r="C802" s="15"/>
      <c r="D802" s="14"/>
      <c r="E802" s="14"/>
      <c r="F802" s="14"/>
      <c r="G802" s="14"/>
      <c r="H802" s="15"/>
      <c r="I802" s="15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4"/>
      <c r="BP802" s="14"/>
      <c r="BQ802" s="14"/>
      <c r="BR802" s="14"/>
      <c r="BS802" s="14"/>
      <c r="BT802" s="14"/>
      <c r="BU802" s="14"/>
      <c r="BV802" s="14"/>
      <c r="BW802" s="14"/>
      <c r="BX802" s="14"/>
      <c r="BY802" s="14"/>
      <c r="BZ802" s="14"/>
      <c r="CA802" s="14"/>
      <c r="CB802" s="14"/>
      <c r="CC802" s="14"/>
      <c r="CD802" s="14"/>
      <c r="CE802" s="14"/>
      <c r="CF802" s="14"/>
      <c r="CG802" s="14"/>
      <c r="CH802" s="14"/>
      <c r="CI802" s="14"/>
      <c r="CJ802" s="14"/>
      <c r="CK802" s="14"/>
      <c r="CL802" s="14"/>
      <c r="CT802" s="14"/>
      <c r="CW802" s="3"/>
      <c r="DG802" s="4"/>
    </row>
    <row r="803" customFormat="false" ht="11.25" hidden="false" customHeight="true" outlineLevel="0" collapsed="false">
      <c r="A803" s="14"/>
      <c r="B803" s="15"/>
      <c r="C803" s="15"/>
      <c r="D803" s="14"/>
      <c r="E803" s="14"/>
      <c r="F803" s="14"/>
      <c r="G803" s="14"/>
      <c r="H803" s="15"/>
      <c r="I803" s="15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4"/>
      <c r="BP803" s="14"/>
      <c r="BQ803" s="14"/>
      <c r="BR803" s="14"/>
      <c r="BS803" s="14"/>
      <c r="BT803" s="14"/>
      <c r="BU803" s="14"/>
      <c r="BV803" s="14"/>
      <c r="BW803" s="14"/>
      <c r="BX803" s="14"/>
      <c r="BY803" s="14"/>
      <c r="BZ803" s="14"/>
      <c r="CA803" s="14"/>
      <c r="CB803" s="14"/>
      <c r="CC803" s="14"/>
      <c r="CD803" s="14"/>
      <c r="CE803" s="14"/>
      <c r="CF803" s="14"/>
      <c r="CG803" s="14"/>
      <c r="CH803" s="14"/>
      <c r="CI803" s="14"/>
      <c r="CJ803" s="14"/>
      <c r="CK803" s="14"/>
      <c r="CL803" s="14"/>
      <c r="CT803" s="14"/>
      <c r="CW803" s="3"/>
      <c r="DG803" s="4"/>
    </row>
    <row r="804" customFormat="false" ht="11.25" hidden="false" customHeight="true" outlineLevel="0" collapsed="false">
      <c r="A804" s="14"/>
      <c r="B804" s="15"/>
      <c r="C804" s="15"/>
      <c r="D804" s="14"/>
      <c r="E804" s="14"/>
      <c r="F804" s="14"/>
      <c r="G804" s="14"/>
      <c r="H804" s="15"/>
      <c r="I804" s="15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  <c r="BL804" s="14"/>
      <c r="BM804" s="14"/>
      <c r="BN804" s="14"/>
      <c r="BO804" s="14"/>
      <c r="BP804" s="14"/>
      <c r="BQ804" s="14"/>
      <c r="BR804" s="14"/>
      <c r="BS804" s="14"/>
      <c r="BT804" s="14"/>
      <c r="BU804" s="14"/>
      <c r="BV804" s="14"/>
      <c r="BW804" s="14"/>
      <c r="BX804" s="14"/>
      <c r="BY804" s="14"/>
      <c r="BZ804" s="14"/>
      <c r="CA804" s="14"/>
      <c r="CB804" s="14"/>
      <c r="CC804" s="14"/>
      <c r="CD804" s="14"/>
      <c r="CE804" s="14"/>
      <c r="CF804" s="14"/>
      <c r="CG804" s="14"/>
      <c r="CH804" s="14"/>
      <c r="CI804" s="14"/>
      <c r="CJ804" s="14"/>
      <c r="CK804" s="14"/>
      <c r="CL804" s="14"/>
      <c r="CT804" s="14"/>
      <c r="CW804" s="3"/>
      <c r="DG804" s="4"/>
    </row>
    <row r="805" customFormat="false" ht="11.25" hidden="false" customHeight="true" outlineLevel="0" collapsed="false">
      <c r="A805" s="14"/>
      <c r="B805" s="15"/>
      <c r="C805" s="15"/>
      <c r="D805" s="14"/>
      <c r="E805" s="14"/>
      <c r="F805" s="14"/>
      <c r="G805" s="14"/>
      <c r="H805" s="15"/>
      <c r="I805" s="15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  <c r="BP805" s="14"/>
      <c r="BQ805" s="14"/>
      <c r="BR805" s="14"/>
      <c r="BS805" s="14"/>
      <c r="BT805" s="14"/>
      <c r="BU805" s="14"/>
      <c r="BV805" s="14"/>
      <c r="BW805" s="14"/>
      <c r="BX805" s="14"/>
      <c r="BY805" s="14"/>
      <c r="BZ805" s="14"/>
      <c r="CA805" s="14"/>
      <c r="CB805" s="14"/>
      <c r="CC805" s="14"/>
      <c r="CD805" s="14"/>
      <c r="CE805" s="14"/>
      <c r="CF805" s="14"/>
      <c r="CG805" s="14"/>
      <c r="CH805" s="14"/>
      <c r="CI805" s="14"/>
      <c r="CJ805" s="14"/>
      <c r="CK805" s="14"/>
      <c r="CL805" s="14"/>
      <c r="CT805" s="14"/>
      <c r="CW805" s="3"/>
      <c r="DG805" s="4"/>
    </row>
    <row r="806" customFormat="false" ht="11.25" hidden="false" customHeight="true" outlineLevel="0" collapsed="false">
      <c r="A806" s="14"/>
      <c r="B806" s="15"/>
      <c r="C806" s="15"/>
      <c r="D806" s="14"/>
      <c r="E806" s="14"/>
      <c r="F806" s="14"/>
      <c r="G806" s="14"/>
      <c r="H806" s="15"/>
      <c r="I806" s="15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  <c r="BN806" s="14"/>
      <c r="BO806" s="14"/>
      <c r="BP806" s="14"/>
      <c r="BQ806" s="14"/>
      <c r="BR806" s="14"/>
      <c r="BS806" s="14"/>
      <c r="BT806" s="14"/>
      <c r="BU806" s="14"/>
      <c r="BV806" s="14"/>
      <c r="BW806" s="14"/>
      <c r="BX806" s="14"/>
      <c r="BY806" s="14"/>
      <c r="BZ806" s="14"/>
      <c r="CA806" s="14"/>
      <c r="CB806" s="14"/>
      <c r="CC806" s="14"/>
      <c r="CD806" s="14"/>
      <c r="CE806" s="14"/>
      <c r="CF806" s="14"/>
      <c r="CG806" s="14"/>
      <c r="CH806" s="14"/>
      <c r="CI806" s="14"/>
      <c r="CJ806" s="14"/>
      <c r="CK806" s="14"/>
      <c r="CL806" s="14"/>
      <c r="CT806" s="14"/>
      <c r="CW806" s="3"/>
      <c r="DG806" s="4"/>
    </row>
    <row r="807" customFormat="false" ht="11.25" hidden="false" customHeight="true" outlineLevel="0" collapsed="false">
      <c r="A807" s="14"/>
      <c r="B807" s="15"/>
      <c r="C807" s="15"/>
      <c r="D807" s="14"/>
      <c r="E807" s="14"/>
      <c r="F807" s="14"/>
      <c r="G807" s="14"/>
      <c r="H807" s="15"/>
      <c r="I807" s="15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4"/>
      <c r="BP807" s="14"/>
      <c r="BQ807" s="14"/>
      <c r="BR807" s="14"/>
      <c r="BS807" s="14"/>
      <c r="BT807" s="14"/>
      <c r="BU807" s="14"/>
      <c r="BV807" s="14"/>
      <c r="BW807" s="14"/>
      <c r="BX807" s="14"/>
      <c r="BY807" s="14"/>
      <c r="BZ807" s="14"/>
      <c r="CA807" s="14"/>
      <c r="CB807" s="14"/>
      <c r="CC807" s="14"/>
      <c r="CD807" s="14"/>
      <c r="CE807" s="14"/>
      <c r="CF807" s="14"/>
      <c r="CG807" s="14"/>
      <c r="CH807" s="14"/>
      <c r="CI807" s="14"/>
      <c r="CJ807" s="14"/>
      <c r="CK807" s="14"/>
      <c r="CL807" s="14"/>
      <c r="CT807" s="14"/>
      <c r="CW807" s="3"/>
      <c r="DG807" s="4"/>
    </row>
    <row r="808" customFormat="false" ht="11.25" hidden="false" customHeight="true" outlineLevel="0" collapsed="false">
      <c r="A808" s="14"/>
      <c r="B808" s="15"/>
      <c r="C808" s="15"/>
      <c r="D808" s="14"/>
      <c r="E808" s="14"/>
      <c r="F808" s="14"/>
      <c r="G808" s="14"/>
      <c r="H808" s="15"/>
      <c r="I808" s="15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/>
      <c r="BO808" s="14"/>
      <c r="BP808" s="14"/>
      <c r="BQ808" s="14"/>
      <c r="BR808" s="14"/>
      <c r="BS808" s="14"/>
      <c r="BT808" s="14"/>
      <c r="BU808" s="14"/>
      <c r="BV808" s="14"/>
      <c r="BW808" s="14"/>
      <c r="BX808" s="14"/>
      <c r="BY808" s="14"/>
      <c r="BZ808" s="14"/>
      <c r="CA808" s="14"/>
      <c r="CB808" s="14"/>
      <c r="CC808" s="14"/>
      <c r="CD808" s="14"/>
      <c r="CE808" s="14"/>
      <c r="CF808" s="14"/>
      <c r="CG808" s="14"/>
      <c r="CH808" s="14"/>
      <c r="CI808" s="14"/>
      <c r="CJ808" s="14"/>
      <c r="CK808" s="14"/>
      <c r="CL808" s="14"/>
      <c r="CT808" s="14"/>
      <c r="CW808" s="3"/>
      <c r="DG808" s="4"/>
    </row>
    <row r="809" customFormat="false" ht="11.25" hidden="false" customHeight="true" outlineLevel="0" collapsed="false">
      <c r="A809" s="14"/>
      <c r="B809" s="15"/>
      <c r="C809" s="15"/>
      <c r="D809" s="14"/>
      <c r="E809" s="14"/>
      <c r="F809" s="14"/>
      <c r="G809" s="14"/>
      <c r="H809" s="15"/>
      <c r="I809" s="15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  <c r="BP809" s="14"/>
      <c r="BQ809" s="14"/>
      <c r="BR809" s="14"/>
      <c r="BS809" s="14"/>
      <c r="BT809" s="14"/>
      <c r="BU809" s="14"/>
      <c r="BV809" s="14"/>
      <c r="BW809" s="14"/>
      <c r="BX809" s="14"/>
      <c r="BY809" s="14"/>
      <c r="BZ809" s="14"/>
      <c r="CA809" s="14"/>
      <c r="CB809" s="14"/>
      <c r="CC809" s="14"/>
      <c r="CD809" s="14"/>
      <c r="CE809" s="14"/>
      <c r="CF809" s="14"/>
      <c r="CG809" s="14"/>
      <c r="CH809" s="14"/>
      <c r="CI809" s="14"/>
      <c r="CJ809" s="14"/>
      <c r="CK809" s="14"/>
      <c r="CL809" s="14"/>
      <c r="CT809" s="14"/>
      <c r="CW809" s="3"/>
      <c r="DG809" s="4"/>
    </row>
    <row r="810" customFormat="false" ht="11.25" hidden="false" customHeight="true" outlineLevel="0" collapsed="false">
      <c r="A810" s="14"/>
      <c r="B810" s="15"/>
      <c r="C810" s="15"/>
      <c r="D810" s="14"/>
      <c r="E810" s="14"/>
      <c r="F810" s="14"/>
      <c r="G810" s="14"/>
      <c r="H810" s="15"/>
      <c r="I810" s="15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  <c r="BL810" s="14"/>
      <c r="BM810" s="14"/>
      <c r="BN810" s="14"/>
      <c r="BO810" s="14"/>
      <c r="BP810" s="14"/>
      <c r="BQ810" s="14"/>
      <c r="BR810" s="14"/>
      <c r="BS810" s="14"/>
      <c r="BT810" s="14"/>
      <c r="BU810" s="14"/>
      <c r="BV810" s="14"/>
      <c r="BW810" s="14"/>
      <c r="BX810" s="14"/>
      <c r="BY810" s="14"/>
      <c r="BZ810" s="14"/>
      <c r="CA810" s="14"/>
      <c r="CB810" s="14"/>
      <c r="CC810" s="14"/>
      <c r="CD810" s="14"/>
      <c r="CE810" s="14"/>
      <c r="CF810" s="14"/>
      <c r="CG810" s="14"/>
      <c r="CH810" s="14"/>
      <c r="CI810" s="14"/>
      <c r="CJ810" s="14"/>
      <c r="CK810" s="14"/>
      <c r="CL810" s="14"/>
      <c r="CT810" s="14"/>
      <c r="CW810" s="3"/>
      <c r="DG810" s="4"/>
    </row>
    <row r="811" customFormat="false" ht="11.25" hidden="false" customHeight="true" outlineLevel="0" collapsed="false">
      <c r="A811" s="14"/>
      <c r="B811" s="15"/>
      <c r="C811" s="15"/>
      <c r="D811" s="14"/>
      <c r="E811" s="14"/>
      <c r="F811" s="14"/>
      <c r="G811" s="14"/>
      <c r="H811" s="15"/>
      <c r="I811" s="15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4"/>
      <c r="BP811" s="14"/>
      <c r="BQ811" s="14"/>
      <c r="BR811" s="14"/>
      <c r="BS811" s="14"/>
      <c r="BT811" s="14"/>
      <c r="BU811" s="14"/>
      <c r="BV811" s="14"/>
      <c r="BW811" s="14"/>
      <c r="BX811" s="14"/>
      <c r="BY811" s="14"/>
      <c r="BZ811" s="14"/>
      <c r="CA811" s="14"/>
      <c r="CB811" s="14"/>
      <c r="CC811" s="14"/>
      <c r="CD811" s="14"/>
      <c r="CE811" s="14"/>
      <c r="CF811" s="14"/>
      <c r="CG811" s="14"/>
      <c r="CH811" s="14"/>
      <c r="CI811" s="14"/>
      <c r="CJ811" s="14"/>
      <c r="CK811" s="14"/>
      <c r="CL811" s="14"/>
      <c r="CT811" s="14"/>
      <c r="CW811" s="3"/>
      <c r="DG811" s="4"/>
    </row>
    <row r="812" customFormat="false" ht="11.25" hidden="false" customHeight="true" outlineLevel="0" collapsed="false">
      <c r="A812" s="14"/>
      <c r="B812" s="15"/>
      <c r="C812" s="15"/>
      <c r="D812" s="14"/>
      <c r="E812" s="14"/>
      <c r="F812" s="14"/>
      <c r="G812" s="14"/>
      <c r="H812" s="15"/>
      <c r="I812" s="15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  <c r="BN812" s="14"/>
      <c r="BO812" s="14"/>
      <c r="BP812" s="14"/>
      <c r="BQ812" s="14"/>
      <c r="BR812" s="14"/>
      <c r="BS812" s="14"/>
      <c r="BT812" s="14"/>
      <c r="BU812" s="14"/>
      <c r="BV812" s="14"/>
      <c r="BW812" s="14"/>
      <c r="BX812" s="14"/>
      <c r="BY812" s="14"/>
      <c r="BZ812" s="14"/>
      <c r="CA812" s="14"/>
      <c r="CB812" s="14"/>
      <c r="CC812" s="14"/>
      <c r="CD812" s="14"/>
      <c r="CE812" s="14"/>
      <c r="CF812" s="14"/>
      <c r="CG812" s="14"/>
      <c r="CH812" s="14"/>
      <c r="CI812" s="14"/>
      <c r="CJ812" s="14"/>
      <c r="CK812" s="14"/>
      <c r="CL812" s="14"/>
      <c r="CT812" s="14"/>
      <c r="CW812" s="3"/>
      <c r="DG812" s="4"/>
    </row>
    <row r="813" customFormat="false" ht="11.25" hidden="false" customHeight="true" outlineLevel="0" collapsed="false">
      <c r="A813" s="14"/>
      <c r="B813" s="15"/>
      <c r="C813" s="15"/>
      <c r="D813" s="14"/>
      <c r="E813" s="14"/>
      <c r="F813" s="14"/>
      <c r="G813" s="14"/>
      <c r="H813" s="15"/>
      <c r="I813" s="15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  <c r="BP813" s="14"/>
      <c r="BQ813" s="14"/>
      <c r="BR813" s="14"/>
      <c r="BS813" s="14"/>
      <c r="BT813" s="14"/>
      <c r="BU813" s="14"/>
      <c r="BV813" s="14"/>
      <c r="BW813" s="14"/>
      <c r="BX813" s="14"/>
      <c r="BY813" s="14"/>
      <c r="BZ813" s="14"/>
      <c r="CA813" s="14"/>
      <c r="CB813" s="14"/>
      <c r="CC813" s="14"/>
      <c r="CD813" s="14"/>
      <c r="CE813" s="14"/>
      <c r="CF813" s="14"/>
      <c r="CG813" s="14"/>
      <c r="CH813" s="14"/>
      <c r="CI813" s="14"/>
      <c r="CJ813" s="14"/>
      <c r="CK813" s="14"/>
      <c r="CL813" s="14"/>
      <c r="CT813" s="14"/>
      <c r="CW813" s="3"/>
      <c r="DG813" s="4"/>
    </row>
    <row r="814" customFormat="false" ht="11.25" hidden="false" customHeight="true" outlineLevel="0" collapsed="false">
      <c r="A814" s="14"/>
      <c r="B814" s="15"/>
      <c r="C814" s="15"/>
      <c r="D814" s="14"/>
      <c r="E814" s="14"/>
      <c r="F814" s="14"/>
      <c r="G814" s="14"/>
      <c r="H814" s="15"/>
      <c r="I814" s="15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  <c r="BN814" s="14"/>
      <c r="BO814" s="14"/>
      <c r="BP814" s="14"/>
      <c r="BQ814" s="14"/>
      <c r="BR814" s="14"/>
      <c r="BS814" s="14"/>
      <c r="BT814" s="14"/>
      <c r="BU814" s="14"/>
      <c r="BV814" s="14"/>
      <c r="BW814" s="14"/>
      <c r="BX814" s="14"/>
      <c r="BY814" s="14"/>
      <c r="BZ814" s="14"/>
      <c r="CA814" s="14"/>
      <c r="CB814" s="14"/>
      <c r="CC814" s="14"/>
      <c r="CD814" s="14"/>
      <c r="CE814" s="14"/>
      <c r="CF814" s="14"/>
      <c r="CG814" s="14"/>
      <c r="CH814" s="14"/>
      <c r="CI814" s="14"/>
      <c r="CJ814" s="14"/>
      <c r="CK814" s="14"/>
      <c r="CL814" s="14"/>
      <c r="CT814" s="14"/>
      <c r="CW814" s="3"/>
      <c r="DG814" s="4"/>
    </row>
    <row r="815" customFormat="false" ht="11.25" hidden="false" customHeight="true" outlineLevel="0" collapsed="false">
      <c r="A815" s="14"/>
      <c r="B815" s="15"/>
      <c r="C815" s="15"/>
      <c r="D815" s="14"/>
      <c r="E815" s="14"/>
      <c r="F815" s="14"/>
      <c r="G815" s="14"/>
      <c r="H815" s="15"/>
      <c r="I815" s="15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  <c r="BP815" s="14"/>
      <c r="BQ815" s="14"/>
      <c r="BR815" s="14"/>
      <c r="BS815" s="14"/>
      <c r="BT815" s="14"/>
      <c r="BU815" s="14"/>
      <c r="BV815" s="14"/>
      <c r="BW815" s="14"/>
      <c r="BX815" s="14"/>
      <c r="BY815" s="14"/>
      <c r="BZ815" s="14"/>
      <c r="CA815" s="14"/>
      <c r="CB815" s="14"/>
      <c r="CC815" s="14"/>
      <c r="CD815" s="14"/>
      <c r="CE815" s="14"/>
      <c r="CF815" s="14"/>
      <c r="CG815" s="14"/>
      <c r="CH815" s="14"/>
      <c r="CI815" s="14"/>
      <c r="CJ815" s="14"/>
      <c r="CK815" s="14"/>
      <c r="CL815" s="14"/>
      <c r="CT815" s="14"/>
      <c r="CW815" s="3"/>
      <c r="DG815" s="4"/>
    </row>
    <row r="816" customFormat="false" ht="11.25" hidden="false" customHeight="true" outlineLevel="0" collapsed="false">
      <c r="A816" s="14"/>
      <c r="B816" s="15"/>
      <c r="C816" s="15"/>
      <c r="D816" s="14"/>
      <c r="E816" s="14"/>
      <c r="F816" s="14"/>
      <c r="G816" s="14"/>
      <c r="H816" s="15"/>
      <c r="I816" s="15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  <c r="BN816" s="14"/>
      <c r="BO816" s="14"/>
      <c r="BP816" s="14"/>
      <c r="BQ816" s="14"/>
      <c r="BR816" s="14"/>
      <c r="BS816" s="14"/>
      <c r="BT816" s="14"/>
      <c r="BU816" s="14"/>
      <c r="BV816" s="14"/>
      <c r="BW816" s="14"/>
      <c r="BX816" s="14"/>
      <c r="BY816" s="14"/>
      <c r="BZ816" s="14"/>
      <c r="CA816" s="14"/>
      <c r="CB816" s="14"/>
      <c r="CC816" s="14"/>
      <c r="CD816" s="14"/>
      <c r="CE816" s="14"/>
      <c r="CF816" s="14"/>
      <c r="CG816" s="14"/>
      <c r="CH816" s="14"/>
      <c r="CI816" s="14"/>
      <c r="CJ816" s="14"/>
      <c r="CK816" s="14"/>
      <c r="CL816" s="14"/>
      <c r="CT816" s="14"/>
      <c r="CW816" s="3"/>
      <c r="DG816" s="4"/>
    </row>
    <row r="817" customFormat="false" ht="11.25" hidden="false" customHeight="true" outlineLevel="0" collapsed="false">
      <c r="A817" s="14"/>
      <c r="B817" s="15"/>
      <c r="C817" s="15"/>
      <c r="D817" s="14"/>
      <c r="E817" s="14"/>
      <c r="F817" s="14"/>
      <c r="G817" s="14"/>
      <c r="H817" s="15"/>
      <c r="I817" s="15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  <c r="BP817" s="14"/>
      <c r="BQ817" s="14"/>
      <c r="BR817" s="14"/>
      <c r="BS817" s="14"/>
      <c r="BT817" s="14"/>
      <c r="BU817" s="14"/>
      <c r="BV817" s="14"/>
      <c r="BW817" s="14"/>
      <c r="BX817" s="14"/>
      <c r="BY817" s="14"/>
      <c r="BZ817" s="14"/>
      <c r="CA817" s="14"/>
      <c r="CB817" s="14"/>
      <c r="CC817" s="14"/>
      <c r="CD817" s="14"/>
      <c r="CE817" s="14"/>
      <c r="CF817" s="14"/>
      <c r="CG817" s="14"/>
      <c r="CH817" s="14"/>
      <c r="CI817" s="14"/>
      <c r="CJ817" s="14"/>
      <c r="CK817" s="14"/>
      <c r="CL817" s="14"/>
      <c r="CT817" s="14"/>
      <c r="CW817" s="3"/>
      <c r="DG817" s="4"/>
    </row>
    <row r="818" customFormat="false" ht="11.25" hidden="false" customHeight="true" outlineLevel="0" collapsed="false">
      <c r="A818" s="14"/>
      <c r="B818" s="15"/>
      <c r="C818" s="15"/>
      <c r="D818" s="14"/>
      <c r="E818" s="14"/>
      <c r="F818" s="14"/>
      <c r="G818" s="14"/>
      <c r="H818" s="15"/>
      <c r="I818" s="15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  <c r="BL818" s="14"/>
      <c r="BM818" s="14"/>
      <c r="BN818" s="14"/>
      <c r="BO818" s="14"/>
      <c r="BP818" s="14"/>
      <c r="BQ818" s="14"/>
      <c r="BR818" s="14"/>
      <c r="BS818" s="14"/>
      <c r="BT818" s="14"/>
      <c r="BU818" s="14"/>
      <c r="BV818" s="14"/>
      <c r="BW818" s="14"/>
      <c r="BX818" s="14"/>
      <c r="BY818" s="14"/>
      <c r="BZ818" s="14"/>
      <c r="CA818" s="14"/>
      <c r="CB818" s="14"/>
      <c r="CC818" s="14"/>
      <c r="CD818" s="14"/>
      <c r="CE818" s="14"/>
      <c r="CF818" s="14"/>
      <c r="CG818" s="14"/>
      <c r="CH818" s="14"/>
      <c r="CI818" s="14"/>
      <c r="CJ818" s="14"/>
      <c r="CK818" s="14"/>
      <c r="CL818" s="14"/>
      <c r="CT818" s="14"/>
      <c r="CW818" s="3"/>
      <c r="DG818" s="4"/>
    </row>
    <row r="819" customFormat="false" ht="11.25" hidden="false" customHeight="true" outlineLevel="0" collapsed="false">
      <c r="A819" s="14"/>
      <c r="B819" s="15"/>
      <c r="C819" s="15"/>
      <c r="D819" s="14"/>
      <c r="E819" s="14"/>
      <c r="F819" s="14"/>
      <c r="G819" s="14"/>
      <c r="H819" s="15"/>
      <c r="I819" s="15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  <c r="BP819" s="14"/>
      <c r="BQ819" s="14"/>
      <c r="BR819" s="14"/>
      <c r="BS819" s="14"/>
      <c r="BT819" s="14"/>
      <c r="BU819" s="14"/>
      <c r="BV819" s="14"/>
      <c r="BW819" s="14"/>
      <c r="BX819" s="14"/>
      <c r="BY819" s="14"/>
      <c r="BZ819" s="14"/>
      <c r="CA819" s="14"/>
      <c r="CB819" s="14"/>
      <c r="CC819" s="14"/>
      <c r="CD819" s="14"/>
      <c r="CE819" s="14"/>
      <c r="CF819" s="14"/>
      <c r="CG819" s="14"/>
      <c r="CH819" s="14"/>
      <c r="CI819" s="14"/>
      <c r="CJ819" s="14"/>
      <c r="CK819" s="14"/>
      <c r="CL819" s="14"/>
      <c r="CT819" s="14"/>
      <c r="CW819" s="3"/>
      <c r="DG819" s="4"/>
    </row>
    <row r="820" customFormat="false" ht="11.25" hidden="false" customHeight="true" outlineLevel="0" collapsed="false">
      <c r="A820" s="14"/>
      <c r="B820" s="15"/>
      <c r="C820" s="15"/>
      <c r="D820" s="14"/>
      <c r="E820" s="14"/>
      <c r="F820" s="14"/>
      <c r="G820" s="14"/>
      <c r="H820" s="15"/>
      <c r="I820" s="15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  <c r="BO820" s="14"/>
      <c r="BP820" s="14"/>
      <c r="BQ820" s="14"/>
      <c r="BR820" s="14"/>
      <c r="BS820" s="14"/>
      <c r="BT820" s="14"/>
      <c r="BU820" s="14"/>
      <c r="BV820" s="14"/>
      <c r="BW820" s="14"/>
      <c r="BX820" s="14"/>
      <c r="BY820" s="14"/>
      <c r="BZ820" s="14"/>
      <c r="CA820" s="14"/>
      <c r="CB820" s="14"/>
      <c r="CC820" s="14"/>
      <c r="CD820" s="14"/>
      <c r="CE820" s="14"/>
      <c r="CF820" s="14"/>
      <c r="CG820" s="14"/>
      <c r="CH820" s="14"/>
      <c r="CI820" s="14"/>
      <c r="CJ820" s="14"/>
      <c r="CK820" s="14"/>
      <c r="CL820" s="14"/>
      <c r="CT820" s="14"/>
      <c r="CW820" s="3"/>
      <c r="DG820" s="4"/>
    </row>
    <row r="821" customFormat="false" ht="11.25" hidden="false" customHeight="true" outlineLevel="0" collapsed="false">
      <c r="A821" s="14"/>
      <c r="B821" s="15"/>
      <c r="C821" s="15"/>
      <c r="D821" s="14"/>
      <c r="E821" s="14"/>
      <c r="F821" s="14"/>
      <c r="G821" s="14"/>
      <c r="H821" s="15"/>
      <c r="I821" s="15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  <c r="BP821" s="14"/>
      <c r="BQ821" s="14"/>
      <c r="BR821" s="14"/>
      <c r="BS821" s="14"/>
      <c r="BT821" s="14"/>
      <c r="BU821" s="14"/>
      <c r="BV821" s="14"/>
      <c r="BW821" s="14"/>
      <c r="BX821" s="14"/>
      <c r="BY821" s="14"/>
      <c r="BZ821" s="14"/>
      <c r="CA821" s="14"/>
      <c r="CB821" s="14"/>
      <c r="CC821" s="14"/>
      <c r="CD821" s="14"/>
      <c r="CE821" s="14"/>
      <c r="CF821" s="14"/>
      <c r="CG821" s="14"/>
      <c r="CH821" s="14"/>
      <c r="CI821" s="14"/>
      <c r="CJ821" s="14"/>
      <c r="CK821" s="14"/>
      <c r="CL821" s="14"/>
      <c r="CT821" s="14"/>
      <c r="CW821" s="3"/>
      <c r="DG821" s="4"/>
    </row>
    <row r="822" customFormat="false" ht="11.25" hidden="false" customHeight="true" outlineLevel="0" collapsed="false">
      <c r="A822" s="14"/>
      <c r="B822" s="15"/>
      <c r="C822" s="15"/>
      <c r="D822" s="14"/>
      <c r="E822" s="14"/>
      <c r="F822" s="14"/>
      <c r="G822" s="14"/>
      <c r="H822" s="15"/>
      <c r="I822" s="15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  <c r="BO822" s="14"/>
      <c r="BP822" s="14"/>
      <c r="BQ822" s="14"/>
      <c r="BR822" s="14"/>
      <c r="BS822" s="14"/>
      <c r="BT822" s="14"/>
      <c r="BU822" s="14"/>
      <c r="BV822" s="14"/>
      <c r="BW822" s="14"/>
      <c r="BX822" s="14"/>
      <c r="BY822" s="14"/>
      <c r="BZ822" s="14"/>
      <c r="CA822" s="14"/>
      <c r="CB822" s="14"/>
      <c r="CC822" s="14"/>
      <c r="CD822" s="14"/>
      <c r="CE822" s="14"/>
      <c r="CF822" s="14"/>
      <c r="CG822" s="14"/>
      <c r="CH822" s="14"/>
      <c r="CI822" s="14"/>
      <c r="CJ822" s="14"/>
      <c r="CK822" s="14"/>
      <c r="CL822" s="14"/>
      <c r="CT822" s="14"/>
      <c r="CW822" s="3"/>
      <c r="DG822" s="4"/>
    </row>
    <row r="823" customFormat="false" ht="11.25" hidden="false" customHeight="true" outlineLevel="0" collapsed="false">
      <c r="A823" s="14"/>
      <c r="B823" s="15"/>
      <c r="C823" s="15"/>
      <c r="D823" s="14"/>
      <c r="E823" s="14"/>
      <c r="F823" s="14"/>
      <c r="G823" s="14"/>
      <c r="H823" s="15"/>
      <c r="I823" s="15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  <c r="BP823" s="14"/>
      <c r="BQ823" s="14"/>
      <c r="BR823" s="14"/>
      <c r="BS823" s="14"/>
      <c r="BT823" s="14"/>
      <c r="BU823" s="14"/>
      <c r="BV823" s="14"/>
      <c r="BW823" s="14"/>
      <c r="BX823" s="14"/>
      <c r="BY823" s="14"/>
      <c r="BZ823" s="14"/>
      <c r="CA823" s="14"/>
      <c r="CB823" s="14"/>
      <c r="CC823" s="14"/>
      <c r="CD823" s="14"/>
      <c r="CE823" s="14"/>
      <c r="CF823" s="14"/>
      <c r="CG823" s="14"/>
      <c r="CH823" s="14"/>
      <c r="CI823" s="14"/>
      <c r="CJ823" s="14"/>
      <c r="CK823" s="14"/>
      <c r="CL823" s="14"/>
      <c r="CT823" s="14"/>
      <c r="CW823" s="3"/>
      <c r="DG823" s="4"/>
    </row>
    <row r="824" customFormat="false" ht="11.25" hidden="false" customHeight="true" outlineLevel="0" collapsed="false">
      <c r="A824" s="14"/>
      <c r="B824" s="15"/>
      <c r="C824" s="15"/>
      <c r="D824" s="14"/>
      <c r="E824" s="14"/>
      <c r="F824" s="14"/>
      <c r="G824" s="14"/>
      <c r="H824" s="15"/>
      <c r="I824" s="15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4"/>
      <c r="BP824" s="14"/>
      <c r="BQ824" s="14"/>
      <c r="BR824" s="14"/>
      <c r="BS824" s="14"/>
      <c r="BT824" s="14"/>
      <c r="BU824" s="14"/>
      <c r="BV824" s="14"/>
      <c r="BW824" s="14"/>
      <c r="BX824" s="14"/>
      <c r="BY824" s="14"/>
      <c r="BZ824" s="14"/>
      <c r="CA824" s="14"/>
      <c r="CB824" s="14"/>
      <c r="CC824" s="14"/>
      <c r="CD824" s="14"/>
      <c r="CE824" s="14"/>
      <c r="CF824" s="14"/>
      <c r="CG824" s="14"/>
      <c r="CH824" s="14"/>
      <c r="CI824" s="14"/>
      <c r="CJ824" s="14"/>
      <c r="CK824" s="14"/>
      <c r="CL824" s="14"/>
      <c r="CT824" s="14"/>
      <c r="CW824" s="3"/>
      <c r="DG824" s="4"/>
    </row>
    <row r="825" customFormat="false" ht="11.25" hidden="false" customHeight="true" outlineLevel="0" collapsed="false">
      <c r="A825" s="14"/>
      <c r="B825" s="15"/>
      <c r="C825" s="15"/>
      <c r="D825" s="14"/>
      <c r="E825" s="14"/>
      <c r="F825" s="14"/>
      <c r="G825" s="14"/>
      <c r="H825" s="15"/>
      <c r="I825" s="15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  <c r="BP825" s="14"/>
      <c r="BQ825" s="14"/>
      <c r="BR825" s="14"/>
      <c r="BS825" s="14"/>
      <c r="BT825" s="14"/>
      <c r="BU825" s="14"/>
      <c r="BV825" s="14"/>
      <c r="BW825" s="14"/>
      <c r="BX825" s="14"/>
      <c r="BY825" s="14"/>
      <c r="BZ825" s="14"/>
      <c r="CA825" s="14"/>
      <c r="CB825" s="14"/>
      <c r="CC825" s="14"/>
      <c r="CD825" s="14"/>
      <c r="CE825" s="14"/>
      <c r="CF825" s="14"/>
      <c r="CG825" s="14"/>
      <c r="CH825" s="14"/>
      <c r="CI825" s="14"/>
      <c r="CJ825" s="14"/>
      <c r="CK825" s="14"/>
      <c r="CL825" s="14"/>
      <c r="CT825" s="14"/>
      <c r="CW825" s="3"/>
      <c r="DG825" s="4"/>
    </row>
    <row r="826" customFormat="false" ht="11.25" hidden="false" customHeight="true" outlineLevel="0" collapsed="false">
      <c r="A826" s="14"/>
      <c r="B826" s="15"/>
      <c r="C826" s="15"/>
      <c r="D826" s="14"/>
      <c r="E826" s="14"/>
      <c r="F826" s="14"/>
      <c r="G826" s="14"/>
      <c r="H826" s="15"/>
      <c r="I826" s="15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  <c r="BN826" s="14"/>
      <c r="BO826" s="14"/>
      <c r="BP826" s="14"/>
      <c r="BQ826" s="14"/>
      <c r="BR826" s="14"/>
      <c r="BS826" s="14"/>
      <c r="BT826" s="14"/>
      <c r="BU826" s="14"/>
      <c r="BV826" s="14"/>
      <c r="BW826" s="14"/>
      <c r="BX826" s="14"/>
      <c r="BY826" s="14"/>
      <c r="BZ826" s="14"/>
      <c r="CA826" s="14"/>
      <c r="CB826" s="14"/>
      <c r="CC826" s="14"/>
      <c r="CD826" s="14"/>
      <c r="CE826" s="14"/>
      <c r="CF826" s="14"/>
      <c r="CG826" s="14"/>
      <c r="CH826" s="14"/>
      <c r="CI826" s="14"/>
      <c r="CJ826" s="14"/>
      <c r="CK826" s="14"/>
      <c r="CL826" s="14"/>
      <c r="CT826" s="14"/>
      <c r="CW826" s="3"/>
      <c r="DG826" s="4"/>
    </row>
    <row r="827" customFormat="false" ht="11.25" hidden="false" customHeight="true" outlineLevel="0" collapsed="false">
      <c r="A827" s="14"/>
      <c r="B827" s="15"/>
      <c r="C827" s="15"/>
      <c r="D827" s="14"/>
      <c r="E827" s="14"/>
      <c r="F827" s="14"/>
      <c r="G827" s="14"/>
      <c r="H827" s="15"/>
      <c r="I827" s="15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  <c r="BP827" s="14"/>
      <c r="BQ827" s="14"/>
      <c r="BR827" s="14"/>
      <c r="BS827" s="14"/>
      <c r="BT827" s="14"/>
      <c r="BU827" s="14"/>
      <c r="BV827" s="14"/>
      <c r="BW827" s="14"/>
      <c r="BX827" s="14"/>
      <c r="BY827" s="14"/>
      <c r="BZ827" s="14"/>
      <c r="CA827" s="14"/>
      <c r="CB827" s="14"/>
      <c r="CC827" s="14"/>
      <c r="CD827" s="14"/>
      <c r="CE827" s="14"/>
      <c r="CF827" s="14"/>
      <c r="CG827" s="14"/>
      <c r="CH827" s="14"/>
      <c r="CI827" s="14"/>
      <c r="CJ827" s="14"/>
      <c r="CK827" s="14"/>
      <c r="CL827" s="14"/>
      <c r="CT827" s="14"/>
      <c r="CW827" s="3"/>
      <c r="DG827" s="4"/>
    </row>
    <row r="828" customFormat="false" ht="11.25" hidden="false" customHeight="true" outlineLevel="0" collapsed="false">
      <c r="A828" s="14"/>
      <c r="B828" s="15"/>
      <c r="C828" s="15"/>
      <c r="D828" s="14"/>
      <c r="E828" s="14"/>
      <c r="F828" s="14"/>
      <c r="G828" s="14"/>
      <c r="H828" s="15"/>
      <c r="I828" s="15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  <c r="BO828" s="14"/>
      <c r="BP828" s="14"/>
      <c r="BQ828" s="14"/>
      <c r="BR828" s="14"/>
      <c r="BS828" s="14"/>
      <c r="BT828" s="14"/>
      <c r="BU828" s="14"/>
      <c r="BV828" s="14"/>
      <c r="BW828" s="14"/>
      <c r="BX828" s="14"/>
      <c r="BY828" s="14"/>
      <c r="BZ828" s="14"/>
      <c r="CA828" s="14"/>
      <c r="CB828" s="14"/>
      <c r="CC828" s="14"/>
      <c r="CD828" s="14"/>
      <c r="CE828" s="14"/>
      <c r="CF828" s="14"/>
      <c r="CG828" s="14"/>
      <c r="CH828" s="14"/>
      <c r="CI828" s="14"/>
      <c r="CJ828" s="14"/>
      <c r="CK828" s="14"/>
      <c r="CL828" s="14"/>
      <c r="CT828" s="14"/>
      <c r="CW828" s="3"/>
      <c r="DG828" s="4"/>
    </row>
    <row r="829" customFormat="false" ht="11.25" hidden="false" customHeight="true" outlineLevel="0" collapsed="false">
      <c r="A829" s="14"/>
      <c r="B829" s="15"/>
      <c r="C829" s="15"/>
      <c r="D829" s="14"/>
      <c r="E829" s="14"/>
      <c r="F829" s="14"/>
      <c r="G829" s="14"/>
      <c r="H829" s="15"/>
      <c r="I829" s="15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  <c r="BP829" s="14"/>
      <c r="BQ829" s="14"/>
      <c r="BR829" s="14"/>
      <c r="BS829" s="14"/>
      <c r="BT829" s="14"/>
      <c r="BU829" s="14"/>
      <c r="BV829" s="14"/>
      <c r="BW829" s="14"/>
      <c r="BX829" s="14"/>
      <c r="BY829" s="14"/>
      <c r="BZ829" s="14"/>
      <c r="CA829" s="14"/>
      <c r="CB829" s="14"/>
      <c r="CC829" s="14"/>
      <c r="CD829" s="14"/>
      <c r="CE829" s="14"/>
      <c r="CF829" s="14"/>
      <c r="CG829" s="14"/>
      <c r="CH829" s="14"/>
      <c r="CI829" s="14"/>
      <c r="CJ829" s="14"/>
      <c r="CK829" s="14"/>
      <c r="CL829" s="14"/>
      <c r="CT829" s="14"/>
      <c r="CW829" s="3"/>
      <c r="DG829" s="4"/>
    </row>
    <row r="830" customFormat="false" ht="11.25" hidden="false" customHeight="true" outlineLevel="0" collapsed="false">
      <c r="A830" s="14"/>
      <c r="B830" s="15"/>
      <c r="C830" s="15"/>
      <c r="D830" s="14"/>
      <c r="E830" s="14"/>
      <c r="F830" s="14"/>
      <c r="G830" s="14"/>
      <c r="H830" s="15"/>
      <c r="I830" s="15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  <c r="BO830" s="14"/>
      <c r="BP830" s="14"/>
      <c r="BQ830" s="14"/>
      <c r="BR830" s="14"/>
      <c r="BS830" s="14"/>
      <c r="BT830" s="14"/>
      <c r="BU830" s="14"/>
      <c r="BV830" s="14"/>
      <c r="BW830" s="14"/>
      <c r="BX830" s="14"/>
      <c r="BY830" s="14"/>
      <c r="BZ830" s="14"/>
      <c r="CA830" s="14"/>
      <c r="CB830" s="14"/>
      <c r="CC830" s="14"/>
      <c r="CD830" s="14"/>
      <c r="CE830" s="14"/>
      <c r="CF830" s="14"/>
      <c r="CG830" s="14"/>
      <c r="CH830" s="14"/>
      <c r="CI830" s="14"/>
      <c r="CJ830" s="14"/>
      <c r="CK830" s="14"/>
      <c r="CL830" s="14"/>
      <c r="CT830" s="14"/>
      <c r="CW830" s="3"/>
      <c r="DG830" s="4"/>
    </row>
    <row r="831" customFormat="false" ht="11.25" hidden="false" customHeight="true" outlineLevel="0" collapsed="false">
      <c r="A831" s="14"/>
      <c r="B831" s="15"/>
      <c r="C831" s="15"/>
      <c r="D831" s="14"/>
      <c r="E831" s="14"/>
      <c r="F831" s="14"/>
      <c r="G831" s="14"/>
      <c r="H831" s="15"/>
      <c r="I831" s="15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  <c r="BP831" s="14"/>
      <c r="BQ831" s="14"/>
      <c r="BR831" s="14"/>
      <c r="BS831" s="14"/>
      <c r="BT831" s="14"/>
      <c r="BU831" s="14"/>
      <c r="BV831" s="14"/>
      <c r="BW831" s="14"/>
      <c r="BX831" s="14"/>
      <c r="BY831" s="14"/>
      <c r="BZ831" s="14"/>
      <c r="CA831" s="14"/>
      <c r="CB831" s="14"/>
      <c r="CC831" s="14"/>
      <c r="CD831" s="14"/>
      <c r="CE831" s="14"/>
      <c r="CF831" s="14"/>
      <c r="CG831" s="14"/>
      <c r="CH831" s="14"/>
      <c r="CI831" s="14"/>
      <c r="CJ831" s="14"/>
      <c r="CK831" s="14"/>
      <c r="CL831" s="14"/>
      <c r="CT831" s="14"/>
      <c r="CW831" s="3"/>
      <c r="DG831" s="4"/>
    </row>
    <row r="832" customFormat="false" ht="11.25" hidden="false" customHeight="true" outlineLevel="0" collapsed="false">
      <c r="A832" s="14"/>
      <c r="B832" s="15"/>
      <c r="C832" s="15"/>
      <c r="D832" s="14"/>
      <c r="E832" s="14"/>
      <c r="F832" s="14"/>
      <c r="G832" s="14"/>
      <c r="H832" s="15"/>
      <c r="I832" s="15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  <c r="BN832" s="14"/>
      <c r="BO832" s="14"/>
      <c r="BP832" s="14"/>
      <c r="BQ832" s="14"/>
      <c r="BR832" s="14"/>
      <c r="BS832" s="14"/>
      <c r="BT832" s="14"/>
      <c r="BU832" s="14"/>
      <c r="BV832" s="14"/>
      <c r="BW832" s="14"/>
      <c r="BX832" s="14"/>
      <c r="BY832" s="14"/>
      <c r="BZ832" s="14"/>
      <c r="CA832" s="14"/>
      <c r="CB832" s="14"/>
      <c r="CC832" s="14"/>
      <c r="CD832" s="14"/>
      <c r="CE832" s="14"/>
      <c r="CF832" s="14"/>
      <c r="CG832" s="14"/>
      <c r="CH832" s="14"/>
      <c r="CI832" s="14"/>
      <c r="CJ832" s="14"/>
      <c r="CK832" s="14"/>
      <c r="CL832" s="14"/>
      <c r="CT832" s="14"/>
      <c r="CW832" s="3"/>
      <c r="DG832" s="4"/>
    </row>
    <row r="833" customFormat="false" ht="11.25" hidden="false" customHeight="true" outlineLevel="0" collapsed="false">
      <c r="A833" s="14"/>
      <c r="B833" s="15"/>
      <c r="C833" s="15"/>
      <c r="D833" s="14"/>
      <c r="E833" s="14"/>
      <c r="F833" s="14"/>
      <c r="G833" s="14"/>
      <c r="H833" s="15"/>
      <c r="I833" s="15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  <c r="BP833" s="14"/>
      <c r="BQ833" s="14"/>
      <c r="BR833" s="14"/>
      <c r="BS833" s="14"/>
      <c r="BT833" s="14"/>
      <c r="BU833" s="14"/>
      <c r="BV833" s="14"/>
      <c r="BW833" s="14"/>
      <c r="BX833" s="14"/>
      <c r="BY833" s="14"/>
      <c r="BZ833" s="14"/>
      <c r="CA833" s="14"/>
      <c r="CB833" s="14"/>
      <c r="CC833" s="14"/>
      <c r="CD833" s="14"/>
      <c r="CE833" s="14"/>
      <c r="CF833" s="14"/>
      <c r="CG833" s="14"/>
      <c r="CH833" s="14"/>
      <c r="CI833" s="14"/>
      <c r="CJ833" s="14"/>
      <c r="CK833" s="14"/>
      <c r="CL833" s="14"/>
      <c r="CT833" s="14"/>
      <c r="CW833" s="3"/>
      <c r="DG833" s="4"/>
    </row>
    <row r="834" customFormat="false" ht="11.25" hidden="false" customHeight="true" outlineLevel="0" collapsed="false">
      <c r="A834" s="14"/>
      <c r="B834" s="15"/>
      <c r="C834" s="15"/>
      <c r="D834" s="14"/>
      <c r="E834" s="14"/>
      <c r="F834" s="14"/>
      <c r="G834" s="14"/>
      <c r="H834" s="15"/>
      <c r="I834" s="15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4"/>
      <c r="BK834" s="14"/>
      <c r="BL834" s="14"/>
      <c r="BM834" s="14"/>
      <c r="BN834" s="14"/>
      <c r="BO834" s="14"/>
      <c r="BP834" s="14"/>
      <c r="BQ834" s="14"/>
      <c r="BR834" s="14"/>
      <c r="BS834" s="14"/>
      <c r="BT834" s="14"/>
      <c r="BU834" s="14"/>
      <c r="BV834" s="14"/>
      <c r="BW834" s="14"/>
      <c r="BX834" s="14"/>
      <c r="BY834" s="14"/>
      <c r="BZ834" s="14"/>
      <c r="CA834" s="14"/>
      <c r="CB834" s="14"/>
      <c r="CC834" s="14"/>
      <c r="CD834" s="14"/>
      <c r="CE834" s="14"/>
      <c r="CF834" s="14"/>
      <c r="CG834" s="14"/>
      <c r="CH834" s="14"/>
      <c r="CI834" s="14"/>
      <c r="CJ834" s="14"/>
      <c r="CK834" s="14"/>
      <c r="CL834" s="14"/>
      <c r="CT834" s="14"/>
      <c r="CW834" s="3"/>
      <c r="DG834" s="4"/>
    </row>
    <row r="835" customFormat="false" ht="11.25" hidden="false" customHeight="true" outlineLevel="0" collapsed="false">
      <c r="A835" s="14"/>
      <c r="B835" s="15"/>
      <c r="C835" s="15"/>
      <c r="D835" s="14"/>
      <c r="E835" s="14"/>
      <c r="F835" s="14"/>
      <c r="G835" s="14"/>
      <c r="H835" s="15"/>
      <c r="I835" s="15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  <c r="BP835" s="14"/>
      <c r="BQ835" s="14"/>
      <c r="BR835" s="14"/>
      <c r="BS835" s="14"/>
      <c r="BT835" s="14"/>
      <c r="BU835" s="14"/>
      <c r="BV835" s="14"/>
      <c r="BW835" s="14"/>
      <c r="BX835" s="14"/>
      <c r="BY835" s="14"/>
      <c r="BZ835" s="14"/>
      <c r="CA835" s="14"/>
      <c r="CB835" s="14"/>
      <c r="CC835" s="14"/>
      <c r="CD835" s="14"/>
      <c r="CE835" s="14"/>
      <c r="CF835" s="14"/>
      <c r="CG835" s="14"/>
      <c r="CH835" s="14"/>
      <c r="CI835" s="14"/>
      <c r="CJ835" s="14"/>
      <c r="CK835" s="14"/>
      <c r="CL835" s="14"/>
      <c r="CT835" s="14"/>
      <c r="CW835" s="3"/>
      <c r="DG835" s="4"/>
    </row>
    <row r="836" customFormat="false" ht="11.25" hidden="false" customHeight="true" outlineLevel="0" collapsed="false">
      <c r="A836" s="14"/>
      <c r="B836" s="15"/>
      <c r="C836" s="15"/>
      <c r="D836" s="14"/>
      <c r="E836" s="14"/>
      <c r="F836" s="14"/>
      <c r="G836" s="14"/>
      <c r="H836" s="15"/>
      <c r="I836" s="15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4"/>
      <c r="BK836" s="14"/>
      <c r="BL836" s="14"/>
      <c r="BM836" s="14"/>
      <c r="BN836" s="14"/>
      <c r="BO836" s="14"/>
      <c r="BP836" s="14"/>
      <c r="BQ836" s="14"/>
      <c r="BR836" s="14"/>
      <c r="BS836" s="14"/>
      <c r="BT836" s="14"/>
      <c r="BU836" s="14"/>
      <c r="BV836" s="14"/>
      <c r="BW836" s="14"/>
      <c r="BX836" s="14"/>
      <c r="BY836" s="14"/>
      <c r="BZ836" s="14"/>
      <c r="CA836" s="14"/>
      <c r="CB836" s="14"/>
      <c r="CC836" s="14"/>
      <c r="CD836" s="14"/>
      <c r="CE836" s="14"/>
      <c r="CF836" s="14"/>
      <c r="CG836" s="14"/>
      <c r="CH836" s="14"/>
      <c r="CI836" s="14"/>
      <c r="CJ836" s="14"/>
      <c r="CK836" s="14"/>
      <c r="CL836" s="14"/>
      <c r="CT836" s="14"/>
      <c r="CW836" s="3"/>
      <c r="DG836" s="4"/>
    </row>
    <row r="837" customFormat="false" ht="11.25" hidden="false" customHeight="true" outlineLevel="0" collapsed="false">
      <c r="A837" s="14"/>
      <c r="B837" s="15"/>
      <c r="C837" s="15"/>
      <c r="D837" s="14"/>
      <c r="E837" s="14"/>
      <c r="F837" s="14"/>
      <c r="G837" s="14"/>
      <c r="H837" s="15"/>
      <c r="I837" s="15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4"/>
      <c r="BP837" s="14"/>
      <c r="BQ837" s="14"/>
      <c r="BR837" s="14"/>
      <c r="BS837" s="14"/>
      <c r="BT837" s="14"/>
      <c r="BU837" s="14"/>
      <c r="BV837" s="14"/>
      <c r="BW837" s="14"/>
      <c r="BX837" s="14"/>
      <c r="BY837" s="14"/>
      <c r="BZ837" s="14"/>
      <c r="CA837" s="14"/>
      <c r="CB837" s="14"/>
      <c r="CC837" s="14"/>
      <c r="CD837" s="14"/>
      <c r="CE837" s="14"/>
      <c r="CF837" s="14"/>
      <c r="CG837" s="14"/>
      <c r="CH837" s="14"/>
      <c r="CI837" s="14"/>
      <c r="CJ837" s="14"/>
      <c r="CK837" s="14"/>
      <c r="CL837" s="14"/>
      <c r="CT837" s="14"/>
      <c r="CW837" s="3"/>
      <c r="DG837" s="4"/>
    </row>
    <row r="838" customFormat="false" ht="11.25" hidden="false" customHeight="true" outlineLevel="0" collapsed="false">
      <c r="A838" s="14"/>
      <c r="B838" s="15"/>
      <c r="C838" s="15"/>
      <c r="D838" s="14"/>
      <c r="E838" s="14"/>
      <c r="F838" s="14"/>
      <c r="G838" s="14"/>
      <c r="H838" s="15"/>
      <c r="I838" s="15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  <c r="BN838" s="14"/>
      <c r="BO838" s="14"/>
      <c r="BP838" s="14"/>
      <c r="BQ838" s="14"/>
      <c r="BR838" s="14"/>
      <c r="BS838" s="14"/>
      <c r="BT838" s="14"/>
      <c r="BU838" s="14"/>
      <c r="BV838" s="14"/>
      <c r="BW838" s="14"/>
      <c r="BX838" s="14"/>
      <c r="BY838" s="14"/>
      <c r="BZ838" s="14"/>
      <c r="CA838" s="14"/>
      <c r="CB838" s="14"/>
      <c r="CC838" s="14"/>
      <c r="CD838" s="14"/>
      <c r="CE838" s="14"/>
      <c r="CF838" s="14"/>
      <c r="CG838" s="14"/>
      <c r="CH838" s="14"/>
      <c r="CI838" s="14"/>
      <c r="CJ838" s="14"/>
      <c r="CK838" s="14"/>
      <c r="CL838" s="14"/>
      <c r="CT838" s="14"/>
      <c r="CW838" s="3"/>
      <c r="DG838" s="4"/>
    </row>
    <row r="839" customFormat="false" ht="11.25" hidden="false" customHeight="true" outlineLevel="0" collapsed="false">
      <c r="A839" s="14"/>
      <c r="B839" s="15"/>
      <c r="C839" s="15"/>
      <c r="D839" s="14"/>
      <c r="E839" s="14"/>
      <c r="F839" s="14"/>
      <c r="G839" s="14"/>
      <c r="H839" s="15"/>
      <c r="I839" s="15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4"/>
      <c r="BP839" s="14"/>
      <c r="BQ839" s="14"/>
      <c r="BR839" s="14"/>
      <c r="BS839" s="14"/>
      <c r="BT839" s="14"/>
      <c r="BU839" s="14"/>
      <c r="BV839" s="14"/>
      <c r="BW839" s="14"/>
      <c r="BX839" s="14"/>
      <c r="BY839" s="14"/>
      <c r="BZ839" s="14"/>
      <c r="CA839" s="14"/>
      <c r="CB839" s="14"/>
      <c r="CC839" s="14"/>
      <c r="CD839" s="14"/>
      <c r="CE839" s="14"/>
      <c r="CF839" s="14"/>
      <c r="CG839" s="14"/>
      <c r="CH839" s="14"/>
      <c r="CI839" s="14"/>
      <c r="CJ839" s="14"/>
      <c r="CK839" s="14"/>
      <c r="CL839" s="14"/>
      <c r="CT839" s="14"/>
      <c r="CW839" s="3"/>
      <c r="DG839" s="4"/>
    </row>
    <row r="840" customFormat="false" ht="11.25" hidden="false" customHeight="true" outlineLevel="0" collapsed="false">
      <c r="A840" s="14"/>
      <c r="B840" s="15"/>
      <c r="C840" s="15"/>
      <c r="D840" s="14"/>
      <c r="E840" s="14"/>
      <c r="F840" s="14"/>
      <c r="G840" s="14"/>
      <c r="H840" s="15"/>
      <c r="I840" s="15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4"/>
      <c r="BK840" s="14"/>
      <c r="BL840" s="14"/>
      <c r="BM840" s="14"/>
      <c r="BN840" s="14"/>
      <c r="BO840" s="14"/>
      <c r="BP840" s="14"/>
      <c r="BQ840" s="14"/>
      <c r="BR840" s="14"/>
      <c r="BS840" s="14"/>
      <c r="BT840" s="14"/>
      <c r="BU840" s="14"/>
      <c r="BV840" s="14"/>
      <c r="BW840" s="14"/>
      <c r="BX840" s="14"/>
      <c r="BY840" s="14"/>
      <c r="BZ840" s="14"/>
      <c r="CA840" s="14"/>
      <c r="CB840" s="14"/>
      <c r="CC840" s="14"/>
      <c r="CD840" s="14"/>
      <c r="CE840" s="14"/>
      <c r="CF840" s="14"/>
      <c r="CG840" s="14"/>
      <c r="CH840" s="14"/>
      <c r="CI840" s="14"/>
      <c r="CJ840" s="14"/>
      <c r="CK840" s="14"/>
      <c r="CL840" s="14"/>
      <c r="CT840" s="14"/>
      <c r="CW840" s="3"/>
      <c r="DG840" s="4"/>
    </row>
    <row r="841" customFormat="false" ht="11.25" hidden="false" customHeight="true" outlineLevel="0" collapsed="false">
      <c r="A841" s="14"/>
      <c r="B841" s="15"/>
      <c r="C841" s="15"/>
      <c r="D841" s="14"/>
      <c r="E841" s="14"/>
      <c r="F841" s="14"/>
      <c r="G841" s="14"/>
      <c r="H841" s="15"/>
      <c r="I841" s="15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4"/>
      <c r="BP841" s="14"/>
      <c r="BQ841" s="14"/>
      <c r="BR841" s="14"/>
      <c r="BS841" s="14"/>
      <c r="BT841" s="14"/>
      <c r="BU841" s="14"/>
      <c r="BV841" s="14"/>
      <c r="BW841" s="14"/>
      <c r="BX841" s="14"/>
      <c r="BY841" s="14"/>
      <c r="BZ841" s="14"/>
      <c r="CA841" s="14"/>
      <c r="CB841" s="14"/>
      <c r="CC841" s="14"/>
      <c r="CD841" s="14"/>
      <c r="CE841" s="14"/>
      <c r="CF841" s="14"/>
      <c r="CG841" s="14"/>
      <c r="CH841" s="14"/>
      <c r="CI841" s="14"/>
      <c r="CJ841" s="14"/>
      <c r="CK841" s="14"/>
      <c r="CL841" s="14"/>
      <c r="CT841" s="14"/>
      <c r="CW841" s="3"/>
      <c r="DG841" s="4"/>
    </row>
    <row r="842" customFormat="false" ht="11.25" hidden="false" customHeight="true" outlineLevel="0" collapsed="false">
      <c r="A842" s="14"/>
      <c r="B842" s="15"/>
      <c r="C842" s="15"/>
      <c r="D842" s="14"/>
      <c r="E842" s="14"/>
      <c r="F842" s="14"/>
      <c r="G842" s="14"/>
      <c r="H842" s="15"/>
      <c r="I842" s="15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4"/>
      <c r="BK842" s="14"/>
      <c r="BL842" s="14"/>
      <c r="BM842" s="14"/>
      <c r="BN842" s="14"/>
      <c r="BO842" s="14"/>
      <c r="BP842" s="14"/>
      <c r="BQ842" s="14"/>
      <c r="BR842" s="14"/>
      <c r="BS842" s="14"/>
      <c r="BT842" s="14"/>
      <c r="BU842" s="14"/>
      <c r="BV842" s="14"/>
      <c r="BW842" s="14"/>
      <c r="BX842" s="14"/>
      <c r="BY842" s="14"/>
      <c r="BZ842" s="14"/>
      <c r="CA842" s="14"/>
      <c r="CB842" s="14"/>
      <c r="CC842" s="14"/>
      <c r="CD842" s="14"/>
      <c r="CE842" s="14"/>
      <c r="CF842" s="14"/>
      <c r="CG842" s="14"/>
      <c r="CH842" s="14"/>
      <c r="CI842" s="14"/>
      <c r="CJ842" s="14"/>
      <c r="CK842" s="14"/>
      <c r="CL842" s="14"/>
      <c r="CT842" s="14"/>
      <c r="CW842" s="3"/>
      <c r="DG842" s="4"/>
    </row>
    <row r="843" customFormat="false" ht="11.25" hidden="false" customHeight="true" outlineLevel="0" collapsed="false">
      <c r="A843" s="14"/>
      <c r="B843" s="15"/>
      <c r="C843" s="15"/>
      <c r="D843" s="14"/>
      <c r="E843" s="14"/>
      <c r="F843" s="14"/>
      <c r="G843" s="14"/>
      <c r="H843" s="15"/>
      <c r="I843" s="15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4"/>
      <c r="BP843" s="14"/>
      <c r="BQ843" s="14"/>
      <c r="BR843" s="14"/>
      <c r="BS843" s="14"/>
      <c r="BT843" s="14"/>
      <c r="BU843" s="14"/>
      <c r="BV843" s="14"/>
      <c r="BW843" s="14"/>
      <c r="BX843" s="14"/>
      <c r="BY843" s="14"/>
      <c r="BZ843" s="14"/>
      <c r="CA843" s="14"/>
      <c r="CB843" s="14"/>
      <c r="CC843" s="14"/>
      <c r="CD843" s="14"/>
      <c r="CE843" s="14"/>
      <c r="CF843" s="14"/>
      <c r="CG843" s="14"/>
      <c r="CH843" s="14"/>
      <c r="CI843" s="14"/>
      <c r="CJ843" s="14"/>
      <c r="CK843" s="14"/>
      <c r="CL843" s="14"/>
      <c r="CT843" s="14"/>
      <c r="CW843" s="3"/>
      <c r="DG843" s="4"/>
    </row>
    <row r="844" customFormat="false" ht="11.25" hidden="false" customHeight="true" outlineLevel="0" collapsed="false">
      <c r="A844" s="14"/>
      <c r="B844" s="15"/>
      <c r="C844" s="15"/>
      <c r="D844" s="14"/>
      <c r="E844" s="14"/>
      <c r="F844" s="14"/>
      <c r="G844" s="14"/>
      <c r="H844" s="15"/>
      <c r="I844" s="15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  <c r="BL844" s="14"/>
      <c r="BM844" s="14"/>
      <c r="BN844" s="14"/>
      <c r="BO844" s="14"/>
      <c r="BP844" s="14"/>
      <c r="BQ844" s="14"/>
      <c r="BR844" s="14"/>
      <c r="BS844" s="14"/>
      <c r="BT844" s="14"/>
      <c r="BU844" s="14"/>
      <c r="BV844" s="14"/>
      <c r="BW844" s="14"/>
      <c r="BX844" s="14"/>
      <c r="BY844" s="14"/>
      <c r="BZ844" s="14"/>
      <c r="CA844" s="14"/>
      <c r="CB844" s="14"/>
      <c r="CC844" s="14"/>
      <c r="CD844" s="14"/>
      <c r="CE844" s="14"/>
      <c r="CF844" s="14"/>
      <c r="CG844" s="14"/>
      <c r="CH844" s="14"/>
      <c r="CI844" s="14"/>
      <c r="CJ844" s="14"/>
      <c r="CK844" s="14"/>
      <c r="CL844" s="14"/>
      <c r="CT844" s="14"/>
      <c r="CW844" s="3"/>
      <c r="DG844" s="4"/>
    </row>
    <row r="845" customFormat="false" ht="11.25" hidden="false" customHeight="true" outlineLevel="0" collapsed="false">
      <c r="A845" s="14"/>
      <c r="B845" s="15"/>
      <c r="C845" s="15"/>
      <c r="D845" s="14"/>
      <c r="E845" s="14"/>
      <c r="F845" s="14"/>
      <c r="G845" s="14"/>
      <c r="H845" s="15"/>
      <c r="I845" s="15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  <c r="BP845" s="14"/>
      <c r="BQ845" s="14"/>
      <c r="BR845" s="14"/>
      <c r="BS845" s="14"/>
      <c r="BT845" s="14"/>
      <c r="BU845" s="14"/>
      <c r="BV845" s="14"/>
      <c r="BW845" s="14"/>
      <c r="BX845" s="14"/>
      <c r="BY845" s="14"/>
      <c r="BZ845" s="14"/>
      <c r="CA845" s="14"/>
      <c r="CB845" s="14"/>
      <c r="CC845" s="14"/>
      <c r="CD845" s="14"/>
      <c r="CE845" s="14"/>
      <c r="CF845" s="14"/>
      <c r="CG845" s="14"/>
      <c r="CH845" s="14"/>
      <c r="CI845" s="14"/>
      <c r="CJ845" s="14"/>
      <c r="CK845" s="14"/>
      <c r="CL845" s="14"/>
      <c r="CT845" s="14"/>
      <c r="CW845" s="3"/>
      <c r="DG845" s="4"/>
    </row>
    <row r="846" customFormat="false" ht="11.25" hidden="false" customHeight="true" outlineLevel="0" collapsed="false">
      <c r="A846" s="14"/>
      <c r="B846" s="15"/>
      <c r="C846" s="15"/>
      <c r="D846" s="14"/>
      <c r="E846" s="14"/>
      <c r="F846" s="14"/>
      <c r="G846" s="14"/>
      <c r="H846" s="15"/>
      <c r="I846" s="15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  <c r="BN846" s="14"/>
      <c r="BO846" s="14"/>
      <c r="BP846" s="14"/>
      <c r="BQ846" s="14"/>
      <c r="BR846" s="14"/>
      <c r="BS846" s="14"/>
      <c r="BT846" s="14"/>
      <c r="BU846" s="14"/>
      <c r="BV846" s="14"/>
      <c r="BW846" s="14"/>
      <c r="BX846" s="14"/>
      <c r="BY846" s="14"/>
      <c r="BZ846" s="14"/>
      <c r="CA846" s="14"/>
      <c r="CB846" s="14"/>
      <c r="CC846" s="14"/>
      <c r="CD846" s="14"/>
      <c r="CE846" s="14"/>
      <c r="CF846" s="14"/>
      <c r="CG846" s="14"/>
      <c r="CH846" s="14"/>
      <c r="CI846" s="14"/>
      <c r="CJ846" s="14"/>
      <c r="CK846" s="14"/>
      <c r="CL846" s="14"/>
      <c r="CT846" s="14"/>
      <c r="CW846" s="3"/>
      <c r="DG846" s="4"/>
    </row>
    <row r="847" customFormat="false" ht="11.25" hidden="false" customHeight="true" outlineLevel="0" collapsed="false">
      <c r="A847" s="14"/>
      <c r="B847" s="15"/>
      <c r="C847" s="15"/>
      <c r="D847" s="14"/>
      <c r="E847" s="14"/>
      <c r="F847" s="14"/>
      <c r="G847" s="14"/>
      <c r="H847" s="15"/>
      <c r="I847" s="15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  <c r="BP847" s="14"/>
      <c r="BQ847" s="14"/>
      <c r="BR847" s="14"/>
      <c r="BS847" s="14"/>
      <c r="BT847" s="14"/>
      <c r="BU847" s="14"/>
      <c r="BV847" s="14"/>
      <c r="BW847" s="14"/>
      <c r="BX847" s="14"/>
      <c r="BY847" s="14"/>
      <c r="BZ847" s="14"/>
      <c r="CA847" s="14"/>
      <c r="CB847" s="14"/>
      <c r="CC847" s="14"/>
      <c r="CD847" s="14"/>
      <c r="CE847" s="14"/>
      <c r="CF847" s="14"/>
      <c r="CG847" s="14"/>
      <c r="CH847" s="14"/>
      <c r="CI847" s="14"/>
      <c r="CJ847" s="14"/>
      <c r="CK847" s="14"/>
      <c r="CL847" s="14"/>
      <c r="CT847" s="14"/>
      <c r="CW847" s="3"/>
      <c r="DG847" s="4"/>
    </row>
    <row r="848" customFormat="false" ht="11.25" hidden="false" customHeight="true" outlineLevel="0" collapsed="false">
      <c r="A848" s="14"/>
      <c r="B848" s="15"/>
      <c r="C848" s="15"/>
      <c r="D848" s="14"/>
      <c r="E848" s="14"/>
      <c r="F848" s="14"/>
      <c r="G848" s="14"/>
      <c r="H848" s="15"/>
      <c r="I848" s="15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  <c r="BO848" s="14"/>
      <c r="BP848" s="14"/>
      <c r="BQ848" s="14"/>
      <c r="BR848" s="14"/>
      <c r="BS848" s="14"/>
      <c r="BT848" s="14"/>
      <c r="BU848" s="14"/>
      <c r="BV848" s="14"/>
      <c r="BW848" s="14"/>
      <c r="BX848" s="14"/>
      <c r="BY848" s="14"/>
      <c r="BZ848" s="14"/>
      <c r="CA848" s="14"/>
      <c r="CB848" s="14"/>
      <c r="CC848" s="14"/>
      <c r="CD848" s="14"/>
      <c r="CE848" s="14"/>
      <c r="CF848" s="14"/>
      <c r="CG848" s="14"/>
      <c r="CH848" s="14"/>
      <c r="CI848" s="14"/>
      <c r="CJ848" s="14"/>
      <c r="CK848" s="14"/>
      <c r="CL848" s="14"/>
      <c r="CT848" s="14"/>
      <c r="CW848" s="3"/>
      <c r="DG848" s="4"/>
    </row>
    <row r="849" customFormat="false" ht="11.25" hidden="false" customHeight="true" outlineLevel="0" collapsed="false">
      <c r="A849" s="14"/>
      <c r="B849" s="15"/>
      <c r="C849" s="15"/>
      <c r="D849" s="14"/>
      <c r="E849" s="14"/>
      <c r="F849" s="14"/>
      <c r="G849" s="14"/>
      <c r="H849" s="15"/>
      <c r="I849" s="15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  <c r="BP849" s="14"/>
      <c r="BQ849" s="14"/>
      <c r="BR849" s="14"/>
      <c r="BS849" s="14"/>
      <c r="BT849" s="14"/>
      <c r="BU849" s="14"/>
      <c r="BV849" s="14"/>
      <c r="BW849" s="14"/>
      <c r="BX849" s="14"/>
      <c r="BY849" s="14"/>
      <c r="BZ849" s="14"/>
      <c r="CA849" s="14"/>
      <c r="CB849" s="14"/>
      <c r="CC849" s="14"/>
      <c r="CD849" s="14"/>
      <c r="CE849" s="14"/>
      <c r="CF849" s="14"/>
      <c r="CG849" s="14"/>
      <c r="CH849" s="14"/>
      <c r="CI849" s="14"/>
      <c r="CJ849" s="14"/>
      <c r="CK849" s="14"/>
      <c r="CL849" s="14"/>
      <c r="CT849" s="14"/>
      <c r="CW849" s="3"/>
      <c r="DG849" s="4"/>
    </row>
    <row r="850" customFormat="false" ht="11.25" hidden="false" customHeight="true" outlineLevel="0" collapsed="false">
      <c r="A850" s="14"/>
      <c r="B850" s="15"/>
      <c r="C850" s="15"/>
      <c r="D850" s="14"/>
      <c r="E850" s="14"/>
      <c r="F850" s="14"/>
      <c r="G850" s="14"/>
      <c r="H850" s="15"/>
      <c r="I850" s="15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4"/>
      <c r="BP850" s="14"/>
      <c r="BQ850" s="14"/>
      <c r="BR850" s="14"/>
      <c r="BS850" s="14"/>
      <c r="BT850" s="14"/>
      <c r="BU850" s="14"/>
      <c r="BV850" s="14"/>
      <c r="BW850" s="14"/>
      <c r="BX850" s="14"/>
      <c r="BY850" s="14"/>
      <c r="BZ850" s="14"/>
      <c r="CA850" s="14"/>
      <c r="CB850" s="14"/>
      <c r="CC850" s="14"/>
      <c r="CD850" s="14"/>
      <c r="CE850" s="14"/>
      <c r="CF850" s="14"/>
      <c r="CG850" s="14"/>
      <c r="CH850" s="14"/>
      <c r="CI850" s="14"/>
      <c r="CJ850" s="14"/>
      <c r="CK850" s="14"/>
      <c r="CL850" s="14"/>
      <c r="CT850" s="14"/>
      <c r="CW850" s="3"/>
      <c r="DG850" s="4"/>
    </row>
    <row r="851" customFormat="false" ht="11.25" hidden="false" customHeight="true" outlineLevel="0" collapsed="false">
      <c r="A851" s="14"/>
      <c r="B851" s="15"/>
      <c r="C851" s="15"/>
      <c r="D851" s="14"/>
      <c r="E851" s="14"/>
      <c r="F851" s="14"/>
      <c r="G851" s="14"/>
      <c r="H851" s="15"/>
      <c r="I851" s="15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  <c r="BP851" s="14"/>
      <c r="BQ851" s="14"/>
      <c r="BR851" s="14"/>
      <c r="BS851" s="14"/>
      <c r="BT851" s="14"/>
      <c r="BU851" s="14"/>
      <c r="BV851" s="14"/>
      <c r="BW851" s="14"/>
      <c r="BX851" s="14"/>
      <c r="BY851" s="14"/>
      <c r="BZ851" s="14"/>
      <c r="CA851" s="14"/>
      <c r="CB851" s="14"/>
      <c r="CC851" s="14"/>
      <c r="CD851" s="14"/>
      <c r="CE851" s="14"/>
      <c r="CF851" s="14"/>
      <c r="CG851" s="14"/>
      <c r="CH851" s="14"/>
      <c r="CI851" s="14"/>
      <c r="CJ851" s="14"/>
      <c r="CK851" s="14"/>
      <c r="CL851" s="14"/>
      <c r="CT851" s="14"/>
      <c r="CW851" s="3"/>
      <c r="DG851" s="4"/>
    </row>
    <row r="852" customFormat="false" ht="11.25" hidden="false" customHeight="true" outlineLevel="0" collapsed="false">
      <c r="A852" s="14"/>
      <c r="B852" s="15"/>
      <c r="C852" s="15"/>
      <c r="D852" s="14"/>
      <c r="E852" s="14"/>
      <c r="F852" s="14"/>
      <c r="G852" s="14"/>
      <c r="H852" s="15"/>
      <c r="I852" s="15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  <c r="BO852" s="14"/>
      <c r="BP852" s="14"/>
      <c r="BQ852" s="14"/>
      <c r="BR852" s="14"/>
      <c r="BS852" s="14"/>
      <c r="BT852" s="14"/>
      <c r="BU852" s="14"/>
      <c r="BV852" s="14"/>
      <c r="BW852" s="14"/>
      <c r="BX852" s="14"/>
      <c r="BY852" s="14"/>
      <c r="BZ852" s="14"/>
      <c r="CA852" s="14"/>
      <c r="CB852" s="14"/>
      <c r="CC852" s="14"/>
      <c r="CD852" s="14"/>
      <c r="CE852" s="14"/>
      <c r="CF852" s="14"/>
      <c r="CG852" s="14"/>
      <c r="CH852" s="14"/>
      <c r="CI852" s="14"/>
      <c r="CJ852" s="14"/>
      <c r="CK852" s="14"/>
      <c r="CL852" s="14"/>
      <c r="CT852" s="14"/>
      <c r="CW852" s="3"/>
      <c r="DG852" s="4"/>
    </row>
    <row r="853" customFormat="false" ht="11.25" hidden="false" customHeight="true" outlineLevel="0" collapsed="false">
      <c r="A853" s="14"/>
      <c r="B853" s="15"/>
      <c r="C853" s="15"/>
      <c r="D853" s="14"/>
      <c r="E853" s="14"/>
      <c r="F853" s="14"/>
      <c r="G853" s="14"/>
      <c r="H853" s="15"/>
      <c r="I853" s="15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  <c r="BP853" s="14"/>
      <c r="BQ853" s="14"/>
      <c r="BR853" s="14"/>
      <c r="BS853" s="14"/>
      <c r="BT853" s="14"/>
      <c r="BU853" s="14"/>
      <c r="BV853" s="14"/>
      <c r="BW853" s="14"/>
      <c r="BX853" s="14"/>
      <c r="BY853" s="14"/>
      <c r="BZ853" s="14"/>
      <c r="CA853" s="14"/>
      <c r="CB853" s="14"/>
      <c r="CC853" s="14"/>
      <c r="CD853" s="14"/>
      <c r="CE853" s="14"/>
      <c r="CF853" s="14"/>
      <c r="CG853" s="14"/>
      <c r="CH853" s="14"/>
      <c r="CI853" s="14"/>
      <c r="CJ853" s="14"/>
      <c r="CK853" s="14"/>
      <c r="CL853" s="14"/>
      <c r="CT853" s="14"/>
      <c r="CW853" s="3"/>
      <c r="DG853" s="4"/>
    </row>
    <row r="854" customFormat="false" ht="11.25" hidden="false" customHeight="true" outlineLevel="0" collapsed="false">
      <c r="A854" s="14"/>
      <c r="B854" s="15"/>
      <c r="C854" s="15"/>
      <c r="D854" s="14"/>
      <c r="E854" s="14"/>
      <c r="F854" s="14"/>
      <c r="G854" s="14"/>
      <c r="H854" s="15"/>
      <c r="I854" s="15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  <c r="BL854" s="14"/>
      <c r="BM854" s="14"/>
      <c r="BN854" s="14"/>
      <c r="BO854" s="14"/>
      <c r="BP854" s="14"/>
      <c r="BQ854" s="14"/>
      <c r="BR854" s="14"/>
      <c r="BS854" s="14"/>
      <c r="BT854" s="14"/>
      <c r="BU854" s="14"/>
      <c r="BV854" s="14"/>
      <c r="BW854" s="14"/>
      <c r="BX854" s="14"/>
      <c r="BY854" s="14"/>
      <c r="BZ854" s="14"/>
      <c r="CA854" s="14"/>
      <c r="CB854" s="14"/>
      <c r="CC854" s="14"/>
      <c r="CD854" s="14"/>
      <c r="CE854" s="14"/>
      <c r="CF854" s="14"/>
      <c r="CG854" s="14"/>
      <c r="CH854" s="14"/>
      <c r="CI854" s="14"/>
      <c r="CJ854" s="14"/>
      <c r="CK854" s="14"/>
      <c r="CL854" s="14"/>
      <c r="CT854" s="14"/>
      <c r="CW854" s="3"/>
      <c r="DG854" s="4"/>
    </row>
    <row r="855" customFormat="false" ht="11.25" hidden="false" customHeight="true" outlineLevel="0" collapsed="false">
      <c r="A855" s="14"/>
      <c r="B855" s="15"/>
      <c r="C855" s="15"/>
      <c r="D855" s="14"/>
      <c r="E855" s="14"/>
      <c r="F855" s="14"/>
      <c r="G855" s="14"/>
      <c r="H855" s="15"/>
      <c r="I855" s="15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  <c r="BP855" s="14"/>
      <c r="BQ855" s="14"/>
      <c r="BR855" s="14"/>
      <c r="BS855" s="14"/>
      <c r="BT855" s="14"/>
      <c r="BU855" s="14"/>
      <c r="BV855" s="14"/>
      <c r="BW855" s="14"/>
      <c r="BX855" s="14"/>
      <c r="BY855" s="14"/>
      <c r="BZ855" s="14"/>
      <c r="CA855" s="14"/>
      <c r="CB855" s="14"/>
      <c r="CC855" s="14"/>
      <c r="CD855" s="14"/>
      <c r="CE855" s="14"/>
      <c r="CF855" s="14"/>
      <c r="CG855" s="14"/>
      <c r="CH855" s="14"/>
      <c r="CI855" s="14"/>
      <c r="CJ855" s="14"/>
      <c r="CK855" s="14"/>
      <c r="CL855" s="14"/>
      <c r="CT855" s="14"/>
      <c r="CW855" s="3"/>
      <c r="DG855" s="4"/>
    </row>
    <row r="856" customFormat="false" ht="11.25" hidden="false" customHeight="true" outlineLevel="0" collapsed="false">
      <c r="A856" s="14"/>
      <c r="B856" s="15"/>
      <c r="C856" s="15"/>
      <c r="D856" s="14"/>
      <c r="E856" s="14"/>
      <c r="F856" s="14"/>
      <c r="G856" s="14"/>
      <c r="H856" s="15"/>
      <c r="I856" s="15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  <c r="BN856" s="14"/>
      <c r="BO856" s="14"/>
      <c r="BP856" s="14"/>
      <c r="BQ856" s="14"/>
      <c r="BR856" s="14"/>
      <c r="BS856" s="14"/>
      <c r="BT856" s="14"/>
      <c r="BU856" s="14"/>
      <c r="BV856" s="14"/>
      <c r="BW856" s="14"/>
      <c r="BX856" s="14"/>
      <c r="BY856" s="14"/>
      <c r="BZ856" s="14"/>
      <c r="CA856" s="14"/>
      <c r="CB856" s="14"/>
      <c r="CC856" s="14"/>
      <c r="CD856" s="14"/>
      <c r="CE856" s="14"/>
      <c r="CF856" s="14"/>
      <c r="CG856" s="14"/>
      <c r="CH856" s="14"/>
      <c r="CI856" s="14"/>
      <c r="CJ856" s="14"/>
      <c r="CK856" s="14"/>
      <c r="CL856" s="14"/>
      <c r="CT856" s="14"/>
      <c r="CW856" s="3"/>
      <c r="DG856" s="4"/>
    </row>
    <row r="857" customFormat="false" ht="11.25" hidden="false" customHeight="true" outlineLevel="0" collapsed="false">
      <c r="A857" s="14"/>
      <c r="B857" s="15"/>
      <c r="C857" s="15"/>
      <c r="D857" s="14"/>
      <c r="E857" s="14"/>
      <c r="F857" s="14"/>
      <c r="G857" s="14"/>
      <c r="H857" s="15"/>
      <c r="I857" s="15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  <c r="BP857" s="14"/>
      <c r="BQ857" s="14"/>
      <c r="BR857" s="14"/>
      <c r="BS857" s="14"/>
      <c r="BT857" s="14"/>
      <c r="BU857" s="14"/>
      <c r="BV857" s="14"/>
      <c r="BW857" s="14"/>
      <c r="BX857" s="14"/>
      <c r="BY857" s="14"/>
      <c r="BZ857" s="14"/>
      <c r="CA857" s="14"/>
      <c r="CB857" s="14"/>
      <c r="CC857" s="14"/>
      <c r="CD857" s="14"/>
      <c r="CE857" s="14"/>
      <c r="CF857" s="14"/>
      <c r="CG857" s="14"/>
      <c r="CH857" s="14"/>
      <c r="CI857" s="14"/>
      <c r="CJ857" s="14"/>
      <c r="CK857" s="14"/>
      <c r="CL857" s="14"/>
      <c r="CT857" s="14"/>
      <c r="CW857" s="3"/>
      <c r="DG857" s="4"/>
    </row>
    <row r="858" customFormat="false" ht="11.25" hidden="false" customHeight="true" outlineLevel="0" collapsed="false">
      <c r="A858" s="14"/>
      <c r="B858" s="15"/>
      <c r="C858" s="15"/>
      <c r="D858" s="14"/>
      <c r="E858" s="14"/>
      <c r="F858" s="14"/>
      <c r="G858" s="14"/>
      <c r="H858" s="15"/>
      <c r="I858" s="15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  <c r="BO858" s="14"/>
      <c r="BP858" s="14"/>
      <c r="BQ858" s="14"/>
      <c r="BR858" s="14"/>
      <c r="BS858" s="14"/>
      <c r="BT858" s="14"/>
      <c r="BU858" s="14"/>
      <c r="BV858" s="14"/>
      <c r="BW858" s="14"/>
      <c r="BX858" s="14"/>
      <c r="BY858" s="14"/>
      <c r="BZ858" s="14"/>
      <c r="CA858" s="14"/>
      <c r="CB858" s="14"/>
      <c r="CC858" s="14"/>
      <c r="CD858" s="14"/>
      <c r="CE858" s="14"/>
      <c r="CF858" s="14"/>
      <c r="CG858" s="14"/>
      <c r="CH858" s="14"/>
      <c r="CI858" s="14"/>
      <c r="CJ858" s="14"/>
      <c r="CK858" s="14"/>
      <c r="CL858" s="14"/>
      <c r="CT858" s="14"/>
      <c r="CW858" s="3"/>
      <c r="DG858" s="4"/>
    </row>
    <row r="859" customFormat="false" ht="11.25" hidden="false" customHeight="true" outlineLevel="0" collapsed="false">
      <c r="A859" s="14"/>
      <c r="B859" s="15"/>
      <c r="C859" s="15"/>
      <c r="D859" s="14"/>
      <c r="E859" s="14"/>
      <c r="F859" s="14"/>
      <c r="G859" s="14"/>
      <c r="H859" s="15"/>
      <c r="I859" s="15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  <c r="BP859" s="14"/>
      <c r="BQ859" s="14"/>
      <c r="BR859" s="14"/>
      <c r="BS859" s="14"/>
      <c r="BT859" s="14"/>
      <c r="BU859" s="14"/>
      <c r="BV859" s="14"/>
      <c r="BW859" s="14"/>
      <c r="BX859" s="14"/>
      <c r="BY859" s="14"/>
      <c r="BZ859" s="14"/>
      <c r="CA859" s="14"/>
      <c r="CB859" s="14"/>
      <c r="CC859" s="14"/>
      <c r="CD859" s="14"/>
      <c r="CE859" s="14"/>
      <c r="CF859" s="14"/>
      <c r="CG859" s="14"/>
      <c r="CH859" s="14"/>
      <c r="CI859" s="14"/>
      <c r="CJ859" s="14"/>
      <c r="CK859" s="14"/>
      <c r="CL859" s="14"/>
      <c r="CT859" s="14"/>
      <c r="CW859" s="3"/>
      <c r="DG859" s="4"/>
    </row>
    <row r="860" customFormat="false" ht="11.25" hidden="false" customHeight="true" outlineLevel="0" collapsed="false">
      <c r="A860" s="14"/>
      <c r="B860" s="15"/>
      <c r="C860" s="15"/>
      <c r="D860" s="14"/>
      <c r="E860" s="14"/>
      <c r="F860" s="14"/>
      <c r="G860" s="14"/>
      <c r="H860" s="15"/>
      <c r="I860" s="15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  <c r="BO860" s="14"/>
      <c r="BP860" s="14"/>
      <c r="BQ860" s="14"/>
      <c r="BR860" s="14"/>
      <c r="BS860" s="14"/>
      <c r="BT860" s="14"/>
      <c r="BU860" s="14"/>
      <c r="BV860" s="14"/>
      <c r="BW860" s="14"/>
      <c r="BX860" s="14"/>
      <c r="BY860" s="14"/>
      <c r="BZ860" s="14"/>
      <c r="CA860" s="14"/>
      <c r="CB860" s="14"/>
      <c r="CC860" s="14"/>
      <c r="CD860" s="14"/>
      <c r="CE860" s="14"/>
      <c r="CF860" s="14"/>
      <c r="CG860" s="14"/>
      <c r="CH860" s="14"/>
      <c r="CI860" s="14"/>
      <c r="CJ860" s="14"/>
      <c r="CK860" s="14"/>
      <c r="CL860" s="14"/>
      <c r="CT860" s="14"/>
      <c r="CW860" s="3"/>
      <c r="DG860" s="4"/>
    </row>
    <row r="861" customFormat="false" ht="11.25" hidden="false" customHeight="true" outlineLevel="0" collapsed="false">
      <c r="A861" s="14"/>
      <c r="B861" s="15"/>
      <c r="C861" s="15"/>
      <c r="D861" s="14"/>
      <c r="E861" s="14"/>
      <c r="F861" s="14"/>
      <c r="G861" s="14"/>
      <c r="H861" s="15"/>
      <c r="I861" s="15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4"/>
      <c r="BP861" s="14"/>
      <c r="BQ861" s="14"/>
      <c r="BR861" s="14"/>
      <c r="BS861" s="14"/>
      <c r="BT861" s="14"/>
      <c r="BU861" s="14"/>
      <c r="BV861" s="14"/>
      <c r="BW861" s="14"/>
      <c r="BX861" s="14"/>
      <c r="BY861" s="14"/>
      <c r="BZ861" s="14"/>
      <c r="CA861" s="14"/>
      <c r="CB861" s="14"/>
      <c r="CC861" s="14"/>
      <c r="CD861" s="14"/>
      <c r="CE861" s="14"/>
      <c r="CF861" s="14"/>
      <c r="CG861" s="14"/>
      <c r="CH861" s="14"/>
      <c r="CI861" s="14"/>
      <c r="CJ861" s="14"/>
      <c r="CK861" s="14"/>
      <c r="CL861" s="14"/>
      <c r="CT861" s="14"/>
      <c r="CW861" s="3"/>
      <c r="DG861" s="4"/>
    </row>
    <row r="862" customFormat="false" ht="11.25" hidden="false" customHeight="true" outlineLevel="0" collapsed="false">
      <c r="A862" s="14"/>
      <c r="B862" s="15"/>
      <c r="C862" s="15"/>
      <c r="D862" s="14"/>
      <c r="E862" s="14"/>
      <c r="F862" s="14"/>
      <c r="G862" s="14"/>
      <c r="H862" s="15"/>
      <c r="I862" s="15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4"/>
      <c r="BM862" s="14"/>
      <c r="BN862" s="14"/>
      <c r="BO862" s="14"/>
      <c r="BP862" s="14"/>
      <c r="BQ862" s="14"/>
      <c r="BR862" s="14"/>
      <c r="BS862" s="14"/>
      <c r="BT862" s="14"/>
      <c r="BU862" s="14"/>
      <c r="BV862" s="14"/>
      <c r="BW862" s="14"/>
      <c r="BX862" s="14"/>
      <c r="BY862" s="14"/>
      <c r="BZ862" s="14"/>
      <c r="CA862" s="14"/>
      <c r="CB862" s="14"/>
      <c r="CC862" s="14"/>
      <c r="CD862" s="14"/>
      <c r="CE862" s="14"/>
      <c r="CF862" s="14"/>
      <c r="CG862" s="14"/>
      <c r="CH862" s="14"/>
      <c r="CI862" s="14"/>
      <c r="CJ862" s="14"/>
      <c r="CK862" s="14"/>
      <c r="CL862" s="14"/>
      <c r="CT862" s="14"/>
      <c r="CW862" s="3"/>
      <c r="DG862" s="4"/>
    </row>
    <row r="863" customFormat="false" ht="11.25" hidden="false" customHeight="true" outlineLevel="0" collapsed="false">
      <c r="A863" s="14"/>
      <c r="B863" s="15"/>
      <c r="C863" s="15"/>
      <c r="D863" s="14"/>
      <c r="E863" s="14"/>
      <c r="F863" s="14"/>
      <c r="G863" s="14"/>
      <c r="H863" s="15"/>
      <c r="I863" s="15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  <c r="BP863" s="14"/>
      <c r="BQ863" s="14"/>
      <c r="BR863" s="14"/>
      <c r="BS863" s="14"/>
      <c r="BT863" s="14"/>
      <c r="BU863" s="14"/>
      <c r="BV863" s="14"/>
      <c r="BW863" s="14"/>
      <c r="BX863" s="14"/>
      <c r="BY863" s="14"/>
      <c r="BZ863" s="14"/>
      <c r="CA863" s="14"/>
      <c r="CB863" s="14"/>
      <c r="CC863" s="14"/>
      <c r="CD863" s="14"/>
      <c r="CE863" s="14"/>
      <c r="CF863" s="14"/>
      <c r="CG863" s="14"/>
      <c r="CH863" s="14"/>
      <c r="CI863" s="14"/>
      <c r="CJ863" s="14"/>
      <c r="CK863" s="14"/>
      <c r="CL863" s="14"/>
      <c r="CT863" s="14"/>
      <c r="CW863" s="3"/>
      <c r="DG863" s="4"/>
    </row>
    <row r="864" customFormat="false" ht="11.25" hidden="false" customHeight="true" outlineLevel="0" collapsed="false">
      <c r="A864" s="14"/>
      <c r="B864" s="15"/>
      <c r="C864" s="15"/>
      <c r="D864" s="14"/>
      <c r="E864" s="14"/>
      <c r="F864" s="14"/>
      <c r="G864" s="14"/>
      <c r="H864" s="15"/>
      <c r="I864" s="15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  <c r="BO864" s="14"/>
      <c r="BP864" s="14"/>
      <c r="BQ864" s="14"/>
      <c r="BR864" s="14"/>
      <c r="BS864" s="14"/>
      <c r="BT864" s="14"/>
      <c r="BU864" s="14"/>
      <c r="BV864" s="14"/>
      <c r="BW864" s="14"/>
      <c r="BX864" s="14"/>
      <c r="BY864" s="14"/>
      <c r="BZ864" s="14"/>
      <c r="CA864" s="14"/>
      <c r="CB864" s="14"/>
      <c r="CC864" s="14"/>
      <c r="CD864" s="14"/>
      <c r="CE864" s="14"/>
      <c r="CF864" s="14"/>
      <c r="CG864" s="14"/>
      <c r="CH864" s="14"/>
      <c r="CI864" s="14"/>
      <c r="CJ864" s="14"/>
      <c r="CK864" s="14"/>
      <c r="CL864" s="14"/>
      <c r="CT864" s="14"/>
      <c r="CW864" s="3"/>
      <c r="DG864" s="4"/>
    </row>
    <row r="865" customFormat="false" ht="11.25" hidden="false" customHeight="true" outlineLevel="0" collapsed="false">
      <c r="A865" s="14"/>
      <c r="B865" s="15"/>
      <c r="C865" s="15"/>
      <c r="D865" s="14"/>
      <c r="E865" s="14"/>
      <c r="F865" s="14"/>
      <c r="G865" s="14"/>
      <c r="H865" s="15"/>
      <c r="I865" s="15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  <c r="BP865" s="14"/>
      <c r="BQ865" s="14"/>
      <c r="BR865" s="14"/>
      <c r="BS865" s="14"/>
      <c r="BT865" s="14"/>
      <c r="BU865" s="14"/>
      <c r="BV865" s="14"/>
      <c r="BW865" s="14"/>
      <c r="BX865" s="14"/>
      <c r="BY865" s="14"/>
      <c r="BZ865" s="14"/>
      <c r="CA865" s="14"/>
      <c r="CB865" s="14"/>
      <c r="CC865" s="14"/>
      <c r="CD865" s="14"/>
      <c r="CE865" s="14"/>
      <c r="CF865" s="14"/>
      <c r="CG865" s="14"/>
      <c r="CH865" s="14"/>
      <c r="CI865" s="14"/>
      <c r="CJ865" s="14"/>
      <c r="CK865" s="14"/>
      <c r="CL865" s="14"/>
      <c r="CT865" s="14"/>
      <c r="CW865" s="3"/>
      <c r="DG865" s="4"/>
    </row>
    <row r="866" customFormat="false" ht="11.25" hidden="false" customHeight="true" outlineLevel="0" collapsed="false">
      <c r="A866" s="14"/>
      <c r="B866" s="15"/>
      <c r="C866" s="15"/>
      <c r="D866" s="14"/>
      <c r="E866" s="14"/>
      <c r="F866" s="14"/>
      <c r="G866" s="14"/>
      <c r="H866" s="15"/>
      <c r="I866" s="15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  <c r="BN866" s="14"/>
      <c r="BO866" s="14"/>
      <c r="BP866" s="14"/>
      <c r="BQ866" s="14"/>
      <c r="BR866" s="14"/>
      <c r="BS866" s="14"/>
      <c r="BT866" s="14"/>
      <c r="BU866" s="14"/>
      <c r="BV866" s="14"/>
      <c r="BW866" s="14"/>
      <c r="BX866" s="14"/>
      <c r="BY866" s="14"/>
      <c r="BZ866" s="14"/>
      <c r="CA866" s="14"/>
      <c r="CB866" s="14"/>
      <c r="CC866" s="14"/>
      <c r="CD866" s="14"/>
      <c r="CE866" s="14"/>
      <c r="CF866" s="14"/>
      <c r="CG866" s="14"/>
      <c r="CH866" s="14"/>
      <c r="CI866" s="14"/>
      <c r="CJ866" s="14"/>
      <c r="CK866" s="14"/>
      <c r="CL866" s="14"/>
      <c r="CT866" s="14"/>
      <c r="CW866" s="3"/>
      <c r="DG866" s="4"/>
    </row>
    <row r="867" customFormat="false" ht="11.25" hidden="false" customHeight="true" outlineLevel="0" collapsed="false">
      <c r="A867" s="14"/>
      <c r="B867" s="15"/>
      <c r="C867" s="15"/>
      <c r="D867" s="14"/>
      <c r="E867" s="14"/>
      <c r="F867" s="14"/>
      <c r="G867" s="14"/>
      <c r="H867" s="15"/>
      <c r="I867" s="15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4"/>
      <c r="BP867" s="14"/>
      <c r="BQ867" s="14"/>
      <c r="BR867" s="14"/>
      <c r="BS867" s="14"/>
      <c r="BT867" s="14"/>
      <c r="BU867" s="14"/>
      <c r="BV867" s="14"/>
      <c r="BW867" s="14"/>
      <c r="BX867" s="14"/>
      <c r="BY867" s="14"/>
      <c r="BZ867" s="14"/>
      <c r="CA867" s="14"/>
      <c r="CB867" s="14"/>
      <c r="CC867" s="14"/>
      <c r="CD867" s="14"/>
      <c r="CE867" s="14"/>
      <c r="CF867" s="14"/>
      <c r="CG867" s="14"/>
      <c r="CH867" s="14"/>
      <c r="CI867" s="14"/>
      <c r="CJ867" s="14"/>
      <c r="CK867" s="14"/>
      <c r="CL867" s="14"/>
      <c r="CT867" s="14"/>
      <c r="CW867" s="3"/>
      <c r="DG867" s="4"/>
    </row>
    <row r="868" customFormat="false" ht="11.25" hidden="false" customHeight="true" outlineLevel="0" collapsed="false">
      <c r="A868" s="14"/>
      <c r="B868" s="15"/>
      <c r="C868" s="15"/>
      <c r="D868" s="14"/>
      <c r="E868" s="14"/>
      <c r="F868" s="14"/>
      <c r="G868" s="14"/>
      <c r="H868" s="15"/>
      <c r="I868" s="15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4"/>
      <c r="BP868" s="14"/>
      <c r="BQ868" s="14"/>
      <c r="BR868" s="14"/>
      <c r="BS868" s="14"/>
      <c r="BT868" s="14"/>
      <c r="BU868" s="14"/>
      <c r="BV868" s="14"/>
      <c r="BW868" s="14"/>
      <c r="BX868" s="14"/>
      <c r="BY868" s="14"/>
      <c r="BZ868" s="14"/>
      <c r="CA868" s="14"/>
      <c r="CB868" s="14"/>
      <c r="CC868" s="14"/>
      <c r="CD868" s="14"/>
      <c r="CE868" s="14"/>
      <c r="CF868" s="14"/>
      <c r="CG868" s="14"/>
      <c r="CH868" s="14"/>
      <c r="CI868" s="14"/>
      <c r="CJ868" s="14"/>
      <c r="CK868" s="14"/>
      <c r="CL868" s="14"/>
      <c r="CT868" s="14"/>
      <c r="CW868" s="3"/>
      <c r="DG868" s="4"/>
    </row>
    <row r="869" customFormat="false" ht="11.25" hidden="false" customHeight="true" outlineLevel="0" collapsed="false">
      <c r="A869" s="14"/>
      <c r="B869" s="15"/>
      <c r="C869" s="15"/>
      <c r="D869" s="14"/>
      <c r="E869" s="14"/>
      <c r="F869" s="14"/>
      <c r="G869" s="14"/>
      <c r="H869" s="15"/>
      <c r="I869" s="15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  <c r="BP869" s="14"/>
      <c r="BQ869" s="14"/>
      <c r="BR869" s="14"/>
      <c r="BS869" s="14"/>
      <c r="BT869" s="14"/>
      <c r="BU869" s="14"/>
      <c r="BV869" s="14"/>
      <c r="BW869" s="14"/>
      <c r="BX869" s="14"/>
      <c r="BY869" s="14"/>
      <c r="BZ869" s="14"/>
      <c r="CA869" s="14"/>
      <c r="CB869" s="14"/>
      <c r="CC869" s="14"/>
      <c r="CD869" s="14"/>
      <c r="CE869" s="14"/>
      <c r="CF869" s="14"/>
      <c r="CG869" s="14"/>
      <c r="CH869" s="14"/>
      <c r="CI869" s="14"/>
      <c r="CJ869" s="14"/>
      <c r="CK869" s="14"/>
      <c r="CL869" s="14"/>
      <c r="CT869" s="14"/>
      <c r="CW869" s="3"/>
      <c r="DG869" s="4"/>
    </row>
    <row r="870" customFormat="false" ht="11.25" hidden="false" customHeight="true" outlineLevel="0" collapsed="false">
      <c r="A870" s="14"/>
      <c r="B870" s="15"/>
      <c r="C870" s="15"/>
      <c r="D870" s="14"/>
      <c r="E870" s="14"/>
      <c r="F870" s="14"/>
      <c r="G870" s="14"/>
      <c r="H870" s="15"/>
      <c r="I870" s="15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4"/>
      <c r="BP870" s="14"/>
      <c r="BQ870" s="14"/>
      <c r="BR870" s="14"/>
      <c r="BS870" s="14"/>
      <c r="BT870" s="14"/>
      <c r="BU870" s="14"/>
      <c r="BV870" s="14"/>
      <c r="BW870" s="14"/>
      <c r="BX870" s="14"/>
      <c r="BY870" s="14"/>
      <c r="BZ870" s="14"/>
      <c r="CA870" s="14"/>
      <c r="CB870" s="14"/>
      <c r="CC870" s="14"/>
      <c r="CD870" s="14"/>
      <c r="CE870" s="14"/>
      <c r="CF870" s="14"/>
      <c r="CG870" s="14"/>
      <c r="CH870" s="14"/>
      <c r="CI870" s="14"/>
      <c r="CJ870" s="14"/>
      <c r="CK870" s="14"/>
      <c r="CL870" s="14"/>
      <c r="CT870" s="14"/>
      <c r="CW870" s="3"/>
      <c r="DG870" s="4"/>
    </row>
    <row r="871" customFormat="false" ht="11.25" hidden="false" customHeight="true" outlineLevel="0" collapsed="false">
      <c r="A871" s="14"/>
      <c r="B871" s="15"/>
      <c r="C871" s="15"/>
      <c r="D871" s="14"/>
      <c r="E871" s="14"/>
      <c r="F871" s="14"/>
      <c r="G871" s="14"/>
      <c r="H871" s="15"/>
      <c r="I871" s="15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  <c r="BP871" s="14"/>
      <c r="BQ871" s="14"/>
      <c r="BR871" s="14"/>
      <c r="BS871" s="14"/>
      <c r="BT871" s="14"/>
      <c r="BU871" s="14"/>
      <c r="BV871" s="14"/>
      <c r="BW871" s="14"/>
      <c r="BX871" s="14"/>
      <c r="BY871" s="14"/>
      <c r="BZ871" s="14"/>
      <c r="CA871" s="14"/>
      <c r="CB871" s="14"/>
      <c r="CC871" s="14"/>
      <c r="CD871" s="14"/>
      <c r="CE871" s="14"/>
      <c r="CF871" s="14"/>
      <c r="CG871" s="14"/>
      <c r="CH871" s="14"/>
      <c r="CI871" s="14"/>
      <c r="CJ871" s="14"/>
      <c r="CK871" s="14"/>
      <c r="CL871" s="14"/>
      <c r="CT871" s="14"/>
      <c r="CW871" s="3"/>
      <c r="DG871" s="4"/>
    </row>
    <row r="872" customFormat="false" ht="11.25" hidden="false" customHeight="true" outlineLevel="0" collapsed="false">
      <c r="A872" s="14"/>
      <c r="B872" s="15"/>
      <c r="C872" s="15"/>
      <c r="D872" s="14"/>
      <c r="E872" s="14"/>
      <c r="F872" s="14"/>
      <c r="G872" s="14"/>
      <c r="H872" s="15"/>
      <c r="I872" s="15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4"/>
      <c r="BP872" s="14"/>
      <c r="BQ872" s="14"/>
      <c r="BR872" s="14"/>
      <c r="BS872" s="14"/>
      <c r="BT872" s="14"/>
      <c r="BU872" s="14"/>
      <c r="BV872" s="14"/>
      <c r="BW872" s="14"/>
      <c r="BX872" s="14"/>
      <c r="BY872" s="14"/>
      <c r="BZ872" s="14"/>
      <c r="CA872" s="14"/>
      <c r="CB872" s="14"/>
      <c r="CC872" s="14"/>
      <c r="CD872" s="14"/>
      <c r="CE872" s="14"/>
      <c r="CF872" s="14"/>
      <c r="CG872" s="14"/>
      <c r="CH872" s="14"/>
      <c r="CI872" s="14"/>
      <c r="CJ872" s="14"/>
      <c r="CK872" s="14"/>
      <c r="CL872" s="14"/>
      <c r="CT872" s="14"/>
      <c r="CW872" s="3"/>
      <c r="DG872" s="4"/>
    </row>
    <row r="873" customFormat="false" ht="11.25" hidden="false" customHeight="true" outlineLevel="0" collapsed="false">
      <c r="A873" s="14"/>
      <c r="B873" s="15"/>
      <c r="C873" s="15"/>
      <c r="D873" s="14"/>
      <c r="E873" s="14"/>
      <c r="F873" s="14"/>
      <c r="G873" s="14"/>
      <c r="H873" s="15"/>
      <c r="I873" s="15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  <c r="BP873" s="14"/>
      <c r="BQ873" s="14"/>
      <c r="BR873" s="14"/>
      <c r="BS873" s="14"/>
      <c r="BT873" s="14"/>
      <c r="BU873" s="14"/>
      <c r="BV873" s="14"/>
      <c r="BW873" s="14"/>
      <c r="BX873" s="14"/>
      <c r="BY873" s="14"/>
      <c r="BZ873" s="14"/>
      <c r="CA873" s="14"/>
      <c r="CB873" s="14"/>
      <c r="CC873" s="14"/>
      <c r="CD873" s="14"/>
      <c r="CE873" s="14"/>
      <c r="CF873" s="14"/>
      <c r="CG873" s="14"/>
      <c r="CH873" s="14"/>
      <c r="CI873" s="14"/>
      <c r="CJ873" s="14"/>
      <c r="CK873" s="14"/>
      <c r="CL873" s="14"/>
      <c r="CT873" s="14"/>
      <c r="CW873" s="3"/>
      <c r="DG873" s="4"/>
    </row>
    <row r="874" customFormat="false" ht="11.25" hidden="false" customHeight="true" outlineLevel="0" collapsed="false">
      <c r="A874" s="14"/>
      <c r="B874" s="15"/>
      <c r="C874" s="15"/>
      <c r="D874" s="14"/>
      <c r="E874" s="14"/>
      <c r="F874" s="14"/>
      <c r="G874" s="14"/>
      <c r="H874" s="15"/>
      <c r="I874" s="15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/>
      <c r="BL874" s="14"/>
      <c r="BM874" s="14"/>
      <c r="BN874" s="14"/>
      <c r="BO874" s="14"/>
      <c r="BP874" s="14"/>
      <c r="BQ874" s="14"/>
      <c r="BR874" s="14"/>
      <c r="BS874" s="14"/>
      <c r="BT874" s="14"/>
      <c r="BU874" s="14"/>
      <c r="BV874" s="14"/>
      <c r="BW874" s="14"/>
      <c r="BX874" s="14"/>
      <c r="BY874" s="14"/>
      <c r="BZ874" s="14"/>
      <c r="CA874" s="14"/>
      <c r="CB874" s="14"/>
      <c r="CC874" s="14"/>
      <c r="CD874" s="14"/>
      <c r="CE874" s="14"/>
      <c r="CF874" s="14"/>
      <c r="CG874" s="14"/>
      <c r="CH874" s="14"/>
      <c r="CI874" s="14"/>
      <c r="CJ874" s="14"/>
      <c r="CK874" s="14"/>
      <c r="CL874" s="14"/>
      <c r="CT874" s="14"/>
      <c r="CW874" s="3"/>
      <c r="DG874" s="4"/>
    </row>
    <row r="875" customFormat="false" ht="11.25" hidden="false" customHeight="true" outlineLevel="0" collapsed="false">
      <c r="A875" s="14"/>
      <c r="B875" s="15"/>
      <c r="C875" s="15"/>
      <c r="D875" s="14"/>
      <c r="E875" s="14"/>
      <c r="F875" s="14"/>
      <c r="G875" s="14"/>
      <c r="H875" s="15"/>
      <c r="I875" s="15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4"/>
      <c r="BP875" s="14"/>
      <c r="BQ875" s="14"/>
      <c r="BR875" s="14"/>
      <c r="BS875" s="14"/>
      <c r="BT875" s="14"/>
      <c r="BU875" s="14"/>
      <c r="BV875" s="14"/>
      <c r="BW875" s="14"/>
      <c r="BX875" s="14"/>
      <c r="BY875" s="14"/>
      <c r="BZ875" s="14"/>
      <c r="CA875" s="14"/>
      <c r="CB875" s="14"/>
      <c r="CC875" s="14"/>
      <c r="CD875" s="14"/>
      <c r="CE875" s="14"/>
      <c r="CF875" s="14"/>
      <c r="CG875" s="14"/>
      <c r="CH875" s="14"/>
      <c r="CI875" s="14"/>
      <c r="CJ875" s="14"/>
      <c r="CK875" s="14"/>
      <c r="CL875" s="14"/>
      <c r="CT875" s="14"/>
      <c r="CW875" s="3"/>
      <c r="DG875" s="4"/>
    </row>
    <row r="876" customFormat="false" ht="11.25" hidden="false" customHeight="true" outlineLevel="0" collapsed="false">
      <c r="A876" s="14"/>
      <c r="B876" s="15"/>
      <c r="C876" s="15"/>
      <c r="D876" s="14"/>
      <c r="E876" s="14"/>
      <c r="F876" s="14"/>
      <c r="G876" s="14"/>
      <c r="H876" s="15"/>
      <c r="I876" s="15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  <c r="BN876" s="14"/>
      <c r="BO876" s="14"/>
      <c r="BP876" s="14"/>
      <c r="BQ876" s="14"/>
      <c r="BR876" s="14"/>
      <c r="BS876" s="14"/>
      <c r="BT876" s="14"/>
      <c r="BU876" s="14"/>
      <c r="BV876" s="14"/>
      <c r="BW876" s="14"/>
      <c r="BX876" s="14"/>
      <c r="BY876" s="14"/>
      <c r="BZ876" s="14"/>
      <c r="CA876" s="14"/>
      <c r="CB876" s="14"/>
      <c r="CC876" s="14"/>
      <c r="CD876" s="14"/>
      <c r="CE876" s="14"/>
      <c r="CF876" s="14"/>
      <c r="CG876" s="14"/>
      <c r="CH876" s="14"/>
      <c r="CI876" s="14"/>
      <c r="CJ876" s="14"/>
      <c r="CK876" s="14"/>
      <c r="CL876" s="14"/>
      <c r="CT876" s="14"/>
      <c r="CW876" s="3"/>
      <c r="DG876" s="4"/>
    </row>
    <row r="877" customFormat="false" ht="11.25" hidden="false" customHeight="true" outlineLevel="0" collapsed="false">
      <c r="A877" s="14"/>
      <c r="B877" s="15"/>
      <c r="C877" s="15"/>
      <c r="D877" s="14"/>
      <c r="E877" s="14"/>
      <c r="F877" s="14"/>
      <c r="G877" s="14"/>
      <c r="H877" s="15"/>
      <c r="I877" s="15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  <c r="BP877" s="14"/>
      <c r="BQ877" s="14"/>
      <c r="BR877" s="14"/>
      <c r="BS877" s="14"/>
      <c r="BT877" s="14"/>
      <c r="BU877" s="14"/>
      <c r="BV877" s="14"/>
      <c r="BW877" s="14"/>
      <c r="BX877" s="14"/>
      <c r="BY877" s="14"/>
      <c r="BZ877" s="14"/>
      <c r="CA877" s="14"/>
      <c r="CB877" s="14"/>
      <c r="CC877" s="14"/>
      <c r="CD877" s="14"/>
      <c r="CE877" s="14"/>
      <c r="CF877" s="14"/>
      <c r="CG877" s="14"/>
      <c r="CH877" s="14"/>
      <c r="CI877" s="14"/>
      <c r="CJ877" s="14"/>
      <c r="CK877" s="14"/>
      <c r="CL877" s="14"/>
      <c r="CT877" s="14"/>
      <c r="CW877" s="3"/>
      <c r="DG877" s="4"/>
    </row>
    <row r="878" customFormat="false" ht="11.25" hidden="false" customHeight="true" outlineLevel="0" collapsed="false">
      <c r="A878" s="14"/>
      <c r="B878" s="15"/>
      <c r="C878" s="15"/>
      <c r="D878" s="14"/>
      <c r="E878" s="14"/>
      <c r="F878" s="14"/>
      <c r="G878" s="14"/>
      <c r="H878" s="15"/>
      <c r="I878" s="15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  <c r="BO878" s="14"/>
      <c r="BP878" s="14"/>
      <c r="BQ878" s="14"/>
      <c r="BR878" s="14"/>
      <c r="BS878" s="14"/>
      <c r="BT878" s="14"/>
      <c r="BU878" s="14"/>
      <c r="BV878" s="14"/>
      <c r="BW878" s="14"/>
      <c r="BX878" s="14"/>
      <c r="BY878" s="14"/>
      <c r="BZ878" s="14"/>
      <c r="CA878" s="14"/>
      <c r="CB878" s="14"/>
      <c r="CC878" s="14"/>
      <c r="CD878" s="14"/>
      <c r="CE878" s="14"/>
      <c r="CF878" s="14"/>
      <c r="CG878" s="14"/>
      <c r="CH878" s="14"/>
      <c r="CI878" s="14"/>
      <c r="CJ878" s="14"/>
      <c r="CK878" s="14"/>
      <c r="CL878" s="14"/>
      <c r="CT878" s="14"/>
      <c r="CW878" s="3"/>
      <c r="DG878" s="4"/>
    </row>
    <row r="879" customFormat="false" ht="11.25" hidden="false" customHeight="true" outlineLevel="0" collapsed="false">
      <c r="A879" s="14"/>
      <c r="B879" s="15"/>
      <c r="C879" s="15"/>
      <c r="D879" s="14"/>
      <c r="E879" s="14"/>
      <c r="F879" s="14"/>
      <c r="G879" s="14"/>
      <c r="H879" s="15"/>
      <c r="I879" s="15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  <c r="BP879" s="14"/>
      <c r="BQ879" s="14"/>
      <c r="BR879" s="14"/>
      <c r="BS879" s="14"/>
      <c r="BT879" s="14"/>
      <c r="BU879" s="14"/>
      <c r="BV879" s="14"/>
      <c r="BW879" s="14"/>
      <c r="BX879" s="14"/>
      <c r="BY879" s="14"/>
      <c r="BZ879" s="14"/>
      <c r="CA879" s="14"/>
      <c r="CB879" s="14"/>
      <c r="CC879" s="14"/>
      <c r="CD879" s="14"/>
      <c r="CE879" s="14"/>
      <c r="CF879" s="14"/>
      <c r="CG879" s="14"/>
      <c r="CH879" s="14"/>
      <c r="CI879" s="14"/>
      <c r="CJ879" s="14"/>
      <c r="CK879" s="14"/>
      <c r="CL879" s="14"/>
      <c r="CT879" s="14"/>
      <c r="CW879" s="3"/>
      <c r="DG879" s="4"/>
    </row>
    <row r="880" customFormat="false" ht="11.25" hidden="false" customHeight="true" outlineLevel="0" collapsed="false">
      <c r="A880" s="14"/>
      <c r="B880" s="15"/>
      <c r="C880" s="15"/>
      <c r="D880" s="14"/>
      <c r="E880" s="14"/>
      <c r="F880" s="14"/>
      <c r="G880" s="14"/>
      <c r="H880" s="15"/>
      <c r="I880" s="15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4"/>
      <c r="BP880" s="14"/>
      <c r="BQ880" s="14"/>
      <c r="BR880" s="14"/>
      <c r="BS880" s="14"/>
      <c r="BT880" s="14"/>
      <c r="BU880" s="14"/>
      <c r="BV880" s="14"/>
      <c r="BW880" s="14"/>
      <c r="BX880" s="14"/>
      <c r="BY880" s="14"/>
      <c r="BZ880" s="14"/>
      <c r="CA880" s="14"/>
      <c r="CB880" s="14"/>
      <c r="CC880" s="14"/>
      <c r="CD880" s="14"/>
      <c r="CE880" s="14"/>
      <c r="CF880" s="14"/>
      <c r="CG880" s="14"/>
      <c r="CH880" s="14"/>
      <c r="CI880" s="14"/>
      <c r="CJ880" s="14"/>
      <c r="CK880" s="14"/>
      <c r="CL880" s="14"/>
      <c r="CT880" s="14"/>
      <c r="CW880" s="3"/>
      <c r="DG880" s="4"/>
    </row>
    <row r="881" customFormat="false" ht="11.25" hidden="false" customHeight="true" outlineLevel="0" collapsed="false">
      <c r="A881" s="14"/>
      <c r="B881" s="15"/>
      <c r="C881" s="15"/>
      <c r="D881" s="14"/>
      <c r="E881" s="14"/>
      <c r="F881" s="14"/>
      <c r="G881" s="14"/>
      <c r="H881" s="15"/>
      <c r="I881" s="15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  <c r="BP881" s="14"/>
      <c r="BQ881" s="14"/>
      <c r="BR881" s="14"/>
      <c r="BS881" s="14"/>
      <c r="BT881" s="14"/>
      <c r="BU881" s="14"/>
      <c r="BV881" s="14"/>
      <c r="BW881" s="14"/>
      <c r="BX881" s="14"/>
      <c r="BY881" s="14"/>
      <c r="BZ881" s="14"/>
      <c r="CA881" s="14"/>
      <c r="CB881" s="14"/>
      <c r="CC881" s="14"/>
      <c r="CD881" s="14"/>
      <c r="CE881" s="14"/>
      <c r="CF881" s="14"/>
      <c r="CG881" s="14"/>
      <c r="CH881" s="14"/>
      <c r="CI881" s="14"/>
      <c r="CJ881" s="14"/>
      <c r="CK881" s="14"/>
      <c r="CL881" s="14"/>
      <c r="CT881" s="14"/>
      <c r="CW881" s="3"/>
      <c r="DG881" s="4"/>
    </row>
    <row r="882" customFormat="false" ht="11.25" hidden="false" customHeight="true" outlineLevel="0" collapsed="false">
      <c r="A882" s="14"/>
      <c r="B882" s="15"/>
      <c r="C882" s="15"/>
      <c r="D882" s="14"/>
      <c r="E882" s="14"/>
      <c r="F882" s="14"/>
      <c r="G882" s="14"/>
      <c r="H882" s="15"/>
      <c r="I882" s="15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4"/>
      <c r="BM882" s="14"/>
      <c r="BN882" s="14"/>
      <c r="BO882" s="14"/>
      <c r="BP882" s="14"/>
      <c r="BQ882" s="14"/>
      <c r="BR882" s="14"/>
      <c r="BS882" s="14"/>
      <c r="BT882" s="14"/>
      <c r="BU882" s="14"/>
      <c r="BV882" s="14"/>
      <c r="BW882" s="14"/>
      <c r="BX882" s="14"/>
      <c r="BY882" s="14"/>
      <c r="BZ882" s="14"/>
      <c r="CA882" s="14"/>
      <c r="CB882" s="14"/>
      <c r="CC882" s="14"/>
      <c r="CD882" s="14"/>
      <c r="CE882" s="14"/>
      <c r="CF882" s="14"/>
      <c r="CG882" s="14"/>
      <c r="CH882" s="14"/>
      <c r="CI882" s="14"/>
      <c r="CJ882" s="14"/>
      <c r="CK882" s="14"/>
      <c r="CL882" s="14"/>
      <c r="CT882" s="14"/>
      <c r="CW882" s="3"/>
      <c r="DG882" s="4"/>
    </row>
    <row r="883" customFormat="false" ht="11.25" hidden="false" customHeight="true" outlineLevel="0" collapsed="false">
      <c r="A883" s="14"/>
      <c r="B883" s="15"/>
      <c r="C883" s="15"/>
      <c r="D883" s="14"/>
      <c r="E883" s="14"/>
      <c r="F883" s="14"/>
      <c r="G883" s="14"/>
      <c r="H883" s="15"/>
      <c r="I883" s="15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  <c r="BP883" s="14"/>
      <c r="BQ883" s="14"/>
      <c r="BR883" s="14"/>
      <c r="BS883" s="14"/>
      <c r="BT883" s="14"/>
      <c r="BU883" s="14"/>
      <c r="BV883" s="14"/>
      <c r="BW883" s="14"/>
      <c r="BX883" s="14"/>
      <c r="BY883" s="14"/>
      <c r="BZ883" s="14"/>
      <c r="CA883" s="14"/>
      <c r="CB883" s="14"/>
      <c r="CC883" s="14"/>
      <c r="CD883" s="14"/>
      <c r="CE883" s="14"/>
      <c r="CF883" s="14"/>
      <c r="CG883" s="14"/>
      <c r="CH883" s="14"/>
      <c r="CI883" s="14"/>
      <c r="CJ883" s="14"/>
      <c r="CK883" s="14"/>
      <c r="CL883" s="14"/>
      <c r="CT883" s="14"/>
      <c r="CW883" s="3"/>
      <c r="DG883" s="4"/>
    </row>
    <row r="884" customFormat="false" ht="11.25" hidden="false" customHeight="true" outlineLevel="0" collapsed="false">
      <c r="A884" s="14"/>
      <c r="B884" s="15"/>
      <c r="C884" s="15"/>
      <c r="D884" s="14"/>
      <c r="E884" s="14"/>
      <c r="F884" s="14"/>
      <c r="G884" s="14"/>
      <c r="H884" s="15"/>
      <c r="I884" s="15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  <c r="BN884" s="14"/>
      <c r="BO884" s="14"/>
      <c r="BP884" s="14"/>
      <c r="BQ884" s="14"/>
      <c r="BR884" s="14"/>
      <c r="BS884" s="14"/>
      <c r="BT884" s="14"/>
      <c r="BU884" s="14"/>
      <c r="BV884" s="14"/>
      <c r="BW884" s="14"/>
      <c r="BX884" s="14"/>
      <c r="BY884" s="14"/>
      <c r="BZ884" s="14"/>
      <c r="CA884" s="14"/>
      <c r="CB884" s="14"/>
      <c r="CC884" s="14"/>
      <c r="CD884" s="14"/>
      <c r="CE884" s="14"/>
      <c r="CF884" s="14"/>
      <c r="CG884" s="14"/>
      <c r="CH884" s="14"/>
      <c r="CI884" s="14"/>
      <c r="CJ884" s="14"/>
      <c r="CK884" s="14"/>
      <c r="CL884" s="14"/>
      <c r="CT884" s="14"/>
      <c r="CW884" s="3"/>
      <c r="DG884" s="4"/>
    </row>
    <row r="885" customFormat="false" ht="11.25" hidden="false" customHeight="true" outlineLevel="0" collapsed="false">
      <c r="A885" s="14"/>
      <c r="B885" s="15"/>
      <c r="C885" s="15"/>
      <c r="D885" s="14"/>
      <c r="E885" s="14"/>
      <c r="F885" s="14"/>
      <c r="G885" s="14"/>
      <c r="H885" s="15"/>
      <c r="I885" s="15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4"/>
      <c r="BP885" s="14"/>
      <c r="BQ885" s="14"/>
      <c r="BR885" s="14"/>
      <c r="BS885" s="14"/>
      <c r="BT885" s="14"/>
      <c r="BU885" s="14"/>
      <c r="BV885" s="14"/>
      <c r="BW885" s="14"/>
      <c r="BX885" s="14"/>
      <c r="BY885" s="14"/>
      <c r="BZ885" s="14"/>
      <c r="CA885" s="14"/>
      <c r="CB885" s="14"/>
      <c r="CC885" s="14"/>
      <c r="CD885" s="14"/>
      <c r="CE885" s="14"/>
      <c r="CF885" s="14"/>
      <c r="CG885" s="14"/>
      <c r="CH885" s="14"/>
      <c r="CI885" s="14"/>
      <c r="CJ885" s="14"/>
      <c r="CK885" s="14"/>
      <c r="CL885" s="14"/>
      <c r="CT885" s="14"/>
      <c r="CW885" s="3"/>
      <c r="DG885" s="4"/>
    </row>
    <row r="886" customFormat="false" ht="11.25" hidden="false" customHeight="true" outlineLevel="0" collapsed="false">
      <c r="A886" s="14"/>
      <c r="B886" s="15"/>
      <c r="C886" s="15"/>
      <c r="D886" s="14"/>
      <c r="E886" s="14"/>
      <c r="F886" s="14"/>
      <c r="G886" s="14"/>
      <c r="H886" s="15"/>
      <c r="I886" s="15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4"/>
      <c r="BP886" s="14"/>
      <c r="BQ886" s="14"/>
      <c r="BR886" s="14"/>
      <c r="BS886" s="14"/>
      <c r="BT886" s="14"/>
      <c r="BU886" s="14"/>
      <c r="BV886" s="14"/>
      <c r="BW886" s="14"/>
      <c r="BX886" s="14"/>
      <c r="BY886" s="14"/>
      <c r="BZ886" s="14"/>
      <c r="CA886" s="14"/>
      <c r="CB886" s="14"/>
      <c r="CC886" s="14"/>
      <c r="CD886" s="14"/>
      <c r="CE886" s="14"/>
      <c r="CF886" s="14"/>
      <c r="CG886" s="14"/>
      <c r="CH886" s="14"/>
      <c r="CI886" s="14"/>
      <c r="CJ886" s="14"/>
      <c r="CK886" s="14"/>
      <c r="CL886" s="14"/>
      <c r="CT886" s="14"/>
      <c r="CW886" s="3"/>
      <c r="DG886" s="4"/>
    </row>
    <row r="887" customFormat="false" ht="11.25" hidden="false" customHeight="true" outlineLevel="0" collapsed="false">
      <c r="A887" s="14"/>
      <c r="B887" s="15"/>
      <c r="C887" s="15"/>
      <c r="D887" s="14"/>
      <c r="E887" s="14"/>
      <c r="F887" s="14"/>
      <c r="G887" s="14"/>
      <c r="H887" s="15"/>
      <c r="I887" s="15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  <c r="BP887" s="14"/>
      <c r="BQ887" s="14"/>
      <c r="BR887" s="14"/>
      <c r="BS887" s="14"/>
      <c r="BT887" s="14"/>
      <c r="BU887" s="14"/>
      <c r="BV887" s="14"/>
      <c r="BW887" s="14"/>
      <c r="BX887" s="14"/>
      <c r="BY887" s="14"/>
      <c r="BZ887" s="14"/>
      <c r="CA887" s="14"/>
      <c r="CB887" s="14"/>
      <c r="CC887" s="14"/>
      <c r="CD887" s="14"/>
      <c r="CE887" s="14"/>
      <c r="CF887" s="14"/>
      <c r="CG887" s="14"/>
      <c r="CH887" s="14"/>
      <c r="CI887" s="14"/>
      <c r="CJ887" s="14"/>
      <c r="CK887" s="14"/>
      <c r="CL887" s="14"/>
      <c r="CT887" s="14"/>
      <c r="CW887" s="3"/>
      <c r="DG887" s="4"/>
    </row>
    <row r="888" customFormat="false" ht="11.25" hidden="false" customHeight="true" outlineLevel="0" collapsed="false">
      <c r="A888" s="14"/>
      <c r="B888" s="15"/>
      <c r="C888" s="15"/>
      <c r="D888" s="14"/>
      <c r="E888" s="14"/>
      <c r="F888" s="14"/>
      <c r="G888" s="14"/>
      <c r="H888" s="15"/>
      <c r="I888" s="15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  <c r="BN888" s="14"/>
      <c r="BO888" s="14"/>
      <c r="BP888" s="14"/>
      <c r="BQ888" s="14"/>
      <c r="BR888" s="14"/>
      <c r="BS888" s="14"/>
      <c r="BT888" s="14"/>
      <c r="BU888" s="14"/>
      <c r="BV888" s="14"/>
      <c r="BW888" s="14"/>
      <c r="BX888" s="14"/>
      <c r="BY888" s="14"/>
      <c r="BZ888" s="14"/>
      <c r="CA888" s="14"/>
      <c r="CB888" s="14"/>
      <c r="CC888" s="14"/>
      <c r="CD888" s="14"/>
      <c r="CE888" s="14"/>
      <c r="CF888" s="14"/>
      <c r="CG888" s="14"/>
      <c r="CH888" s="14"/>
      <c r="CI888" s="14"/>
      <c r="CJ888" s="14"/>
      <c r="CK888" s="14"/>
      <c r="CL888" s="14"/>
      <c r="CT888" s="14"/>
      <c r="CW888" s="3"/>
      <c r="DG888" s="4"/>
    </row>
    <row r="889" customFormat="false" ht="11.25" hidden="false" customHeight="true" outlineLevel="0" collapsed="false">
      <c r="A889" s="14"/>
      <c r="B889" s="15"/>
      <c r="C889" s="15"/>
      <c r="D889" s="14"/>
      <c r="E889" s="14"/>
      <c r="F889" s="14"/>
      <c r="G889" s="14"/>
      <c r="H889" s="15"/>
      <c r="I889" s="15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  <c r="BP889" s="14"/>
      <c r="BQ889" s="14"/>
      <c r="BR889" s="14"/>
      <c r="BS889" s="14"/>
      <c r="BT889" s="14"/>
      <c r="BU889" s="14"/>
      <c r="BV889" s="14"/>
      <c r="BW889" s="14"/>
      <c r="BX889" s="14"/>
      <c r="BY889" s="14"/>
      <c r="BZ889" s="14"/>
      <c r="CA889" s="14"/>
      <c r="CB889" s="14"/>
      <c r="CC889" s="14"/>
      <c r="CD889" s="14"/>
      <c r="CE889" s="14"/>
      <c r="CF889" s="14"/>
      <c r="CG889" s="14"/>
      <c r="CH889" s="14"/>
      <c r="CI889" s="14"/>
      <c r="CJ889" s="14"/>
      <c r="CK889" s="14"/>
      <c r="CL889" s="14"/>
      <c r="CT889" s="14"/>
      <c r="CW889" s="3"/>
      <c r="DG889" s="4"/>
    </row>
    <row r="890" customFormat="false" ht="11.25" hidden="false" customHeight="true" outlineLevel="0" collapsed="false">
      <c r="A890" s="14"/>
      <c r="B890" s="15"/>
      <c r="C890" s="15"/>
      <c r="D890" s="14"/>
      <c r="E890" s="14"/>
      <c r="F890" s="14"/>
      <c r="G890" s="14"/>
      <c r="H890" s="15"/>
      <c r="I890" s="15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  <c r="BN890" s="14"/>
      <c r="BO890" s="14"/>
      <c r="BP890" s="14"/>
      <c r="BQ890" s="14"/>
      <c r="BR890" s="14"/>
      <c r="BS890" s="14"/>
      <c r="BT890" s="14"/>
      <c r="BU890" s="14"/>
      <c r="BV890" s="14"/>
      <c r="BW890" s="14"/>
      <c r="BX890" s="14"/>
      <c r="BY890" s="14"/>
      <c r="BZ890" s="14"/>
      <c r="CA890" s="14"/>
      <c r="CB890" s="14"/>
      <c r="CC890" s="14"/>
      <c r="CD890" s="14"/>
      <c r="CE890" s="14"/>
      <c r="CF890" s="14"/>
      <c r="CG890" s="14"/>
      <c r="CH890" s="14"/>
      <c r="CI890" s="14"/>
      <c r="CJ890" s="14"/>
      <c r="CK890" s="14"/>
      <c r="CL890" s="14"/>
      <c r="CT890" s="14"/>
      <c r="CW890" s="3"/>
      <c r="DG890" s="4"/>
    </row>
    <row r="891" customFormat="false" ht="11.25" hidden="false" customHeight="true" outlineLevel="0" collapsed="false">
      <c r="A891" s="14"/>
      <c r="B891" s="15"/>
      <c r="C891" s="15"/>
      <c r="D891" s="14"/>
      <c r="E891" s="14"/>
      <c r="F891" s="14"/>
      <c r="G891" s="14"/>
      <c r="H891" s="15"/>
      <c r="I891" s="15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  <c r="BP891" s="14"/>
      <c r="BQ891" s="14"/>
      <c r="BR891" s="14"/>
      <c r="BS891" s="14"/>
      <c r="BT891" s="14"/>
      <c r="BU891" s="14"/>
      <c r="BV891" s="14"/>
      <c r="BW891" s="14"/>
      <c r="BX891" s="14"/>
      <c r="BY891" s="14"/>
      <c r="BZ891" s="14"/>
      <c r="CA891" s="14"/>
      <c r="CB891" s="14"/>
      <c r="CC891" s="14"/>
      <c r="CD891" s="14"/>
      <c r="CE891" s="14"/>
      <c r="CF891" s="14"/>
      <c r="CG891" s="14"/>
      <c r="CH891" s="14"/>
      <c r="CI891" s="14"/>
      <c r="CJ891" s="14"/>
      <c r="CK891" s="14"/>
      <c r="CL891" s="14"/>
      <c r="CT891" s="14"/>
      <c r="CW891" s="3"/>
      <c r="DG891" s="4"/>
    </row>
    <row r="892" customFormat="false" ht="11.25" hidden="false" customHeight="true" outlineLevel="0" collapsed="false">
      <c r="A892" s="14"/>
      <c r="B892" s="15"/>
      <c r="C892" s="15"/>
      <c r="D892" s="14"/>
      <c r="E892" s="14"/>
      <c r="F892" s="14"/>
      <c r="G892" s="14"/>
      <c r="H892" s="15"/>
      <c r="I892" s="15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  <c r="BL892" s="14"/>
      <c r="BM892" s="14"/>
      <c r="BN892" s="14"/>
      <c r="BO892" s="14"/>
      <c r="BP892" s="14"/>
      <c r="BQ892" s="14"/>
      <c r="BR892" s="14"/>
      <c r="BS892" s="14"/>
      <c r="BT892" s="14"/>
      <c r="BU892" s="14"/>
      <c r="BV892" s="14"/>
      <c r="BW892" s="14"/>
      <c r="BX892" s="14"/>
      <c r="BY892" s="14"/>
      <c r="BZ892" s="14"/>
      <c r="CA892" s="14"/>
      <c r="CB892" s="14"/>
      <c r="CC892" s="14"/>
      <c r="CD892" s="14"/>
      <c r="CE892" s="14"/>
      <c r="CF892" s="14"/>
      <c r="CG892" s="14"/>
      <c r="CH892" s="14"/>
      <c r="CI892" s="14"/>
      <c r="CJ892" s="14"/>
      <c r="CK892" s="14"/>
      <c r="CL892" s="14"/>
      <c r="CT892" s="14"/>
      <c r="CW892" s="3"/>
      <c r="DG892" s="4"/>
    </row>
    <row r="893" customFormat="false" ht="11.25" hidden="false" customHeight="true" outlineLevel="0" collapsed="false">
      <c r="A893" s="14"/>
      <c r="B893" s="15"/>
      <c r="C893" s="15"/>
      <c r="D893" s="14"/>
      <c r="E893" s="14"/>
      <c r="F893" s="14"/>
      <c r="G893" s="14"/>
      <c r="H893" s="15"/>
      <c r="I893" s="15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4"/>
      <c r="BP893" s="14"/>
      <c r="BQ893" s="14"/>
      <c r="BR893" s="14"/>
      <c r="BS893" s="14"/>
      <c r="BT893" s="14"/>
      <c r="BU893" s="14"/>
      <c r="BV893" s="14"/>
      <c r="BW893" s="14"/>
      <c r="BX893" s="14"/>
      <c r="BY893" s="14"/>
      <c r="BZ893" s="14"/>
      <c r="CA893" s="14"/>
      <c r="CB893" s="14"/>
      <c r="CC893" s="14"/>
      <c r="CD893" s="14"/>
      <c r="CE893" s="14"/>
      <c r="CF893" s="14"/>
      <c r="CG893" s="14"/>
      <c r="CH893" s="14"/>
      <c r="CI893" s="14"/>
      <c r="CJ893" s="14"/>
      <c r="CK893" s="14"/>
      <c r="CL893" s="14"/>
      <c r="CT893" s="14"/>
      <c r="CW893" s="3"/>
      <c r="DG893" s="4"/>
    </row>
    <row r="894" customFormat="false" ht="11.25" hidden="false" customHeight="true" outlineLevel="0" collapsed="false">
      <c r="A894" s="14"/>
      <c r="B894" s="15"/>
      <c r="C894" s="15"/>
      <c r="D894" s="14"/>
      <c r="E894" s="14"/>
      <c r="F894" s="14"/>
      <c r="G894" s="14"/>
      <c r="H894" s="15"/>
      <c r="I894" s="15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/>
      <c r="BO894" s="14"/>
      <c r="BP894" s="14"/>
      <c r="BQ894" s="14"/>
      <c r="BR894" s="14"/>
      <c r="BS894" s="14"/>
      <c r="BT894" s="14"/>
      <c r="BU894" s="14"/>
      <c r="BV894" s="14"/>
      <c r="BW894" s="14"/>
      <c r="BX894" s="14"/>
      <c r="BY894" s="14"/>
      <c r="BZ894" s="14"/>
      <c r="CA894" s="14"/>
      <c r="CB894" s="14"/>
      <c r="CC894" s="14"/>
      <c r="CD894" s="14"/>
      <c r="CE894" s="14"/>
      <c r="CF894" s="14"/>
      <c r="CG894" s="14"/>
      <c r="CH894" s="14"/>
      <c r="CI894" s="14"/>
      <c r="CJ894" s="14"/>
      <c r="CK894" s="14"/>
      <c r="CL894" s="14"/>
      <c r="CT894" s="14"/>
      <c r="CW894" s="3"/>
      <c r="DG894" s="4"/>
    </row>
    <row r="895" customFormat="false" ht="11.25" hidden="false" customHeight="true" outlineLevel="0" collapsed="false">
      <c r="A895" s="14"/>
      <c r="B895" s="15"/>
      <c r="C895" s="15"/>
      <c r="D895" s="14"/>
      <c r="E895" s="14"/>
      <c r="F895" s="14"/>
      <c r="G895" s="14"/>
      <c r="H895" s="15"/>
      <c r="I895" s="15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  <c r="BP895" s="14"/>
      <c r="BQ895" s="14"/>
      <c r="BR895" s="14"/>
      <c r="BS895" s="14"/>
      <c r="BT895" s="14"/>
      <c r="BU895" s="14"/>
      <c r="BV895" s="14"/>
      <c r="BW895" s="14"/>
      <c r="BX895" s="14"/>
      <c r="BY895" s="14"/>
      <c r="BZ895" s="14"/>
      <c r="CA895" s="14"/>
      <c r="CB895" s="14"/>
      <c r="CC895" s="14"/>
      <c r="CD895" s="14"/>
      <c r="CE895" s="14"/>
      <c r="CF895" s="14"/>
      <c r="CG895" s="14"/>
      <c r="CH895" s="14"/>
      <c r="CI895" s="14"/>
      <c r="CJ895" s="14"/>
      <c r="CK895" s="14"/>
      <c r="CL895" s="14"/>
      <c r="CT895" s="14"/>
      <c r="CW895" s="3"/>
      <c r="DG895" s="4"/>
    </row>
    <row r="896" customFormat="false" ht="11.25" hidden="false" customHeight="true" outlineLevel="0" collapsed="false">
      <c r="A896" s="14"/>
      <c r="B896" s="15"/>
      <c r="C896" s="15"/>
      <c r="D896" s="14"/>
      <c r="E896" s="14"/>
      <c r="F896" s="14"/>
      <c r="G896" s="14"/>
      <c r="H896" s="15"/>
      <c r="I896" s="15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4"/>
      <c r="BK896" s="14"/>
      <c r="BL896" s="14"/>
      <c r="BM896" s="14"/>
      <c r="BN896" s="14"/>
      <c r="BO896" s="14"/>
      <c r="BP896" s="14"/>
      <c r="BQ896" s="14"/>
      <c r="BR896" s="14"/>
      <c r="BS896" s="14"/>
      <c r="BT896" s="14"/>
      <c r="BU896" s="14"/>
      <c r="BV896" s="14"/>
      <c r="BW896" s="14"/>
      <c r="BX896" s="14"/>
      <c r="BY896" s="14"/>
      <c r="BZ896" s="14"/>
      <c r="CA896" s="14"/>
      <c r="CB896" s="14"/>
      <c r="CC896" s="14"/>
      <c r="CD896" s="14"/>
      <c r="CE896" s="14"/>
      <c r="CF896" s="14"/>
      <c r="CG896" s="14"/>
      <c r="CH896" s="14"/>
      <c r="CI896" s="14"/>
      <c r="CJ896" s="14"/>
      <c r="CK896" s="14"/>
      <c r="CL896" s="14"/>
      <c r="CT896" s="14"/>
      <c r="CW896" s="3"/>
      <c r="DG896" s="4"/>
    </row>
    <row r="897" customFormat="false" ht="11.25" hidden="false" customHeight="true" outlineLevel="0" collapsed="false">
      <c r="A897" s="14"/>
      <c r="B897" s="15"/>
      <c r="C897" s="15"/>
      <c r="D897" s="14"/>
      <c r="E897" s="14"/>
      <c r="F897" s="14"/>
      <c r="G897" s="14"/>
      <c r="H897" s="15"/>
      <c r="I897" s="15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  <c r="BP897" s="14"/>
      <c r="BQ897" s="14"/>
      <c r="BR897" s="14"/>
      <c r="BS897" s="14"/>
      <c r="BT897" s="14"/>
      <c r="BU897" s="14"/>
      <c r="BV897" s="14"/>
      <c r="BW897" s="14"/>
      <c r="BX897" s="14"/>
      <c r="BY897" s="14"/>
      <c r="BZ897" s="14"/>
      <c r="CA897" s="14"/>
      <c r="CB897" s="14"/>
      <c r="CC897" s="14"/>
      <c r="CD897" s="14"/>
      <c r="CE897" s="14"/>
      <c r="CF897" s="14"/>
      <c r="CG897" s="14"/>
      <c r="CH897" s="14"/>
      <c r="CI897" s="14"/>
      <c r="CJ897" s="14"/>
      <c r="CK897" s="14"/>
      <c r="CL897" s="14"/>
      <c r="CT897" s="14"/>
      <c r="CW897" s="3"/>
      <c r="DG897" s="4"/>
    </row>
    <row r="898" customFormat="false" ht="11.25" hidden="false" customHeight="true" outlineLevel="0" collapsed="false">
      <c r="A898" s="14"/>
      <c r="B898" s="15"/>
      <c r="C898" s="15"/>
      <c r="D898" s="14"/>
      <c r="E898" s="14"/>
      <c r="F898" s="14"/>
      <c r="G898" s="14"/>
      <c r="H898" s="15"/>
      <c r="I898" s="15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  <c r="BN898" s="14"/>
      <c r="BO898" s="14"/>
      <c r="BP898" s="14"/>
      <c r="BQ898" s="14"/>
      <c r="BR898" s="14"/>
      <c r="BS898" s="14"/>
      <c r="BT898" s="14"/>
      <c r="BU898" s="14"/>
      <c r="BV898" s="14"/>
      <c r="BW898" s="14"/>
      <c r="BX898" s="14"/>
      <c r="BY898" s="14"/>
      <c r="BZ898" s="14"/>
      <c r="CA898" s="14"/>
      <c r="CB898" s="14"/>
      <c r="CC898" s="14"/>
      <c r="CD898" s="14"/>
      <c r="CE898" s="14"/>
      <c r="CF898" s="14"/>
      <c r="CG898" s="14"/>
      <c r="CH898" s="14"/>
      <c r="CI898" s="14"/>
      <c r="CJ898" s="14"/>
      <c r="CK898" s="14"/>
      <c r="CL898" s="14"/>
      <c r="CT898" s="14"/>
      <c r="CW898" s="3"/>
      <c r="DG898" s="4"/>
    </row>
    <row r="899" customFormat="false" ht="11.25" hidden="false" customHeight="true" outlineLevel="0" collapsed="false">
      <c r="A899" s="14"/>
      <c r="B899" s="15"/>
      <c r="C899" s="15"/>
      <c r="D899" s="14"/>
      <c r="E899" s="14"/>
      <c r="F899" s="14"/>
      <c r="G899" s="14"/>
      <c r="H899" s="15"/>
      <c r="I899" s="15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  <c r="BP899" s="14"/>
      <c r="BQ899" s="14"/>
      <c r="BR899" s="14"/>
      <c r="BS899" s="14"/>
      <c r="BT899" s="14"/>
      <c r="BU899" s="14"/>
      <c r="BV899" s="14"/>
      <c r="BW899" s="14"/>
      <c r="BX899" s="14"/>
      <c r="BY899" s="14"/>
      <c r="BZ899" s="14"/>
      <c r="CA899" s="14"/>
      <c r="CB899" s="14"/>
      <c r="CC899" s="14"/>
      <c r="CD899" s="14"/>
      <c r="CE899" s="14"/>
      <c r="CF899" s="14"/>
      <c r="CG899" s="14"/>
      <c r="CH899" s="14"/>
      <c r="CI899" s="14"/>
      <c r="CJ899" s="14"/>
      <c r="CK899" s="14"/>
      <c r="CL899" s="14"/>
      <c r="CT899" s="14"/>
      <c r="CW899" s="3"/>
      <c r="DG899" s="4"/>
    </row>
    <row r="900" customFormat="false" ht="11.25" hidden="false" customHeight="true" outlineLevel="0" collapsed="false">
      <c r="A900" s="14"/>
      <c r="B900" s="15"/>
      <c r="C900" s="15"/>
      <c r="D900" s="14"/>
      <c r="E900" s="14"/>
      <c r="F900" s="14"/>
      <c r="G900" s="14"/>
      <c r="H900" s="15"/>
      <c r="I900" s="15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4"/>
      <c r="BK900" s="14"/>
      <c r="BL900" s="14"/>
      <c r="BM900" s="14"/>
      <c r="BN900" s="14"/>
      <c r="BO900" s="14"/>
      <c r="BP900" s="14"/>
      <c r="BQ900" s="14"/>
      <c r="BR900" s="14"/>
      <c r="BS900" s="14"/>
      <c r="BT900" s="14"/>
      <c r="BU900" s="14"/>
      <c r="BV900" s="14"/>
      <c r="BW900" s="14"/>
      <c r="BX900" s="14"/>
      <c r="BY900" s="14"/>
      <c r="BZ900" s="14"/>
      <c r="CA900" s="14"/>
      <c r="CB900" s="14"/>
      <c r="CC900" s="14"/>
      <c r="CD900" s="14"/>
      <c r="CE900" s="14"/>
      <c r="CF900" s="14"/>
      <c r="CG900" s="14"/>
      <c r="CH900" s="14"/>
      <c r="CI900" s="14"/>
      <c r="CJ900" s="14"/>
      <c r="CK900" s="14"/>
      <c r="CL900" s="14"/>
      <c r="CT900" s="14"/>
      <c r="CW900" s="3"/>
      <c r="DG900" s="4"/>
    </row>
    <row r="901" customFormat="false" ht="11.25" hidden="false" customHeight="true" outlineLevel="0" collapsed="false">
      <c r="A901" s="14"/>
      <c r="B901" s="15"/>
      <c r="C901" s="15"/>
      <c r="D901" s="14"/>
      <c r="E901" s="14"/>
      <c r="F901" s="14"/>
      <c r="G901" s="14"/>
      <c r="H901" s="15"/>
      <c r="I901" s="15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  <c r="BP901" s="14"/>
      <c r="BQ901" s="14"/>
      <c r="BR901" s="14"/>
      <c r="BS901" s="14"/>
      <c r="BT901" s="14"/>
      <c r="BU901" s="14"/>
      <c r="BV901" s="14"/>
      <c r="BW901" s="14"/>
      <c r="BX901" s="14"/>
      <c r="BY901" s="14"/>
      <c r="BZ901" s="14"/>
      <c r="CA901" s="14"/>
      <c r="CB901" s="14"/>
      <c r="CC901" s="14"/>
      <c r="CD901" s="14"/>
      <c r="CE901" s="14"/>
      <c r="CF901" s="14"/>
      <c r="CG901" s="14"/>
      <c r="CH901" s="14"/>
      <c r="CI901" s="14"/>
      <c r="CJ901" s="14"/>
      <c r="CK901" s="14"/>
      <c r="CL901" s="14"/>
      <c r="CT901" s="14"/>
      <c r="CW901" s="3"/>
      <c r="DG901" s="4"/>
    </row>
    <row r="902" customFormat="false" ht="11.25" hidden="false" customHeight="true" outlineLevel="0" collapsed="false">
      <c r="A902" s="14"/>
      <c r="B902" s="15"/>
      <c r="C902" s="15"/>
      <c r="D902" s="14"/>
      <c r="E902" s="14"/>
      <c r="F902" s="14"/>
      <c r="G902" s="14"/>
      <c r="H902" s="15"/>
      <c r="I902" s="15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4"/>
      <c r="BK902" s="14"/>
      <c r="BL902" s="14"/>
      <c r="BM902" s="14"/>
      <c r="BN902" s="14"/>
      <c r="BO902" s="14"/>
      <c r="BP902" s="14"/>
      <c r="BQ902" s="14"/>
      <c r="BR902" s="14"/>
      <c r="BS902" s="14"/>
      <c r="BT902" s="14"/>
      <c r="BU902" s="14"/>
      <c r="BV902" s="14"/>
      <c r="BW902" s="14"/>
      <c r="BX902" s="14"/>
      <c r="BY902" s="14"/>
      <c r="BZ902" s="14"/>
      <c r="CA902" s="14"/>
      <c r="CB902" s="14"/>
      <c r="CC902" s="14"/>
      <c r="CD902" s="14"/>
      <c r="CE902" s="14"/>
      <c r="CF902" s="14"/>
      <c r="CG902" s="14"/>
      <c r="CH902" s="14"/>
      <c r="CI902" s="14"/>
      <c r="CJ902" s="14"/>
      <c r="CK902" s="14"/>
      <c r="CL902" s="14"/>
      <c r="CT902" s="14"/>
      <c r="CW902" s="3"/>
      <c r="DG902" s="4"/>
    </row>
    <row r="903" customFormat="false" ht="11.25" hidden="false" customHeight="true" outlineLevel="0" collapsed="false">
      <c r="A903" s="14"/>
      <c r="B903" s="15"/>
      <c r="C903" s="15"/>
      <c r="D903" s="14"/>
      <c r="E903" s="14"/>
      <c r="F903" s="14"/>
      <c r="G903" s="14"/>
      <c r="H903" s="15"/>
      <c r="I903" s="15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4"/>
      <c r="BP903" s="14"/>
      <c r="BQ903" s="14"/>
      <c r="BR903" s="14"/>
      <c r="BS903" s="14"/>
      <c r="BT903" s="14"/>
      <c r="BU903" s="14"/>
      <c r="BV903" s="14"/>
      <c r="BW903" s="14"/>
      <c r="BX903" s="14"/>
      <c r="BY903" s="14"/>
      <c r="BZ903" s="14"/>
      <c r="CA903" s="14"/>
      <c r="CB903" s="14"/>
      <c r="CC903" s="14"/>
      <c r="CD903" s="14"/>
      <c r="CE903" s="14"/>
      <c r="CF903" s="14"/>
      <c r="CG903" s="14"/>
      <c r="CH903" s="14"/>
      <c r="CI903" s="14"/>
      <c r="CJ903" s="14"/>
      <c r="CK903" s="14"/>
      <c r="CL903" s="14"/>
      <c r="CT903" s="14"/>
      <c r="CW903" s="3"/>
      <c r="DG903" s="4"/>
    </row>
    <row r="904" customFormat="false" ht="11.25" hidden="false" customHeight="true" outlineLevel="0" collapsed="false">
      <c r="A904" s="14"/>
      <c r="B904" s="15"/>
      <c r="C904" s="15"/>
      <c r="D904" s="14"/>
      <c r="E904" s="14"/>
      <c r="F904" s="14"/>
      <c r="G904" s="14"/>
      <c r="H904" s="15"/>
      <c r="I904" s="15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  <c r="BN904" s="14"/>
      <c r="BO904" s="14"/>
      <c r="BP904" s="14"/>
      <c r="BQ904" s="14"/>
      <c r="BR904" s="14"/>
      <c r="BS904" s="14"/>
      <c r="BT904" s="14"/>
      <c r="BU904" s="14"/>
      <c r="BV904" s="14"/>
      <c r="BW904" s="14"/>
      <c r="BX904" s="14"/>
      <c r="BY904" s="14"/>
      <c r="BZ904" s="14"/>
      <c r="CA904" s="14"/>
      <c r="CB904" s="14"/>
      <c r="CC904" s="14"/>
      <c r="CD904" s="14"/>
      <c r="CE904" s="14"/>
      <c r="CF904" s="14"/>
      <c r="CG904" s="14"/>
      <c r="CH904" s="14"/>
      <c r="CI904" s="14"/>
      <c r="CJ904" s="14"/>
      <c r="CK904" s="14"/>
      <c r="CL904" s="14"/>
      <c r="CT904" s="14"/>
      <c r="CW904" s="3"/>
      <c r="DG904" s="4"/>
    </row>
    <row r="905" customFormat="false" ht="11.25" hidden="false" customHeight="true" outlineLevel="0" collapsed="false">
      <c r="A905" s="14"/>
      <c r="B905" s="15"/>
      <c r="C905" s="15"/>
      <c r="D905" s="14"/>
      <c r="E905" s="14"/>
      <c r="F905" s="14"/>
      <c r="G905" s="14"/>
      <c r="H905" s="15"/>
      <c r="I905" s="15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4"/>
      <c r="BP905" s="14"/>
      <c r="BQ905" s="14"/>
      <c r="BR905" s="14"/>
      <c r="BS905" s="14"/>
      <c r="BT905" s="14"/>
      <c r="BU905" s="14"/>
      <c r="BV905" s="14"/>
      <c r="BW905" s="14"/>
      <c r="BX905" s="14"/>
      <c r="BY905" s="14"/>
      <c r="BZ905" s="14"/>
      <c r="CA905" s="14"/>
      <c r="CB905" s="14"/>
      <c r="CC905" s="14"/>
      <c r="CD905" s="14"/>
      <c r="CE905" s="14"/>
      <c r="CF905" s="14"/>
      <c r="CG905" s="14"/>
      <c r="CH905" s="14"/>
      <c r="CI905" s="14"/>
      <c r="CJ905" s="14"/>
      <c r="CK905" s="14"/>
      <c r="CL905" s="14"/>
      <c r="CT905" s="14"/>
      <c r="CW905" s="3"/>
      <c r="DG905" s="4"/>
    </row>
    <row r="906" customFormat="false" ht="11.25" hidden="false" customHeight="true" outlineLevel="0" collapsed="false">
      <c r="A906" s="14"/>
      <c r="B906" s="15"/>
      <c r="C906" s="15"/>
      <c r="D906" s="14"/>
      <c r="E906" s="14"/>
      <c r="F906" s="14"/>
      <c r="G906" s="14"/>
      <c r="H906" s="15"/>
      <c r="I906" s="15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4"/>
      <c r="BK906" s="14"/>
      <c r="BL906" s="14"/>
      <c r="BM906" s="14"/>
      <c r="BN906" s="14"/>
      <c r="BO906" s="14"/>
      <c r="BP906" s="14"/>
      <c r="BQ906" s="14"/>
      <c r="BR906" s="14"/>
      <c r="BS906" s="14"/>
      <c r="BT906" s="14"/>
      <c r="BU906" s="14"/>
      <c r="BV906" s="14"/>
      <c r="BW906" s="14"/>
      <c r="BX906" s="14"/>
      <c r="BY906" s="14"/>
      <c r="BZ906" s="14"/>
      <c r="CA906" s="14"/>
      <c r="CB906" s="14"/>
      <c r="CC906" s="14"/>
      <c r="CD906" s="14"/>
      <c r="CE906" s="14"/>
      <c r="CF906" s="14"/>
      <c r="CG906" s="14"/>
      <c r="CH906" s="14"/>
      <c r="CI906" s="14"/>
      <c r="CJ906" s="14"/>
      <c r="CK906" s="14"/>
      <c r="CL906" s="14"/>
      <c r="CT906" s="14"/>
      <c r="CW906" s="3"/>
      <c r="DG906" s="4"/>
    </row>
    <row r="907" customFormat="false" ht="11.25" hidden="false" customHeight="true" outlineLevel="0" collapsed="false">
      <c r="A907" s="14"/>
      <c r="B907" s="15"/>
      <c r="C907" s="15"/>
      <c r="D907" s="14"/>
      <c r="E907" s="14"/>
      <c r="F907" s="14"/>
      <c r="G907" s="14"/>
      <c r="H907" s="15"/>
      <c r="I907" s="15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4"/>
      <c r="BP907" s="14"/>
      <c r="BQ907" s="14"/>
      <c r="BR907" s="14"/>
      <c r="BS907" s="14"/>
      <c r="BT907" s="14"/>
      <c r="BU907" s="14"/>
      <c r="BV907" s="14"/>
      <c r="BW907" s="14"/>
      <c r="BX907" s="14"/>
      <c r="BY907" s="14"/>
      <c r="BZ907" s="14"/>
      <c r="CA907" s="14"/>
      <c r="CB907" s="14"/>
      <c r="CC907" s="14"/>
      <c r="CD907" s="14"/>
      <c r="CE907" s="14"/>
      <c r="CF907" s="14"/>
      <c r="CG907" s="14"/>
      <c r="CH907" s="14"/>
      <c r="CI907" s="14"/>
      <c r="CJ907" s="14"/>
      <c r="CK907" s="14"/>
      <c r="CL907" s="14"/>
      <c r="CT907" s="14"/>
      <c r="CW907" s="3"/>
      <c r="DG907" s="4"/>
    </row>
    <row r="908" customFormat="false" ht="11.25" hidden="false" customHeight="true" outlineLevel="0" collapsed="false">
      <c r="A908" s="14"/>
      <c r="B908" s="15"/>
      <c r="C908" s="15"/>
      <c r="D908" s="14"/>
      <c r="E908" s="14"/>
      <c r="F908" s="14"/>
      <c r="G908" s="14"/>
      <c r="H908" s="15"/>
      <c r="I908" s="15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  <c r="BL908" s="14"/>
      <c r="BM908" s="14"/>
      <c r="BN908" s="14"/>
      <c r="BO908" s="14"/>
      <c r="BP908" s="14"/>
      <c r="BQ908" s="14"/>
      <c r="BR908" s="14"/>
      <c r="BS908" s="14"/>
      <c r="BT908" s="14"/>
      <c r="BU908" s="14"/>
      <c r="BV908" s="14"/>
      <c r="BW908" s="14"/>
      <c r="BX908" s="14"/>
      <c r="BY908" s="14"/>
      <c r="BZ908" s="14"/>
      <c r="CA908" s="14"/>
      <c r="CB908" s="14"/>
      <c r="CC908" s="14"/>
      <c r="CD908" s="14"/>
      <c r="CE908" s="14"/>
      <c r="CF908" s="14"/>
      <c r="CG908" s="14"/>
      <c r="CH908" s="14"/>
      <c r="CI908" s="14"/>
      <c r="CJ908" s="14"/>
      <c r="CK908" s="14"/>
      <c r="CL908" s="14"/>
      <c r="CT908" s="14"/>
      <c r="CW908" s="3"/>
      <c r="DG908" s="4"/>
    </row>
    <row r="909" customFormat="false" ht="11.25" hidden="false" customHeight="true" outlineLevel="0" collapsed="false">
      <c r="A909" s="14"/>
      <c r="B909" s="15"/>
      <c r="C909" s="15"/>
      <c r="D909" s="14"/>
      <c r="E909" s="14"/>
      <c r="F909" s="14"/>
      <c r="G909" s="14"/>
      <c r="H909" s="15"/>
      <c r="I909" s="15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4"/>
      <c r="BP909" s="14"/>
      <c r="BQ909" s="14"/>
      <c r="BR909" s="14"/>
      <c r="BS909" s="14"/>
      <c r="BT909" s="14"/>
      <c r="BU909" s="14"/>
      <c r="BV909" s="14"/>
      <c r="BW909" s="14"/>
      <c r="BX909" s="14"/>
      <c r="BY909" s="14"/>
      <c r="BZ909" s="14"/>
      <c r="CA909" s="14"/>
      <c r="CB909" s="14"/>
      <c r="CC909" s="14"/>
      <c r="CD909" s="14"/>
      <c r="CE909" s="14"/>
      <c r="CF909" s="14"/>
      <c r="CG909" s="14"/>
      <c r="CH909" s="14"/>
      <c r="CI909" s="14"/>
      <c r="CJ909" s="14"/>
      <c r="CK909" s="14"/>
      <c r="CL909" s="14"/>
      <c r="CT909" s="14"/>
      <c r="CW909" s="3"/>
      <c r="DG909" s="4"/>
    </row>
    <row r="910" customFormat="false" ht="11.25" hidden="false" customHeight="true" outlineLevel="0" collapsed="false">
      <c r="A910" s="14"/>
      <c r="B910" s="15"/>
      <c r="C910" s="15"/>
      <c r="D910" s="14"/>
      <c r="E910" s="14"/>
      <c r="F910" s="14"/>
      <c r="G910" s="14"/>
      <c r="H910" s="15"/>
      <c r="I910" s="15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  <c r="BJ910" s="14"/>
      <c r="BK910" s="14"/>
      <c r="BL910" s="14"/>
      <c r="BM910" s="14"/>
      <c r="BN910" s="14"/>
      <c r="BO910" s="14"/>
      <c r="BP910" s="14"/>
      <c r="BQ910" s="14"/>
      <c r="BR910" s="14"/>
      <c r="BS910" s="14"/>
      <c r="BT910" s="14"/>
      <c r="BU910" s="14"/>
      <c r="BV910" s="14"/>
      <c r="BW910" s="14"/>
      <c r="BX910" s="14"/>
      <c r="BY910" s="14"/>
      <c r="BZ910" s="14"/>
      <c r="CA910" s="14"/>
      <c r="CB910" s="14"/>
      <c r="CC910" s="14"/>
      <c r="CD910" s="14"/>
      <c r="CE910" s="14"/>
      <c r="CF910" s="14"/>
      <c r="CG910" s="14"/>
      <c r="CH910" s="14"/>
      <c r="CI910" s="14"/>
      <c r="CJ910" s="14"/>
      <c r="CK910" s="14"/>
      <c r="CL910" s="14"/>
      <c r="CT910" s="14"/>
      <c r="CW910" s="3"/>
      <c r="DG910" s="4"/>
    </row>
    <row r="911" customFormat="false" ht="11.25" hidden="false" customHeight="true" outlineLevel="0" collapsed="false">
      <c r="A911" s="14"/>
      <c r="B911" s="15"/>
      <c r="C911" s="15"/>
      <c r="D911" s="14"/>
      <c r="E911" s="14"/>
      <c r="F911" s="14"/>
      <c r="G911" s="14"/>
      <c r="H911" s="15"/>
      <c r="I911" s="15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4"/>
      <c r="BP911" s="14"/>
      <c r="BQ911" s="14"/>
      <c r="BR911" s="14"/>
      <c r="BS911" s="14"/>
      <c r="BT911" s="14"/>
      <c r="BU911" s="14"/>
      <c r="BV911" s="14"/>
      <c r="BW911" s="14"/>
      <c r="BX911" s="14"/>
      <c r="BY911" s="14"/>
      <c r="BZ911" s="14"/>
      <c r="CA911" s="14"/>
      <c r="CB911" s="14"/>
      <c r="CC911" s="14"/>
      <c r="CD911" s="14"/>
      <c r="CE911" s="14"/>
      <c r="CF911" s="14"/>
      <c r="CG911" s="14"/>
      <c r="CH911" s="14"/>
      <c r="CI911" s="14"/>
      <c r="CJ911" s="14"/>
      <c r="CK911" s="14"/>
      <c r="CL911" s="14"/>
      <c r="CT911" s="14"/>
      <c r="CW911" s="3"/>
      <c r="DG911" s="4"/>
    </row>
    <row r="912" customFormat="false" ht="11.25" hidden="false" customHeight="true" outlineLevel="0" collapsed="false">
      <c r="A912" s="14"/>
      <c r="B912" s="15"/>
      <c r="C912" s="15"/>
      <c r="D912" s="14"/>
      <c r="E912" s="14"/>
      <c r="F912" s="14"/>
      <c r="G912" s="14"/>
      <c r="H912" s="15"/>
      <c r="I912" s="15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4"/>
      <c r="BK912" s="14"/>
      <c r="BL912" s="14"/>
      <c r="BM912" s="14"/>
      <c r="BN912" s="14"/>
      <c r="BO912" s="14"/>
      <c r="BP912" s="14"/>
      <c r="BQ912" s="14"/>
      <c r="BR912" s="14"/>
      <c r="BS912" s="14"/>
      <c r="BT912" s="14"/>
      <c r="BU912" s="14"/>
      <c r="BV912" s="14"/>
      <c r="BW912" s="14"/>
      <c r="BX912" s="14"/>
      <c r="BY912" s="14"/>
      <c r="BZ912" s="14"/>
      <c r="CA912" s="14"/>
      <c r="CB912" s="14"/>
      <c r="CC912" s="14"/>
      <c r="CD912" s="14"/>
      <c r="CE912" s="14"/>
      <c r="CF912" s="14"/>
      <c r="CG912" s="14"/>
      <c r="CH912" s="14"/>
      <c r="CI912" s="14"/>
      <c r="CJ912" s="14"/>
      <c r="CK912" s="14"/>
      <c r="CL912" s="14"/>
      <c r="CT912" s="14"/>
      <c r="CW912" s="3"/>
      <c r="DG912" s="4"/>
    </row>
    <row r="913" customFormat="false" ht="11.25" hidden="false" customHeight="true" outlineLevel="0" collapsed="false">
      <c r="A913" s="14"/>
      <c r="B913" s="15"/>
      <c r="C913" s="15"/>
      <c r="D913" s="14"/>
      <c r="E913" s="14"/>
      <c r="F913" s="14"/>
      <c r="G913" s="14"/>
      <c r="H913" s="15"/>
      <c r="I913" s="15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4"/>
      <c r="BP913" s="14"/>
      <c r="BQ913" s="14"/>
      <c r="BR913" s="14"/>
      <c r="BS913" s="14"/>
      <c r="BT913" s="14"/>
      <c r="BU913" s="14"/>
      <c r="BV913" s="14"/>
      <c r="BW913" s="14"/>
      <c r="BX913" s="14"/>
      <c r="BY913" s="14"/>
      <c r="BZ913" s="14"/>
      <c r="CA913" s="14"/>
      <c r="CB913" s="14"/>
      <c r="CC913" s="14"/>
      <c r="CD913" s="14"/>
      <c r="CE913" s="14"/>
      <c r="CF913" s="14"/>
      <c r="CG913" s="14"/>
      <c r="CH913" s="14"/>
      <c r="CI913" s="14"/>
      <c r="CJ913" s="14"/>
      <c r="CK913" s="14"/>
      <c r="CL913" s="14"/>
      <c r="CT913" s="14"/>
      <c r="CW913" s="3"/>
      <c r="DG913" s="4"/>
    </row>
    <row r="914" customFormat="false" ht="11.25" hidden="false" customHeight="true" outlineLevel="0" collapsed="false">
      <c r="A914" s="14"/>
      <c r="B914" s="15"/>
      <c r="C914" s="15"/>
      <c r="D914" s="14"/>
      <c r="E914" s="14"/>
      <c r="F914" s="14"/>
      <c r="G914" s="14"/>
      <c r="H914" s="15"/>
      <c r="I914" s="15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4"/>
      <c r="BK914" s="14"/>
      <c r="BL914" s="14"/>
      <c r="BM914" s="14"/>
      <c r="BN914" s="14"/>
      <c r="BO914" s="14"/>
      <c r="BP914" s="14"/>
      <c r="BQ914" s="14"/>
      <c r="BR914" s="14"/>
      <c r="BS914" s="14"/>
      <c r="BT914" s="14"/>
      <c r="BU914" s="14"/>
      <c r="BV914" s="14"/>
      <c r="BW914" s="14"/>
      <c r="BX914" s="14"/>
      <c r="BY914" s="14"/>
      <c r="BZ914" s="14"/>
      <c r="CA914" s="14"/>
      <c r="CB914" s="14"/>
      <c r="CC914" s="14"/>
      <c r="CD914" s="14"/>
      <c r="CE914" s="14"/>
      <c r="CF914" s="14"/>
      <c r="CG914" s="14"/>
      <c r="CH914" s="14"/>
      <c r="CI914" s="14"/>
      <c r="CJ914" s="14"/>
      <c r="CK914" s="14"/>
      <c r="CL914" s="14"/>
      <c r="CT914" s="14"/>
      <c r="CW914" s="3"/>
      <c r="DG914" s="4"/>
    </row>
    <row r="915" customFormat="false" ht="11.25" hidden="false" customHeight="true" outlineLevel="0" collapsed="false">
      <c r="A915" s="14"/>
      <c r="B915" s="15"/>
      <c r="C915" s="15"/>
      <c r="D915" s="14"/>
      <c r="E915" s="14"/>
      <c r="F915" s="14"/>
      <c r="G915" s="14"/>
      <c r="H915" s="15"/>
      <c r="I915" s="15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4"/>
      <c r="BP915" s="14"/>
      <c r="BQ915" s="14"/>
      <c r="BR915" s="14"/>
      <c r="BS915" s="14"/>
      <c r="BT915" s="14"/>
      <c r="BU915" s="14"/>
      <c r="BV915" s="14"/>
      <c r="BW915" s="14"/>
      <c r="BX915" s="14"/>
      <c r="BY915" s="14"/>
      <c r="BZ915" s="14"/>
      <c r="CA915" s="14"/>
      <c r="CB915" s="14"/>
      <c r="CC915" s="14"/>
      <c r="CD915" s="14"/>
      <c r="CE915" s="14"/>
      <c r="CF915" s="14"/>
      <c r="CG915" s="14"/>
      <c r="CH915" s="14"/>
      <c r="CI915" s="14"/>
      <c r="CJ915" s="14"/>
      <c r="CK915" s="14"/>
      <c r="CL915" s="14"/>
      <c r="CT915" s="14"/>
      <c r="CW915" s="3"/>
      <c r="DG915" s="4"/>
    </row>
    <row r="916" customFormat="false" ht="11.25" hidden="false" customHeight="true" outlineLevel="0" collapsed="false">
      <c r="A916" s="14"/>
      <c r="B916" s="15"/>
      <c r="C916" s="15"/>
      <c r="D916" s="14"/>
      <c r="E916" s="14"/>
      <c r="F916" s="14"/>
      <c r="G916" s="14"/>
      <c r="H916" s="15"/>
      <c r="I916" s="15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  <c r="BN916" s="14"/>
      <c r="BO916" s="14"/>
      <c r="BP916" s="14"/>
      <c r="BQ916" s="14"/>
      <c r="BR916" s="14"/>
      <c r="BS916" s="14"/>
      <c r="BT916" s="14"/>
      <c r="BU916" s="14"/>
      <c r="BV916" s="14"/>
      <c r="BW916" s="14"/>
      <c r="BX916" s="14"/>
      <c r="BY916" s="14"/>
      <c r="BZ916" s="14"/>
      <c r="CA916" s="14"/>
      <c r="CB916" s="14"/>
      <c r="CC916" s="14"/>
      <c r="CD916" s="14"/>
      <c r="CE916" s="14"/>
      <c r="CF916" s="14"/>
      <c r="CG916" s="14"/>
      <c r="CH916" s="14"/>
      <c r="CI916" s="14"/>
      <c r="CJ916" s="14"/>
      <c r="CK916" s="14"/>
      <c r="CL916" s="14"/>
      <c r="CT916" s="14"/>
      <c r="CW916" s="3"/>
      <c r="DG916" s="4"/>
    </row>
    <row r="917" customFormat="false" ht="11.25" hidden="false" customHeight="true" outlineLevel="0" collapsed="false">
      <c r="A917" s="14"/>
      <c r="B917" s="15"/>
      <c r="C917" s="15"/>
      <c r="D917" s="14"/>
      <c r="E917" s="14"/>
      <c r="F917" s="14"/>
      <c r="G917" s="14"/>
      <c r="H917" s="15"/>
      <c r="I917" s="15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4"/>
      <c r="BP917" s="14"/>
      <c r="BQ917" s="14"/>
      <c r="BR917" s="14"/>
      <c r="BS917" s="14"/>
      <c r="BT917" s="14"/>
      <c r="BU917" s="14"/>
      <c r="BV917" s="14"/>
      <c r="BW917" s="14"/>
      <c r="BX917" s="14"/>
      <c r="BY917" s="14"/>
      <c r="BZ917" s="14"/>
      <c r="CA917" s="14"/>
      <c r="CB917" s="14"/>
      <c r="CC917" s="14"/>
      <c r="CD917" s="14"/>
      <c r="CE917" s="14"/>
      <c r="CF917" s="14"/>
      <c r="CG917" s="14"/>
      <c r="CH917" s="14"/>
      <c r="CI917" s="14"/>
      <c r="CJ917" s="14"/>
      <c r="CK917" s="14"/>
      <c r="CL917" s="14"/>
      <c r="CT917" s="14"/>
      <c r="CW917" s="3"/>
      <c r="DG917" s="4"/>
    </row>
    <row r="918" customFormat="false" ht="11.25" hidden="false" customHeight="true" outlineLevel="0" collapsed="false">
      <c r="A918" s="14"/>
      <c r="B918" s="15"/>
      <c r="C918" s="15"/>
      <c r="D918" s="14"/>
      <c r="E918" s="14"/>
      <c r="F918" s="14"/>
      <c r="G918" s="14"/>
      <c r="H918" s="15"/>
      <c r="I918" s="15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4"/>
      <c r="BK918" s="14"/>
      <c r="BL918" s="14"/>
      <c r="BM918" s="14"/>
      <c r="BN918" s="14"/>
      <c r="BO918" s="14"/>
      <c r="BP918" s="14"/>
      <c r="BQ918" s="14"/>
      <c r="BR918" s="14"/>
      <c r="BS918" s="14"/>
      <c r="BT918" s="14"/>
      <c r="BU918" s="14"/>
      <c r="BV918" s="14"/>
      <c r="BW918" s="14"/>
      <c r="BX918" s="14"/>
      <c r="BY918" s="14"/>
      <c r="BZ918" s="14"/>
      <c r="CA918" s="14"/>
      <c r="CB918" s="14"/>
      <c r="CC918" s="14"/>
      <c r="CD918" s="14"/>
      <c r="CE918" s="14"/>
      <c r="CF918" s="14"/>
      <c r="CG918" s="14"/>
      <c r="CH918" s="14"/>
      <c r="CI918" s="14"/>
      <c r="CJ918" s="14"/>
      <c r="CK918" s="14"/>
      <c r="CL918" s="14"/>
      <c r="CT918" s="14"/>
      <c r="CW918" s="3"/>
      <c r="DG918" s="4"/>
    </row>
    <row r="919" customFormat="false" ht="11.25" hidden="false" customHeight="true" outlineLevel="0" collapsed="false">
      <c r="A919" s="14"/>
      <c r="B919" s="15"/>
      <c r="C919" s="15"/>
      <c r="D919" s="14"/>
      <c r="E919" s="14"/>
      <c r="F919" s="14"/>
      <c r="G919" s="14"/>
      <c r="H919" s="15"/>
      <c r="I919" s="15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  <c r="BP919" s="14"/>
      <c r="BQ919" s="14"/>
      <c r="BR919" s="14"/>
      <c r="BS919" s="14"/>
      <c r="BT919" s="14"/>
      <c r="BU919" s="14"/>
      <c r="BV919" s="14"/>
      <c r="BW919" s="14"/>
      <c r="BX919" s="14"/>
      <c r="BY919" s="14"/>
      <c r="BZ919" s="14"/>
      <c r="CA919" s="14"/>
      <c r="CB919" s="14"/>
      <c r="CC919" s="14"/>
      <c r="CD919" s="14"/>
      <c r="CE919" s="14"/>
      <c r="CF919" s="14"/>
      <c r="CG919" s="14"/>
      <c r="CH919" s="14"/>
      <c r="CI919" s="14"/>
      <c r="CJ919" s="14"/>
      <c r="CK919" s="14"/>
      <c r="CL919" s="14"/>
      <c r="CT919" s="14"/>
      <c r="CW919" s="3"/>
      <c r="DG919" s="4"/>
    </row>
    <row r="920" customFormat="false" ht="11.25" hidden="false" customHeight="true" outlineLevel="0" collapsed="false">
      <c r="A920" s="14"/>
      <c r="B920" s="15"/>
      <c r="C920" s="15"/>
      <c r="D920" s="14"/>
      <c r="E920" s="14"/>
      <c r="F920" s="14"/>
      <c r="G920" s="14"/>
      <c r="H920" s="15"/>
      <c r="I920" s="15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  <c r="BN920" s="14"/>
      <c r="BO920" s="14"/>
      <c r="BP920" s="14"/>
      <c r="BQ920" s="14"/>
      <c r="BR920" s="14"/>
      <c r="BS920" s="14"/>
      <c r="BT920" s="14"/>
      <c r="BU920" s="14"/>
      <c r="BV920" s="14"/>
      <c r="BW920" s="14"/>
      <c r="BX920" s="14"/>
      <c r="BY920" s="14"/>
      <c r="BZ920" s="14"/>
      <c r="CA920" s="14"/>
      <c r="CB920" s="14"/>
      <c r="CC920" s="14"/>
      <c r="CD920" s="14"/>
      <c r="CE920" s="14"/>
      <c r="CF920" s="14"/>
      <c r="CG920" s="14"/>
      <c r="CH920" s="14"/>
      <c r="CI920" s="14"/>
      <c r="CJ920" s="14"/>
      <c r="CK920" s="14"/>
      <c r="CL920" s="14"/>
      <c r="CT920" s="14"/>
      <c r="CW920" s="3"/>
      <c r="DG920" s="4"/>
    </row>
    <row r="921" customFormat="false" ht="11.25" hidden="false" customHeight="true" outlineLevel="0" collapsed="false">
      <c r="A921" s="14"/>
      <c r="B921" s="15"/>
      <c r="C921" s="15"/>
      <c r="D921" s="14"/>
      <c r="E921" s="14"/>
      <c r="F921" s="14"/>
      <c r="G921" s="14"/>
      <c r="H921" s="15"/>
      <c r="I921" s="15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  <c r="BP921" s="14"/>
      <c r="BQ921" s="14"/>
      <c r="BR921" s="14"/>
      <c r="BS921" s="14"/>
      <c r="BT921" s="14"/>
      <c r="BU921" s="14"/>
      <c r="BV921" s="14"/>
      <c r="BW921" s="14"/>
      <c r="BX921" s="14"/>
      <c r="BY921" s="14"/>
      <c r="BZ921" s="14"/>
      <c r="CA921" s="14"/>
      <c r="CB921" s="14"/>
      <c r="CC921" s="14"/>
      <c r="CD921" s="14"/>
      <c r="CE921" s="14"/>
      <c r="CF921" s="14"/>
      <c r="CG921" s="14"/>
      <c r="CH921" s="14"/>
      <c r="CI921" s="14"/>
      <c r="CJ921" s="14"/>
      <c r="CK921" s="14"/>
      <c r="CL921" s="14"/>
      <c r="CT921" s="14"/>
      <c r="CW921" s="3"/>
      <c r="DG921" s="4"/>
    </row>
    <row r="922" customFormat="false" ht="11.25" hidden="false" customHeight="true" outlineLevel="0" collapsed="false">
      <c r="A922" s="14"/>
      <c r="B922" s="15"/>
      <c r="C922" s="15"/>
      <c r="D922" s="14"/>
      <c r="E922" s="14"/>
      <c r="F922" s="14"/>
      <c r="G922" s="14"/>
      <c r="H922" s="15"/>
      <c r="I922" s="15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4"/>
      <c r="BK922" s="14"/>
      <c r="BL922" s="14"/>
      <c r="BM922" s="14"/>
      <c r="BN922" s="14"/>
      <c r="BO922" s="14"/>
      <c r="BP922" s="14"/>
      <c r="BQ922" s="14"/>
      <c r="BR922" s="14"/>
      <c r="BS922" s="14"/>
      <c r="BT922" s="14"/>
      <c r="BU922" s="14"/>
      <c r="BV922" s="14"/>
      <c r="BW922" s="14"/>
      <c r="BX922" s="14"/>
      <c r="BY922" s="14"/>
      <c r="BZ922" s="14"/>
      <c r="CA922" s="14"/>
      <c r="CB922" s="14"/>
      <c r="CC922" s="14"/>
      <c r="CD922" s="14"/>
      <c r="CE922" s="14"/>
      <c r="CF922" s="14"/>
      <c r="CG922" s="14"/>
      <c r="CH922" s="14"/>
      <c r="CI922" s="14"/>
      <c r="CJ922" s="14"/>
      <c r="CK922" s="14"/>
      <c r="CL922" s="14"/>
      <c r="CT922" s="14"/>
      <c r="CW922" s="3"/>
      <c r="DG922" s="4"/>
    </row>
    <row r="923" customFormat="false" ht="11.25" hidden="false" customHeight="true" outlineLevel="0" collapsed="false">
      <c r="A923" s="14"/>
      <c r="B923" s="15"/>
      <c r="C923" s="15"/>
      <c r="D923" s="14"/>
      <c r="E923" s="14"/>
      <c r="F923" s="14"/>
      <c r="G923" s="14"/>
      <c r="H923" s="15"/>
      <c r="I923" s="15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  <c r="BP923" s="14"/>
      <c r="BQ923" s="14"/>
      <c r="BR923" s="14"/>
      <c r="BS923" s="14"/>
      <c r="BT923" s="14"/>
      <c r="BU923" s="14"/>
      <c r="BV923" s="14"/>
      <c r="BW923" s="14"/>
      <c r="BX923" s="14"/>
      <c r="BY923" s="14"/>
      <c r="BZ923" s="14"/>
      <c r="CA923" s="14"/>
      <c r="CB923" s="14"/>
      <c r="CC923" s="14"/>
      <c r="CD923" s="14"/>
      <c r="CE923" s="14"/>
      <c r="CF923" s="14"/>
      <c r="CG923" s="14"/>
      <c r="CH923" s="14"/>
      <c r="CI923" s="14"/>
      <c r="CJ923" s="14"/>
      <c r="CK923" s="14"/>
      <c r="CL923" s="14"/>
      <c r="CT923" s="14"/>
      <c r="CW923" s="3"/>
      <c r="DG923" s="4"/>
    </row>
    <row r="924" customFormat="false" ht="11.25" hidden="false" customHeight="true" outlineLevel="0" collapsed="false">
      <c r="A924" s="14"/>
      <c r="B924" s="15"/>
      <c r="C924" s="15"/>
      <c r="D924" s="14"/>
      <c r="E924" s="14"/>
      <c r="F924" s="14"/>
      <c r="G924" s="14"/>
      <c r="H924" s="15"/>
      <c r="I924" s="15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4"/>
      <c r="BK924" s="14"/>
      <c r="BL924" s="14"/>
      <c r="BM924" s="14"/>
      <c r="BN924" s="14"/>
      <c r="BO924" s="14"/>
      <c r="BP924" s="14"/>
      <c r="BQ924" s="14"/>
      <c r="BR924" s="14"/>
      <c r="BS924" s="14"/>
      <c r="BT924" s="14"/>
      <c r="BU924" s="14"/>
      <c r="BV924" s="14"/>
      <c r="BW924" s="14"/>
      <c r="BX924" s="14"/>
      <c r="BY924" s="14"/>
      <c r="BZ924" s="14"/>
      <c r="CA924" s="14"/>
      <c r="CB924" s="14"/>
      <c r="CC924" s="14"/>
      <c r="CD924" s="14"/>
      <c r="CE924" s="14"/>
      <c r="CF924" s="14"/>
      <c r="CG924" s="14"/>
      <c r="CH924" s="14"/>
      <c r="CI924" s="14"/>
      <c r="CJ924" s="14"/>
      <c r="CK924" s="14"/>
      <c r="CL924" s="14"/>
      <c r="CT924" s="14"/>
      <c r="CW924" s="3"/>
      <c r="DG924" s="4"/>
    </row>
    <row r="925" customFormat="false" ht="11.25" hidden="false" customHeight="true" outlineLevel="0" collapsed="false">
      <c r="A925" s="14"/>
      <c r="B925" s="15"/>
      <c r="C925" s="15"/>
      <c r="D925" s="14"/>
      <c r="E925" s="14"/>
      <c r="F925" s="14"/>
      <c r="G925" s="14"/>
      <c r="H925" s="15"/>
      <c r="I925" s="15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4"/>
      <c r="BP925" s="14"/>
      <c r="BQ925" s="14"/>
      <c r="BR925" s="14"/>
      <c r="BS925" s="14"/>
      <c r="BT925" s="14"/>
      <c r="BU925" s="14"/>
      <c r="BV925" s="14"/>
      <c r="BW925" s="14"/>
      <c r="BX925" s="14"/>
      <c r="BY925" s="14"/>
      <c r="BZ925" s="14"/>
      <c r="CA925" s="14"/>
      <c r="CB925" s="14"/>
      <c r="CC925" s="14"/>
      <c r="CD925" s="14"/>
      <c r="CE925" s="14"/>
      <c r="CF925" s="14"/>
      <c r="CG925" s="14"/>
      <c r="CH925" s="14"/>
      <c r="CI925" s="14"/>
      <c r="CJ925" s="14"/>
      <c r="CK925" s="14"/>
      <c r="CL925" s="14"/>
      <c r="CT925" s="14"/>
      <c r="CW925" s="3"/>
      <c r="DG925" s="4"/>
    </row>
    <row r="926" customFormat="false" ht="11.25" hidden="false" customHeight="true" outlineLevel="0" collapsed="false">
      <c r="A926" s="14"/>
      <c r="B926" s="15"/>
      <c r="C926" s="15"/>
      <c r="D926" s="14"/>
      <c r="E926" s="14"/>
      <c r="F926" s="14"/>
      <c r="G926" s="14"/>
      <c r="H926" s="15"/>
      <c r="I926" s="15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  <c r="BN926" s="14"/>
      <c r="BO926" s="14"/>
      <c r="BP926" s="14"/>
      <c r="BQ926" s="14"/>
      <c r="BR926" s="14"/>
      <c r="BS926" s="14"/>
      <c r="BT926" s="14"/>
      <c r="BU926" s="14"/>
      <c r="BV926" s="14"/>
      <c r="BW926" s="14"/>
      <c r="BX926" s="14"/>
      <c r="BY926" s="14"/>
      <c r="BZ926" s="14"/>
      <c r="CA926" s="14"/>
      <c r="CB926" s="14"/>
      <c r="CC926" s="14"/>
      <c r="CD926" s="14"/>
      <c r="CE926" s="14"/>
      <c r="CF926" s="14"/>
      <c r="CG926" s="14"/>
      <c r="CH926" s="14"/>
      <c r="CI926" s="14"/>
      <c r="CJ926" s="14"/>
      <c r="CK926" s="14"/>
      <c r="CL926" s="14"/>
      <c r="CT926" s="14"/>
      <c r="CW926" s="3"/>
      <c r="DG926" s="4"/>
    </row>
    <row r="927" customFormat="false" ht="11.25" hidden="false" customHeight="true" outlineLevel="0" collapsed="false">
      <c r="A927" s="14"/>
      <c r="B927" s="15"/>
      <c r="C927" s="15"/>
      <c r="D927" s="14"/>
      <c r="E927" s="14"/>
      <c r="F927" s="14"/>
      <c r="G927" s="14"/>
      <c r="H927" s="15"/>
      <c r="I927" s="15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  <c r="BP927" s="14"/>
      <c r="BQ927" s="14"/>
      <c r="BR927" s="14"/>
      <c r="BS927" s="14"/>
      <c r="BT927" s="14"/>
      <c r="BU927" s="14"/>
      <c r="BV927" s="14"/>
      <c r="BW927" s="14"/>
      <c r="BX927" s="14"/>
      <c r="BY927" s="14"/>
      <c r="BZ927" s="14"/>
      <c r="CA927" s="14"/>
      <c r="CB927" s="14"/>
      <c r="CC927" s="14"/>
      <c r="CD927" s="14"/>
      <c r="CE927" s="14"/>
      <c r="CF927" s="14"/>
      <c r="CG927" s="14"/>
      <c r="CH927" s="14"/>
      <c r="CI927" s="14"/>
      <c r="CJ927" s="14"/>
      <c r="CK927" s="14"/>
      <c r="CL927" s="14"/>
      <c r="CT927" s="14"/>
      <c r="CW927" s="3"/>
      <c r="DG927" s="4"/>
    </row>
    <row r="928" customFormat="false" ht="11.25" hidden="false" customHeight="true" outlineLevel="0" collapsed="false">
      <c r="A928" s="14"/>
      <c r="B928" s="15"/>
      <c r="C928" s="15"/>
      <c r="D928" s="14"/>
      <c r="E928" s="14"/>
      <c r="F928" s="14"/>
      <c r="G928" s="14"/>
      <c r="H928" s="15"/>
      <c r="I928" s="15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  <c r="BO928" s="14"/>
      <c r="BP928" s="14"/>
      <c r="BQ928" s="14"/>
      <c r="BR928" s="14"/>
      <c r="BS928" s="14"/>
      <c r="BT928" s="14"/>
      <c r="BU928" s="14"/>
      <c r="BV928" s="14"/>
      <c r="BW928" s="14"/>
      <c r="BX928" s="14"/>
      <c r="BY928" s="14"/>
      <c r="BZ928" s="14"/>
      <c r="CA928" s="14"/>
      <c r="CB928" s="14"/>
      <c r="CC928" s="14"/>
      <c r="CD928" s="14"/>
      <c r="CE928" s="14"/>
      <c r="CF928" s="14"/>
      <c r="CG928" s="14"/>
      <c r="CH928" s="14"/>
      <c r="CI928" s="14"/>
      <c r="CJ928" s="14"/>
      <c r="CK928" s="14"/>
      <c r="CL928" s="14"/>
      <c r="CT928" s="14"/>
      <c r="CW928" s="3"/>
      <c r="DG928" s="4"/>
    </row>
    <row r="929" customFormat="false" ht="11.25" hidden="false" customHeight="true" outlineLevel="0" collapsed="false">
      <c r="A929" s="14"/>
      <c r="B929" s="15"/>
      <c r="C929" s="15"/>
      <c r="D929" s="14"/>
      <c r="E929" s="14"/>
      <c r="F929" s="14"/>
      <c r="G929" s="14"/>
      <c r="H929" s="15"/>
      <c r="I929" s="15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  <c r="BP929" s="14"/>
      <c r="BQ929" s="14"/>
      <c r="BR929" s="14"/>
      <c r="BS929" s="14"/>
      <c r="BT929" s="14"/>
      <c r="BU929" s="14"/>
      <c r="BV929" s="14"/>
      <c r="BW929" s="14"/>
      <c r="BX929" s="14"/>
      <c r="BY929" s="14"/>
      <c r="BZ929" s="14"/>
      <c r="CA929" s="14"/>
      <c r="CB929" s="14"/>
      <c r="CC929" s="14"/>
      <c r="CD929" s="14"/>
      <c r="CE929" s="14"/>
      <c r="CF929" s="14"/>
      <c r="CG929" s="14"/>
      <c r="CH929" s="14"/>
      <c r="CI929" s="14"/>
      <c r="CJ929" s="14"/>
      <c r="CK929" s="14"/>
      <c r="CL929" s="14"/>
      <c r="CT929" s="14"/>
      <c r="CW929" s="3"/>
      <c r="DG929" s="4"/>
    </row>
    <row r="930" customFormat="false" ht="11.25" hidden="false" customHeight="true" outlineLevel="0" collapsed="false">
      <c r="A930" s="14"/>
      <c r="B930" s="15"/>
      <c r="C930" s="15"/>
      <c r="D930" s="14"/>
      <c r="E930" s="14"/>
      <c r="F930" s="14"/>
      <c r="G930" s="14"/>
      <c r="H930" s="15"/>
      <c r="I930" s="15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  <c r="BL930" s="14"/>
      <c r="BM930" s="14"/>
      <c r="BN930" s="14"/>
      <c r="BO930" s="14"/>
      <c r="BP930" s="14"/>
      <c r="BQ930" s="14"/>
      <c r="BR930" s="14"/>
      <c r="BS930" s="14"/>
      <c r="BT930" s="14"/>
      <c r="BU930" s="14"/>
      <c r="BV930" s="14"/>
      <c r="BW930" s="14"/>
      <c r="BX930" s="14"/>
      <c r="BY930" s="14"/>
      <c r="BZ930" s="14"/>
      <c r="CA930" s="14"/>
      <c r="CB930" s="14"/>
      <c r="CC930" s="14"/>
      <c r="CD930" s="14"/>
      <c r="CE930" s="14"/>
      <c r="CF930" s="14"/>
      <c r="CG930" s="14"/>
      <c r="CH930" s="14"/>
      <c r="CI930" s="14"/>
      <c r="CJ930" s="14"/>
      <c r="CK930" s="14"/>
      <c r="CL930" s="14"/>
      <c r="CT930" s="14"/>
      <c r="CW930" s="3"/>
      <c r="DG930" s="4"/>
    </row>
    <row r="931" customFormat="false" ht="11.25" hidden="false" customHeight="true" outlineLevel="0" collapsed="false">
      <c r="A931" s="14"/>
      <c r="B931" s="15"/>
      <c r="C931" s="15"/>
      <c r="D931" s="14"/>
      <c r="E931" s="14"/>
      <c r="F931" s="14"/>
      <c r="G931" s="14"/>
      <c r="H931" s="15"/>
      <c r="I931" s="15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4"/>
      <c r="BP931" s="14"/>
      <c r="BQ931" s="14"/>
      <c r="BR931" s="14"/>
      <c r="BS931" s="14"/>
      <c r="BT931" s="14"/>
      <c r="BU931" s="14"/>
      <c r="BV931" s="14"/>
      <c r="BW931" s="14"/>
      <c r="BX931" s="14"/>
      <c r="BY931" s="14"/>
      <c r="BZ931" s="14"/>
      <c r="CA931" s="14"/>
      <c r="CB931" s="14"/>
      <c r="CC931" s="14"/>
      <c r="CD931" s="14"/>
      <c r="CE931" s="14"/>
      <c r="CF931" s="14"/>
      <c r="CG931" s="14"/>
      <c r="CH931" s="14"/>
      <c r="CI931" s="14"/>
      <c r="CJ931" s="14"/>
      <c r="CK931" s="14"/>
      <c r="CL931" s="14"/>
      <c r="CT931" s="14"/>
      <c r="CW931" s="3"/>
      <c r="DG931" s="4"/>
    </row>
    <row r="932" customFormat="false" ht="11.25" hidden="false" customHeight="true" outlineLevel="0" collapsed="false">
      <c r="A932" s="14"/>
      <c r="B932" s="15"/>
      <c r="C932" s="15"/>
      <c r="D932" s="14"/>
      <c r="E932" s="14"/>
      <c r="F932" s="14"/>
      <c r="G932" s="14"/>
      <c r="H932" s="15"/>
      <c r="I932" s="15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  <c r="BL932" s="14"/>
      <c r="BM932" s="14"/>
      <c r="BN932" s="14"/>
      <c r="BO932" s="14"/>
      <c r="BP932" s="14"/>
      <c r="BQ932" s="14"/>
      <c r="BR932" s="14"/>
      <c r="BS932" s="14"/>
      <c r="BT932" s="14"/>
      <c r="BU932" s="14"/>
      <c r="BV932" s="14"/>
      <c r="BW932" s="14"/>
      <c r="BX932" s="14"/>
      <c r="BY932" s="14"/>
      <c r="BZ932" s="14"/>
      <c r="CA932" s="14"/>
      <c r="CB932" s="14"/>
      <c r="CC932" s="14"/>
      <c r="CD932" s="14"/>
      <c r="CE932" s="14"/>
      <c r="CF932" s="14"/>
      <c r="CG932" s="14"/>
      <c r="CH932" s="14"/>
      <c r="CI932" s="14"/>
      <c r="CJ932" s="14"/>
      <c r="CK932" s="14"/>
      <c r="CL932" s="14"/>
      <c r="CT932" s="14"/>
      <c r="CW932" s="3"/>
      <c r="DG932" s="4"/>
    </row>
    <row r="933" customFormat="false" ht="11.25" hidden="false" customHeight="true" outlineLevel="0" collapsed="false">
      <c r="A933" s="14"/>
      <c r="B933" s="15"/>
      <c r="C933" s="15"/>
      <c r="D933" s="14"/>
      <c r="E933" s="14"/>
      <c r="F933" s="14"/>
      <c r="G933" s="14"/>
      <c r="H933" s="15"/>
      <c r="I933" s="15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  <c r="BP933" s="14"/>
      <c r="BQ933" s="14"/>
      <c r="BR933" s="14"/>
      <c r="BS933" s="14"/>
      <c r="BT933" s="14"/>
      <c r="BU933" s="14"/>
      <c r="BV933" s="14"/>
      <c r="BW933" s="14"/>
      <c r="BX933" s="14"/>
      <c r="BY933" s="14"/>
      <c r="BZ933" s="14"/>
      <c r="CA933" s="14"/>
      <c r="CB933" s="14"/>
      <c r="CC933" s="14"/>
      <c r="CD933" s="14"/>
      <c r="CE933" s="14"/>
      <c r="CF933" s="14"/>
      <c r="CG933" s="14"/>
      <c r="CH933" s="14"/>
      <c r="CI933" s="14"/>
      <c r="CJ933" s="14"/>
      <c r="CK933" s="14"/>
      <c r="CL933" s="14"/>
      <c r="CT933" s="14"/>
      <c r="CW933" s="3"/>
      <c r="DG933" s="4"/>
    </row>
    <row r="934" customFormat="false" ht="11.25" hidden="false" customHeight="true" outlineLevel="0" collapsed="false">
      <c r="A934" s="14"/>
      <c r="B934" s="15"/>
      <c r="C934" s="15"/>
      <c r="D934" s="14"/>
      <c r="E934" s="14"/>
      <c r="F934" s="14"/>
      <c r="G934" s="14"/>
      <c r="H934" s="15"/>
      <c r="I934" s="15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4"/>
      <c r="BK934" s="14"/>
      <c r="BL934" s="14"/>
      <c r="BM934" s="14"/>
      <c r="BN934" s="14"/>
      <c r="BO934" s="14"/>
      <c r="BP934" s="14"/>
      <c r="BQ934" s="14"/>
      <c r="BR934" s="14"/>
      <c r="BS934" s="14"/>
      <c r="BT934" s="14"/>
      <c r="BU934" s="14"/>
      <c r="BV934" s="14"/>
      <c r="BW934" s="14"/>
      <c r="BX934" s="14"/>
      <c r="BY934" s="14"/>
      <c r="BZ934" s="14"/>
      <c r="CA934" s="14"/>
      <c r="CB934" s="14"/>
      <c r="CC934" s="14"/>
      <c r="CD934" s="14"/>
      <c r="CE934" s="14"/>
      <c r="CF934" s="14"/>
      <c r="CG934" s="14"/>
      <c r="CH934" s="14"/>
      <c r="CI934" s="14"/>
      <c r="CJ934" s="14"/>
      <c r="CK934" s="14"/>
      <c r="CL934" s="14"/>
      <c r="CT934" s="14"/>
      <c r="CW934" s="3"/>
      <c r="DG934" s="4"/>
    </row>
    <row r="935" customFormat="false" ht="11.25" hidden="false" customHeight="true" outlineLevel="0" collapsed="false">
      <c r="A935" s="14"/>
      <c r="B935" s="15"/>
      <c r="C935" s="15"/>
      <c r="D935" s="14"/>
      <c r="E935" s="14"/>
      <c r="F935" s="14"/>
      <c r="G935" s="14"/>
      <c r="H935" s="15"/>
      <c r="I935" s="15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  <c r="BP935" s="14"/>
      <c r="BQ935" s="14"/>
      <c r="BR935" s="14"/>
      <c r="BS935" s="14"/>
      <c r="BT935" s="14"/>
      <c r="BU935" s="14"/>
      <c r="BV935" s="14"/>
      <c r="BW935" s="14"/>
      <c r="BX935" s="14"/>
      <c r="BY935" s="14"/>
      <c r="BZ935" s="14"/>
      <c r="CA935" s="14"/>
      <c r="CB935" s="14"/>
      <c r="CC935" s="14"/>
      <c r="CD935" s="14"/>
      <c r="CE935" s="14"/>
      <c r="CF935" s="14"/>
      <c r="CG935" s="14"/>
      <c r="CH935" s="14"/>
      <c r="CI935" s="14"/>
      <c r="CJ935" s="14"/>
      <c r="CK935" s="14"/>
      <c r="CL935" s="14"/>
      <c r="CT935" s="14"/>
      <c r="CW935" s="3"/>
      <c r="DG935" s="4"/>
    </row>
    <row r="936" customFormat="false" ht="11.25" hidden="false" customHeight="true" outlineLevel="0" collapsed="false">
      <c r="A936" s="14"/>
      <c r="B936" s="15"/>
      <c r="C936" s="15"/>
      <c r="D936" s="14"/>
      <c r="E936" s="14"/>
      <c r="F936" s="14"/>
      <c r="G936" s="14"/>
      <c r="H936" s="15"/>
      <c r="I936" s="15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  <c r="BO936" s="14"/>
      <c r="BP936" s="14"/>
      <c r="BQ936" s="14"/>
      <c r="BR936" s="14"/>
      <c r="BS936" s="14"/>
      <c r="BT936" s="14"/>
      <c r="BU936" s="14"/>
      <c r="BV936" s="14"/>
      <c r="BW936" s="14"/>
      <c r="BX936" s="14"/>
      <c r="BY936" s="14"/>
      <c r="BZ936" s="14"/>
      <c r="CA936" s="14"/>
      <c r="CB936" s="14"/>
      <c r="CC936" s="14"/>
      <c r="CD936" s="14"/>
      <c r="CE936" s="14"/>
      <c r="CF936" s="14"/>
      <c r="CG936" s="14"/>
      <c r="CH936" s="14"/>
      <c r="CI936" s="14"/>
      <c r="CJ936" s="14"/>
      <c r="CK936" s="14"/>
      <c r="CL936" s="14"/>
      <c r="CT936" s="14"/>
      <c r="CW936" s="3"/>
      <c r="DG936" s="4"/>
    </row>
    <row r="937" customFormat="false" ht="11.25" hidden="false" customHeight="true" outlineLevel="0" collapsed="false">
      <c r="A937" s="14"/>
      <c r="B937" s="15"/>
      <c r="C937" s="15"/>
      <c r="D937" s="14"/>
      <c r="E937" s="14"/>
      <c r="F937" s="14"/>
      <c r="G937" s="14"/>
      <c r="H937" s="15"/>
      <c r="I937" s="15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  <c r="BP937" s="14"/>
      <c r="BQ937" s="14"/>
      <c r="BR937" s="14"/>
      <c r="BS937" s="14"/>
      <c r="BT937" s="14"/>
      <c r="BU937" s="14"/>
      <c r="BV937" s="14"/>
      <c r="BW937" s="14"/>
      <c r="BX937" s="14"/>
      <c r="BY937" s="14"/>
      <c r="BZ937" s="14"/>
      <c r="CA937" s="14"/>
      <c r="CB937" s="14"/>
      <c r="CC937" s="14"/>
      <c r="CD937" s="14"/>
      <c r="CE937" s="14"/>
      <c r="CF937" s="14"/>
      <c r="CG937" s="14"/>
      <c r="CH937" s="14"/>
      <c r="CI937" s="14"/>
      <c r="CJ937" s="14"/>
      <c r="CK937" s="14"/>
      <c r="CL937" s="14"/>
      <c r="CT937" s="14"/>
      <c r="CW937" s="3"/>
      <c r="DG937" s="4"/>
    </row>
    <row r="938" customFormat="false" ht="11.25" hidden="false" customHeight="true" outlineLevel="0" collapsed="false">
      <c r="A938" s="14"/>
      <c r="B938" s="15"/>
      <c r="C938" s="15"/>
      <c r="D938" s="14"/>
      <c r="E938" s="14"/>
      <c r="F938" s="14"/>
      <c r="G938" s="14"/>
      <c r="H938" s="15"/>
      <c r="I938" s="15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  <c r="BL938" s="14"/>
      <c r="BM938" s="14"/>
      <c r="BN938" s="14"/>
      <c r="BO938" s="14"/>
      <c r="BP938" s="14"/>
      <c r="BQ938" s="14"/>
      <c r="BR938" s="14"/>
      <c r="BS938" s="14"/>
      <c r="BT938" s="14"/>
      <c r="BU938" s="14"/>
      <c r="BV938" s="14"/>
      <c r="BW938" s="14"/>
      <c r="BX938" s="14"/>
      <c r="BY938" s="14"/>
      <c r="BZ938" s="14"/>
      <c r="CA938" s="14"/>
      <c r="CB938" s="14"/>
      <c r="CC938" s="14"/>
      <c r="CD938" s="14"/>
      <c r="CE938" s="14"/>
      <c r="CF938" s="14"/>
      <c r="CG938" s="14"/>
      <c r="CH938" s="14"/>
      <c r="CI938" s="14"/>
      <c r="CJ938" s="14"/>
      <c r="CK938" s="14"/>
      <c r="CL938" s="14"/>
      <c r="CT938" s="14"/>
      <c r="CW938" s="3"/>
      <c r="DG938" s="4"/>
    </row>
    <row r="939" customFormat="false" ht="11.25" hidden="false" customHeight="true" outlineLevel="0" collapsed="false">
      <c r="A939" s="14"/>
      <c r="B939" s="15"/>
      <c r="C939" s="15"/>
      <c r="D939" s="14"/>
      <c r="E939" s="14"/>
      <c r="F939" s="14"/>
      <c r="G939" s="14"/>
      <c r="H939" s="15"/>
      <c r="I939" s="15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4"/>
      <c r="BP939" s="14"/>
      <c r="BQ939" s="14"/>
      <c r="BR939" s="14"/>
      <c r="BS939" s="14"/>
      <c r="BT939" s="14"/>
      <c r="BU939" s="14"/>
      <c r="BV939" s="14"/>
      <c r="BW939" s="14"/>
      <c r="BX939" s="14"/>
      <c r="BY939" s="14"/>
      <c r="BZ939" s="14"/>
      <c r="CA939" s="14"/>
      <c r="CB939" s="14"/>
      <c r="CC939" s="14"/>
      <c r="CD939" s="14"/>
      <c r="CE939" s="14"/>
      <c r="CF939" s="14"/>
      <c r="CG939" s="14"/>
      <c r="CH939" s="14"/>
      <c r="CI939" s="14"/>
      <c r="CJ939" s="14"/>
      <c r="CK939" s="14"/>
      <c r="CL939" s="14"/>
      <c r="CT939" s="14"/>
      <c r="CW939" s="3"/>
      <c r="DG939" s="4"/>
    </row>
    <row r="940" customFormat="false" ht="11.25" hidden="false" customHeight="true" outlineLevel="0" collapsed="false">
      <c r="A940" s="14"/>
      <c r="B940" s="15"/>
      <c r="C940" s="15"/>
      <c r="D940" s="14"/>
      <c r="E940" s="14"/>
      <c r="F940" s="14"/>
      <c r="G940" s="14"/>
      <c r="H940" s="15"/>
      <c r="I940" s="15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  <c r="BN940" s="14"/>
      <c r="BO940" s="14"/>
      <c r="BP940" s="14"/>
      <c r="BQ940" s="14"/>
      <c r="BR940" s="14"/>
      <c r="BS940" s="14"/>
      <c r="BT940" s="14"/>
      <c r="BU940" s="14"/>
      <c r="BV940" s="14"/>
      <c r="BW940" s="14"/>
      <c r="BX940" s="14"/>
      <c r="BY940" s="14"/>
      <c r="BZ940" s="14"/>
      <c r="CA940" s="14"/>
      <c r="CB940" s="14"/>
      <c r="CC940" s="14"/>
      <c r="CD940" s="14"/>
      <c r="CE940" s="14"/>
      <c r="CF940" s="14"/>
      <c r="CG940" s="14"/>
      <c r="CH940" s="14"/>
      <c r="CI940" s="14"/>
      <c r="CJ940" s="14"/>
      <c r="CK940" s="14"/>
      <c r="CL940" s="14"/>
      <c r="CT940" s="14"/>
      <c r="CW940" s="3"/>
      <c r="DG940" s="4"/>
    </row>
    <row r="941" customFormat="false" ht="11.25" hidden="false" customHeight="true" outlineLevel="0" collapsed="false">
      <c r="A941" s="14"/>
      <c r="B941" s="15"/>
      <c r="C941" s="15"/>
      <c r="D941" s="14"/>
      <c r="E941" s="14"/>
      <c r="F941" s="14"/>
      <c r="G941" s="14"/>
      <c r="H941" s="15"/>
      <c r="I941" s="15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  <c r="BP941" s="14"/>
      <c r="BQ941" s="14"/>
      <c r="BR941" s="14"/>
      <c r="BS941" s="14"/>
      <c r="BT941" s="14"/>
      <c r="BU941" s="14"/>
      <c r="BV941" s="14"/>
      <c r="BW941" s="14"/>
      <c r="BX941" s="14"/>
      <c r="BY941" s="14"/>
      <c r="BZ941" s="14"/>
      <c r="CA941" s="14"/>
      <c r="CB941" s="14"/>
      <c r="CC941" s="14"/>
      <c r="CD941" s="14"/>
      <c r="CE941" s="14"/>
      <c r="CF941" s="14"/>
      <c r="CG941" s="14"/>
      <c r="CH941" s="14"/>
      <c r="CI941" s="14"/>
      <c r="CJ941" s="14"/>
      <c r="CK941" s="14"/>
      <c r="CL941" s="14"/>
      <c r="CT941" s="14"/>
      <c r="CW941" s="3"/>
      <c r="DG941" s="4"/>
    </row>
    <row r="942" customFormat="false" ht="11.25" hidden="false" customHeight="true" outlineLevel="0" collapsed="false">
      <c r="A942" s="14"/>
      <c r="B942" s="15"/>
      <c r="C942" s="15"/>
      <c r="D942" s="14"/>
      <c r="E942" s="14"/>
      <c r="F942" s="14"/>
      <c r="G942" s="14"/>
      <c r="H942" s="15"/>
      <c r="I942" s="15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4"/>
      <c r="BK942" s="14"/>
      <c r="BL942" s="14"/>
      <c r="BM942" s="14"/>
      <c r="BN942" s="14"/>
      <c r="BO942" s="14"/>
      <c r="BP942" s="14"/>
      <c r="BQ942" s="14"/>
      <c r="BR942" s="14"/>
      <c r="BS942" s="14"/>
      <c r="BT942" s="14"/>
      <c r="BU942" s="14"/>
      <c r="BV942" s="14"/>
      <c r="BW942" s="14"/>
      <c r="BX942" s="14"/>
      <c r="BY942" s="14"/>
      <c r="BZ942" s="14"/>
      <c r="CA942" s="14"/>
      <c r="CB942" s="14"/>
      <c r="CC942" s="14"/>
      <c r="CD942" s="14"/>
      <c r="CE942" s="14"/>
      <c r="CF942" s="14"/>
      <c r="CG942" s="14"/>
      <c r="CH942" s="14"/>
      <c r="CI942" s="14"/>
      <c r="CJ942" s="14"/>
      <c r="CK942" s="14"/>
      <c r="CL942" s="14"/>
      <c r="CT942" s="14"/>
      <c r="CW942" s="3"/>
      <c r="DG942" s="4"/>
    </row>
    <row r="943" customFormat="false" ht="11.25" hidden="false" customHeight="true" outlineLevel="0" collapsed="false">
      <c r="A943" s="14"/>
      <c r="B943" s="15"/>
      <c r="C943" s="15"/>
      <c r="D943" s="14"/>
      <c r="E943" s="14"/>
      <c r="F943" s="14"/>
      <c r="G943" s="14"/>
      <c r="H943" s="15"/>
      <c r="I943" s="15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4"/>
      <c r="BP943" s="14"/>
      <c r="BQ943" s="14"/>
      <c r="BR943" s="14"/>
      <c r="BS943" s="14"/>
      <c r="BT943" s="14"/>
      <c r="BU943" s="14"/>
      <c r="BV943" s="14"/>
      <c r="BW943" s="14"/>
      <c r="BX943" s="14"/>
      <c r="BY943" s="14"/>
      <c r="BZ943" s="14"/>
      <c r="CA943" s="14"/>
      <c r="CB943" s="14"/>
      <c r="CC943" s="14"/>
      <c r="CD943" s="14"/>
      <c r="CE943" s="14"/>
      <c r="CF943" s="14"/>
      <c r="CG943" s="14"/>
      <c r="CH943" s="14"/>
      <c r="CI943" s="14"/>
      <c r="CJ943" s="14"/>
      <c r="CK943" s="14"/>
      <c r="CL943" s="14"/>
      <c r="CT943" s="14"/>
      <c r="CW943" s="3"/>
      <c r="DG943" s="4"/>
    </row>
    <row r="944" customFormat="false" ht="11.25" hidden="false" customHeight="true" outlineLevel="0" collapsed="false">
      <c r="A944" s="14"/>
      <c r="B944" s="15"/>
      <c r="C944" s="15"/>
      <c r="D944" s="14"/>
      <c r="E944" s="14"/>
      <c r="F944" s="14"/>
      <c r="G944" s="14"/>
      <c r="H944" s="15"/>
      <c r="I944" s="15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4"/>
      <c r="BK944" s="14"/>
      <c r="BL944" s="14"/>
      <c r="BM944" s="14"/>
      <c r="BN944" s="14"/>
      <c r="BO944" s="14"/>
      <c r="BP944" s="14"/>
      <c r="BQ944" s="14"/>
      <c r="BR944" s="14"/>
      <c r="BS944" s="14"/>
      <c r="BT944" s="14"/>
      <c r="BU944" s="14"/>
      <c r="BV944" s="14"/>
      <c r="BW944" s="14"/>
      <c r="BX944" s="14"/>
      <c r="BY944" s="14"/>
      <c r="BZ944" s="14"/>
      <c r="CA944" s="14"/>
      <c r="CB944" s="14"/>
      <c r="CC944" s="14"/>
      <c r="CD944" s="14"/>
      <c r="CE944" s="14"/>
      <c r="CF944" s="14"/>
      <c r="CG944" s="14"/>
      <c r="CH944" s="14"/>
      <c r="CI944" s="14"/>
      <c r="CJ944" s="14"/>
      <c r="CK944" s="14"/>
      <c r="CL944" s="14"/>
      <c r="CT944" s="14"/>
      <c r="CW944" s="3"/>
      <c r="DG944" s="4"/>
    </row>
    <row r="945" customFormat="false" ht="11.25" hidden="false" customHeight="true" outlineLevel="0" collapsed="false">
      <c r="A945" s="14"/>
      <c r="B945" s="15"/>
      <c r="C945" s="15"/>
      <c r="D945" s="14"/>
      <c r="E945" s="14"/>
      <c r="F945" s="14"/>
      <c r="G945" s="14"/>
      <c r="H945" s="15"/>
      <c r="I945" s="15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  <c r="BP945" s="14"/>
      <c r="BQ945" s="14"/>
      <c r="BR945" s="14"/>
      <c r="BS945" s="14"/>
      <c r="BT945" s="14"/>
      <c r="BU945" s="14"/>
      <c r="BV945" s="14"/>
      <c r="BW945" s="14"/>
      <c r="BX945" s="14"/>
      <c r="BY945" s="14"/>
      <c r="BZ945" s="14"/>
      <c r="CA945" s="14"/>
      <c r="CB945" s="14"/>
      <c r="CC945" s="14"/>
      <c r="CD945" s="14"/>
      <c r="CE945" s="14"/>
      <c r="CF945" s="14"/>
      <c r="CG945" s="14"/>
      <c r="CH945" s="14"/>
      <c r="CI945" s="14"/>
      <c r="CJ945" s="14"/>
      <c r="CK945" s="14"/>
      <c r="CL945" s="14"/>
      <c r="CT945" s="14"/>
      <c r="CW945" s="3"/>
      <c r="DG945" s="4"/>
    </row>
    <row r="946" customFormat="false" ht="11.25" hidden="false" customHeight="true" outlineLevel="0" collapsed="false">
      <c r="A946" s="14"/>
      <c r="B946" s="15"/>
      <c r="C946" s="15"/>
      <c r="D946" s="14"/>
      <c r="E946" s="14"/>
      <c r="F946" s="14"/>
      <c r="G946" s="14"/>
      <c r="H946" s="15"/>
      <c r="I946" s="15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  <c r="BL946" s="14"/>
      <c r="BM946" s="14"/>
      <c r="BN946" s="14"/>
      <c r="BO946" s="14"/>
      <c r="BP946" s="14"/>
      <c r="BQ946" s="14"/>
      <c r="BR946" s="14"/>
      <c r="BS946" s="14"/>
      <c r="BT946" s="14"/>
      <c r="BU946" s="14"/>
      <c r="BV946" s="14"/>
      <c r="BW946" s="14"/>
      <c r="BX946" s="14"/>
      <c r="BY946" s="14"/>
      <c r="BZ946" s="14"/>
      <c r="CA946" s="14"/>
      <c r="CB946" s="14"/>
      <c r="CC946" s="14"/>
      <c r="CD946" s="14"/>
      <c r="CE946" s="14"/>
      <c r="CF946" s="14"/>
      <c r="CG946" s="14"/>
      <c r="CH946" s="14"/>
      <c r="CI946" s="14"/>
      <c r="CJ946" s="14"/>
      <c r="CK946" s="14"/>
      <c r="CL946" s="14"/>
      <c r="CT946" s="14"/>
      <c r="CW946" s="3"/>
      <c r="DG946" s="4"/>
    </row>
    <row r="947" customFormat="false" ht="11.25" hidden="false" customHeight="true" outlineLevel="0" collapsed="false">
      <c r="A947" s="14"/>
      <c r="B947" s="15"/>
      <c r="C947" s="15"/>
      <c r="D947" s="14"/>
      <c r="E947" s="14"/>
      <c r="F947" s="14"/>
      <c r="G947" s="14"/>
      <c r="H947" s="15"/>
      <c r="I947" s="15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4"/>
      <c r="BP947" s="14"/>
      <c r="BQ947" s="14"/>
      <c r="BR947" s="14"/>
      <c r="BS947" s="14"/>
      <c r="BT947" s="14"/>
      <c r="BU947" s="14"/>
      <c r="BV947" s="14"/>
      <c r="BW947" s="14"/>
      <c r="BX947" s="14"/>
      <c r="BY947" s="14"/>
      <c r="BZ947" s="14"/>
      <c r="CA947" s="14"/>
      <c r="CB947" s="14"/>
      <c r="CC947" s="14"/>
      <c r="CD947" s="14"/>
      <c r="CE947" s="14"/>
      <c r="CF947" s="14"/>
      <c r="CG947" s="14"/>
      <c r="CH947" s="14"/>
      <c r="CI947" s="14"/>
      <c r="CJ947" s="14"/>
      <c r="CK947" s="14"/>
      <c r="CL947" s="14"/>
      <c r="CT947" s="14"/>
      <c r="CW947" s="3"/>
      <c r="DG947" s="4"/>
    </row>
    <row r="948" customFormat="false" ht="11.25" hidden="false" customHeight="true" outlineLevel="0" collapsed="false">
      <c r="A948" s="14"/>
      <c r="B948" s="15"/>
      <c r="C948" s="15"/>
      <c r="D948" s="14"/>
      <c r="E948" s="14"/>
      <c r="F948" s="14"/>
      <c r="G948" s="14"/>
      <c r="H948" s="15"/>
      <c r="I948" s="15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  <c r="BN948" s="14"/>
      <c r="BO948" s="14"/>
      <c r="BP948" s="14"/>
      <c r="BQ948" s="14"/>
      <c r="BR948" s="14"/>
      <c r="BS948" s="14"/>
      <c r="BT948" s="14"/>
      <c r="BU948" s="14"/>
      <c r="BV948" s="14"/>
      <c r="BW948" s="14"/>
      <c r="BX948" s="14"/>
      <c r="BY948" s="14"/>
      <c r="BZ948" s="14"/>
      <c r="CA948" s="14"/>
      <c r="CB948" s="14"/>
      <c r="CC948" s="14"/>
      <c r="CD948" s="14"/>
      <c r="CE948" s="14"/>
      <c r="CF948" s="14"/>
      <c r="CG948" s="14"/>
      <c r="CH948" s="14"/>
      <c r="CI948" s="14"/>
      <c r="CJ948" s="14"/>
      <c r="CK948" s="14"/>
      <c r="CL948" s="14"/>
      <c r="CT948" s="14"/>
      <c r="CW948" s="3"/>
      <c r="DG948" s="4"/>
    </row>
    <row r="949" customFormat="false" ht="11.25" hidden="false" customHeight="true" outlineLevel="0" collapsed="false">
      <c r="A949" s="14"/>
      <c r="B949" s="15"/>
      <c r="C949" s="15"/>
      <c r="D949" s="14"/>
      <c r="E949" s="14"/>
      <c r="F949" s="14"/>
      <c r="G949" s="14"/>
      <c r="H949" s="15"/>
      <c r="I949" s="15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  <c r="BP949" s="14"/>
      <c r="BQ949" s="14"/>
      <c r="BR949" s="14"/>
      <c r="BS949" s="14"/>
      <c r="BT949" s="14"/>
      <c r="BU949" s="14"/>
      <c r="BV949" s="14"/>
      <c r="BW949" s="14"/>
      <c r="BX949" s="14"/>
      <c r="BY949" s="14"/>
      <c r="BZ949" s="14"/>
      <c r="CA949" s="14"/>
      <c r="CB949" s="14"/>
      <c r="CC949" s="14"/>
      <c r="CD949" s="14"/>
      <c r="CE949" s="14"/>
      <c r="CF949" s="14"/>
      <c r="CG949" s="14"/>
      <c r="CH949" s="14"/>
      <c r="CI949" s="14"/>
      <c r="CJ949" s="14"/>
      <c r="CK949" s="14"/>
      <c r="CL949" s="14"/>
      <c r="CT949" s="14"/>
      <c r="CW949" s="3"/>
      <c r="DG949" s="4"/>
    </row>
    <row r="950" customFormat="false" ht="11.25" hidden="false" customHeight="true" outlineLevel="0" collapsed="false">
      <c r="A950" s="14"/>
      <c r="B950" s="15"/>
      <c r="C950" s="15"/>
      <c r="D950" s="14"/>
      <c r="E950" s="14"/>
      <c r="F950" s="14"/>
      <c r="G950" s="14"/>
      <c r="H950" s="15"/>
      <c r="I950" s="15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  <c r="BL950" s="14"/>
      <c r="BM950" s="14"/>
      <c r="BN950" s="14"/>
      <c r="BO950" s="14"/>
      <c r="BP950" s="14"/>
      <c r="BQ950" s="14"/>
      <c r="BR950" s="14"/>
      <c r="BS950" s="14"/>
      <c r="BT950" s="14"/>
      <c r="BU950" s="14"/>
      <c r="BV950" s="14"/>
      <c r="BW950" s="14"/>
      <c r="BX950" s="14"/>
      <c r="BY950" s="14"/>
      <c r="BZ950" s="14"/>
      <c r="CA950" s="14"/>
      <c r="CB950" s="14"/>
      <c r="CC950" s="14"/>
      <c r="CD950" s="14"/>
      <c r="CE950" s="14"/>
      <c r="CF950" s="14"/>
      <c r="CG950" s="14"/>
      <c r="CH950" s="14"/>
      <c r="CI950" s="14"/>
      <c r="CJ950" s="14"/>
      <c r="CK950" s="14"/>
      <c r="CL950" s="14"/>
      <c r="CT950" s="14"/>
      <c r="CW950" s="3"/>
      <c r="DG950" s="4"/>
    </row>
    <row r="951" customFormat="false" ht="11.25" hidden="false" customHeight="true" outlineLevel="0" collapsed="false">
      <c r="A951" s="14"/>
      <c r="B951" s="15"/>
      <c r="C951" s="15"/>
      <c r="D951" s="14"/>
      <c r="E951" s="14"/>
      <c r="F951" s="14"/>
      <c r="G951" s="14"/>
      <c r="H951" s="15"/>
      <c r="I951" s="15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  <c r="BN951" s="14"/>
      <c r="BO951" s="14"/>
      <c r="BP951" s="14"/>
      <c r="BQ951" s="14"/>
      <c r="BR951" s="14"/>
      <c r="BS951" s="14"/>
      <c r="BT951" s="14"/>
      <c r="BU951" s="14"/>
      <c r="BV951" s="14"/>
      <c r="BW951" s="14"/>
      <c r="BX951" s="14"/>
      <c r="BY951" s="14"/>
      <c r="BZ951" s="14"/>
      <c r="CA951" s="14"/>
      <c r="CB951" s="14"/>
      <c r="CC951" s="14"/>
      <c r="CD951" s="14"/>
      <c r="CE951" s="14"/>
      <c r="CF951" s="14"/>
      <c r="CG951" s="14"/>
      <c r="CH951" s="14"/>
      <c r="CI951" s="14"/>
      <c r="CJ951" s="14"/>
      <c r="CK951" s="14"/>
      <c r="CL951" s="14"/>
      <c r="CT951" s="14"/>
      <c r="CW951" s="3"/>
      <c r="DG951" s="4"/>
    </row>
    <row r="952" customFormat="false" ht="11.25" hidden="false" customHeight="true" outlineLevel="0" collapsed="false">
      <c r="A952" s="14"/>
      <c r="B952" s="15"/>
      <c r="C952" s="15"/>
      <c r="D952" s="14"/>
      <c r="E952" s="14"/>
      <c r="F952" s="14"/>
      <c r="G952" s="14"/>
      <c r="H952" s="15"/>
      <c r="I952" s="15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  <c r="BN952" s="14"/>
      <c r="BO952" s="14"/>
      <c r="BP952" s="14"/>
      <c r="BQ952" s="14"/>
      <c r="BR952" s="14"/>
      <c r="BS952" s="14"/>
      <c r="BT952" s="14"/>
      <c r="BU952" s="14"/>
      <c r="BV952" s="14"/>
      <c r="BW952" s="14"/>
      <c r="BX952" s="14"/>
      <c r="BY952" s="14"/>
      <c r="BZ952" s="14"/>
      <c r="CA952" s="14"/>
      <c r="CB952" s="14"/>
      <c r="CC952" s="14"/>
      <c r="CD952" s="14"/>
      <c r="CE952" s="14"/>
      <c r="CF952" s="14"/>
      <c r="CG952" s="14"/>
      <c r="CH952" s="14"/>
      <c r="CI952" s="14"/>
      <c r="CJ952" s="14"/>
      <c r="CK952" s="14"/>
      <c r="CL952" s="14"/>
      <c r="CT952" s="14"/>
      <c r="CW952" s="3"/>
      <c r="DG952" s="4"/>
    </row>
    <row r="953" customFormat="false" ht="11.25" hidden="false" customHeight="true" outlineLevel="0" collapsed="false">
      <c r="A953" s="14"/>
      <c r="B953" s="15"/>
      <c r="C953" s="15"/>
      <c r="D953" s="14"/>
      <c r="E953" s="14"/>
      <c r="F953" s="14"/>
      <c r="G953" s="14"/>
      <c r="H953" s="15"/>
      <c r="I953" s="15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  <c r="BO953" s="14"/>
      <c r="BP953" s="14"/>
      <c r="BQ953" s="14"/>
      <c r="BR953" s="14"/>
      <c r="BS953" s="14"/>
      <c r="BT953" s="14"/>
      <c r="BU953" s="14"/>
      <c r="BV953" s="14"/>
      <c r="BW953" s="14"/>
      <c r="BX953" s="14"/>
      <c r="BY953" s="14"/>
      <c r="BZ953" s="14"/>
      <c r="CA953" s="14"/>
      <c r="CB953" s="14"/>
      <c r="CC953" s="14"/>
      <c r="CD953" s="14"/>
      <c r="CE953" s="14"/>
      <c r="CF953" s="14"/>
      <c r="CG953" s="14"/>
      <c r="CH953" s="14"/>
      <c r="CI953" s="14"/>
      <c r="CJ953" s="14"/>
      <c r="CK953" s="14"/>
      <c r="CL953" s="14"/>
      <c r="CT953" s="14"/>
      <c r="CW953" s="3"/>
      <c r="DG953" s="4"/>
    </row>
    <row r="954" customFormat="false" ht="11.25" hidden="false" customHeight="true" outlineLevel="0" collapsed="false">
      <c r="A954" s="14"/>
      <c r="B954" s="15"/>
      <c r="C954" s="15"/>
      <c r="D954" s="14"/>
      <c r="E954" s="14"/>
      <c r="F954" s="14"/>
      <c r="G954" s="14"/>
      <c r="H954" s="15"/>
      <c r="I954" s="15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  <c r="BN954" s="14"/>
      <c r="BO954" s="14"/>
      <c r="BP954" s="14"/>
      <c r="BQ954" s="14"/>
      <c r="BR954" s="14"/>
      <c r="BS954" s="14"/>
      <c r="BT954" s="14"/>
      <c r="BU954" s="14"/>
      <c r="BV954" s="14"/>
      <c r="BW954" s="14"/>
      <c r="BX954" s="14"/>
      <c r="BY954" s="14"/>
      <c r="BZ954" s="14"/>
      <c r="CA954" s="14"/>
      <c r="CB954" s="14"/>
      <c r="CC954" s="14"/>
      <c r="CD954" s="14"/>
      <c r="CE954" s="14"/>
      <c r="CF954" s="14"/>
      <c r="CG954" s="14"/>
      <c r="CH954" s="14"/>
      <c r="CI954" s="14"/>
      <c r="CJ954" s="14"/>
      <c r="CK954" s="14"/>
      <c r="CL954" s="14"/>
      <c r="CT954" s="14"/>
      <c r="CW954" s="3"/>
      <c r="DG954" s="4"/>
    </row>
    <row r="955" customFormat="false" ht="11.25" hidden="false" customHeight="true" outlineLevel="0" collapsed="false">
      <c r="A955" s="14"/>
      <c r="B955" s="15"/>
      <c r="C955" s="15"/>
      <c r="D955" s="14"/>
      <c r="E955" s="14"/>
      <c r="F955" s="14"/>
      <c r="G955" s="14"/>
      <c r="H955" s="15"/>
      <c r="I955" s="15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  <c r="BO955" s="14"/>
      <c r="BP955" s="14"/>
      <c r="BQ955" s="14"/>
      <c r="BR955" s="14"/>
      <c r="BS955" s="14"/>
      <c r="BT955" s="14"/>
      <c r="BU955" s="14"/>
      <c r="BV955" s="14"/>
      <c r="BW955" s="14"/>
      <c r="BX955" s="14"/>
      <c r="BY955" s="14"/>
      <c r="BZ955" s="14"/>
      <c r="CA955" s="14"/>
      <c r="CB955" s="14"/>
      <c r="CC955" s="14"/>
      <c r="CD955" s="14"/>
      <c r="CE955" s="14"/>
      <c r="CF955" s="14"/>
      <c r="CG955" s="14"/>
      <c r="CH955" s="14"/>
      <c r="CI955" s="14"/>
      <c r="CJ955" s="14"/>
      <c r="CK955" s="14"/>
      <c r="CL955" s="14"/>
      <c r="CT955" s="14"/>
      <c r="CW955" s="3"/>
      <c r="DG955" s="4"/>
    </row>
    <row r="956" customFormat="false" ht="11.25" hidden="false" customHeight="true" outlineLevel="0" collapsed="false">
      <c r="A956" s="14"/>
      <c r="B956" s="15"/>
      <c r="C956" s="15"/>
      <c r="D956" s="14"/>
      <c r="E956" s="14"/>
      <c r="F956" s="14"/>
      <c r="G956" s="14"/>
      <c r="H956" s="15"/>
      <c r="I956" s="15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  <c r="BL956" s="14"/>
      <c r="BM956" s="14"/>
      <c r="BN956" s="14"/>
      <c r="BO956" s="14"/>
      <c r="BP956" s="14"/>
      <c r="BQ956" s="14"/>
      <c r="BR956" s="14"/>
      <c r="BS956" s="14"/>
      <c r="BT956" s="14"/>
      <c r="BU956" s="14"/>
      <c r="BV956" s="14"/>
      <c r="BW956" s="14"/>
      <c r="BX956" s="14"/>
      <c r="BY956" s="14"/>
      <c r="BZ956" s="14"/>
      <c r="CA956" s="14"/>
      <c r="CB956" s="14"/>
      <c r="CC956" s="14"/>
      <c r="CD956" s="14"/>
      <c r="CE956" s="14"/>
      <c r="CF956" s="14"/>
      <c r="CG956" s="14"/>
      <c r="CH956" s="14"/>
      <c r="CI956" s="14"/>
      <c r="CJ956" s="14"/>
      <c r="CK956" s="14"/>
      <c r="CL956" s="14"/>
      <c r="CT956" s="14"/>
      <c r="CW956" s="3"/>
      <c r="DG956" s="4"/>
    </row>
    <row r="957" customFormat="false" ht="11.25" hidden="false" customHeight="true" outlineLevel="0" collapsed="false">
      <c r="A957" s="14"/>
      <c r="B957" s="15"/>
      <c r="C957" s="15"/>
      <c r="D957" s="14"/>
      <c r="E957" s="14"/>
      <c r="F957" s="14"/>
      <c r="G957" s="14"/>
      <c r="H957" s="15"/>
      <c r="I957" s="15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  <c r="BL957" s="14"/>
      <c r="BM957" s="14"/>
      <c r="BN957" s="14"/>
      <c r="BO957" s="14"/>
      <c r="BP957" s="14"/>
      <c r="BQ957" s="14"/>
      <c r="BR957" s="14"/>
      <c r="BS957" s="14"/>
      <c r="BT957" s="14"/>
      <c r="BU957" s="14"/>
      <c r="BV957" s="14"/>
      <c r="BW957" s="14"/>
      <c r="BX957" s="14"/>
      <c r="BY957" s="14"/>
      <c r="BZ957" s="14"/>
      <c r="CA957" s="14"/>
      <c r="CB957" s="14"/>
      <c r="CC957" s="14"/>
      <c r="CD957" s="14"/>
      <c r="CE957" s="14"/>
      <c r="CF957" s="14"/>
      <c r="CG957" s="14"/>
      <c r="CH957" s="14"/>
      <c r="CI957" s="14"/>
      <c r="CJ957" s="14"/>
      <c r="CK957" s="14"/>
      <c r="CL957" s="14"/>
      <c r="CT957" s="14"/>
      <c r="CW957" s="3"/>
      <c r="DG957" s="4"/>
    </row>
    <row r="958" customFormat="false" ht="11.25" hidden="false" customHeight="true" outlineLevel="0" collapsed="false">
      <c r="A958" s="14"/>
      <c r="B958" s="15"/>
      <c r="C958" s="15"/>
      <c r="D958" s="14"/>
      <c r="E958" s="14"/>
      <c r="F958" s="14"/>
      <c r="G958" s="14"/>
      <c r="H958" s="15"/>
      <c r="I958" s="15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  <c r="BL958" s="14"/>
      <c r="BM958" s="14"/>
      <c r="BN958" s="14"/>
      <c r="BO958" s="14"/>
      <c r="BP958" s="14"/>
      <c r="BQ958" s="14"/>
      <c r="BR958" s="14"/>
      <c r="BS958" s="14"/>
      <c r="BT958" s="14"/>
      <c r="BU958" s="14"/>
      <c r="BV958" s="14"/>
      <c r="BW958" s="14"/>
      <c r="BX958" s="14"/>
      <c r="BY958" s="14"/>
      <c r="BZ958" s="14"/>
      <c r="CA958" s="14"/>
      <c r="CB958" s="14"/>
      <c r="CC958" s="14"/>
      <c r="CD958" s="14"/>
      <c r="CE958" s="14"/>
      <c r="CF958" s="14"/>
      <c r="CG958" s="14"/>
      <c r="CH958" s="14"/>
      <c r="CI958" s="14"/>
      <c r="CJ958" s="14"/>
      <c r="CK958" s="14"/>
      <c r="CL958" s="14"/>
      <c r="CT958" s="14"/>
      <c r="CW958" s="3"/>
      <c r="DG958" s="4"/>
    </row>
    <row r="959" customFormat="false" ht="11.25" hidden="false" customHeight="true" outlineLevel="0" collapsed="false">
      <c r="A959" s="14"/>
      <c r="B959" s="15"/>
      <c r="C959" s="15"/>
      <c r="D959" s="14"/>
      <c r="E959" s="14"/>
      <c r="F959" s="14"/>
      <c r="G959" s="14"/>
      <c r="H959" s="15"/>
      <c r="I959" s="15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4"/>
      <c r="BK959" s="14"/>
      <c r="BL959" s="14"/>
      <c r="BM959" s="14"/>
      <c r="BN959" s="14"/>
      <c r="BO959" s="14"/>
      <c r="BP959" s="14"/>
      <c r="BQ959" s="14"/>
      <c r="BR959" s="14"/>
      <c r="BS959" s="14"/>
      <c r="BT959" s="14"/>
      <c r="BU959" s="14"/>
      <c r="BV959" s="14"/>
      <c r="BW959" s="14"/>
      <c r="BX959" s="14"/>
      <c r="BY959" s="14"/>
      <c r="BZ959" s="14"/>
      <c r="CA959" s="14"/>
      <c r="CB959" s="14"/>
      <c r="CC959" s="14"/>
      <c r="CD959" s="14"/>
      <c r="CE959" s="14"/>
      <c r="CF959" s="14"/>
      <c r="CG959" s="14"/>
      <c r="CH959" s="14"/>
      <c r="CI959" s="14"/>
      <c r="CJ959" s="14"/>
      <c r="CK959" s="14"/>
      <c r="CL959" s="14"/>
      <c r="CT959" s="14"/>
      <c r="CW959" s="3"/>
      <c r="DG959" s="4"/>
    </row>
    <row r="960" customFormat="false" ht="11.25" hidden="false" customHeight="true" outlineLevel="0" collapsed="false">
      <c r="A960" s="14"/>
      <c r="B960" s="15"/>
      <c r="C960" s="15"/>
      <c r="D960" s="14"/>
      <c r="E960" s="14"/>
      <c r="F960" s="14"/>
      <c r="G960" s="14"/>
      <c r="H960" s="15"/>
      <c r="I960" s="15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4"/>
      <c r="BK960" s="14"/>
      <c r="BL960" s="14"/>
      <c r="BM960" s="14"/>
      <c r="BN960" s="14"/>
      <c r="BO960" s="14"/>
      <c r="BP960" s="14"/>
      <c r="BQ960" s="14"/>
      <c r="BR960" s="14"/>
      <c r="BS960" s="14"/>
      <c r="BT960" s="14"/>
      <c r="BU960" s="14"/>
      <c r="BV960" s="14"/>
      <c r="BW960" s="14"/>
      <c r="BX960" s="14"/>
      <c r="BY960" s="14"/>
      <c r="BZ960" s="14"/>
      <c r="CA960" s="14"/>
      <c r="CB960" s="14"/>
      <c r="CC960" s="14"/>
      <c r="CD960" s="14"/>
      <c r="CE960" s="14"/>
      <c r="CF960" s="14"/>
      <c r="CG960" s="14"/>
      <c r="CH960" s="14"/>
      <c r="CI960" s="14"/>
      <c r="CJ960" s="14"/>
      <c r="CK960" s="14"/>
      <c r="CL960" s="14"/>
      <c r="CT960" s="14"/>
      <c r="CW960" s="3"/>
      <c r="DG960" s="4"/>
    </row>
    <row r="961" customFormat="false" ht="11.25" hidden="false" customHeight="true" outlineLevel="0" collapsed="false">
      <c r="A961" s="14"/>
      <c r="B961" s="15"/>
      <c r="C961" s="15"/>
      <c r="D961" s="14"/>
      <c r="E961" s="14"/>
      <c r="F961" s="14"/>
      <c r="G961" s="14"/>
      <c r="H961" s="15"/>
      <c r="I961" s="15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4"/>
      <c r="BK961" s="14"/>
      <c r="BL961" s="14"/>
      <c r="BM961" s="14"/>
      <c r="BN961" s="14"/>
      <c r="BO961" s="14"/>
      <c r="BP961" s="14"/>
      <c r="BQ961" s="14"/>
      <c r="BR961" s="14"/>
      <c r="BS961" s="14"/>
      <c r="BT961" s="14"/>
      <c r="BU961" s="14"/>
      <c r="BV961" s="14"/>
      <c r="BW961" s="14"/>
      <c r="BX961" s="14"/>
      <c r="BY961" s="14"/>
      <c r="BZ961" s="14"/>
      <c r="CA961" s="14"/>
      <c r="CB961" s="14"/>
      <c r="CC961" s="14"/>
      <c r="CD961" s="14"/>
      <c r="CE961" s="14"/>
      <c r="CF961" s="14"/>
      <c r="CG961" s="14"/>
      <c r="CH961" s="14"/>
      <c r="CI961" s="14"/>
      <c r="CJ961" s="14"/>
      <c r="CK961" s="14"/>
      <c r="CL961" s="14"/>
      <c r="CT961" s="14"/>
      <c r="CW961" s="3"/>
      <c r="DG961" s="4"/>
    </row>
    <row r="962" customFormat="false" ht="11.25" hidden="false" customHeight="true" outlineLevel="0" collapsed="false">
      <c r="A962" s="14"/>
      <c r="B962" s="15"/>
      <c r="C962" s="15"/>
      <c r="D962" s="14"/>
      <c r="E962" s="14"/>
      <c r="F962" s="14"/>
      <c r="G962" s="14"/>
      <c r="H962" s="15"/>
      <c r="I962" s="15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4"/>
      <c r="BK962" s="14"/>
      <c r="BL962" s="14"/>
      <c r="BM962" s="14"/>
      <c r="BN962" s="14"/>
      <c r="BO962" s="14"/>
      <c r="BP962" s="14"/>
      <c r="BQ962" s="14"/>
      <c r="BR962" s="14"/>
      <c r="BS962" s="14"/>
      <c r="BT962" s="14"/>
      <c r="BU962" s="14"/>
      <c r="BV962" s="14"/>
      <c r="BW962" s="14"/>
      <c r="BX962" s="14"/>
      <c r="BY962" s="14"/>
      <c r="BZ962" s="14"/>
      <c r="CA962" s="14"/>
      <c r="CB962" s="14"/>
      <c r="CC962" s="14"/>
      <c r="CD962" s="14"/>
      <c r="CE962" s="14"/>
      <c r="CF962" s="14"/>
      <c r="CG962" s="14"/>
      <c r="CH962" s="14"/>
      <c r="CI962" s="14"/>
      <c r="CJ962" s="14"/>
      <c r="CK962" s="14"/>
      <c r="CL962" s="14"/>
      <c r="CT962" s="14"/>
      <c r="CW962" s="3"/>
      <c r="DG962" s="4"/>
    </row>
    <row r="963" customFormat="false" ht="11.25" hidden="false" customHeight="true" outlineLevel="0" collapsed="false">
      <c r="A963" s="14"/>
      <c r="B963" s="15"/>
      <c r="C963" s="15"/>
      <c r="D963" s="14"/>
      <c r="E963" s="14"/>
      <c r="F963" s="14"/>
      <c r="G963" s="14"/>
      <c r="H963" s="15"/>
      <c r="I963" s="15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  <c r="BJ963" s="14"/>
      <c r="BK963" s="14"/>
      <c r="BL963" s="14"/>
      <c r="BM963" s="14"/>
      <c r="BN963" s="14"/>
      <c r="BO963" s="14"/>
      <c r="BP963" s="14"/>
      <c r="BQ963" s="14"/>
      <c r="BR963" s="14"/>
      <c r="BS963" s="14"/>
      <c r="BT963" s="14"/>
      <c r="BU963" s="14"/>
      <c r="BV963" s="14"/>
      <c r="BW963" s="14"/>
      <c r="BX963" s="14"/>
      <c r="BY963" s="14"/>
      <c r="BZ963" s="14"/>
      <c r="CA963" s="14"/>
      <c r="CB963" s="14"/>
      <c r="CC963" s="14"/>
      <c r="CD963" s="14"/>
      <c r="CE963" s="14"/>
      <c r="CF963" s="14"/>
      <c r="CG963" s="14"/>
      <c r="CH963" s="14"/>
      <c r="CI963" s="14"/>
      <c r="CJ963" s="14"/>
      <c r="CK963" s="14"/>
      <c r="CL963" s="14"/>
      <c r="CT963" s="14"/>
      <c r="CW963" s="3"/>
      <c r="DG963" s="4"/>
    </row>
    <row r="964" customFormat="false" ht="11.25" hidden="false" customHeight="true" outlineLevel="0" collapsed="false">
      <c r="A964" s="14"/>
      <c r="B964" s="15"/>
      <c r="C964" s="15"/>
      <c r="D964" s="14"/>
      <c r="E964" s="14"/>
      <c r="F964" s="14"/>
      <c r="G964" s="14"/>
      <c r="H964" s="15"/>
      <c r="I964" s="15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4"/>
      <c r="BK964" s="14"/>
      <c r="BL964" s="14"/>
      <c r="BM964" s="14"/>
      <c r="BN964" s="14"/>
      <c r="BO964" s="14"/>
      <c r="BP964" s="14"/>
      <c r="BQ964" s="14"/>
      <c r="BR964" s="14"/>
      <c r="BS964" s="14"/>
      <c r="BT964" s="14"/>
      <c r="BU964" s="14"/>
      <c r="BV964" s="14"/>
      <c r="BW964" s="14"/>
      <c r="BX964" s="14"/>
      <c r="BY964" s="14"/>
      <c r="BZ964" s="14"/>
      <c r="CA964" s="14"/>
      <c r="CB964" s="14"/>
      <c r="CC964" s="14"/>
      <c r="CD964" s="14"/>
      <c r="CE964" s="14"/>
      <c r="CF964" s="14"/>
      <c r="CG964" s="14"/>
      <c r="CH964" s="14"/>
      <c r="CI964" s="14"/>
      <c r="CJ964" s="14"/>
      <c r="CK964" s="14"/>
      <c r="CL964" s="14"/>
      <c r="CT964" s="14"/>
      <c r="CW964" s="3"/>
      <c r="DG964" s="4"/>
    </row>
    <row r="965" customFormat="false" ht="11.25" hidden="false" customHeight="true" outlineLevel="0" collapsed="false">
      <c r="A965" s="14"/>
      <c r="B965" s="15"/>
      <c r="C965" s="15"/>
      <c r="D965" s="14"/>
      <c r="E965" s="14"/>
      <c r="F965" s="14"/>
      <c r="G965" s="14"/>
      <c r="H965" s="15"/>
      <c r="I965" s="15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4"/>
      <c r="BK965" s="14"/>
      <c r="BL965" s="14"/>
      <c r="BM965" s="14"/>
      <c r="BN965" s="14"/>
      <c r="BO965" s="14"/>
      <c r="BP965" s="14"/>
      <c r="BQ965" s="14"/>
      <c r="BR965" s="14"/>
      <c r="BS965" s="14"/>
      <c r="BT965" s="14"/>
      <c r="BU965" s="14"/>
      <c r="BV965" s="14"/>
      <c r="BW965" s="14"/>
      <c r="BX965" s="14"/>
      <c r="BY965" s="14"/>
      <c r="BZ965" s="14"/>
      <c r="CA965" s="14"/>
      <c r="CB965" s="14"/>
      <c r="CC965" s="14"/>
      <c r="CD965" s="14"/>
      <c r="CE965" s="14"/>
      <c r="CF965" s="14"/>
      <c r="CG965" s="14"/>
      <c r="CH965" s="14"/>
      <c r="CI965" s="14"/>
      <c r="CJ965" s="14"/>
      <c r="CK965" s="14"/>
      <c r="CL965" s="14"/>
      <c r="CT965" s="14"/>
      <c r="CW965" s="3"/>
      <c r="DG965" s="4"/>
    </row>
    <row r="966" customFormat="false" ht="11.25" hidden="false" customHeight="true" outlineLevel="0" collapsed="false">
      <c r="A966" s="14"/>
      <c r="B966" s="15"/>
      <c r="C966" s="15"/>
      <c r="D966" s="14"/>
      <c r="E966" s="14"/>
      <c r="F966" s="14"/>
      <c r="G966" s="14"/>
      <c r="H966" s="15"/>
      <c r="I966" s="15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4"/>
      <c r="BK966" s="14"/>
      <c r="BL966" s="14"/>
      <c r="BM966" s="14"/>
      <c r="BN966" s="14"/>
      <c r="BO966" s="14"/>
      <c r="BP966" s="14"/>
      <c r="BQ966" s="14"/>
      <c r="BR966" s="14"/>
      <c r="BS966" s="14"/>
      <c r="BT966" s="14"/>
      <c r="BU966" s="14"/>
      <c r="BV966" s="14"/>
      <c r="BW966" s="14"/>
      <c r="BX966" s="14"/>
      <c r="BY966" s="14"/>
      <c r="BZ966" s="14"/>
      <c r="CA966" s="14"/>
      <c r="CB966" s="14"/>
      <c r="CC966" s="14"/>
      <c r="CD966" s="14"/>
      <c r="CE966" s="14"/>
      <c r="CF966" s="14"/>
      <c r="CG966" s="14"/>
      <c r="CH966" s="14"/>
      <c r="CI966" s="14"/>
      <c r="CJ966" s="14"/>
      <c r="CK966" s="14"/>
      <c r="CL966" s="14"/>
      <c r="CT966" s="14"/>
      <c r="CW966" s="3"/>
      <c r="DG966" s="4"/>
    </row>
    <row r="967" customFormat="false" ht="11.25" hidden="false" customHeight="true" outlineLevel="0" collapsed="false">
      <c r="A967" s="14"/>
      <c r="B967" s="15"/>
      <c r="C967" s="15"/>
      <c r="D967" s="14"/>
      <c r="E967" s="14"/>
      <c r="F967" s="14"/>
      <c r="G967" s="14"/>
      <c r="H967" s="15"/>
      <c r="I967" s="15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  <c r="BJ967" s="14"/>
      <c r="BK967" s="14"/>
      <c r="BL967" s="14"/>
      <c r="BM967" s="14"/>
      <c r="BN967" s="14"/>
      <c r="BO967" s="14"/>
      <c r="BP967" s="14"/>
      <c r="BQ967" s="14"/>
      <c r="BR967" s="14"/>
      <c r="BS967" s="14"/>
      <c r="BT967" s="14"/>
      <c r="BU967" s="14"/>
      <c r="BV967" s="14"/>
      <c r="BW967" s="14"/>
      <c r="BX967" s="14"/>
      <c r="BY967" s="14"/>
      <c r="BZ967" s="14"/>
      <c r="CA967" s="14"/>
      <c r="CB967" s="14"/>
      <c r="CC967" s="14"/>
      <c r="CD967" s="14"/>
      <c r="CE967" s="14"/>
      <c r="CF967" s="14"/>
      <c r="CG967" s="14"/>
      <c r="CH967" s="14"/>
      <c r="CI967" s="14"/>
      <c r="CJ967" s="14"/>
      <c r="CK967" s="14"/>
      <c r="CL967" s="14"/>
      <c r="CT967" s="14"/>
      <c r="CW967" s="3"/>
      <c r="DG967" s="4"/>
    </row>
    <row r="968" customFormat="false" ht="11.25" hidden="false" customHeight="true" outlineLevel="0" collapsed="false">
      <c r="A968" s="14"/>
      <c r="B968" s="15"/>
      <c r="C968" s="15"/>
      <c r="D968" s="14"/>
      <c r="E968" s="14"/>
      <c r="F968" s="14"/>
      <c r="G968" s="14"/>
      <c r="H968" s="15"/>
      <c r="I968" s="15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4"/>
      <c r="BK968" s="14"/>
      <c r="BL968" s="14"/>
      <c r="BM968" s="14"/>
      <c r="BN968" s="14"/>
      <c r="BO968" s="14"/>
      <c r="BP968" s="14"/>
      <c r="BQ968" s="14"/>
      <c r="BR968" s="14"/>
      <c r="BS968" s="14"/>
      <c r="BT968" s="14"/>
      <c r="BU968" s="14"/>
      <c r="BV968" s="14"/>
      <c r="BW968" s="14"/>
      <c r="BX968" s="14"/>
      <c r="BY968" s="14"/>
      <c r="BZ968" s="14"/>
      <c r="CA968" s="14"/>
      <c r="CB968" s="14"/>
      <c r="CC968" s="14"/>
      <c r="CD968" s="14"/>
      <c r="CE968" s="14"/>
      <c r="CF968" s="14"/>
      <c r="CG968" s="14"/>
      <c r="CH968" s="14"/>
      <c r="CI968" s="14"/>
      <c r="CJ968" s="14"/>
      <c r="CK968" s="14"/>
      <c r="CL968" s="14"/>
      <c r="CT968" s="14"/>
      <c r="CW968" s="3"/>
      <c r="DG968" s="4"/>
    </row>
    <row r="969" customFormat="false" ht="11.25" hidden="false" customHeight="true" outlineLevel="0" collapsed="false">
      <c r="A969" s="14"/>
      <c r="B969" s="15"/>
      <c r="C969" s="15"/>
      <c r="D969" s="14"/>
      <c r="E969" s="14"/>
      <c r="F969" s="14"/>
      <c r="G969" s="14"/>
      <c r="H969" s="15"/>
      <c r="I969" s="15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4"/>
      <c r="BK969" s="14"/>
      <c r="BL969" s="14"/>
      <c r="BM969" s="14"/>
      <c r="BN969" s="14"/>
      <c r="BO969" s="14"/>
      <c r="BP969" s="14"/>
      <c r="BQ969" s="14"/>
      <c r="BR969" s="14"/>
      <c r="BS969" s="14"/>
      <c r="BT969" s="14"/>
      <c r="BU969" s="14"/>
      <c r="BV969" s="14"/>
      <c r="BW969" s="14"/>
      <c r="BX969" s="14"/>
      <c r="BY969" s="14"/>
      <c r="BZ969" s="14"/>
      <c r="CA969" s="14"/>
      <c r="CB969" s="14"/>
      <c r="CC969" s="14"/>
      <c r="CD969" s="14"/>
      <c r="CE969" s="14"/>
      <c r="CF969" s="14"/>
      <c r="CG969" s="14"/>
      <c r="CH969" s="14"/>
      <c r="CI969" s="14"/>
      <c r="CJ969" s="14"/>
      <c r="CK969" s="14"/>
      <c r="CL969" s="14"/>
      <c r="CT969" s="14"/>
      <c r="CW969" s="3"/>
      <c r="DG969" s="4"/>
    </row>
    <row r="970" customFormat="false" ht="11.25" hidden="false" customHeight="true" outlineLevel="0" collapsed="false">
      <c r="A970" s="14"/>
      <c r="B970" s="15"/>
      <c r="C970" s="15"/>
      <c r="D970" s="14"/>
      <c r="E970" s="14"/>
      <c r="F970" s="14"/>
      <c r="G970" s="14"/>
      <c r="H970" s="15"/>
      <c r="I970" s="15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  <c r="BJ970" s="14"/>
      <c r="BK970" s="14"/>
      <c r="BL970" s="14"/>
      <c r="BM970" s="14"/>
      <c r="BN970" s="14"/>
      <c r="BO970" s="14"/>
      <c r="BP970" s="14"/>
      <c r="BQ970" s="14"/>
      <c r="BR970" s="14"/>
      <c r="BS970" s="14"/>
      <c r="BT970" s="14"/>
      <c r="BU970" s="14"/>
      <c r="BV970" s="14"/>
      <c r="BW970" s="14"/>
      <c r="BX970" s="14"/>
      <c r="BY970" s="14"/>
      <c r="BZ970" s="14"/>
      <c r="CA970" s="14"/>
      <c r="CB970" s="14"/>
      <c r="CC970" s="14"/>
      <c r="CD970" s="14"/>
      <c r="CE970" s="14"/>
      <c r="CF970" s="14"/>
      <c r="CG970" s="14"/>
      <c r="CH970" s="14"/>
      <c r="CI970" s="14"/>
      <c r="CJ970" s="14"/>
      <c r="CK970" s="14"/>
      <c r="CL970" s="14"/>
      <c r="CT970" s="14"/>
      <c r="CW970" s="3"/>
      <c r="DG970" s="4"/>
    </row>
    <row r="971" customFormat="false" ht="11.25" hidden="false" customHeight="true" outlineLevel="0" collapsed="false">
      <c r="A971" s="14"/>
      <c r="B971" s="15"/>
      <c r="C971" s="15"/>
      <c r="D971" s="14"/>
      <c r="E971" s="14"/>
      <c r="F971" s="14"/>
      <c r="G971" s="14"/>
      <c r="H971" s="15"/>
      <c r="I971" s="15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  <c r="BJ971" s="14"/>
      <c r="BK971" s="14"/>
      <c r="BL971" s="14"/>
      <c r="BM971" s="14"/>
      <c r="BN971" s="14"/>
      <c r="BO971" s="14"/>
      <c r="BP971" s="14"/>
      <c r="BQ971" s="14"/>
      <c r="BR971" s="14"/>
      <c r="BS971" s="14"/>
      <c r="BT971" s="14"/>
      <c r="BU971" s="14"/>
      <c r="BV971" s="14"/>
      <c r="BW971" s="14"/>
      <c r="BX971" s="14"/>
      <c r="BY971" s="14"/>
      <c r="BZ971" s="14"/>
      <c r="CA971" s="14"/>
      <c r="CB971" s="14"/>
      <c r="CC971" s="14"/>
      <c r="CD971" s="14"/>
      <c r="CE971" s="14"/>
      <c r="CF971" s="14"/>
      <c r="CG971" s="14"/>
      <c r="CH971" s="14"/>
      <c r="CI971" s="14"/>
      <c r="CJ971" s="14"/>
      <c r="CK971" s="14"/>
      <c r="CL971" s="14"/>
      <c r="CT971" s="14"/>
      <c r="CW971" s="3"/>
      <c r="DG971" s="4"/>
    </row>
    <row r="972" customFormat="false" ht="11.25" hidden="false" customHeight="true" outlineLevel="0" collapsed="false">
      <c r="A972" s="14"/>
      <c r="B972" s="15"/>
      <c r="C972" s="15"/>
      <c r="D972" s="14"/>
      <c r="E972" s="14"/>
      <c r="F972" s="14"/>
      <c r="G972" s="14"/>
      <c r="H972" s="15"/>
      <c r="I972" s="15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  <c r="BJ972" s="14"/>
      <c r="BK972" s="14"/>
      <c r="BL972" s="14"/>
      <c r="BM972" s="14"/>
      <c r="BN972" s="14"/>
      <c r="BO972" s="14"/>
      <c r="BP972" s="14"/>
      <c r="BQ972" s="14"/>
      <c r="BR972" s="14"/>
      <c r="BS972" s="14"/>
      <c r="BT972" s="14"/>
      <c r="BU972" s="14"/>
      <c r="BV972" s="14"/>
      <c r="BW972" s="14"/>
      <c r="BX972" s="14"/>
      <c r="BY972" s="14"/>
      <c r="BZ972" s="14"/>
      <c r="CA972" s="14"/>
      <c r="CB972" s="14"/>
      <c r="CC972" s="14"/>
      <c r="CD972" s="14"/>
      <c r="CE972" s="14"/>
      <c r="CF972" s="14"/>
      <c r="CG972" s="14"/>
      <c r="CH972" s="14"/>
      <c r="CI972" s="14"/>
      <c r="CJ972" s="14"/>
      <c r="CK972" s="14"/>
      <c r="CL972" s="14"/>
      <c r="CT972" s="14"/>
      <c r="CW972" s="3"/>
      <c r="DG972" s="4"/>
    </row>
    <row r="973" customFormat="false" ht="11.25" hidden="false" customHeight="true" outlineLevel="0" collapsed="false">
      <c r="A973" s="14"/>
      <c r="B973" s="15"/>
      <c r="C973" s="15"/>
      <c r="D973" s="14"/>
      <c r="E973" s="14"/>
      <c r="F973" s="14"/>
      <c r="G973" s="14"/>
      <c r="H973" s="15"/>
      <c r="I973" s="15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/>
      <c r="BJ973" s="14"/>
      <c r="BK973" s="14"/>
      <c r="BL973" s="14"/>
      <c r="BM973" s="14"/>
      <c r="BN973" s="14"/>
      <c r="BO973" s="14"/>
      <c r="BP973" s="14"/>
      <c r="BQ973" s="14"/>
      <c r="BR973" s="14"/>
      <c r="BS973" s="14"/>
      <c r="BT973" s="14"/>
      <c r="BU973" s="14"/>
      <c r="BV973" s="14"/>
      <c r="BW973" s="14"/>
      <c r="BX973" s="14"/>
      <c r="BY973" s="14"/>
      <c r="BZ973" s="14"/>
      <c r="CA973" s="14"/>
      <c r="CB973" s="14"/>
      <c r="CC973" s="14"/>
      <c r="CD973" s="14"/>
      <c r="CE973" s="14"/>
      <c r="CF973" s="14"/>
      <c r="CG973" s="14"/>
      <c r="CH973" s="14"/>
      <c r="CI973" s="14"/>
      <c r="CJ973" s="14"/>
      <c r="CK973" s="14"/>
      <c r="CL973" s="14"/>
      <c r="CT973" s="14"/>
      <c r="CW973" s="3"/>
      <c r="DG973" s="4"/>
    </row>
    <row r="974" customFormat="false" ht="11.25" hidden="false" customHeight="true" outlineLevel="0" collapsed="false">
      <c r="A974" s="14"/>
      <c r="B974" s="15"/>
      <c r="C974" s="15"/>
      <c r="D974" s="14"/>
      <c r="E974" s="14"/>
      <c r="F974" s="14"/>
      <c r="G974" s="14"/>
      <c r="H974" s="15"/>
      <c r="I974" s="15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  <c r="BJ974" s="14"/>
      <c r="BK974" s="14"/>
      <c r="BL974" s="14"/>
      <c r="BM974" s="14"/>
      <c r="BN974" s="14"/>
      <c r="BO974" s="14"/>
      <c r="BP974" s="14"/>
      <c r="BQ974" s="14"/>
      <c r="BR974" s="14"/>
      <c r="BS974" s="14"/>
      <c r="BT974" s="14"/>
      <c r="BU974" s="14"/>
      <c r="BV974" s="14"/>
      <c r="BW974" s="14"/>
      <c r="BX974" s="14"/>
      <c r="BY974" s="14"/>
      <c r="BZ974" s="14"/>
      <c r="CA974" s="14"/>
      <c r="CB974" s="14"/>
      <c r="CC974" s="14"/>
      <c r="CD974" s="14"/>
      <c r="CE974" s="14"/>
      <c r="CF974" s="14"/>
      <c r="CG974" s="14"/>
      <c r="CH974" s="14"/>
      <c r="CI974" s="14"/>
      <c r="CJ974" s="14"/>
      <c r="CK974" s="14"/>
      <c r="CL974" s="14"/>
      <c r="CT974" s="14"/>
      <c r="CW974" s="3"/>
      <c r="DG974" s="4"/>
    </row>
    <row r="975" customFormat="false" ht="11.25" hidden="false" customHeight="true" outlineLevel="0" collapsed="false">
      <c r="A975" s="14"/>
      <c r="B975" s="15"/>
      <c r="C975" s="15"/>
      <c r="D975" s="14"/>
      <c r="E975" s="14"/>
      <c r="F975" s="14"/>
      <c r="G975" s="14"/>
      <c r="H975" s="15"/>
      <c r="I975" s="15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  <c r="BJ975" s="14"/>
      <c r="BK975" s="14"/>
      <c r="BL975" s="14"/>
      <c r="BM975" s="14"/>
      <c r="BN975" s="14"/>
      <c r="BO975" s="14"/>
      <c r="BP975" s="14"/>
      <c r="BQ975" s="14"/>
      <c r="BR975" s="14"/>
      <c r="BS975" s="14"/>
      <c r="BT975" s="14"/>
      <c r="BU975" s="14"/>
      <c r="BV975" s="14"/>
      <c r="BW975" s="14"/>
      <c r="BX975" s="14"/>
      <c r="BY975" s="14"/>
      <c r="BZ975" s="14"/>
      <c r="CA975" s="14"/>
      <c r="CB975" s="14"/>
      <c r="CC975" s="14"/>
      <c r="CD975" s="14"/>
      <c r="CE975" s="14"/>
      <c r="CF975" s="14"/>
      <c r="CG975" s="14"/>
      <c r="CH975" s="14"/>
      <c r="CI975" s="14"/>
      <c r="CJ975" s="14"/>
      <c r="CK975" s="14"/>
      <c r="CL975" s="14"/>
      <c r="CT975" s="14"/>
      <c r="CW975" s="3"/>
      <c r="DG975" s="4"/>
    </row>
    <row r="976" customFormat="false" ht="11.25" hidden="false" customHeight="true" outlineLevel="0" collapsed="false">
      <c r="A976" s="14"/>
      <c r="B976" s="15"/>
      <c r="C976" s="15"/>
      <c r="D976" s="14"/>
      <c r="E976" s="14"/>
      <c r="F976" s="14"/>
      <c r="G976" s="14"/>
      <c r="H976" s="15"/>
      <c r="I976" s="15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  <c r="BL976" s="14"/>
      <c r="BM976" s="14"/>
      <c r="BN976" s="14"/>
      <c r="BO976" s="14"/>
      <c r="BP976" s="14"/>
      <c r="BQ976" s="14"/>
      <c r="BR976" s="14"/>
      <c r="BS976" s="14"/>
      <c r="BT976" s="14"/>
      <c r="BU976" s="14"/>
      <c r="BV976" s="14"/>
      <c r="BW976" s="14"/>
      <c r="BX976" s="14"/>
      <c r="BY976" s="14"/>
      <c r="BZ976" s="14"/>
      <c r="CA976" s="14"/>
      <c r="CB976" s="14"/>
      <c r="CC976" s="14"/>
      <c r="CD976" s="14"/>
      <c r="CE976" s="14"/>
      <c r="CF976" s="14"/>
      <c r="CG976" s="14"/>
      <c r="CH976" s="14"/>
      <c r="CI976" s="14"/>
      <c r="CJ976" s="14"/>
      <c r="CK976" s="14"/>
      <c r="CL976" s="14"/>
      <c r="CT976" s="14"/>
      <c r="CW976" s="3"/>
      <c r="DG976" s="4"/>
    </row>
    <row r="977" customFormat="false" ht="11.25" hidden="false" customHeight="true" outlineLevel="0" collapsed="false">
      <c r="A977" s="14"/>
      <c r="B977" s="15"/>
      <c r="C977" s="15"/>
      <c r="D977" s="14"/>
      <c r="E977" s="14"/>
      <c r="F977" s="14"/>
      <c r="G977" s="14"/>
      <c r="H977" s="15"/>
      <c r="I977" s="15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4"/>
      <c r="BK977" s="14"/>
      <c r="BL977" s="14"/>
      <c r="BM977" s="14"/>
      <c r="BN977" s="14"/>
      <c r="BO977" s="14"/>
      <c r="BP977" s="14"/>
      <c r="BQ977" s="14"/>
      <c r="BR977" s="14"/>
      <c r="BS977" s="14"/>
      <c r="BT977" s="14"/>
      <c r="BU977" s="14"/>
      <c r="BV977" s="14"/>
      <c r="BW977" s="14"/>
      <c r="BX977" s="14"/>
      <c r="BY977" s="14"/>
      <c r="BZ977" s="14"/>
      <c r="CA977" s="14"/>
      <c r="CB977" s="14"/>
      <c r="CC977" s="14"/>
      <c r="CD977" s="14"/>
      <c r="CE977" s="14"/>
      <c r="CF977" s="14"/>
      <c r="CG977" s="14"/>
      <c r="CH977" s="14"/>
      <c r="CI977" s="14"/>
      <c r="CJ977" s="14"/>
      <c r="CK977" s="14"/>
      <c r="CL977" s="14"/>
      <c r="CT977" s="14"/>
      <c r="CW977" s="3"/>
      <c r="DG977" s="4"/>
    </row>
    <row r="978" customFormat="false" ht="11.25" hidden="false" customHeight="true" outlineLevel="0" collapsed="false">
      <c r="A978" s="14"/>
      <c r="B978" s="15"/>
      <c r="C978" s="15"/>
      <c r="D978" s="14"/>
      <c r="E978" s="14"/>
      <c r="F978" s="14"/>
      <c r="G978" s="14"/>
      <c r="H978" s="15"/>
      <c r="I978" s="15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  <c r="BJ978" s="14"/>
      <c r="BK978" s="14"/>
      <c r="BL978" s="14"/>
      <c r="BM978" s="14"/>
      <c r="BN978" s="14"/>
      <c r="BO978" s="14"/>
      <c r="BP978" s="14"/>
      <c r="BQ978" s="14"/>
      <c r="BR978" s="14"/>
      <c r="BS978" s="14"/>
      <c r="BT978" s="14"/>
      <c r="BU978" s="14"/>
      <c r="BV978" s="14"/>
      <c r="BW978" s="14"/>
      <c r="BX978" s="14"/>
      <c r="BY978" s="14"/>
      <c r="BZ978" s="14"/>
      <c r="CA978" s="14"/>
      <c r="CB978" s="14"/>
      <c r="CC978" s="14"/>
      <c r="CD978" s="14"/>
      <c r="CE978" s="14"/>
      <c r="CF978" s="14"/>
      <c r="CG978" s="14"/>
      <c r="CH978" s="14"/>
      <c r="CI978" s="14"/>
      <c r="CJ978" s="14"/>
      <c r="CK978" s="14"/>
      <c r="CL978" s="14"/>
      <c r="CT978" s="14"/>
      <c r="CW978" s="3"/>
      <c r="DG978" s="4"/>
    </row>
    <row r="979" customFormat="false" ht="11.25" hidden="false" customHeight="true" outlineLevel="0" collapsed="false">
      <c r="A979" s="14"/>
      <c r="B979" s="15"/>
      <c r="C979" s="15"/>
      <c r="D979" s="14"/>
      <c r="E979" s="14"/>
      <c r="F979" s="14"/>
      <c r="G979" s="14"/>
      <c r="H979" s="15"/>
      <c r="I979" s="15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4"/>
      <c r="BK979" s="14"/>
      <c r="BL979" s="14"/>
      <c r="BM979" s="14"/>
      <c r="BN979" s="14"/>
      <c r="BO979" s="14"/>
      <c r="BP979" s="14"/>
      <c r="BQ979" s="14"/>
      <c r="BR979" s="14"/>
      <c r="BS979" s="14"/>
      <c r="BT979" s="14"/>
      <c r="BU979" s="14"/>
      <c r="BV979" s="14"/>
      <c r="BW979" s="14"/>
      <c r="BX979" s="14"/>
      <c r="BY979" s="14"/>
      <c r="BZ979" s="14"/>
      <c r="CA979" s="14"/>
      <c r="CB979" s="14"/>
      <c r="CC979" s="14"/>
      <c r="CD979" s="14"/>
      <c r="CE979" s="14"/>
      <c r="CF979" s="14"/>
      <c r="CG979" s="14"/>
      <c r="CH979" s="14"/>
      <c r="CI979" s="14"/>
      <c r="CJ979" s="14"/>
      <c r="CK979" s="14"/>
      <c r="CL979" s="14"/>
      <c r="CT979" s="14"/>
      <c r="CW979" s="3"/>
      <c r="DG979" s="4"/>
    </row>
    <row r="980" customFormat="false" ht="11.25" hidden="false" customHeight="true" outlineLevel="0" collapsed="false">
      <c r="A980" s="14"/>
      <c r="B980" s="15"/>
      <c r="C980" s="15"/>
      <c r="D980" s="14"/>
      <c r="E980" s="14"/>
      <c r="F980" s="14"/>
      <c r="G980" s="14"/>
      <c r="H980" s="15"/>
      <c r="I980" s="15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/>
      <c r="BJ980" s="14"/>
      <c r="BK980" s="14"/>
      <c r="BL980" s="14"/>
      <c r="BM980" s="14"/>
      <c r="BN980" s="14"/>
      <c r="BO980" s="14"/>
      <c r="BP980" s="14"/>
      <c r="BQ980" s="14"/>
      <c r="BR980" s="14"/>
      <c r="BS980" s="14"/>
      <c r="BT980" s="14"/>
      <c r="BU980" s="14"/>
      <c r="BV980" s="14"/>
      <c r="BW980" s="14"/>
      <c r="BX980" s="14"/>
      <c r="BY980" s="14"/>
      <c r="BZ980" s="14"/>
      <c r="CA980" s="14"/>
      <c r="CB980" s="14"/>
      <c r="CC980" s="14"/>
      <c r="CD980" s="14"/>
      <c r="CE980" s="14"/>
      <c r="CF980" s="14"/>
      <c r="CG980" s="14"/>
      <c r="CH980" s="14"/>
      <c r="CI980" s="14"/>
      <c r="CJ980" s="14"/>
      <c r="CK980" s="14"/>
      <c r="CL980" s="14"/>
      <c r="CT980" s="14"/>
      <c r="CW980" s="3"/>
      <c r="DG980" s="4"/>
    </row>
    <row r="981" customFormat="false" ht="11.25" hidden="false" customHeight="true" outlineLevel="0" collapsed="false">
      <c r="A981" s="14"/>
      <c r="B981" s="15"/>
      <c r="C981" s="15"/>
      <c r="D981" s="14"/>
      <c r="E981" s="14"/>
      <c r="F981" s="14"/>
      <c r="G981" s="14"/>
      <c r="H981" s="15"/>
      <c r="I981" s="15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  <c r="BH981" s="14"/>
      <c r="BI981" s="14"/>
      <c r="BJ981" s="14"/>
      <c r="BK981" s="14"/>
      <c r="BL981" s="14"/>
      <c r="BM981" s="14"/>
      <c r="BN981" s="14"/>
      <c r="BO981" s="14"/>
      <c r="BP981" s="14"/>
      <c r="BQ981" s="14"/>
      <c r="BR981" s="14"/>
      <c r="BS981" s="14"/>
      <c r="BT981" s="14"/>
      <c r="BU981" s="14"/>
      <c r="BV981" s="14"/>
      <c r="BW981" s="14"/>
      <c r="BX981" s="14"/>
      <c r="BY981" s="14"/>
      <c r="BZ981" s="14"/>
      <c r="CA981" s="14"/>
      <c r="CB981" s="14"/>
      <c r="CC981" s="14"/>
      <c r="CD981" s="14"/>
      <c r="CE981" s="14"/>
      <c r="CF981" s="14"/>
      <c r="CG981" s="14"/>
      <c r="CH981" s="14"/>
      <c r="CI981" s="14"/>
      <c r="CJ981" s="14"/>
      <c r="CK981" s="14"/>
      <c r="CL981" s="14"/>
      <c r="CT981" s="14"/>
      <c r="CW981" s="3"/>
      <c r="DG981" s="4"/>
    </row>
    <row r="982" customFormat="false" ht="11.25" hidden="false" customHeight="true" outlineLevel="0" collapsed="false">
      <c r="A982" s="14"/>
      <c r="B982" s="15"/>
      <c r="C982" s="15"/>
      <c r="D982" s="14"/>
      <c r="E982" s="14"/>
      <c r="F982" s="14"/>
      <c r="G982" s="14"/>
      <c r="H982" s="15"/>
      <c r="I982" s="15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  <c r="BH982" s="14"/>
      <c r="BI982" s="14"/>
      <c r="BJ982" s="14"/>
      <c r="BK982" s="14"/>
      <c r="BL982" s="14"/>
      <c r="BM982" s="14"/>
      <c r="BN982" s="14"/>
      <c r="BO982" s="14"/>
      <c r="BP982" s="14"/>
      <c r="BQ982" s="14"/>
      <c r="BR982" s="14"/>
      <c r="BS982" s="14"/>
      <c r="BT982" s="14"/>
      <c r="BU982" s="14"/>
      <c r="BV982" s="14"/>
      <c r="BW982" s="14"/>
      <c r="BX982" s="14"/>
      <c r="BY982" s="14"/>
      <c r="BZ982" s="14"/>
      <c r="CA982" s="14"/>
      <c r="CB982" s="14"/>
      <c r="CC982" s="14"/>
      <c r="CD982" s="14"/>
      <c r="CE982" s="14"/>
      <c r="CF982" s="14"/>
      <c r="CG982" s="14"/>
      <c r="CH982" s="14"/>
      <c r="CI982" s="14"/>
      <c r="CJ982" s="14"/>
      <c r="CK982" s="14"/>
      <c r="CL982" s="14"/>
      <c r="CT982" s="14"/>
      <c r="CW982" s="3"/>
      <c r="DG982" s="4"/>
    </row>
    <row r="983" customFormat="false" ht="11.25" hidden="false" customHeight="true" outlineLevel="0" collapsed="false">
      <c r="A983" s="14"/>
      <c r="B983" s="15"/>
      <c r="C983" s="15"/>
      <c r="D983" s="14"/>
      <c r="E983" s="14"/>
      <c r="F983" s="14"/>
      <c r="G983" s="14"/>
      <c r="H983" s="15"/>
      <c r="I983" s="15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  <c r="BH983" s="14"/>
      <c r="BI983" s="14"/>
      <c r="BJ983" s="14"/>
      <c r="BK983" s="14"/>
      <c r="BL983" s="14"/>
      <c r="BM983" s="14"/>
      <c r="BN983" s="14"/>
      <c r="BO983" s="14"/>
      <c r="BP983" s="14"/>
      <c r="BQ983" s="14"/>
      <c r="BR983" s="14"/>
      <c r="BS983" s="14"/>
      <c r="BT983" s="14"/>
      <c r="BU983" s="14"/>
      <c r="BV983" s="14"/>
      <c r="BW983" s="14"/>
      <c r="BX983" s="14"/>
      <c r="BY983" s="14"/>
      <c r="BZ983" s="14"/>
      <c r="CA983" s="14"/>
      <c r="CB983" s="14"/>
      <c r="CC983" s="14"/>
      <c r="CD983" s="14"/>
      <c r="CE983" s="14"/>
      <c r="CF983" s="14"/>
      <c r="CG983" s="14"/>
      <c r="CH983" s="14"/>
      <c r="CI983" s="14"/>
      <c r="CJ983" s="14"/>
      <c r="CK983" s="14"/>
      <c r="CL983" s="14"/>
      <c r="CT983" s="14"/>
      <c r="CW983" s="3"/>
      <c r="DG983" s="4"/>
    </row>
    <row r="984" customFormat="false" ht="11.25" hidden="false" customHeight="true" outlineLevel="0" collapsed="false">
      <c r="A984" s="14"/>
      <c r="B984" s="15"/>
      <c r="C984" s="15"/>
      <c r="D984" s="14"/>
      <c r="E984" s="14"/>
      <c r="F984" s="14"/>
      <c r="G984" s="14"/>
      <c r="H984" s="15"/>
      <c r="I984" s="15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  <c r="BJ984" s="14"/>
      <c r="BK984" s="14"/>
      <c r="BL984" s="14"/>
      <c r="BM984" s="14"/>
      <c r="BN984" s="14"/>
      <c r="BO984" s="14"/>
      <c r="BP984" s="14"/>
      <c r="BQ984" s="14"/>
      <c r="BR984" s="14"/>
      <c r="BS984" s="14"/>
      <c r="BT984" s="14"/>
      <c r="BU984" s="14"/>
      <c r="BV984" s="14"/>
      <c r="BW984" s="14"/>
      <c r="BX984" s="14"/>
      <c r="BY984" s="14"/>
      <c r="BZ984" s="14"/>
      <c r="CA984" s="14"/>
      <c r="CB984" s="14"/>
      <c r="CC984" s="14"/>
      <c r="CD984" s="14"/>
      <c r="CE984" s="14"/>
      <c r="CF984" s="14"/>
      <c r="CG984" s="14"/>
      <c r="CH984" s="14"/>
      <c r="CI984" s="14"/>
      <c r="CJ984" s="14"/>
      <c r="CK984" s="14"/>
      <c r="CL984" s="14"/>
      <c r="CT984" s="14"/>
      <c r="CW984" s="3"/>
      <c r="DG984" s="4"/>
    </row>
    <row r="985" customFormat="false" ht="11.25" hidden="false" customHeight="true" outlineLevel="0" collapsed="false">
      <c r="A985" s="14"/>
      <c r="B985" s="15"/>
      <c r="C985" s="15"/>
      <c r="D985" s="14"/>
      <c r="E985" s="14"/>
      <c r="F985" s="14"/>
      <c r="G985" s="14"/>
      <c r="H985" s="15"/>
      <c r="I985" s="15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/>
      <c r="BJ985" s="14"/>
      <c r="BK985" s="14"/>
      <c r="BL985" s="14"/>
      <c r="BM985" s="14"/>
      <c r="BN985" s="14"/>
      <c r="BO985" s="14"/>
      <c r="BP985" s="14"/>
      <c r="BQ985" s="14"/>
      <c r="BR985" s="14"/>
      <c r="BS985" s="14"/>
      <c r="BT985" s="14"/>
      <c r="BU985" s="14"/>
      <c r="BV985" s="14"/>
      <c r="BW985" s="14"/>
      <c r="BX985" s="14"/>
      <c r="BY985" s="14"/>
      <c r="BZ985" s="14"/>
      <c r="CA985" s="14"/>
      <c r="CB985" s="14"/>
      <c r="CC985" s="14"/>
      <c r="CD985" s="14"/>
      <c r="CE985" s="14"/>
      <c r="CF985" s="14"/>
      <c r="CG985" s="14"/>
      <c r="CH985" s="14"/>
      <c r="CI985" s="14"/>
      <c r="CJ985" s="14"/>
      <c r="CK985" s="14"/>
      <c r="CL985" s="14"/>
      <c r="CT985" s="14"/>
      <c r="CW985" s="3"/>
      <c r="DG985" s="4"/>
    </row>
    <row r="986" customFormat="false" ht="11.25" hidden="false" customHeight="true" outlineLevel="0" collapsed="false">
      <c r="A986" s="14"/>
      <c r="B986" s="15"/>
      <c r="C986" s="15"/>
      <c r="D986" s="14"/>
      <c r="E986" s="14"/>
      <c r="F986" s="14"/>
      <c r="G986" s="14"/>
      <c r="H986" s="15"/>
      <c r="I986" s="15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  <c r="BH986" s="14"/>
      <c r="BI986" s="14"/>
      <c r="BJ986" s="14"/>
      <c r="BK986" s="14"/>
      <c r="BL986" s="14"/>
      <c r="BM986" s="14"/>
      <c r="BN986" s="14"/>
      <c r="BO986" s="14"/>
      <c r="BP986" s="14"/>
      <c r="BQ986" s="14"/>
      <c r="BR986" s="14"/>
      <c r="BS986" s="14"/>
      <c r="BT986" s="14"/>
      <c r="BU986" s="14"/>
      <c r="BV986" s="14"/>
      <c r="BW986" s="14"/>
      <c r="BX986" s="14"/>
      <c r="BY986" s="14"/>
      <c r="BZ986" s="14"/>
      <c r="CA986" s="14"/>
      <c r="CB986" s="14"/>
      <c r="CC986" s="14"/>
      <c r="CD986" s="14"/>
      <c r="CE986" s="14"/>
      <c r="CF986" s="14"/>
      <c r="CG986" s="14"/>
      <c r="CH986" s="14"/>
      <c r="CI986" s="14"/>
      <c r="CJ986" s="14"/>
      <c r="CK986" s="14"/>
      <c r="CL986" s="14"/>
      <c r="CT986" s="14"/>
      <c r="CW986" s="3"/>
      <c r="DG986" s="4"/>
    </row>
    <row r="987" customFormat="false" ht="11.25" hidden="false" customHeight="true" outlineLevel="0" collapsed="false">
      <c r="A987" s="14"/>
      <c r="B987" s="15"/>
      <c r="C987" s="15"/>
      <c r="D987" s="14"/>
      <c r="E987" s="14"/>
      <c r="F987" s="14"/>
      <c r="G987" s="14"/>
      <c r="H987" s="15"/>
      <c r="I987" s="15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4"/>
      <c r="BK987" s="14"/>
      <c r="BL987" s="14"/>
      <c r="BM987" s="14"/>
      <c r="BN987" s="14"/>
      <c r="BO987" s="14"/>
      <c r="BP987" s="14"/>
      <c r="BQ987" s="14"/>
      <c r="BR987" s="14"/>
      <c r="BS987" s="14"/>
      <c r="BT987" s="14"/>
      <c r="BU987" s="14"/>
      <c r="BV987" s="14"/>
      <c r="BW987" s="14"/>
      <c r="BX987" s="14"/>
      <c r="BY987" s="14"/>
      <c r="BZ987" s="14"/>
      <c r="CA987" s="14"/>
      <c r="CB987" s="14"/>
      <c r="CC987" s="14"/>
      <c r="CD987" s="14"/>
      <c r="CE987" s="14"/>
      <c r="CF987" s="14"/>
      <c r="CG987" s="14"/>
      <c r="CH987" s="14"/>
      <c r="CI987" s="14"/>
      <c r="CJ987" s="14"/>
      <c r="CK987" s="14"/>
      <c r="CL987" s="14"/>
      <c r="CT987" s="14"/>
      <c r="CW987" s="3"/>
      <c r="DG987" s="4"/>
    </row>
    <row r="988" customFormat="false" ht="11.25" hidden="false" customHeight="true" outlineLevel="0" collapsed="false">
      <c r="A988" s="14"/>
      <c r="B988" s="15"/>
      <c r="C988" s="15"/>
      <c r="D988" s="14"/>
      <c r="E988" s="14"/>
      <c r="F988" s="14"/>
      <c r="G988" s="14"/>
      <c r="H988" s="15"/>
      <c r="I988" s="15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/>
      <c r="BJ988" s="14"/>
      <c r="BK988" s="14"/>
      <c r="BL988" s="14"/>
      <c r="BM988" s="14"/>
      <c r="BN988" s="14"/>
      <c r="BO988" s="14"/>
      <c r="BP988" s="14"/>
      <c r="BQ988" s="14"/>
      <c r="BR988" s="14"/>
      <c r="BS988" s="14"/>
      <c r="BT988" s="14"/>
      <c r="BU988" s="14"/>
      <c r="BV988" s="14"/>
      <c r="BW988" s="14"/>
      <c r="BX988" s="14"/>
      <c r="BY988" s="14"/>
      <c r="BZ988" s="14"/>
      <c r="CA988" s="14"/>
      <c r="CB988" s="14"/>
      <c r="CC988" s="14"/>
      <c r="CD988" s="14"/>
      <c r="CE988" s="14"/>
      <c r="CF988" s="14"/>
      <c r="CG988" s="14"/>
      <c r="CH988" s="14"/>
      <c r="CI988" s="14"/>
      <c r="CJ988" s="14"/>
      <c r="CK988" s="14"/>
      <c r="CL988" s="14"/>
      <c r="CT988" s="14"/>
      <c r="CW988" s="3"/>
      <c r="DG988" s="4"/>
    </row>
    <row r="989" customFormat="false" ht="11.25" hidden="false" customHeight="true" outlineLevel="0" collapsed="false">
      <c r="A989" s="14"/>
      <c r="B989" s="15"/>
      <c r="C989" s="15"/>
      <c r="D989" s="14"/>
      <c r="E989" s="14"/>
      <c r="F989" s="14"/>
      <c r="G989" s="14"/>
      <c r="H989" s="15"/>
      <c r="I989" s="15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  <c r="BJ989" s="14"/>
      <c r="BK989" s="14"/>
      <c r="BL989" s="14"/>
      <c r="BM989" s="14"/>
      <c r="BN989" s="14"/>
      <c r="BO989" s="14"/>
      <c r="BP989" s="14"/>
      <c r="BQ989" s="14"/>
      <c r="BR989" s="14"/>
      <c r="BS989" s="14"/>
      <c r="BT989" s="14"/>
      <c r="BU989" s="14"/>
      <c r="BV989" s="14"/>
      <c r="BW989" s="14"/>
      <c r="BX989" s="14"/>
      <c r="BY989" s="14"/>
      <c r="BZ989" s="14"/>
      <c r="CA989" s="14"/>
      <c r="CB989" s="14"/>
      <c r="CC989" s="14"/>
      <c r="CD989" s="14"/>
      <c r="CE989" s="14"/>
      <c r="CF989" s="14"/>
      <c r="CG989" s="14"/>
      <c r="CH989" s="14"/>
      <c r="CI989" s="14"/>
      <c r="CJ989" s="14"/>
      <c r="CK989" s="14"/>
      <c r="CL989" s="14"/>
      <c r="CT989" s="14"/>
      <c r="CW989" s="3"/>
      <c r="DG989" s="4"/>
    </row>
    <row r="990" customFormat="false" ht="11.25" hidden="false" customHeight="true" outlineLevel="0" collapsed="false">
      <c r="A990" s="14"/>
      <c r="B990" s="15"/>
      <c r="C990" s="15"/>
      <c r="D990" s="14"/>
      <c r="E990" s="14"/>
      <c r="F990" s="14"/>
      <c r="G990" s="14"/>
      <c r="H990" s="15"/>
      <c r="I990" s="15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4"/>
      <c r="BK990" s="14"/>
      <c r="BL990" s="14"/>
      <c r="BM990" s="14"/>
      <c r="BN990" s="14"/>
      <c r="BO990" s="14"/>
      <c r="BP990" s="14"/>
      <c r="BQ990" s="14"/>
      <c r="BR990" s="14"/>
      <c r="BS990" s="14"/>
      <c r="BT990" s="14"/>
      <c r="BU990" s="14"/>
      <c r="BV990" s="14"/>
      <c r="BW990" s="14"/>
      <c r="BX990" s="14"/>
      <c r="BY990" s="14"/>
      <c r="BZ990" s="14"/>
      <c r="CA990" s="14"/>
      <c r="CB990" s="14"/>
      <c r="CC990" s="14"/>
      <c r="CD990" s="14"/>
      <c r="CE990" s="14"/>
      <c r="CF990" s="14"/>
      <c r="CG990" s="14"/>
      <c r="CH990" s="14"/>
      <c r="CI990" s="14"/>
      <c r="CJ990" s="14"/>
      <c r="CK990" s="14"/>
      <c r="CL990" s="14"/>
      <c r="CT990" s="14"/>
      <c r="CW990" s="3"/>
      <c r="DG990" s="4"/>
    </row>
    <row r="991" customFormat="false" ht="11.25" hidden="false" customHeight="true" outlineLevel="0" collapsed="false">
      <c r="A991" s="14"/>
      <c r="B991" s="15"/>
      <c r="C991" s="15"/>
      <c r="D991" s="14"/>
      <c r="E991" s="14"/>
      <c r="F991" s="14"/>
      <c r="G991" s="14"/>
      <c r="H991" s="15"/>
      <c r="I991" s="15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4"/>
      <c r="BG991" s="14"/>
      <c r="BH991" s="14"/>
      <c r="BI991" s="14"/>
      <c r="BJ991" s="14"/>
      <c r="BK991" s="14"/>
      <c r="BL991" s="14"/>
      <c r="BM991" s="14"/>
      <c r="BN991" s="14"/>
      <c r="BO991" s="14"/>
      <c r="BP991" s="14"/>
      <c r="BQ991" s="14"/>
      <c r="BR991" s="14"/>
      <c r="BS991" s="14"/>
      <c r="BT991" s="14"/>
      <c r="BU991" s="14"/>
      <c r="BV991" s="14"/>
      <c r="BW991" s="14"/>
      <c r="BX991" s="14"/>
      <c r="BY991" s="14"/>
      <c r="BZ991" s="14"/>
      <c r="CA991" s="14"/>
      <c r="CB991" s="14"/>
      <c r="CC991" s="14"/>
      <c r="CD991" s="14"/>
      <c r="CE991" s="14"/>
      <c r="CF991" s="14"/>
      <c r="CG991" s="14"/>
      <c r="CH991" s="14"/>
      <c r="CI991" s="14"/>
      <c r="CJ991" s="14"/>
      <c r="CK991" s="14"/>
      <c r="CL991" s="14"/>
      <c r="CT991" s="14"/>
      <c r="CW991" s="3"/>
      <c r="DG991" s="4"/>
    </row>
    <row r="992" customFormat="false" ht="11.25" hidden="false" customHeight="true" outlineLevel="0" collapsed="false">
      <c r="A992" s="14"/>
      <c r="B992" s="15"/>
      <c r="C992" s="15"/>
      <c r="D992" s="14"/>
      <c r="E992" s="14"/>
      <c r="F992" s="14"/>
      <c r="G992" s="14"/>
      <c r="H992" s="15"/>
      <c r="I992" s="15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  <c r="BH992" s="14"/>
      <c r="BI992" s="14"/>
      <c r="BJ992" s="14"/>
      <c r="BK992" s="14"/>
      <c r="BL992" s="14"/>
      <c r="BM992" s="14"/>
      <c r="BN992" s="14"/>
      <c r="BO992" s="14"/>
      <c r="BP992" s="14"/>
      <c r="BQ992" s="14"/>
      <c r="BR992" s="14"/>
      <c r="BS992" s="14"/>
      <c r="BT992" s="14"/>
      <c r="BU992" s="14"/>
      <c r="BV992" s="14"/>
      <c r="BW992" s="14"/>
      <c r="BX992" s="14"/>
      <c r="BY992" s="14"/>
      <c r="BZ992" s="14"/>
      <c r="CA992" s="14"/>
      <c r="CB992" s="14"/>
      <c r="CC992" s="14"/>
      <c r="CD992" s="14"/>
      <c r="CE992" s="14"/>
      <c r="CF992" s="14"/>
      <c r="CG992" s="14"/>
      <c r="CH992" s="14"/>
      <c r="CI992" s="14"/>
      <c r="CJ992" s="14"/>
      <c r="CK992" s="14"/>
      <c r="CL992" s="14"/>
      <c r="CT992" s="14"/>
      <c r="CW992" s="3"/>
      <c r="DG992" s="4"/>
    </row>
    <row r="993" customFormat="false" ht="11.25" hidden="false" customHeight="true" outlineLevel="0" collapsed="false">
      <c r="A993" s="14"/>
      <c r="B993" s="15"/>
      <c r="C993" s="15"/>
      <c r="D993" s="14"/>
      <c r="E993" s="14"/>
      <c r="F993" s="14"/>
      <c r="G993" s="14"/>
      <c r="H993" s="15"/>
      <c r="I993" s="15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/>
      <c r="BJ993" s="14"/>
      <c r="BK993" s="14"/>
      <c r="BL993" s="14"/>
      <c r="BM993" s="14"/>
      <c r="BN993" s="14"/>
      <c r="BO993" s="14"/>
      <c r="BP993" s="14"/>
      <c r="BQ993" s="14"/>
      <c r="BR993" s="14"/>
      <c r="BS993" s="14"/>
      <c r="BT993" s="14"/>
      <c r="BU993" s="14"/>
      <c r="BV993" s="14"/>
      <c r="BW993" s="14"/>
      <c r="BX993" s="14"/>
      <c r="BY993" s="14"/>
      <c r="BZ993" s="14"/>
      <c r="CA993" s="14"/>
      <c r="CB993" s="14"/>
      <c r="CC993" s="14"/>
      <c r="CD993" s="14"/>
      <c r="CE993" s="14"/>
      <c r="CF993" s="14"/>
      <c r="CG993" s="14"/>
      <c r="CH993" s="14"/>
      <c r="CI993" s="14"/>
      <c r="CJ993" s="14"/>
      <c r="CK993" s="14"/>
      <c r="CL993" s="14"/>
      <c r="CT993" s="14"/>
      <c r="CW993" s="3"/>
      <c r="DG993" s="4"/>
    </row>
    <row r="994" customFormat="false" ht="11.25" hidden="false" customHeight="true" outlineLevel="0" collapsed="false">
      <c r="A994" s="14"/>
      <c r="B994" s="15"/>
      <c r="C994" s="15"/>
      <c r="D994" s="14"/>
      <c r="E994" s="14"/>
      <c r="F994" s="14"/>
      <c r="G994" s="14"/>
      <c r="H994" s="15"/>
      <c r="I994" s="15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  <c r="BH994" s="14"/>
      <c r="BI994" s="14"/>
      <c r="BJ994" s="14"/>
      <c r="BK994" s="14"/>
      <c r="BL994" s="14"/>
      <c r="BM994" s="14"/>
      <c r="BN994" s="14"/>
      <c r="BO994" s="14"/>
      <c r="BP994" s="14"/>
      <c r="BQ994" s="14"/>
      <c r="BR994" s="14"/>
      <c r="BS994" s="14"/>
      <c r="BT994" s="14"/>
      <c r="BU994" s="14"/>
      <c r="BV994" s="14"/>
      <c r="BW994" s="14"/>
      <c r="BX994" s="14"/>
      <c r="BY994" s="14"/>
      <c r="BZ994" s="14"/>
      <c r="CA994" s="14"/>
      <c r="CB994" s="14"/>
      <c r="CC994" s="14"/>
      <c r="CD994" s="14"/>
      <c r="CE994" s="14"/>
      <c r="CF994" s="14"/>
      <c r="CG994" s="14"/>
      <c r="CH994" s="14"/>
      <c r="CI994" s="14"/>
      <c r="CJ994" s="14"/>
      <c r="CK994" s="14"/>
      <c r="CL994" s="14"/>
      <c r="CT994" s="14"/>
      <c r="CW994" s="3"/>
      <c r="DG994" s="4"/>
    </row>
    <row r="995" customFormat="false" ht="11.25" hidden="false" customHeight="true" outlineLevel="0" collapsed="false">
      <c r="A995" s="14"/>
      <c r="B995" s="15"/>
      <c r="C995" s="15"/>
      <c r="D995" s="14"/>
      <c r="E995" s="14"/>
      <c r="F995" s="14"/>
      <c r="G995" s="14"/>
      <c r="H995" s="15"/>
      <c r="I995" s="15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4"/>
      <c r="BG995" s="14"/>
      <c r="BH995" s="14"/>
      <c r="BI995" s="14"/>
      <c r="BJ995" s="14"/>
      <c r="BK995" s="14"/>
      <c r="BL995" s="14"/>
      <c r="BM995" s="14"/>
      <c r="BN995" s="14"/>
      <c r="BO995" s="14"/>
      <c r="BP995" s="14"/>
      <c r="BQ995" s="14"/>
      <c r="BR995" s="14"/>
      <c r="BS995" s="14"/>
      <c r="BT995" s="14"/>
      <c r="BU995" s="14"/>
      <c r="BV995" s="14"/>
      <c r="BW995" s="14"/>
      <c r="BX995" s="14"/>
      <c r="BY995" s="14"/>
      <c r="BZ995" s="14"/>
      <c r="CA995" s="14"/>
      <c r="CB995" s="14"/>
      <c r="CC995" s="14"/>
      <c r="CD995" s="14"/>
      <c r="CE995" s="14"/>
      <c r="CF995" s="14"/>
      <c r="CG995" s="14"/>
      <c r="CH995" s="14"/>
      <c r="CI995" s="14"/>
      <c r="CJ995" s="14"/>
      <c r="CK995" s="14"/>
      <c r="CL995" s="14"/>
      <c r="CT995" s="14"/>
      <c r="CW995" s="3"/>
      <c r="DG995" s="4"/>
    </row>
    <row r="996" customFormat="false" ht="11.25" hidden="false" customHeight="true" outlineLevel="0" collapsed="false">
      <c r="A996" s="14"/>
      <c r="B996" s="15"/>
      <c r="C996" s="15"/>
      <c r="D996" s="14"/>
      <c r="E996" s="14"/>
      <c r="F996" s="14"/>
      <c r="G996" s="14"/>
      <c r="H996" s="15"/>
      <c r="I996" s="15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  <c r="BH996" s="14"/>
      <c r="BI996" s="14"/>
      <c r="BJ996" s="14"/>
      <c r="BK996" s="14"/>
      <c r="BL996" s="14"/>
      <c r="BM996" s="14"/>
      <c r="BN996" s="14"/>
      <c r="BO996" s="14"/>
      <c r="BP996" s="14"/>
      <c r="BQ996" s="14"/>
      <c r="BR996" s="14"/>
      <c r="BS996" s="14"/>
      <c r="BT996" s="14"/>
      <c r="BU996" s="14"/>
      <c r="BV996" s="14"/>
      <c r="BW996" s="14"/>
      <c r="BX996" s="14"/>
      <c r="BY996" s="14"/>
      <c r="BZ996" s="14"/>
      <c r="CA996" s="14"/>
      <c r="CB996" s="14"/>
      <c r="CC996" s="14"/>
      <c r="CD996" s="14"/>
      <c r="CE996" s="14"/>
      <c r="CF996" s="14"/>
      <c r="CG996" s="14"/>
      <c r="CH996" s="14"/>
      <c r="CI996" s="14"/>
      <c r="CJ996" s="14"/>
      <c r="CK996" s="14"/>
      <c r="CL996" s="14"/>
      <c r="CT996" s="14"/>
      <c r="CW996" s="3"/>
      <c r="DG996" s="4"/>
    </row>
    <row r="997" customFormat="false" ht="11.25" hidden="false" customHeight="true" outlineLevel="0" collapsed="false">
      <c r="A997" s="14"/>
      <c r="B997" s="15"/>
      <c r="C997" s="15"/>
      <c r="D997" s="14"/>
      <c r="E997" s="14"/>
      <c r="F997" s="14"/>
      <c r="G997" s="14"/>
      <c r="H997" s="15"/>
      <c r="I997" s="15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  <c r="BJ997" s="14"/>
      <c r="BK997" s="14"/>
      <c r="BL997" s="14"/>
      <c r="BM997" s="14"/>
      <c r="BN997" s="14"/>
      <c r="BO997" s="14"/>
      <c r="BP997" s="14"/>
      <c r="BQ997" s="14"/>
      <c r="BR997" s="14"/>
      <c r="BS997" s="14"/>
      <c r="BT997" s="14"/>
      <c r="BU997" s="14"/>
      <c r="BV997" s="14"/>
      <c r="BW997" s="14"/>
      <c r="BX997" s="14"/>
      <c r="BY997" s="14"/>
      <c r="BZ997" s="14"/>
      <c r="CA997" s="14"/>
      <c r="CB997" s="14"/>
      <c r="CC997" s="14"/>
      <c r="CD997" s="14"/>
      <c r="CE997" s="14"/>
      <c r="CF997" s="14"/>
      <c r="CG997" s="14"/>
      <c r="CH997" s="14"/>
      <c r="CI997" s="14"/>
      <c r="CJ997" s="14"/>
      <c r="CK997" s="14"/>
      <c r="CL997" s="14"/>
      <c r="CT997" s="14"/>
      <c r="CW997" s="3"/>
      <c r="DG997" s="4"/>
    </row>
    <row r="998" customFormat="false" ht="11.25" hidden="false" customHeight="true" outlineLevel="0" collapsed="false">
      <c r="A998" s="14"/>
      <c r="B998" s="15"/>
      <c r="C998" s="15"/>
      <c r="D998" s="14"/>
      <c r="E998" s="14"/>
      <c r="F998" s="14"/>
      <c r="G998" s="14"/>
      <c r="H998" s="15"/>
      <c r="I998" s="15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  <c r="BH998" s="14"/>
      <c r="BI998" s="14"/>
      <c r="BJ998" s="14"/>
      <c r="BK998" s="14"/>
      <c r="BL998" s="14"/>
      <c r="BM998" s="14"/>
      <c r="BN998" s="14"/>
      <c r="BO998" s="14"/>
      <c r="BP998" s="14"/>
      <c r="BQ998" s="14"/>
      <c r="BR998" s="14"/>
      <c r="BS998" s="14"/>
      <c r="BT998" s="14"/>
      <c r="BU998" s="14"/>
      <c r="BV998" s="14"/>
      <c r="BW998" s="14"/>
      <c r="BX998" s="14"/>
      <c r="BY998" s="14"/>
      <c r="BZ998" s="14"/>
      <c r="CA998" s="14"/>
      <c r="CB998" s="14"/>
      <c r="CC998" s="14"/>
      <c r="CD998" s="14"/>
      <c r="CE998" s="14"/>
      <c r="CF998" s="14"/>
      <c r="CG998" s="14"/>
      <c r="CH998" s="14"/>
      <c r="CI998" s="14"/>
      <c r="CJ998" s="14"/>
      <c r="CK998" s="14"/>
      <c r="CL998" s="14"/>
      <c r="CT998" s="14"/>
      <c r="CW998" s="3"/>
      <c r="DG998" s="4"/>
    </row>
    <row r="999" customFormat="false" ht="11.25" hidden="false" customHeight="true" outlineLevel="0" collapsed="false">
      <c r="A999" s="14"/>
      <c r="B999" s="15"/>
      <c r="C999" s="15"/>
      <c r="D999" s="14"/>
      <c r="E999" s="14"/>
      <c r="F999" s="14"/>
      <c r="G999" s="14"/>
      <c r="H999" s="15"/>
      <c r="I999" s="15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4"/>
      <c r="BF999" s="14"/>
      <c r="BG999" s="14"/>
      <c r="BH999" s="14"/>
      <c r="BI999" s="14"/>
      <c r="BJ999" s="14"/>
      <c r="BK999" s="14"/>
      <c r="BL999" s="14"/>
      <c r="BM999" s="14"/>
      <c r="BN999" s="14"/>
      <c r="BO999" s="14"/>
      <c r="BP999" s="14"/>
      <c r="BQ999" s="14"/>
      <c r="BR999" s="14"/>
      <c r="BS999" s="14"/>
      <c r="BT999" s="14"/>
      <c r="BU999" s="14"/>
      <c r="BV999" s="14"/>
      <c r="BW999" s="14"/>
      <c r="BX999" s="14"/>
      <c r="BY999" s="14"/>
      <c r="BZ999" s="14"/>
      <c r="CA999" s="14"/>
      <c r="CB999" s="14"/>
      <c r="CC999" s="14"/>
      <c r="CD999" s="14"/>
      <c r="CE999" s="14"/>
      <c r="CF999" s="14"/>
      <c r="CG999" s="14"/>
      <c r="CH999" s="14"/>
      <c r="CI999" s="14"/>
      <c r="CJ999" s="14"/>
      <c r="CK999" s="14"/>
      <c r="CL999" s="14"/>
      <c r="CT999" s="14"/>
      <c r="CW999" s="3"/>
      <c r="DG999" s="4"/>
    </row>
    <row r="1000" customFormat="false" ht="11.25" hidden="false" customHeight="true" outlineLevel="0" collapsed="false">
      <c r="A1000" s="14"/>
      <c r="B1000" s="15"/>
      <c r="C1000" s="15"/>
      <c r="D1000" s="14"/>
      <c r="E1000" s="14"/>
      <c r="F1000" s="14"/>
      <c r="G1000" s="14"/>
      <c r="H1000" s="15"/>
      <c r="I1000" s="15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4"/>
      <c r="BG1000" s="14"/>
      <c r="BH1000" s="14"/>
      <c r="BI1000" s="14"/>
      <c r="BJ1000" s="14"/>
      <c r="BK1000" s="14"/>
      <c r="BL1000" s="14"/>
      <c r="BM1000" s="14"/>
      <c r="BN1000" s="14"/>
      <c r="BO1000" s="14"/>
      <c r="BP1000" s="14"/>
      <c r="BQ1000" s="14"/>
      <c r="BR1000" s="14"/>
      <c r="BS1000" s="14"/>
      <c r="BT1000" s="14"/>
      <c r="BU1000" s="14"/>
      <c r="BV1000" s="14"/>
      <c r="BW1000" s="14"/>
      <c r="BX1000" s="14"/>
      <c r="BY1000" s="14"/>
      <c r="BZ1000" s="14"/>
      <c r="CA1000" s="14"/>
      <c r="CB1000" s="14"/>
      <c r="CC1000" s="14"/>
      <c r="CD1000" s="14"/>
      <c r="CE1000" s="14"/>
      <c r="CF1000" s="14"/>
      <c r="CG1000" s="14"/>
      <c r="CH1000" s="14"/>
      <c r="CI1000" s="14"/>
      <c r="CJ1000" s="14"/>
      <c r="CK1000" s="14"/>
      <c r="CL1000" s="14"/>
      <c r="CT1000" s="14"/>
      <c r="CW1000" s="3"/>
      <c r="DG1000" s="4"/>
    </row>
    <row r="1001" customFormat="false" ht="11.25" hidden="false" customHeight="true" outlineLevel="0" collapsed="false">
      <c r="A1001" s="14"/>
      <c r="B1001" s="15"/>
      <c r="C1001" s="15"/>
      <c r="D1001" s="14"/>
      <c r="E1001" s="14"/>
      <c r="F1001" s="14"/>
      <c r="G1001" s="14"/>
      <c r="H1001" s="15"/>
      <c r="I1001" s="15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14"/>
      <c r="AX1001" s="14"/>
      <c r="AY1001" s="14"/>
      <c r="AZ1001" s="14"/>
      <c r="BA1001" s="14"/>
      <c r="BB1001" s="14"/>
      <c r="BC1001" s="14"/>
      <c r="BD1001" s="14"/>
      <c r="BE1001" s="14"/>
      <c r="BF1001" s="14"/>
      <c r="BG1001" s="14"/>
      <c r="BH1001" s="14"/>
      <c r="BI1001" s="14"/>
      <c r="BJ1001" s="14"/>
      <c r="BK1001" s="14"/>
      <c r="BL1001" s="14"/>
      <c r="BM1001" s="14"/>
      <c r="BN1001" s="14"/>
      <c r="BO1001" s="14"/>
      <c r="BP1001" s="14"/>
      <c r="BQ1001" s="14"/>
      <c r="BR1001" s="14"/>
      <c r="BS1001" s="14"/>
      <c r="BT1001" s="14"/>
      <c r="BU1001" s="14"/>
      <c r="BV1001" s="14"/>
      <c r="BW1001" s="14"/>
      <c r="BX1001" s="14"/>
      <c r="BY1001" s="14"/>
      <c r="BZ1001" s="14"/>
      <c r="CA1001" s="14"/>
      <c r="CB1001" s="14"/>
      <c r="CC1001" s="14"/>
      <c r="CD1001" s="14"/>
      <c r="CE1001" s="14"/>
      <c r="CF1001" s="14"/>
      <c r="CG1001" s="14"/>
      <c r="CH1001" s="14"/>
      <c r="CI1001" s="14"/>
      <c r="CJ1001" s="14"/>
      <c r="CK1001" s="14"/>
      <c r="CL1001" s="14"/>
      <c r="CT1001" s="14"/>
      <c r="CW1001" s="3"/>
      <c r="DG1001" s="4"/>
    </row>
    <row r="1002" customFormat="false" ht="11.25" hidden="false" customHeight="true" outlineLevel="0" collapsed="false">
      <c r="A1002" s="14"/>
      <c r="B1002" s="15"/>
      <c r="C1002" s="15"/>
      <c r="D1002" s="14"/>
      <c r="E1002" s="14"/>
      <c r="F1002" s="14"/>
      <c r="G1002" s="14"/>
      <c r="H1002" s="15"/>
      <c r="I1002" s="15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14"/>
      <c r="AX1002" s="14"/>
      <c r="AY1002" s="14"/>
      <c r="AZ1002" s="14"/>
      <c r="BA1002" s="14"/>
      <c r="BB1002" s="14"/>
      <c r="BC1002" s="14"/>
      <c r="BD1002" s="14"/>
      <c r="BE1002" s="14"/>
      <c r="BF1002" s="14"/>
      <c r="BG1002" s="14"/>
      <c r="BH1002" s="14"/>
      <c r="BI1002" s="14"/>
      <c r="BJ1002" s="14"/>
      <c r="BK1002" s="14"/>
      <c r="BL1002" s="14"/>
      <c r="BM1002" s="14"/>
      <c r="BN1002" s="14"/>
      <c r="BO1002" s="14"/>
      <c r="BP1002" s="14"/>
      <c r="BQ1002" s="14"/>
      <c r="BR1002" s="14"/>
      <c r="BS1002" s="14"/>
      <c r="BT1002" s="14"/>
      <c r="BU1002" s="14"/>
      <c r="BV1002" s="14"/>
      <c r="BW1002" s="14"/>
      <c r="BX1002" s="14"/>
      <c r="BY1002" s="14"/>
      <c r="BZ1002" s="14"/>
      <c r="CA1002" s="14"/>
      <c r="CB1002" s="14"/>
      <c r="CC1002" s="14"/>
      <c r="CD1002" s="14"/>
      <c r="CE1002" s="14"/>
      <c r="CF1002" s="14"/>
      <c r="CG1002" s="14"/>
      <c r="CH1002" s="14"/>
      <c r="CI1002" s="14"/>
      <c r="CJ1002" s="14"/>
      <c r="CK1002" s="14"/>
      <c r="CL1002" s="14"/>
      <c r="CT1002" s="14"/>
      <c r="CW1002" s="3"/>
      <c r="DG1002" s="4"/>
    </row>
    <row r="1003" customFormat="false" ht="11.25" hidden="false" customHeight="true" outlineLevel="0" collapsed="false">
      <c r="A1003" s="14"/>
      <c r="B1003" s="15"/>
      <c r="C1003" s="15"/>
      <c r="D1003" s="14"/>
      <c r="E1003" s="14"/>
      <c r="F1003" s="14"/>
      <c r="G1003" s="14"/>
      <c r="H1003" s="15"/>
      <c r="I1003" s="15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/>
      <c r="AW1003" s="14"/>
      <c r="AX1003" s="14"/>
      <c r="AY1003" s="14"/>
      <c r="AZ1003" s="14"/>
      <c r="BA1003" s="14"/>
      <c r="BB1003" s="14"/>
      <c r="BC1003" s="14"/>
      <c r="BD1003" s="14"/>
      <c r="BE1003" s="14"/>
      <c r="BF1003" s="14"/>
      <c r="BG1003" s="14"/>
      <c r="BH1003" s="14"/>
      <c r="BI1003" s="14"/>
      <c r="BJ1003" s="14"/>
      <c r="BK1003" s="14"/>
      <c r="BL1003" s="14"/>
      <c r="BM1003" s="14"/>
      <c r="BN1003" s="14"/>
      <c r="BO1003" s="14"/>
      <c r="BP1003" s="14"/>
      <c r="BQ1003" s="14"/>
      <c r="BR1003" s="14"/>
      <c r="BS1003" s="14"/>
      <c r="BT1003" s="14"/>
      <c r="BU1003" s="14"/>
      <c r="BV1003" s="14"/>
      <c r="BW1003" s="14"/>
      <c r="BX1003" s="14"/>
      <c r="BY1003" s="14"/>
      <c r="BZ1003" s="14"/>
      <c r="CA1003" s="14"/>
      <c r="CB1003" s="14"/>
      <c r="CC1003" s="14"/>
      <c r="CD1003" s="14"/>
      <c r="CE1003" s="14"/>
      <c r="CF1003" s="14"/>
      <c r="CG1003" s="14"/>
      <c r="CH1003" s="14"/>
      <c r="CI1003" s="14"/>
      <c r="CJ1003" s="14"/>
      <c r="CK1003" s="14"/>
      <c r="CL1003" s="14"/>
      <c r="CT1003" s="14"/>
      <c r="CW1003" s="3"/>
      <c r="DG1003" s="4"/>
    </row>
    <row r="1004" customFormat="false" ht="11.25" hidden="false" customHeight="true" outlineLevel="0" collapsed="false">
      <c r="A1004" s="14"/>
      <c r="B1004" s="15"/>
      <c r="C1004" s="15"/>
      <c r="D1004" s="14"/>
      <c r="E1004" s="14"/>
      <c r="F1004" s="14"/>
      <c r="G1004" s="14"/>
      <c r="H1004" s="15"/>
      <c r="I1004" s="15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4"/>
      <c r="AX1004" s="14"/>
      <c r="AY1004" s="14"/>
      <c r="AZ1004" s="14"/>
      <c r="BA1004" s="14"/>
      <c r="BB1004" s="14"/>
      <c r="BC1004" s="14"/>
      <c r="BD1004" s="14"/>
      <c r="BE1004" s="14"/>
      <c r="BF1004" s="14"/>
      <c r="BG1004" s="14"/>
      <c r="BH1004" s="14"/>
      <c r="BI1004" s="14"/>
      <c r="BJ1004" s="14"/>
      <c r="BK1004" s="14"/>
      <c r="BL1004" s="14"/>
      <c r="BM1004" s="14"/>
      <c r="BN1004" s="14"/>
      <c r="BO1004" s="14"/>
      <c r="BP1004" s="14"/>
      <c r="BQ1004" s="14"/>
      <c r="BR1004" s="14"/>
      <c r="BS1004" s="14"/>
      <c r="BT1004" s="14"/>
      <c r="BU1004" s="14"/>
      <c r="BV1004" s="14"/>
      <c r="BW1004" s="14"/>
      <c r="BX1004" s="14"/>
      <c r="BY1004" s="14"/>
      <c r="BZ1004" s="14"/>
      <c r="CA1004" s="14"/>
      <c r="CB1004" s="14"/>
      <c r="CC1004" s="14"/>
      <c r="CD1004" s="14"/>
      <c r="CE1004" s="14"/>
      <c r="CF1004" s="14"/>
      <c r="CG1004" s="14"/>
      <c r="CH1004" s="14"/>
      <c r="CI1004" s="14"/>
      <c r="CJ1004" s="14"/>
      <c r="CK1004" s="14"/>
      <c r="CL1004" s="14"/>
      <c r="CT1004" s="14"/>
      <c r="CW1004" s="3"/>
      <c r="DG1004" s="4"/>
    </row>
    <row r="1005" customFormat="false" ht="11.25" hidden="false" customHeight="true" outlineLevel="0" collapsed="false">
      <c r="A1005" s="14"/>
      <c r="B1005" s="15"/>
      <c r="C1005" s="15"/>
      <c r="D1005" s="14"/>
      <c r="E1005" s="14"/>
      <c r="F1005" s="14"/>
      <c r="G1005" s="14"/>
      <c r="H1005" s="15"/>
      <c r="I1005" s="15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14"/>
      <c r="AU1005" s="14"/>
      <c r="AV1005" s="14"/>
      <c r="AW1005" s="14"/>
      <c r="AX1005" s="14"/>
      <c r="AY1005" s="14"/>
      <c r="AZ1005" s="14"/>
      <c r="BA1005" s="14"/>
      <c r="BB1005" s="14"/>
      <c r="BC1005" s="14"/>
      <c r="BD1005" s="14"/>
      <c r="BE1005" s="14"/>
      <c r="BF1005" s="14"/>
      <c r="BG1005" s="14"/>
      <c r="BH1005" s="14"/>
      <c r="BI1005" s="14"/>
      <c r="BJ1005" s="14"/>
      <c r="BK1005" s="14"/>
      <c r="BL1005" s="14"/>
      <c r="BM1005" s="14"/>
      <c r="BN1005" s="14"/>
      <c r="BO1005" s="14"/>
      <c r="BP1005" s="14"/>
      <c r="BQ1005" s="14"/>
      <c r="BR1005" s="14"/>
      <c r="BS1005" s="14"/>
      <c r="BT1005" s="14"/>
      <c r="BU1005" s="14"/>
      <c r="BV1005" s="14"/>
      <c r="BW1005" s="14"/>
      <c r="BX1005" s="14"/>
      <c r="BY1005" s="14"/>
      <c r="BZ1005" s="14"/>
      <c r="CA1005" s="14"/>
      <c r="CB1005" s="14"/>
      <c r="CC1005" s="14"/>
      <c r="CD1005" s="14"/>
      <c r="CE1005" s="14"/>
      <c r="CF1005" s="14"/>
      <c r="CG1005" s="14"/>
      <c r="CH1005" s="14"/>
      <c r="CI1005" s="14"/>
      <c r="CJ1005" s="14"/>
      <c r="CK1005" s="14"/>
      <c r="CL1005" s="14"/>
      <c r="CT1005" s="14"/>
      <c r="CW1005" s="3"/>
      <c r="DG1005" s="4"/>
    </row>
    <row r="1006" customFormat="false" ht="11.25" hidden="false" customHeight="true" outlineLevel="0" collapsed="false">
      <c r="A1006" s="14"/>
      <c r="B1006" s="15"/>
      <c r="C1006" s="15"/>
      <c r="D1006" s="14"/>
      <c r="E1006" s="14"/>
      <c r="F1006" s="14"/>
      <c r="G1006" s="14"/>
      <c r="H1006" s="15"/>
      <c r="I1006" s="15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14"/>
      <c r="AU1006" s="14"/>
      <c r="AV1006" s="14"/>
      <c r="AW1006" s="14"/>
      <c r="AX1006" s="14"/>
      <c r="AY1006" s="14"/>
      <c r="AZ1006" s="14"/>
      <c r="BA1006" s="14"/>
      <c r="BB1006" s="14"/>
      <c r="BC1006" s="14"/>
      <c r="BD1006" s="14"/>
      <c r="BE1006" s="14"/>
      <c r="BF1006" s="14"/>
      <c r="BG1006" s="14"/>
      <c r="BH1006" s="14"/>
      <c r="BI1006" s="14"/>
      <c r="BJ1006" s="14"/>
      <c r="BK1006" s="14"/>
      <c r="BL1006" s="14"/>
      <c r="BM1006" s="14"/>
      <c r="BN1006" s="14"/>
      <c r="BO1006" s="14"/>
      <c r="BP1006" s="14"/>
      <c r="BQ1006" s="14"/>
      <c r="BR1006" s="14"/>
      <c r="BS1006" s="14"/>
      <c r="BT1006" s="14"/>
      <c r="BU1006" s="14"/>
      <c r="BV1006" s="14"/>
      <c r="BW1006" s="14"/>
      <c r="BX1006" s="14"/>
      <c r="BY1006" s="14"/>
      <c r="BZ1006" s="14"/>
      <c r="CA1006" s="14"/>
      <c r="CB1006" s="14"/>
      <c r="CC1006" s="14"/>
      <c r="CD1006" s="14"/>
      <c r="CE1006" s="14"/>
      <c r="CF1006" s="14"/>
      <c r="CG1006" s="14"/>
      <c r="CH1006" s="14"/>
      <c r="CI1006" s="14"/>
      <c r="CJ1006" s="14"/>
      <c r="CK1006" s="14"/>
      <c r="CL1006" s="14"/>
      <c r="CT1006" s="14"/>
      <c r="CW1006" s="3"/>
      <c r="DG1006" s="4"/>
    </row>
    <row r="1007" customFormat="false" ht="11.25" hidden="false" customHeight="true" outlineLevel="0" collapsed="false">
      <c r="A1007" s="14"/>
      <c r="B1007" s="15"/>
      <c r="C1007" s="15"/>
      <c r="D1007" s="14"/>
      <c r="E1007" s="14"/>
      <c r="F1007" s="14"/>
      <c r="G1007" s="14"/>
      <c r="H1007" s="15"/>
      <c r="I1007" s="15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14"/>
      <c r="AU1007" s="14"/>
      <c r="AV1007" s="14"/>
      <c r="AW1007" s="14"/>
      <c r="AX1007" s="14"/>
      <c r="AY1007" s="14"/>
      <c r="AZ1007" s="14"/>
      <c r="BA1007" s="14"/>
      <c r="BB1007" s="14"/>
      <c r="BC1007" s="14"/>
      <c r="BD1007" s="14"/>
      <c r="BE1007" s="14"/>
      <c r="BF1007" s="14"/>
      <c r="BG1007" s="14"/>
      <c r="BH1007" s="14"/>
      <c r="BI1007" s="14"/>
      <c r="BJ1007" s="14"/>
      <c r="BK1007" s="14"/>
      <c r="BL1007" s="14"/>
      <c r="BM1007" s="14"/>
      <c r="BN1007" s="14"/>
      <c r="BO1007" s="14"/>
      <c r="BP1007" s="14"/>
      <c r="BQ1007" s="14"/>
      <c r="BR1007" s="14"/>
      <c r="BS1007" s="14"/>
      <c r="BT1007" s="14"/>
      <c r="BU1007" s="14"/>
      <c r="BV1007" s="14"/>
      <c r="BW1007" s="14"/>
      <c r="BX1007" s="14"/>
      <c r="BY1007" s="14"/>
      <c r="BZ1007" s="14"/>
      <c r="CA1007" s="14"/>
      <c r="CB1007" s="14"/>
      <c r="CC1007" s="14"/>
      <c r="CD1007" s="14"/>
      <c r="CE1007" s="14"/>
      <c r="CF1007" s="14"/>
      <c r="CG1007" s="14"/>
      <c r="CH1007" s="14"/>
      <c r="CI1007" s="14"/>
      <c r="CJ1007" s="14"/>
      <c r="CK1007" s="14"/>
      <c r="CL1007" s="14"/>
      <c r="CT1007" s="14"/>
      <c r="CW1007" s="3"/>
      <c r="DG1007" s="4"/>
    </row>
    <row r="1008" customFormat="false" ht="11.25" hidden="false" customHeight="true" outlineLevel="0" collapsed="false">
      <c r="A1008" s="14"/>
      <c r="B1008" s="15"/>
      <c r="C1008" s="15"/>
      <c r="D1008" s="14"/>
      <c r="E1008" s="14"/>
      <c r="F1008" s="14"/>
      <c r="G1008" s="14"/>
      <c r="H1008" s="15"/>
      <c r="I1008" s="15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14"/>
      <c r="AU1008" s="14"/>
      <c r="AV1008" s="14"/>
      <c r="AW1008" s="14"/>
      <c r="AX1008" s="14"/>
      <c r="AY1008" s="14"/>
      <c r="AZ1008" s="14"/>
      <c r="BA1008" s="14"/>
      <c r="BB1008" s="14"/>
      <c r="BC1008" s="14"/>
      <c r="BD1008" s="14"/>
      <c r="BE1008" s="14"/>
      <c r="BF1008" s="14"/>
      <c r="BG1008" s="14"/>
      <c r="BH1008" s="14"/>
      <c r="BI1008" s="14"/>
      <c r="BJ1008" s="14"/>
      <c r="BK1008" s="14"/>
      <c r="BL1008" s="14"/>
      <c r="BM1008" s="14"/>
      <c r="BN1008" s="14"/>
      <c r="BO1008" s="14"/>
      <c r="BP1008" s="14"/>
      <c r="BQ1008" s="14"/>
      <c r="BR1008" s="14"/>
      <c r="BS1008" s="14"/>
      <c r="BT1008" s="14"/>
      <c r="BU1008" s="14"/>
      <c r="BV1008" s="14"/>
      <c r="BW1008" s="14"/>
      <c r="BX1008" s="14"/>
      <c r="BY1008" s="14"/>
      <c r="BZ1008" s="14"/>
      <c r="CA1008" s="14"/>
      <c r="CB1008" s="14"/>
      <c r="CC1008" s="14"/>
      <c r="CD1008" s="14"/>
      <c r="CE1008" s="14"/>
      <c r="CF1008" s="14"/>
      <c r="CG1008" s="14"/>
      <c r="CH1008" s="14"/>
      <c r="CI1008" s="14"/>
      <c r="CJ1008" s="14"/>
      <c r="CK1008" s="14"/>
      <c r="CL1008" s="14"/>
      <c r="CT1008" s="14"/>
      <c r="CW1008" s="3"/>
      <c r="DG1008" s="4"/>
    </row>
    <row r="1009" customFormat="false" ht="11.25" hidden="false" customHeight="true" outlineLevel="0" collapsed="false">
      <c r="A1009" s="14"/>
      <c r="B1009" s="15"/>
      <c r="C1009" s="15"/>
      <c r="D1009" s="14"/>
      <c r="E1009" s="14"/>
      <c r="F1009" s="14"/>
      <c r="G1009" s="14"/>
      <c r="H1009" s="15"/>
      <c r="I1009" s="15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14"/>
      <c r="AU1009" s="14"/>
      <c r="AV1009" s="14"/>
      <c r="AW1009" s="14"/>
      <c r="AX1009" s="14"/>
      <c r="AY1009" s="14"/>
      <c r="AZ1009" s="14"/>
      <c r="BA1009" s="14"/>
      <c r="BB1009" s="14"/>
      <c r="BC1009" s="14"/>
      <c r="BD1009" s="14"/>
      <c r="BE1009" s="14"/>
      <c r="BF1009" s="14"/>
      <c r="BG1009" s="14"/>
      <c r="BH1009" s="14"/>
      <c r="BI1009" s="14"/>
      <c r="BJ1009" s="14"/>
      <c r="BK1009" s="14"/>
      <c r="BL1009" s="14"/>
      <c r="BM1009" s="14"/>
      <c r="BN1009" s="14"/>
      <c r="BO1009" s="14"/>
      <c r="BP1009" s="14"/>
      <c r="BQ1009" s="14"/>
      <c r="BR1009" s="14"/>
      <c r="BS1009" s="14"/>
      <c r="BT1009" s="14"/>
      <c r="BU1009" s="14"/>
      <c r="BV1009" s="14"/>
      <c r="BW1009" s="14"/>
      <c r="BX1009" s="14"/>
      <c r="BY1009" s="14"/>
      <c r="BZ1009" s="14"/>
      <c r="CA1009" s="14"/>
      <c r="CB1009" s="14"/>
      <c r="CC1009" s="14"/>
      <c r="CD1009" s="14"/>
      <c r="CE1009" s="14"/>
      <c r="CF1009" s="14"/>
      <c r="CG1009" s="14"/>
      <c r="CH1009" s="14"/>
      <c r="CI1009" s="14"/>
      <c r="CJ1009" s="14"/>
      <c r="CK1009" s="14"/>
      <c r="CL1009" s="14"/>
      <c r="CT1009" s="14"/>
      <c r="CW1009" s="3"/>
      <c r="DG1009" s="4"/>
    </row>
    <row r="1010" customFormat="false" ht="11.25" hidden="false" customHeight="true" outlineLevel="0" collapsed="false">
      <c r="A1010" s="14"/>
      <c r="B1010" s="15"/>
      <c r="C1010" s="15"/>
      <c r="D1010" s="14"/>
      <c r="E1010" s="14"/>
      <c r="F1010" s="14"/>
      <c r="G1010" s="14"/>
      <c r="H1010" s="15"/>
      <c r="I1010" s="15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/>
      <c r="AU1010" s="14"/>
      <c r="AV1010" s="14"/>
      <c r="AW1010" s="14"/>
      <c r="AX1010" s="14"/>
      <c r="AY1010" s="14"/>
      <c r="AZ1010" s="14"/>
      <c r="BA1010" s="14"/>
      <c r="BB1010" s="14"/>
      <c r="BC1010" s="14"/>
      <c r="BD1010" s="14"/>
      <c r="BE1010" s="14"/>
      <c r="BF1010" s="14"/>
      <c r="BG1010" s="14"/>
      <c r="BH1010" s="14"/>
      <c r="BI1010" s="14"/>
      <c r="BJ1010" s="14"/>
      <c r="BK1010" s="14"/>
      <c r="BL1010" s="14"/>
      <c r="BM1010" s="14"/>
      <c r="BN1010" s="14"/>
      <c r="BO1010" s="14"/>
      <c r="BP1010" s="14"/>
      <c r="BQ1010" s="14"/>
      <c r="BR1010" s="14"/>
      <c r="BS1010" s="14"/>
      <c r="BT1010" s="14"/>
      <c r="BU1010" s="14"/>
      <c r="BV1010" s="14"/>
      <c r="BW1010" s="14"/>
      <c r="BX1010" s="14"/>
      <c r="BY1010" s="14"/>
      <c r="BZ1010" s="14"/>
      <c r="CA1010" s="14"/>
      <c r="CB1010" s="14"/>
      <c r="CC1010" s="14"/>
      <c r="CD1010" s="14"/>
      <c r="CE1010" s="14"/>
      <c r="CF1010" s="14"/>
      <c r="CG1010" s="14"/>
      <c r="CH1010" s="14"/>
      <c r="CI1010" s="14"/>
      <c r="CJ1010" s="14"/>
      <c r="CK1010" s="14"/>
      <c r="CL1010" s="14"/>
      <c r="CT1010" s="14"/>
      <c r="CW1010" s="3"/>
      <c r="DG1010" s="4"/>
    </row>
    <row r="1011" customFormat="false" ht="11.25" hidden="false" customHeight="true" outlineLevel="0" collapsed="false">
      <c r="A1011" s="14"/>
      <c r="B1011" s="15"/>
      <c r="C1011" s="15"/>
      <c r="D1011" s="14"/>
      <c r="E1011" s="14"/>
      <c r="F1011" s="14"/>
      <c r="G1011" s="14"/>
      <c r="H1011" s="15"/>
      <c r="I1011" s="15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14"/>
      <c r="AU1011" s="14"/>
      <c r="AV1011" s="14"/>
      <c r="AW1011" s="14"/>
      <c r="AX1011" s="14"/>
      <c r="AY1011" s="14"/>
      <c r="AZ1011" s="14"/>
      <c r="BA1011" s="14"/>
      <c r="BB1011" s="14"/>
      <c r="BC1011" s="14"/>
      <c r="BD1011" s="14"/>
      <c r="BE1011" s="14"/>
      <c r="BF1011" s="14"/>
      <c r="BG1011" s="14"/>
      <c r="BH1011" s="14"/>
      <c r="BI1011" s="14"/>
      <c r="BJ1011" s="14"/>
      <c r="BK1011" s="14"/>
      <c r="BL1011" s="14"/>
      <c r="BM1011" s="14"/>
      <c r="BN1011" s="14"/>
      <c r="BO1011" s="14"/>
      <c r="BP1011" s="14"/>
      <c r="BQ1011" s="14"/>
      <c r="BR1011" s="14"/>
      <c r="BS1011" s="14"/>
      <c r="BT1011" s="14"/>
      <c r="BU1011" s="14"/>
      <c r="BV1011" s="14"/>
      <c r="BW1011" s="14"/>
      <c r="BX1011" s="14"/>
      <c r="BY1011" s="14"/>
      <c r="BZ1011" s="14"/>
      <c r="CA1011" s="14"/>
      <c r="CB1011" s="14"/>
      <c r="CC1011" s="14"/>
      <c r="CD1011" s="14"/>
      <c r="CE1011" s="14"/>
      <c r="CF1011" s="14"/>
      <c r="CG1011" s="14"/>
      <c r="CH1011" s="14"/>
      <c r="CI1011" s="14"/>
      <c r="CJ1011" s="14"/>
      <c r="CK1011" s="14"/>
      <c r="CL1011" s="14"/>
      <c r="CT1011" s="14"/>
      <c r="CW1011" s="3"/>
      <c r="DG1011" s="4"/>
    </row>
    <row r="1012" customFormat="false" ht="11.25" hidden="false" customHeight="true" outlineLevel="0" collapsed="false">
      <c r="A1012" s="14"/>
      <c r="B1012" s="15"/>
      <c r="C1012" s="15"/>
      <c r="D1012" s="14"/>
      <c r="E1012" s="14"/>
      <c r="F1012" s="14"/>
      <c r="G1012" s="14"/>
      <c r="H1012" s="15"/>
      <c r="I1012" s="15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14"/>
      <c r="AU1012" s="14"/>
      <c r="AV1012" s="14"/>
      <c r="AW1012" s="14"/>
      <c r="AX1012" s="14"/>
      <c r="AY1012" s="14"/>
      <c r="AZ1012" s="14"/>
      <c r="BA1012" s="14"/>
      <c r="BB1012" s="14"/>
      <c r="BC1012" s="14"/>
      <c r="BD1012" s="14"/>
      <c r="BE1012" s="14"/>
      <c r="BF1012" s="14"/>
      <c r="BG1012" s="14"/>
      <c r="BH1012" s="14"/>
      <c r="BI1012" s="14"/>
      <c r="BJ1012" s="14"/>
      <c r="BK1012" s="14"/>
      <c r="BL1012" s="14"/>
      <c r="BM1012" s="14"/>
      <c r="BN1012" s="14"/>
      <c r="BO1012" s="14"/>
      <c r="BP1012" s="14"/>
      <c r="BQ1012" s="14"/>
      <c r="BR1012" s="14"/>
      <c r="BS1012" s="14"/>
      <c r="BT1012" s="14"/>
      <c r="BU1012" s="14"/>
      <c r="BV1012" s="14"/>
      <c r="BW1012" s="14"/>
      <c r="BX1012" s="14"/>
      <c r="BY1012" s="14"/>
      <c r="BZ1012" s="14"/>
      <c r="CA1012" s="14"/>
      <c r="CB1012" s="14"/>
      <c r="CC1012" s="14"/>
      <c r="CD1012" s="14"/>
      <c r="CE1012" s="14"/>
      <c r="CF1012" s="14"/>
      <c r="CG1012" s="14"/>
      <c r="CH1012" s="14"/>
      <c r="CI1012" s="14"/>
      <c r="CJ1012" s="14"/>
      <c r="CK1012" s="14"/>
      <c r="CL1012" s="14"/>
      <c r="CT1012" s="14"/>
      <c r="CW1012" s="3"/>
      <c r="DG1012" s="4"/>
    </row>
    <row r="1013" customFormat="false" ht="11.25" hidden="false" customHeight="true" outlineLevel="0" collapsed="false">
      <c r="A1013" s="14"/>
      <c r="B1013" s="15"/>
      <c r="C1013" s="15"/>
      <c r="D1013" s="14"/>
      <c r="E1013" s="14"/>
      <c r="F1013" s="14"/>
      <c r="G1013" s="14"/>
      <c r="H1013" s="15"/>
      <c r="I1013" s="15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14"/>
      <c r="AU1013" s="14"/>
      <c r="AV1013" s="14"/>
      <c r="AW1013" s="14"/>
      <c r="AX1013" s="14"/>
      <c r="AY1013" s="14"/>
      <c r="AZ1013" s="14"/>
      <c r="BA1013" s="14"/>
      <c r="BB1013" s="14"/>
      <c r="BC1013" s="14"/>
      <c r="BD1013" s="14"/>
      <c r="BE1013" s="14"/>
      <c r="BF1013" s="14"/>
      <c r="BG1013" s="14"/>
      <c r="BH1013" s="14"/>
      <c r="BI1013" s="14"/>
      <c r="BJ1013" s="14"/>
      <c r="BK1013" s="14"/>
      <c r="BL1013" s="14"/>
      <c r="BM1013" s="14"/>
      <c r="BN1013" s="14"/>
      <c r="BO1013" s="14"/>
      <c r="BP1013" s="14"/>
      <c r="BQ1013" s="14"/>
      <c r="BR1013" s="14"/>
      <c r="BS1013" s="14"/>
      <c r="BT1013" s="14"/>
      <c r="BU1013" s="14"/>
      <c r="BV1013" s="14"/>
      <c r="BW1013" s="14"/>
      <c r="BX1013" s="14"/>
      <c r="BY1013" s="14"/>
      <c r="BZ1013" s="14"/>
      <c r="CA1013" s="14"/>
      <c r="CB1013" s="14"/>
      <c r="CC1013" s="14"/>
      <c r="CD1013" s="14"/>
      <c r="CE1013" s="14"/>
      <c r="CF1013" s="14"/>
      <c r="CG1013" s="14"/>
      <c r="CH1013" s="14"/>
      <c r="CI1013" s="14"/>
      <c r="CJ1013" s="14"/>
      <c r="CK1013" s="14"/>
      <c r="CL1013" s="14"/>
      <c r="CT1013" s="14"/>
      <c r="CW1013" s="3"/>
      <c r="DG1013" s="4"/>
    </row>
    <row r="1014" customFormat="false" ht="11.25" hidden="false" customHeight="true" outlineLevel="0" collapsed="false">
      <c r="A1014" s="14"/>
      <c r="B1014" s="15"/>
      <c r="C1014" s="15"/>
      <c r="D1014" s="14"/>
      <c r="E1014" s="14"/>
      <c r="F1014" s="14"/>
      <c r="G1014" s="14"/>
      <c r="H1014" s="15"/>
      <c r="I1014" s="15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14"/>
      <c r="AU1014" s="14"/>
      <c r="AV1014" s="14"/>
      <c r="AW1014" s="14"/>
      <c r="AX1014" s="14"/>
      <c r="AY1014" s="14"/>
      <c r="AZ1014" s="14"/>
      <c r="BA1014" s="14"/>
      <c r="BB1014" s="14"/>
      <c r="BC1014" s="14"/>
      <c r="BD1014" s="14"/>
      <c r="BE1014" s="14"/>
      <c r="BF1014" s="14"/>
      <c r="BG1014" s="14"/>
      <c r="BH1014" s="14"/>
      <c r="BI1014" s="14"/>
      <c r="BJ1014" s="14"/>
      <c r="BK1014" s="14"/>
      <c r="BL1014" s="14"/>
      <c r="BM1014" s="14"/>
      <c r="BN1014" s="14"/>
      <c r="BO1014" s="14"/>
      <c r="BP1014" s="14"/>
      <c r="BQ1014" s="14"/>
      <c r="BR1014" s="14"/>
      <c r="BS1014" s="14"/>
      <c r="BT1014" s="14"/>
      <c r="BU1014" s="14"/>
      <c r="BV1014" s="14"/>
      <c r="BW1014" s="14"/>
      <c r="BX1014" s="14"/>
      <c r="BY1014" s="14"/>
      <c r="BZ1014" s="14"/>
      <c r="CA1014" s="14"/>
      <c r="CB1014" s="14"/>
      <c r="CC1014" s="14"/>
      <c r="CD1014" s="14"/>
      <c r="CE1014" s="14"/>
      <c r="CF1014" s="14"/>
      <c r="CG1014" s="14"/>
      <c r="CH1014" s="14"/>
      <c r="CI1014" s="14"/>
      <c r="CJ1014" s="14"/>
      <c r="CK1014" s="14"/>
      <c r="CL1014" s="14"/>
      <c r="CT1014" s="14"/>
      <c r="CW1014" s="3"/>
      <c r="DG1014" s="4"/>
    </row>
    <row r="1015" customFormat="false" ht="11.25" hidden="false" customHeight="true" outlineLevel="0" collapsed="false">
      <c r="A1015" s="14"/>
      <c r="B1015" s="15"/>
      <c r="C1015" s="15"/>
      <c r="D1015" s="14"/>
      <c r="E1015" s="14"/>
      <c r="F1015" s="14"/>
      <c r="G1015" s="14"/>
      <c r="H1015" s="15"/>
      <c r="I1015" s="15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14"/>
      <c r="AU1015" s="14"/>
      <c r="AV1015" s="14"/>
      <c r="AW1015" s="14"/>
      <c r="AX1015" s="14"/>
      <c r="AY1015" s="14"/>
      <c r="AZ1015" s="14"/>
      <c r="BA1015" s="14"/>
      <c r="BB1015" s="14"/>
      <c r="BC1015" s="14"/>
      <c r="BD1015" s="14"/>
      <c r="BE1015" s="14"/>
      <c r="BF1015" s="14"/>
      <c r="BG1015" s="14"/>
      <c r="BH1015" s="14"/>
      <c r="BI1015" s="14"/>
      <c r="BJ1015" s="14"/>
      <c r="BK1015" s="14"/>
      <c r="BL1015" s="14"/>
      <c r="BM1015" s="14"/>
      <c r="BN1015" s="14"/>
      <c r="BO1015" s="14"/>
      <c r="BP1015" s="14"/>
      <c r="BQ1015" s="14"/>
      <c r="BR1015" s="14"/>
      <c r="BS1015" s="14"/>
      <c r="BT1015" s="14"/>
      <c r="BU1015" s="14"/>
      <c r="BV1015" s="14"/>
      <c r="BW1015" s="14"/>
      <c r="BX1015" s="14"/>
      <c r="BY1015" s="14"/>
      <c r="BZ1015" s="14"/>
      <c r="CA1015" s="14"/>
      <c r="CB1015" s="14"/>
      <c r="CC1015" s="14"/>
      <c r="CD1015" s="14"/>
      <c r="CE1015" s="14"/>
      <c r="CF1015" s="14"/>
      <c r="CG1015" s="14"/>
      <c r="CH1015" s="14"/>
      <c r="CI1015" s="14"/>
      <c r="CJ1015" s="14"/>
      <c r="CK1015" s="14"/>
      <c r="CL1015" s="14"/>
      <c r="CT1015" s="14"/>
      <c r="CW1015" s="3"/>
      <c r="DG1015" s="4"/>
    </row>
    <row r="1016" customFormat="false" ht="11.25" hidden="false" customHeight="true" outlineLevel="0" collapsed="false">
      <c r="A1016" s="14"/>
      <c r="B1016" s="15"/>
      <c r="C1016" s="15"/>
      <c r="D1016" s="14"/>
      <c r="E1016" s="14"/>
      <c r="F1016" s="14"/>
      <c r="G1016" s="14"/>
      <c r="H1016" s="15"/>
      <c r="I1016" s="15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14"/>
      <c r="AU1016" s="14"/>
      <c r="AV1016" s="14"/>
      <c r="AW1016" s="14"/>
      <c r="AX1016" s="14"/>
      <c r="AY1016" s="14"/>
      <c r="AZ1016" s="14"/>
      <c r="BA1016" s="14"/>
      <c r="BB1016" s="14"/>
      <c r="BC1016" s="14"/>
      <c r="BD1016" s="14"/>
      <c r="BE1016" s="14"/>
      <c r="BF1016" s="14"/>
      <c r="BG1016" s="14"/>
      <c r="BH1016" s="14"/>
      <c r="BI1016" s="14"/>
      <c r="BJ1016" s="14"/>
      <c r="BK1016" s="14"/>
      <c r="BL1016" s="14"/>
      <c r="BM1016" s="14"/>
      <c r="BN1016" s="14"/>
      <c r="BO1016" s="14"/>
      <c r="BP1016" s="14"/>
      <c r="BQ1016" s="14"/>
      <c r="BR1016" s="14"/>
      <c r="BS1016" s="14"/>
      <c r="BT1016" s="14"/>
      <c r="BU1016" s="14"/>
      <c r="BV1016" s="14"/>
      <c r="BW1016" s="14"/>
      <c r="BX1016" s="14"/>
      <c r="BY1016" s="14"/>
      <c r="BZ1016" s="14"/>
      <c r="CA1016" s="14"/>
      <c r="CB1016" s="14"/>
      <c r="CC1016" s="14"/>
      <c r="CD1016" s="14"/>
      <c r="CE1016" s="14"/>
      <c r="CF1016" s="14"/>
      <c r="CG1016" s="14"/>
      <c r="CH1016" s="14"/>
      <c r="CI1016" s="14"/>
      <c r="CJ1016" s="14"/>
      <c r="CK1016" s="14"/>
      <c r="CL1016" s="14"/>
      <c r="CT1016" s="14"/>
      <c r="CW1016" s="3"/>
      <c r="DG1016" s="4"/>
    </row>
    <row r="1017" customFormat="false" ht="11.25" hidden="false" customHeight="true" outlineLevel="0" collapsed="false">
      <c r="A1017" s="14"/>
      <c r="B1017" s="15"/>
      <c r="C1017" s="15"/>
      <c r="D1017" s="14"/>
      <c r="E1017" s="14"/>
      <c r="F1017" s="14"/>
      <c r="G1017" s="14"/>
      <c r="H1017" s="15"/>
      <c r="I1017" s="15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14"/>
      <c r="AU1017" s="14"/>
      <c r="AV1017" s="14"/>
      <c r="AW1017" s="14"/>
      <c r="AX1017" s="14"/>
      <c r="AY1017" s="14"/>
      <c r="AZ1017" s="14"/>
      <c r="BA1017" s="14"/>
      <c r="BB1017" s="14"/>
      <c r="BC1017" s="14"/>
      <c r="BD1017" s="14"/>
      <c r="BE1017" s="14"/>
      <c r="BF1017" s="14"/>
      <c r="BG1017" s="14"/>
      <c r="BH1017" s="14"/>
      <c r="BI1017" s="14"/>
      <c r="BJ1017" s="14"/>
      <c r="BK1017" s="14"/>
      <c r="BL1017" s="14"/>
      <c r="BM1017" s="14"/>
      <c r="BN1017" s="14"/>
      <c r="BO1017" s="14"/>
      <c r="BP1017" s="14"/>
      <c r="BQ1017" s="14"/>
      <c r="BR1017" s="14"/>
      <c r="BS1017" s="14"/>
      <c r="BT1017" s="14"/>
      <c r="BU1017" s="14"/>
      <c r="BV1017" s="14"/>
      <c r="BW1017" s="14"/>
      <c r="BX1017" s="14"/>
      <c r="BY1017" s="14"/>
      <c r="BZ1017" s="14"/>
      <c r="CA1017" s="14"/>
      <c r="CB1017" s="14"/>
      <c r="CC1017" s="14"/>
      <c r="CD1017" s="14"/>
      <c r="CE1017" s="14"/>
      <c r="CF1017" s="14"/>
      <c r="CG1017" s="14"/>
      <c r="CH1017" s="14"/>
      <c r="CI1017" s="14"/>
      <c r="CJ1017" s="14"/>
      <c r="CK1017" s="14"/>
      <c r="CL1017" s="14"/>
      <c r="CT1017" s="14"/>
      <c r="CW1017" s="3"/>
      <c r="DG1017" s="4"/>
    </row>
    <row r="1018" customFormat="false" ht="11.25" hidden="false" customHeight="true" outlineLevel="0" collapsed="false">
      <c r="A1018" s="14"/>
      <c r="B1018" s="15"/>
      <c r="C1018" s="15"/>
      <c r="D1018" s="14"/>
      <c r="E1018" s="14"/>
      <c r="F1018" s="14"/>
      <c r="G1018" s="14"/>
      <c r="H1018" s="15"/>
      <c r="I1018" s="15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14"/>
      <c r="AU1018" s="14"/>
      <c r="AV1018" s="14"/>
      <c r="AW1018" s="14"/>
      <c r="AX1018" s="14"/>
      <c r="AY1018" s="14"/>
      <c r="AZ1018" s="14"/>
      <c r="BA1018" s="14"/>
      <c r="BB1018" s="14"/>
      <c r="BC1018" s="14"/>
      <c r="BD1018" s="14"/>
      <c r="BE1018" s="14"/>
      <c r="BF1018" s="14"/>
      <c r="BG1018" s="14"/>
      <c r="BH1018" s="14"/>
      <c r="BI1018" s="14"/>
      <c r="BJ1018" s="14"/>
      <c r="BK1018" s="14"/>
      <c r="BL1018" s="14"/>
      <c r="BM1018" s="14"/>
      <c r="BN1018" s="14"/>
      <c r="BO1018" s="14"/>
      <c r="BP1018" s="14"/>
      <c r="BQ1018" s="14"/>
      <c r="BR1018" s="14"/>
      <c r="BS1018" s="14"/>
      <c r="BT1018" s="14"/>
      <c r="BU1018" s="14"/>
      <c r="BV1018" s="14"/>
      <c r="BW1018" s="14"/>
      <c r="BX1018" s="14"/>
      <c r="BY1018" s="14"/>
      <c r="BZ1018" s="14"/>
      <c r="CA1018" s="14"/>
      <c r="CB1018" s="14"/>
      <c r="CC1018" s="14"/>
      <c r="CD1018" s="14"/>
      <c r="CE1018" s="14"/>
      <c r="CF1018" s="14"/>
      <c r="CG1018" s="14"/>
      <c r="CH1018" s="14"/>
      <c r="CI1018" s="14"/>
      <c r="CJ1018" s="14"/>
      <c r="CK1018" s="14"/>
      <c r="CL1018" s="14"/>
      <c r="CT1018" s="14"/>
      <c r="CW1018" s="3"/>
      <c r="DG1018" s="4"/>
    </row>
    <row r="1019" customFormat="false" ht="11.25" hidden="false" customHeight="true" outlineLevel="0" collapsed="false">
      <c r="A1019" s="14"/>
      <c r="B1019" s="15"/>
      <c r="C1019" s="15"/>
      <c r="D1019" s="14"/>
      <c r="E1019" s="14"/>
      <c r="F1019" s="14"/>
      <c r="G1019" s="14"/>
      <c r="H1019" s="15"/>
      <c r="I1019" s="15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14"/>
      <c r="AU1019" s="14"/>
      <c r="AV1019" s="14"/>
      <c r="AW1019" s="14"/>
      <c r="AX1019" s="14"/>
      <c r="AY1019" s="14"/>
      <c r="AZ1019" s="14"/>
      <c r="BA1019" s="14"/>
      <c r="BB1019" s="14"/>
      <c r="BC1019" s="14"/>
      <c r="BD1019" s="14"/>
      <c r="BE1019" s="14"/>
      <c r="BF1019" s="14"/>
      <c r="BG1019" s="14"/>
      <c r="BH1019" s="14"/>
      <c r="BI1019" s="14"/>
      <c r="BJ1019" s="14"/>
      <c r="BK1019" s="14"/>
      <c r="BL1019" s="14"/>
      <c r="BM1019" s="14"/>
      <c r="BN1019" s="14"/>
      <c r="BO1019" s="14"/>
      <c r="BP1019" s="14"/>
      <c r="BQ1019" s="14"/>
      <c r="BR1019" s="14"/>
      <c r="BS1019" s="14"/>
      <c r="BT1019" s="14"/>
      <c r="BU1019" s="14"/>
      <c r="BV1019" s="14"/>
      <c r="BW1019" s="14"/>
      <c r="BX1019" s="14"/>
      <c r="BY1019" s="14"/>
      <c r="BZ1019" s="14"/>
      <c r="CA1019" s="14"/>
      <c r="CB1019" s="14"/>
      <c r="CC1019" s="14"/>
      <c r="CD1019" s="14"/>
      <c r="CE1019" s="14"/>
      <c r="CF1019" s="14"/>
      <c r="CG1019" s="14"/>
      <c r="CH1019" s="14"/>
      <c r="CI1019" s="14"/>
      <c r="CJ1019" s="14"/>
      <c r="CK1019" s="14"/>
      <c r="CL1019" s="14"/>
      <c r="CT1019" s="14"/>
      <c r="CW1019" s="3"/>
      <c r="DG1019" s="4"/>
    </row>
    <row r="1020" customFormat="false" ht="11.25" hidden="false" customHeight="true" outlineLevel="0" collapsed="false">
      <c r="A1020" s="14"/>
      <c r="B1020" s="15"/>
      <c r="C1020" s="15"/>
      <c r="D1020" s="14"/>
      <c r="E1020" s="14"/>
      <c r="F1020" s="14"/>
      <c r="G1020" s="14"/>
      <c r="H1020" s="15"/>
      <c r="I1020" s="15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14"/>
      <c r="AU1020" s="14"/>
      <c r="AV1020" s="14"/>
      <c r="AW1020" s="14"/>
      <c r="AX1020" s="14"/>
      <c r="AY1020" s="14"/>
      <c r="AZ1020" s="14"/>
      <c r="BA1020" s="14"/>
      <c r="BB1020" s="14"/>
      <c r="BC1020" s="14"/>
      <c r="BD1020" s="14"/>
      <c r="BE1020" s="14"/>
      <c r="BF1020" s="14"/>
      <c r="BG1020" s="14"/>
      <c r="BH1020" s="14"/>
      <c r="BI1020" s="14"/>
      <c r="BJ1020" s="14"/>
      <c r="BK1020" s="14"/>
      <c r="BL1020" s="14"/>
      <c r="BM1020" s="14"/>
      <c r="BN1020" s="14"/>
      <c r="BO1020" s="14"/>
      <c r="BP1020" s="14"/>
      <c r="BQ1020" s="14"/>
      <c r="BR1020" s="14"/>
      <c r="BS1020" s="14"/>
      <c r="BT1020" s="14"/>
      <c r="BU1020" s="14"/>
      <c r="BV1020" s="14"/>
      <c r="BW1020" s="14"/>
      <c r="BX1020" s="14"/>
      <c r="BY1020" s="14"/>
      <c r="BZ1020" s="14"/>
      <c r="CA1020" s="14"/>
      <c r="CB1020" s="14"/>
      <c r="CC1020" s="14"/>
      <c r="CD1020" s="14"/>
      <c r="CE1020" s="14"/>
      <c r="CF1020" s="14"/>
      <c r="CG1020" s="14"/>
      <c r="CH1020" s="14"/>
      <c r="CI1020" s="14"/>
      <c r="CJ1020" s="14"/>
      <c r="CK1020" s="14"/>
      <c r="CL1020" s="14"/>
      <c r="CT1020" s="14"/>
      <c r="CW1020" s="3"/>
      <c r="DG1020" s="4"/>
    </row>
    <row r="1021" customFormat="false" ht="11.25" hidden="false" customHeight="true" outlineLevel="0" collapsed="false">
      <c r="A1021" s="14"/>
      <c r="B1021" s="15"/>
      <c r="C1021" s="15"/>
      <c r="D1021" s="14"/>
      <c r="E1021" s="14"/>
      <c r="F1021" s="14"/>
      <c r="G1021" s="14"/>
      <c r="H1021" s="15"/>
      <c r="I1021" s="15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14"/>
      <c r="AU1021" s="14"/>
      <c r="AV1021" s="14"/>
      <c r="AW1021" s="14"/>
      <c r="AX1021" s="14"/>
      <c r="AY1021" s="14"/>
      <c r="AZ1021" s="14"/>
      <c r="BA1021" s="14"/>
      <c r="BB1021" s="14"/>
      <c r="BC1021" s="14"/>
      <c r="BD1021" s="14"/>
      <c r="BE1021" s="14"/>
      <c r="BF1021" s="14"/>
      <c r="BG1021" s="14"/>
      <c r="BH1021" s="14"/>
      <c r="BI1021" s="14"/>
      <c r="BJ1021" s="14"/>
      <c r="BK1021" s="14"/>
      <c r="BL1021" s="14"/>
      <c r="BM1021" s="14"/>
      <c r="BN1021" s="14"/>
      <c r="BO1021" s="14"/>
      <c r="BP1021" s="14"/>
      <c r="BQ1021" s="14"/>
      <c r="BR1021" s="14"/>
      <c r="BS1021" s="14"/>
      <c r="BT1021" s="14"/>
      <c r="BU1021" s="14"/>
      <c r="BV1021" s="14"/>
      <c r="BW1021" s="14"/>
      <c r="BX1021" s="14"/>
      <c r="BY1021" s="14"/>
      <c r="BZ1021" s="14"/>
      <c r="CA1021" s="14"/>
      <c r="CB1021" s="14"/>
      <c r="CC1021" s="14"/>
      <c r="CD1021" s="14"/>
      <c r="CE1021" s="14"/>
      <c r="CF1021" s="14"/>
      <c r="CG1021" s="14"/>
      <c r="CH1021" s="14"/>
      <c r="CI1021" s="14"/>
      <c r="CJ1021" s="14"/>
      <c r="CK1021" s="14"/>
      <c r="CL1021" s="14"/>
      <c r="CT1021" s="14"/>
      <c r="CW1021" s="3"/>
      <c r="DG1021" s="4"/>
    </row>
    <row r="1022" customFormat="false" ht="11.25" hidden="false" customHeight="true" outlineLevel="0" collapsed="false">
      <c r="A1022" s="14"/>
      <c r="B1022" s="15"/>
      <c r="C1022" s="15"/>
      <c r="D1022" s="14"/>
      <c r="E1022" s="14"/>
      <c r="F1022" s="14"/>
      <c r="G1022" s="14"/>
      <c r="H1022" s="15"/>
      <c r="I1022" s="15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14"/>
      <c r="AU1022" s="14"/>
      <c r="AV1022" s="14"/>
      <c r="AW1022" s="14"/>
      <c r="AX1022" s="14"/>
      <c r="AY1022" s="14"/>
      <c r="AZ1022" s="14"/>
      <c r="BA1022" s="14"/>
      <c r="BB1022" s="14"/>
      <c r="BC1022" s="14"/>
      <c r="BD1022" s="14"/>
      <c r="BE1022" s="14"/>
      <c r="BF1022" s="14"/>
      <c r="BG1022" s="14"/>
      <c r="BH1022" s="14"/>
      <c r="BI1022" s="14"/>
      <c r="BJ1022" s="14"/>
      <c r="BK1022" s="14"/>
      <c r="BL1022" s="14"/>
      <c r="BM1022" s="14"/>
      <c r="BN1022" s="14"/>
      <c r="BO1022" s="14"/>
      <c r="BP1022" s="14"/>
      <c r="BQ1022" s="14"/>
      <c r="BR1022" s="14"/>
      <c r="BS1022" s="14"/>
      <c r="BT1022" s="14"/>
      <c r="BU1022" s="14"/>
      <c r="BV1022" s="14"/>
      <c r="BW1022" s="14"/>
      <c r="BX1022" s="14"/>
      <c r="BY1022" s="14"/>
      <c r="BZ1022" s="14"/>
      <c r="CA1022" s="14"/>
      <c r="CB1022" s="14"/>
      <c r="CC1022" s="14"/>
      <c r="CD1022" s="14"/>
      <c r="CE1022" s="14"/>
      <c r="CF1022" s="14"/>
      <c r="CG1022" s="14"/>
      <c r="CH1022" s="14"/>
      <c r="CI1022" s="14"/>
      <c r="CJ1022" s="14"/>
      <c r="CK1022" s="14"/>
      <c r="CL1022" s="14"/>
      <c r="CT1022" s="14"/>
      <c r="CW1022" s="3"/>
      <c r="DG1022" s="4"/>
    </row>
    <row r="1023" customFormat="false" ht="11.25" hidden="false" customHeight="true" outlineLevel="0" collapsed="false">
      <c r="A1023" s="14"/>
      <c r="B1023" s="15"/>
      <c r="C1023" s="15"/>
      <c r="D1023" s="14"/>
      <c r="E1023" s="14"/>
      <c r="F1023" s="14"/>
      <c r="G1023" s="14"/>
      <c r="H1023" s="15"/>
      <c r="I1023" s="15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14"/>
      <c r="AU1023" s="14"/>
      <c r="AV1023" s="14"/>
      <c r="AW1023" s="14"/>
      <c r="AX1023" s="14"/>
      <c r="AY1023" s="14"/>
      <c r="AZ1023" s="14"/>
      <c r="BA1023" s="14"/>
      <c r="BB1023" s="14"/>
      <c r="BC1023" s="14"/>
      <c r="BD1023" s="14"/>
      <c r="BE1023" s="14"/>
      <c r="BF1023" s="14"/>
      <c r="BG1023" s="14"/>
      <c r="BH1023" s="14"/>
      <c r="BI1023" s="14"/>
      <c r="BJ1023" s="14"/>
      <c r="BK1023" s="14"/>
      <c r="BL1023" s="14"/>
      <c r="BM1023" s="14"/>
      <c r="BN1023" s="14"/>
      <c r="BO1023" s="14"/>
      <c r="BP1023" s="14"/>
      <c r="BQ1023" s="14"/>
      <c r="BR1023" s="14"/>
      <c r="BS1023" s="14"/>
      <c r="BT1023" s="14"/>
      <c r="BU1023" s="14"/>
      <c r="BV1023" s="14"/>
      <c r="BW1023" s="14"/>
      <c r="BX1023" s="14"/>
      <c r="BY1023" s="14"/>
      <c r="BZ1023" s="14"/>
      <c r="CA1023" s="14"/>
      <c r="CB1023" s="14"/>
      <c r="CC1023" s="14"/>
      <c r="CD1023" s="14"/>
      <c r="CE1023" s="14"/>
      <c r="CF1023" s="14"/>
      <c r="CG1023" s="14"/>
      <c r="CH1023" s="14"/>
      <c r="CI1023" s="14"/>
      <c r="CJ1023" s="14"/>
      <c r="CK1023" s="14"/>
      <c r="CL1023" s="14"/>
      <c r="CT1023" s="14"/>
      <c r="CW1023" s="3"/>
      <c r="DG1023" s="4"/>
    </row>
    <row r="1024" customFormat="false" ht="11.25" hidden="false" customHeight="true" outlineLevel="0" collapsed="false">
      <c r="A1024" s="14"/>
      <c r="B1024" s="15"/>
      <c r="C1024" s="15"/>
      <c r="D1024" s="14"/>
      <c r="E1024" s="14"/>
      <c r="F1024" s="14"/>
      <c r="G1024" s="14"/>
      <c r="H1024" s="15"/>
      <c r="I1024" s="15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14"/>
      <c r="AU1024" s="14"/>
      <c r="AV1024" s="14"/>
      <c r="AW1024" s="14"/>
      <c r="AX1024" s="14"/>
      <c r="AY1024" s="14"/>
      <c r="AZ1024" s="14"/>
      <c r="BA1024" s="14"/>
      <c r="BB1024" s="14"/>
      <c r="BC1024" s="14"/>
      <c r="BD1024" s="14"/>
      <c r="BE1024" s="14"/>
      <c r="BF1024" s="14"/>
      <c r="BG1024" s="14"/>
      <c r="BH1024" s="14"/>
      <c r="BI1024" s="14"/>
      <c r="BJ1024" s="14"/>
      <c r="BK1024" s="14"/>
      <c r="BL1024" s="14"/>
      <c r="BM1024" s="14"/>
      <c r="BN1024" s="14"/>
      <c r="BO1024" s="14"/>
      <c r="BP1024" s="14"/>
      <c r="BQ1024" s="14"/>
      <c r="BR1024" s="14"/>
      <c r="BS1024" s="14"/>
      <c r="BT1024" s="14"/>
      <c r="BU1024" s="14"/>
      <c r="BV1024" s="14"/>
      <c r="BW1024" s="14"/>
      <c r="BX1024" s="14"/>
      <c r="BY1024" s="14"/>
      <c r="BZ1024" s="14"/>
      <c r="CA1024" s="14"/>
      <c r="CB1024" s="14"/>
      <c r="CC1024" s="14"/>
      <c r="CD1024" s="14"/>
      <c r="CE1024" s="14"/>
      <c r="CF1024" s="14"/>
      <c r="CG1024" s="14"/>
      <c r="CH1024" s="14"/>
      <c r="CI1024" s="14"/>
      <c r="CJ1024" s="14"/>
      <c r="CK1024" s="14"/>
      <c r="CL1024" s="14"/>
      <c r="CT1024" s="14"/>
      <c r="CW1024" s="3"/>
      <c r="DG1024" s="4"/>
    </row>
    <row r="1025" customFormat="false" ht="11.25" hidden="false" customHeight="true" outlineLevel="0" collapsed="false">
      <c r="A1025" s="14"/>
      <c r="B1025" s="15"/>
      <c r="C1025" s="15"/>
      <c r="D1025" s="14"/>
      <c r="E1025" s="14"/>
      <c r="F1025" s="14"/>
      <c r="G1025" s="14"/>
      <c r="H1025" s="15"/>
      <c r="I1025" s="15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14"/>
      <c r="AU1025" s="14"/>
      <c r="AV1025" s="14"/>
      <c r="AW1025" s="14"/>
      <c r="AX1025" s="14"/>
      <c r="AY1025" s="14"/>
      <c r="AZ1025" s="14"/>
      <c r="BA1025" s="14"/>
      <c r="BB1025" s="14"/>
      <c r="BC1025" s="14"/>
      <c r="BD1025" s="14"/>
      <c r="BE1025" s="14"/>
      <c r="BF1025" s="14"/>
      <c r="BG1025" s="14"/>
      <c r="BH1025" s="14"/>
      <c r="BI1025" s="14"/>
      <c r="BJ1025" s="14"/>
      <c r="BK1025" s="14"/>
      <c r="BL1025" s="14"/>
      <c r="BM1025" s="14"/>
      <c r="BN1025" s="14"/>
      <c r="BO1025" s="14"/>
      <c r="BP1025" s="14"/>
      <c r="BQ1025" s="14"/>
      <c r="BR1025" s="14"/>
      <c r="BS1025" s="14"/>
      <c r="BT1025" s="14"/>
      <c r="BU1025" s="14"/>
      <c r="BV1025" s="14"/>
      <c r="BW1025" s="14"/>
      <c r="BX1025" s="14"/>
      <c r="BY1025" s="14"/>
      <c r="BZ1025" s="14"/>
      <c r="CA1025" s="14"/>
      <c r="CB1025" s="14"/>
      <c r="CC1025" s="14"/>
      <c r="CD1025" s="14"/>
      <c r="CE1025" s="14"/>
      <c r="CF1025" s="14"/>
      <c r="CG1025" s="14"/>
      <c r="CH1025" s="14"/>
      <c r="CI1025" s="14"/>
      <c r="CJ1025" s="14"/>
      <c r="CK1025" s="14"/>
      <c r="CL1025" s="14"/>
      <c r="CT1025" s="14"/>
      <c r="CW1025" s="3"/>
      <c r="DG1025" s="4"/>
    </row>
    <row r="1026" customFormat="false" ht="11.25" hidden="false" customHeight="true" outlineLevel="0" collapsed="false">
      <c r="A1026" s="14"/>
      <c r="B1026" s="15"/>
      <c r="C1026" s="15"/>
      <c r="D1026" s="14"/>
      <c r="E1026" s="14"/>
      <c r="F1026" s="14"/>
      <c r="G1026" s="14"/>
      <c r="H1026" s="15"/>
      <c r="I1026" s="15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14"/>
      <c r="AU1026" s="14"/>
      <c r="AV1026" s="14"/>
      <c r="AW1026" s="14"/>
      <c r="AX1026" s="14"/>
      <c r="AY1026" s="14"/>
      <c r="AZ1026" s="14"/>
      <c r="BA1026" s="14"/>
      <c r="BB1026" s="14"/>
      <c r="BC1026" s="14"/>
      <c r="BD1026" s="14"/>
      <c r="BE1026" s="14"/>
      <c r="BF1026" s="14"/>
      <c r="BG1026" s="14"/>
      <c r="BH1026" s="14"/>
      <c r="BI1026" s="14"/>
      <c r="BJ1026" s="14"/>
      <c r="BK1026" s="14"/>
      <c r="BL1026" s="14"/>
      <c r="BM1026" s="14"/>
      <c r="BN1026" s="14"/>
      <c r="BO1026" s="14"/>
      <c r="BP1026" s="14"/>
      <c r="BQ1026" s="14"/>
      <c r="BR1026" s="14"/>
      <c r="BS1026" s="14"/>
      <c r="BT1026" s="14"/>
      <c r="BU1026" s="14"/>
      <c r="BV1026" s="14"/>
      <c r="BW1026" s="14"/>
      <c r="BX1026" s="14"/>
      <c r="BY1026" s="14"/>
      <c r="BZ1026" s="14"/>
      <c r="CA1026" s="14"/>
      <c r="CB1026" s="14"/>
      <c r="CC1026" s="14"/>
      <c r="CD1026" s="14"/>
      <c r="CE1026" s="14"/>
      <c r="CF1026" s="14"/>
      <c r="CG1026" s="14"/>
      <c r="CH1026" s="14"/>
      <c r="CI1026" s="14"/>
      <c r="CJ1026" s="14"/>
      <c r="CK1026" s="14"/>
      <c r="CL1026" s="14"/>
      <c r="CT1026" s="14"/>
      <c r="CW1026" s="3"/>
      <c r="DG1026" s="4"/>
    </row>
    <row r="1027" customFormat="false" ht="11.25" hidden="false" customHeight="true" outlineLevel="0" collapsed="false">
      <c r="A1027" s="14"/>
      <c r="B1027" s="15"/>
      <c r="C1027" s="15"/>
      <c r="D1027" s="14"/>
      <c r="E1027" s="14"/>
      <c r="F1027" s="14"/>
      <c r="G1027" s="14"/>
      <c r="H1027" s="15"/>
      <c r="I1027" s="15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14"/>
      <c r="AU1027" s="14"/>
      <c r="AV1027" s="14"/>
      <c r="AW1027" s="14"/>
      <c r="AX1027" s="14"/>
      <c r="AY1027" s="14"/>
      <c r="AZ1027" s="14"/>
      <c r="BA1027" s="14"/>
      <c r="BB1027" s="14"/>
      <c r="BC1027" s="14"/>
      <c r="BD1027" s="14"/>
      <c r="BE1027" s="14"/>
      <c r="BF1027" s="14"/>
      <c r="BG1027" s="14"/>
      <c r="BH1027" s="14"/>
      <c r="BI1027" s="14"/>
      <c r="BJ1027" s="14"/>
      <c r="BK1027" s="14"/>
      <c r="BL1027" s="14"/>
      <c r="BM1027" s="14"/>
      <c r="BN1027" s="14"/>
      <c r="BO1027" s="14"/>
      <c r="BP1027" s="14"/>
      <c r="BQ1027" s="14"/>
      <c r="BR1027" s="14"/>
      <c r="BS1027" s="14"/>
      <c r="BT1027" s="14"/>
      <c r="BU1027" s="14"/>
      <c r="BV1027" s="14"/>
      <c r="BW1027" s="14"/>
      <c r="BX1027" s="14"/>
      <c r="BY1027" s="14"/>
      <c r="BZ1027" s="14"/>
      <c r="CA1027" s="14"/>
      <c r="CB1027" s="14"/>
      <c r="CC1027" s="14"/>
      <c r="CD1027" s="14"/>
      <c r="CE1027" s="14"/>
      <c r="CF1027" s="14"/>
      <c r="CG1027" s="14"/>
      <c r="CH1027" s="14"/>
      <c r="CI1027" s="14"/>
      <c r="CJ1027" s="14"/>
      <c r="CK1027" s="14"/>
      <c r="CL1027" s="14"/>
      <c r="CT1027" s="14"/>
      <c r="CW1027" s="3"/>
      <c r="DG1027" s="4"/>
    </row>
    <row r="1028" customFormat="false" ht="11.25" hidden="false" customHeight="true" outlineLevel="0" collapsed="false">
      <c r="A1028" s="14"/>
      <c r="B1028" s="15"/>
      <c r="C1028" s="15"/>
      <c r="D1028" s="14"/>
      <c r="E1028" s="14"/>
      <c r="F1028" s="14"/>
      <c r="G1028" s="14"/>
      <c r="H1028" s="15"/>
      <c r="I1028" s="15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14"/>
      <c r="AU1028" s="14"/>
      <c r="AV1028" s="14"/>
      <c r="AW1028" s="14"/>
      <c r="AX1028" s="14"/>
      <c r="AY1028" s="14"/>
      <c r="AZ1028" s="14"/>
      <c r="BA1028" s="14"/>
      <c r="BB1028" s="14"/>
      <c r="BC1028" s="14"/>
      <c r="BD1028" s="14"/>
      <c r="BE1028" s="14"/>
      <c r="BF1028" s="14"/>
      <c r="BG1028" s="14"/>
      <c r="BH1028" s="14"/>
      <c r="BI1028" s="14"/>
      <c r="BJ1028" s="14"/>
      <c r="BK1028" s="14"/>
      <c r="BL1028" s="14"/>
      <c r="BM1028" s="14"/>
      <c r="BN1028" s="14"/>
      <c r="BO1028" s="14"/>
      <c r="BP1028" s="14"/>
      <c r="BQ1028" s="14"/>
      <c r="BR1028" s="14"/>
      <c r="BS1028" s="14"/>
      <c r="BT1028" s="14"/>
      <c r="BU1028" s="14"/>
      <c r="BV1028" s="14"/>
      <c r="BW1028" s="14"/>
      <c r="BX1028" s="14"/>
      <c r="BY1028" s="14"/>
      <c r="BZ1028" s="14"/>
      <c r="CA1028" s="14"/>
      <c r="CB1028" s="14"/>
      <c r="CC1028" s="14"/>
      <c r="CD1028" s="14"/>
      <c r="CE1028" s="14"/>
      <c r="CF1028" s="14"/>
      <c r="CG1028" s="14"/>
      <c r="CH1028" s="14"/>
      <c r="CI1028" s="14"/>
      <c r="CJ1028" s="14"/>
      <c r="CK1028" s="14"/>
      <c r="CL1028" s="14"/>
      <c r="CT1028" s="14"/>
      <c r="CW1028" s="3"/>
      <c r="DG1028" s="4"/>
    </row>
    <row r="1029" customFormat="false" ht="11.25" hidden="false" customHeight="true" outlineLevel="0" collapsed="false">
      <c r="A1029" s="14"/>
      <c r="B1029" s="15"/>
      <c r="C1029" s="15"/>
      <c r="D1029" s="14"/>
      <c r="E1029" s="14"/>
      <c r="F1029" s="14"/>
      <c r="G1029" s="14"/>
      <c r="H1029" s="15"/>
      <c r="I1029" s="15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14"/>
      <c r="AU1029" s="14"/>
      <c r="AV1029" s="14"/>
      <c r="AW1029" s="14"/>
      <c r="AX1029" s="14"/>
      <c r="AY1029" s="14"/>
      <c r="AZ1029" s="14"/>
      <c r="BA1029" s="14"/>
      <c r="BB1029" s="14"/>
      <c r="BC1029" s="14"/>
      <c r="BD1029" s="14"/>
      <c r="BE1029" s="14"/>
      <c r="BF1029" s="14"/>
      <c r="BG1029" s="14"/>
      <c r="BH1029" s="14"/>
      <c r="BI1029" s="14"/>
      <c r="BJ1029" s="14"/>
      <c r="BK1029" s="14"/>
      <c r="BL1029" s="14"/>
      <c r="BM1029" s="14"/>
      <c r="BN1029" s="14"/>
      <c r="BO1029" s="14"/>
      <c r="BP1029" s="14"/>
      <c r="BQ1029" s="14"/>
      <c r="BR1029" s="14"/>
      <c r="BS1029" s="14"/>
      <c r="BT1029" s="14"/>
      <c r="BU1029" s="14"/>
      <c r="BV1029" s="14"/>
      <c r="BW1029" s="14"/>
      <c r="BX1029" s="14"/>
      <c r="BY1029" s="14"/>
      <c r="BZ1029" s="14"/>
      <c r="CA1029" s="14"/>
      <c r="CB1029" s="14"/>
      <c r="CC1029" s="14"/>
      <c r="CD1029" s="14"/>
      <c r="CE1029" s="14"/>
      <c r="CF1029" s="14"/>
      <c r="CG1029" s="14"/>
      <c r="CH1029" s="14"/>
      <c r="CI1029" s="14"/>
      <c r="CJ1029" s="14"/>
      <c r="CK1029" s="14"/>
      <c r="CL1029" s="14"/>
      <c r="CT1029" s="14"/>
      <c r="CW1029" s="3"/>
      <c r="DG1029" s="4"/>
    </row>
    <row r="1030" customFormat="false" ht="11.25" hidden="false" customHeight="true" outlineLevel="0" collapsed="false">
      <c r="A1030" s="14"/>
      <c r="B1030" s="15"/>
      <c r="C1030" s="15"/>
      <c r="D1030" s="14"/>
      <c r="E1030" s="14"/>
      <c r="F1030" s="14"/>
      <c r="G1030" s="14"/>
      <c r="H1030" s="15"/>
      <c r="I1030" s="15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14"/>
      <c r="AU1030" s="14"/>
      <c r="AV1030" s="14"/>
      <c r="AW1030" s="14"/>
      <c r="AX1030" s="14"/>
      <c r="AY1030" s="14"/>
      <c r="AZ1030" s="14"/>
      <c r="BA1030" s="14"/>
      <c r="BB1030" s="14"/>
      <c r="BC1030" s="14"/>
      <c r="BD1030" s="14"/>
      <c r="BE1030" s="14"/>
      <c r="BF1030" s="14"/>
      <c r="BG1030" s="14"/>
      <c r="BH1030" s="14"/>
      <c r="BI1030" s="14"/>
      <c r="BJ1030" s="14"/>
      <c r="BK1030" s="14"/>
      <c r="BL1030" s="14"/>
      <c r="BM1030" s="14"/>
      <c r="BN1030" s="14"/>
      <c r="BO1030" s="14"/>
      <c r="BP1030" s="14"/>
      <c r="BQ1030" s="14"/>
      <c r="BR1030" s="14"/>
      <c r="BS1030" s="14"/>
      <c r="BT1030" s="14"/>
      <c r="BU1030" s="14"/>
      <c r="BV1030" s="14"/>
      <c r="BW1030" s="14"/>
      <c r="BX1030" s="14"/>
      <c r="BY1030" s="14"/>
      <c r="BZ1030" s="14"/>
      <c r="CA1030" s="14"/>
      <c r="CB1030" s="14"/>
      <c r="CC1030" s="14"/>
      <c r="CD1030" s="14"/>
      <c r="CE1030" s="14"/>
      <c r="CF1030" s="14"/>
      <c r="CG1030" s="14"/>
      <c r="CH1030" s="14"/>
      <c r="CI1030" s="14"/>
      <c r="CJ1030" s="14"/>
      <c r="CK1030" s="14"/>
      <c r="CL1030" s="14"/>
      <c r="CT1030" s="14"/>
      <c r="CW1030" s="3"/>
      <c r="DG1030" s="4"/>
    </row>
    <row r="1031" customFormat="false" ht="11.25" hidden="false" customHeight="true" outlineLevel="0" collapsed="false">
      <c r="A1031" s="14"/>
      <c r="B1031" s="15"/>
      <c r="C1031" s="15"/>
      <c r="D1031" s="14"/>
      <c r="E1031" s="14"/>
      <c r="F1031" s="14"/>
      <c r="G1031" s="14"/>
      <c r="H1031" s="15"/>
      <c r="I1031" s="15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14"/>
      <c r="AU1031" s="14"/>
      <c r="AV1031" s="14"/>
      <c r="AW1031" s="14"/>
      <c r="AX1031" s="14"/>
      <c r="AY1031" s="14"/>
      <c r="AZ1031" s="14"/>
      <c r="BA1031" s="14"/>
      <c r="BB1031" s="14"/>
      <c r="BC1031" s="14"/>
      <c r="BD1031" s="14"/>
      <c r="BE1031" s="14"/>
      <c r="BF1031" s="14"/>
      <c r="BG1031" s="14"/>
      <c r="BH1031" s="14"/>
      <c r="BI1031" s="14"/>
      <c r="BJ1031" s="14"/>
      <c r="BK1031" s="14"/>
      <c r="BL1031" s="14"/>
      <c r="BM1031" s="14"/>
      <c r="BN1031" s="14"/>
      <c r="BO1031" s="14"/>
      <c r="BP1031" s="14"/>
      <c r="BQ1031" s="14"/>
      <c r="BR1031" s="14"/>
      <c r="BS1031" s="14"/>
      <c r="BT1031" s="14"/>
      <c r="BU1031" s="14"/>
      <c r="BV1031" s="14"/>
      <c r="BW1031" s="14"/>
      <c r="BX1031" s="14"/>
      <c r="BY1031" s="14"/>
      <c r="BZ1031" s="14"/>
      <c r="CA1031" s="14"/>
      <c r="CB1031" s="14"/>
      <c r="CC1031" s="14"/>
      <c r="CD1031" s="14"/>
      <c r="CE1031" s="14"/>
      <c r="CF1031" s="14"/>
      <c r="CG1031" s="14"/>
      <c r="CH1031" s="14"/>
      <c r="CI1031" s="14"/>
      <c r="CJ1031" s="14"/>
      <c r="CK1031" s="14"/>
      <c r="CL1031" s="14"/>
      <c r="CT1031" s="14"/>
      <c r="CW1031" s="3"/>
      <c r="DG1031" s="4"/>
    </row>
    <row r="1032" customFormat="false" ht="11.25" hidden="false" customHeight="true" outlineLevel="0" collapsed="false">
      <c r="A1032" s="14"/>
      <c r="B1032" s="15"/>
      <c r="C1032" s="15"/>
      <c r="D1032" s="14"/>
      <c r="E1032" s="14"/>
      <c r="F1032" s="14"/>
      <c r="G1032" s="14"/>
      <c r="H1032" s="15"/>
      <c r="I1032" s="15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14"/>
      <c r="AU1032" s="14"/>
      <c r="AV1032" s="14"/>
      <c r="AW1032" s="14"/>
      <c r="AX1032" s="14"/>
      <c r="AY1032" s="14"/>
      <c r="AZ1032" s="14"/>
      <c r="BA1032" s="14"/>
      <c r="BB1032" s="14"/>
      <c r="BC1032" s="14"/>
      <c r="BD1032" s="14"/>
      <c r="BE1032" s="14"/>
      <c r="BF1032" s="14"/>
      <c r="BG1032" s="14"/>
      <c r="BH1032" s="14"/>
      <c r="BI1032" s="14"/>
      <c r="BJ1032" s="14"/>
      <c r="BK1032" s="14"/>
      <c r="BL1032" s="14"/>
      <c r="BM1032" s="14"/>
      <c r="BN1032" s="14"/>
      <c r="BO1032" s="14"/>
      <c r="BP1032" s="14"/>
      <c r="BQ1032" s="14"/>
      <c r="BR1032" s="14"/>
      <c r="BS1032" s="14"/>
      <c r="BT1032" s="14"/>
      <c r="BU1032" s="14"/>
      <c r="BV1032" s="14"/>
      <c r="BW1032" s="14"/>
      <c r="BX1032" s="14"/>
      <c r="BY1032" s="14"/>
      <c r="BZ1032" s="14"/>
      <c r="CA1032" s="14"/>
      <c r="CB1032" s="14"/>
      <c r="CC1032" s="14"/>
      <c r="CD1032" s="14"/>
      <c r="CE1032" s="14"/>
      <c r="CF1032" s="14"/>
      <c r="CG1032" s="14"/>
      <c r="CH1032" s="14"/>
      <c r="CI1032" s="14"/>
      <c r="CJ1032" s="14"/>
      <c r="CK1032" s="14"/>
      <c r="CL1032" s="14"/>
      <c r="CT1032" s="14"/>
      <c r="CW1032" s="3"/>
      <c r="DG1032" s="4"/>
    </row>
    <row r="1033" customFormat="false" ht="11.25" hidden="false" customHeight="true" outlineLevel="0" collapsed="false">
      <c r="A1033" s="14"/>
      <c r="B1033" s="15"/>
      <c r="C1033" s="15"/>
      <c r="D1033" s="14"/>
      <c r="E1033" s="14"/>
      <c r="F1033" s="14"/>
      <c r="G1033" s="14"/>
      <c r="H1033" s="15"/>
      <c r="I1033" s="15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14"/>
      <c r="AU1033" s="14"/>
      <c r="AV1033" s="14"/>
      <c r="AW1033" s="14"/>
      <c r="AX1033" s="14"/>
      <c r="AY1033" s="14"/>
      <c r="AZ1033" s="14"/>
      <c r="BA1033" s="14"/>
      <c r="BB1033" s="14"/>
      <c r="BC1033" s="14"/>
      <c r="BD1033" s="14"/>
      <c r="BE1033" s="14"/>
      <c r="BF1033" s="14"/>
      <c r="BG1033" s="14"/>
      <c r="BH1033" s="14"/>
      <c r="BI1033" s="14"/>
      <c r="BJ1033" s="14"/>
      <c r="BK1033" s="14"/>
      <c r="BL1033" s="14"/>
      <c r="BM1033" s="14"/>
      <c r="BN1033" s="14"/>
      <c r="BO1033" s="14"/>
      <c r="BP1033" s="14"/>
      <c r="BQ1033" s="14"/>
      <c r="BR1033" s="14"/>
      <c r="BS1033" s="14"/>
      <c r="BT1033" s="14"/>
      <c r="BU1033" s="14"/>
      <c r="BV1033" s="14"/>
      <c r="BW1033" s="14"/>
      <c r="BX1033" s="14"/>
      <c r="BY1033" s="14"/>
      <c r="BZ1033" s="14"/>
      <c r="CA1033" s="14"/>
      <c r="CB1033" s="14"/>
      <c r="CC1033" s="14"/>
      <c r="CD1033" s="14"/>
      <c r="CE1033" s="14"/>
      <c r="CF1033" s="14"/>
      <c r="CG1033" s="14"/>
      <c r="CH1033" s="14"/>
      <c r="CI1033" s="14"/>
      <c r="CJ1033" s="14"/>
      <c r="CK1033" s="14"/>
      <c r="CL1033" s="14"/>
      <c r="CT1033" s="14"/>
      <c r="CW1033" s="3"/>
      <c r="DG1033" s="4"/>
    </row>
    <row r="1034" customFormat="false" ht="11.25" hidden="false" customHeight="true" outlineLevel="0" collapsed="false">
      <c r="A1034" s="14"/>
      <c r="B1034" s="15"/>
      <c r="C1034" s="15"/>
      <c r="D1034" s="14"/>
      <c r="E1034" s="14"/>
      <c r="F1034" s="14"/>
      <c r="G1034" s="14"/>
      <c r="H1034" s="15"/>
      <c r="I1034" s="15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14"/>
      <c r="AU1034" s="14"/>
      <c r="AV1034" s="14"/>
      <c r="AW1034" s="14"/>
      <c r="AX1034" s="14"/>
      <c r="AY1034" s="14"/>
      <c r="AZ1034" s="14"/>
      <c r="BA1034" s="14"/>
      <c r="BB1034" s="14"/>
      <c r="BC1034" s="14"/>
      <c r="BD1034" s="14"/>
      <c r="BE1034" s="14"/>
      <c r="BF1034" s="14"/>
      <c r="BG1034" s="14"/>
      <c r="BH1034" s="14"/>
      <c r="BI1034" s="14"/>
      <c r="BJ1034" s="14"/>
      <c r="BK1034" s="14"/>
      <c r="BL1034" s="14"/>
      <c r="BM1034" s="14"/>
      <c r="BN1034" s="14"/>
      <c r="BO1034" s="14"/>
      <c r="BP1034" s="14"/>
      <c r="BQ1034" s="14"/>
      <c r="BR1034" s="14"/>
      <c r="BS1034" s="14"/>
      <c r="BT1034" s="14"/>
      <c r="BU1034" s="14"/>
      <c r="BV1034" s="14"/>
      <c r="BW1034" s="14"/>
      <c r="BX1034" s="14"/>
      <c r="BY1034" s="14"/>
      <c r="BZ1034" s="14"/>
      <c r="CA1034" s="14"/>
      <c r="CB1034" s="14"/>
      <c r="CC1034" s="14"/>
      <c r="CD1034" s="14"/>
      <c r="CE1034" s="14"/>
      <c r="CF1034" s="14"/>
      <c r="CG1034" s="14"/>
      <c r="CH1034" s="14"/>
      <c r="CI1034" s="14"/>
      <c r="CJ1034" s="14"/>
      <c r="CK1034" s="14"/>
      <c r="CL1034" s="14"/>
      <c r="CT1034" s="14"/>
      <c r="CW1034" s="3"/>
      <c r="DG1034" s="4"/>
    </row>
    <row r="1035" customFormat="false" ht="11.25" hidden="false" customHeight="true" outlineLevel="0" collapsed="false">
      <c r="A1035" s="14"/>
      <c r="B1035" s="15"/>
      <c r="C1035" s="15"/>
      <c r="D1035" s="14"/>
      <c r="E1035" s="14"/>
      <c r="F1035" s="14"/>
      <c r="G1035" s="14"/>
      <c r="H1035" s="15"/>
      <c r="I1035" s="15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14"/>
      <c r="AU1035" s="14"/>
      <c r="AV1035" s="14"/>
      <c r="AW1035" s="14"/>
      <c r="AX1035" s="14"/>
      <c r="AY1035" s="14"/>
      <c r="AZ1035" s="14"/>
      <c r="BA1035" s="14"/>
      <c r="BB1035" s="14"/>
      <c r="BC1035" s="14"/>
      <c r="BD1035" s="14"/>
      <c r="BE1035" s="14"/>
      <c r="BF1035" s="14"/>
      <c r="BG1035" s="14"/>
      <c r="BH1035" s="14"/>
      <c r="BI1035" s="14"/>
      <c r="BJ1035" s="14"/>
      <c r="BK1035" s="14"/>
      <c r="BL1035" s="14"/>
      <c r="BM1035" s="14"/>
      <c r="BN1035" s="14"/>
      <c r="BO1035" s="14"/>
      <c r="BP1035" s="14"/>
      <c r="BQ1035" s="14"/>
      <c r="BR1035" s="14"/>
      <c r="BS1035" s="14"/>
      <c r="BT1035" s="14"/>
      <c r="BU1035" s="14"/>
      <c r="BV1035" s="14"/>
      <c r="BW1035" s="14"/>
      <c r="BX1035" s="14"/>
      <c r="BY1035" s="14"/>
      <c r="BZ1035" s="14"/>
      <c r="CA1035" s="14"/>
      <c r="CB1035" s="14"/>
      <c r="CC1035" s="14"/>
      <c r="CD1035" s="14"/>
      <c r="CE1035" s="14"/>
      <c r="CF1035" s="14"/>
      <c r="CG1035" s="14"/>
      <c r="CH1035" s="14"/>
      <c r="CI1035" s="14"/>
      <c r="CJ1035" s="14"/>
      <c r="CK1035" s="14"/>
      <c r="CL1035" s="14"/>
      <c r="CT1035" s="14"/>
      <c r="CW1035" s="3"/>
      <c r="DG1035" s="4"/>
    </row>
    <row r="1036" customFormat="false" ht="11.25" hidden="false" customHeight="true" outlineLevel="0" collapsed="false">
      <c r="A1036" s="14"/>
      <c r="B1036" s="15"/>
      <c r="C1036" s="15"/>
      <c r="D1036" s="14"/>
      <c r="E1036" s="14"/>
      <c r="F1036" s="14"/>
      <c r="G1036" s="14"/>
      <c r="H1036" s="15"/>
      <c r="I1036" s="15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14"/>
      <c r="AU1036" s="14"/>
      <c r="AV1036" s="14"/>
      <c r="AW1036" s="14"/>
      <c r="AX1036" s="14"/>
      <c r="AY1036" s="14"/>
      <c r="AZ1036" s="14"/>
      <c r="BA1036" s="14"/>
      <c r="BB1036" s="14"/>
      <c r="BC1036" s="14"/>
      <c r="BD1036" s="14"/>
      <c r="BE1036" s="14"/>
      <c r="BF1036" s="14"/>
      <c r="BG1036" s="14"/>
      <c r="BH1036" s="14"/>
      <c r="BI1036" s="14"/>
      <c r="BJ1036" s="14"/>
      <c r="BK1036" s="14"/>
      <c r="BL1036" s="14"/>
      <c r="BM1036" s="14"/>
      <c r="BN1036" s="14"/>
      <c r="BO1036" s="14"/>
      <c r="BP1036" s="14"/>
      <c r="BQ1036" s="14"/>
      <c r="BR1036" s="14"/>
      <c r="BS1036" s="14"/>
      <c r="BT1036" s="14"/>
      <c r="BU1036" s="14"/>
      <c r="BV1036" s="14"/>
      <c r="BW1036" s="14"/>
      <c r="BX1036" s="14"/>
      <c r="BY1036" s="14"/>
      <c r="BZ1036" s="14"/>
      <c r="CA1036" s="14"/>
      <c r="CB1036" s="14"/>
      <c r="CC1036" s="14"/>
      <c r="CD1036" s="14"/>
      <c r="CE1036" s="14"/>
      <c r="CF1036" s="14"/>
      <c r="CG1036" s="14"/>
      <c r="CH1036" s="14"/>
      <c r="CI1036" s="14"/>
      <c r="CJ1036" s="14"/>
      <c r="CK1036" s="14"/>
      <c r="CL1036" s="14"/>
      <c r="CT1036" s="14"/>
      <c r="CW1036" s="3"/>
      <c r="DG1036" s="4"/>
    </row>
    <row r="1037" customFormat="false" ht="11.25" hidden="false" customHeight="true" outlineLevel="0" collapsed="false">
      <c r="A1037" s="14"/>
      <c r="B1037" s="15"/>
      <c r="C1037" s="15"/>
      <c r="D1037" s="14"/>
      <c r="E1037" s="14"/>
      <c r="F1037" s="14"/>
      <c r="G1037" s="14"/>
      <c r="H1037" s="15"/>
      <c r="I1037" s="15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14"/>
      <c r="AU1037" s="14"/>
      <c r="AV1037" s="14"/>
      <c r="AW1037" s="14"/>
      <c r="AX1037" s="14"/>
      <c r="AY1037" s="14"/>
      <c r="AZ1037" s="14"/>
      <c r="BA1037" s="14"/>
      <c r="BB1037" s="14"/>
      <c r="BC1037" s="14"/>
      <c r="BD1037" s="14"/>
      <c r="BE1037" s="14"/>
      <c r="BF1037" s="14"/>
      <c r="BG1037" s="14"/>
      <c r="BH1037" s="14"/>
      <c r="BI1037" s="14"/>
      <c r="BJ1037" s="14"/>
      <c r="BK1037" s="14"/>
      <c r="BL1037" s="14"/>
      <c r="BM1037" s="14"/>
      <c r="BN1037" s="14"/>
      <c r="BO1037" s="14"/>
      <c r="BP1037" s="14"/>
      <c r="BQ1037" s="14"/>
      <c r="BR1037" s="14"/>
      <c r="BS1037" s="14"/>
      <c r="BT1037" s="14"/>
      <c r="BU1037" s="14"/>
      <c r="BV1037" s="14"/>
      <c r="BW1037" s="14"/>
      <c r="BX1037" s="14"/>
      <c r="BY1037" s="14"/>
      <c r="BZ1037" s="14"/>
      <c r="CA1037" s="14"/>
      <c r="CB1037" s="14"/>
      <c r="CC1037" s="14"/>
      <c r="CD1037" s="14"/>
      <c r="CE1037" s="14"/>
      <c r="CF1037" s="14"/>
      <c r="CG1037" s="14"/>
      <c r="CH1037" s="14"/>
      <c r="CI1037" s="14"/>
      <c r="CJ1037" s="14"/>
      <c r="CK1037" s="14"/>
      <c r="CL1037" s="14"/>
      <c r="CT1037" s="14"/>
      <c r="CW1037" s="3"/>
      <c r="DG1037" s="4"/>
    </row>
    <row r="1038" customFormat="false" ht="11.25" hidden="false" customHeight="true" outlineLevel="0" collapsed="false">
      <c r="A1038" s="14"/>
      <c r="B1038" s="15"/>
      <c r="C1038" s="15"/>
      <c r="D1038" s="14"/>
      <c r="E1038" s="14"/>
      <c r="F1038" s="14"/>
      <c r="G1038" s="14"/>
      <c r="H1038" s="15"/>
      <c r="I1038" s="15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14"/>
      <c r="AU1038" s="14"/>
      <c r="AV1038" s="14"/>
      <c r="AW1038" s="14"/>
      <c r="AX1038" s="14"/>
      <c r="AY1038" s="14"/>
      <c r="AZ1038" s="14"/>
      <c r="BA1038" s="14"/>
      <c r="BB1038" s="14"/>
      <c r="BC1038" s="14"/>
      <c r="BD1038" s="14"/>
      <c r="BE1038" s="14"/>
      <c r="BF1038" s="14"/>
      <c r="BG1038" s="14"/>
      <c r="BH1038" s="14"/>
      <c r="BI1038" s="14"/>
      <c r="BJ1038" s="14"/>
      <c r="BK1038" s="14"/>
      <c r="BL1038" s="14"/>
      <c r="BM1038" s="14"/>
      <c r="BN1038" s="14"/>
      <c r="BO1038" s="14"/>
      <c r="BP1038" s="14"/>
      <c r="BQ1038" s="14"/>
      <c r="BR1038" s="14"/>
      <c r="BS1038" s="14"/>
      <c r="BT1038" s="14"/>
      <c r="BU1038" s="14"/>
      <c r="BV1038" s="14"/>
      <c r="BW1038" s="14"/>
      <c r="BX1038" s="14"/>
      <c r="BY1038" s="14"/>
      <c r="BZ1038" s="14"/>
      <c r="CA1038" s="14"/>
      <c r="CB1038" s="14"/>
      <c r="CC1038" s="14"/>
      <c r="CD1038" s="14"/>
      <c r="CE1038" s="14"/>
      <c r="CF1038" s="14"/>
      <c r="CG1038" s="14"/>
      <c r="CH1038" s="14"/>
      <c r="CI1038" s="14"/>
      <c r="CJ1038" s="14"/>
      <c r="CK1038" s="14"/>
      <c r="CL1038" s="14"/>
      <c r="CT1038" s="14"/>
      <c r="CW1038" s="3"/>
      <c r="DG1038" s="4"/>
    </row>
    <row r="1039" customFormat="false" ht="11.25" hidden="false" customHeight="true" outlineLevel="0" collapsed="false">
      <c r="A1039" s="14"/>
      <c r="B1039" s="15"/>
      <c r="C1039" s="15"/>
      <c r="D1039" s="14"/>
      <c r="E1039" s="14"/>
      <c r="F1039" s="14"/>
      <c r="G1039" s="14"/>
      <c r="H1039" s="15"/>
      <c r="I1039" s="15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14"/>
      <c r="AU1039" s="14"/>
      <c r="AV1039" s="14"/>
      <c r="AW1039" s="14"/>
      <c r="AX1039" s="14"/>
      <c r="AY1039" s="14"/>
      <c r="AZ1039" s="14"/>
      <c r="BA1039" s="14"/>
      <c r="BB1039" s="14"/>
      <c r="BC1039" s="14"/>
      <c r="BD1039" s="14"/>
      <c r="BE1039" s="14"/>
      <c r="BF1039" s="14"/>
      <c r="BG1039" s="14"/>
      <c r="BH1039" s="14"/>
      <c r="BI1039" s="14"/>
      <c r="BJ1039" s="14"/>
      <c r="BK1039" s="14"/>
      <c r="BL1039" s="14"/>
      <c r="BM1039" s="14"/>
      <c r="BN1039" s="14"/>
      <c r="BO1039" s="14"/>
      <c r="BP1039" s="14"/>
      <c r="BQ1039" s="14"/>
      <c r="BR1039" s="14"/>
      <c r="BS1039" s="14"/>
      <c r="BT1039" s="14"/>
      <c r="BU1039" s="14"/>
      <c r="BV1039" s="14"/>
      <c r="BW1039" s="14"/>
      <c r="BX1039" s="14"/>
      <c r="BY1039" s="14"/>
      <c r="BZ1039" s="14"/>
      <c r="CA1039" s="14"/>
      <c r="CB1039" s="14"/>
      <c r="CC1039" s="14"/>
      <c r="CD1039" s="14"/>
      <c r="CE1039" s="14"/>
      <c r="CF1039" s="14"/>
      <c r="CG1039" s="14"/>
      <c r="CH1039" s="14"/>
      <c r="CI1039" s="14"/>
      <c r="CJ1039" s="14"/>
      <c r="CK1039" s="14"/>
      <c r="CL1039" s="14"/>
      <c r="CT1039" s="14"/>
      <c r="CW1039" s="3"/>
      <c r="DG1039" s="4"/>
    </row>
    <row r="1040" customFormat="false" ht="11.25" hidden="false" customHeight="true" outlineLevel="0" collapsed="false">
      <c r="A1040" s="14"/>
      <c r="B1040" s="15"/>
      <c r="C1040" s="15"/>
      <c r="D1040" s="14"/>
      <c r="E1040" s="14"/>
      <c r="F1040" s="14"/>
      <c r="G1040" s="14"/>
      <c r="H1040" s="15"/>
      <c r="I1040" s="15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14"/>
      <c r="AU1040" s="14"/>
      <c r="AV1040" s="14"/>
      <c r="AW1040" s="14"/>
      <c r="AX1040" s="14"/>
      <c r="AY1040" s="14"/>
      <c r="AZ1040" s="14"/>
      <c r="BA1040" s="14"/>
      <c r="BB1040" s="14"/>
      <c r="BC1040" s="14"/>
      <c r="BD1040" s="14"/>
      <c r="BE1040" s="14"/>
      <c r="BF1040" s="14"/>
      <c r="BG1040" s="14"/>
      <c r="BH1040" s="14"/>
      <c r="BI1040" s="14"/>
      <c r="BJ1040" s="14"/>
      <c r="BK1040" s="14"/>
      <c r="BL1040" s="14"/>
      <c r="BM1040" s="14"/>
      <c r="BN1040" s="14"/>
      <c r="BO1040" s="14"/>
      <c r="BP1040" s="14"/>
      <c r="BQ1040" s="14"/>
      <c r="BR1040" s="14"/>
      <c r="BS1040" s="14"/>
      <c r="BT1040" s="14"/>
      <c r="BU1040" s="14"/>
      <c r="BV1040" s="14"/>
      <c r="BW1040" s="14"/>
      <c r="BX1040" s="14"/>
      <c r="BY1040" s="14"/>
      <c r="BZ1040" s="14"/>
      <c r="CA1040" s="14"/>
      <c r="CB1040" s="14"/>
      <c r="CC1040" s="14"/>
      <c r="CD1040" s="14"/>
      <c r="CE1040" s="14"/>
      <c r="CF1040" s="14"/>
      <c r="CG1040" s="14"/>
      <c r="CH1040" s="14"/>
      <c r="CI1040" s="14"/>
      <c r="CJ1040" s="14"/>
      <c r="CK1040" s="14"/>
      <c r="CL1040" s="14"/>
      <c r="CT1040" s="14"/>
      <c r="CW1040" s="3"/>
      <c r="DG1040" s="4"/>
    </row>
    <row r="1041" customFormat="false" ht="11.25" hidden="false" customHeight="true" outlineLevel="0" collapsed="false">
      <c r="A1041" s="14"/>
      <c r="B1041" s="15"/>
      <c r="C1041" s="15"/>
      <c r="D1041" s="14"/>
      <c r="E1041" s="14"/>
      <c r="F1041" s="14"/>
      <c r="G1041" s="14"/>
      <c r="H1041" s="15"/>
      <c r="I1041" s="15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14"/>
      <c r="AU1041" s="14"/>
      <c r="AV1041" s="14"/>
      <c r="AW1041" s="14"/>
      <c r="AX1041" s="14"/>
      <c r="AY1041" s="14"/>
      <c r="AZ1041" s="14"/>
      <c r="BA1041" s="14"/>
      <c r="BB1041" s="14"/>
      <c r="BC1041" s="14"/>
      <c r="BD1041" s="14"/>
      <c r="BE1041" s="14"/>
      <c r="BF1041" s="14"/>
      <c r="BG1041" s="14"/>
      <c r="BH1041" s="14"/>
      <c r="BI1041" s="14"/>
      <c r="BJ1041" s="14"/>
      <c r="BK1041" s="14"/>
      <c r="BL1041" s="14"/>
      <c r="BM1041" s="14"/>
      <c r="BN1041" s="14"/>
      <c r="BO1041" s="14"/>
      <c r="BP1041" s="14"/>
      <c r="BQ1041" s="14"/>
      <c r="BR1041" s="14"/>
      <c r="BS1041" s="14"/>
      <c r="BT1041" s="14"/>
      <c r="BU1041" s="14"/>
      <c r="BV1041" s="14"/>
      <c r="BW1041" s="14"/>
      <c r="BX1041" s="14"/>
      <c r="BY1041" s="14"/>
      <c r="BZ1041" s="14"/>
      <c r="CA1041" s="14"/>
      <c r="CB1041" s="14"/>
      <c r="CC1041" s="14"/>
      <c r="CD1041" s="14"/>
      <c r="CE1041" s="14"/>
      <c r="CF1041" s="14"/>
      <c r="CG1041" s="14"/>
      <c r="CH1041" s="14"/>
      <c r="CI1041" s="14"/>
      <c r="CJ1041" s="14"/>
      <c r="CK1041" s="14"/>
      <c r="CL1041" s="14"/>
      <c r="CT1041" s="14"/>
      <c r="CW1041" s="3"/>
      <c r="DG1041" s="4"/>
    </row>
    <row r="1042" customFormat="false" ht="11.25" hidden="false" customHeight="true" outlineLevel="0" collapsed="false">
      <c r="A1042" s="14"/>
      <c r="B1042" s="15"/>
      <c r="C1042" s="15"/>
      <c r="D1042" s="14"/>
      <c r="E1042" s="14"/>
      <c r="F1042" s="14"/>
      <c r="G1042" s="14"/>
      <c r="H1042" s="15"/>
      <c r="I1042" s="15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14"/>
      <c r="AU1042" s="14"/>
      <c r="AV1042" s="14"/>
      <c r="AW1042" s="14"/>
      <c r="AX1042" s="14"/>
      <c r="AY1042" s="14"/>
      <c r="AZ1042" s="14"/>
      <c r="BA1042" s="14"/>
      <c r="BB1042" s="14"/>
      <c r="BC1042" s="14"/>
      <c r="BD1042" s="14"/>
      <c r="BE1042" s="14"/>
      <c r="BF1042" s="14"/>
      <c r="BG1042" s="14"/>
      <c r="BH1042" s="14"/>
      <c r="BI1042" s="14"/>
      <c r="BJ1042" s="14"/>
      <c r="BK1042" s="14"/>
      <c r="BL1042" s="14"/>
      <c r="BM1042" s="14"/>
      <c r="BN1042" s="14"/>
      <c r="BO1042" s="14"/>
      <c r="BP1042" s="14"/>
      <c r="BQ1042" s="14"/>
      <c r="BR1042" s="14"/>
      <c r="BS1042" s="14"/>
      <c r="BT1042" s="14"/>
      <c r="BU1042" s="14"/>
      <c r="BV1042" s="14"/>
      <c r="BW1042" s="14"/>
      <c r="BX1042" s="14"/>
      <c r="BY1042" s="14"/>
      <c r="BZ1042" s="14"/>
      <c r="CA1042" s="14"/>
      <c r="CB1042" s="14"/>
      <c r="CC1042" s="14"/>
      <c r="CD1042" s="14"/>
      <c r="CE1042" s="14"/>
      <c r="CF1042" s="14"/>
      <c r="CG1042" s="14"/>
      <c r="CH1042" s="14"/>
      <c r="CI1042" s="14"/>
      <c r="CJ1042" s="14"/>
      <c r="CK1042" s="14"/>
      <c r="CL1042" s="14"/>
      <c r="CT1042" s="14"/>
      <c r="CW1042" s="3"/>
      <c r="DG1042" s="4"/>
    </row>
    <row r="1043" customFormat="false" ht="11.25" hidden="false" customHeight="true" outlineLevel="0" collapsed="false">
      <c r="A1043" s="14"/>
      <c r="B1043" s="15"/>
      <c r="C1043" s="15"/>
      <c r="D1043" s="14"/>
      <c r="E1043" s="14"/>
      <c r="F1043" s="14"/>
      <c r="G1043" s="14"/>
      <c r="H1043" s="15"/>
      <c r="I1043" s="15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14"/>
      <c r="AU1043" s="14"/>
      <c r="AV1043" s="14"/>
      <c r="AW1043" s="14"/>
      <c r="AX1043" s="14"/>
      <c r="AY1043" s="14"/>
      <c r="AZ1043" s="14"/>
      <c r="BA1043" s="14"/>
      <c r="BB1043" s="14"/>
      <c r="BC1043" s="14"/>
      <c r="BD1043" s="14"/>
      <c r="BE1043" s="14"/>
      <c r="BF1043" s="14"/>
      <c r="BG1043" s="14"/>
      <c r="BH1043" s="14"/>
      <c r="BI1043" s="14"/>
      <c r="BJ1043" s="14"/>
      <c r="BK1043" s="14"/>
      <c r="BL1043" s="14"/>
      <c r="BM1043" s="14"/>
      <c r="BN1043" s="14"/>
      <c r="BO1043" s="14"/>
      <c r="BP1043" s="14"/>
      <c r="BQ1043" s="14"/>
      <c r="BR1043" s="14"/>
      <c r="BS1043" s="14"/>
      <c r="BT1043" s="14"/>
      <c r="BU1043" s="14"/>
      <c r="BV1043" s="14"/>
      <c r="BW1043" s="14"/>
      <c r="BX1043" s="14"/>
      <c r="BY1043" s="14"/>
      <c r="BZ1043" s="14"/>
      <c r="CA1043" s="14"/>
      <c r="CB1043" s="14"/>
      <c r="CC1043" s="14"/>
      <c r="CD1043" s="14"/>
      <c r="CE1043" s="14"/>
      <c r="CF1043" s="14"/>
      <c r="CG1043" s="14"/>
      <c r="CH1043" s="14"/>
      <c r="CI1043" s="14"/>
      <c r="CJ1043" s="14"/>
      <c r="CK1043" s="14"/>
      <c r="CL1043" s="14"/>
      <c r="CT1043" s="14"/>
      <c r="CW1043" s="3"/>
      <c r="DG1043" s="4"/>
    </row>
    <row r="1044" customFormat="false" ht="11.25" hidden="false" customHeight="true" outlineLevel="0" collapsed="false">
      <c r="A1044" s="14"/>
      <c r="B1044" s="15"/>
      <c r="C1044" s="15"/>
      <c r="D1044" s="14"/>
      <c r="E1044" s="14"/>
      <c r="F1044" s="14"/>
      <c r="G1044" s="14"/>
      <c r="H1044" s="15"/>
      <c r="I1044" s="15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14"/>
      <c r="AU1044" s="14"/>
      <c r="AV1044" s="14"/>
      <c r="AW1044" s="14"/>
      <c r="AX1044" s="14"/>
      <c r="AY1044" s="14"/>
      <c r="AZ1044" s="14"/>
      <c r="BA1044" s="14"/>
      <c r="BB1044" s="14"/>
      <c r="BC1044" s="14"/>
      <c r="BD1044" s="14"/>
      <c r="BE1044" s="14"/>
      <c r="BF1044" s="14"/>
      <c r="BG1044" s="14"/>
      <c r="BH1044" s="14"/>
      <c r="BI1044" s="14"/>
      <c r="BJ1044" s="14"/>
      <c r="BK1044" s="14"/>
      <c r="BL1044" s="14"/>
      <c r="BM1044" s="14"/>
      <c r="BN1044" s="14"/>
      <c r="BO1044" s="14"/>
      <c r="BP1044" s="14"/>
      <c r="BQ1044" s="14"/>
      <c r="BR1044" s="14"/>
      <c r="BS1044" s="14"/>
      <c r="BT1044" s="14"/>
      <c r="BU1044" s="14"/>
      <c r="BV1044" s="14"/>
      <c r="BW1044" s="14"/>
      <c r="BX1044" s="14"/>
      <c r="BY1044" s="14"/>
      <c r="BZ1044" s="14"/>
      <c r="CA1044" s="14"/>
      <c r="CB1044" s="14"/>
      <c r="CC1044" s="14"/>
      <c r="CD1044" s="14"/>
      <c r="CE1044" s="14"/>
      <c r="CF1044" s="14"/>
      <c r="CG1044" s="14"/>
      <c r="CH1044" s="14"/>
      <c r="CI1044" s="14"/>
      <c r="CJ1044" s="14"/>
      <c r="CK1044" s="14"/>
      <c r="CL1044" s="14"/>
      <c r="CT1044" s="14"/>
      <c r="CW1044" s="3"/>
      <c r="DG1044" s="4"/>
    </row>
    <row r="1045" customFormat="false" ht="11.25" hidden="false" customHeight="true" outlineLevel="0" collapsed="false">
      <c r="A1045" s="14"/>
      <c r="B1045" s="15"/>
      <c r="C1045" s="15"/>
      <c r="D1045" s="14"/>
      <c r="E1045" s="14"/>
      <c r="F1045" s="14"/>
      <c r="G1045" s="14"/>
      <c r="H1045" s="15"/>
      <c r="I1045" s="15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14"/>
      <c r="AU1045" s="14"/>
      <c r="AV1045" s="14"/>
      <c r="AW1045" s="14"/>
      <c r="AX1045" s="14"/>
      <c r="AY1045" s="14"/>
      <c r="AZ1045" s="14"/>
      <c r="BA1045" s="14"/>
      <c r="BB1045" s="14"/>
      <c r="BC1045" s="14"/>
      <c r="BD1045" s="14"/>
      <c r="BE1045" s="14"/>
      <c r="BF1045" s="14"/>
      <c r="BG1045" s="14"/>
      <c r="BH1045" s="14"/>
      <c r="BI1045" s="14"/>
      <c r="BJ1045" s="14"/>
      <c r="BK1045" s="14"/>
      <c r="BL1045" s="14"/>
      <c r="BM1045" s="14"/>
      <c r="BN1045" s="14"/>
      <c r="BO1045" s="14"/>
      <c r="BP1045" s="14"/>
      <c r="BQ1045" s="14"/>
      <c r="BR1045" s="14"/>
      <c r="BS1045" s="14"/>
      <c r="BT1045" s="14"/>
      <c r="BU1045" s="14"/>
      <c r="BV1045" s="14"/>
      <c r="BW1045" s="14"/>
      <c r="BX1045" s="14"/>
      <c r="BY1045" s="14"/>
      <c r="BZ1045" s="14"/>
      <c r="CA1045" s="14"/>
      <c r="CB1045" s="14"/>
      <c r="CC1045" s="14"/>
      <c r="CD1045" s="14"/>
      <c r="CE1045" s="14"/>
      <c r="CF1045" s="14"/>
      <c r="CG1045" s="14"/>
      <c r="CH1045" s="14"/>
      <c r="CI1045" s="14"/>
      <c r="CJ1045" s="14"/>
      <c r="CK1045" s="14"/>
      <c r="CL1045" s="14"/>
      <c r="CT1045" s="14"/>
      <c r="CW1045" s="3"/>
      <c r="DG1045" s="4"/>
    </row>
    <row r="1046" customFormat="false" ht="11.25" hidden="false" customHeight="true" outlineLevel="0" collapsed="false">
      <c r="A1046" s="14"/>
      <c r="B1046" s="15"/>
      <c r="C1046" s="15"/>
      <c r="D1046" s="14"/>
      <c r="E1046" s="14"/>
      <c r="F1046" s="14"/>
      <c r="G1046" s="14"/>
      <c r="H1046" s="15"/>
      <c r="I1046" s="15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14"/>
      <c r="AU1046" s="14"/>
      <c r="AV1046" s="14"/>
      <c r="AW1046" s="14"/>
      <c r="AX1046" s="14"/>
      <c r="AY1046" s="14"/>
      <c r="AZ1046" s="14"/>
      <c r="BA1046" s="14"/>
      <c r="BB1046" s="14"/>
      <c r="BC1046" s="14"/>
      <c r="BD1046" s="14"/>
      <c r="BE1046" s="14"/>
      <c r="BF1046" s="14"/>
      <c r="BG1046" s="14"/>
      <c r="BH1046" s="14"/>
      <c r="BI1046" s="14"/>
      <c r="BJ1046" s="14"/>
      <c r="BK1046" s="14"/>
      <c r="BL1046" s="14"/>
      <c r="BM1046" s="14"/>
      <c r="BN1046" s="14"/>
      <c r="BO1046" s="14"/>
      <c r="BP1046" s="14"/>
      <c r="BQ1046" s="14"/>
      <c r="BR1046" s="14"/>
      <c r="BS1046" s="14"/>
      <c r="BT1046" s="14"/>
      <c r="BU1046" s="14"/>
      <c r="BV1046" s="14"/>
      <c r="BW1046" s="14"/>
      <c r="BX1046" s="14"/>
      <c r="BY1046" s="14"/>
      <c r="BZ1046" s="14"/>
      <c r="CA1046" s="14"/>
      <c r="CB1046" s="14"/>
      <c r="CC1046" s="14"/>
      <c r="CD1046" s="14"/>
      <c r="CE1046" s="14"/>
      <c r="CF1046" s="14"/>
      <c r="CG1046" s="14"/>
      <c r="CH1046" s="14"/>
      <c r="CI1046" s="14"/>
      <c r="CJ1046" s="14"/>
      <c r="CK1046" s="14"/>
      <c r="CL1046" s="14"/>
      <c r="CT1046" s="14"/>
      <c r="CW1046" s="3"/>
      <c r="DG1046" s="4"/>
    </row>
    <row r="1047" customFormat="false" ht="11.25" hidden="false" customHeight="true" outlineLevel="0" collapsed="false">
      <c r="A1047" s="14"/>
      <c r="B1047" s="15"/>
      <c r="C1047" s="15"/>
      <c r="D1047" s="14"/>
      <c r="E1047" s="14"/>
      <c r="F1047" s="14"/>
      <c r="G1047" s="14"/>
      <c r="H1047" s="15"/>
      <c r="I1047" s="15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14"/>
      <c r="AU1047" s="14"/>
      <c r="AV1047" s="14"/>
      <c r="AW1047" s="14"/>
      <c r="AX1047" s="14"/>
      <c r="AY1047" s="14"/>
      <c r="AZ1047" s="14"/>
      <c r="BA1047" s="14"/>
      <c r="BB1047" s="14"/>
      <c r="BC1047" s="14"/>
      <c r="BD1047" s="14"/>
      <c r="BE1047" s="14"/>
      <c r="BF1047" s="14"/>
      <c r="BG1047" s="14"/>
      <c r="BH1047" s="14"/>
      <c r="BI1047" s="14"/>
      <c r="BJ1047" s="14"/>
      <c r="BK1047" s="14"/>
      <c r="BL1047" s="14"/>
      <c r="BM1047" s="14"/>
      <c r="BN1047" s="14"/>
      <c r="BO1047" s="14"/>
      <c r="BP1047" s="14"/>
      <c r="BQ1047" s="14"/>
      <c r="BR1047" s="14"/>
      <c r="BS1047" s="14"/>
      <c r="BT1047" s="14"/>
      <c r="BU1047" s="14"/>
      <c r="BV1047" s="14"/>
      <c r="BW1047" s="14"/>
      <c r="BX1047" s="14"/>
      <c r="BY1047" s="14"/>
      <c r="BZ1047" s="14"/>
      <c r="CA1047" s="14"/>
      <c r="CB1047" s="14"/>
      <c r="CC1047" s="14"/>
      <c r="CD1047" s="14"/>
      <c r="CE1047" s="14"/>
      <c r="CF1047" s="14"/>
      <c r="CG1047" s="14"/>
      <c r="CH1047" s="14"/>
      <c r="CI1047" s="14"/>
      <c r="CJ1047" s="14"/>
      <c r="CK1047" s="14"/>
      <c r="CL1047" s="14"/>
      <c r="CT1047" s="14"/>
      <c r="CW1047" s="3"/>
      <c r="DG1047" s="4"/>
    </row>
    <row r="1048" customFormat="false" ht="11.25" hidden="false" customHeight="true" outlineLevel="0" collapsed="false">
      <c r="A1048" s="14"/>
      <c r="B1048" s="15"/>
      <c r="C1048" s="15"/>
      <c r="D1048" s="14"/>
      <c r="E1048" s="14"/>
      <c r="F1048" s="14"/>
      <c r="G1048" s="14"/>
      <c r="H1048" s="15"/>
      <c r="I1048" s="15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14"/>
      <c r="AU1048" s="14"/>
      <c r="AV1048" s="14"/>
      <c r="AW1048" s="14"/>
      <c r="AX1048" s="14"/>
      <c r="AY1048" s="14"/>
      <c r="AZ1048" s="14"/>
      <c r="BA1048" s="14"/>
      <c r="BB1048" s="14"/>
      <c r="BC1048" s="14"/>
      <c r="BD1048" s="14"/>
      <c r="BE1048" s="14"/>
      <c r="BF1048" s="14"/>
      <c r="BG1048" s="14"/>
      <c r="BH1048" s="14"/>
      <c r="BI1048" s="14"/>
      <c r="BJ1048" s="14"/>
      <c r="BK1048" s="14"/>
      <c r="BL1048" s="14"/>
      <c r="BM1048" s="14"/>
      <c r="BN1048" s="14"/>
      <c r="BO1048" s="14"/>
      <c r="BP1048" s="14"/>
      <c r="BQ1048" s="14"/>
      <c r="BR1048" s="14"/>
      <c r="BS1048" s="14"/>
      <c r="BT1048" s="14"/>
      <c r="BU1048" s="14"/>
      <c r="BV1048" s="14"/>
      <c r="BW1048" s="14"/>
      <c r="BX1048" s="14"/>
      <c r="BY1048" s="14"/>
      <c r="BZ1048" s="14"/>
      <c r="CA1048" s="14"/>
      <c r="CB1048" s="14"/>
      <c r="CC1048" s="14"/>
      <c r="CD1048" s="14"/>
      <c r="CE1048" s="14"/>
      <c r="CF1048" s="14"/>
      <c r="CG1048" s="14"/>
      <c r="CH1048" s="14"/>
      <c r="CI1048" s="14"/>
      <c r="CJ1048" s="14"/>
      <c r="CK1048" s="14"/>
      <c r="CL1048" s="14"/>
      <c r="CT1048" s="14"/>
      <c r="CW1048" s="3"/>
      <c r="DG1048" s="4"/>
    </row>
    <row r="1049" customFormat="false" ht="11.25" hidden="false" customHeight="true" outlineLevel="0" collapsed="false">
      <c r="A1049" s="14"/>
      <c r="B1049" s="15"/>
      <c r="C1049" s="15"/>
      <c r="D1049" s="14"/>
      <c r="E1049" s="14"/>
      <c r="F1049" s="14"/>
      <c r="G1049" s="14"/>
      <c r="H1049" s="15"/>
      <c r="I1049" s="15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14"/>
      <c r="AU1049" s="14"/>
      <c r="AV1049" s="14"/>
      <c r="AW1049" s="14"/>
      <c r="AX1049" s="14"/>
      <c r="AY1049" s="14"/>
      <c r="AZ1049" s="14"/>
      <c r="BA1049" s="14"/>
      <c r="BB1049" s="14"/>
      <c r="BC1049" s="14"/>
      <c r="BD1049" s="14"/>
      <c r="BE1049" s="14"/>
      <c r="BF1049" s="14"/>
      <c r="BG1049" s="14"/>
      <c r="BH1049" s="14"/>
      <c r="BI1049" s="14"/>
      <c r="BJ1049" s="14"/>
      <c r="BK1049" s="14"/>
      <c r="BL1049" s="14"/>
      <c r="BM1049" s="14"/>
      <c r="BN1049" s="14"/>
      <c r="BO1049" s="14"/>
      <c r="BP1049" s="14"/>
      <c r="BQ1049" s="14"/>
      <c r="BR1049" s="14"/>
      <c r="BS1049" s="14"/>
      <c r="BT1049" s="14"/>
      <c r="BU1049" s="14"/>
      <c r="BV1049" s="14"/>
      <c r="BW1049" s="14"/>
      <c r="BX1049" s="14"/>
      <c r="BY1049" s="14"/>
      <c r="BZ1049" s="14"/>
      <c r="CA1049" s="14"/>
      <c r="CB1049" s="14"/>
      <c r="CC1049" s="14"/>
      <c r="CD1049" s="14"/>
      <c r="CE1049" s="14"/>
      <c r="CF1049" s="14"/>
      <c r="CG1049" s="14"/>
      <c r="CH1049" s="14"/>
      <c r="CI1049" s="14"/>
      <c r="CJ1049" s="14"/>
      <c r="CK1049" s="14"/>
      <c r="CL1049" s="14"/>
      <c r="CT1049" s="14"/>
      <c r="CW1049" s="3"/>
      <c r="DG1049" s="4"/>
    </row>
    <row r="1050" customFormat="false" ht="11.25" hidden="false" customHeight="true" outlineLevel="0" collapsed="false">
      <c r="A1050" s="14"/>
      <c r="B1050" s="15"/>
      <c r="C1050" s="15"/>
      <c r="D1050" s="14"/>
      <c r="E1050" s="14"/>
      <c r="F1050" s="14"/>
      <c r="G1050" s="14"/>
      <c r="H1050" s="15"/>
      <c r="I1050" s="15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14"/>
      <c r="AU1050" s="14"/>
      <c r="AV1050" s="14"/>
      <c r="AW1050" s="14"/>
      <c r="AX1050" s="14"/>
      <c r="AY1050" s="14"/>
      <c r="AZ1050" s="14"/>
      <c r="BA1050" s="14"/>
      <c r="BB1050" s="14"/>
      <c r="BC1050" s="14"/>
      <c r="BD1050" s="14"/>
      <c r="BE1050" s="14"/>
      <c r="BF1050" s="14"/>
      <c r="BG1050" s="14"/>
      <c r="BH1050" s="14"/>
      <c r="BI1050" s="14"/>
      <c r="BJ1050" s="14"/>
      <c r="BK1050" s="14"/>
      <c r="BL1050" s="14"/>
      <c r="BM1050" s="14"/>
      <c r="BN1050" s="14"/>
      <c r="BO1050" s="14"/>
      <c r="BP1050" s="14"/>
      <c r="BQ1050" s="14"/>
      <c r="BR1050" s="14"/>
      <c r="BS1050" s="14"/>
      <c r="BT1050" s="14"/>
      <c r="BU1050" s="14"/>
      <c r="BV1050" s="14"/>
      <c r="BW1050" s="14"/>
      <c r="BX1050" s="14"/>
      <c r="BY1050" s="14"/>
      <c r="BZ1050" s="14"/>
      <c r="CA1050" s="14"/>
      <c r="CB1050" s="14"/>
      <c r="CC1050" s="14"/>
      <c r="CD1050" s="14"/>
      <c r="CE1050" s="14"/>
      <c r="CF1050" s="14"/>
      <c r="CG1050" s="14"/>
      <c r="CH1050" s="14"/>
      <c r="CI1050" s="14"/>
      <c r="CJ1050" s="14"/>
      <c r="CK1050" s="14"/>
      <c r="CL1050" s="14"/>
      <c r="CT1050" s="14"/>
      <c r="CW1050" s="3"/>
      <c r="DG1050" s="4"/>
    </row>
    <row r="1051" customFormat="false" ht="11.25" hidden="false" customHeight="true" outlineLevel="0" collapsed="false">
      <c r="A1051" s="14"/>
      <c r="B1051" s="15"/>
      <c r="C1051" s="15"/>
      <c r="D1051" s="14"/>
      <c r="E1051" s="14"/>
      <c r="F1051" s="14"/>
      <c r="G1051" s="14"/>
      <c r="H1051" s="15"/>
      <c r="I1051" s="15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14"/>
      <c r="AU1051" s="14"/>
      <c r="AV1051" s="14"/>
      <c r="AW1051" s="14"/>
      <c r="AX1051" s="14"/>
      <c r="AY1051" s="14"/>
      <c r="AZ1051" s="14"/>
      <c r="BA1051" s="14"/>
      <c r="BB1051" s="14"/>
      <c r="BC1051" s="14"/>
      <c r="BD1051" s="14"/>
      <c r="BE1051" s="14"/>
      <c r="BF1051" s="14"/>
      <c r="BG1051" s="14"/>
      <c r="BH1051" s="14"/>
      <c r="BI1051" s="14"/>
      <c r="BJ1051" s="14"/>
      <c r="BK1051" s="14"/>
      <c r="BL1051" s="14"/>
      <c r="BM1051" s="14"/>
      <c r="BN1051" s="14"/>
      <c r="BO1051" s="14"/>
      <c r="BP1051" s="14"/>
      <c r="BQ1051" s="14"/>
      <c r="BR1051" s="14"/>
      <c r="BS1051" s="14"/>
      <c r="BT1051" s="14"/>
      <c r="BU1051" s="14"/>
      <c r="BV1051" s="14"/>
      <c r="BW1051" s="14"/>
      <c r="BX1051" s="14"/>
      <c r="BY1051" s="14"/>
      <c r="BZ1051" s="14"/>
      <c r="CA1051" s="14"/>
      <c r="CB1051" s="14"/>
      <c r="CC1051" s="14"/>
      <c r="CD1051" s="14"/>
      <c r="CE1051" s="14"/>
      <c r="CF1051" s="14"/>
      <c r="CG1051" s="14"/>
      <c r="CH1051" s="14"/>
      <c r="CI1051" s="14"/>
      <c r="CJ1051" s="14"/>
      <c r="CK1051" s="14"/>
      <c r="CL1051" s="14"/>
      <c r="CT1051" s="14"/>
      <c r="CW1051" s="3"/>
      <c r="DG1051" s="4"/>
    </row>
    <row r="1052" customFormat="false" ht="11.25" hidden="false" customHeight="true" outlineLevel="0" collapsed="false">
      <c r="A1052" s="14"/>
      <c r="B1052" s="15"/>
      <c r="C1052" s="15"/>
      <c r="D1052" s="14"/>
      <c r="E1052" s="14"/>
      <c r="F1052" s="14"/>
      <c r="G1052" s="14"/>
      <c r="H1052" s="15"/>
      <c r="I1052" s="15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14"/>
      <c r="AU1052" s="14"/>
      <c r="AV1052" s="14"/>
      <c r="AW1052" s="14"/>
      <c r="AX1052" s="14"/>
      <c r="AY1052" s="14"/>
      <c r="AZ1052" s="14"/>
      <c r="BA1052" s="14"/>
      <c r="BB1052" s="14"/>
      <c r="BC1052" s="14"/>
      <c r="BD1052" s="14"/>
      <c r="BE1052" s="14"/>
      <c r="BF1052" s="14"/>
      <c r="BG1052" s="14"/>
      <c r="BH1052" s="14"/>
      <c r="BI1052" s="14"/>
      <c r="BJ1052" s="14"/>
      <c r="BK1052" s="14"/>
      <c r="BL1052" s="14"/>
      <c r="BM1052" s="14"/>
      <c r="BN1052" s="14"/>
      <c r="BO1052" s="14"/>
      <c r="BP1052" s="14"/>
      <c r="BQ1052" s="14"/>
      <c r="BR1052" s="14"/>
      <c r="BS1052" s="14"/>
      <c r="BT1052" s="14"/>
      <c r="BU1052" s="14"/>
      <c r="BV1052" s="14"/>
      <c r="BW1052" s="14"/>
      <c r="BX1052" s="14"/>
      <c r="BY1052" s="14"/>
      <c r="BZ1052" s="14"/>
      <c r="CA1052" s="14"/>
      <c r="CB1052" s="14"/>
      <c r="CC1052" s="14"/>
      <c r="CD1052" s="14"/>
      <c r="CE1052" s="14"/>
      <c r="CF1052" s="14"/>
      <c r="CG1052" s="14"/>
      <c r="CH1052" s="14"/>
      <c r="CI1052" s="14"/>
      <c r="CJ1052" s="14"/>
      <c r="CK1052" s="14"/>
      <c r="CL1052" s="14"/>
      <c r="CT1052" s="14"/>
      <c r="CW1052" s="3"/>
      <c r="DG1052" s="4"/>
    </row>
    <row r="1053" customFormat="false" ht="11.25" hidden="false" customHeight="true" outlineLevel="0" collapsed="false">
      <c r="A1053" s="14"/>
      <c r="B1053" s="15"/>
      <c r="C1053" s="15"/>
      <c r="D1053" s="14"/>
      <c r="E1053" s="14"/>
      <c r="F1053" s="14"/>
      <c r="G1053" s="14"/>
      <c r="H1053" s="15"/>
      <c r="I1053" s="15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14"/>
      <c r="AU1053" s="14"/>
      <c r="AV1053" s="14"/>
      <c r="AW1053" s="14"/>
      <c r="AX1053" s="14"/>
      <c r="AY1053" s="14"/>
      <c r="AZ1053" s="14"/>
      <c r="BA1053" s="14"/>
      <c r="BB1053" s="14"/>
      <c r="BC1053" s="14"/>
      <c r="BD1053" s="14"/>
      <c r="BE1053" s="14"/>
      <c r="BF1053" s="14"/>
      <c r="BG1053" s="14"/>
      <c r="BH1053" s="14"/>
      <c r="BI1053" s="14"/>
      <c r="BJ1053" s="14"/>
      <c r="BK1053" s="14"/>
      <c r="BL1053" s="14"/>
      <c r="BM1053" s="14"/>
      <c r="BN1053" s="14"/>
      <c r="BO1053" s="14"/>
      <c r="BP1053" s="14"/>
      <c r="BQ1053" s="14"/>
      <c r="BR1053" s="14"/>
      <c r="BS1053" s="14"/>
      <c r="BT1053" s="14"/>
      <c r="BU1053" s="14"/>
      <c r="BV1053" s="14"/>
      <c r="BW1053" s="14"/>
      <c r="BX1053" s="14"/>
      <c r="BY1053" s="14"/>
      <c r="BZ1053" s="14"/>
      <c r="CA1053" s="14"/>
      <c r="CB1053" s="14"/>
      <c r="CC1053" s="14"/>
      <c r="CD1053" s="14"/>
      <c r="CE1053" s="14"/>
      <c r="CF1053" s="14"/>
      <c r="CG1053" s="14"/>
      <c r="CH1053" s="14"/>
      <c r="CI1053" s="14"/>
      <c r="CJ1053" s="14"/>
      <c r="CK1053" s="14"/>
      <c r="CL1053" s="14"/>
      <c r="CT1053" s="14"/>
      <c r="CW1053" s="3"/>
      <c r="DG1053" s="4"/>
    </row>
    <row r="1054" customFormat="false" ht="11.25" hidden="false" customHeight="true" outlineLevel="0" collapsed="false">
      <c r="A1054" s="14"/>
      <c r="B1054" s="15"/>
      <c r="C1054" s="15"/>
      <c r="D1054" s="14"/>
      <c r="E1054" s="14"/>
      <c r="F1054" s="14"/>
      <c r="G1054" s="14"/>
      <c r="H1054" s="15"/>
      <c r="I1054" s="15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14"/>
      <c r="AU1054" s="14"/>
      <c r="AV1054" s="14"/>
      <c r="AW1054" s="14"/>
      <c r="AX1054" s="14"/>
      <c r="AY1054" s="14"/>
      <c r="AZ1054" s="14"/>
      <c r="BA1054" s="14"/>
      <c r="BB1054" s="14"/>
      <c r="BC1054" s="14"/>
      <c r="BD1054" s="14"/>
      <c r="BE1054" s="14"/>
      <c r="BF1054" s="14"/>
      <c r="BG1054" s="14"/>
      <c r="BH1054" s="14"/>
      <c r="BI1054" s="14"/>
      <c r="BJ1054" s="14"/>
      <c r="BK1054" s="14"/>
      <c r="BL1054" s="14"/>
      <c r="BM1054" s="14"/>
      <c r="BN1054" s="14"/>
      <c r="BO1054" s="14"/>
      <c r="BP1054" s="14"/>
      <c r="BQ1054" s="14"/>
      <c r="BR1054" s="14"/>
      <c r="BS1054" s="14"/>
      <c r="BT1054" s="14"/>
      <c r="BU1054" s="14"/>
      <c r="BV1054" s="14"/>
      <c r="BW1054" s="14"/>
      <c r="BX1054" s="14"/>
      <c r="BY1054" s="14"/>
      <c r="BZ1054" s="14"/>
      <c r="CA1054" s="14"/>
      <c r="CB1054" s="14"/>
      <c r="CC1054" s="14"/>
      <c r="CD1054" s="14"/>
      <c r="CE1054" s="14"/>
      <c r="CF1054" s="14"/>
      <c r="CG1054" s="14"/>
      <c r="CH1054" s="14"/>
      <c r="CI1054" s="14"/>
      <c r="CJ1054" s="14"/>
      <c r="CK1054" s="14"/>
      <c r="CL1054" s="14"/>
      <c r="CT1054" s="14"/>
      <c r="CW1054" s="3"/>
      <c r="DG1054" s="4"/>
    </row>
    <row r="1055" customFormat="false" ht="11.25" hidden="false" customHeight="true" outlineLevel="0" collapsed="false">
      <c r="A1055" s="14"/>
      <c r="B1055" s="15"/>
      <c r="C1055" s="15"/>
      <c r="D1055" s="14"/>
      <c r="E1055" s="14"/>
      <c r="F1055" s="14"/>
      <c r="G1055" s="14"/>
      <c r="H1055" s="15"/>
      <c r="I1055" s="15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14"/>
      <c r="AU1055" s="14"/>
      <c r="AV1055" s="14"/>
      <c r="AW1055" s="14"/>
      <c r="AX1055" s="14"/>
      <c r="AY1055" s="14"/>
      <c r="AZ1055" s="14"/>
      <c r="BA1055" s="14"/>
      <c r="BB1055" s="14"/>
      <c r="BC1055" s="14"/>
      <c r="BD1055" s="14"/>
      <c r="BE1055" s="14"/>
      <c r="BF1055" s="14"/>
      <c r="BG1055" s="14"/>
      <c r="BH1055" s="14"/>
      <c r="BI1055" s="14"/>
      <c r="BJ1055" s="14"/>
      <c r="BK1055" s="14"/>
      <c r="BL1055" s="14"/>
      <c r="BM1055" s="14"/>
      <c r="BN1055" s="14"/>
      <c r="BO1055" s="14"/>
      <c r="BP1055" s="14"/>
      <c r="BQ1055" s="14"/>
      <c r="BR1055" s="14"/>
      <c r="BS1055" s="14"/>
      <c r="BT1055" s="14"/>
      <c r="BU1055" s="14"/>
      <c r="BV1055" s="14"/>
      <c r="BW1055" s="14"/>
      <c r="BX1055" s="14"/>
      <c r="BY1055" s="14"/>
      <c r="BZ1055" s="14"/>
      <c r="CA1055" s="14"/>
      <c r="CB1055" s="14"/>
      <c r="CC1055" s="14"/>
      <c r="CD1055" s="14"/>
      <c r="CE1055" s="14"/>
      <c r="CF1055" s="14"/>
      <c r="CG1055" s="14"/>
      <c r="CH1055" s="14"/>
      <c r="CI1055" s="14"/>
      <c r="CJ1055" s="14"/>
      <c r="CK1055" s="14"/>
      <c r="CL1055" s="14"/>
      <c r="CT1055" s="14"/>
      <c r="CW1055" s="3"/>
      <c r="DG1055" s="4"/>
    </row>
    <row r="1056" customFormat="false" ht="11.25" hidden="false" customHeight="true" outlineLevel="0" collapsed="false">
      <c r="A1056" s="14"/>
      <c r="B1056" s="15"/>
      <c r="C1056" s="15"/>
      <c r="D1056" s="14"/>
      <c r="E1056" s="14"/>
      <c r="F1056" s="14"/>
      <c r="G1056" s="14"/>
      <c r="H1056" s="15"/>
      <c r="I1056" s="15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14"/>
      <c r="AU1056" s="14"/>
      <c r="AV1056" s="14"/>
      <c r="AW1056" s="14"/>
      <c r="AX1056" s="14"/>
      <c r="AY1056" s="14"/>
      <c r="AZ1056" s="14"/>
      <c r="BA1056" s="14"/>
      <c r="BB1056" s="14"/>
      <c r="BC1056" s="14"/>
      <c r="BD1056" s="14"/>
      <c r="BE1056" s="14"/>
      <c r="BF1056" s="14"/>
      <c r="BG1056" s="14"/>
      <c r="BH1056" s="14"/>
      <c r="BI1056" s="14"/>
      <c r="BJ1056" s="14"/>
      <c r="BK1056" s="14"/>
      <c r="BL1056" s="14"/>
      <c r="BM1056" s="14"/>
      <c r="BN1056" s="14"/>
      <c r="BO1056" s="14"/>
      <c r="BP1056" s="14"/>
      <c r="BQ1056" s="14"/>
      <c r="BR1056" s="14"/>
      <c r="BS1056" s="14"/>
      <c r="BT1056" s="14"/>
      <c r="BU1056" s="14"/>
      <c r="BV1056" s="14"/>
      <c r="BW1056" s="14"/>
      <c r="BX1056" s="14"/>
      <c r="BY1056" s="14"/>
      <c r="BZ1056" s="14"/>
      <c r="CA1056" s="14"/>
      <c r="CB1056" s="14"/>
      <c r="CC1056" s="14"/>
      <c r="CD1056" s="14"/>
      <c r="CE1056" s="14"/>
      <c r="CF1056" s="14"/>
      <c r="CG1056" s="14"/>
      <c r="CH1056" s="14"/>
      <c r="CI1056" s="14"/>
      <c r="CJ1056" s="14"/>
      <c r="CK1056" s="14"/>
      <c r="CL1056" s="14"/>
      <c r="CT1056" s="14"/>
      <c r="CW1056" s="3"/>
      <c r="DG1056" s="4"/>
    </row>
    <row r="1057" customFormat="false" ht="11.25" hidden="false" customHeight="true" outlineLevel="0" collapsed="false">
      <c r="A1057" s="14"/>
      <c r="B1057" s="15"/>
      <c r="C1057" s="15"/>
      <c r="D1057" s="14"/>
      <c r="E1057" s="14"/>
      <c r="F1057" s="14"/>
      <c r="G1057" s="14"/>
      <c r="H1057" s="15"/>
      <c r="I1057" s="15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14"/>
      <c r="AU1057" s="14"/>
      <c r="AV1057" s="14"/>
      <c r="AW1057" s="14"/>
      <c r="AX1057" s="14"/>
      <c r="AY1057" s="14"/>
      <c r="AZ1057" s="14"/>
      <c r="BA1057" s="14"/>
      <c r="BB1057" s="14"/>
      <c r="BC1057" s="14"/>
      <c r="BD1057" s="14"/>
      <c r="BE1057" s="14"/>
      <c r="BF1057" s="14"/>
      <c r="BG1057" s="14"/>
      <c r="BH1057" s="14"/>
      <c r="BI1057" s="14"/>
      <c r="BJ1057" s="14"/>
      <c r="BK1057" s="14"/>
      <c r="BL1057" s="14"/>
      <c r="BM1057" s="14"/>
      <c r="BN1057" s="14"/>
      <c r="BO1057" s="14"/>
      <c r="BP1057" s="14"/>
      <c r="BQ1057" s="14"/>
      <c r="BR1057" s="14"/>
      <c r="BS1057" s="14"/>
      <c r="BT1057" s="14"/>
      <c r="BU1057" s="14"/>
      <c r="BV1057" s="14"/>
      <c r="BW1057" s="14"/>
      <c r="BX1057" s="14"/>
      <c r="BY1057" s="14"/>
      <c r="BZ1057" s="14"/>
      <c r="CA1057" s="14"/>
      <c r="CB1057" s="14"/>
      <c r="CC1057" s="14"/>
      <c r="CD1057" s="14"/>
      <c r="CE1057" s="14"/>
      <c r="CF1057" s="14"/>
      <c r="CG1057" s="14"/>
      <c r="CH1057" s="14"/>
      <c r="CI1057" s="14"/>
      <c r="CJ1057" s="14"/>
      <c r="CK1057" s="14"/>
      <c r="CL1057" s="14"/>
      <c r="CT1057" s="14"/>
      <c r="CW1057" s="3"/>
      <c r="DG1057" s="4"/>
    </row>
    <row r="1058" customFormat="false" ht="11.25" hidden="false" customHeight="true" outlineLevel="0" collapsed="false">
      <c r="A1058" s="14"/>
      <c r="B1058" s="15"/>
      <c r="C1058" s="15"/>
      <c r="D1058" s="14"/>
      <c r="E1058" s="14"/>
      <c r="F1058" s="14"/>
      <c r="G1058" s="14"/>
      <c r="H1058" s="15"/>
      <c r="I1058" s="15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14"/>
      <c r="AU1058" s="14"/>
      <c r="AV1058" s="14"/>
      <c r="AW1058" s="14"/>
      <c r="AX1058" s="14"/>
      <c r="AY1058" s="14"/>
      <c r="AZ1058" s="14"/>
      <c r="BA1058" s="14"/>
      <c r="BB1058" s="14"/>
      <c r="BC1058" s="14"/>
      <c r="BD1058" s="14"/>
      <c r="BE1058" s="14"/>
      <c r="BF1058" s="14"/>
      <c r="BG1058" s="14"/>
      <c r="BH1058" s="14"/>
      <c r="BI1058" s="14"/>
      <c r="BJ1058" s="14"/>
      <c r="BK1058" s="14"/>
      <c r="BL1058" s="14"/>
      <c r="BM1058" s="14"/>
      <c r="BN1058" s="14"/>
      <c r="BO1058" s="14"/>
      <c r="BP1058" s="14"/>
      <c r="BQ1058" s="14"/>
      <c r="BR1058" s="14"/>
      <c r="BS1058" s="14"/>
      <c r="BT1058" s="14"/>
      <c r="BU1058" s="14"/>
      <c r="BV1058" s="14"/>
      <c r="BW1058" s="14"/>
      <c r="BX1058" s="14"/>
      <c r="BY1058" s="14"/>
      <c r="BZ1058" s="14"/>
      <c r="CA1058" s="14"/>
      <c r="CB1058" s="14"/>
      <c r="CC1058" s="14"/>
      <c r="CD1058" s="14"/>
      <c r="CE1058" s="14"/>
      <c r="CF1058" s="14"/>
      <c r="CG1058" s="14"/>
      <c r="CH1058" s="14"/>
      <c r="CI1058" s="14"/>
      <c r="CJ1058" s="14"/>
      <c r="CK1058" s="14"/>
      <c r="CL1058" s="14"/>
      <c r="CT1058" s="14"/>
      <c r="CW1058" s="3"/>
      <c r="DG1058" s="4"/>
    </row>
    <row r="1059" customFormat="false" ht="11.25" hidden="false" customHeight="true" outlineLevel="0" collapsed="false">
      <c r="A1059" s="14"/>
      <c r="B1059" s="15"/>
      <c r="C1059" s="15"/>
      <c r="D1059" s="14"/>
      <c r="E1059" s="14"/>
      <c r="F1059" s="14"/>
      <c r="G1059" s="14"/>
      <c r="H1059" s="15"/>
      <c r="I1059" s="15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14"/>
      <c r="AU1059" s="14"/>
      <c r="AV1059" s="14"/>
      <c r="AW1059" s="14"/>
      <c r="AX1059" s="14"/>
      <c r="AY1059" s="14"/>
      <c r="AZ1059" s="14"/>
      <c r="BA1059" s="14"/>
      <c r="BB1059" s="14"/>
      <c r="BC1059" s="14"/>
      <c r="BD1059" s="14"/>
      <c r="BE1059" s="14"/>
      <c r="BF1059" s="14"/>
      <c r="BG1059" s="14"/>
      <c r="BH1059" s="14"/>
      <c r="BI1059" s="14"/>
      <c r="BJ1059" s="14"/>
      <c r="BK1059" s="14"/>
      <c r="BL1059" s="14"/>
      <c r="BM1059" s="14"/>
      <c r="BN1059" s="14"/>
      <c r="BO1059" s="14"/>
      <c r="BP1059" s="14"/>
      <c r="BQ1059" s="14"/>
      <c r="BR1059" s="14"/>
      <c r="BS1059" s="14"/>
      <c r="BT1059" s="14"/>
      <c r="BU1059" s="14"/>
      <c r="BV1059" s="14"/>
      <c r="BW1059" s="14"/>
      <c r="BX1059" s="14"/>
      <c r="BY1059" s="14"/>
      <c r="BZ1059" s="14"/>
      <c r="CA1059" s="14"/>
      <c r="CB1059" s="14"/>
      <c r="CC1059" s="14"/>
      <c r="CD1059" s="14"/>
      <c r="CE1059" s="14"/>
      <c r="CF1059" s="14"/>
      <c r="CG1059" s="14"/>
      <c r="CH1059" s="14"/>
      <c r="CI1059" s="14"/>
      <c r="CJ1059" s="14"/>
      <c r="CK1059" s="14"/>
      <c r="CL1059" s="14"/>
      <c r="CT1059" s="14"/>
      <c r="CW1059" s="3"/>
      <c r="DG1059" s="4"/>
    </row>
    <row r="1060" customFormat="false" ht="11.25" hidden="false" customHeight="true" outlineLevel="0" collapsed="false">
      <c r="A1060" s="14"/>
      <c r="B1060" s="15"/>
      <c r="C1060" s="15"/>
      <c r="D1060" s="14"/>
      <c r="E1060" s="14"/>
      <c r="F1060" s="14"/>
      <c r="G1060" s="14"/>
      <c r="H1060" s="15"/>
      <c r="I1060" s="15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14"/>
      <c r="AU1060" s="14"/>
      <c r="AV1060" s="14"/>
      <c r="AW1060" s="14"/>
      <c r="AX1060" s="14"/>
      <c r="AY1060" s="14"/>
      <c r="AZ1060" s="14"/>
      <c r="BA1060" s="14"/>
      <c r="BB1060" s="14"/>
      <c r="BC1060" s="14"/>
      <c r="BD1060" s="14"/>
      <c r="BE1060" s="14"/>
      <c r="BF1060" s="14"/>
      <c r="BG1060" s="14"/>
      <c r="BH1060" s="14"/>
      <c r="BI1060" s="14"/>
      <c r="BJ1060" s="14"/>
      <c r="BK1060" s="14"/>
      <c r="BL1060" s="14"/>
      <c r="BM1060" s="14"/>
      <c r="BN1060" s="14"/>
      <c r="BO1060" s="14"/>
      <c r="BP1060" s="14"/>
      <c r="BQ1060" s="14"/>
      <c r="BR1060" s="14"/>
      <c r="BS1060" s="14"/>
      <c r="BT1060" s="14"/>
      <c r="BU1060" s="14"/>
      <c r="BV1060" s="14"/>
      <c r="BW1060" s="14"/>
      <c r="BX1060" s="14"/>
      <c r="BY1060" s="14"/>
      <c r="BZ1060" s="14"/>
      <c r="CA1060" s="14"/>
      <c r="CB1060" s="14"/>
      <c r="CC1060" s="14"/>
      <c r="CD1060" s="14"/>
      <c r="CE1060" s="14"/>
      <c r="CF1060" s="14"/>
      <c r="CG1060" s="14"/>
      <c r="CH1060" s="14"/>
      <c r="CI1060" s="14"/>
      <c r="CJ1060" s="14"/>
      <c r="CK1060" s="14"/>
      <c r="CL1060" s="14"/>
      <c r="CT1060" s="14"/>
      <c r="CW1060" s="3"/>
      <c r="DG1060" s="4"/>
    </row>
    <row r="1061" customFormat="false" ht="11.25" hidden="false" customHeight="true" outlineLevel="0" collapsed="false">
      <c r="CK1061" s="1"/>
      <c r="CW1061" s="3"/>
      <c r="DG1061" s="4"/>
    </row>
    <row r="1062" customFormat="false" ht="11.25" hidden="false" customHeight="true" outlineLevel="0" collapsed="false">
      <c r="CK1062" s="1"/>
      <c r="CW1062" s="3"/>
      <c r="DG1062" s="4"/>
    </row>
    <row r="1063" customFormat="false" ht="11.25" hidden="false" customHeight="true" outlineLevel="0" collapsed="false">
      <c r="CK1063" s="1"/>
      <c r="CW1063" s="3"/>
      <c r="DG1063" s="4"/>
    </row>
    <row r="1064" customFormat="false" ht="11.25" hidden="false" customHeight="true" outlineLevel="0" collapsed="false">
      <c r="CK1064" s="1"/>
      <c r="CW1064" s="3"/>
      <c r="DG1064" s="4"/>
    </row>
    <row r="1065" customFormat="false" ht="11.25" hidden="false" customHeight="true" outlineLevel="0" collapsed="false">
      <c r="CK1065" s="1"/>
      <c r="CW1065" s="3"/>
      <c r="DG1065" s="4"/>
    </row>
    <row r="1066" customFormat="false" ht="11.25" hidden="false" customHeight="true" outlineLevel="0" collapsed="false">
      <c r="CK1066" s="1"/>
      <c r="CW1066" s="3"/>
      <c r="DG1066" s="4"/>
    </row>
    <row r="1067" customFormat="false" ht="11.25" hidden="false" customHeight="true" outlineLevel="0" collapsed="false">
      <c r="CK1067" s="1"/>
      <c r="CW1067" s="3"/>
      <c r="DG1067" s="4"/>
    </row>
    <row r="1068" customFormat="false" ht="11.25" hidden="false" customHeight="true" outlineLevel="0" collapsed="false">
      <c r="CK1068" s="1"/>
      <c r="CW1068" s="3"/>
      <c r="DG1068" s="4"/>
    </row>
    <row r="1069" customFormat="false" ht="11.25" hidden="false" customHeight="true" outlineLevel="0" collapsed="false">
      <c r="CK1069" s="1"/>
      <c r="CW1069" s="3"/>
      <c r="DG1069" s="4"/>
    </row>
    <row r="1070" customFormat="false" ht="11.25" hidden="false" customHeight="true" outlineLevel="0" collapsed="false">
      <c r="CK1070" s="1"/>
      <c r="CW1070" s="3"/>
      <c r="DG1070" s="4"/>
    </row>
    <row r="1071" customFormat="false" ht="11.25" hidden="false" customHeight="true" outlineLevel="0" collapsed="false">
      <c r="CK1071" s="1"/>
      <c r="CW1071" s="3"/>
      <c r="DG1071" s="4"/>
    </row>
    <row r="1072" customFormat="false" ht="11.25" hidden="false" customHeight="true" outlineLevel="0" collapsed="false">
      <c r="CK1072" s="1"/>
      <c r="CW1072" s="3"/>
      <c r="DG1072" s="4"/>
    </row>
    <row r="1073" customFormat="false" ht="11.25" hidden="false" customHeight="true" outlineLevel="0" collapsed="false">
      <c r="CK1073" s="1"/>
      <c r="CW1073" s="3"/>
      <c r="DG1073" s="4"/>
    </row>
    <row r="1074" customFormat="false" ht="11.25" hidden="false" customHeight="true" outlineLevel="0" collapsed="false">
      <c r="CK1074" s="1"/>
      <c r="CW1074" s="3"/>
      <c r="DG1074" s="4"/>
    </row>
    <row r="1075" customFormat="false" ht="11.25" hidden="false" customHeight="true" outlineLevel="0" collapsed="false">
      <c r="CK1075" s="1"/>
      <c r="CW1075" s="3"/>
      <c r="DG1075" s="4"/>
    </row>
    <row r="1076" customFormat="false" ht="11.25" hidden="false" customHeight="true" outlineLevel="0" collapsed="false">
      <c r="CK1076" s="1"/>
      <c r="CW1076" s="3"/>
      <c r="DG1076" s="4"/>
    </row>
    <row r="1077" customFormat="false" ht="11.25" hidden="false" customHeight="true" outlineLevel="0" collapsed="false">
      <c r="CK1077" s="1"/>
      <c r="CW1077" s="3"/>
      <c r="DG1077" s="4"/>
    </row>
    <row r="1078" customFormat="false" ht="11.25" hidden="false" customHeight="true" outlineLevel="0" collapsed="false">
      <c r="CK1078" s="1"/>
      <c r="CW1078" s="3"/>
      <c r="DG1078" s="4"/>
    </row>
    <row r="1079" customFormat="false" ht="11.25" hidden="false" customHeight="true" outlineLevel="0" collapsed="false">
      <c r="CK1079" s="1"/>
      <c r="CW1079" s="3"/>
      <c r="DG1079" s="4"/>
    </row>
    <row r="1080" customFormat="false" ht="11.25" hidden="false" customHeight="true" outlineLevel="0" collapsed="false">
      <c r="CK1080" s="1"/>
      <c r="CW1080" s="3"/>
      <c r="DG1080" s="4"/>
    </row>
    <row r="1081" customFormat="false" ht="11.25" hidden="false" customHeight="true" outlineLevel="0" collapsed="false">
      <c r="CK1081" s="1"/>
      <c r="CW1081" s="3"/>
      <c r="DG1081" s="4"/>
    </row>
    <row r="1082" customFormat="false" ht="11.25" hidden="false" customHeight="true" outlineLevel="0" collapsed="false">
      <c r="CK1082" s="1"/>
      <c r="CW1082" s="3"/>
      <c r="DG1082" s="4"/>
    </row>
    <row r="1083" customFormat="false" ht="11.25" hidden="false" customHeight="true" outlineLevel="0" collapsed="false">
      <c r="CK1083" s="1"/>
      <c r="CW1083" s="3"/>
      <c r="DG1083" s="4"/>
    </row>
    <row r="1084" customFormat="false" ht="11.25" hidden="false" customHeight="true" outlineLevel="0" collapsed="false">
      <c r="CK1084" s="1"/>
      <c r="CW1084" s="3"/>
      <c r="DG1084" s="4"/>
    </row>
    <row r="1085" customFormat="false" ht="11.25" hidden="false" customHeight="true" outlineLevel="0" collapsed="false">
      <c r="CK1085" s="1"/>
      <c r="CW1085" s="3"/>
      <c r="DG1085" s="4"/>
    </row>
    <row r="1086" customFormat="false" ht="11.25" hidden="false" customHeight="true" outlineLevel="0" collapsed="false">
      <c r="CK1086" s="1"/>
      <c r="CW1086" s="3"/>
      <c r="DG1086" s="4"/>
    </row>
    <row r="1087" customFormat="false" ht="11.25" hidden="false" customHeight="true" outlineLevel="0" collapsed="false">
      <c r="CK1087" s="1"/>
      <c r="CW1087" s="3"/>
      <c r="DG1087" s="4"/>
    </row>
    <row r="1088" customFormat="false" ht="11.25" hidden="false" customHeight="true" outlineLevel="0" collapsed="false">
      <c r="CK1088" s="1"/>
      <c r="CW1088" s="3"/>
      <c r="DG1088" s="4"/>
    </row>
    <row r="1089" customFormat="false" ht="11.25" hidden="false" customHeight="true" outlineLevel="0" collapsed="false">
      <c r="CK1089" s="1"/>
      <c r="CW1089" s="3"/>
      <c r="DG1089" s="4"/>
    </row>
    <row r="1090" customFormat="false" ht="11.25" hidden="false" customHeight="true" outlineLevel="0" collapsed="false">
      <c r="CK1090" s="1"/>
      <c r="CW1090" s="3"/>
      <c r="DG1090" s="4"/>
    </row>
    <row r="1091" customFormat="false" ht="11.25" hidden="false" customHeight="true" outlineLevel="0" collapsed="false">
      <c r="CK1091" s="1"/>
      <c r="CW1091" s="3"/>
      <c r="DG1091" s="4"/>
    </row>
    <row r="1092" customFormat="false" ht="11.25" hidden="false" customHeight="true" outlineLevel="0" collapsed="false">
      <c r="CK1092" s="1"/>
      <c r="CW1092" s="3"/>
      <c r="DG1092" s="4"/>
    </row>
    <row r="1093" customFormat="false" ht="11.25" hidden="false" customHeight="true" outlineLevel="0" collapsed="false">
      <c r="CK1093" s="1"/>
      <c r="CW1093" s="3"/>
      <c r="DG1093" s="4"/>
    </row>
    <row r="1094" customFormat="false" ht="11.25" hidden="false" customHeight="true" outlineLevel="0" collapsed="false">
      <c r="CK1094" s="1"/>
      <c r="CW1094" s="3"/>
      <c r="DG1094" s="4"/>
    </row>
    <row r="1095" customFormat="false" ht="11.25" hidden="false" customHeight="true" outlineLevel="0" collapsed="false">
      <c r="CK1095" s="1"/>
      <c r="CW1095" s="3"/>
      <c r="DG1095" s="4"/>
    </row>
    <row r="1096" customFormat="false" ht="11.25" hidden="false" customHeight="true" outlineLevel="0" collapsed="false">
      <c r="CK1096" s="1"/>
      <c r="CW1096" s="3"/>
      <c r="DG1096" s="4"/>
    </row>
    <row r="1097" customFormat="false" ht="11.25" hidden="false" customHeight="true" outlineLevel="0" collapsed="false">
      <c r="CK1097" s="1"/>
      <c r="CW1097" s="3"/>
      <c r="DG1097" s="4"/>
    </row>
    <row r="1098" customFormat="false" ht="11.25" hidden="false" customHeight="true" outlineLevel="0" collapsed="false">
      <c r="CK1098" s="1"/>
      <c r="CW1098" s="3"/>
      <c r="DG1098" s="4"/>
    </row>
    <row r="1099" customFormat="false" ht="11.25" hidden="false" customHeight="true" outlineLevel="0" collapsed="false">
      <c r="CK1099" s="1"/>
      <c r="CW1099" s="3"/>
      <c r="DG1099" s="4"/>
    </row>
    <row r="1100" customFormat="false" ht="11.25" hidden="false" customHeight="true" outlineLevel="0" collapsed="false">
      <c r="CK1100" s="1"/>
      <c r="CW1100" s="3"/>
      <c r="DG1100" s="4"/>
    </row>
    <row r="1101" customFormat="false" ht="11.25" hidden="false" customHeight="true" outlineLevel="0" collapsed="false">
      <c r="CK1101" s="1"/>
      <c r="CW1101" s="3"/>
      <c r="DG1101" s="4"/>
    </row>
    <row r="1102" customFormat="false" ht="11.25" hidden="false" customHeight="true" outlineLevel="0" collapsed="false">
      <c r="CK1102" s="1"/>
      <c r="CW1102" s="3"/>
      <c r="DG1102" s="4"/>
    </row>
    <row r="1103" customFormat="false" ht="11.25" hidden="false" customHeight="true" outlineLevel="0" collapsed="false">
      <c r="CK1103" s="1"/>
      <c r="CW1103" s="3"/>
      <c r="DG1103" s="4"/>
    </row>
    <row r="1104" customFormat="false" ht="11.25" hidden="false" customHeight="true" outlineLevel="0" collapsed="false">
      <c r="CK1104" s="1"/>
      <c r="CW1104" s="3"/>
      <c r="DG1104" s="4"/>
    </row>
    <row r="1105" customFormat="false" ht="11.25" hidden="false" customHeight="true" outlineLevel="0" collapsed="false">
      <c r="CK1105" s="1"/>
      <c r="CW1105" s="3"/>
      <c r="DG1105" s="4"/>
    </row>
    <row r="1106" customFormat="false" ht="11.25" hidden="false" customHeight="true" outlineLevel="0" collapsed="false">
      <c r="CK1106" s="1"/>
      <c r="CW1106" s="3"/>
      <c r="DG1106" s="4"/>
    </row>
    <row r="1107" customFormat="false" ht="11.25" hidden="false" customHeight="true" outlineLevel="0" collapsed="false">
      <c r="CK1107" s="1"/>
      <c r="CW1107" s="3"/>
      <c r="DG1107" s="4"/>
    </row>
    <row r="1108" customFormat="false" ht="11.25" hidden="false" customHeight="true" outlineLevel="0" collapsed="false">
      <c r="CK1108" s="1"/>
      <c r="CW1108" s="3"/>
      <c r="DG1108" s="4"/>
    </row>
    <row r="1109" customFormat="false" ht="11.25" hidden="false" customHeight="true" outlineLevel="0" collapsed="false">
      <c r="CK1109" s="1"/>
      <c r="CW1109" s="3"/>
      <c r="DG1109" s="4"/>
    </row>
    <row r="1110" customFormat="false" ht="11.25" hidden="false" customHeight="true" outlineLevel="0" collapsed="false">
      <c r="CK1110" s="1"/>
      <c r="CW1110" s="3"/>
      <c r="DG1110" s="4"/>
    </row>
    <row r="1111" customFormat="false" ht="11.25" hidden="false" customHeight="true" outlineLevel="0" collapsed="false">
      <c r="CK1111" s="1"/>
      <c r="CW1111" s="3"/>
      <c r="DG1111" s="4"/>
    </row>
    <row r="1112" customFormat="false" ht="11.25" hidden="false" customHeight="true" outlineLevel="0" collapsed="false">
      <c r="CK1112" s="1"/>
      <c r="CW1112" s="3"/>
      <c r="DG1112" s="4"/>
    </row>
    <row r="1113" customFormat="false" ht="11.25" hidden="false" customHeight="true" outlineLevel="0" collapsed="false">
      <c r="CK1113" s="1"/>
      <c r="CW1113" s="3"/>
      <c r="DG1113" s="4"/>
    </row>
    <row r="1114" customFormat="false" ht="11.25" hidden="false" customHeight="true" outlineLevel="0" collapsed="false">
      <c r="CK1114" s="1"/>
      <c r="CW1114" s="3"/>
      <c r="DG1114" s="4"/>
    </row>
    <row r="1115" customFormat="false" ht="11.25" hidden="false" customHeight="true" outlineLevel="0" collapsed="false">
      <c r="CK1115" s="1"/>
      <c r="CW1115" s="3"/>
      <c r="DG1115" s="4"/>
    </row>
    <row r="1116" customFormat="false" ht="11.25" hidden="false" customHeight="true" outlineLevel="0" collapsed="false">
      <c r="CK1116" s="1"/>
      <c r="CW1116" s="3"/>
      <c r="DG1116" s="4"/>
    </row>
    <row r="1117" customFormat="false" ht="11.25" hidden="false" customHeight="true" outlineLevel="0" collapsed="false">
      <c r="CK1117" s="1"/>
      <c r="CW1117" s="3"/>
      <c r="DG1117" s="4"/>
    </row>
    <row r="1118" customFormat="false" ht="11.25" hidden="false" customHeight="true" outlineLevel="0" collapsed="false">
      <c r="CK1118" s="1"/>
      <c r="CW1118" s="3"/>
      <c r="DG1118" s="4"/>
    </row>
    <row r="1119" customFormat="false" ht="11.25" hidden="false" customHeight="true" outlineLevel="0" collapsed="false">
      <c r="CK1119" s="1"/>
      <c r="CW1119" s="3"/>
      <c r="DG1119" s="4"/>
    </row>
    <row r="1120" customFormat="false" ht="11.25" hidden="false" customHeight="true" outlineLevel="0" collapsed="false">
      <c r="CK1120" s="1"/>
      <c r="CW1120" s="3"/>
      <c r="DG1120" s="4"/>
    </row>
    <row r="1121" customFormat="false" ht="11.25" hidden="false" customHeight="true" outlineLevel="0" collapsed="false">
      <c r="CK1121" s="1"/>
      <c r="CW1121" s="3"/>
      <c r="DG1121" s="4"/>
    </row>
    <row r="1122" customFormat="false" ht="11.25" hidden="false" customHeight="true" outlineLevel="0" collapsed="false">
      <c r="CK1122" s="1"/>
      <c r="CW1122" s="3"/>
      <c r="DG1122" s="4"/>
    </row>
    <row r="1123" customFormat="false" ht="11.25" hidden="false" customHeight="true" outlineLevel="0" collapsed="false">
      <c r="CK1123" s="1"/>
      <c r="CW1123" s="3"/>
      <c r="DG1123" s="4"/>
    </row>
    <row r="1124" customFormat="false" ht="11.25" hidden="false" customHeight="true" outlineLevel="0" collapsed="false">
      <c r="CK1124" s="1"/>
      <c r="CW1124" s="3"/>
      <c r="DG1124" s="4"/>
    </row>
    <row r="1125" customFormat="false" ht="11.25" hidden="false" customHeight="true" outlineLevel="0" collapsed="false">
      <c r="CK1125" s="1"/>
      <c r="CW1125" s="3"/>
      <c r="DG1125" s="4"/>
    </row>
    <row r="1126" customFormat="false" ht="11.25" hidden="false" customHeight="true" outlineLevel="0" collapsed="false">
      <c r="CK1126" s="1"/>
      <c r="CW1126" s="3"/>
      <c r="DG1126" s="4"/>
    </row>
    <row r="1127" customFormat="false" ht="11.25" hidden="false" customHeight="true" outlineLevel="0" collapsed="false">
      <c r="CK1127" s="1"/>
      <c r="CW1127" s="3"/>
      <c r="DG1127" s="4"/>
    </row>
    <row r="1128" customFormat="false" ht="11.25" hidden="false" customHeight="true" outlineLevel="0" collapsed="false">
      <c r="CK1128" s="1"/>
      <c r="CW1128" s="3"/>
      <c r="DG1128" s="4"/>
    </row>
    <row r="1129" customFormat="false" ht="11.25" hidden="false" customHeight="true" outlineLevel="0" collapsed="false">
      <c r="CK1129" s="1"/>
      <c r="CW1129" s="3"/>
      <c r="DG1129" s="4"/>
    </row>
    <row r="1130" customFormat="false" ht="11.25" hidden="false" customHeight="true" outlineLevel="0" collapsed="false">
      <c r="CK1130" s="1"/>
      <c r="CW1130" s="3"/>
      <c r="DG1130" s="4"/>
    </row>
    <row r="1131" customFormat="false" ht="11.25" hidden="false" customHeight="true" outlineLevel="0" collapsed="false">
      <c r="CK1131" s="1"/>
      <c r="CW1131" s="3"/>
      <c r="DG1131" s="4"/>
    </row>
    <row r="1132" customFormat="false" ht="11.25" hidden="false" customHeight="true" outlineLevel="0" collapsed="false">
      <c r="CK1132" s="1"/>
      <c r="CW1132" s="3"/>
      <c r="DG1132" s="4"/>
    </row>
    <row r="1133" customFormat="false" ht="11.25" hidden="false" customHeight="true" outlineLevel="0" collapsed="false">
      <c r="CK1133" s="1"/>
      <c r="CW1133" s="3"/>
      <c r="DG1133" s="4"/>
    </row>
    <row r="1134" customFormat="false" ht="11.25" hidden="false" customHeight="true" outlineLevel="0" collapsed="false">
      <c r="CK1134" s="1"/>
      <c r="CW1134" s="3"/>
      <c r="DG1134" s="4"/>
    </row>
    <row r="1135" customFormat="false" ht="11.25" hidden="false" customHeight="true" outlineLevel="0" collapsed="false">
      <c r="CK1135" s="1"/>
      <c r="CW1135" s="3"/>
      <c r="DG1135" s="4"/>
    </row>
    <row r="1136" customFormat="false" ht="11.25" hidden="false" customHeight="true" outlineLevel="0" collapsed="false">
      <c r="CK1136" s="1"/>
      <c r="CW1136" s="3"/>
      <c r="DG1136" s="4"/>
    </row>
    <row r="1137" customFormat="false" ht="11.25" hidden="false" customHeight="true" outlineLevel="0" collapsed="false">
      <c r="CK1137" s="1"/>
      <c r="CW1137" s="3"/>
      <c r="DG1137" s="4"/>
    </row>
    <row r="1138" customFormat="false" ht="11.25" hidden="false" customHeight="true" outlineLevel="0" collapsed="false">
      <c r="CK1138" s="1"/>
      <c r="CW1138" s="3"/>
      <c r="DG1138" s="4"/>
    </row>
    <row r="1139" customFormat="false" ht="11.25" hidden="false" customHeight="true" outlineLevel="0" collapsed="false">
      <c r="CK1139" s="1"/>
      <c r="CW1139" s="3"/>
      <c r="DG1139" s="4"/>
    </row>
    <row r="1140" customFormat="false" ht="11.25" hidden="false" customHeight="true" outlineLevel="0" collapsed="false">
      <c r="CK1140" s="1"/>
      <c r="CW1140" s="3"/>
      <c r="DG1140" s="4"/>
    </row>
    <row r="1141" customFormat="false" ht="11.25" hidden="false" customHeight="true" outlineLevel="0" collapsed="false">
      <c r="CK1141" s="1"/>
      <c r="CW1141" s="3"/>
      <c r="DG1141" s="4"/>
    </row>
    <row r="1142" customFormat="false" ht="11.25" hidden="false" customHeight="true" outlineLevel="0" collapsed="false">
      <c r="CK1142" s="1"/>
      <c r="CW1142" s="3"/>
      <c r="DG1142" s="4"/>
    </row>
    <row r="1143" customFormat="false" ht="11.25" hidden="false" customHeight="true" outlineLevel="0" collapsed="false">
      <c r="CK1143" s="1"/>
      <c r="CW1143" s="3"/>
      <c r="DG1143" s="4"/>
    </row>
    <row r="1144" customFormat="false" ht="11.25" hidden="false" customHeight="true" outlineLevel="0" collapsed="false">
      <c r="CK1144" s="1"/>
      <c r="CW1144" s="3"/>
      <c r="DG1144" s="4"/>
    </row>
    <row r="1145" customFormat="false" ht="11.25" hidden="false" customHeight="true" outlineLevel="0" collapsed="false">
      <c r="CK1145" s="1"/>
      <c r="CW1145" s="3"/>
      <c r="DG1145" s="4"/>
    </row>
    <row r="1146" customFormat="false" ht="11.25" hidden="false" customHeight="true" outlineLevel="0" collapsed="false">
      <c r="CK1146" s="1"/>
      <c r="CW1146" s="3"/>
      <c r="DG1146" s="4"/>
    </row>
    <row r="1147" customFormat="false" ht="11.25" hidden="false" customHeight="true" outlineLevel="0" collapsed="false">
      <c r="CK1147" s="1"/>
      <c r="CW1147" s="3"/>
      <c r="DG1147" s="4"/>
    </row>
    <row r="1148" customFormat="false" ht="11.25" hidden="false" customHeight="true" outlineLevel="0" collapsed="false">
      <c r="CK1148" s="1"/>
      <c r="CW1148" s="3"/>
      <c r="DG1148" s="4"/>
    </row>
    <row r="1149" customFormat="false" ht="11.25" hidden="false" customHeight="true" outlineLevel="0" collapsed="false">
      <c r="CK1149" s="1"/>
      <c r="CW1149" s="3"/>
      <c r="DG1149" s="4"/>
    </row>
    <row r="1150" customFormat="false" ht="11.25" hidden="false" customHeight="true" outlineLevel="0" collapsed="false">
      <c r="CK1150" s="1"/>
      <c r="CW1150" s="3"/>
      <c r="DG1150" s="4"/>
    </row>
    <row r="1151" customFormat="false" ht="11.25" hidden="false" customHeight="true" outlineLevel="0" collapsed="false">
      <c r="CK1151" s="1"/>
      <c r="CW1151" s="3"/>
      <c r="DG1151" s="4"/>
    </row>
    <row r="1152" customFormat="false" ht="11.25" hidden="false" customHeight="true" outlineLevel="0" collapsed="false">
      <c r="CK1152" s="1"/>
      <c r="CW1152" s="3"/>
      <c r="DG1152" s="4"/>
    </row>
    <row r="1153" customFormat="false" ht="11.25" hidden="false" customHeight="true" outlineLevel="0" collapsed="false">
      <c r="CK1153" s="1"/>
      <c r="CW1153" s="3"/>
      <c r="DG1153" s="4"/>
    </row>
    <row r="1154" customFormat="false" ht="11.25" hidden="false" customHeight="true" outlineLevel="0" collapsed="false">
      <c r="CK1154" s="1"/>
      <c r="CW1154" s="3"/>
      <c r="DG1154" s="4"/>
    </row>
    <row r="1155" customFormat="false" ht="11.25" hidden="false" customHeight="true" outlineLevel="0" collapsed="false">
      <c r="CK1155" s="1"/>
      <c r="CW1155" s="3"/>
      <c r="DG1155" s="4"/>
    </row>
    <row r="1156" customFormat="false" ht="11.25" hidden="false" customHeight="true" outlineLevel="0" collapsed="false">
      <c r="CK1156" s="1"/>
      <c r="CW1156" s="3"/>
      <c r="DG1156" s="4"/>
    </row>
    <row r="1157" customFormat="false" ht="11.25" hidden="false" customHeight="true" outlineLevel="0" collapsed="false">
      <c r="CK1157" s="1"/>
      <c r="CW1157" s="3"/>
      <c r="DG1157" s="4"/>
    </row>
    <row r="1158" customFormat="false" ht="11.25" hidden="false" customHeight="true" outlineLevel="0" collapsed="false">
      <c r="CK1158" s="1"/>
      <c r="CW1158" s="3"/>
      <c r="DG1158" s="4"/>
    </row>
    <row r="1159" customFormat="false" ht="11.25" hidden="false" customHeight="true" outlineLevel="0" collapsed="false">
      <c r="CK1159" s="1"/>
      <c r="CW1159" s="3"/>
      <c r="DG1159" s="4"/>
    </row>
    <row r="1160" customFormat="false" ht="11.25" hidden="false" customHeight="true" outlineLevel="0" collapsed="false">
      <c r="CK1160" s="1"/>
      <c r="CW1160" s="3"/>
      <c r="DG1160" s="4"/>
    </row>
    <row r="1161" customFormat="false" ht="11.25" hidden="false" customHeight="true" outlineLevel="0" collapsed="false">
      <c r="CK1161" s="1"/>
      <c r="CW1161" s="3"/>
      <c r="DG1161" s="4"/>
    </row>
    <row r="1162" customFormat="false" ht="11.25" hidden="false" customHeight="true" outlineLevel="0" collapsed="false">
      <c r="CK1162" s="1"/>
      <c r="CW1162" s="3"/>
      <c r="DG1162" s="4"/>
    </row>
    <row r="1163" customFormat="false" ht="11.25" hidden="false" customHeight="true" outlineLevel="0" collapsed="false">
      <c r="CK1163" s="1"/>
      <c r="CW1163" s="3"/>
      <c r="DG1163" s="4"/>
    </row>
    <row r="1164" customFormat="false" ht="11.25" hidden="false" customHeight="true" outlineLevel="0" collapsed="false">
      <c r="CK1164" s="1"/>
      <c r="CW1164" s="3"/>
      <c r="DG1164" s="4"/>
    </row>
    <row r="1165" customFormat="false" ht="11.25" hidden="false" customHeight="true" outlineLevel="0" collapsed="false">
      <c r="CK1165" s="1"/>
      <c r="CW1165" s="3"/>
      <c r="DG1165" s="4"/>
    </row>
    <row r="1166" customFormat="false" ht="11.25" hidden="false" customHeight="true" outlineLevel="0" collapsed="false">
      <c r="CK1166" s="1"/>
      <c r="CW1166" s="3"/>
      <c r="DG1166" s="4"/>
    </row>
    <row r="1167" customFormat="false" ht="11.25" hidden="false" customHeight="true" outlineLevel="0" collapsed="false">
      <c r="CK1167" s="1"/>
      <c r="CW1167" s="3"/>
      <c r="DG1167" s="4"/>
    </row>
    <row r="1168" customFormat="false" ht="11.25" hidden="false" customHeight="true" outlineLevel="0" collapsed="false">
      <c r="CK1168" s="1"/>
      <c r="CW1168" s="3"/>
      <c r="DG1168" s="4"/>
    </row>
    <row r="1169" customFormat="false" ht="11.25" hidden="false" customHeight="true" outlineLevel="0" collapsed="false">
      <c r="CK1169" s="1"/>
      <c r="CW1169" s="3"/>
      <c r="DG1169" s="4"/>
    </row>
    <row r="1170" customFormat="false" ht="11.25" hidden="false" customHeight="true" outlineLevel="0" collapsed="false">
      <c r="CK1170" s="1"/>
      <c r="CW1170" s="3"/>
      <c r="DG1170" s="4"/>
    </row>
    <row r="1171" customFormat="false" ht="11.25" hidden="false" customHeight="true" outlineLevel="0" collapsed="false">
      <c r="CK1171" s="1"/>
      <c r="CW1171" s="3"/>
      <c r="DG1171" s="4"/>
    </row>
    <row r="1172" customFormat="false" ht="11.25" hidden="false" customHeight="true" outlineLevel="0" collapsed="false">
      <c r="CK1172" s="1"/>
      <c r="CW1172" s="3"/>
      <c r="DG1172" s="4"/>
    </row>
    <row r="1173" customFormat="false" ht="11.25" hidden="false" customHeight="true" outlineLevel="0" collapsed="false">
      <c r="CK1173" s="1"/>
      <c r="CW1173" s="3"/>
      <c r="DG1173" s="4"/>
    </row>
    <row r="1174" customFormat="false" ht="11.25" hidden="false" customHeight="true" outlineLevel="0" collapsed="false">
      <c r="CK1174" s="1"/>
      <c r="CW1174" s="3"/>
      <c r="DG1174" s="4"/>
    </row>
    <row r="1175" customFormat="false" ht="11.25" hidden="false" customHeight="true" outlineLevel="0" collapsed="false">
      <c r="CK1175" s="1"/>
      <c r="CW1175" s="3"/>
      <c r="DG1175" s="4"/>
    </row>
    <row r="1176" customFormat="false" ht="11.25" hidden="false" customHeight="true" outlineLevel="0" collapsed="false">
      <c r="CK1176" s="1"/>
      <c r="CW1176" s="3"/>
      <c r="DG1176" s="4"/>
    </row>
    <row r="1177" customFormat="false" ht="11.25" hidden="false" customHeight="true" outlineLevel="0" collapsed="false">
      <c r="CK1177" s="1"/>
      <c r="CW1177" s="3"/>
      <c r="DG1177" s="4"/>
    </row>
    <row r="1178" customFormat="false" ht="11.25" hidden="false" customHeight="true" outlineLevel="0" collapsed="false">
      <c r="CK1178" s="1"/>
      <c r="CW1178" s="3"/>
      <c r="DG1178" s="4"/>
    </row>
    <row r="1179" customFormat="false" ht="11.25" hidden="false" customHeight="true" outlineLevel="0" collapsed="false">
      <c r="CK1179" s="1"/>
      <c r="CW1179" s="3"/>
      <c r="DG1179" s="4"/>
    </row>
    <row r="1180" customFormat="false" ht="11.25" hidden="false" customHeight="true" outlineLevel="0" collapsed="false">
      <c r="CK1180" s="1"/>
      <c r="CW1180" s="3"/>
      <c r="DG1180" s="4"/>
    </row>
    <row r="1181" customFormat="false" ht="11.25" hidden="false" customHeight="true" outlineLevel="0" collapsed="false">
      <c r="CK1181" s="1"/>
      <c r="CW1181" s="3"/>
      <c r="DG1181" s="4"/>
    </row>
    <row r="1182" customFormat="false" ht="11.25" hidden="false" customHeight="true" outlineLevel="0" collapsed="false">
      <c r="CK1182" s="1"/>
      <c r="CW1182" s="3"/>
      <c r="DG1182" s="4"/>
    </row>
    <row r="1183" customFormat="false" ht="11.25" hidden="false" customHeight="true" outlineLevel="0" collapsed="false">
      <c r="CK1183" s="1"/>
      <c r="CW1183" s="3"/>
      <c r="DG1183" s="4"/>
    </row>
    <row r="1184" customFormat="false" ht="11.25" hidden="false" customHeight="true" outlineLevel="0" collapsed="false">
      <c r="CK1184" s="1"/>
      <c r="CW1184" s="3"/>
      <c r="DG1184" s="4"/>
    </row>
    <row r="1185" customFormat="false" ht="11.25" hidden="false" customHeight="true" outlineLevel="0" collapsed="false">
      <c r="CK1185" s="1"/>
      <c r="CW1185" s="3"/>
      <c r="DG1185" s="4"/>
    </row>
    <row r="1186" customFormat="false" ht="11.25" hidden="false" customHeight="true" outlineLevel="0" collapsed="false">
      <c r="CK1186" s="1"/>
      <c r="CW1186" s="3"/>
      <c r="DG1186" s="4"/>
    </row>
    <row r="1187" customFormat="false" ht="11.25" hidden="false" customHeight="true" outlineLevel="0" collapsed="false">
      <c r="CK1187" s="1"/>
      <c r="CW1187" s="3"/>
      <c r="DG1187" s="4"/>
    </row>
    <row r="1188" customFormat="false" ht="11.25" hidden="false" customHeight="true" outlineLevel="0" collapsed="false">
      <c r="CK1188" s="1"/>
      <c r="CW1188" s="3"/>
      <c r="DG1188" s="4"/>
    </row>
    <row r="1189" customFormat="false" ht="11.25" hidden="false" customHeight="true" outlineLevel="0" collapsed="false">
      <c r="CK1189" s="1"/>
      <c r="CW1189" s="3"/>
      <c r="DG1189" s="4"/>
    </row>
    <row r="1190" customFormat="false" ht="11.25" hidden="false" customHeight="true" outlineLevel="0" collapsed="false">
      <c r="CK1190" s="1"/>
      <c r="CW1190" s="3"/>
      <c r="DG1190" s="4"/>
    </row>
    <row r="1191" customFormat="false" ht="11.25" hidden="false" customHeight="true" outlineLevel="0" collapsed="false">
      <c r="CK1191" s="1"/>
      <c r="CW1191" s="3"/>
      <c r="DG1191" s="4"/>
    </row>
    <row r="1192" customFormat="false" ht="11.25" hidden="false" customHeight="true" outlineLevel="0" collapsed="false">
      <c r="CK1192" s="1"/>
      <c r="CW1192" s="3"/>
      <c r="DG1192" s="4"/>
    </row>
    <row r="1193" customFormat="false" ht="11.25" hidden="false" customHeight="true" outlineLevel="0" collapsed="false">
      <c r="CK1193" s="1"/>
      <c r="CW1193" s="3"/>
      <c r="DG1193" s="4"/>
    </row>
    <row r="1194" customFormat="false" ht="11.25" hidden="false" customHeight="true" outlineLevel="0" collapsed="false">
      <c r="CK1194" s="1"/>
      <c r="CW1194" s="3"/>
      <c r="DG1194" s="4"/>
    </row>
    <row r="1195" customFormat="false" ht="11.25" hidden="false" customHeight="true" outlineLevel="0" collapsed="false">
      <c r="CK1195" s="1"/>
      <c r="CW1195" s="3"/>
      <c r="DG1195" s="4"/>
    </row>
    <row r="1196" customFormat="false" ht="11.25" hidden="false" customHeight="true" outlineLevel="0" collapsed="false">
      <c r="CK1196" s="1"/>
      <c r="CW1196" s="3"/>
      <c r="DG1196" s="4"/>
    </row>
    <row r="1197" customFormat="false" ht="11.25" hidden="false" customHeight="true" outlineLevel="0" collapsed="false">
      <c r="CK1197" s="1"/>
      <c r="CW1197" s="3"/>
      <c r="DG1197" s="4"/>
    </row>
    <row r="1198" customFormat="false" ht="11.25" hidden="false" customHeight="true" outlineLevel="0" collapsed="false">
      <c r="CK1198" s="1"/>
      <c r="CW1198" s="3"/>
      <c r="DG1198" s="4"/>
    </row>
    <row r="1199" customFormat="false" ht="11.25" hidden="false" customHeight="true" outlineLevel="0" collapsed="false">
      <c r="CK1199" s="1"/>
      <c r="CW1199" s="3"/>
      <c r="DG1199" s="4"/>
    </row>
    <row r="1200" customFormat="false" ht="11.25" hidden="false" customHeight="true" outlineLevel="0" collapsed="false">
      <c r="CK1200" s="1"/>
      <c r="CW1200" s="3"/>
      <c r="DG1200" s="4"/>
    </row>
    <row r="1201" customFormat="false" ht="11.25" hidden="false" customHeight="true" outlineLevel="0" collapsed="false">
      <c r="CK1201" s="1"/>
      <c r="CW1201" s="3"/>
      <c r="DG1201" s="4"/>
    </row>
    <row r="1202" customFormat="false" ht="11.25" hidden="false" customHeight="true" outlineLevel="0" collapsed="false">
      <c r="CK1202" s="1"/>
      <c r="CW1202" s="3"/>
      <c r="DG1202" s="4"/>
    </row>
    <row r="1203" customFormat="false" ht="11.25" hidden="false" customHeight="true" outlineLevel="0" collapsed="false">
      <c r="CK1203" s="1"/>
      <c r="CW1203" s="3"/>
      <c r="DG1203" s="4"/>
    </row>
    <row r="1204" customFormat="false" ht="11.25" hidden="false" customHeight="true" outlineLevel="0" collapsed="false">
      <c r="CK1204" s="1"/>
      <c r="CW1204" s="3"/>
      <c r="DG1204" s="4"/>
    </row>
    <row r="1205" customFormat="false" ht="11.25" hidden="false" customHeight="true" outlineLevel="0" collapsed="false">
      <c r="CK1205" s="1"/>
      <c r="CW1205" s="3"/>
      <c r="DG1205" s="4"/>
    </row>
    <row r="1206" customFormat="false" ht="11.25" hidden="false" customHeight="true" outlineLevel="0" collapsed="false">
      <c r="CK1206" s="1"/>
      <c r="CW1206" s="3"/>
      <c r="DG1206" s="4"/>
    </row>
    <row r="1207" customFormat="false" ht="11.25" hidden="false" customHeight="true" outlineLevel="0" collapsed="false">
      <c r="CK1207" s="1"/>
      <c r="CW1207" s="3"/>
      <c r="DG1207" s="4"/>
    </row>
    <row r="1208" customFormat="false" ht="11.25" hidden="false" customHeight="true" outlineLevel="0" collapsed="false">
      <c r="CK1208" s="1"/>
      <c r="CW1208" s="3"/>
      <c r="DG1208" s="4"/>
    </row>
    <row r="1209" customFormat="false" ht="11.25" hidden="false" customHeight="true" outlineLevel="0" collapsed="false">
      <c r="CK1209" s="1"/>
      <c r="CW1209" s="3"/>
      <c r="DG1209" s="4"/>
    </row>
    <row r="1210" customFormat="false" ht="11.25" hidden="false" customHeight="true" outlineLevel="0" collapsed="false">
      <c r="CK1210" s="1"/>
      <c r="CW1210" s="3"/>
      <c r="DG1210" s="4"/>
    </row>
    <row r="1211" customFormat="false" ht="11.25" hidden="false" customHeight="true" outlineLevel="0" collapsed="false">
      <c r="CK1211" s="1"/>
      <c r="CW1211" s="3"/>
      <c r="DG1211" s="4"/>
    </row>
    <row r="1212" customFormat="false" ht="11.25" hidden="false" customHeight="true" outlineLevel="0" collapsed="false">
      <c r="CK1212" s="1"/>
      <c r="CW1212" s="3"/>
      <c r="DG1212" s="4"/>
    </row>
    <row r="1213" customFormat="false" ht="11.25" hidden="false" customHeight="true" outlineLevel="0" collapsed="false">
      <c r="CK1213" s="1"/>
      <c r="CW1213" s="3"/>
      <c r="DG1213" s="4"/>
    </row>
    <row r="1214" customFormat="false" ht="11.25" hidden="false" customHeight="true" outlineLevel="0" collapsed="false">
      <c r="CK1214" s="1"/>
      <c r="CW1214" s="3"/>
      <c r="DG1214" s="4"/>
    </row>
    <row r="1215" customFormat="false" ht="11.25" hidden="false" customHeight="true" outlineLevel="0" collapsed="false">
      <c r="CK1215" s="1"/>
      <c r="CW1215" s="3"/>
      <c r="DG1215" s="4"/>
    </row>
    <row r="1216" customFormat="false" ht="11.25" hidden="false" customHeight="true" outlineLevel="0" collapsed="false">
      <c r="CK1216" s="1"/>
      <c r="CW1216" s="3"/>
      <c r="DG1216" s="4"/>
    </row>
    <row r="1217" customFormat="false" ht="11.25" hidden="false" customHeight="true" outlineLevel="0" collapsed="false">
      <c r="CK1217" s="1"/>
      <c r="CW1217" s="3"/>
      <c r="DG1217" s="4"/>
    </row>
    <row r="1218" customFormat="false" ht="11.25" hidden="false" customHeight="true" outlineLevel="0" collapsed="false">
      <c r="CK1218" s="1"/>
      <c r="CW1218" s="3"/>
      <c r="DG1218" s="4"/>
    </row>
    <row r="1219" customFormat="false" ht="11.25" hidden="false" customHeight="true" outlineLevel="0" collapsed="false">
      <c r="CK1219" s="1"/>
      <c r="CW1219" s="3"/>
      <c r="DG1219" s="4"/>
    </row>
    <row r="1220" customFormat="false" ht="11.25" hidden="false" customHeight="true" outlineLevel="0" collapsed="false">
      <c r="CK1220" s="1"/>
      <c r="CW1220" s="3"/>
      <c r="DG1220" s="4"/>
    </row>
    <row r="1221" customFormat="false" ht="11.25" hidden="false" customHeight="true" outlineLevel="0" collapsed="false">
      <c r="CK1221" s="1"/>
      <c r="CW1221" s="3"/>
      <c r="DG1221" s="4"/>
    </row>
    <row r="1222" customFormat="false" ht="11.25" hidden="false" customHeight="true" outlineLevel="0" collapsed="false">
      <c r="CK1222" s="1"/>
      <c r="CW1222" s="3"/>
      <c r="DG1222" s="4"/>
    </row>
    <row r="1223" customFormat="false" ht="11.25" hidden="false" customHeight="true" outlineLevel="0" collapsed="false">
      <c r="CK1223" s="1"/>
      <c r="CW1223" s="3"/>
      <c r="DG1223" s="4"/>
    </row>
    <row r="1224" customFormat="false" ht="11.25" hidden="false" customHeight="true" outlineLevel="0" collapsed="false">
      <c r="CK1224" s="1"/>
      <c r="CW1224" s="3"/>
      <c r="DG1224" s="4"/>
    </row>
    <row r="1225" customFormat="false" ht="11.25" hidden="false" customHeight="true" outlineLevel="0" collapsed="false">
      <c r="CK1225" s="1"/>
      <c r="CW1225" s="3"/>
      <c r="DG1225" s="4"/>
    </row>
    <row r="1226" customFormat="false" ht="11.25" hidden="false" customHeight="true" outlineLevel="0" collapsed="false">
      <c r="CK1226" s="1"/>
      <c r="CW1226" s="3"/>
      <c r="DG1226" s="4"/>
    </row>
    <row r="1227" customFormat="false" ht="11.25" hidden="false" customHeight="true" outlineLevel="0" collapsed="false">
      <c r="CK1227" s="1"/>
      <c r="CW1227" s="3"/>
      <c r="DG1227" s="4"/>
    </row>
    <row r="1228" customFormat="false" ht="11.25" hidden="false" customHeight="true" outlineLevel="0" collapsed="false">
      <c r="CK1228" s="1"/>
      <c r="CW1228" s="3"/>
      <c r="DG1228" s="4"/>
    </row>
    <row r="1229" customFormat="false" ht="11.25" hidden="false" customHeight="true" outlineLevel="0" collapsed="false">
      <c r="CK1229" s="1"/>
      <c r="CW1229" s="3"/>
      <c r="DG1229" s="4"/>
    </row>
    <row r="1230" customFormat="false" ht="11.25" hidden="false" customHeight="true" outlineLevel="0" collapsed="false">
      <c r="CK1230" s="1"/>
      <c r="CW1230" s="3"/>
      <c r="DG1230" s="4"/>
    </row>
    <row r="1231" customFormat="false" ht="11.25" hidden="false" customHeight="true" outlineLevel="0" collapsed="false">
      <c r="CK1231" s="1"/>
      <c r="CW1231" s="3"/>
      <c r="DG1231" s="4"/>
    </row>
    <row r="1232" customFormat="false" ht="11.25" hidden="false" customHeight="true" outlineLevel="0" collapsed="false">
      <c r="CK1232" s="1"/>
      <c r="CW1232" s="3"/>
      <c r="DG1232" s="4"/>
    </row>
    <row r="1233" customFormat="false" ht="11.25" hidden="false" customHeight="true" outlineLevel="0" collapsed="false">
      <c r="CK1233" s="1"/>
      <c r="CW1233" s="3"/>
      <c r="DG1233" s="4"/>
    </row>
    <row r="1234" customFormat="false" ht="11.25" hidden="false" customHeight="true" outlineLevel="0" collapsed="false">
      <c r="CK1234" s="1"/>
      <c r="CW1234" s="3"/>
      <c r="DG1234" s="4"/>
    </row>
    <row r="1235" customFormat="false" ht="11.25" hidden="false" customHeight="true" outlineLevel="0" collapsed="false">
      <c r="CK1235" s="1"/>
      <c r="CW1235" s="3"/>
      <c r="DG1235" s="4"/>
    </row>
    <row r="1236" customFormat="false" ht="11.25" hidden="false" customHeight="true" outlineLevel="0" collapsed="false">
      <c r="CK1236" s="1"/>
      <c r="CW1236" s="3"/>
      <c r="DG1236" s="4"/>
    </row>
    <row r="1237" customFormat="false" ht="11.25" hidden="false" customHeight="true" outlineLevel="0" collapsed="false">
      <c r="CK1237" s="1"/>
      <c r="CW1237" s="3"/>
      <c r="DG1237" s="4"/>
    </row>
    <row r="1238" customFormat="false" ht="11.25" hidden="false" customHeight="true" outlineLevel="0" collapsed="false">
      <c r="CK1238" s="1"/>
      <c r="CW1238" s="3"/>
      <c r="DG1238" s="4"/>
    </row>
    <row r="1239" customFormat="false" ht="11.25" hidden="false" customHeight="true" outlineLevel="0" collapsed="false">
      <c r="CK1239" s="1"/>
      <c r="CW1239" s="3"/>
      <c r="DG1239" s="4"/>
    </row>
    <row r="1240" customFormat="false" ht="11.25" hidden="false" customHeight="true" outlineLevel="0" collapsed="false">
      <c r="CK1240" s="1"/>
      <c r="CW1240" s="3"/>
      <c r="DG1240" s="4"/>
    </row>
    <row r="1241" customFormat="false" ht="11.25" hidden="false" customHeight="true" outlineLevel="0" collapsed="false">
      <c r="CK1241" s="1"/>
      <c r="CW1241" s="3"/>
      <c r="DG1241" s="4"/>
    </row>
    <row r="1242" customFormat="false" ht="11.25" hidden="false" customHeight="true" outlineLevel="0" collapsed="false">
      <c r="CK1242" s="1"/>
      <c r="CW1242" s="3"/>
      <c r="DG1242" s="4"/>
    </row>
    <row r="1243" customFormat="false" ht="11.25" hidden="false" customHeight="true" outlineLevel="0" collapsed="false">
      <c r="CK1243" s="1"/>
      <c r="CW1243" s="3"/>
      <c r="DG1243" s="4"/>
    </row>
    <row r="1244" customFormat="false" ht="11.25" hidden="false" customHeight="true" outlineLevel="0" collapsed="false">
      <c r="CK1244" s="1"/>
      <c r="CW1244" s="3"/>
      <c r="DG1244" s="4"/>
    </row>
    <row r="1245" customFormat="false" ht="11.25" hidden="false" customHeight="true" outlineLevel="0" collapsed="false">
      <c r="CK1245" s="1"/>
      <c r="CW1245" s="3"/>
      <c r="DG1245" s="4"/>
    </row>
    <row r="1246" customFormat="false" ht="11.25" hidden="false" customHeight="true" outlineLevel="0" collapsed="false">
      <c r="CK1246" s="1"/>
      <c r="CW1246" s="3"/>
      <c r="DG1246" s="4"/>
    </row>
    <row r="1247" customFormat="false" ht="11.25" hidden="false" customHeight="true" outlineLevel="0" collapsed="false">
      <c r="CK1247" s="1"/>
      <c r="CW1247" s="3"/>
      <c r="DG1247" s="4"/>
    </row>
    <row r="1248" customFormat="false" ht="11.25" hidden="false" customHeight="true" outlineLevel="0" collapsed="false">
      <c r="CK1248" s="1"/>
      <c r="CW1248" s="3"/>
      <c r="DG1248" s="4"/>
    </row>
    <row r="1249" customFormat="false" ht="11.25" hidden="false" customHeight="true" outlineLevel="0" collapsed="false">
      <c r="CK1249" s="1"/>
      <c r="CW1249" s="3"/>
      <c r="DG1249" s="4"/>
    </row>
    <row r="1250" customFormat="false" ht="11.25" hidden="false" customHeight="true" outlineLevel="0" collapsed="false">
      <c r="CK1250" s="1"/>
      <c r="CW1250" s="3"/>
      <c r="DG1250" s="4"/>
    </row>
    <row r="1251" customFormat="false" ht="11.25" hidden="false" customHeight="true" outlineLevel="0" collapsed="false">
      <c r="CK1251" s="1"/>
      <c r="CW1251" s="3"/>
      <c r="DG1251" s="4"/>
    </row>
    <row r="1252" customFormat="false" ht="11.25" hidden="false" customHeight="true" outlineLevel="0" collapsed="false">
      <c r="CK1252" s="1"/>
      <c r="CW1252" s="3"/>
      <c r="DG1252" s="4"/>
    </row>
    <row r="1253" customFormat="false" ht="11.25" hidden="false" customHeight="true" outlineLevel="0" collapsed="false">
      <c r="CK1253" s="1"/>
      <c r="CW1253" s="3"/>
      <c r="DG1253" s="4"/>
    </row>
    <row r="1254" customFormat="false" ht="11.25" hidden="false" customHeight="true" outlineLevel="0" collapsed="false">
      <c r="CK1254" s="1"/>
      <c r="CW1254" s="3"/>
      <c r="DG1254" s="4"/>
    </row>
    <row r="1255" customFormat="false" ht="11.25" hidden="false" customHeight="true" outlineLevel="0" collapsed="false">
      <c r="CK1255" s="1"/>
      <c r="CW1255" s="3"/>
      <c r="DG1255" s="4"/>
    </row>
    <row r="1256" customFormat="false" ht="11.25" hidden="false" customHeight="true" outlineLevel="0" collapsed="false">
      <c r="CK1256" s="1"/>
      <c r="CW1256" s="3"/>
      <c r="DG1256" s="4"/>
    </row>
    <row r="1257" customFormat="false" ht="11.25" hidden="false" customHeight="true" outlineLevel="0" collapsed="false">
      <c r="CK1257" s="1"/>
      <c r="CW1257" s="3"/>
      <c r="DG1257" s="4"/>
    </row>
    <row r="1258" customFormat="false" ht="11.25" hidden="false" customHeight="true" outlineLevel="0" collapsed="false">
      <c r="CK1258" s="1"/>
      <c r="CW1258" s="3"/>
      <c r="DG1258" s="4"/>
    </row>
    <row r="1259" customFormat="false" ht="11.25" hidden="false" customHeight="true" outlineLevel="0" collapsed="false">
      <c r="CK1259" s="1"/>
      <c r="CW1259" s="3"/>
      <c r="DG1259" s="4"/>
    </row>
    <row r="1260" customFormat="false" ht="11.25" hidden="false" customHeight="true" outlineLevel="0" collapsed="false">
      <c r="CK1260" s="1"/>
      <c r="CW1260" s="3"/>
      <c r="DG1260" s="4"/>
    </row>
    <row r="1261" customFormat="false" ht="11.25" hidden="false" customHeight="true" outlineLevel="0" collapsed="false">
      <c r="CK1261" s="1"/>
      <c r="CW1261" s="3"/>
      <c r="DG1261" s="4"/>
    </row>
    <row r="1262" customFormat="false" ht="11.25" hidden="false" customHeight="true" outlineLevel="0" collapsed="false">
      <c r="CK1262" s="1"/>
      <c r="CW1262" s="3"/>
      <c r="DG1262" s="4"/>
    </row>
    <row r="1263" customFormat="false" ht="11.25" hidden="false" customHeight="true" outlineLevel="0" collapsed="false">
      <c r="CK1263" s="1"/>
      <c r="CW1263" s="3"/>
      <c r="DG1263" s="4"/>
    </row>
    <row r="1264" customFormat="false" ht="11.25" hidden="false" customHeight="true" outlineLevel="0" collapsed="false">
      <c r="CK1264" s="1"/>
      <c r="CW1264" s="3"/>
      <c r="DG1264" s="4"/>
    </row>
    <row r="1265" customFormat="false" ht="11.25" hidden="false" customHeight="true" outlineLevel="0" collapsed="false">
      <c r="CK1265" s="1"/>
      <c r="CW1265" s="3"/>
      <c r="DG1265" s="4"/>
    </row>
    <row r="1266" customFormat="false" ht="11.25" hidden="false" customHeight="true" outlineLevel="0" collapsed="false">
      <c r="CK1266" s="1"/>
      <c r="CW1266" s="3"/>
      <c r="DG1266" s="4"/>
    </row>
    <row r="1267" customFormat="false" ht="11.25" hidden="false" customHeight="true" outlineLevel="0" collapsed="false">
      <c r="CK1267" s="1"/>
      <c r="CW1267" s="3"/>
      <c r="DG1267" s="4"/>
    </row>
    <row r="1268" customFormat="false" ht="11.25" hidden="false" customHeight="true" outlineLevel="0" collapsed="false">
      <c r="CK1268" s="1"/>
      <c r="CW1268" s="3"/>
      <c r="DG1268" s="4"/>
    </row>
    <row r="1269" customFormat="false" ht="11.25" hidden="false" customHeight="true" outlineLevel="0" collapsed="false">
      <c r="CK1269" s="1"/>
      <c r="CW1269" s="3"/>
      <c r="DG1269" s="4"/>
    </row>
    <row r="1270" customFormat="false" ht="11.25" hidden="false" customHeight="true" outlineLevel="0" collapsed="false">
      <c r="CK1270" s="1"/>
      <c r="CW1270" s="3"/>
      <c r="DG1270" s="4"/>
    </row>
    <row r="1271" customFormat="false" ht="11.25" hidden="false" customHeight="true" outlineLevel="0" collapsed="false">
      <c r="CK1271" s="1"/>
      <c r="CW1271" s="3"/>
      <c r="DG1271" s="4"/>
    </row>
    <row r="1272" customFormat="false" ht="11.25" hidden="false" customHeight="true" outlineLevel="0" collapsed="false">
      <c r="CK1272" s="1"/>
      <c r="CW1272" s="3"/>
      <c r="DG1272" s="4"/>
    </row>
    <row r="1273" customFormat="false" ht="11.25" hidden="false" customHeight="true" outlineLevel="0" collapsed="false">
      <c r="CK1273" s="1"/>
      <c r="CW1273" s="3"/>
      <c r="DG1273" s="4"/>
    </row>
    <row r="1274" customFormat="false" ht="11.25" hidden="false" customHeight="true" outlineLevel="0" collapsed="false">
      <c r="CK1274" s="1"/>
      <c r="CW1274" s="3"/>
      <c r="DG1274" s="4"/>
    </row>
    <row r="1275" customFormat="false" ht="11.25" hidden="false" customHeight="true" outlineLevel="0" collapsed="false">
      <c r="CK1275" s="1"/>
      <c r="CW1275" s="3"/>
      <c r="DG1275" s="4"/>
    </row>
    <row r="1276" customFormat="false" ht="11.25" hidden="false" customHeight="true" outlineLevel="0" collapsed="false">
      <c r="CK1276" s="1"/>
      <c r="CW1276" s="3"/>
      <c r="DG1276" s="4"/>
    </row>
    <row r="1277" customFormat="false" ht="11.25" hidden="false" customHeight="true" outlineLevel="0" collapsed="false">
      <c r="CK1277" s="1"/>
      <c r="CW1277" s="3"/>
      <c r="DG1277" s="4"/>
    </row>
    <row r="1278" customFormat="false" ht="11.25" hidden="false" customHeight="true" outlineLevel="0" collapsed="false">
      <c r="CK1278" s="1"/>
      <c r="CW1278" s="3"/>
      <c r="DG1278" s="4"/>
    </row>
    <row r="1279" customFormat="false" ht="11.25" hidden="false" customHeight="true" outlineLevel="0" collapsed="false">
      <c r="CK1279" s="1"/>
      <c r="CW1279" s="3"/>
      <c r="DG1279" s="4"/>
    </row>
    <row r="1280" customFormat="false" ht="11.25" hidden="false" customHeight="true" outlineLevel="0" collapsed="false">
      <c r="CK1280" s="1"/>
      <c r="CW1280" s="3"/>
      <c r="DG1280" s="4"/>
    </row>
    <row r="1281" customFormat="false" ht="11.25" hidden="false" customHeight="true" outlineLevel="0" collapsed="false">
      <c r="CK1281" s="1"/>
      <c r="CW1281" s="3"/>
      <c r="DG1281" s="4"/>
    </row>
    <row r="1282" customFormat="false" ht="11.25" hidden="false" customHeight="true" outlineLevel="0" collapsed="false">
      <c r="CK1282" s="1"/>
      <c r="CW1282" s="3"/>
      <c r="DG1282" s="4"/>
    </row>
    <row r="1283" customFormat="false" ht="11.25" hidden="false" customHeight="true" outlineLevel="0" collapsed="false">
      <c r="CK1283" s="1"/>
      <c r="CW1283" s="3"/>
      <c r="DG1283" s="4"/>
    </row>
    <row r="1284" customFormat="false" ht="11.25" hidden="false" customHeight="true" outlineLevel="0" collapsed="false">
      <c r="CK1284" s="1"/>
      <c r="CW1284" s="3"/>
      <c r="DG1284" s="4"/>
    </row>
    <row r="1285" customFormat="false" ht="11.25" hidden="false" customHeight="true" outlineLevel="0" collapsed="false">
      <c r="CK1285" s="1"/>
      <c r="CW1285" s="3"/>
      <c r="DG1285" s="4"/>
    </row>
    <row r="1286" customFormat="false" ht="11.25" hidden="false" customHeight="true" outlineLevel="0" collapsed="false">
      <c r="CK1286" s="1"/>
      <c r="CW1286" s="3"/>
      <c r="DG1286" s="4"/>
    </row>
    <row r="1287" customFormat="false" ht="11.25" hidden="false" customHeight="true" outlineLevel="0" collapsed="false">
      <c r="CK1287" s="1"/>
      <c r="CW1287" s="3"/>
      <c r="DG1287" s="4"/>
    </row>
    <row r="1288" customFormat="false" ht="11.25" hidden="false" customHeight="true" outlineLevel="0" collapsed="false">
      <c r="CK1288" s="1"/>
      <c r="CW1288" s="3"/>
      <c r="DG1288" s="4"/>
    </row>
    <row r="1289" customFormat="false" ht="11.25" hidden="false" customHeight="true" outlineLevel="0" collapsed="false">
      <c r="CK1289" s="1"/>
      <c r="CW1289" s="3"/>
      <c r="DG1289" s="4"/>
    </row>
    <row r="1290" customFormat="false" ht="11.25" hidden="false" customHeight="true" outlineLevel="0" collapsed="false">
      <c r="CK1290" s="1"/>
      <c r="CW1290" s="3"/>
      <c r="DG1290" s="4"/>
    </row>
    <row r="1291" customFormat="false" ht="11.25" hidden="false" customHeight="true" outlineLevel="0" collapsed="false">
      <c r="CK1291" s="1"/>
      <c r="CW1291" s="3"/>
      <c r="DG1291" s="4"/>
    </row>
    <row r="1292" customFormat="false" ht="11.25" hidden="false" customHeight="true" outlineLevel="0" collapsed="false">
      <c r="CK1292" s="1"/>
      <c r="CW1292" s="3"/>
      <c r="DG1292" s="4"/>
    </row>
    <row r="1293" customFormat="false" ht="11.25" hidden="false" customHeight="true" outlineLevel="0" collapsed="false">
      <c r="CK1293" s="1"/>
      <c r="CW1293" s="3"/>
      <c r="DG1293" s="4"/>
    </row>
    <row r="1294" customFormat="false" ht="11.25" hidden="false" customHeight="true" outlineLevel="0" collapsed="false">
      <c r="CK1294" s="1"/>
      <c r="CW1294" s="3"/>
      <c r="DG1294" s="4"/>
    </row>
    <row r="1295" customFormat="false" ht="11.25" hidden="false" customHeight="true" outlineLevel="0" collapsed="false">
      <c r="CK1295" s="1"/>
      <c r="CW1295" s="3"/>
      <c r="DG1295" s="4"/>
    </row>
    <row r="1296" customFormat="false" ht="11.25" hidden="false" customHeight="true" outlineLevel="0" collapsed="false">
      <c r="CK1296" s="1"/>
      <c r="CW1296" s="3"/>
      <c r="DG1296" s="4"/>
    </row>
    <row r="1297" customFormat="false" ht="11.25" hidden="false" customHeight="true" outlineLevel="0" collapsed="false">
      <c r="CK1297" s="1"/>
      <c r="CW1297" s="3"/>
      <c r="DG1297" s="4"/>
    </row>
    <row r="1298" customFormat="false" ht="11.25" hidden="false" customHeight="true" outlineLevel="0" collapsed="false">
      <c r="CK1298" s="1"/>
      <c r="CW1298" s="3"/>
      <c r="DG1298" s="4"/>
    </row>
    <row r="1299" customFormat="false" ht="11.25" hidden="false" customHeight="true" outlineLevel="0" collapsed="false">
      <c r="CK1299" s="1"/>
      <c r="CW1299" s="3"/>
      <c r="DG1299" s="4"/>
    </row>
    <row r="1300" customFormat="false" ht="11.25" hidden="false" customHeight="true" outlineLevel="0" collapsed="false">
      <c r="CK1300" s="1"/>
      <c r="CW1300" s="3"/>
      <c r="DG1300" s="4"/>
    </row>
    <row r="1301" customFormat="false" ht="11.25" hidden="false" customHeight="true" outlineLevel="0" collapsed="false">
      <c r="CK1301" s="1"/>
      <c r="CW1301" s="3"/>
      <c r="DG1301" s="4"/>
    </row>
    <row r="1302" customFormat="false" ht="11.25" hidden="false" customHeight="true" outlineLevel="0" collapsed="false">
      <c r="CK1302" s="1"/>
      <c r="CW1302" s="3"/>
      <c r="DG1302" s="4"/>
    </row>
    <row r="1303" customFormat="false" ht="11.25" hidden="false" customHeight="true" outlineLevel="0" collapsed="false">
      <c r="CK1303" s="1"/>
      <c r="CW1303" s="3"/>
      <c r="DG1303" s="4"/>
    </row>
    <row r="1304" customFormat="false" ht="11.25" hidden="false" customHeight="true" outlineLevel="0" collapsed="false">
      <c r="CK1304" s="1"/>
      <c r="CW1304" s="3"/>
      <c r="DG1304" s="4"/>
    </row>
    <row r="1305" customFormat="false" ht="11.25" hidden="false" customHeight="true" outlineLevel="0" collapsed="false">
      <c r="CK1305" s="1"/>
      <c r="CW1305" s="3"/>
      <c r="DG1305" s="4"/>
    </row>
    <row r="1306" customFormat="false" ht="11.25" hidden="false" customHeight="true" outlineLevel="0" collapsed="false">
      <c r="CK1306" s="1"/>
      <c r="CW1306" s="3"/>
      <c r="DG1306" s="4"/>
    </row>
    <row r="1307" customFormat="false" ht="11.25" hidden="false" customHeight="true" outlineLevel="0" collapsed="false">
      <c r="CK1307" s="1"/>
      <c r="CW1307" s="3"/>
      <c r="DG1307" s="4"/>
    </row>
    <row r="1308" customFormat="false" ht="11.25" hidden="false" customHeight="true" outlineLevel="0" collapsed="false">
      <c r="CK1308" s="1"/>
      <c r="CW1308" s="3"/>
      <c r="DG1308" s="4"/>
    </row>
    <row r="1309" customFormat="false" ht="11.25" hidden="false" customHeight="true" outlineLevel="0" collapsed="false">
      <c r="CK1309" s="1"/>
      <c r="CW1309" s="3"/>
      <c r="DG1309" s="4"/>
    </row>
    <row r="1310" customFormat="false" ht="11.25" hidden="false" customHeight="true" outlineLevel="0" collapsed="false">
      <c r="CK1310" s="1"/>
      <c r="CW1310" s="3"/>
      <c r="DG1310" s="4"/>
    </row>
    <row r="1311" customFormat="false" ht="11.25" hidden="false" customHeight="true" outlineLevel="0" collapsed="false">
      <c r="CK1311" s="1"/>
      <c r="CW1311" s="3"/>
      <c r="DG1311" s="4"/>
    </row>
    <row r="1312" customFormat="false" ht="11.25" hidden="false" customHeight="true" outlineLevel="0" collapsed="false">
      <c r="CK1312" s="1"/>
      <c r="CW1312" s="3"/>
      <c r="DG1312" s="4"/>
    </row>
    <row r="1313" customFormat="false" ht="11.25" hidden="false" customHeight="true" outlineLevel="0" collapsed="false">
      <c r="CK1313" s="1"/>
      <c r="CW1313" s="3"/>
      <c r="DG1313" s="4"/>
    </row>
    <row r="1314" customFormat="false" ht="11.25" hidden="false" customHeight="true" outlineLevel="0" collapsed="false">
      <c r="CK1314" s="1"/>
      <c r="CW1314" s="3"/>
      <c r="DG1314" s="4"/>
    </row>
    <row r="1315" customFormat="false" ht="11.25" hidden="false" customHeight="true" outlineLevel="0" collapsed="false">
      <c r="CK1315" s="1"/>
      <c r="CW1315" s="3"/>
      <c r="DG1315" s="4"/>
    </row>
    <row r="1316" customFormat="false" ht="11.25" hidden="false" customHeight="true" outlineLevel="0" collapsed="false">
      <c r="CK1316" s="1"/>
      <c r="CW1316" s="3"/>
      <c r="DG1316" s="4"/>
    </row>
    <row r="1317" customFormat="false" ht="11.25" hidden="false" customHeight="true" outlineLevel="0" collapsed="false">
      <c r="CK1317" s="1"/>
      <c r="CW1317" s="3"/>
      <c r="DG1317" s="4"/>
    </row>
    <row r="1318" customFormat="false" ht="11.25" hidden="false" customHeight="true" outlineLevel="0" collapsed="false">
      <c r="CK1318" s="1"/>
      <c r="CW1318" s="3"/>
      <c r="DG1318" s="4"/>
    </row>
    <row r="1319" customFormat="false" ht="11.25" hidden="false" customHeight="true" outlineLevel="0" collapsed="false">
      <c r="CK1319" s="1"/>
      <c r="CW1319" s="3"/>
      <c r="DG1319" s="4"/>
    </row>
    <row r="1320" customFormat="false" ht="11.25" hidden="false" customHeight="true" outlineLevel="0" collapsed="false">
      <c r="CK1320" s="1"/>
      <c r="CW1320" s="3"/>
      <c r="DG1320" s="4"/>
    </row>
    <row r="1321" customFormat="false" ht="11.25" hidden="false" customHeight="true" outlineLevel="0" collapsed="false">
      <c r="CK1321" s="1"/>
      <c r="CW1321" s="3"/>
      <c r="DG1321" s="4"/>
    </row>
    <row r="1322" customFormat="false" ht="11.25" hidden="false" customHeight="true" outlineLevel="0" collapsed="false">
      <c r="CK1322" s="1"/>
      <c r="CW1322" s="3"/>
      <c r="DG1322" s="4"/>
    </row>
    <row r="1323" customFormat="false" ht="11.25" hidden="false" customHeight="true" outlineLevel="0" collapsed="false">
      <c r="CK1323" s="1"/>
      <c r="CW1323" s="3"/>
      <c r="DG1323" s="4"/>
    </row>
    <row r="1324" customFormat="false" ht="11.25" hidden="false" customHeight="true" outlineLevel="0" collapsed="false">
      <c r="CK1324" s="1"/>
      <c r="CW1324" s="3"/>
      <c r="DG1324" s="4"/>
    </row>
    <row r="1325" customFormat="false" ht="11.25" hidden="false" customHeight="true" outlineLevel="0" collapsed="false">
      <c r="CK1325" s="1"/>
      <c r="CW1325" s="3"/>
      <c r="DG1325" s="4"/>
    </row>
    <row r="1326" customFormat="false" ht="11.25" hidden="false" customHeight="true" outlineLevel="0" collapsed="false">
      <c r="CK1326" s="1"/>
      <c r="CW1326" s="3"/>
      <c r="DG1326" s="4"/>
    </row>
    <row r="1327" customFormat="false" ht="11.25" hidden="false" customHeight="true" outlineLevel="0" collapsed="false">
      <c r="CK1327" s="1"/>
      <c r="CW1327" s="3"/>
      <c r="DG1327" s="4"/>
    </row>
    <row r="1328" customFormat="false" ht="11.25" hidden="false" customHeight="true" outlineLevel="0" collapsed="false">
      <c r="CK1328" s="1"/>
      <c r="CW1328" s="3"/>
      <c r="DG1328" s="4"/>
    </row>
    <row r="1329" customFormat="false" ht="11.25" hidden="false" customHeight="true" outlineLevel="0" collapsed="false">
      <c r="CK1329" s="1"/>
      <c r="CW1329" s="3"/>
      <c r="DG1329" s="4"/>
    </row>
    <row r="1330" customFormat="false" ht="11.25" hidden="false" customHeight="true" outlineLevel="0" collapsed="false">
      <c r="CK1330" s="1"/>
      <c r="CW1330" s="3"/>
      <c r="DG1330" s="4"/>
    </row>
    <row r="1331" customFormat="false" ht="11.25" hidden="false" customHeight="true" outlineLevel="0" collapsed="false">
      <c r="CK1331" s="1"/>
      <c r="CW1331" s="3"/>
      <c r="DG1331" s="4"/>
    </row>
    <row r="1332" customFormat="false" ht="11.25" hidden="false" customHeight="true" outlineLevel="0" collapsed="false">
      <c r="CK1332" s="1"/>
      <c r="CW1332" s="3"/>
      <c r="DG1332" s="4"/>
    </row>
    <row r="1333" customFormat="false" ht="11.25" hidden="false" customHeight="true" outlineLevel="0" collapsed="false">
      <c r="CK1333" s="1"/>
      <c r="CW1333" s="3"/>
      <c r="DG1333" s="4"/>
    </row>
    <row r="1334" customFormat="false" ht="11.25" hidden="false" customHeight="true" outlineLevel="0" collapsed="false">
      <c r="CK1334" s="1"/>
      <c r="CW1334" s="3"/>
      <c r="DG1334" s="4"/>
    </row>
    <row r="1335" customFormat="false" ht="11.25" hidden="false" customHeight="true" outlineLevel="0" collapsed="false">
      <c r="CK1335" s="1"/>
      <c r="CW1335" s="3"/>
      <c r="DG1335" s="4"/>
    </row>
    <row r="1336" customFormat="false" ht="11.25" hidden="false" customHeight="true" outlineLevel="0" collapsed="false">
      <c r="CK1336" s="1"/>
      <c r="CW1336" s="3"/>
      <c r="DG1336" s="4"/>
    </row>
    <row r="1337" customFormat="false" ht="11.25" hidden="false" customHeight="true" outlineLevel="0" collapsed="false">
      <c r="CK1337" s="1"/>
      <c r="CW1337" s="3"/>
      <c r="DG1337" s="4"/>
    </row>
    <row r="1338" customFormat="false" ht="11.25" hidden="false" customHeight="true" outlineLevel="0" collapsed="false">
      <c r="CK1338" s="1"/>
      <c r="CW1338" s="3"/>
      <c r="DG1338" s="4"/>
    </row>
    <row r="1339" customFormat="false" ht="11.25" hidden="false" customHeight="true" outlineLevel="0" collapsed="false">
      <c r="CK1339" s="1"/>
      <c r="CW1339" s="3"/>
      <c r="DG1339" s="4"/>
    </row>
    <row r="1340" customFormat="false" ht="11.25" hidden="false" customHeight="true" outlineLevel="0" collapsed="false">
      <c r="CK1340" s="1"/>
      <c r="CW1340" s="3"/>
      <c r="DG1340" s="4"/>
    </row>
    <row r="1341" customFormat="false" ht="11.25" hidden="false" customHeight="true" outlineLevel="0" collapsed="false">
      <c r="CK1341" s="1"/>
      <c r="CW1341" s="3"/>
      <c r="DG1341" s="4"/>
    </row>
    <row r="1342" customFormat="false" ht="11.25" hidden="false" customHeight="true" outlineLevel="0" collapsed="false">
      <c r="CK1342" s="1"/>
      <c r="CW1342" s="3"/>
      <c r="DG1342" s="4"/>
    </row>
    <row r="1343" customFormat="false" ht="11.25" hidden="false" customHeight="true" outlineLevel="0" collapsed="false">
      <c r="CK1343" s="1"/>
      <c r="CW1343" s="3"/>
      <c r="DG1343" s="4"/>
    </row>
    <row r="1344" customFormat="false" ht="11.25" hidden="false" customHeight="true" outlineLevel="0" collapsed="false">
      <c r="CK1344" s="1"/>
      <c r="CW1344" s="3"/>
      <c r="DG1344" s="4"/>
    </row>
    <row r="1345" customFormat="false" ht="11.25" hidden="false" customHeight="true" outlineLevel="0" collapsed="false">
      <c r="CK1345" s="1"/>
      <c r="CW1345" s="3"/>
      <c r="DG1345" s="4"/>
    </row>
    <row r="1346" customFormat="false" ht="11.25" hidden="false" customHeight="true" outlineLevel="0" collapsed="false">
      <c r="CK1346" s="1"/>
      <c r="CW1346" s="3"/>
      <c r="DG1346" s="4"/>
    </row>
    <row r="1347" customFormat="false" ht="11.25" hidden="false" customHeight="true" outlineLevel="0" collapsed="false">
      <c r="CK1347" s="1"/>
      <c r="CW1347" s="3"/>
      <c r="DG1347" s="4"/>
    </row>
    <row r="1348" customFormat="false" ht="11.25" hidden="false" customHeight="true" outlineLevel="0" collapsed="false">
      <c r="CK1348" s="1"/>
      <c r="CW1348" s="3"/>
      <c r="DG1348" s="4"/>
    </row>
    <row r="1349" customFormat="false" ht="11.25" hidden="false" customHeight="true" outlineLevel="0" collapsed="false">
      <c r="CK1349" s="1"/>
      <c r="CW1349" s="3"/>
      <c r="DG1349" s="4"/>
    </row>
    <row r="1350" customFormat="false" ht="11.25" hidden="false" customHeight="true" outlineLevel="0" collapsed="false">
      <c r="CK1350" s="1"/>
      <c r="CW1350" s="3"/>
      <c r="DG1350" s="4"/>
    </row>
    <row r="1351" customFormat="false" ht="11.25" hidden="false" customHeight="true" outlineLevel="0" collapsed="false">
      <c r="CK1351" s="1"/>
      <c r="CW1351" s="3"/>
      <c r="DG1351" s="4"/>
    </row>
    <row r="1352" customFormat="false" ht="11.25" hidden="false" customHeight="true" outlineLevel="0" collapsed="false">
      <c r="CK1352" s="1"/>
      <c r="CW1352" s="3"/>
      <c r="DG1352" s="4"/>
    </row>
    <row r="1353" customFormat="false" ht="11.25" hidden="false" customHeight="true" outlineLevel="0" collapsed="false">
      <c r="CK1353" s="1"/>
      <c r="CW1353" s="3"/>
      <c r="DG1353" s="4"/>
    </row>
    <row r="1354" customFormat="false" ht="11.25" hidden="false" customHeight="true" outlineLevel="0" collapsed="false">
      <c r="CK1354" s="1"/>
      <c r="CW1354" s="3"/>
      <c r="DG1354" s="4"/>
    </row>
    <row r="1355" customFormat="false" ht="11.25" hidden="false" customHeight="true" outlineLevel="0" collapsed="false">
      <c r="CK1355" s="1"/>
      <c r="CW1355" s="3"/>
      <c r="DG1355" s="4"/>
    </row>
    <row r="1356" customFormat="false" ht="11.25" hidden="false" customHeight="true" outlineLevel="0" collapsed="false">
      <c r="CK1356" s="1"/>
      <c r="CW1356" s="3"/>
      <c r="DG1356" s="4"/>
    </row>
    <row r="1357" customFormat="false" ht="11.25" hidden="false" customHeight="true" outlineLevel="0" collapsed="false">
      <c r="CK1357" s="1"/>
      <c r="CW1357" s="3"/>
      <c r="DG1357" s="4"/>
    </row>
    <row r="1358" customFormat="false" ht="11.25" hidden="false" customHeight="true" outlineLevel="0" collapsed="false">
      <c r="CK1358" s="1"/>
      <c r="CW1358" s="3"/>
      <c r="DG1358" s="4"/>
    </row>
    <row r="1359" customFormat="false" ht="11.25" hidden="false" customHeight="true" outlineLevel="0" collapsed="false">
      <c r="CK1359" s="1"/>
      <c r="CW1359" s="3"/>
      <c r="DG1359" s="4"/>
    </row>
    <row r="1360" customFormat="false" ht="11.25" hidden="false" customHeight="true" outlineLevel="0" collapsed="false">
      <c r="CK1360" s="1"/>
      <c r="CW1360" s="3"/>
      <c r="DG1360" s="4"/>
    </row>
    <row r="1361" customFormat="false" ht="11.25" hidden="false" customHeight="true" outlineLevel="0" collapsed="false">
      <c r="CK1361" s="1"/>
      <c r="CW1361" s="3"/>
      <c r="DG1361" s="4"/>
    </row>
    <row r="1362" customFormat="false" ht="11.25" hidden="false" customHeight="true" outlineLevel="0" collapsed="false">
      <c r="CK1362" s="1"/>
      <c r="CW1362" s="3"/>
      <c r="DG1362" s="4"/>
    </row>
    <row r="1363" customFormat="false" ht="11.25" hidden="false" customHeight="true" outlineLevel="0" collapsed="false">
      <c r="CK1363" s="1"/>
      <c r="CW1363" s="3"/>
      <c r="DG1363" s="4"/>
    </row>
    <row r="1364" customFormat="false" ht="11.25" hidden="false" customHeight="true" outlineLevel="0" collapsed="false">
      <c r="CK1364" s="1"/>
      <c r="CW1364" s="3"/>
      <c r="DG1364" s="4"/>
    </row>
    <row r="1365" customFormat="false" ht="11.25" hidden="false" customHeight="true" outlineLevel="0" collapsed="false">
      <c r="CK1365" s="1"/>
      <c r="CW1365" s="3"/>
      <c r="DG1365" s="4"/>
    </row>
    <row r="1366" customFormat="false" ht="11.25" hidden="false" customHeight="true" outlineLevel="0" collapsed="false">
      <c r="CK1366" s="1"/>
      <c r="CW1366" s="3"/>
      <c r="DG1366" s="4"/>
    </row>
    <row r="1367" customFormat="false" ht="11.25" hidden="false" customHeight="true" outlineLevel="0" collapsed="false">
      <c r="CK1367" s="1"/>
      <c r="CW1367" s="3"/>
      <c r="DG1367" s="4"/>
    </row>
    <row r="1368" customFormat="false" ht="11.25" hidden="false" customHeight="true" outlineLevel="0" collapsed="false">
      <c r="CK1368" s="1"/>
      <c r="CW1368" s="3"/>
      <c r="DG1368" s="4"/>
    </row>
    <row r="1369" customFormat="false" ht="11.25" hidden="false" customHeight="true" outlineLevel="0" collapsed="false">
      <c r="CK1369" s="1"/>
      <c r="CW1369" s="3"/>
      <c r="DG1369" s="4"/>
    </row>
    <row r="1370" customFormat="false" ht="11.25" hidden="false" customHeight="true" outlineLevel="0" collapsed="false">
      <c r="CK1370" s="1"/>
      <c r="CW1370" s="3"/>
      <c r="DG1370" s="4"/>
    </row>
    <row r="1371" customFormat="false" ht="11.25" hidden="false" customHeight="true" outlineLevel="0" collapsed="false">
      <c r="CK1371" s="1"/>
      <c r="CW1371" s="3"/>
      <c r="DG1371" s="4"/>
    </row>
    <row r="1372" customFormat="false" ht="11.25" hidden="false" customHeight="true" outlineLevel="0" collapsed="false">
      <c r="CK1372" s="1"/>
      <c r="CW1372" s="3"/>
      <c r="DG1372" s="4"/>
    </row>
    <row r="1373" customFormat="false" ht="11.25" hidden="false" customHeight="true" outlineLevel="0" collapsed="false">
      <c r="CK1373" s="1"/>
      <c r="CW1373" s="3"/>
      <c r="DG1373" s="4"/>
    </row>
    <row r="1374" customFormat="false" ht="11.25" hidden="false" customHeight="true" outlineLevel="0" collapsed="false">
      <c r="CK1374" s="1"/>
      <c r="CW1374" s="3"/>
      <c r="DG1374" s="4"/>
    </row>
    <row r="1375" customFormat="false" ht="11.25" hidden="false" customHeight="true" outlineLevel="0" collapsed="false">
      <c r="CK1375" s="1"/>
      <c r="CW1375" s="3"/>
      <c r="DG1375" s="4"/>
    </row>
    <row r="1376" customFormat="false" ht="11.25" hidden="false" customHeight="true" outlineLevel="0" collapsed="false">
      <c r="CK1376" s="1"/>
      <c r="CW1376" s="3"/>
      <c r="DG1376" s="4"/>
    </row>
    <row r="1377" customFormat="false" ht="11.25" hidden="false" customHeight="true" outlineLevel="0" collapsed="false">
      <c r="CK1377" s="1"/>
      <c r="CW1377" s="3"/>
      <c r="DG1377" s="4"/>
    </row>
    <row r="1378" customFormat="false" ht="11.25" hidden="false" customHeight="true" outlineLevel="0" collapsed="false">
      <c r="CK1378" s="1"/>
      <c r="CW1378" s="3"/>
      <c r="DG1378" s="4"/>
    </row>
    <row r="1379" customFormat="false" ht="11.25" hidden="false" customHeight="true" outlineLevel="0" collapsed="false">
      <c r="CK1379" s="1"/>
      <c r="CW1379" s="3"/>
      <c r="DG1379" s="4"/>
    </row>
    <row r="1380" customFormat="false" ht="11.25" hidden="false" customHeight="true" outlineLevel="0" collapsed="false">
      <c r="CK1380" s="1"/>
      <c r="CW1380" s="3"/>
      <c r="DG1380" s="4"/>
    </row>
    <row r="1381" customFormat="false" ht="11.25" hidden="false" customHeight="true" outlineLevel="0" collapsed="false">
      <c r="CK1381" s="1"/>
      <c r="CW1381" s="3"/>
      <c r="DG1381" s="4"/>
    </row>
    <row r="1382" customFormat="false" ht="11.25" hidden="false" customHeight="true" outlineLevel="0" collapsed="false">
      <c r="CK1382" s="1"/>
      <c r="CW1382" s="3"/>
      <c r="DG1382" s="4"/>
    </row>
    <row r="1383" customFormat="false" ht="11.25" hidden="false" customHeight="true" outlineLevel="0" collapsed="false">
      <c r="CK1383" s="1"/>
      <c r="CW1383" s="3"/>
      <c r="DG1383" s="4"/>
    </row>
    <row r="1384" customFormat="false" ht="11.25" hidden="false" customHeight="true" outlineLevel="0" collapsed="false">
      <c r="CK1384" s="1"/>
      <c r="CW1384" s="3"/>
      <c r="DG1384" s="4"/>
    </row>
    <row r="1385" customFormat="false" ht="11.25" hidden="false" customHeight="true" outlineLevel="0" collapsed="false">
      <c r="CK1385" s="1"/>
      <c r="CW1385" s="3"/>
      <c r="DG1385" s="4"/>
    </row>
    <row r="1386" customFormat="false" ht="11.25" hidden="false" customHeight="true" outlineLevel="0" collapsed="false">
      <c r="CK1386" s="1"/>
      <c r="CW1386" s="3"/>
      <c r="DG1386" s="4"/>
    </row>
    <row r="1387" customFormat="false" ht="11.25" hidden="false" customHeight="true" outlineLevel="0" collapsed="false">
      <c r="CK1387" s="1"/>
      <c r="CW1387" s="3"/>
      <c r="DG1387" s="4"/>
    </row>
    <row r="1388" customFormat="false" ht="11.25" hidden="false" customHeight="true" outlineLevel="0" collapsed="false">
      <c r="CK1388" s="1"/>
      <c r="CW1388" s="3"/>
      <c r="DG1388" s="4"/>
    </row>
    <row r="1389" customFormat="false" ht="11.25" hidden="false" customHeight="true" outlineLevel="0" collapsed="false">
      <c r="CK1389" s="1"/>
      <c r="CW1389" s="3"/>
      <c r="DG1389" s="4"/>
    </row>
    <row r="1390" customFormat="false" ht="11.25" hidden="false" customHeight="true" outlineLevel="0" collapsed="false">
      <c r="CK1390" s="1"/>
      <c r="CW1390" s="3"/>
      <c r="DG1390" s="4"/>
    </row>
    <row r="1391" customFormat="false" ht="11.25" hidden="false" customHeight="true" outlineLevel="0" collapsed="false">
      <c r="CK1391" s="1"/>
      <c r="CW1391" s="3"/>
      <c r="DG1391" s="4"/>
    </row>
    <row r="1392" customFormat="false" ht="11.25" hidden="false" customHeight="true" outlineLevel="0" collapsed="false">
      <c r="CK1392" s="1"/>
      <c r="CW1392" s="3"/>
      <c r="DG1392" s="4"/>
    </row>
    <row r="1393" customFormat="false" ht="11.25" hidden="false" customHeight="true" outlineLevel="0" collapsed="false">
      <c r="CK1393" s="1"/>
      <c r="CW1393" s="3"/>
      <c r="DG1393" s="4"/>
    </row>
    <row r="1394" customFormat="false" ht="11.25" hidden="false" customHeight="true" outlineLevel="0" collapsed="false">
      <c r="CK1394" s="1"/>
      <c r="CW1394" s="3"/>
      <c r="DG1394" s="4"/>
    </row>
    <row r="1395" customFormat="false" ht="11.25" hidden="false" customHeight="true" outlineLevel="0" collapsed="false">
      <c r="CK1395" s="1"/>
      <c r="CW1395" s="3"/>
      <c r="DG1395" s="4"/>
    </row>
    <row r="1396" customFormat="false" ht="11.25" hidden="false" customHeight="true" outlineLevel="0" collapsed="false">
      <c r="CK1396" s="1"/>
      <c r="CW1396" s="3"/>
      <c r="DG1396" s="4"/>
    </row>
    <row r="1397" customFormat="false" ht="11.25" hidden="false" customHeight="true" outlineLevel="0" collapsed="false">
      <c r="CK1397" s="1"/>
      <c r="CW1397" s="3"/>
      <c r="DG1397" s="4"/>
    </row>
    <row r="1398" customFormat="false" ht="11.25" hidden="false" customHeight="true" outlineLevel="0" collapsed="false">
      <c r="CK1398" s="1"/>
      <c r="CW1398" s="3"/>
      <c r="DG1398" s="4"/>
    </row>
    <row r="1399" customFormat="false" ht="11.25" hidden="false" customHeight="true" outlineLevel="0" collapsed="false">
      <c r="CK1399" s="1"/>
      <c r="CW1399" s="3"/>
      <c r="DG1399" s="4"/>
    </row>
    <row r="1400" customFormat="false" ht="11.25" hidden="false" customHeight="true" outlineLevel="0" collapsed="false">
      <c r="CK1400" s="1"/>
      <c r="CW1400" s="3"/>
      <c r="DG1400" s="4"/>
    </row>
    <row r="1401" customFormat="false" ht="11.25" hidden="false" customHeight="true" outlineLevel="0" collapsed="false">
      <c r="CK1401" s="1"/>
      <c r="CW1401" s="3"/>
      <c r="DG1401" s="4"/>
    </row>
    <row r="1402" customFormat="false" ht="11.25" hidden="false" customHeight="true" outlineLevel="0" collapsed="false">
      <c r="CK1402" s="1"/>
      <c r="CW1402" s="3"/>
      <c r="DG1402" s="4"/>
    </row>
    <row r="1403" customFormat="false" ht="11.25" hidden="false" customHeight="true" outlineLevel="0" collapsed="false">
      <c r="CK1403" s="1"/>
      <c r="CW1403" s="3"/>
      <c r="DG1403" s="4"/>
    </row>
    <row r="1404" customFormat="false" ht="11.25" hidden="false" customHeight="true" outlineLevel="0" collapsed="false">
      <c r="CK1404" s="1"/>
      <c r="CW1404" s="3"/>
      <c r="DG1404" s="4"/>
    </row>
    <row r="1405" customFormat="false" ht="11.25" hidden="false" customHeight="true" outlineLevel="0" collapsed="false">
      <c r="CK1405" s="1"/>
      <c r="CW1405" s="3"/>
      <c r="DG1405" s="4"/>
    </row>
    <row r="1406" customFormat="false" ht="11.25" hidden="false" customHeight="true" outlineLevel="0" collapsed="false">
      <c r="CK1406" s="1"/>
      <c r="CW1406" s="3"/>
      <c r="DG1406" s="4"/>
    </row>
    <row r="1407" customFormat="false" ht="11.25" hidden="false" customHeight="true" outlineLevel="0" collapsed="false">
      <c r="CK1407" s="1"/>
      <c r="CW1407" s="3"/>
      <c r="DG1407" s="4"/>
    </row>
    <row r="1408" customFormat="false" ht="11.25" hidden="false" customHeight="true" outlineLevel="0" collapsed="false">
      <c r="CK1408" s="1"/>
      <c r="CW1408" s="3"/>
      <c r="DG1408" s="4"/>
    </row>
    <row r="1409" customFormat="false" ht="11.25" hidden="false" customHeight="true" outlineLevel="0" collapsed="false">
      <c r="CK1409" s="1"/>
      <c r="CW1409" s="3"/>
      <c r="DG1409" s="4"/>
    </row>
    <row r="1410" customFormat="false" ht="11.25" hidden="false" customHeight="true" outlineLevel="0" collapsed="false">
      <c r="CK1410" s="1"/>
      <c r="CW1410" s="3"/>
      <c r="DG1410" s="4"/>
    </row>
    <row r="1411" customFormat="false" ht="11.25" hidden="false" customHeight="true" outlineLevel="0" collapsed="false">
      <c r="CK1411" s="1"/>
      <c r="CW1411" s="3"/>
      <c r="DG1411" s="4"/>
    </row>
    <row r="1412" customFormat="false" ht="11.25" hidden="false" customHeight="true" outlineLevel="0" collapsed="false">
      <c r="CK1412" s="1"/>
      <c r="CW1412" s="3"/>
      <c r="DG1412" s="4"/>
    </row>
    <row r="1413" customFormat="false" ht="11.25" hidden="false" customHeight="true" outlineLevel="0" collapsed="false">
      <c r="CK1413" s="1"/>
      <c r="CW1413" s="3"/>
      <c r="DG1413" s="4"/>
    </row>
    <row r="1414" customFormat="false" ht="11.25" hidden="false" customHeight="true" outlineLevel="0" collapsed="false">
      <c r="CK1414" s="1"/>
      <c r="CW1414" s="3"/>
      <c r="DG1414" s="4"/>
    </row>
    <row r="1415" customFormat="false" ht="11.25" hidden="false" customHeight="true" outlineLevel="0" collapsed="false">
      <c r="CK1415" s="1"/>
      <c r="CW1415" s="3"/>
      <c r="DG1415" s="4"/>
    </row>
    <row r="1416" customFormat="false" ht="11.25" hidden="false" customHeight="true" outlineLevel="0" collapsed="false">
      <c r="CK1416" s="1"/>
      <c r="CW1416" s="3"/>
      <c r="DG1416" s="4"/>
    </row>
    <row r="1417" customFormat="false" ht="11.25" hidden="false" customHeight="true" outlineLevel="0" collapsed="false">
      <c r="CK1417" s="1"/>
      <c r="CW1417" s="3"/>
      <c r="DG1417" s="4"/>
    </row>
    <row r="1418" customFormat="false" ht="11.25" hidden="false" customHeight="true" outlineLevel="0" collapsed="false">
      <c r="CK1418" s="1"/>
      <c r="CW1418" s="3"/>
      <c r="DG1418" s="4"/>
    </row>
    <row r="1419" customFormat="false" ht="11.25" hidden="false" customHeight="true" outlineLevel="0" collapsed="false">
      <c r="CK1419" s="1"/>
      <c r="CW1419" s="3"/>
      <c r="DG1419" s="4"/>
    </row>
    <row r="1420" customFormat="false" ht="11.25" hidden="false" customHeight="true" outlineLevel="0" collapsed="false">
      <c r="CK1420" s="1"/>
      <c r="CW1420" s="3"/>
      <c r="DG1420" s="4"/>
    </row>
    <row r="1421" customFormat="false" ht="11.25" hidden="false" customHeight="true" outlineLevel="0" collapsed="false">
      <c r="CK1421" s="1"/>
      <c r="CW1421" s="3"/>
      <c r="DG1421" s="4"/>
    </row>
    <row r="1422" customFormat="false" ht="11.25" hidden="false" customHeight="true" outlineLevel="0" collapsed="false">
      <c r="CK1422" s="1"/>
      <c r="CW1422" s="3"/>
      <c r="DG1422" s="4"/>
    </row>
    <row r="1423" customFormat="false" ht="11.25" hidden="false" customHeight="true" outlineLevel="0" collapsed="false">
      <c r="CK1423" s="1"/>
      <c r="CW1423" s="3"/>
      <c r="DG1423" s="4"/>
    </row>
    <row r="1424" customFormat="false" ht="11.25" hidden="false" customHeight="true" outlineLevel="0" collapsed="false">
      <c r="CK1424" s="1"/>
      <c r="CW1424" s="3"/>
      <c r="DG1424" s="4"/>
    </row>
    <row r="1425" customFormat="false" ht="11.25" hidden="false" customHeight="true" outlineLevel="0" collapsed="false">
      <c r="CK1425" s="1"/>
      <c r="CW1425" s="3"/>
      <c r="DG1425" s="4"/>
    </row>
    <row r="1426" customFormat="false" ht="11.25" hidden="false" customHeight="true" outlineLevel="0" collapsed="false">
      <c r="CK1426" s="1"/>
      <c r="CW1426" s="3"/>
      <c r="DG1426" s="4"/>
    </row>
    <row r="1427" customFormat="false" ht="11.25" hidden="false" customHeight="true" outlineLevel="0" collapsed="false">
      <c r="CK1427" s="1"/>
      <c r="CW1427" s="3"/>
      <c r="DG1427" s="4"/>
    </row>
    <row r="1428" customFormat="false" ht="11.25" hidden="false" customHeight="true" outlineLevel="0" collapsed="false">
      <c r="CK1428" s="1"/>
      <c r="CW1428" s="3"/>
      <c r="DG1428" s="4"/>
    </row>
    <row r="1429" customFormat="false" ht="11.25" hidden="false" customHeight="true" outlineLevel="0" collapsed="false">
      <c r="CK1429" s="1"/>
      <c r="CW1429" s="3"/>
      <c r="DG1429" s="4"/>
    </row>
    <row r="1430" customFormat="false" ht="11.25" hidden="false" customHeight="true" outlineLevel="0" collapsed="false">
      <c r="CK1430" s="1"/>
      <c r="CW1430" s="3"/>
      <c r="DG1430" s="4"/>
    </row>
    <row r="1431" customFormat="false" ht="11.25" hidden="false" customHeight="true" outlineLevel="0" collapsed="false">
      <c r="CK1431" s="1"/>
      <c r="CW1431" s="3"/>
      <c r="DG1431" s="4"/>
    </row>
    <row r="1432" customFormat="false" ht="11.25" hidden="false" customHeight="true" outlineLevel="0" collapsed="false">
      <c r="CK1432" s="1"/>
      <c r="CW1432" s="3"/>
      <c r="DG1432" s="4"/>
    </row>
    <row r="1433" customFormat="false" ht="11.25" hidden="false" customHeight="true" outlineLevel="0" collapsed="false">
      <c r="CK1433" s="1"/>
      <c r="CW1433" s="3"/>
      <c r="DG1433" s="4"/>
    </row>
    <row r="1434" customFormat="false" ht="11.25" hidden="false" customHeight="true" outlineLevel="0" collapsed="false">
      <c r="CK1434" s="1"/>
      <c r="CW1434" s="3"/>
      <c r="DG1434" s="4"/>
    </row>
    <row r="1435" customFormat="false" ht="11.25" hidden="false" customHeight="true" outlineLevel="0" collapsed="false">
      <c r="CK1435" s="1"/>
      <c r="CW1435" s="3"/>
      <c r="DG1435" s="4"/>
    </row>
    <row r="1436" customFormat="false" ht="11.25" hidden="false" customHeight="true" outlineLevel="0" collapsed="false">
      <c r="CK1436" s="1"/>
      <c r="CW1436" s="3"/>
      <c r="DG1436" s="4"/>
    </row>
    <row r="1437" customFormat="false" ht="11.25" hidden="false" customHeight="true" outlineLevel="0" collapsed="false">
      <c r="CK1437" s="1"/>
      <c r="CW1437" s="3"/>
      <c r="DG1437" s="4"/>
    </row>
    <row r="1438" customFormat="false" ht="11.25" hidden="false" customHeight="true" outlineLevel="0" collapsed="false">
      <c r="CK1438" s="1"/>
      <c r="CW1438" s="3"/>
      <c r="DG1438" s="4"/>
    </row>
    <row r="1439" customFormat="false" ht="11.25" hidden="false" customHeight="true" outlineLevel="0" collapsed="false">
      <c r="CK1439" s="1"/>
      <c r="CW1439" s="3"/>
      <c r="DG1439" s="4"/>
    </row>
    <row r="1440" customFormat="false" ht="11.25" hidden="false" customHeight="true" outlineLevel="0" collapsed="false">
      <c r="CK1440" s="1"/>
      <c r="CW1440" s="3"/>
      <c r="DG1440" s="4"/>
    </row>
    <row r="1441" customFormat="false" ht="11.25" hidden="false" customHeight="true" outlineLevel="0" collapsed="false">
      <c r="CK1441" s="1"/>
      <c r="CW1441" s="3"/>
      <c r="DG1441" s="4"/>
    </row>
    <row r="1442" customFormat="false" ht="11.25" hidden="false" customHeight="true" outlineLevel="0" collapsed="false">
      <c r="CK1442" s="1"/>
      <c r="CW1442" s="3"/>
      <c r="DG1442" s="4"/>
    </row>
    <row r="1443" customFormat="false" ht="11.25" hidden="false" customHeight="true" outlineLevel="0" collapsed="false">
      <c r="CK1443" s="1"/>
      <c r="CW1443" s="3"/>
      <c r="DG1443" s="4"/>
    </row>
    <row r="1444" customFormat="false" ht="11.25" hidden="false" customHeight="true" outlineLevel="0" collapsed="false">
      <c r="CK1444" s="1"/>
      <c r="CW1444" s="3"/>
      <c r="DG1444" s="4"/>
    </row>
    <row r="1445" customFormat="false" ht="11.25" hidden="false" customHeight="true" outlineLevel="0" collapsed="false">
      <c r="CK1445" s="1"/>
      <c r="CW1445" s="3"/>
      <c r="DG1445" s="4"/>
    </row>
    <row r="1446" customFormat="false" ht="11.25" hidden="false" customHeight="true" outlineLevel="0" collapsed="false">
      <c r="CK1446" s="1"/>
      <c r="CW1446" s="3"/>
      <c r="DG1446" s="4"/>
    </row>
    <row r="1447" customFormat="false" ht="11.25" hidden="false" customHeight="true" outlineLevel="0" collapsed="false">
      <c r="CK1447" s="1"/>
      <c r="CW1447" s="3"/>
      <c r="DG1447" s="4"/>
    </row>
    <row r="1448" customFormat="false" ht="11.25" hidden="false" customHeight="true" outlineLevel="0" collapsed="false">
      <c r="CK1448" s="1"/>
      <c r="CW1448" s="3"/>
      <c r="DG1448" s="4"/>
    </row>
    <row r="1449" customFormat="false" ht="11.25" hidden="false" customHeight="true" outlineLevel="0" collapsed="false">
      <c r="CK1449" s="1"/>
      <c r="CW1449" s="3"/>
      <c r="DG1449" s="4"/>
    </row>
    <row r="1450" customFormat="false" ht="11.25" hidden="false" customHeight="true" outlineLevel="0" collapsed="false">
      <c r="CK1450" s="1"/>
      <c r="CW1450" s="3"/>
      <c r="DG1450" s="4"/>
    </row>
    <row r="1451" customFormat="false" ht="11.25" hidden="false" customHeight="true" outlineLevel="0" collapsed="false">
      <c r="CK1451" s="1"/>
      <c r="CW1451" s="3"/>
      <c r="DG1451" s="4"/>
    </row>
    <row r="1452" customFormat="false" ht="11.25" hidden="false" customHeight="true" outlineLevel="0" collapsed="false">
      <c r="CK1452" s="1"/>
      <c r="CW1452" s="3"/>
      <c r="DG1452" s="4"/>
    </row>
    <row r="1453" customFormat="false" ht="11.25" hidden="false" customHeight="true" outlineLevel="0" collapsed="false">
      <c r="CK1453" s="1"/>
      <c r="CW1453" s="3"/>
      <c r="DG1453" s="4"/>
    </row>
    <row r="1454" customFormat="false" ht="11.25" hidden="false" customHeight="true" outlineLevel="0" collapsed="false">
      <c r="CK1454" s="1"/>
      <c r="CW1454" s="3"/>
      <c r="DG1454" s="4"/>
    </row>
    <row r="1455" customFormat="false" ht="11.25" hidden="false" customHeight="true" outlineLevel="0" collapsed="false">
      <c r="CK1455" s="1"/>
      <c r="CW1455" s="3"/>
      <c r="DG1455" s="4"/>
    </row>
    <row r="1456" customFormat="false" ht="11.25" hidden="false" customHeight="true" outlineLevel="0" collapsed="false">
      <c r="CK1456" s="1"/>
      <c r="CW1456" s="3"/>
      <c r="DG1456" s="4"/>
    </row>
    <row r="1457" customFormat="false" ht="11.25" hidden="false" customHeight="true" outlineLevel="0" collapsed="false">
      <c r="CK1457" s="1"/>
      <c r="CW1457" s="3"/>
      <c r="DG1457" s="4"/>
    </row>
    <row r="1458" customFormat="false" ht="11.25" hidden="false" customHeight="true" outlineLevel="0" collapsed="false">
      <c r="CK1458" s="1"/>
      <c r="CW1458" s="3"/>
      <c r="DG1458" s="4"/>
    </row>
    <row r="1459" customFormat="false" ht="11.25" hidden="false" customHeight="true" outlineLevel="0" collapsed="false">
      <c r="CK1459" s="1"/>
      <c r="CW1459" s="3"/>
      <c r="DG1459" s="4"/>
    </row>
    <row r="1460" customFormat="false" ht="11.25" hidden="false" customHeight="true" outlineLevel="0" collapsed="false">
      <c r="CK1460" s="1"/>
      <c r="CW1460" s="3"/>
      <c r="DG1460" s="4"/>
    </row>
    <row r="1461" customFormat="false" ht="11.25" hidden="false" customHeight="true" outlineLevel="0" collapsed="false">
      <c r="CK1461" s="1"/>
      <c r="CW1461" s="3"/>
      <c r="DG1461" s="4"/>
    </row>
    <row r="1462" customFormat="false" ht="11.25" hidden="false" customHeight="true" outlineLevel="0" collapsed="false">
      <c r="CK1462" s="1"/>
      <c r="CW1462" s="3"/>
      <c r="DG1462" s="4"/>
    </row>
    <row r="1463" customFormat="false" ht="11.25" hidden="false" customHeight="true" outlineLevel="0" collapsed="false">
      <c r="CK1463" s="1"/>
      <c r="CW1463" s="3"/>
      <c r="DG1463" s="4"/>
    </row>
    <row r="1464" customFormat="false" ht="11.25" hidden="false" customHeight="true" outlineLevel="0" collapsed="false">
      <c r="CK1464" s="1"/>
      <c r="CW1464" s="3"/>
      <c r="DG1464" s="4"/>
    </row>
    <row r="1465" customFormat="false" ht="11.25" hidden="false" customHeight="true" outlineLevel="0" collapsed="false">
      <c r="CK1465" s="1"/>
      <c r="CW1465" s="3"/>
      <c r="DG1465" s="4"/>
    </row>
    <row r="1466" customFormat="false" ht="11.25" hidden="false" customHeight="true" outlineLevel="0" collapsed="false">
      <c r="CK1466" s="1"/>
      <c r="CW1466" s="3"/>
      <c r="DG1466" s="4"/>
    </row>
    <row r="1467" customFormat="false" ht="11.25" hidden="false" customHeight="true" outlineLevel="0" collapsed="false">
      <c r="CK1467" s="1"/>
      <c r="CW1467" s="3"/>
      <c r="DG1467" s="4"/>
    </row>
    <row r="1468" customFormat="false" ht="11.25" hidden="false" customHeight="true" outlineLevel="0" collapsed="false">
      <c r="CK1468" s="1"/>
      <c r="CW1468" s="3"/>
      <c r="DG1468" s="4"/>
    </row>
    <row r="1469" customFormat="false" ht="11.25" hidden="false" customHeight="true" outlineLevel="0" collapsed="false">
      <c r="CK1469" s="1"/>
      <c r="CW1469" s="3"/>
      <c r="DG1469" s="4"/>
    </row>
    <row r="1470" customFormat="false" ht="11.25" hidden="false" customHeight="true" outlineLevel="0" collapsed="false">
      <c r="CK1470" s="1"/>
      <c r="CW1470" s="3"/>
      <c r="DG1470" s="4"/>
    </row>
    <row r="1471" customFormat="false" ht="11.25" hidden="false" customHeight="true" outlineLevel="0" collapsed="false">
      <c r="CK1471" s="1"/>
      <c r="CW1471" s="3"/>
      <c r="DG1471" s="4"/>
    </row>
    <row r="1472" customFormat="false" ht="11.25" hidden="false" customHeight="true" outlineLevel="0" collapsed="false">
      <c r="CK1472" s="1"/>
      <c r="CW1472" s="3"/>
      <c r="DG1472" s="4"/>
    </row>
    <row r="1473" customFormat="false" ht="11.25" hidden="false" customHeight="true" outlineLevel="0" collapsed="false">
      <c r="CK1473" s="1"/>
      <c r="CW1473" s="3"/>
      <c r="DG1473" s="4"/>
    </row>
    <row r="1474" customFormat="false" ht="11.25" hidden="false" customHeight="true" outlineLevel="0" collapsed="false">
      <c r="CK1474" s="1"/>
      <c r="CW1474" s="3"/>
      <c r="DG1474" s="4"/>
    </row>
    <row r="1475" customFormat="false" ht="11.25" hidden="false" customHeight="true" outlineLevel="0" collapsed="false">
      <c r="CK1475" s="1"/>
      <c r="CW1475" s="3"/>
      <c r="DG1475" s="4"/>
    </row>
    <row r="1476" customFormat="false" ht="11.25" hidden="false" customHeight="true" outlineLevel="0" collapsed="false">
      <c r="CK1476" s="1"/>
      <c r="CW1476" s="3"/>
      <c r="DG1476" s="4"/>
    </row>
    <row r="1477" customFormat="false" ht="11.25" hidden="false" customHeight="true" outlineLevel="0" collapsed="false">
      <c r="CK1477" s="1"/>
      <c r="CW1477" s="3"/>
      <c r="DG1477" s="4"/>
    </row>
    <row r="1478" customFormat="false" ht="11.25" hidden="false" customHeight="true" outlineLevel="0" collapsed="false">
      <c r="CK1478" s="1"/>
      <c r="CW1478" s="3"/>
      <c r="DG1478" s="4"/>
    </row>
    <row r="1479" customFormat="false" ht="11.25" hidden="false" customHeight="true" outlineLevel="0" collapsed="false">
      <c r="CK1479" s="1"/>
      <c r="CW1479" s="3"/>
      <c r="DG1479" s="4"/>
    </row>
    <row r="1480" customFormat="false" ht="11.25" hidden="false" customHeight="true" outlineLevel="0" collapsed="false">
      <c r="CK1480" s="1"/>
      <c r="CW1480" s="3"/>
      <c r="DG1480" s="4"/>
    </row>
    <row r="1481" customFormat="false" ht="11.25" hidden="false" customHeight="true" outlineLevel="0" collapsed="false">
      <c r="CK1481" s="1"/>
      <c r="CW1481" s="3"/>
      <c r="DG1481" s="4"/>
    </row>
    <row r="1482" customFormat="false" ht="11.25" hidden="false" customHeight="true" outlineLevel="0" collapsed="false">
      <c r="CK1482" s="1"/>
      <c r="CW1482" s="3"/>
      <c r="DG1482" s="4"/>
    </row>
    <row r="1483" customFormat="false" ht="11.25" hidden="false" customHeight="true" outlineLevel="0" collapsed="false">
      <c r="CK1483" s="1"/>
      <c r="CW1483" s="3"/>
      <c r="DG1483" s="4"/>
    </row>
    <row r="1484" customFormat="false" ht="11.25" hidden="false" customHeight="true" outlineLevel="0" collapsed="false">
      <c r="CK1484" s="1"/>
      <c r="CW1484" s="3"/>
      <c r="DG1484" s="4"/>
    </row>
    <row r="1485" customFormat="false" ht="11.25" hidden="false" customHeight="true" outlineLevel="0" collapsed="false">
      <c r="CK1485" s="1"/>
      <c r="CW1485" s="3"/>
      <c r="DG1485" s="4"/>
    </row>
    <row r="1486" customFormat="false" ht="11.25" hidden="false" customHeight="true" outlineLevel="0" collapsed="false">
      <c r="CK1486" s="1"/>
      <c r="CW1486" s="3"/>
      <c r="DG1486" s="4"/>
    </row>
    <row r="1487" customFormat="false" ht="11.25" hidden="false" customHeight="true" outlineLevel="0" collapsed="false">
      <c r="CK1487" s="1"/>
      <c r="CW1487" s="3"/>
      <c r="DG1487" s="4"/>
    </row>
    <row r="1488" customFormat="false" ht="11.25" hidden="false" customHeight="true" outlineLevel="0" collapsed="false">
      <c r="CK1488" s="1"/>
      <c r="CW1488" s="3"/>
      <c r="DG1488" s="4"/>
    </row>
    <row r="1489" customFormat="false" ht="11.25" hidden="false" customHeight="true" outlineLevel="0" collapsed="false">
      <c r="CK1489" s="1"/>
      <c r="CW1489" s="3"/>
      <c r="DG1489" s="4"/>
    </row>
    <row r="1490" customFormat="false" ht="11.25" hidden="false" customHeight="true" outlineLevel="0" collapsed="false">
      <c r="CK1490" s="1"/>
      <c r="CW1490" s="3"/>
      <c r="DG1490" s="4"/>
    </row>
    <row r="1491" customFormat="false" ht="11.25" hidden="false" customHeight="true" outlineLevel="0" collapsed="false">
      <c r="CK1491" s="1"/>
      <c r="CW1491" s="3"/>
      <c r="DG1491" s="4"/>
    </row>
    <row r="1492" customFormat="false" ht="11.25" hidden="false" customHeight="true" outlineLevel="0" collapsed="false">
      <c r="CK1492" s="1"/>
      <c r="CW1492" s="3"/>
      <c r="DG1492" s="4"/>
    </row>
    <row r="1493" customFormat="false" ht="11.25" hidden="false" customHeight="true" outlineLevel="0" collapsed="false">
      <c r="CK1493" s="1"/>
      <c r="CW1493" s="3"/>
      <c r="DG1493" s="4"/>
    </row>
    <row r="1494" customFormat="false" ht="11.25" hidden="false" customHeight="true" outlineLevel="0" collapsed="false">
      <c r="CK1494" s="1"/>
      <c r="CW1494" s="3"/>
      <c r="DG1494" s="4"/>
    </row>
    <row r="1495" customFormat="false" ht="11.25" hidden="false" customHeight="true" outlineLevel="0" collapsed="false">
      <c r="CK1495" s="1"/>
      <c r="CW1495" s="3"/>
      <c r="DG1495" s="4"/>
    </row>
    <row r="1496" customFormat="false" ht="11.25" hidden="false" customHeight="true" outlineLevel="0" collapsed="false">
      <c r="CK1496" s="1"/>
      <c r="CW1496" s="3"/>
      <c r="DG1496" s="4"/>
    </row>
    <row r="1497" customFormat="false" ht="11.25" hidden="false" customHeight="true" outlineLevel="0" collapsed="false">
      <c r="CK1497" s="1"/>
      <c r="CW1497" s="3"/>
      <c r="DG1497" s="4"/>
    </row>
    <row r="1498" customFormat="false" ht="11.25" hidden="false" customHeight="true" outlineLevel="0" collapsed="false">
      <c r="CK1498" s="1"/>
      <c r="CW1498" s="3"/>
      <c r="DG1498" s="4"/>
    </row>
    <row r="1499" customFormat="false" ht="11.25" hidden="false" customHeight="true" outlineLevel="0" collapsed="false">
      <c r="CK1499" s="1"/>
      <c r="CW1499" s="3"/>
      <c r="DG1499" s="4"/>
    </row>
    <row r="1500" customFormat="false" ht="11.25" hidden="false" customHeight="true" outlineLevel="0" collapsed="false">
      <c r="CK1500" s="1"/>
      <c r="CW1500" s="3"/>
      <c r="DG1500" s="4"/>
    </row>
    <row r="1501" customFormat="false" ht="11.25" hidden="false" customHeight="true" outlineLevel="0" collapsed="false">
      <c r="CK1501" s="1"/>
      <c r="CW1501" s="3"/>
      <c r="DG1501" s="4"/>
    </row>
    <row r="1502" customFormat="false" ht="11.25" hidden="false" customHeight="true" outlineLevel="0" collapsed="false"/>
    <row r="1503" customFormat="false" ht="11.25" hidden="false" customHeight="true" outlineLevel="0" collapsed="false"/>
    <row r="1504" customFormat="false" ht="11.25" hidden="false" customHeight="true" outlineLevel="0" collapsed="false"/>
    <row r="1505" customFormat="false" ht="11.25" hidden="false" customHeight="true" outlineLevel="0" collapsed="false"/>
    <row r="1506" customFormat="false" ht="11.25" hidden="false" customHeight="true" outlineLevel="0" collapsed="false"/>
    <row r="1507" customFormat="false" ht="11.25" hidden="false" customHeight="true" outlineLevel="0" collapsed="false"/>
    <row r="1508" customFormat="false" ht="11.25" hidden="false" customHeight="true" outlineLevel="0" collapsed="false"/>
    <row r="1509" customFormat="false" ht="11.25" hidden="false" customHeight="true" outlineLevel="0" collapsed="false"/>
    <row r="1510" customFormat="false" ht="11.25" hidden="false" customHeight="true" outlineLevel="0" collapsed="false"/>
    <row r="1511" customFormat="false" ht="11.25" hidden="false" customHeight="true" outlineLevel="0" collapsed="false"/>
    <row r="1512" customFormat="false" ht="11.25" hidden="false" customHeight="true" outlineLevel="0" collapsed="false"/>
    <row r="1513" customFormat="false" ht="11.25" hidden="false" customHeight="true" outlineLevel="0" collapsed="false"/>
    <row r="1514" customFormat="false" ht="11.25" hidden="false" customHeight="true" outlineLevel="0" collapsed="false"/>
    <row r="1515" customFormat="false" ht="11.25" hidden="false" customHeight="true" outlineLevel="0" collapsed="false"/>
    <row r="1516" customFormat="false" ht="11.25" hidden="false" customHeight="true" outlineLevel="0" collapsed="false"/>
    <row r="1517" customFormat="false" ht="11.25" hidden="false" customHeight="true" outlineLevel="0" collapsed="false"/>
    <row r="1518" customFormat="false" ht="11.25" hidden="false" customHeight="true" outlineLevel="0" collapsed="false"/>
    <row r="1519" customFormat="false" ht="11.25" hidden="false" customHeight="true" outlineLevel="0" collapsed="false"/>
    <row r="1520" customFormat="false" ht="11.25" hidden="false" customHeight="true" outlineLevel="0" collapsed="false"/>
    <row r="1521" customFormat="false" ht="11.25" hidden="false" customHeight="true" outlineLevel="0" collapsed="false"/>
    <row r="1522" customFormat="false" ht="11.25" hidden="false" customHeight="true" outlineLevel="0" collapsed="false"/>
    <row r="1523" customFormat="false" ht="11.25" hidden="false" customHeight="true" outlineLevel="0" collapsed="false"/>
    <row r="1524" customFormat="false" ht="11.25" hidden="false" customHeight="true" outlineLevel="0" collapsed="false"/>
    <row r="1525" customFormat="false" ht="11.25" hidden="false" customHeight="true" outlineLevel="0" collapsed="false"/>
    <row r="1526" customFormat="false" ht="11.25" hidden="false" customHeight="true" outlineLevel="0" collapsed="false"/>
    <row r="1527" customFormat="false" ht="11.25" hidden="false" customHeight="true" outlineLevel="0" collapsed="false"/>
    <row r="1528" customFormat="false" ht="11.25" hidden="false" customHeight="true" outlineLevel="0" collapsed="false"/>
    <row r="1529" customFormat="false" ht="11.25" hidden="false" customHeight="true" outlineLevel="0" collapsed="false"/>
    <row r="1530" customFormat="false" ht="11.25" hidden="false" customHeight="true" outlineLevel="0" collapsed="false"/>
    <row r="1531" customFormat="false" ht="11.25" hidden="false" customHeight="true" outlineLevel="0" collapsed="false"/>
    <row r="1532" customFormat="false" ht="11.25" hidden="false" customHeight="true" outlineLevel="0" collapsed="false"/>
    <row r="1533" customFormat="false" ht="11.25" hidden="false" customHeight="true" outlineLevel="0" collapsed="false"/>
    <row r="1534" customFormat="false" ht="11.25" hidden="false" customHeight="true" outlineLevel="0" collapsed="false"/>
    <row r="1535" customFormat="false" ht="11.25" hidden="false" customHeight="true" outlineLevel="0" collapsed="false"/>
    <row r="1536" customFormat="false" ht="11.25" hidden="false" customHeight="true" outlineLevel="0" collapsed="false"/>
    <row r="1537" customFormat="false" ht="11.25" hidden="false" customHeight="true" outlineLevel="0" collapsed="false"/>
    <row r="1538" customFormat="false" ht="11.25" hidden="false" customHeight="true" outlineLevel="0" collapsed="false"/>
    <row r="1539" customFormat="false" ht="11.25" hidden="false" customHeight="true" outlineLevel="0" collapsed="false"/>
    <row r="1540" customFormat="false" ht="11.25" hidden="false" customHeight="true" outlineLevel="0" collapsed="false"/>
    <row r="1541" customFormat="false" ht="11.25" hidden="false" customHeight="true" outlineLevel="0" collapsed="false"/>
    <row r="1542" customFormat="false" ht="11.25" hidden="false" customHeight="true" outlineLevel="0" collapsed="false"/>
    <row r="1543" customFormat="false" ht="11.25" hidden="false" customHeight="true" outlineLevel="0" collapsed="false"/>
    <row r="1544" customFormat="false" ht="11.25" hidden="false" customHeight="true" outlineLevel="0" collapsed="false"/>
    <row r="1545" customFormat="false" ht="11.25" hidden="false" customHeight="true" outlineLevel="0" collapsed="false"/>
    <row r="1546" customFormat="false" ht="11.25" hidden="false" customHeight="true" outlineLevel="0" collapsed="false"/>
    <row r="1547" customFormat="false" ht="11.25" hidden="false" customHeight="true" outlineLevel="0" collapsed="false"/>
    <row r="1548" customFormat="false" ht="11.25" hidden="false" customHeight="true" outlineLevel="0" collapsed="false"/>
    <row r="1549" customFormat="false" ht="11.25" hidden="false" customHeight="true" outlineLevel="0" collapsed="false"/>
    <row r="1550" customFormat="false" ht="11.25" hidden="false" customHeight="true" outlineLevel="0" collapsed="false"/>
    <row r="1551" customFormat="false" ht="11.25" hidden="false" customHeight="true" outlineLevel="0" collapsed="false"/>
    <row r="1552" customFormat="false" ht="11.25" hidden="false" customHeight="true" outlineLevel="0" collapsed="false"/>
    <row r="1553" customFormat="false" ht="11.25" hidden="false" customHeight="true" outlineLevel="0" collapsed="false"/>
    <row r="1554" customFormat="false" ht="11.25" hidden="false" customHeight="true" outlineLevel="0" collapsed="false"/>
    <row r="1555" customFormat="false" ht="11.25" hidden="false" customHeight="true" outlineLevel="0" collapsed="false"/>
    <row r="1556" customFormat="false" ht="11.25" hidden="false" customHeight="true" outlineLevel="0" collapsed="false"/>
    <row r="1557" customFormat="false" ht="11.25" hidden="false" customHeight="true" outlineLevel="0" collapsed="false"/>
    <row r="1558" customFormat="false" ht="11.25" hidden="false" customHeight="true" outlineLevel="0" collapsed="false"/>
    <row r="1559" customFormat="false" ht="11.25" hidden="false" customHeight="true" outlineLevel="0" collapsed="false"/>
    <row r="1560" customFormat="false" ht="11.25" hidden="false" customHeight="true" outlineLevel="0" collapsed="false"/>
    <row r="1561" customFormat="false" ht="11.25" hidden="false" customHeight="true" outlineLevel="0" collapsed="false"/>
    <row r="1562" customFormat="false" ht="11.25" hidden="false" customHeight="true" outlineLevel="0" collapsed="false"/>
    <row r="1563" customFormat="false" ht="11.25" hidden="false" customHeight="true" outlineLevel="0" collapsed="false"/>
    <row r="1564" customFormat="false" ht="11.25" hidden="false" customHeight="true" outlineLevel="0" collapsed="false"/>
    <row r="1565" customFormat="false" ht="11.25" hidden="false" customHeight="true" outlineLevel="0" collapsed="false"/>
    <row r="1566" customFormat="false" ht="11.25" hidden="false" customHeight="true" outlineLevel="0" collapsed="false"/>
    <row r="1567" customFormat="false" ht="11.25" hidden="false" customHeight="true" outlineLevel="0" collapsed="false"/>
    <row r="1568" customFormat="false" ht="11.25" hidden="false" customHeight="true" outlineLevel="0" collapsed="false"/>
    <row r="1569" customFormat="false" ht="11.25" hidden="false" customHeight="true" outlineLevel="0" collapsed="false"/>
    <row r="1570" customFormat="false" ht="11.25" hidden="false" customHeight="true" outlineLevel="0" collapsed="false"/>
    <row r="1571" customFormat="false" ht="11.25" hidden="false" customHeight="true" outlineLevel="0" collapsed="false"/>
    <row r="1572" customFormat="false" ht="11.25" hidden="false" customHeight="true" outlineLevel="0" collapsed="false"/>
    <row r="1573" customFormat="false" ht="11.25" hidden="false" customHeight="true" outlineLevel="0" collapsed="false"/>
    <row r="1574" customFormat="false" ht="11.25" hidden="false" customHeight="true" outlineLevel="0" collapsed="false"/>
    <row r="1575" customFormat="false" ht="11.25" hidden="false" customHeight="true" outlineLevel="0" collapsed="false"/>
    <row r="1576" customFormat="false" ht="11.25" hidden="false" customHeight="true" outlineLevel="0" collapsed="false"/>
    <row r="1577" customFormat="false" ht="11.25" hidden="false" customHeight="true" outlineLevel="0" collapsed="false"/>
    <row r="1578" customFormat="false" ht="11.25" hidden="false" customHeight="true" outlineLevel="0" collapsed="false"/>
    <row r="1579" customFormat="false" ht="11.25" hidden="false" customHeight="true" outlineLevel="0" collapsed="false"/>
    <row r="1580" customFormat="false" ht="11.25" hidden="false" customHeight="true" outlineLevel="0" collapsed="false"/>
    <row r="1581" customFormat="false" ht="11.25" hidden="false" customHeight="true" outlineLevel="0" collapsed="false"/>
    <row r="1582" customFormat="false" ht="11.25" hidden="false" customHeight="true" outlineLevel="0" collapsed="false"/>
    <row r="1583" customFormat="false" ht="11.25" hidden="false" customHeight="true" outlineLevel="0" collapsed="false"/>
    <row r="1584" customFormat="false" ht="11.25" hidden="false" customHeight="true" outlineLevel="0" collapsed="false"/>
    <row r="1585" customFormat="false" ht="11.25" hidden="false" customHeight="true" outlineLevel="0" collapsed="false"/>
    <row r="1586" customFormat="false" ht="11.25" hidden="false" customHeight="true" outlineLevel="0" collapsed="false"/>
    <row r="1587" customFormat="false" ht="11.25" hidden="false" customHeight="true" outlineLevel="0" collapsed="false"/>
    <row r="1588" customFormat="false" ht="11.25" hidden="false" customHeight="true" outlineLevel="0" collapsed="false"/>
    <row r="1589" customFormat="false" ht="11.25" hidden="false" customHeight="true" outlineLevel="0" collapsed="false"/>
    <row r="1590" customFormat="false" ht="11.25" hidden="false" customHeight="true" outlineLevel="0" collapsed="false"/>
    <row r="1591" customFormat="false" ht="11.25" hidden="false" customHeight="true" outlineLevel="0" collapsed="false"/>
    <row r="1592" customFormat="false" ht="11.25" hidden="false" customHeight="true" outlineLevel="0" collapsed="false"/>
    <row r="1593" customFormat="false" ht="11.25" hidden="false" customHeight="true" outlineLevel="0" collapsed="false"/>
    <row r="1594" customFormat="false" ht="11.25" hidden="false" customHeight="true" outlineLevel="0" collapsed="false"/>
    <row r="1595" customFormat="false" ht="11.25" hidden="false" customHeight="true" outlineLevel="0" collapsed="false"/>
    <row r="1596" customFormat="false" ht="11.25" hidden="false" customHeight="true" outlineLevel="0" collapsed="false"/>
    <row r="1597" customFormat="false" ht="11.25" hidden="false" customHeight="true" outlineLevel="0" collapsed="false"/>
    <row r="1598" customFormat="false" ht="11.25" hidden="false" customHeight="true" outlineLevel="0" collapsed="false"/>
    <row r="1599" customFormat="false" ht="11.25" hidden="false" customHeight="true" outlineLevel="0" collapsed="false"/>
    <row r="1600" customFormat="false" ht="11.25" hidden="false" customHeight="true" outlineLevel="0" collapsed="false"/>
    <row r="1601" customFormat="false" ht="11.25" hidden="false" customHeight="true" outlineLevel="0" collapsed="false"/>
    <row r="1602" customFormat="false" ht="11.25" hidden="false" customHeight="true" outlineLevel="0" collapsed="false"/>
    <row r="1603" customFormat="false" ht="11.25" hidden="false" customHeight="true" outlineLevel="0" collapsed="false"/>
    <row r="1604" customFormat="false" ht="11.25" hidden="false" customHeight="true" outlineLevel="0" collapsed="false"/>
    <row r="1605" customFormat="false" ht="11.25" hidden="false" customHeight="true" outlineLevel="0" collapsed="false"/>
    <row r="1606" customFormat="false" ht="11.25" hidden="false" customHeight="true" outlineLevel="0" collapsed="false"/>
    <row r="1607" customFormat="false" ht="11.25" hidden="false" customHeight="true" outlineLevel="0" collapsed="false"/>
    <row r="1608" customFormat="false" ht="11.25" hidden="false" customHeight="true" outlineLevel="0" collapsed="false"/>
    <row r="1609" customFormat="false" ht="11.25" hidden="false" customHeight="true" outlineLevel="0" collapsed="false"/>
    <row r="1610" customFormat="false" ht="11.25" hidden="false" customHeight="true" outlineLevel="0" collapsed="false"/>
    <row r="1611" customFormat="false" ht="11.25" hidden="false" customHeight="true" outlineLevel="0" collapsed="false"/>
    <row r="1612" customFormat="false" ht="11.25" hidden="false" customHeight="true" outlineLevel="0" collapsed="false"/>
    <row r="1613" customFormat="false" ht="11.25" hidden="false" customHeight="true" outlineLevel="0" collapsed="false"/>
    <row r="1614" customFormat="false" ht="11.25" hidden="false" customHeight="true" outlineLevel="0" collapsed="false"/>
    <row r="1615" customFormat="false" ht="11.25" hidden="false" customHeight="true" outlineLevel="0" collapsed="false"/>
    <row r="1616" customFormat="false" ht="11.25" hidden="false" customHeight="true" outlineLevel="0" collapsed="false"/>
    <row r="1617" customFormat="false" ht="11.25" hidden="false" customHeight="true" outlineLevel="0" collapsed="false"/>
    <row r="1618" customFormat="false" ht="11.25" hidden="false" customHeight="true" outlineLevel="0" collapsed="false"/>
    <row r="1619" customFormat="false" ht="11.25" hidden="false" customHeight="true" outlineLevel="0" collapsed="false"/>
    <row r="1620" customFormat="false" ht="11.25" hidden="false" customHeight="true" outlineLevel="0" collapsed="false"/>
    <row r="1621" customFormat="false" ht="11.25" hidden="false" customHeight="true" outlineLevel="0" collapsed="false"/>
    <row r="1622" customFormat="false" ht="11.25" hidden="false" customHeight="true" outlineLevel="0" collapsed="false"/>
    <row r="1623" customFormat="false" ht="11.25" hidden="false" customHeight="true" outlineLevel="0" collapsed="false"/>
    <row r="1624" customFormat="false" ht="11.25" hidden="false" customHeight="true" outlineLevel="0" collapsed="false"/>
    <row r="1625" customFormat="false" ht="11.25" hidden="false" customHeight="true" outlineLevel="0" collapsed="false"/>
    <row r="1626" customFormat="false" ht="11.25" hidden="false" customHeight="true" outlineLevel="0" collapsed="false"/>
    <row r="1627" customFormat="false" ht="11.25" hidden="false" customHeight="true" outlineLevel="0" collapsed="false"/>
    <row r="1628" customFormat="false" ht="11.25" hidden="false" customHeight="true" outlineLevel="0" collapsed="false"/>
    <row r="1629" customFormat="false" ht="11.25" hidden="false" customHeight="true" outlineLevel="0" collapsed="false"/>
    <row r="1630" customFormat="false" ht="11.25" hidden="false" customHeight="true" outlineLevel="0" collapsed="false"/>
    <row r="1631" customFormat="false" ht="11.25" hidden="false" customHeight="true" outlineLevel="0" collapsed="false"/>
    <row r="1632" customFormat="false" ht="11.25" hidden="false" customHeight="true" outlineLevel="0" collapsed="false"/>
    <row r="1633" customFormat="false" ht="11.25" hidden="false" customHeight="true" outlineLevel="0" collapsed="false"/>
    <row r="1634" customFormat="false" ht="11.25" hidden="false" customHeight="true" outlineLevel="0" collapsed="false"/>
    <row r="1635" customFormat="false" ht="11.25" hidden="false" customHeight="true" outlineLevel="0" collapsed="false"/>
    <row r="1636" customFormat="false" ht="11.25" hidden="false" customHeight="true" outlineLevel="0" collapsed="false"/>
    <row r="1637" customFormat="false" ht="11.25" hidden="false" customHeight="true" outlineLevel="0" collapsed="false"/>
    <row r="1638" customFormat="false" ht="11.25" hidden="false" customHeight="true" outlineLevel="0" collapsed="false"/>
    <row r="1639" customFormat="false" ht="11.25" hidden="false" customHeight="true" outlineLevel="0" collapsed="false"/>
    <row r="1640" customFormat="false" ht="11.25" hidden="false" customHeight="true" outlineLevel="0" collapsed="false"/>
    <row r="1641" customFormat="false" ht="11.25" hidden="false" customHeight="true" outlineLevel="0" collapsed="false"/>
    <row r="1642" customFormat="false" ht="11.25" hidden="false" customHeight="true" outlineLevel="0" collapsed="false"/>
    <row r="1643" customFormat="false" ht="11.25" hidden="false" customHeight="true" outlineLevel="0" collapsed="false"/>
    <row r="1644" customFormat="false" ht="11.25" hidden="false" customHeight="true" outlineLevel="0" collapsed="false"/>
    <row r="1645" customFormat="false" ht="11.25" hidden="false" customHeight="true" outlineLevel="0" collapsed="false"/>
    <row r="1646" customFormat="false" ht="11.25" hidden="false" customHeight="true" outlineLevel="0" collapsed="false"/>
    <row r="1647" customFormat="false" ht="11.25" hidden="false" customHeight="true" outlineLevel="0" collapsed="false"/>
    <row r="1648" customFormat="false" ht="11.25" hidden="false" customHeight="true" outlineLevel="0" collapsed="false"/>
    <row r="1649" customFormat="false" ht="11.25" hidden="false" customHeight="true" outlineLevel="0" collapsed="false"/>
    <row r="1650" customFormat="false" ht="11.25" hidden="false" customHeight="true" outlineLevel="0" collapsed="false"/>
    <row r="1651" customFormat="false" ht="11.25" hidden="false" customHeight="true" outlineLevel="0" collapsed="false"/>
    <row r="1652" customFormat="false" ht="11.25" hidden="false" customHeight="true" outlineLevel="0" collapsed="false"/>
    <row r="1653" customFormat="false" ht="11.25" hidden="false" customHeight="true" outlineLevel="0" collapsed="false"/>
    <row r="1654" customFormat="false" ht="11.25" hidden="false" customHeight="true" outlineLevel="0" collapsed="false"/>
    <row r="1655" customFormat="false" ht="11.25" hidden="false" customHeight="true" outlineLevel="0" collapsed="false"/>
    <row r="1656" customFormat="false" ht="11.25" hidden="false" customHeight="true" outlineLevel="0" collapsed="false"/>
    <row r="1657" customFormat="false" ht="11.25" hidden="false" customHeight="true" outlineLevel="0" collapsed="false"/>
    <row r="1658" customFormat="false" ht="11.25" hidden="false" customHeight="true" outlineLevel="0" collapsed="false"/>
    <row r="1659" customFormat="false" ht="11.25" hidden="false" customHeight="true" outlineLevel="0" collapsed="false"/>
    <row r="1660" customFormat="false" ht="11.25" hidden="false" customHeight="true" outlineLevel="0" collapsed="false"/>
    <row r="1661" customFormat="false" ht="11.25" hidden="false" customHeight="true" outlineLevel="0" collapsed="false"/>
    <row r="1662" customFormat="false" ht="11.25" hidden="false" customHeight="true" outlineLevel="0" collapsed="false"/>
    <row r="1663" customFormat="false" ht="11.25" hidden="false" customHeight="true" outlineLevel="0" collapsed="false"/>
    <row r="1664" customFormat="false" ht="11.25" hidden="false" customHeight="true" outlineLevel="0" collapsed="false"/>
    <row r="1665" customFormat="false" ht="11.25" hidden="false" customHeight="true" outlineLevel="0" collapsed="false"/>
    <row r="1666" customFormat="false" ht="11.25" hidden="false" customHeight="true" outlineLevel="0" collapsed="false"/>
    <row r="1667" customFormat="false" ht="11.25" hidden="false" customHeight="true" outlineLevel="0" collapsed="false"/>
    <row r="1668" customFormat="false" ht="11.25" hidden="false" customHeight="true" outlineLevel="0" collapsed="false"/>
    <row r="1669" customFormat="false" ht="11.25" hidden="false" customHeight="true" outlineLevel="0" collapsed="false"/>
    <row r="1670" customFormat="false" ht="11.25" hidden="false" customHeight="true" outlineLevel="0" collapsed="false"/>
    <row r="1671" customFormat="false" ht="11.25" hidden="false" customHeight="true" outlineLevel="0" collapsed="false"/>
    <row r="1672" customFormat="false" ht="11.25" hidden="false" customHeight="true" outlineLevel="0" collapsed="false"/>
    <row r="1673" customFormat="false" ht="11.25" hidden="false" customHeight="true" outlineLevel="0" collapsed="false"/>
    <row r="1674" customFormat="false" ht="11.25" hidden="false" customHeight="true" outlineLevel="0" collapsed="false"/>
    <row r="1675" customFormat="false" ht="11.25" hidden="false" customHeight="true" outlineLevel="0" collapsed="false"/>
    <row r="1676" customFormat="false" ht="11.25" hidden="false" customHeight="true" outlineLevel="0" collapsed="false"/>
    <row r="1677" customFormat="false" ht="11.25" hidden="false" customHeight="true" outlineLevel="0" collapsed="false"/>
    <row r="1678" customFormat="false" ht="11.25" hidden="false" customHeight="true" outlineLevel="0" collapsed="false"/>
    <row r="1679" customFormat="false" ht="11.25" hidden="false" customHeight="true" outlineLevel="0" collapsed="false"/>
    <row r="1680" customFormat="false" ht="11.25" hidden="false" customHeight="true" outlineLevel="0" collapsed="false"/>
    <row r="1681" customFormat="false" ht="11.25" hidden="false" customHeight="true" outlineLevel="0" collapsed="false"/>
    <row r="1682" customFormat="false" ht="11.25" hidden="false" customHeight="true" outlineLevel="0" collapsed="false"/>
    <row r="1683" customFormat="false" ht="11.25" hidden="false" customHeight="true" outlineLevel="0" collapsed="false"/>
    <row r="1684" customFormat="false" ht="11.25" hidden="false" customHeight="true" outlineLevel="0" collapsed="false"/>
    <row r="1685" customFormat="false" ht="11.25" hidden="false" customHeight="true" outlineLevel="0" collapsed="false"/>
    <row r="1686" customFormat="false" ht="11.25" hidden="false" customHeight="true" outlineLevel="0" collapsed="false"/>
    <row r="1687" customFormat="false" ht="11.25" hidden="false" customHeight="true" outlineLevel="0" collapsed="false"/>
    <row r="1688" customFormat="false" ht="11.25" hidden="false" customHeight="true" outlineLevel="0" collapsed="false"/>
    <row r="1689" customFormat="false" ht="11.25" hidden="false" customHeight="true" outlineLevel="0" collapsed="false"/>
    <row r="1690" customFormat="false" ht="11.25" hidden="false" customHeight="true" outlineLevel="0" collapsed="false"/>
    <row r="1691" customFormat="false" ht="11.25" hidden="false" customHeight="true" outlineLevel="0" collapsed="false"/>
    <row r="1692" customFormat="false" ht="11.25" hidden="false" customHeight="true" outlineLevel="0" collapsed="false"/>
    <row r="1693" customFormat="false" ht="11.25" hidden="false" customHeight="true" outlineLevel="0" collapsed="false"/>
    <row r="1694" customFormat="false" ht="11.25" hidden="false" customHeight="true" outlineLevel="0" collapsed="false"/>
    <row r="1695" customFormat="false" ht="11.25" hidden="false" customHeight="true" outlineLevel="0" collapsed="false"/>
    <row r="1696" customFormat="false" ht="11.25" hidden="false" customHeight="true" outlineLevel="0" collapsed="false"/>
    <row r="1697" customFormat="false" ht="11.25" hidden="false" customHeight="true" outlineLevel="0" collapsed="false"/>
    <row r="1698" customFormat="false" ht="11.25" hidden="false" customHeight="true" outlineLevel="0" collapsed="false"/>
    <row r="1699" customFormat="false" ht="11.25" hidden="false" customHeight="true" outlineLevel="0" collapsed="false"/>
    <row r="1700" customFormat="false" ht="11.25" hidden="false" customHeight="true" outlineLevel="0" collapsed="false"/>
    <row r="1701" customFormat="false" ht="11.25" hidden="false" customHeight="true" outlineLevel="0" collapsed="false"/>
    <row r="1702" customFormat="false" ht="11.25" hidden="false" customHeight="true" outlineLevel="0" collapsed="false"/>
    <row r="1703" customFormat="false" ht="11.25" hidden="false" customHeight="true" outlineLevel="0" collapsed="false"/>
    <row r="1704" customFormat="false" ht="11.25" hidden="false" customHeight="true" outlineLevel="0" collapsed="false"/>
    <row r="1705" customFormat="false" ht="11.25" hidden="false" customHeight="true" outlineLevel="0" collapsed="false"/>
    <row r="1706" customFormat="false" ht="11.25" hidden="false" customHeight="true" outlineLevel="0" collapsed="false"/>
    <row r="1707" customFormat="false" ht="11.25" hidden="false" customHeight="true" outlineLevel="0" collapsed="false"/>
    <row r="1708" customFormat="false" ht="11.25" hidden="false" customHeight="true" outlineLevel="0" collapsed="false"/>
    <row r="1709" customFormat="false" ht="11.25" hidden="false" customHeight="true" outlineLevel="0" collapsed="false"/>
    <row r="1710" customFormat="false" ht="11.25" hidden="false" customHeight="true" outlineLevel="0" collapsed="false"/>
    <row r="1711" customFormat="false" ht="11.25" hidden="false" customHeight="true" outlineLevel="0" collapsed="false"/>
    <row r="1712" customFormat="false" ht="11.25" hidden="false" customHeight="true" outlineLevel="0" collapsed="false"/>
    <row r="1713" customFormat="false" ht="11.25" hidden="false" customHeight="true" outlineLevel="0" collapsed="false"/>
    <row r="1714" customFormat="false" ht="11.25" hidden="false" customHeight="true" outlineLevel="0" collapsed="false"/>
    <row r="1715" customFormat="false" ht="11.25" hidden="false" customHeight="true" outlineLevel="0" collapsed="false"/>
    <row r="1716" customFormat="false" ht="11.25" hidden="false" customHeight="true" outlineLevel="0" collapsed="false"/>
    <row r="1717" customFormat="false" ht="11.25" hidden="false" customHeight="true" outlineLevel="0" collapsed="false"/>
    <row r="1718" customFormat="false" ht="11.25" hidden="false" customHeight="true" outlineLevel="0" collapsed="false"/>
    <row r="1719" customFormat="false" ht="11.25" hidden="false" customHeight="true" outlineLevel="0" collapsed="false"/>
    <row r="1720" customFormat="false" ht="11.25" hidden="false" customHeight="true" outlineLevel="0" collapsed="false"/>
    <row r="1721" customFormat="false" ht="11.25" hidden="false" customHeight="true" outlineLevel="0" collapsed="false"/>
    <row r="1722" customFormat="false" ht="11.25" hidden="false" customHeight="true" outlineLevel="0" collapsed="false"/>
    <row r="1723" customFormat="false" ht="11.25" hidden="false" customHeight="true" outlineLevel="0" collapsed="false"/>
    <row r="1724" customFormat="false" ht="11.25" hidden="false" customHeight="true" outlineLevel="0" collapsed="false"/>
    <row r="1725" customFormat="false" ht="11.25" hidden="false" customHeight="true" outlineLevel="0" collapsed="false"/>
    <row r="1726" customFormat="false" ht="11.25" hidden="false" customHeight="true" outlineLevel="0" collapsed="false"/>
    <row r="1727" customFormat="false" ht="11.25" hidden="false" customHeight="true" outlineLevel="0" collapsed="false"/>
    <row r="1728" customFormat="false" ht="11.25" hidden="false" customHeight="true" outlineLevel="0" collapsed="false"/>
    <row r="1729" customFormat="false" ht="11.25" hidden="false" customHeight="true" outlineLevel="0" collapsed="false"/>
    <row r="1730" customFormat="false" ht="11.25" hidden="false" customHeight="true" outlineLevel="0" collapsed="false"/>
    <row r="1731" customFormat="false" ht="11.25" hidden="false" customHeight="true" outlineLevel="0" collapsed="false"/>
    <row r="1732" customFormat="false" ht="11.25" hidden="false" customHeight="true" outlineLevel="0" collapsed="false"/>
    <row r="1733" customFormat="false" ht="11.25" hidden="false" customHeight="true" outlineLevel="0" collapsed="false"/>
    <row r="1734" customFormat="false" ht="11.25" hidden="false" customHeight="true" outlineLevel="0" collapsed="false"/>
    <row r="1735" customFormat="false" ht="11.25" hidden="false" customHeight="true" outlineLevel="0" collapsed="false"/>
    <row r="1736" customFormat="false" ht="11.25" hidden="false" customHeight="true" outlineLevel="0" collapsed="false"/>
    <row r="1737" customFormat="false" ht="11.25" hidden="false" customHeight="true" outlineLevel="0" collapsed="false"/>
    <row r="1738" customFormat="false" ht="11.25" hidden="false" customHeight="true" outlineLevel="0" collapsed="false"/>
    <row r="1739" customFormat="false" ht="11.25" hidden="false" customHeight="true" outlineLevel="0" collapsed="false"/>
    <row r="1740" customFormat="false" ht="11.25" hidden="false" customHeight="true" outlineLevel="0" collapsed="false"/>
    <row r="1741" customFormat="false" ht="11.25" hidden="false" customHeight="true" outlineLevel="0" collapsed="false"/>
    <row r="1742" customFormat="false" ht="11.25" hidden="false" customHeight="true" outlineLevel="0" collapsed="false"/>
    <row r="1743" customFormat="false" ht="11.25" hidden="false" customHeight="true" outlineLevel="0" collapsed="false"/>
    <row r="1744" customFormat="false" ht="11.25" hidden="false" customHeight="true" outlineLevel="0" collapsed="false"/>
    <row r="1745" customFormat="false" ht="11.25" hidden="false" customHeight="true" outlineLevel="0" collapsed="false"/>
    <row r="1746" customFormat="false" ht="11.25" hidden="false" customHeight="true" outlineLevel="0" collapsed="false"/>
    <row r="1747" customFormat="false" ht="11.25" hidden="false" customHeight="true" outlineLevel="0" collapsed="false"/>
    <row r="1748" customFormat="false" ht="11.25" hidden="false" customHeight="true" outlineLevel="0" collapsed="false"/>
    <row r="1749" customFormat="false" ht="11.25" hidden="false" customHeight="true" outlineLevel="0" collapsed="false"/>
    <row r="1750" customFormat="false" ht="11.25" hidden="false" customHeight="true" outlineLevel="0" collapsed="false"/>
    <row r="1751" customFormat="false" ht="11.25" hidden="false" customHeight="true" outlineLevel="0" collapsed="false"/>
    <row r="1752" customFormat="false" ht="11.25" hidden="false" customHeight="true" outlineLevel="0" collapsed="false"/>
    <row r="1753" customFormat="false" ht="11.25" hidden="false" customHeight="true" outlineLevel="0" collapsed="false"/>
    <row r="1754" customFormat="false" ht="11.25" hidden="false" customHeight="true" outlineLevel="0" collapsed="false"/>
    <row r="1755" customFormat="false" ht="11.25" hidden="false" customHeight="true" outlineLevel="0" collapsed="false"/>
    <row r="1756" customFormat="false" ht="11.25" hidden="false" customHeight="true" outlineLevel="0" collapsed="false"/>
    <row r="1757" customFormat="false" ht="11.25" hidden="false" customHeight="true" outlineLevel="0" collapsed="false"/>
    <row r="1758" customFormat="false" ht="11.25" hidden="false" customHeight="true" outlineLevel="0" collapsed="false"/>
    <row r="1759" customFormat="false" ht="11.25" hidden="false" customHeight="true" outlineLevel="0" collapsed="false"/>
    <row r="1760" customFormat="false" ht="11.25" hidden="false" customHeight="true" outlineLevel="0" collapsed="false"/>
    <row r="1761" customFormat="false" ht="11.25" hidden="false" customHeight="true" outlineLevel="0" collapsed="false"/>
    <row r="1762" customFormat="false" ht="11.25" hidden="false" customHeight="true" outlineLevel="0" collapsed="false"/>
    <row r="1763" customFormat="false" ht="11.25" hidden="false" customHeight="true" outlineLevel="0" collapsed="false"/>
    <row r="1764" customFormat="false" ht="11.25" hidden="false" customHeight="true" outlineLevel="0" collapsed="false"/>
    <row r="1765" customFormat="false" ht="11.25" hidden="false" customHeight="true" outlineLevel="0" collapsed="false"/>
    <row r="1766" customFormat="false" ht="11.25" hidden="false" customHeight="true" outlineLevel="0" collapsed="false"/>
    <row r="1767" customFormat="false" ht="11.25" hidden="false" customHeight="true" outlineLevel="0" collapsed="false"/>
    <row r="1768" customFormat="false" ht="11.25" hidden="false" customHeight="true" outlineLevel="0" collapsed="false"/>
    <row r="1769" customFormat="false" ht="11.25" hidden="false" customHeight="true" outlineLevel="0" collapsed="false"/>
    <row r="1770" customFormat="false" ht="11.25" hidden="false" customHeight="true" outlineLevel="0" collapsed="false"/>
    <row r="1771" customFormat="false" ht="11.25" hidden="false" customHeight="true" outlineLevel="0" collapsed="false"/>
    <row r="1772" customFormat="false" ht="11.25" hidden="false" customHeight="true" outlineLevel="0" collapsed="false"/>
    <row r="1773" customFormat="false" ht="11.25" hidden="false" customHeight="true" outlineLevel="0" collapsed="false"/>
    <row r="1774" customFormat="false" ht="11.25" hidden="false" customHeight="true" outlineLevel="0" collapsed="false"/>
    <row r="1775" customFormat="false" ht="11.25" hidden="false" customHeight="true" outlineLevel="0" collapsed="false"/>
    <row r="1776" customFormat="false" ht="11.25" hidden="false" customHeight="true" outlineLevel="0" collapsed="false"/>
    <row r="1777" customFormat="false" ht="11.25" hidden="false" customHeight="true" outlineLevel="0" collapsed="false"/>
    <row r="1778" customFormat="false" ht="11.25" hidden="false" customHeight="true" outlineLevel="0" collapsed="false"/>
    <row r="1779" customFormat="false" ht="11.25" hidden="false" customHeight="true" outlineLevel="0" collapsed="false"/>
    <row r="1780" customFormat="false" ht="11.25" hidden="false" customHeight="true" outlineLevel="0" collapsed="false"/>
    <row r="1781" customFormat="false" ht="11.25" hidden="false" customHeight="true" outlineLevel="0" collapsed="false"/>
    <row r="1782" customFormat="false" ht="11.25" hidden="false" customHeight="true" outlineLevel="0" collapsed="false"/>
    <row r="1783" customFormat="false" ht="11.25" hidden="false" customHeight="true" outlineLevel="0" collapsed="false"/>
    <row r="1784" customFormat="false" ht="11.25" hidden="false" customHeight="true" outlineLevel="0" collapsed="false"/>
    <row r="1785" customFormat="false" ht="11.25" hidden="false" customHeight="true" outlineLevel="0" collapsed="false"/>
    <row r="1786" customFormat="false" ht="11.25" hidden="false" customHeight="true" outlineLevel="0" collapsed="false"/>
    <row r="1787" customFormat="false" ht="11.25" hidden="false" customHeight="true" outlineLevel="0" collapsed="false"/>
    <row r="1788" customFormat="false" ht="11.25" hidden="false" customHeight="true" outlineLevel="0" collapsed="false"/>
    <row r="1789" customFormat="false" ht="11.25" hidden="false" customHeight="true" outlineLevel="0" collapsed="false"/>
    <row r="1790" customFormat="false" ht="11.25" hidden="false" customHeight="true" outlineLevel="0" collapsed="false"/>
    <row r="1791" customFormat="false" ht="11.25" hidden="false" customHeight="true" outlineLevel="0" collapsed="false"/>
    <row r="1792" customFormat="false" ht="11.25" hidden="false" customHeight="true" outlineLevel="0" collapsed="false"/>
    <row r="1793" customFormat="false" ht="11.25" hidden="false" customHeight="true" outlineLevel="0" collapsed="false"/>
    <row r="1794" customFormat="false" ht="11.25" hidden="false" customHeight="true" outlineLevel="0" collapsed="false"/>
    <row r="1795" customFormat="false" ht="11.25" hidden="false" customHeight="true" outlineLevel="0" collapsed="false"/>
    <row r="1796" customFormat="false" ht="11.25" hidden="false" customHeight="true" outlineLevel="0" collapsed="false"/>
    <row r="1797" customFormat="false" ht="11.25" hidden="false" customHeight="true" outlineLevel="0" collapsed="false"/>
    <row r="1798" customFormat="false" ht="11.25" hidden="false" customHeight="true" outlineLevel="0" collapsed="false"/>
    <row r="1799" customFormat="false" ht="11.25" hidden="false" customHeight="true" outlineLevel="0" collapsed="false"/>
    <row r="1800" customFormat="false" ht="11.25" hidden="false" customHeight="true" outlineLevel="0" collapsed="false"/>
    <row r="1801" customFormat="false" ht="11.25" hidden="false" customHeight="true" outlineLevel="0" collapsed="false"/>
    <row r="1802" customFormat="false" ht="11.25" hidden="false" customHeight="true" outlineLevel="0" collapsed="false"/>
    <row r="1803" customFormat="false" ht="11.25" hidden="false" customHeight="true" outlineLevel="0" collapsed="false"/>
    <row r="1804" customFormat="false" ht="11.25" hidden="false" customHeight="true" outlineLevel="0" collapsed="false"/>
    <row r="1805" customFormat="false" ht="11.25" hidden="false" customHeight="true" outlineLevel="0" collapsed="false"/>
    <row r="1806" customFormat="false" ht="11.25" hidden="false" customHeight="true" outlineLevel="0" collapsed="false"/>
    <row r="1807" customFormat="false" ht="11.25" hidden="false" customHeight="true" outlineLevel="0" collapsed="false"/>
    <row r="1808" customFormat="false" ht="11.25" hidden="false" customHeight="true" outlineLevel="0" collapsed="false"/>
    <row r="1809" customFormat="false" ht="11.25" hidden="false" customHeight="true" outlineLevel="0" collapsed="false"/>
    <row r="1810" customFormat="false" ht="11.25" hidden="false" customHeight="true" outlineLevel="0" collapsed="false"/>
    <row r="1811" customFormat="false" ht="11.25" hidden="false" customHeight="true" outlineLevel="0" collapsed="false"/>
    <row r="1812" customFormat="false" ht="11.25" hidden="false" customHeight="true" outlineLevel="0" collapsed="false"/>
    <row r="1813" customFormat="false" ht="11.25" hidden="false" customHeight="true" outlineLevel="0" collapsed="false"/>
    <row r="1814" customFormat="false" ht="11.25" hidden="false" customHeight="true" outlineLevel="0" collapsed="false"/>
    <row r="1815" customFormat="false" ht="11.25" hidden="false" customHeight="true" outlineLevel="0" collapsed="false"/>
    <row r="1816" customFormat="false" ht="11.25" hidden="false" customHeight="true" outlineLevel="0" collapsed="false"/>
    <row r="1817" customFormat="false" ht="11.25" hidden="false" customHeight="true" outlineLevel="0" collapsed="false"/>
    <row r="1818" customFormat="false" ht="11.25" hidden="false" customHeight="true" outlineLevel="0" collapsed="false"/>
    <row r="1819" customFormat="false" ht="11.25" hidden="false" customHeight="true" outlineLevel="0" collapsed="false"/>
    <row r="1820" customFormat="false" ht="11.25" hidden="false" customHeight="true" outlineLevel="0" collapsed="false"/>
    <row r="1821" customFormat="false" ht="11.25" hidden="false" customHeight="true" outlineLevel="0" collapsed="false"/>
    <row r="1822" customFormat="false" ht="11.25" hidden="false" customHeight="true" outlineLevel="0" collapsed="false"/>
    <row r="1823" customFormat="false" ht="11.25" hidden="false" customHeight="true" outlineLevel="0" collapsed="false"/>
    <row r="1824" customFormat="false" ht="11.25" hidden="false" customHeight="true" outlineLevel="0" collapsed="false"/>
    <row r="1825" customFormat="false" ht="11.25" hidden="false" customHeight="true" outlineLevel="0" collapsed="false"/>
    <row r="1826" customFormat="false" ht="11.25" hidden="false" customHeight="true" outlineLevel="0" collapsed="false"/>
    <row r="1827" customFormat="false" ht="11.25" hidden="false" customHeight="true" outlineLevel="0" collapsed="false"/>
    <row r="1828" customFormat="false" ht="11.25" hidden="false" customHeight="true" outlineLevel="0" collapsed="false"/>
    <row r="1829" customFormat="false" ht="11.25" hidden="false" customHeight="true" outlineLevel="0" collapsed="false"/>
    <row r="1830" customFormat="false" ht="11.25" hidden="false" customHeight="true" outlineLevel="0" collapsed="false"/>
    <row r="1831" customFormat="false" ht="11.25" hidden="false" customHeight="true" outlineLevel="0" collapsed="false"/>
    <row r="1832" customFormat="false" ht="11.25" hidden="false" customHeight="true" outlineLevel="0" collapsed="false"/>
    <row r="1833" customFormat="false" ht="11.25" hidden="false" customHeight="true" outlineLevel="0" collapsed="false"/>
    <row r="1834" customFormat="false" ht="11.25" hidden="false" customHeight="true" outlineLevel="0" collapsed="false"/>
    <row r="1835" customFormat="false" ht="11.25" hidden="false" customHeight="true" outlineLevel="0" collapsed="false"/>
    <row r="1836" customFormat="false" ht="11.25" hidden="false" customHeight="true" outlineLevel="0" collapsed="false"/>
    <row r="1837" customFormat="false" ht="11.25" hidden="false" customHeight="true" outlineLevel="0" collapsed="false"/>
    <row r="1838" customFormat="false" ht="11.25" hidden="false" customHeight="true" outlineLevel="0" collapsed="false"/>
    <row r="1839" customFormat="false" ht="11.25" hidden="false" customHeight="true" outlineLevel="0" collapsed="false"/>
    <row r="1840" customFormat="false" ht="11.25" hidden="false" customHeight="true" outlineLevel="0" collapsed="false"/>
    <row r="1841" customFormat="false" ht="11.25" hidden="false" customHeight="true" outlineLevel="0" collapsed="false"/>
    <row r="1842" customFormat="false" ht="11.25" hidden="false" customHeight="true" outlineLevel="0" collapsed="false"/>
    <row r="1843" customFormat="false" ht="11.25" hidden="false" customHeight="true" outlineLevel="0" collapsed="false"/>
    <row r="1844" customFormat="false" ht="11.25" hidden="false" customHeight="true" outlineLevel="0" collapsed="false"/>
    <row r="1845" customFormat="false" ht="11.25" hidden="false" customHeight="true" outlineLevel="0" collapsed="false"/>
    <row r="1846" customFormat="false" ht="11.25" hidden="false" customHeight="true" outlineLevel="0" collapsed="false"/>
    <row r="1847" customFormat="false" ht="11.25" hidden="false" customHeight="true" outlineLevel="0" collapsed="false"/>
    <row r="1848" customFormat="false" ht="11.25" hidden="false" customHeight="true" outlineLevel="0" collapsed="false"/>
    <row r="1849" customFormat="false" ht="11.25" hidden="false" customHeight="true" outlineLevel="0" collapsed="false"/>
    <row r="1850" customFormat="false" ht="11.25" hidden="false" customHeight="true" outlineLevel="0" collapsed="false"/>
    <row r="1851" customFormat="false" ht="11.25" hidden="false" customHeight="true" outlineLevel="0" collapsed="false"/>
    <row r="1852" customFormat="false" ht="11.25" hidden="false" customHeight="true" outlineLevel="0" collapsed="false"/>
    <row r="1853" customFormat="false" ht="11.25" hidden="false" customHeight="true" outlineLevel="0" collapsed="false"/>
    <row r="1854" customFormat="false" ht="11.25" hidden="false" customHeight="true" outlineLevel="0" collapsed="false"/>
    <row r="1855" customFormat="false" ht="11.25" hidden="false" customHeight="true" outlineLevel="0" collapsed="false"/>
    <row r="1856" customFormat="false" ht="11.25" hidden="false" customHeight="true" outlineLevel="0" collapsed="false"/>
    <row r="1857" customFormat="false" ht="11.25" hidden="false" customHeight="true" outlineLevel="0" collapsed="false"/>
    <row r="1858" customFormat="false" ht="11.25" hidden="false" customHeight="true" outlineLevel="0" collapsed="false"/>
    <row r="1859" customFormat="false" ht="11.25" hidden="false" customHeight="true" outlineLevel="0" collapsed="false"/>
    <row r="1860" customFormat="false" ht="11.25" hidden="false" customHeight="true" outlineLevel="0" collapsed="false"/>
    <row r="1861" customFormat="false" ht="11.25" hidden="false" customHeight="true" outlineLevel="0" collapsed="false"/>
    <row r="1862" customFormat="false" ht="11.25" hidden="false" customHeight="true" outlineLevel="0" collapsed="false"/>
    <row r="1863" customFormat="false" ht="11.25" hidden="false" customHeight="true" outlineLevel="0" collapsed="false"/>
    <row r="1864" customFormat="false" ht="11.25" hidden="false" customHeight="true" outlineLevel="0" collapsed="false"/>
    <row r="1865" customFormat="false" ht="11.25" hidden="false" customHeight="true" outlineLevel="0" collapsed="false"/>
    <row r="1866" customFormat="false" ht="11.25" hidden="false" customHeight="true" outlineLevel="0" collapsed="false"/>
    <row r="1867" customFormat="false" ht="11.25" hidden="false" customHeight="true" outlineLevel="0" collapsed="false"/>
    <row r="1868" customFormat="false" ht="11.25" hidden="false" customHeight="true" outlineLevel="0" collapsed="false"/>
    <row r="1869" customFormat="false" ht="11.25" hidden="false" customHeight="true" outlineLevel="0" collapsed="false"/>
    <row r="1870" customFormat="false" ht="11.25" hidden="false" customHeight="true" outlineLevel="0" collapsed="false"/>
    <row r="1871" customFormat="false" ht="11.25" hidden="false" customHeight="true" outlineLevel="0" collapsed="false"/>
    <row r="1872" customFormat="false" ht="11.25" hidden="false" customHeight="true" outlineLevel="0" collapsed="false"/>
    <row r="1873" customFormat="false" ht="11.25" hidden="false" customHeight="true" outlineLevel="0" collapsed="false"/>
    <row r="1874" customFormat="false" ht="11.25" hidden="false" customHeight="true" outlineLevel="0" collapsed="false"/>
    <row r="1875" customFormat="false" ht="11.25" hidden="false" customHeight="true" outlineLevel="0" collapsed="false"/>
    <row r="1876" customFormat="false" ht="11.25" hidden="false" customHeight="true" outlineLevel="0" collapsed="false"/>
    <row r="1877" customFormat="false" ht="11.25" hidden="false" customHeight="true" outlineLevel="0" collapsed="false"/>
    <row r="1878" customFormat="false" ht="11.25" hidden="false" customHeight="true" outlineLevel="0" collapsed="false"/>
    <row r="1879" customFormat="false" ht="11.25" hidden="false" customHeight="true" outlineLevel="0" collapsed="false"/>
    <row r="1880" customFormat="false" ht="11.25" hidden="false" customHeight="true" outlineLevel="0" collapsed="false"/>
    <row r="1881" customFormat="false" ht="11.25" hidden="false" customHeight="true" outlineLevel="0" collapsed="false"/>
    <row r="1882" customFormat="false" ht="11.25" hidden="false" customHeight="true" outlineLevel="0" collapsed="false"/>
    <row r="1883" customFormat="false" ht="11.25" hidden="false" customHeight="true" outlineLevel="0" collapsed="false"/>
    <row r="1884" customFormat="false" ht="11.25" hidden="false" customHeight="true" outlineLevel="0" collapsed="false"/>
    <row r="1885" customFormat="false" ht="11.25" hidden="false" customHeight="true" outlineLevel="0" collapsed="false"/>
    <row r="1886" customFormat="false" ht="11.25" hidden="false" customHeight="true" outlineLevel="0" collapsed="false"/>
    <row r="1887" customFormat="false" ht="11.25" hidden="false" customHeight="true" outlineLevel="0" collapsed="false"/>
    <row r="1888" customFormat="false" ht="11.25" hidden="false" customHeight="true" outlineLevel="0" collapsed="false"/>
    <row r="1889" customFormat="false" ht="11.25" hidden="false" customHeight="true" outlineLevel="0" collapsed="false"/>
    <row r="1890" customFormat="false" ht="11.25" hidden="false" customHeight="true" outlineLevel="0" collapsed="false"/>
    <row r="1891" customFormat="false" ht="11.25" hidden="false" customHeight="true" outlineLevel="0" collapsed="false"/>
    <row r="1892" customFormat="false" ht="11.25" hidden="false" customHeight="true" outlineLevel="0" collapsed="false"/>
    <row r="1893" customFormat="false" ht="11.25" hidden="false" customHeight="true" outlineLevel="0" collapsed="false"/>
    <row r="1894" customFormat="false" ht="11.25" hidden="false" customHeight="true" outlineLevel="0" collapsed="false"/>
    <row r="1895" customFormat="false" ht="11.25" hidden="false" customHeight="true" outlineLevel="0" collapsed="false"/>
    <row r="1896" customFormat="false" ht="11.25" hidden="false" customHeight="true" outlineLevel="0" collapsed="false"/>
    <row r="1897" customFormat="false" ht="11.25" hidden="false" customHeight="true" outlineLevel="0" collapsed="false"/>
    <row r="1898" customFormat="false" ht="11.25" hidden="false" customHeight="true" outlineLevel="0" collapsed="false"/>
    <row r="1899" customFormat="false" ht="11.25" hidden="false" customHeight="true" outlineLevel="0" collapsed="false"/>
    <row r="1900" customFormat="false" ht="11.25" hidden="false" customHeight="true" outlineLevel="0" collapsed="false"/>
    <row r="1901" customFormat="false" ht="11.25" hidden="false" customHeight="true" outlineLevel="0" collapsed="false"/>
    <row r="1902" customFormat="false" ht="11.25" hidden="false" customHeight="true" outlineLevel="0" collapsed="false"/>
    <row r="1903" customFormat="false" ht="11.25" hidden="false" customHeight="true" outlineLevel="0" collapsed="false"/>
    <row r="1904" customFormat="false" ht="11.25" hidden="false" customHeight="true" outlineLevel="0" collapsed="false"/>
    <row r="1905" customFormat="false" ht="11.25" hidden="false" customHeight="true" outlineLevel="0" collapsed="false"/>
    <row r="1906" customFormat="false" ht="11.25" hidden="false" customHeight="true" outlineLevel="0" collapsed="false"/>
    <row r="1907" customFormat="false" ht="11.25" hidden="false" customHeight="true" outlineLevel="0" collapsed="false"/>
    <row r="1908" customFormat="false" ht="11.25" hidden="false" customHeight="true" outlineLevel="0" collapsed="false"/>
    <row r="1909" customFormat="false" ht="11.25" hidden="false" customHeight="true" outlineLevel="0" collapsed="false"/>
    <row r="1910" customFormat="false" ht="11.25" hidden="false" customHeight="true" outlineLevel="0" collapsed="false"/>
    <row r="1911" customFormat="false" ht="11.25" hidden="false" customHeight="true" outlineLevel="0" collapsed="false"/>
    <row r="1912" customFormat="false" ht="11.25" hidden="false" customHeight="true" outlineLevel="0" collapsed="false"/>
    <row r="1913" customFormat="false" ht="11.25" hidden="false" customHeight="true" outlineLevel="0" collapsed="false"/>
    <row r="1914" customFormat="false" ht="11.25" hidden="false" customHeight="true" outlineLevel="0" collapsed="false"/>
    <row r="1915" customFormat="false" ht="11.25" hidden="false" customHeight="true" outlineLevel="0" collapsed="false"/>
    <row r="1916" customFormat="false" ht="11.25" hidden="false" customHeight="true" outlineLevel="0" collapsed="false"/>
    <row r="1917" customFormat="false" ht="11.25" hidden="false" customHeight="true" outlineLevel="0" collapsed="false"/>
    <row r="1918" customFormat="false" ht="11.25" hidden="false" customHeight="true" outlineLevel="0" collapsed="false"/>
    <row r="1919" customFormat="false" ht="11.25" hidden="false" customHeight="true" outlineLevel="0" collapsed="false"/>
    <row r="1920" customFormat="false" ht="11.25" hidden="false" customHeight="true" outlineLevel="0" collapsed="false"/>
    <row r="1921" customFormat="false" ht="11.25" hidden="false" customHeight="true" outlineLevel="0" collapsed="false"/>
    <row r="1922" customFormat="false" ht="11.25" hidden="false" customHeight="true" outlineLevel="0" collapsed="false"/>
    <row r="1923" customFormat="false" ht="11.25" hidden="false" customHeight="true" outlineLevel="0" collapsed="false"/>
    <row r="1924" customFormat="false" ht="11.25" hidden="false" customHeight="true" outlineLevel="0" collapsed="false"/>
    <row r="1925" customFormat="false" ht="11.25" hidden="false" customHeight="true" outlineLevel="0" collapsed="false"/>
    <row r="1926" customFormat="false" ht="11.25" hidden="false" customHeight="true" outlineLevel="0" collapsed="false"/>
    <row r="1927" customFormat="false" ht="11.25" hidden="false" customHeight="true" outlineLevel="0" collapsed="false"/>
    <row r="1928" customFormat="false" ht="11.25" hidden="false" customHeight="true" outlineLevel="0" collapsed="false"/>
    <row r="1929" customFormat="false" ht="11.25" hidden="false" customHeight="true" outlineLevel="0" collapsed="false"/>
    <row r="1930" customFormat="false" ht="11.25" hidden="false" customHeight="true" outlineLevel="0" collapsed="false"/>
    <row r="1931" customFormat="false" ht="11.25" hidden="false" customHeight="true" outlineLevel="0" collapsed="false"/>
    <row r="1932" customFormat="false" ht="11.25" hidden="false" customHeight="true" outlineLevel="0" collapsed="false"/>
    <row r="1933" customFormat="false" ht="11.25" hidden="false" customHeight="true" outlineLevel="0" collapsed="false"/>
    <row r="1934" customFormat="false" ht="11.25" hidden="false" customHeight="true" outlineLevel="0" collapsed="false"/>
    <row r="1935" customFormat="false" ht="11.25" hidden="false" customHeight="true" outlineLevel="0" collapsed="false"/>
    <row r="1936" customFormat="false" ht="11.25" hidden="false" customHeight="true" outlineLevel="0" collapsed="false"/>
    <row r="1937" customFormat="false" ht="11.25" hidden="false" customHeight="true" outlineLevel="0" collapsed="false"/>
    <row r="1938" customFormat="false" ht="11.25" hidden="false" customHeight="true" outlineLevel="0" collapsed="false"/>
    <row r="1939" customFormat="false" ht="11.25" hidden="false" customHeight="true" outlineLevel="0" collapsed="false"/>
    <row r="1940" customFormat="false" ht="11.25" hidden="false" customHeight="true" outlineLevel="0" collapsed="false"/>
    <row r="1941" customFormat="false" ht="11.25" hidden="false" customHeight="true" outlineLevel="0" collapsed="false"/>
    <row r="1942" customFormat="false" ht="11.25" hidden="false" customHeight="true" outlineLevel="0" collapsed="false"/>
    <row r="1943" customFormat="false" ht="11.25" hidden="false" customHeight="true" outlineLevel="0" collapsed="false"/>
    <row r="1944" customFormat="false" ht="11.25" hidden="false" customHeight="true" outlineLevel="0" collapsed="false"/>
    <row r="1945" customFormat="false" ht="11.25" hidden="false" customHeight="true" outlineLevel="0" collapsed="false"/>
    <row r="1946" customFormat="false" ht="11.25" hidden="false" customHeight="true" outlineLevel="0" collapsed="false"/>
    <row r="1947" customFormat="false" ht="11.25" hidden="false" customHeight="true" outlineLevel="0" collapsed="false"/>
    <row r="1948" customFormat="false" ht="11.25" hidden="false" customHeight="true" outlineLevel="0" collapsed="false"/>
    <row r="1949" customFormat="false" ht="11.25" hidden="false" customHeight="true" outlineLevel="0" collapsed="false"/>
    <row r="1950" customFormat="false" ht="11.25" hidden="false" customHeight="true" outlineLevel="0" collapsed="false"/>
    <row r="1951" customFormat="false" ht="11.25" hidden="false" customHeight="true" outlineLevel="0" collapsed="false"/>
    <row r="1952" customFormat="false" ht="11.25" hidden="false" customHeight="true" outlineLevel="0" collapsed="false"/>
    <row r="1953" customFormat="false" ht="11.25" hidden="false" customHeight="true" outlineLevel="0" collapsed="false"/>
    <row r="1954" customFormat="false" ht="11.25" hidden="false" customHeight="true" outlineLevel="0" collapsed="false"/>
    <row r="1955" customFormat="false" ht="11.25" hidden="false" customHeight="true" outlineLevel="0" collapsed="false"/>
    <row r="1956" customFormat="false" ht="11.25" hidden="false" customHeight="true" outlineLevel="0" collapsed="false"/>
    <row r="1957" customFormat="false" ht="11.25" hidden="false" customHeight="true" outlineLevel="0" collapsed="false"/>
    <row r="1958" customFormat="false" ht="11.25" hidden="false" customHeight="true" outlineLevel="0" collapsed="false"/>
    <row r="1959" customFormat="false" ht="11.25" hidden="false" customHeight="true" outlineLevel="0" collapsed="false"/>
    <row r="1960" customFormat="false" ht="11.25" hidden="false" customHeight="true" outlineLevel="0" collapsed="false"/>
    <row r="1961" customFormat="false" ht="11.25" hidden="false" customHeight="true" outlineLevel="0" collapsed="false"/>
    <row r="1962" customFormat="false" ht="11.25" hidden="false" customHeight="true" outlineLevel="0" collapsed="false"/>
    <row r="1963" customFormat="false" ht="11.25" hidden="false" customHeight="true" outlineLevel="0" collapsed="false"/>
    <row r="1964" customFormat="false" ht="11.25" hidden="false" customHeight="true" outlineLevel="0" collapsed="false"/>
    <row r="1965" customFormat="false" ht="11.25" hidden="false" customHeight="true" outlineLevel="0" collapsed="false"/>
    <row r="1966" customFormat="false" ht="11.25" hidden="false" customHeight="true" outlineLevel="0" collapsed="false"/>
    <row r="1967" customFormat="false" ht="11.25" hidden="false" customHeight="true" outlineLevel="0" collapsed="false"/>
    <row r="1968" customFormat="false" ht="11.25" hidden="false" customHeight="true" outlineLevel="0" collapsed="false"/>
    <row r="1969" customFormat="false" ht="11.25" hidden="false" customHeight="true" outlineLevel="0" collapsed="false"/>
    <row r="1970" customFormat="false" ht="11.25" hidden="false" customHeight="true" outlineLevel="0" collapsed="false"/>
    <row r="1971" customFormat="false" ht="11.25" hidden="false" customHeight="true" outlineLevel="0" collapsed="false"/>
    <row r="1972" customFormat="false" ht="11.25" hidden="false" customHeight="true" outlineLevel="0" collapsed="false"/>
    <row r="1973" customFormat="false" ht="11.25" hidden="false" customHeight="true" outlineLevel="0" collapsed="false"/>
    <row r="1974" customFormat="false" ht="11.25" hidden="false" customHeight="true" outlineLevel="0" collapsed="false"/>
    <row r="1975" customFormat="false" ht="11.25" hidden="false" customHeight="true" outlineLevel="0" collapsed="false"/>
    <row r="1976" customFormat="false" ht="11.25" hidden="false" customHeight="true" outlineLevel="0" collapsed="false"/>
    <row r="1977" customFormat="false" ht="11.25" hidden="false" customHeight="true" outlineLevel="0" collapsed="false"/>
    <row r="1978" customFormat="false" ht="11.25" hidden="false" customHeight="true" outlineLevel="0" collapsed="false"/>
    <row r="1979" customFormat="false" ht="11.25" hidden="false" customHeight="true" outlineLevel="0" collapsed="false"/>
    <row r="1980" customFormat="false" ht="11.25" hidden="false" customHeight="true" outlineLevel="0" collapsed="false"/>
    <row r="1981" customFormat="false" ht="11.25" hidden="false" customHeight="true" outlineLevel="0" collapsed="false"/>
    <row r="1982" customFormat="false" ht="11.25" hidden="false" customHeight="true" outlineLevel="0" collapsed="false"/>
    <row r="1983" customFormat="false" ht="11.25" hidden="false" customHeight="true" outlineLevel="0" collapsed="false"/>
    <row r="1984" customFormat="false" ht="11.25" hidden="false" customHeight="true" outlineLevel="0" collapsed="false"/>
    <row r="1985" customFormat="false" ht="11.25" hidden="false" customHeight="true" outlineLevel="0" collapsed="false"/>
    <row r="1986" customFormat="false" ht="11.25" hidden="false" customHeight="true" outlineLevel="0" collapsed="false"/>
    <row r="1987" customFormat="false" ht="11.25" hidden="false" customHeight="true" outlineLevel="0" collapsed="false"/>
    <row r="1988" customFormat="false" ht="11.25" hidden="false" customHeight="true" outlineLevel="0" collapsed="false"/>
    <row r="1989" customFormat="false" ht="11.25" hidden="false" customHeight="true" outlineLevel="0" collapsed="false"/>
    <row r="1990" customFormat="false" ht="11.25" hidden="false" customHeight="true" outlineLevel="0" collapsed="false"/>
    <row r="1991" customFormat="false" ht="11.25" hidden="false" customHeight="true" outlineLevel="0" collapsed="false"/>
    <row r="1992" customFormat="false" ht="11.25" hidden="false" customHeight="true" outlineLevel="0" collapsed="false"/>
    <row r="1993" customFormat="false" ht="11.25" hidden="false" customHeight="true" outlineLevel="0" collapsed="false"/>
    <row r="1994" customFormat="false" ht="11.25" hidden="false" customHeight="true" outlineLevel="0" collapsed="false"/>
    <row r="1995" customFormat="false" ht="11.25" hidden="false" customHeight="true" outlineLevel="0" collapsed="false"/>
    <row r="1996" customFormat="false" ht="11.25" hidden="false" customHeight="true" outlineLevel="0" collapsed="false"/>
    <row r="1997" customFormat="false" ht="11.25" hidden="false" customHeight="true" outlineLevel="0" collapsed="false"/>
    <row r="1998" customFormat="false" ht="11.25" hidden="false" customHeight="true" outlineLevel="0" collapsed="false"/>
    <row r="1999" customFormat="false" ht="11.25" hidden="false" customHeight="true" outlineLevel="0" collapsed="false"/>
    <row r="2000" customFormat="false" ht="11.25" hidden="false" customHeight="true" outlineLevel="0" collapsed="false"/>
    <row r="2001" customFormat="false" ht="11.25" hidden="false" customHeight="true" outlineLevel="0" collapsed="false"/>
    <row r="2002" customFormat="false" ht="11.25" hidden="false" customHeight="true" outlineLevel="0" collapsed="false"/>
    <row r="2003" customFormat="false" ht="11.25" hidden="false" customHeight="true" outlineLevel="0" collapsed="false"/>
    <row r="2004" customFormat="false" ht="11.25" hidden="false" customHeight="true" outlineLevel="0" collapsed="false"/>
    <row r="2005" customFormat="false" ht="11.25" hidden="false" customHeight="true" outlineLevel="0" collapsed="false"/>
    <row r="2006" customFormat="false" ht="11.25" hidden="false" customHeight="true" outlineLevel="0" collapsed="false"/>
    <row r="2007" customFormat="false" ht="11.25" hidden="false" customHeight="true" outlineLevel="0" collapsed="false"/>
    <row r="2008" customFormat="false" ht="11.25" hidden="false" customHeight="true" outlineLevel="0" collapsed="false"/>
    <row r="2009" customFormat="false" ht="11.25" hidden="false" customHeight="true" outlineLevel="0" collapsed="false"/>
    <row r="2010" customFormat="false" ht="11.25" hidden="false" customHeight="true" outlineLevel="0" collapsed="false"/>
    <row r="2011" customFormat="false" ht="11.25" hidden="false" customHeight="true" outlineLevel="0" collapsed="false"/>
    <row r="2012" customFormat="false" ht="11.25" hidden="false" customHeight="true" outlineLevel="0" collapsed="false"/>
    <row r="2013" customFormat="false" ht="11.25" hidden="false" customHeight="true" outlineLevel="0" collapsed="false"/>
    <row r="2014" customFormat="false" ht="11.25" hidden="false" customHeight="true" outlineLevel="0" collapsed="false"/>
    <row r="2015" customFormat="false" ht="11.25" hidden="false" customHeight="true" outlineLevel="0" collapsed="false"/>
    <row r="2016" customFormat="false" ht="11.25" hidden="false" customHeight="true" outlineLevel="0" collapsed="false"/>
    <row r="2017" customFormat="false" ht="11.25" hidden="false" customHeight="true" outlineLevel="0" collapsed="false"/>
    <row r="2018" customFormat="false" ht="11.25" hidden="false" customHeight="true" outlineLevel="0" collapsed="false"/>
    <row r="2019" customFormat="false" ht="11.25" hidden="false" customHeight="true" outlineLevel="0" collapsed="false"/>
    <row r="2020" customFormat="false" ht="11.25" hidden="false" customHeight="true" outlineLevel="0" collapsed="false"/>
    <row r="2021" customFormat="false" ht="11.25" hidden="false" customHeight="true" outlineLevel="0" collapsed="false"/>
    <row r="2022" customFormat="false" ht="11.25" hidden="false" customHeight="true" outlineLevel="0" collapsed="false"/>
    <row r="2023" customFormat="false" ht="11.25" hidden="false" customHeight="true" outlineLevel="0" collapsed="false"/>
    <row r="2024" customFormat="false" ht="11.25" hidden="false" customHeight="true" outlineLevel="0" collapsed="false"/>
    <row r="2025" customFormat="false" ht="11.25" hidden="false" customHeight="true" outlineLevel="0" collapsed="false"/>
    <row r="2026" customFormat="false" ht="11.25" hidden="false" customHeight="true" outlineLevel="0" collapsed="false"/>
    <row r="2027" customFormat="false" ht="11.25" hidden="false" customHeight="true" outlineLevel="0" collapsed="false"/>
    <row r="2028" customFormat="false" ht="11.25" hidden="false" customHeight="true" outlineLevel="0" collapsed="false"/>
    <row r="2029" customFormat="false" ht="11.25" hidden="false" customHeight="true" outlineLevel="0" collapsed="false"/>
    <row r="2030" customFormat="false" ht="11.25" hidden="false" customHeight="true" outlineLevel="0" collapsed="false"/>
    <row r="2031" customFormat="false" ht="11.25" hidden="false" customHeight="true" outlineLevel="0" collapsed="false"/>
    <row r="2032" customFormat="false" ht="11.25" hidden="false" customHeight="true" outlineLevel="0" collapsed="false"/>
    <row r="2033" customFormat="false" ht="11.25" hidden="false" customHeight="true" outlineLevel="0" collapsed="false"/>
    <row r="2034" customFormat="false" ht="11.25" hidden="false" customHeight="true" outlineLevel="0" collapsed="false"/>
    <row r="2035" customFormat="false" ht="11.25" hidden="false" customHeight="true" outlineLevel="0" collapsed="false"/>
    <row r="2036" customFormat="false" ht="11.25" hidden="false" customHeight="true" outlineLevel="0" collapsed="false"/>
    <row r="2037" customFormat="false" ht="11.25" hidden="false" customHeight="true" outlineLevel="0" collapsed="false"/>
    <row r="2038" customFormat="false" ht="11.25" hidden="false" customHeight="true" outlineLevel="0" collapsed="false"/>
    <row r="2039" customFormat="false" ht="11.25" hidden="false" customHeight="true" outlineLevel="0" collapsed="false"/>
    <row r="2040" customFormat="false" ht="11.25" hidden="false" customHeight="true" outlineLevel="0" collapsed="false"/>
    <row r="2041" customFormat="false" ht="11.25" hidden="false" customHeight="true" outlineLevel="0" collapsed="false"/>
    <row r="2042" customFormat="false" ht="11.25" hidden="false" customHeight="true" outlineLevel="0" collapsed="false"/>
    <row r="2043" customFormat="false" ht="11.25" hidden="false" customHeight="true" outlineLevel="0" collapsed="false"/>
    <row r="2044" customFormat="false" ht="11.25" hidden="false" customHeight="true" outlineLevel="0" collapsed="false"/>
    <row r="2045" customFormat="false" ht="11.25" hidden="false" customHeight="true" outlineLevel="0" collapsed="false"/>
    <row r="2046" customFormat="false" ht="11.25" hidden="false" customHeight="true" outlineLevel="0" collapsed="false"/>
    <row r="2047" customFormat="false" ht="11.25" hidden="false" customHeight="true" outlineLevel="0" collapsed="false"/>
    <row r="2048" customFormat="false" ht="11.25" hidden="false" customHeight="true" outlineLevel="0" collapsed="false"/>
    <row r="2049" customFormat="false" ht="11.25" hidden="false" customHeight="true" outlineLevel="0" collapsed="false"/>
    <row r="2050" customFormat="false" ht="11.25" hidden="false" customHeight="true" outlineLevel="0" collapsed="false"/>
    <row r="2051" customFormat="false" ht="11.25" hidden="false" customHeight="true" outlineLevel="0" collapsed="false"/>
    <row r="2052" customFormat="false" ht="11.25" hidden="false" customHeight="true" outlineLevel="0" collapsed="false"/>
    <row r="2053" customFormat="false" ht="11.25" hidden="false" customHeight="true" outlineLevel="0" collapsed="false"/>
    <row r="2054" customFormat="false" ht="11.25" hidden="false" customHeight="true" outlineLevel="0" collapsed="false"/>
    <row r="2055" customFormat="false" ht="11.25" hidden="false" customHeight="true" outlineLevel="0" collapsed="false"/>
    <row r="2056" customFormat="false" ht="11.25" hidden="false" customHeight="true" outlineLevel="0" collapsed="false"/>
    <row r="2057" customFormat="false" ht="11.25" hidden="false" customHeight="true" outlineLevel="0" collapsed="false"/>
    <row r="2058" customFormat="false" ht="11.25" hidden="false" customHeight="true" outlineLevel="0" collapsed="false"/>
    <row r="2059" customFormat="false" ht="11.25" hidden="false" customHeight="true" outlineLevel="0" collapsed="false"/>
    <row r="2060" customFormat="false" ht="11.25" hidden="false" customHeight="true" outlineLevel="0" collapsed="false"/>
    <row r="2061" customFormat="false" ht="11.25" hidden="false" customHeight="true" outlineLevel="0" collapsed="false"/>
    <row r="2062" customFormat="false" ht="11.25" hidden="false" customHeight="true" outlineLevel="0" collapsed="false"/>
    <row r="2063" customFormat="false" ht="11.25" hidden="false" customHeight="true" outlineLevel="0" collapsed="false"/>
    <row r="2064" customFormat="false" ht="11.25" hidden="false" customHeight="true" outlineLevel="0" collapsed="false"/>
    <row r="2065" customFormat="false" ht="11.25" hidden="false" customHeight="true" outlineLevel="0" collapsed="false"/>
    <row r="2066" customFormat="false" ht="11.25" hidden="false" customHeight="true" outlineLevel="0" collapsed="false"/>
    <row r="2067" customFormat="false" ht="11.25" hidden="false" customHeight="true" outlineLevel="0" collapsed="false"/>
    <row r="2068" customFormat="false" ht="11.25" hidden="false" customHeight="true" outlineLevel="0" collapsed="false"/>
    <row r="2069" customFormat="false" ht="11.25" hidden="false" customHeight="true" outlineLevel="0" collapsed="false"/>
    <row r="2070" customFormat="false" ht="11.25" hidden="false" customHeight="true" outlineLevel="0" collapsed="false"/>
    <row r="2071" customFormat="false" ht="11.25" hidden="false" customHeight="true" outlineLevel="0" collapsed="false"/>
    <row r="2072" customFormat="false" ht="11.25" hidden="false" customHeight="true" outlineLevel="0" collapsed="false"/>
    <row r="2073" customFormat="false" ht="11.25" hidden="false" customHeight="true" outlineLevel="0" collapsed="false"/>
    <row r="2074" customFormat="false" ht="11.25" hidden="false" customHeight="true" outlineLevel="0" collapsed="false"/>
    <row r="2075" customFormat="false" ht="11.25" hidden="false" customHeight="true" outlineLevel="0" collapsed="false"/>
    <row r="2076" customFormat="false" ht="11.25" hidden="false" customHeight="true" outlineLevel="0" collapsed="false"/>
    <row r="2077" customFormat="false" ht="11.25" hidden="false" customHeight="true" outlineLevel="0" collapsed="false"/>
    <row r="2078" customFormat="false" ht="11.25" hidden="false" customHeight="true" outlineLevel="0" collapsed="false"/>
    <row r="2079" customFormat="false" ht="11.25" hidden="false" customHeight="true" outlineLevel="0" collapsed="false"/>
    <row r="2080" customFormat="false" ht="11.25" hidden="false" customHeight="true" outlineLevel="0" collapsed="false"/>
    <row r="2081" customFormat="false" ht="11.25" hidden="false" customHeight="true" outlineLevel="0" collapsed="false"/>
    <row r="2082" customFormat="false" ht="11.25" hidden="false" customHeight="true" outlineLevel="0" collapsed="false"/>
    <row r="2083" customFormat="false" ht="11.25" hidden="false" customHeight="true" outlineLevel="0" collapsed="false"/>
    <row r="2084" customFormat="false" ht="11.25" hidden="false" customHeight="true" outlineLevel="0" collapsed="false"/>
    <row r="2085" customFormat="false" ht="11.25" hidden="false" customHeight="true" outlineLevel="0" collapsed="false"/>
    <row r="2086" customFormat="false" ht="11.25" hidden="false" customHeight="true" outlineLevel="0" collapsed="false"/>
    <row r="2087" customFormat="false" ht="11.25" hidden="false" customHeight="true" outlineLevel="0" collapsed="false"/>
    <row r="2088" customFormat="false" ht="11.25" hidden="false" customHeight="true" outlineLevel="0" collapsed="false"/>
    <row r="2089" customFormat="false" ht="11.25" hidden="false" customHeight="true" outlineLevel="0" collapsed="false"/>
    <row r="2090" customFormat="false" ht="11.25" hidden="false" customHeight="true" outlineLevel="0" collapsed="false"/>
    <row r="2091" customFormat="false" ht="11.25" hidden="false" customHeight="true" outlineLevel="0" collapsed="false"/>
    <row r="2092" customFormat="false" ht="11.25" hidden="false" customHeight="true" outlineLevel="0" collapsed="false"/>
    <row r="2093" customFormat="false" ht="11.25" hidden="false" customHeight="true" outlineLevel="0" collapsed="false"/>
    <row r="2094" customFormat="false" ht="11.25" hidden="false" customHeight="true" outlineLevel="0" collapsed="false"/>
    <row r="2095" customFormat="false" ht="11.25" hidden="false" customHeight="true" outlineLevel="0" collapsed="false"/>
    <row r="2096" customFormat="false" ht="11.25" hidden="false" customHeight="true" outlineLevel="0" collapsed="false"/>
    <row r="2097" customFormat="false" ht="11.25" hidden="false" customHeight="true" outlineLevel="0" collapsed="false"/>
    <row r="2098" customFormat="false" ht="11.25" hidden="false" customHeight="true" outlineLevel="0" collapsed="false"/>
    <row r="2099" customFormat="false" ht="11.25" hidden="false" customHeight="true" outlineLevel="0" collapsed="false"/>
    <row r="2100" customFormat="false" ht="11.25" hidden="false" customHeight="true" outlineLevel="0" collapsed="false"/>
    <row r="2101" customFormat="false" ht="11.25" hidden="false" customHeight="true" outlineLevel="0" collapsed="false"/>
    <row r="2102" customFormat="false" ht="11.25" hidden="false" customHeight="true" outlineLevel="0" collapsed="false"/>
    <row r="2103" customFormat="false" ht="11.25" hidden="false" customHeight="true" outlineLevel="0" collapsed="false"/>
    <row r="2104" customFormat="false" ht="11.25" hidden="false" customHeight="true" outlineLevel="0" collapsed="false"/>
    <row r="2105" customFormat="false" ht="11.25" hidden="false" customHeight="true" outlineLevel="0" collapsed="false"/>
    <row r="2106" customFormat="false" ht="11.25" hidden="false" customHeight="true" outlineLevel="0" collapsed="false"/>
    <row r="2107" customFormat="false" ht="11.25" hidden="false" customHeight="true" outlineLevel="0" collapsed="false"/>
    <row r="2108" customFormat="false" ht="11.25" hidden="false" customHeight="true" outlineLevel="0" collapsed="false"/>
    <row r="2109" customFormat="false" ht="11.25" hidden="false" customHeight="true" outlineLevel="0" collapsed="false"/>
    <row r="2110" customFormat="false" ht="11.25" hidden="false" customHeight="true" outlineLevel="0" collapsed="false"/>
    <row r="2111" customFormat="false" ht="11.25" hidden="false" customHeight="true" outlineLevel="0" collapsed="false"/>
    <row r="2112" customFormat="false" ht="11.25" hidden="false" customHeight="true" outlineLevel="0" collapsed="false"/>
    <row r="2113" customFormat="false" ht="11.25" hidden="false" customHeight="true" outlineLevel="0" collapsed="false"/>
    <row r="2114" customFormat="false" ht="11.25" hidden="false" customHeight="true" outlineLevel="0" collapsed="false"/>
    <row r="2115" customFormat="false" ht="11.25" hidden="false" customHeight="true" outlineLevel="0" collapsed="false"/>
    <row r="2116" customFormat="false" ht="11.25" hidden="false" customHeight="true" outlineLevel="0" collapsed="false"/>
    <row r="2117" customFormat="false" ht="11.25" hidden="false" customHeight="true" outlineLevel="0" collapsed="false"/>
    <row r="2118" customFormat="false" ht="11.25" hidden="false" customHeight="true" outlineLevel="0" collapsed="false"/>
    <row r="2119" customFormat="false" ht="11.25" hidden="false" customHeight="true" outlineLevel="0" collapsed="false"/>
    <row r="2120" customFormat="false" ht="11.25" hidden="false" customHeight="true" outlineLevel="0" collapsed="false"/>
    <row r="2121" customFormat="false" ht="11.25" hidden="false" customHeight="true" outlineLevel="0" collapsed="false"/>
    <row r="2122" customFormat="false" ht="11.25" hidden="false" customHeight="true" outlineLevel="0" collapsed="false"/>
    <row r="2123" customFormat="false" ht="11.25" hidden="false" customHeight="true" outlineLevel="0" collapsed="false"/>
    <row r="2124" customFormat="false" ht="11.25" hidden="false" customHeight="true" outlineLevel="0" collapsed="false"/>
    <row r="2125" customFormat="false" ht="11.25" hidden="false" customHeight="true" outlineLevel="0" collapsed="false"/>
    <row r="2126" customFormat="false" ht="11.25" hidden="false" customHeight="true" outlineLevel="0" collapsed="false"/>
    <row r="2127" customFormat="false" ht="11.25" hidden="false" customHeight="true" outlineLevel="0" collapsed="false"/>
    <row r="2128" customFormat="false" ht="11.25" hidden="false" customHeight="true" outlineLevel="0" collapsed="false"/>
    <row r="2129" customFormat="false" ht="11.25" hidden="false" customHeight="true" outlineLevel="0" collapsed="false"/>
    <row r="2130" customFormat="false" ht="11.25" hidden="false" customHeight="true" outlineLevel="0" collapsed="false"/>
    <row r="2131" customFormat="false" ht="11.25" hidden="false" customHeight="true" outlineLevel="0" collapsed="false"/>
    <row r="2132" customFormat="false" ht="11.25" hidden="false" customHeight="true" outlineLevel="0" collapsed="false"/>
    <row r="2133" customFormat="false" ht="11.25" hidden="false" customHeight="true" outlineLevel="0" collapsed="false"/>
    <row r="2134" customFormat="false" ht="11.25" hidden="false" customHeight="true" outlineLevel="0" collapsed="false"/>
    <row r="2135" customFormat="false" ht="11.25" hidden="false" customHeight="true" outlineLevel="0" collapsed="false"/>
    <row r="2136" customFormat="false" ht="11.25" hidden="false" customHeight="true" outlineLevel="0" collapsed="false"/>
    <row r="2137" customFormat="false" ht="11.25" hidden="false" customHeight="true" outlineLevel="0" collapsed="false"/>
    <row r="2138" customFormat="false" ht="11.25" hidden="false" customHeight="true" outlineLevel="0" collapsed="false"/>
    <row r="2139" customFormat="false" ht="11.25" hidden="false" customHeight="true" outlineLevel="0" collapsed="false"/>
    <row r="2140" customFormat="false" ht="11.25" hidden="false" customHeight="true" outlineLevel="0" collapsed="false"/>
    <row r="2141" customFormat="false" ht="11.25" hidden="false" customHeight="true" outlineLevel="0" collapsed="false"/>
    <row r="2142" customFormat="false" ht="11.25" hidden="false" customHeight="true" outlineLevel="0" collapsed="false"/>
    <row r="2143" customFormat="false" ht="11.25" hidden="false" customHeight="true" outlineLevel="0" collapsed="false"/>
    <row r="2144" customFormat="false" ht="11.25" hidden="false" customHeight="true" outlineLevel="0" collapsed="false"/>
    <row r="2145" customFormat="false" ht="11.25" hidden="false" customHeight="true" outlineLevel="0" collapsed="false"/>
    <row r="2146" customFormat="false" ht="11.25" hidden="false" customHeight="true" outlineLevel="0" collapsed="false"/>
    <row r="2147" customFormat="false" ht="11.25" hidden="false" customHeight="true" outlineLevel="0" collapsed="false"/>
    <row r="2148" customFormat="false" ht="11.25" hidden="false" customHeight="true" outlineLevel="0" collapsed="false"/>
    <row r="2149" customFormat="false" ht="11.25" hidden="false" customHeight="true" outlineLevel="0" collapsed="false"/>
    <row r="2150" customFormat="false" ht="11.25" hidden="false" customHeight="true" outlineLevel="0" collapsed="false"/>
    <row r="2151" customFormat="false" ht="11.25" hidden="false" customHeight="true" outlineLevel="0" collapsed="false"/>
    <row r="2152" customFormat="false" ht="11.25" hidden="false" customHeight="true" outlineLevel="0" collapsed="false"/>
    <row r="2153" customFormat="false" ht="11.25" hidden="false" customHeight="true" outlineLevel="0" collapsed="false"/>
    <row r="2154" customFormat="false" ht="11.25" hidden="false" customHeight="true" outlineLevel="0" collapsed="false"/>
    <row r="2155" customFormat="false" ht="11.25" hidden="false" customHeight="true" outlineLevel="0" collapsed="false"/>
    <row r="2156" customFormat="false" ht="11.25" hidden="false" customHeight="true" outlineLevel="0" collapsed="false"/>
    <row r="2157" customFormat="false" ht="11.25" hidden="false" customHeight="true" outlineLevel="0" collapsed="false"/>
    <row r="2158" customFormat="false" ht="11.25" hidden="false" customHeight="true" outlineLevel="0" collapsed="false"/>
    <row r="2159" customFormat="false" ht="11.25" hidden="false" customHeight="true" outlineLevel="0" collapsed="false"/>
    <row r="2160" customFormat="false" ht="11.25" hidden="false" customHeight="true" outlineLevel="0" collapsed="false"/>
    <row r="2161" customFormat="false" ht="11.25" hidden="false" customHeight="true" outlineLevel="0" collapsed="false"/>
    <row r="2162" customFormat="false" ht="11.25" hidden="false" customHeight="true" outlineLevel="0" collapsed="false"/>
    <row r="2163" customFormat="false" ht="11.25" hidden="false" customHeight="true" outlineLevel="0" collapsed="false"/>
    <row r="2164" customFormat="false" ht="11.25" hidden="false" customHeight="true" outlineLevel="0" collapsed="false"/>
    <row r="2165" customFormat="false" ht="11.25" hidden="false" customHeight="true" outlineLevel="0" collapsed="false"/>
    <row r="2166" customFormat="false" ht="11.25" hidden="false" customHeight="true" outlineLevel="0" collapsed="false"/>
    <row r="2167" customFormat="false" ht="11.25" hidden="false" customHeight="true" outlineLevel="0" collapsed="false"/>
    <row r="2168" customFormat="false" ht="11.25" hidden="false" customHeight="true" outlineLevel="0" collapsed="false"/>
    <row r="2169" customFormat="false" ht="11.25" hidden="false" customHeight="true" outlineLevel="0" collapsed="false"/>
    <row r="2170" customFormat="false" ht="11.25" hidden="false" customHeight="true" outlineLevel="0" collapsed="false"/>
    <row r="2171" customFormat="false" ht="11.25" hidden="false" customHeight="true" outlineLevel="0" collapsed="false"/>
    <row r="2172" customFormat="false" ht="11.25" hidden="false" customHeight="true" outlineLevel="0" collapsed="false"/>
    <row r="2173" customFormat="false" ht="11.25" hidden="false" customHeight="true" outlineLevel="0" collapsed="false"/>
    <row r="2174" customFormat="false" ht="11.25" hidden="false" customHeight="true" outlineLevel="0" collapsed="false"/>
    <row r="2175" customFormat="false" ht="11.25" hidden="false" customHeight="true" outlineLevel="0" collapsed="false"/>
    <row r="2176" customFormat="false" ht="11.25" hidden="false" customHeight="true" outlineLevel="0" collapsed="false"/>
    <row r="2177" customFormat="false" ht="11.25" hidden="false" customHeight="true" outlineLevel="0" collapsed="false"/>
    <row r="2178" customFormat="false" ht="11.25" hidden="false" customHeight="true" outlineLevel="0" collapsed="false"/>
    <row r="2179" customFormat="false" ht="11.25" hidden="false" customHeight="true" outlineLevel="0" collapsed="false"/>
    <row r="2180" customFormat="false" ht="11.25" hidden="false" customHeight="true" outlineLevel="0" collapsed="false"/>
    <row r="2181" customFormat="false" ht="11.25" hidden="false" customHeight="true" outlineLevel="0" collapsed="false"/>
    <row r="2182" customFormat="false" ht="11.25" hidden="false" customHeight="true" outlineLevel="0" collapsed="false"/>
    <row r="2183" customFormat="false" ht="11.25" hidden="false" customHeight="true" outlineLevel="0" collapsed="false"/>
    <row r="2184" customFormat="false" ht="11.25" hidden="false" customHeight="true" outlineLevel="0" collapsed="false"/>
    <row r="2185" customFormat="false" ht="11.25" hidden="false" customHeight="true" outlineLevel="0" collapsed="false"/>
    <row r="2186" customFormat="false" ht="11.25" hidden="false" customHeight="true" outlineLevel="0" collapsed="false"/>
    <row r="2187" customFormat="false" ht="11.25" hidden="false" customHeight="true" outlineLevel="0" collapsed="false"/>
    <row r="2188" customFormat="false" ht="11.25" hidden="false" customHeight="true" outlineLevel="0" collapsed="false"/>
    <row r="2189" customFormat="false" ht="11.25" hidden="false" customHeight="true" outlineLevel="0" collapsed="false"/>
    <row r="2190" customFormat="false" ht="11.25" hidden="false" customHeight="true" outlineLevel="0" collapsed="false"/>
    <row r="2191" customFormat="false" ht="11.25" hidden="false" customHeight="true" outlineLevel="0" collapsed="false"/>
    <row r="2192" customFormat="false" ht="11.25" hidden="false" customHeight="true" outlineLevel="0" collapsed="false"/>
    <row r="2193" customFormat="false" ht="11.25" hidden="false" customHeight="true" outlineLevel="0" collapsed="false"/>
    <row r="2194" customFormat="false" ht="11.25" hidden="false" customHeight="true" outlineLevel="0" collapsed="false"/>
    <row r="2195" customFormat="false" ht="11.25" hidden="false" customHeight="true" outlineLevel="0" collapsed="false"/>
    <row r="2196" customFormat="false" ht="11.25" hidden="false" customHeight="true" outlineLevel="0" collapsed="false"/>
    <row r="2197" customFormat="false" ht="11.25" hidden="false" customHeight="true" outlineLevel="0" collapsed="false"/>
    <row r="2198" customFormat="false" ht="11.25" hidden="false" customHeight="true" outlineLevel="0" collapsed="false"/>
    <row r="2199" customFormat="false" ht="11.25" hidden="false" customHeight="true" outlineLevel="0" collapsed="false"/>
    <row r="2200" customFormat="false" ht="11.25" hidden="false" customHeight="true" outlineLevel="0" collapsed="false"/>
    <row r="2201" customFormat="false" ht="11.25" hidden="false" customHeight="true" outlineLevel="0" collapsed="false"/>
    <row r="2202" customFormat="false" ht="11.25" hidden="false" customHeight="true" outlineLevel="0" collapsed="false"/>
    <row r="2203" customFormat="false" ht="11.25" hidden="false" customHeight="true" outlineLevel="0" collapsed="false"/>
    <row r="2204" customFormat="false" ht="11.25" hidden="false" customHeight="true" outlineLevel="0" collapsed="false"/>
    <row r="2205" customFormat="false" ht="11.25" hidden="false" customHeight="true" outlineLevel="0" collapsed="false"/>
    <row r="2206" customFormat="false" ht="11.25" hidden="false" customHeight="true" outlineLevel="0" collapsed="false"/>
    <row r="2207" customFormat="false" ht="11.25" hidden="false" customHeight="true" outlineLevel="0" collapsed="false"/>
    <row r="2208" customFormat="false" ht="11.25" hidden="false" customHeight="true" outlineLevel="0" collapsed="false"/>
    <row r="2209" customFormat="false" ht="11.25" hidden="false" customHeight="true" outlineLevel="0" collapsed="false"/>
    <row r="2210" customFormat="false" ht="11.25" hidden="false" customHeight="true" outlineLevel="0" collapsed="false"/>
    <row r="2211" customFormat="false" ht="11.25" hidden="false" customHeight="true" outlineLevel="0" collapsed="false"/>
    <row r="2212" customFormat="false" ht="11.25" hidden="false" customHeight="true" outlineLevel="0" collapsed="false"/>
    <row r="2213" customFormat="false" ht="11.25" hidden="false" customHeight="true" outlineLevel="0" collapsed="false"/>
    <row r="2214" customFormat="false" ht="11.25" hidden="false" customHeight="true" outlineLevel="0" collapsed="false"/>
    <row r="2215" customFormat="false" ht="11.25" hidden="false" customHeight="true" outlineLevel="0" collapsed="false"/>
    <row r="2216" customFormat="false" ht="11.25" hidden="false" customHeight="true" outlineLevel="0" collapsed="false"/>
    <row r="2217" customFormat="false" ht="11.25" hidden="false" customHeight="true" outlineLevel="0" collapsed="false"/>
    <row r="2218" customFormat="false" ht="11.25" hidden="false" customHeight="true" outlineLevel="0" collapsed="false"/>
    <row r="2219" customFormat="false" ht="11.25" hidden="false" customHeight="true" outlineLevel="0" collapsed="false"/>
    <row r="2220" customFormat="false" ht="11.25" hidden="false" customHeight="true" outlineLevel="0" collapsed="false"/>
    <row r="2221" customFormat="false" ht="11.25" hidden="false" customHeight="true" outlineLevel="0" collapsed="false"/>
    <row r="2222" customFormat="false" ht="11.25" hidden="false" customHeight="true" outlineLevel="0" collapsed="false"/>
    <row r="2223" customFormat="false" ht="11.25" hidden="false" customHeight="true" outlineLevel="0" collapsed="false"/>
    <row r="2224" customFormat="false" ht="11.25" hidden="false" customHeight="true" outlineLevel="0" collapsed="false"/>
    <row r="2225" customFormat="false" ht="11.25" hidden="false" customHeight="true" outlineLevel="0" collapsed="false"/>
    <row r="2226" customFormat="false" ht="11.25" hidden="false" customHeight="true" outlineLevel="0" collapsed="false"/>
    <row r="2227" customFormat="false" ht="11.25" hidden="false" customHeight="true" outlineLevel="0" collapsed="false"/>
    <row r="2228" customFormat="false" ht="11.25" hidden="false" customHeight="true" outlineLevel="0" collapsed="false"/>
    <row r="2229" customFormat="false" ht="11.25" hidden="false" customHeight="true" outlineLevel="0" collapsed="false"/>
    <row r="2230" customFormat="false" ht="11.25" hidden="false" customHeight="true" outlineLevel="0" collapsed="false"/>
    <row r="2231" customFormat="false" ht="11.25" hidden="false" customHeight="true" outlineLevel="0" collapsed="false"/>
    <row r="2232" customFormat="false" ht="11.25" hidden="false" customHeight="true" outlineLevel="0" collapsed="false"/>
    <row r="2233" customFormat="false" ht="11.25" hidden="false" customHeight="true" outlineLevel="0" collapsed="false"/>
    <row r="2234" customFormat="false" ht="11.25" hidden="false" customHeight="true" outlineLevel="0" collapsed="false"/>
    <row r="2235" customFormat="false" ht="11.25" hidden="false" customHeight="true" outlineLevel="0" collapsed="false"/>
    <row r="2236" customFormat="false" ht="11.25" hidden="false" customHeight="true" outlineLevel="0" collapsed="false"/>
    <row r="2237" customFormat="false" ht="11.25" hidden="false" customHeight="true" outlineLevel="0" collapsed="false"/>
    <row r="2238" customFormat="false" ht="11.25" hidden="false" customHeight="true" outlineLevel="0" collapsed="false"/>
    <row r="2239" customFormat="false" ht="11.25" hidden="false" customHeight="true" outlineLevel="0" collapsed="false"/>
    <row r="2240" customFormat="false" ht="11.25" hidden="false" customHeight="true" outlineLevel="0" collapsed="false"/>
    <row r="2241" customFormat="false" ht="11.25" hidden="false" customHeight="true" outlineLevel="0" collapsed="false"/>
    <row r="2242" customFormat="false" ht="11.25" hidden="false" customHeight="true" outlineLevel="0" collapsed="false"/>
    <row r="2243" customFormat="false" ht="11.25" hidden="false" customHeight="true" outlineLevel="0" collapsed="false"/>
    <row r="2244" customFormat="false" ht="11.25" hidden="false" customHeight="true" outlineLevel="0" collapsed="false"/>
    <row r="2245" customFormat="false" ht="11.25" hidden="false" customHeight="true" outlineLevel="0" collapsed="false"/>
    <row r="2246" customFormat="false" ht="11.25" hidden="false" customHeight="true" outlineLevel="0" collapsed="false"/>
    <row r="2247" customFormat="false" ht="11.25" hidden="false" customHeight="true" outlineLevel="0" collapsed="false"/>
    <row r="2248" customFormat="false" ht="11.25" hidden="false" customHeight="true" outlineLevel="0" collapsed="false"/>
    <row r="2249" customFormat="false" ht="11.25" hidden="false" customHeight="true" outlineLevel="0" collapsed="false"/>
    <row r="2250" customFormat="false" ht="11.25" hidden="false" customHeight="true" outlineLevel="0" collapsed="false"/>
    <row r="2251" customFormat="false" ht="11.25" hidden="false" customHeight="true" outlineLevel="0" collapsed="false"/>
    <row r="2252" customFormat="false" ht="11.25" hidden="false" customHeight="true" outlineLevel="0" collapsed="false"/>
    <row r="2253" customFormat="false" ht="11.25" hidden="false" customHeight="true" outlineLevel="0" collapsed="false"/>
    <row r="2254" customFormat="false" ht="11.25" hidden="false" customHeight="true" outlineLevel="0" collapsed="false"/>
    <row r="2255" customFormat="false" ht="11.25" hidden="false" customHeight="true" outlineLevel="0" collapsed="false"/>
    <row r="2256" customFormat="false" ht="11.25" hidden="false" customHeight="true" outlineLevel="0" collapsed="false"/>
    <row r="2257" customFormat="false" ht="11.25" hidden="false" customHeight="true" outlineLevel="0" collapsed="false"/>
    <row r="2258" customFormat="false" ht="11.25" hidden="false" customHeight="true" outlineLevel="0" collapsed="false"/>
    <row r="2259" customFormat="false" ht="11.25" hidden="false" customHeight="true" outlineLevel="0" collapsed="false"/>
    <row r="2260" customFormat="false" ht="11.25" hidden="false" customHeight="true" outlineLevel="0" collapsed="false"/>
    <row r="2261" customFormat="false" ht="11.25" hidden="false" customHeight="true" outlineLevel="0" collapsed="false"/>
    <row r="2262" customFormat="false" ht="11.25" hidden="false" customHeight="true" outlineLevel="0" collapsed="false"/>
    <row r="2263" customFormat="false" ht="11.25" hidden="false" customHeight="true" outlineLevel="0" collapsed="false"/>
    <row r="2264" customFormat="false" ht="11.25" hidden="false" customHeight="true" outlineLevel="0" collapsed="false"/>
    <row r="2265" customFormat="false" ht="11.25" hidden="false" customHeight="true" outlineLevel="0" collapsed="false"/>
    <row r="2266" customFormat="false" ht="11.25" hidden="false" customHeight="true" outlineLevel="0" collapsed="false"/>
    <row r="2267" customFormat="false" ht="11.25" hidden="false" customHeight="true" outlineLevel="0" collapsed="false"/>
    <row r="2268" customFormat="false" ht="11.25" hidden="false" customHeight="true" outlineLevel="0" collapsed="false"/>
    <row r="2269" customFormat="false" ht="11.25" hidden="false" customHeight="true" outlineLevel="0" collapsed="false"/>
    <row r="2270" customFormat="false" ht="11.25" hidden="false" customHeight="true" outlineLevel="0" collapsed="false"/>
    <row r="2271" customFormat="false" ht="11.25" hidden="false" customHeight="true" outlineLevel="0" collapsed="false"/>
    <row r="2272" customFormat="false" ht="11.25" hidden="false" customHeight="true" outlineLevel="0" collapsed="false"/>
    <row r="2273" customFormat="false" ht="11.25" hidden="false" customHeight="true" outlineLevel="0" collapsed="false"/>
    <row r="2274" customFormat="false" ht="11.25" hidden="false" customHeight="true" outlineLevel="0" collapsed="false"/>
    <row r="2275" customFormat="false" ht="11.25" hidden="false" customHeight="true" outlineLevel="0" collapsed="false"/>
    <row r="2276" customFormat="false" ht="11.25" hidden="false" customHeight="true" outlineLevel="0" collapsed="false"/>
    <row r="2277" customFormat="false" ht="11.25" hidden="false" customHeight="true" outlineLevel="0" collapsed="false"/>
    <row r="2278" customFormat="false" ht="11.25" hidden="false" customHeight="true" outlineLevel="0" collapsed="false"/>
    <row r="2279" customFormat="false" ht="11.25" hidden="false" customHeight="true" outlineLevel="0" collapsed="false"/>
    <row r="2280" customFormat="false" ht="11.25" hidden="false" customHeight="true" outlineLevel="0" collapsed="false"/>
    <row r="2281" customFormat="false" ht="11.25" hidden="false" customHeight="true" outlineLevel="0" collapsed="false"/>
    <row r="2282" customFormat="false" ht="11.25" hidden="false" customHeight="true" outlineLevel="0" collapsed="false"/>
    <row r="2283" customFormat="false" ht="11.25" hidden="false" customHeight="true" outlineLevel="0" collapsed="false"/>
    <row r="2284" customFormat="false" ht="11.25" hidden="false" customHeight="true" outlineLevel="0" collapsed="false"/>
    <row r="2285" customFormat="false" ht="11.25" hidden="false" customHeight="true" outlineLevel="0" collapsed="false"/>
    <row r="2286" customFormat="false" ht="11.25" hidden="false" customHeight="true" outlineLevel="0" collapsed="false"/>
    <row r="2287" customFormat="false" ht="11.25" hidden="false" customHeight="true" outlineLevel="0" collapsed="false"/>
    <row r="2288" customFormat="false" ht="11.25" hidden="false" customHeight="true" outlineLevel="0" collapsed="false"/>
    <row r="2289" customFormat="false" ht="11.25" hidden="false" customHeight="true" outlineLevel="0" collapsed="false"/>
    <row r="2290" customFormat="false" ht="11.25" hidden="false" customHeight="true" outlineLevel="0" collapsed="false"/>
    <row r="2291" customFormat="false" ht="11.25" hidden="false" customHeight="true" outlineLevel="0" collapsed="false"/>
    <row r="2292" customFormat="false" ht="11.25" hidden="false" customHeight="true" outlineLevel="0" collapsed="false"/>
    <row r="2293" customFormat="false" ht="11.25" hidden="false" customHeight="true" outlineLevel="0" collapsed="false"/>
    <row r="2294" customFormat="false" ht="11.25" hidden="false" customHeight="true" outlineLevel="0" collapsed="false"/>
    <row r="2295" customFormat="false" ht="11.25" hidden="false" customHeight="true" outlineLevel="0" collapsed="false"/>
    <row r="2296" customFormat="false" ht="11.25" hidden="false" customHeight="true" outlineLevel="0" collapsed="false"/>
    <row r="2297" customFormat="false" ht="11.25" hidden="false" customHeight="true" outlineLevel="0" collapsed="false"/>
    <row r="2298" customFormat="false" ht="11.25" hidden="false" customHeight="true" outlineLevel="0" collapsed="false"/>
    <row r="2299" customFormat="false" ht="11.25" hidden="false" customHeight="true" outlineLevel="0" collapsed="false"/>
    <row r="2300" customFormat="false" ht="11.25" hidden="false" customHeight="true" outlineLevel="0" collapsed="false"/>
    <row r="2301" customFormat="false" ht="11.25" hidden="false" customHeight="true" outlineLevel="0" collapsed="false"/>
    <row r="2302" customFormat="false" ht="11.25" hidden="false" customHeight="true" outlineLevel="0" collapsed="false"/>
    <row r="2303" customFormat="false" ht="11.25" hidden="false" customHeight="true" outlineLevel="0" collapsed="false"/>
    <row r="2304" customFormat="false" ht="11.25" hidden="false" customHeight="true" outlineLevel="0" collapsed="false"/>
    <row r="2305" customFormat="false" ht="11.25" hidden="false" customHeight="true" outlineLevel="0" collapsed="false"/>
    <row r="2306" customFormat="false" ht="11.25" hidden="false" customHeight="true" outlineLevel="0" collapsed="false"/>
    <row r="2307" customFormat="false" ht="11.25" hidden="false" customHeight="true" outlineLevel="0" collapsed="false"/>
    <row r="2308" customFormat="false" ht="11.25" hidden="false" customHeight="true" outlineLevel="0" collapsed="false"/>
    <row r="2309" customFormat="false" ht="11.25" hidden="false" customHeight="true" outlineLevel="0" collapsed="false"/>
    <row r="2310" customFormat="false" ht="11.25" hidden="false" customHeight="true" outlineLevel="0" collapsed="false"/>
    <row r="2311" customFormat="false" ht="11.25" hidden="false" customHeight="true" outlineLevel="0" collapsed="false"/>
    <row r="2312" customFormat="false" ht="11.25" hidden="false" customHeight="true" outlineLevel="0" collapsed="false"/>
    <row r="2313" customFormat="false" ht="11.25" hidden="false" customHeight="true" outlineLevel="0" collapsed="false"/>
    <row r="2314" customFormat="false" ht="11.25" hidden="false" customHeight="true" outlineLevel="0" collapsed="false"/>
    <row r="2315" customFormat="false" ht="11.25" hidden="false" customHeight="true" outlineLevel="0" collapsed="false"/>
    <row r="2316" customFormat="false" ht="11.25" hidden="false" customHeight="true" outlineLevel="0" collapsed="false"/>
    <row r="2317" customFormat="false" ht="11.25" hidden="false" customHeight="true" outlineLevel="0" collapsed="false"/>
    <row r="2318" customFormat="false" ht="11.25" hidden="false" customHeight="true" outlineLevel="0" collapsed="false"/>
    <row r="2319" customFormat="false" ht="11.25" hidden="false" customHeight="true" outlineLevel="0" collapsed="false"/>
    <row r="2320" customFormat="false" ht="11.25" hidden="false" customHeight="true" outlineLevel="0" collapsed="false"/>
    <row r="2321" customFormat="false" ht="11.25" hidden="false" customHeight="true" outlineLevel="0" collapsed="false"/>
    <row r="2322" customFormat="false" ht="11.25" hidden="false" customHeight="true" outlineLevel="0" collapsed="false"/>
    <row r="2323" customFormat="false" ht="11.25" hidden="false" customHeight="true" outlineLevel="0" collapsed="false"/>
    <row r="2324" customFormat="false" ht="11.25" hidden="false" customHeight="true" outlineLevel="0" collapsed="false"/>
    <row r="2325" customFormat="false" ht="11.25" hidden="false" customHeight="true" outlineLevel="0" collapsed="false"/>
    <row r="2326" customFormat="false" ht="11.25" hidden="false" customHeight="true" outlineLevel="0" collapsed="false"/>
    <row r="2327" customFormat="false" ht="11.25" hidden="false" customHeight="true" outlineLevel="0" collapsed="false"/>
    <row r="2328" customFormat="false" ht="11.25" hidden="false" customHeight="true" outlineLevel="0" collapsed="false"/>
    <row r="2329" customFormat="false" ht="11.25" hidden="false" customHeight="true" outlineLevel="0" collapsed="false"/>
    <row r="2330" customFormat="false" ht="11.25" hidden="false" customHeight="true" outlineLevel="0" collapsed="false"/>
    <row r="2331" customFormat="false" ht="11.25" hidden="false" customHeight="true" outlineLevel="0" collapsed="false"/>
    <row r="2332" customFormat="false" ht="11.25" hidden="false" customHeight="true" outlineLevel="0" collapsed="false"/>
    <row r="2333" customFormat="false" ht="11.25" hidden="false" customHeight="true" outlineLevel="0" collapsed="false"/>
    <row r="2334" customFormat="false" ht="11.25" hidden="false" customHeight="true" outlineLevel="0" collapsed="false"/>
    <row r="2335" customFormat="false" ht="11.25" hidden="false" customHeight="true" outlineLevel="0" collapsed="false"/>
    <row r="2336" customFormat="false" ht="11.25" hidden="false" customHeight="true" outlineLevel="0" collapsed="false"/>
    <row r="2337" customFormat="false" ht="11.25" hidden="false" customHeight="true" outlineLevel="0" collapsed="false"/>
    <row r="2338" customFormat="false" ht="11.25" hidden="false" customHeight="true" outlineLevel="0" collapsed="false"/>
    <row r="2339" customFormat="false" ht="11.25" hidden="false" customHeight="true" outlineLevel="0" collapsed="false"/>
    <row r="2340" customFormat="false" ht="11.25" hidden="false" customHeight="true" outlineLevel="0" collapsed="false"/>
    <row r="2341" customFormat="false" ht="11.25" hidden="false" customHeight="true" outlineLevel="0" collapsed="false"/>
    <row r="2342" customFormat="false" ht="11.25" hidden="false" customHeight="true" outlineLevel="0" collapsed="false"/>
    <row r="2343" customFormat="false" ht="11.25" hidden="false" customHeight="true" outlineLevel="0" collapsed="false"/>
    <row r="2344" customFormat="false" ht="11.25" hidden="false" customHeight="true" outlineLevel="0" collapsed="false"/>
    <row r="2345" customFormat="false" ht="11.25" hidden="false" customHeight="true" outlineLevel="0" collapsed="false"/>
    <row r="2346" customFormat="false" ht="11.25" hidden="false" customHeight="true" outlineLevel="0" collapsed="false"/>
    <row r="2347" customFormat="false" ht="11.25" hidden="false" customHeight="true" outlineLevel="0" collapsed="false"/>
    <row r="2348" customFormat="false" ht="11.25" hidden="false" customHeight="true" outlineLevel="0" collapsed="false"/>
    <row r="2349" customFormat="false" ht="11.25" hidden="false" customHeight="true" outlineLevel="0" collapsed="false"/>
    <row r="2350" customFormat="false" ht="11.25" hidden="false" customHeight="true" outlineLevel="0" collapsed="false"/>
    <row r="2351" customFormat="false" ht="11.25" hidden="false" customHeight="true" outlineLevel="0" collapsed="false"/>
    <row r="2352" customFormat="false" ht="11.25" hidden="false" customHeight="true" outlineLevel="0" collapsed="false"/>
    <row r="2353" customFormat="false" ht="11.25" hidden="false" customHeight="true" outlineLevel="0" collapsed="false"/>
    <row r="2354" customFormat="false" ht="11.25" hidden="false" customHeight="true" outlineLevel="0" collapsed="false"/>
    <row r="2355" customFormat="false" ht="11.25" hidden="false" customHeight="true" outlineLevel="0" collapsed="false"/>
    <row r="2356" customFormat="false" ht="11.25" hidden="false" customHeight="true" outlineLevel="0" collapsed="false"/>
    <row r="2357" customFormat="false" ht="11.25" hidden="false" customHeight="true" outlineLevel="0" collapsed="false"/>
    <row r="2358" customFormat="false" ht="11.25" hidden="false" customHeight="true" outlineLevel="0" collapsed="false"/>
    <row r="2359" customFormat="false" ht="11.25" hidden="false" customHeight="true" outlineLevel="0" collapsed="false"/>
    <row r="2360" customFormat="false" ht="11.25" hidden="false" customHeight="true" outlineLevel="0" collapsed="false"/>
    <row r="2361" customFormat="false" ht="11.25" hidden="false" customHeight="true" outlineLevel="0" collapsed="false"/>
    <row r="2362" customFormat="false" ht="11.25" hidden="false" customHeight="true" outlineLevel="0" collapsed="false"/>
    <row r="2363" customFormat="false" ht="11.25" hidden="false" customHeight="true" outlineLevel="0" collapsed="false"/>
    <row r="2364" customFormat="false" ht="11.25" hidden="false" customHeight="true" outlineLevel="0" collapsed="false"/>
    <row r="2365" customFormat="false" ht="11.25" hidden="false" customHeight="true" outlineLevel="0" collapsed="false"/>
    <row r="2366" customFormat="false" ht="11.25" hidden="false" customHeight="true" outlineLevel="0" collapsed="false"/>
    <row r="2367" customFormat="false" ht="11.25" hidden="false" customHeight="true" outlineLevel="0" collapsed="false"/>
    <row r="2368" customFormat="false" ht="11.25" hidden="false" customHeight="true" outlineLevel="0" collapsed="false"/>
    <row r="2369" customFormat="false" ht="11.25" hidden="false" customHeight="true" outlineLevel="0" collapsed="false"/>
    <row r="2370" customFormat="false" ht="11.25" hidden="false" customHeight="true" outlineLevel="0" collapsed="false"/>
    <row r="2371" customFormat="false" ht="11.25" hidden="false" customHeight="true" outlineLevel="0" collapsed="false"/>
    <row r="2372" customFormat="false" ht="11.25" hidden="false" customHeight="true" outlineLevel="0" collapsed="false"/>
    <row r="2373" customFormat="false" ht="11.25" hidden="false" customHeight="true" outlineLevel="0" collapsed="false"/>
    <row r="2374" customFormat="false" ht="11.25" hidden="false" customHeight="true" outlineLevel="0" collapsed="false"/>
    <row r="2375" customFormat="false" ht="11.25" hidden="false" customHeight="true" outlineLevel="0" collapsed="false"/>
    <row r="2376" customFormat="false" ht="11.25" hidden="false" customHeight="true" outlineLevel="0" collapsed="false"/>
    <row r="2377" customFormat="false" ht="11.25" hidden="false" customHeight="true" outlineLevel="0" collapsed="false"/>
    <row r="2378" customFormat="false" ht="11.25" hidden="false" customHeight="true" outlineLevel="0" collapsed="false"/>
    <row r="2379" customFormat="false" ht="11.25" hidden="false" customHeight="true" outlineLevel="0" collapsed="false"/>
    <row r="2380" customFormat="false" ht="11.25" hidden="false" customHeight="true" outlineLevel="0" collapsed="false"/>
    <row r="2381" customFormat="false" ht="11.25" hidden="false" customHeight="true" outlineLevel="0" collapsed="false"/>
    <row r="2382" customFormat="false" ht="11.25" hidden="false" customHeight="true" outlineLevel="0" collapsed="false"/>
    <row r="2383" customFormat="false" ht="11.25" hidden="false" customHeight="true" outlineLevel="0" collapsed="false"/>
    <row r="2384" customFormat="false" ht="11.25" hidden="false" customHeight="true" outlineLevel="0" collapsed="false"/>
    <row r="2385" customFormat="false" ht="11.25" hidden="false" customHeight="true" outlineLevel="0" collapsed="false"/>
    <row r="2386" customFormat="false" ht="11.25" hidden="false" customHeight="true" outlineLevel="0" collapsed="false"/>
    <row r="2387" customFormat="false" ht="11.25" hidden="false" customHeight="true" outlineLevel="0" collapsed="false"/>
    <row r="2388" customFormat="false" ht="11.25" hidden="false" customHeight="true" outlineLevel="0" collapsed="false"/>
    <row r="2389" customFormat="false" ht="11.25" hidden="false" customHeight="true" outlineLevel="0" collapsed="false"/>
    <row r="2390" customFormat="false" ht="11.25" hidden="false" customHeight="true" outlineLevel="0" collapsed="false"/>
    <row r="2391" customFormat="false" ht="11.25" hidden="false" customHeight="true" outlineLevel="0" collapsed="false"/>
    <row r="2392" customFormat="false" ht="11.25" hidden="false" customHeight="true" outlineLevel="0" collapsed="false"/>
    <row r="2393" customFormat="false" ht="11.25" hidden="false" customHeight="true" outlineLevel="0" collapsed="false"/>
    <row r="2394" customFormat="false" ht="11.25" hidden="false" customHeight="true" outlineLevel="0" collapsed="false"/>
    <row r="2395" customFormat="false" ht="11.25" hidden="false" customHeight="true" outlineLevel="0" collapsed="false"/>
    <row r="2396" customFormat="false" ht="11.25" hidden="false" customHeight="true" outlineLevel="0" collapsed="false"/>
    <row r="2397" customFormat="false" ht="11.25" hidden="false" customHeight="true" outlineLevel="0" collapsed="false"/>
    <row r="2398" customFormat="false" ht="11.25" hidden="false" customHeight="true" outlineLevel="0" collapsed="false"/>
    <row r="2399" customFormat="false" ht="11.25" hidden="false" customHeight="true" outlineLevel="0" collapsed="false"/>
    <row r="2400" customFormat="false" ht="11.25" hidden="false" customHeight="true" outlineLevel="0" collapsed="false"/>
    <row r="2401" customFormat="false" ht="11.25" hidden="false" customHeight="true" outlineLevel="0" collapsed="false"/>
    <row r="2402" customFormat="false" ht="11.25" hidden="false" customHeight="true" outlineLevel="0" collapsed="false"/>
    <row r="2403" customFormat="false" ht="11.25" hidden="false" customHeight="true" outlineLevel="0" collapsed="false"/>
    <row r="2404" customFormat="false" ht="11.25" hidden="false" customHeight="true" outlineLevel="0" collapsed="false"/>
    <row r="2405" customFormat="false" ht="11.25" hidden="false" customHeight="true" outlineLevel="0" collapsed="false"/>
    <row r="2406" customFormat="false" ht="11.25" hidden="false" customHeight="true" outlineLevel="0" collapsed="false"/>
    <row r="2407" customFormat="false" ht="11.25" hidden="false" customHeight="true" outlineLevel="0" collapsed="false"/>
    <row r="2408" customFormat="false" ht="11.25" hidden="false" customHeight="true" outlineLevel="0" collapsed="false"/>
    <row r="2409" customFormat="false" ht="11.25" hidden="false" customHeight="true" outlineLevel="0" collapsed="false"/>
    <row r="2410" customFormat="false" ht="11.25" hidden="false" customHeight="true" outlineLevel="0" collapsed="false"/>
    <row r="2411" customFormat="false" ht="11.25" hidden="false" customHeight="true" outlineLevel="0" collapsed="false"/>
    <row r="2412" customFormat="false" ht="11.25" hidden="false" customHeight="true" outlineLevel="0" collapsed="false"/>
    <row r="2413" customFormat="false" ht="11.25" hidden="false" customHeight="true" outlineLevel="0" collapsed="false"/>
    <row r="2414" customFormat="false" ht="11.25" hidden="false" customHeight="true" outlineLevel="0" collapsed="false"/>
    <row r="2415" customFormat="false" ht="11.25" hidden="false" customHeight="true" outlineLevel="0" collapsed="false"/>
    <row r="2416" customFormat="false" ht="11.25" hidden="false" customHeight="true" outlineLevel="0" collapsed="false"/>
    <row r="2417" customFormat="false" ht="11.25" hidden="false" customHeight="true" outlineLevel="0" collapsed="false"/>
    <row r="2418" customFormat="false" ht="11.25" hidden="false" customHeight="true" outlineLevel="0" collapsed="false"/>
    <row r="2419" customFormat="false" ht="11.25" hidden="false" customHeight="true" outlineLevel="0" collapsed="false"/>
    <row r="2420" customFormat="false" ht="11.25" hidden="false" customHeight="true" outlineLevel="0" collapsed="false"/>
    <row r="2421" customFormat="false" ht="11.25" hidden="false" customHeight="true" outlineLevel="0" collapsed="false"/>
    <row r="2422" customFormat="false" ht="11.25" hidden="false" customHeight="true" outlineLevel="0" collapsed="false"/>
    <row r="2423" customFormat="false" ht="11.25" hidden="false" customHeight="true" outlineLevel="0" collapsed="false"/>
    <row r="2424" customFormat="false" ht="11.25" hidden="false" customHeight="true" outlineLevel="0" collapsed="false"/>
    <row r="2425" customFormat="false" ht="11.25" hidden="false" customHeight="true" outlineLevel="0" collapsed="false"/>
    <row r="2426" customFormat="false" ht="11.25" hidden="false" customHeight="true" outlineLevel="0" collapsed="false"/>
    <row r="2427" customFormat="false" ht="11.25" hidden="false" customHeight="true" outlineLevel="0" collapsed="false"/>
    <row r="2428" customFormat="false" ht="11.25" hidden="false" customHeight="true" outlineLevel="0" collapsed="false"/>
    <row r="2429" customFormat="false" ht="11.25" hidden="false" customHeight="true" outlineLevel="0" collapsed="false"/>
    <row r="2430" customFormat="false" ht="11.25" hidden="false" customHeight="true" outlineLevel="0" collapsed="false"/>
    <row r="2431" customFormat="false" ht="11.25" hidden="false" customHeight="true" outlineLevel="0" collapsed="false"/>
    <row r="2432" customFormat="false" ht="11.25" hidden="false" customHeight="true" outlineLevel="0" collapsed="false"/>
    <row r="2433" customFormat="false" ht="11.25" hidden="false" customHeight="true" outlineLevel="0" collapsed="false"/>
    <row r="2434" customFormat="false" ht="11.25" hidden="false" customHeight="true" outlineLevel="0" collapsed="false"/>
    <row r="2435" customFormat="false" ht="11.25" hidden="false" customHeight="true" outlineLevel="0" collapsed="false"/>
    <row r="2436" customFormat="false" ht="11.25" hidden="false" customHeight="true" outlineLevel="0" collapsed="false"/>
    <row r="2437" customFormat="false" ht="11.25" hidden="false" customHeight="true" outlineLevel="0" collapsed="false"/>
    <row r="2438" customFormat="false" ht="11.25" hidden="false" customHeight="true" outlineLevel="0" collapsed="false"/>
    <row r="2439" customFormat="false" ht="11.25" hidden="false" customHeight="true" outlineLevel="0" collapsed="false"/>
    <row r="2440" customFormat="false" ht="11.25" hidden="false" customHeight="true" outlineLevel="0" collapsed="false"/>
    <row r="2441" customFormat="false" ht="11.25" hidden="false" customHeight="true" outlineLevel="0" collapsed="false"/>
    <row r="2442" customFormat="false" ht="11.25" hidden="false" customHeight="true" outlineLevel="0" collapsed="false"/>
    <row r="2443" customFormat="false" ht="11.25" hidden="false" customHeight="true" outlineLevel="0" collapsed="false"/>
    <row r="2444" customFormat="false" ht="11.25" hidden="false" customHeight="true" outlineLevel="0" collapsed="false"/>
    <row r="2445" customFormat="false" ht="11.25" hidden="false" customHeight="true" outlineLevel="0" collapsed="false"/>
    <row r="2446" customFormat="false" ht="11.25" hidden="false" customHeight="true" outlineLevel="0" collapsed="false"/>
    <row r="2447" customFormat="false" ht="11.25" hidden="false" customHeight="true" outlineLevel="0" collapsed="false"/>
    <row r="2448" customFormat="false" ht="11.25" hidden="false" customHeight="true" outlineLevel="0" collapsed="false"/>
    <row r="2449" customFormat="false" ht="11.25" hidden="false" customHeight="true" outlineLevel="0" collapsed="false"/>
    <row r="2450" customFormat="false" ht="11.25" hidden="false" customHeight="true" outlineLevel="0" collapsed="false"/>
    <row r="2451" customFormat="false" ht="11.25" hidden="false" customHeight="true" outlineLevel="0" collapsed="false"/>
    <row r="2452" customFormat="false" ht="11.25" hidden="false" customHeight="true" outlineLevel="0" collapsed="false"/>
    <row r="2453" customFormat="false" ht="11.25" hidden="false" customHeight="true" outlineLevel="0" collapsed="false"/>
    <row r="2454" customFormat="false" ht="11.25" hidden="false" customHeight="true" outlineLevel="0" collapsed="false"/>
    <row r="2455" customFormat="false" ht="11.25" hidden="false" customHeight="true" outlineLevel="0" collapsed="false"/>
    <row r="2456" customFormat="false" ht="11.25" hidden="false" customHeight="true" outlineLevel="0" collapsed="false"/>
    <row r="2457" customFormat="false" ht="11.25" hidden="false" customHeight="true" outlineLevel="0" collapsed="false"/>
    <row r="2458" customFormat="false" ht="11.25" hidden="false" customHeight="true" outlineLevel="0" collapsed="false"/>
    <row r="2459" customFormat="false" ht="11.25" hidden="false" customHeight="true" outlineLevel="0" collapsed="false"/>
    <row r="2460" customFormat="false" ht="11.25" hidden="false" customHeight="true" outlineLevel="0" collapsed="false"/>
    <row r="2461" customFormat="false" ht="11.25" hidden="false" customHeight="true" outlineLevel="0" collapsed="false"/>
    <row r="2462" customFormat="false" ht="11.25" hidden="false" customHeight="true" outlineLevel="0" collapsed="false"/>
    <row r="2463" customFormat="false" ht="11.25" hidden="false" customHeight="true" outlineLevel="0" collapsed="false"/>
    <row r="2464" customFormat="false" ht="11.25" hidden="false" customHeight="true" outlineLevel="0" collapsed="false"/>
    <row r="2465" customFormat="false" ht="11.25" hidden="false" customHeight="true" outlineLevel="0" collapsed="false"/>
    <row r="2466" customFormat="false" ht="11.25" hidden="false" customHeight="true" outlineLevel="0" collapsed="false"/>
    <row r="2467" customFormat="false" ht="11.25" hidden="false" customHeight="true" outlineLevel="0" collapsed="false"/>
    <row r="2468" customFormat="false" ht="11.25" hidden="false" customHeight="true" outlineLevel="0" collapsed="false"/>
    <row r="2469" customFormat="false" ht="11.25" hidden="false" customHeight="true" outlineLevel="0" collapsed="false"/>
    <row r="2470" customFormat="false" ht="11.25" hidden="false" customHeight="true" outlineLevel="0" collapsed="false"/>
    <row r="2471" customFormat="false" ht="11.25" hidden="false" customHeight="true" outlineLevel="0" collapsed="false"/>
    <row r="2472" customFormat="false" ht="11.25" hidden="false" customHeight="true" outlineLevel="0" collapsed="false"/>
    <row r="2473" customFormat="false" ht="11.25" hidden="false" customHeight="true" outlineLevel="0" collapsed="false"/>
    <row r="2474" customFormat="false" ht="11.25" hidden="false" customHeight="true" outlineLevel="0" collapsed="false"/>
    <row r="2475" customFormat="false" ht="11.25" hidden="false" customHeight="true" outlineLevel="0" collapsed="false"/>
    <row r="2476" customFormat="false" ht="11.25" hidden="false" customHeight="true" outlineLevel="0" collapsed="false"/>
    <row r="2477" customFormat="false" ht="11.25" hidden="false" customHeight="true" outlineLevel="0" collapsed="false"/>
    <row r="2478" customFormat="false" ht="11.25" hidden="false" customHeight="true" outlineLevel="0" collapsed="false"/>
    <row r="2479" customFormat="false" ht="11.25" hidden="false" customHeight="true" outlineLevel="0" collapsed="false"/>
    <row r="2480" customFormat="false" ht="11.25" hidden="false" customHeight="true" outlineLevel="0" collapsed="false"/>
    <row r="2481" customFormat="false" ht="11.25" hidden="false" customHeight="true" outlineLevel="0" collapsed="false"/>
    <row r="2482" customFormat="false" ht="11.25" hidden="false" customHeight="true" outlineLevel="0" collapsed="false"/>
    <row r="2483" customFormat="false" ht="11.25" hidden="false" customHeight="true" outlineLevel="0" collapsed="false"/>
    <row r="2484" customFormat="false" ht="11.25" hidden="false" customHeight="true" outlineLevel="0" collapsed="false"/>
    <row r="2485" customFormat="false" ht="11.25" hidden="false" customHeight="true" outlineLevel="0" collapsed="false"/>
    <row r="2486" customFormat="false" ht="11.25" hidden="false" customHeight="true" outlineLevel="0" collapsed="false"/>
    <row r="2487" customFormat="false" ht="11.25" hidden="false" customHeight="true" outlineLevel="0" collapsed="false"/>
    <row r="2488" customFormat="false" ht="11.25" hidden="false" customHeight="true" outlineLevel="0" collapsed="false"/>
    <row r="2489" customFormat="false" ht="11.25" hidden="false" customHeight="true" outlineLevel="0" collapsed="false"/>
    <row r="2490" customFormat="false" ht="11.25" hidden="false" customHeight="true" outlineLevel="0" collapsed="false"/>
    <row r="2491" customFormat="false" ht="11.25" hidden="false" customHeight="true" outlineLevel="0" collapsed="false"/>
    <row r="2492" customFormat="false" ht="11.25" hidden="false" customHeight="true" outlineLevel="0" collapsed="false"/>
    <row r="2493" customFormat="false" ht="11.25" hidden="false" customHeight="true" outlineLevel="0" collapsed="false"/>
    <row r="2494" customFormat="false" ht="11.25" hidden="false" customHeight="true" outlineLevel="0" collapsed="false"/>
    <row r="2495" customFormat="false" ht="11.25" hidden="false" customHeight="true" outlineLevel="0" collapsed="false"/>
    <row r="2496" customFormat="false" ht="11.25" hidden="false" customHeight="true" outlineLevel="0" collapsed="false"/>
    <row r="2497" customFormat="false" ht="11.25" hidden="false" customHeight="true" outlineLevel="0" collapsed="false"/>
    <row r="2498" customFormat="false" ht="11.25" hidden="false" customHeight="true" outlineLevel="0" collapsed="false"/>
    <row r="2499" customFormat="false" ht="11.25" hidden="false" customHeight="true" outlineLevel="0" collapsed="false"/>
    <row r="2500" customFormat="false" ht="11.25" hidden="false" customHeight="true" outlineLevel="0" collapsed="false"/>
    <row r="2501" customFormat="false" ht="11.25" hidden="false" customHeight="true" outlineLevel="0" collapsed="false"/>
    <row r="2502" customFormat="false" ht="11.25" hidden="false" customHeight="true" outlineLevel="0" collapsed="false"/>
    <row r="2503" customFormat="false" ht="11.25" hidden="false" customHeight="true" outlineLevel="0" collapsed="false"/>
    <row r="2504" customFormat="false" ht="11.25" hidden="false" customHeight="true" outlineLevel="0" collapsed="false"/>
    <row r="2505" customFormat="false" ht="11.25" hidden="false" customHeight="true" outlineLevel="0" collapsed="false"/>
    <row r="2506" customFormat="false" ht="11.25" hidden="false" customHeight="true" outlineLevel="0" collapsed="false"/>
    <row r="2507" customFormat="false" ht="11.25" hidden="false" customHeight="true" outlineLevel="0" collapsed="false"/>
    <row r="2508" customFormat="false" ht="11.25" hidden="false" customHeight="true" outlineLevel="0" collapsed="false"/>
    <row r="2509" customFormat="false" ht="11.25" hidden="false" customHeight="true" outlineLevel="0" collapsed="false"/>
    <row r="2510" customFormat="false" ht="11.25" hidden="false" customHeight="true" outlineLevel="0" collapsed="false"/>
    <row r="2511" customFormat="false" ht="11.25" hidden="false" customHeight="true" outlineLevel="0" collapsed="false"/>
    <row r="2512" customFormat="false" ht="11.25" hidden="false" customHeight="true" outlineLevel="0" collapsed="false"/>
    <row r="2513" customFormat="false" ht="11.25" hidden="false" customHeight="true" outlineLevel="0" collapsed="false"/>
    <row r="2514" customFormat="false" ht="11.25" hidden="false" customHeight="true" outlineLevel="0" collapsed="false"/>
    <row r="2515" customFormat="false" ht="11.25" hidden="false" customHeight="true" outlineLevel="0" collapsed="false"/>
    <row r="2516" customFormat="false" ht="11.25" hidden="false" customHeight="true" outlineLevel="0" collapsed="false"/>
    <row r="2517" customFormat="false" ht="11.25" hidden="false" customHeight="true" outlineLevel="0" collapsed="false"/>
    <row r="2518" customFormat="false" ht="11.25" hidden="false" customHeight="true" outlineLevel="0" collapsed="false"/>
    <row r="2519" customFormat="false" ht="11.25" hidden="false" customHeight="true" outlineLevel="0" collapsed="false"/>
    <row r="2520" customFormat="false" ht="11.25" hidden="false" customHeight="true" outlineLevel="0" collapsed="false"/>
    <row r="2521" customFormat="false" ht="11.25" hidden="false" customHeight="true" outlineLevel="0" collapsed="false"/>
    <row r="2522" customFormat="false" ht="11.25" hidden="false" customHeight="true" outlineLevel="0" collapsed="false"/>
    <row r="2523" customFormat="false" ht="11.25" hidden="false" customHeight="true" outlineLevel="0" collapsed="false"/>
    <row r="2524" customFormat="false" ht="11.25" hidden="false" customHeight="true" outlineLevel="0" collapsed="false"/>
    <row r="2525" customFormat="false" ht="11.25" hidden="false" customHeight="true" outlineLevel="0" collapsed="false"/>
    <row r="2526" customFormat="false" ht="11.25" hidden="false" customHeight="true" outlineLevel="0" collapsed="false"/>
    <row r="2527" customFormat="false" ht="11.25" hidden="false" customHeight="true" outlineLevel="0" collapsed="false"/>
    <row r="2528" customFormat="false" ht="11.25" hidden="false" customHeight="true" outlineLevel="0" collapsed="false"/>
    <row r="2529" customFormat="false" ht="11.25" hidden="false" customHeight="true" outlineLevel="0" collapsed="false"/>
    <row r="2530" customFormat="false" ht="11.25" hidden="false" customHeight="true" outlineLevel="0" collapsed="false"/>
    <row r="2531" customFormat="false" ht="11.25" hidden="false" customHeight="true" outlineLevel="0" collapsed="false"/>
    <row r="2532" customFormat="false" ht="11.25" hidden="false" customHeight="true" outlineLevel="0" collapsed="false"/>
    <row r="2533" customFormat="false" ht="11.25" hidden="false" customHeight="true" outlineLevel="0" collapsed="false"/>
    <row r="2534" customFormat="false" ht="11.25" hidden="false" customHeight="true" outlineLevel="0" collapsed="false"/>
    <row r="2535" customFormat="false" ht="11.25" hidden="false" customHeight="true" outlineLevel="0" collapsed="false"/>
    <row r="2536" customFormat="false" ht="11.25" hidden="false" customHeight="true" outlineLevel="0" collapsed="false"/>
    <row r="2537" customFormat="false" ht="11.25" hidden="false" customHeight="true" outlineLevel="0" collapsed="false"/>
    <row r="2538" customFormat="false" ht="11.25" hidden="false" customHeight="true" outlineLevel="0" collapsed="false"/>
    <row r="2539" customFormat="false" ht="11.25" hidden="false" customHeight="true" outlineLevel="0" collapsed="false"/>
    <row r="2540" customFormat="false" ht="11.25" hidden="false" customHeight="true" outlineLevel="0" collapsed="false"/>
    <row r="2541" customFormat="false" ht="11.25" hidden="false" customHeight="true" outlineLevel="0" collapsed="false"/>
    <row r="2542" customFormat="false" ht="11.25" hidden="false" customHeight="true" outlineLevel="0" collapsed="false"/>
    <row r="2543" customFormat="false" ht="11.25" hidden="false" customHeight="true" outlineLevel="0" collapsed="false"/>
    <row r="2544" customFormat="false" ht="11.25" hidden="false" customHeight="true" outlineLevel="0" collapsed="false"/>
    <row r="2545" customFormat="false" ht="11.25" hidden="false" customHeight="true" outlineLevel="0" collapsed="false"/>
    <row r="2546" customFormat="false" ht="11.25" hidden="false" customHeight="true" outlineLevel="0" collapsed="false"/>
    <row r="2547" customFormat="false" ht="11.25" hidden="false" customHeight="true" outlineLevel="0" collapsed="false"/>
    <row r="2548" customFormat="false" ht="11.25" hidden="false" customHeight="true" outlineLevel="0" collapsed="false"/>
    <row r="2549" customFormat="false" ht="11.25" hidden="false" customHeight="true" outlineLevel="0" collapsed="false"/>
    <row r="2550" customFormat="false" ht="11.25" hidden="false" customHeight="true" outlineLevel="0" collapsed="false"/>
    <row r="2551" customFormat="false" ht="11.25" hidden="false" customHeight="true" outlineLevel="0" collapsed="false"/>
    <row r="2552" customFormat="false" ht="11.25" hidden="false" customHeight="true" outlineLevel="0" collapsed="false"/>
    <row r="2553" customFormat="false" ht="11.25" hidden="false" customHeight="true" outlineLevel="0" collapsed="false"/>
    <row r="2554" customFormat="false" ht="11.25" hidden="false" customHeight="true" outlineLevel="0" collapsed="false"/>
    <row r="2555" customFormat="false" ht="11.25" hidden="false" customHeight="true" outlineLevel="0" collapsed="false"/>
    <row r="2556" customFormat="false" ht="11.25" hidden="false" customHeight="true" outlineLevel="0" collapsed="false"/>
    <row r="2557" customFormat="false" ht="11.25" hidden="false" customHeight="true" outlineLevel="0" collapsed="false"/>
    <row r="2558" customFormat="false" ht="11.25" hidden="false" customHeight="true" outlineLevel="0" collapsed="false"/>
    <row r="2559" customFormat="false" ht="11.25" hidden="false" customHeight="true" outlineLevel="0" collapsed="false"/>
    <row r="2560" customFormat="false" ht="11.25" hidden="false" customHeight="true" outlineLevel="0" collapsed="false"/>
    <row r="2561" customFormat="false" ht="11.25" hidden="false" customHeight="true" outlineLevel="0" collapsed="false"/>
    <row r="2562" customFormat="false" ht="11.25" hidden="false" customHeight="true" outlineLevel="0" collapsed="false"/>
    <row r="2563" customFormat="false" ht="11.25" hidden="false" customHeight="true" outlineLevel="0" collapsed="false"/>
    <row r="2564" customFormat="false" ht="11.25" hidden="false" customHeight="true" outlineLevel="0" collapsed="false"/>
    <row r="2565" customFormat="false" ht="11.25" hidden="false" customHeight="true" outlineLevel="0" collapsed="false"/>
    <row r="2566" customFormat="false" ht="11.25" hidden="false" customHeight="true" outlineLevel="0" collapsed="false"/>
    <row r="2567" customFormat="false" ht="11.25" hidden="false" customHeight="true" outlineLevel="0" collapsed="false"/>
    <row r="2568" customFormat="false" ht="11.25" hidden="false" customHeight="true" outlineLevel="0" collapsed="false"/>
    <row r="2569" customFormat="false" ht="11.25" hidden="false" customHeight="true" outlineLevel="0" collapsed="false"/>
    <row r="2570" customFormat="false" ht="11.25" hidden="false" customHeight="true" outlineLevel="0" collapsed="false"/>
    <row r="2571" customFormat="false" ht="11.25" hidden="false" customHeight="true" outlineLevel="0" collapsed="false"/>
    <row r="2572" customFormat="false" ht="11.25" hidden="false" customHeight="true" outlineLevel="0" collapsed="false"/>
    <row r="2573" customFormat="false" ht="11.25" hidden="false" customHeight="true" outlineLevel="0" collapsed="false"/>
    <row r="2574" customFormat="false" ht="11.25" hidden="false" customHeight="true" outlineLevel="0" collapsed="false"/>
    <row r="2575" customFormat="false" ht="11.25" hidden="false" customHeight="true" outlineLevel="0" collapsed="false"/>
    <row r="2576" customFormat="false" ht="11.25" hidden="false" customHeight="true" outlineLevel="0" collapsed="false"/>
    <row r="2577" customFormat="false" ht="11.25" hidden="false" customHeight="true" outlineLevel="0" collapsed="false"/>
    <row r="2578" customFormat="false" ht="11.25" hidden="false" customHeight="true" outlineLevel="0" collapsed="false"/>
    <row r="2579" customFormat="false" ht="11.25" hidden="false" customHeight="true" outlineLevel="0" collapsed="false"/>
    <row r="2580" customFormat="false" ht="11.25" hidden="false" customHeight="true" outlineLevel="0" collapsed="false"/>
    <row r="2581" customFormat="false" ht="11.25" hidden="false" customHeight="true" outlineLevel="0" collapsed="false"/>
    <row r="2582" customFormat="false" ht="11.25" hidden="false" customHeight="true" outlineLevel="0" collapsed="false"/>
    <row r="2583" customFormat="false" ht="11.25" hidden="false" customHeight="true" outlineLevel="0" collapsed="false"/>
    <row r="2584" customFormat="false" ht="11.25" hidden="false" customHeight="true" outlineLevel="0" collapsed="false"/>
    <row r="2585" customFormat="false" ht="11.25" hidden="false" customHeight="true" outlineLevel="0" collapsed="false"/>
    <row r="2586" customFormat="false" ht="11.25" hidden="false" customHeight="true" outlineLevel="0" collapsed="false"/>
    <row r="2587" customFormat="false" ht="11.25" hidden="false" customHeight="true" outlineLevel="0" collapsed="false"/>
    <row r="2588" customFormat="false" ht="11.25" hidden="false" customHeight="true" outlineLevel="0" collapsed="false"/>
    <row r="2589" customFormat="false" ht="11.25" hidden="false" customHeight="true" outlineLevel="0" collapsed="false"/>
    <row r="2590" customFormat="false" ht="11.25" hidden="false" customHeight="true" outlineLevel="0" collapsed="false"/>
    <row r="2591" customFormat="false" ht="11.25" hidden="false" customHeight="true" outlineLevel="0" collapsed="false"/>
    <row r="2592" customFormat="false" ht="11.25" hidden="false" customHeight="true" outlineLevel="0" collapsed="false"/>
    <row r="2593" customFormat="false" ht="11.25" hidden="false" customHeight="true" outlineLevel="0" collapsed="false"/>
    <row r="2594" customFormat="false" ht="11.25" hidden="false" customHeight="true" outlineLevel="0" collapsed="false"/>
    <row r="2595" customFormat="false" ht="11.25" hidden="false" customHeight="true" outlineLevel="0" collapsed="false"/>
    <row r="2596" customFormat="false" ht="11.25" hidden="false" customHeight="true" outlineLevel="0" collapsed="false"/>
    <row r="2597" customFormat="false" ht="11.25" hidden="false" customHeight="true" outlineLevel="0" collapsed="false"/>
    <row r="2598" customFormat="false" ht="11.25" hidden="false" customHeight="true" outlineLevel="0" collapsed="false"/>
    <row r="2599" customFormat="false" ht="11.25" hidden="false" customHeight="true" outlineLevel="0" collapsed="false"/>
    <row r="2600" customFormat="false" ht="11.25" hidden="false" customHeight="true" outlineLevel="0" collapsed="false"/>
    <row r="2601" customFormat="false" ht="11.25" hidden="false" customHeight="true" outlineLevel="0" collapsed="false"/>
    <row r="2602" customFormat="false" ht="11.25" hidden="false" customHeight="true" outlineLevel="0" collapsed="false"/>
    <row r="2603" customFormat="false" ht="11.25" hidden="false" customHeight="true" outlineLevel="0" collapsed="false"/>
    <row r="2604" customFormat="false" ht="11.25" hidden="false" customHeight="true" outlineLevel="0" collapsed="false"/>
    <row r="2605" customFormat="false" ht="11.25" hidden="false" customHeight="true" outlineLevel="0" collapsed="false"/>
    <row r="2606" customFormat="false" ht="11.25" hidden="false" customHeight="true" outlineLevel="0" collapsed="false"/>
    <row r="2607" customFormat="false" ht="11.25" hidden="false" customHeight="true" outlineLevel="0" collapsed="false"/>
    <row r="2608" customFormat="false" ht="11.25" hidden="false" customHeight="true" outlineLevel="0" collapsed="false"/>
    <row r="2609" customFormat="false" ht="11.25" hidden="false" customHeight="true" outlineLevel="0" collapsed="false"/>
    <row r="2610" customFormat="false" ht="11.25" hidden="false" customHeight="true" outlineLevel="0" collapsed="false"/>
    <row r="2611" customFormat="false" ht="11.25" hidden="false" customHeight="true" outlineLevel="0" collapsed="false"/>
    <row r="2612" customFormat="false" ht="11.25" hidden="false" customHeight="true" outlineLevel="0" collapsed="false"/>
    <row r="2613" customFormat="false" ht="11.25" hidden="false" customHeight="true" outlineLevel="0" collapsed="false"/>
    <row r="2614" customFormat="false" ht="11.25" hidden="false" customHeight="true" outlineLevel="0" collapsed="false"/>
    <row r="2615" customFormat="false" ht="11.25" hidden="false" customHeight="true" outlineLevel="0" collapsed="false"/>
    <row r="2616" customFormat="false" ht="11.25" hidden="false" customHeight="true" outlineLevel="0" collapsed="false"/>
    <row r="2617" customFormat="false" ht="11.25" hidden="false" customHeight="true" outlineLevel="0" collapsed="false"/>
    <row r="2618" customFormat="false" ht="11.25" hidden="false" customHeight="true" outlineLevel="0" collapsed="false"/>
    <row r="2619" customFormat="false" ht="11.25" hidden="false" customHeight="true" outlineLevel="0" collapsed="false"/>
    <row r="2620" customFormat="false" ht="11.25" hidden="false" customHeight="true" outlineLevel="0" collapsed="false"/>
    <row r="2621" customFormat="false" ht="11.25" hidden="false" customHeight="true" outlineLevel="0" collapsed="false"/>
    <row r="2622" customFormat="false" ht="11.25" hidden="false" customHeight="true" outlineLevel="0" collapsed="false"/>
    <row r="2623" customFormat="false" ht="11.25" hidden="false" customHeight="true" outlineLevel="0" collapsed="false"/>
    <row r="2624" customFormat="false" ht="11.25" hidden="false" customHeight="true" outlineLevel="0" collapsed="false"/>
    <row r="2625" customFormat="false" ht="11.25" hidden="false" customHeight="true" outlineLevel="0" collapsed="false"/>
    <row r="2626" customFormat="false" ht="11.25" hidden="false" customHeight="true" outlineLevel="0" collapsed="false"/>
    <row r="2627" customFormat="false" ht="11.25" hidden="false" customHeight="true" outlineLevel="0" collapsed="false"/>
    <row r="2628" customFormat="false" ht="11.25" hidden="false" customHeight="true" outlineLevel="0" collapsed="false"/>
    <row r="2629" customFormat="false" ht="11.25" hidden="false" customHeight="true" outlineLevel="0" collapsed="false"/>
    <row r="2630" customFormat="false" ht="11.25" hidden="false" customHeight="true" outlineLevel="0" collapsed="false"/>
    <row r="2631" customFormat="false" ht="11.25" hidden="false" customHeight="true" outlineLevel="0" collapsed="false"/>
    <row r="2632" customFormat="false" ht="11.25" hidden="false" customHeight="true" outlineLevel="0" collapsed="false"/>
    <row r="2633" customFormat="false" ht="11.25" hidden="false" customHeight="true" outlineLevel="0" collapsed="false"/>
    <row r="2634" customFormat="false" ht="11.25" hidden="false" customHeight="true" outlineLevel="0" collapsed="false"/>
    <row r="2635" customFormat="false" ht="11.25" hidden="false" customHeight="true" outlineLevel="0" collapsed="false"/>
    <row r="2636" customFormat="false" ht="11.25" hidden="false" customHeight="true" outlineLevel="0" collapsed="false"/>
    <row r="2637" customFormat="false" ht="11.25" hidden="false" customHeight="true" outlineLevel="0" collapsed="false"/>
    <row r="2638" customFormat="false" ht="11.25" hidden="false" customHeight="true" outlineLevel="0" collapsed="false"/>
    <row r="2639" customFormat="false" ht="11.25" hidden="false" customHeight="true" outlineLevel="0" collapsed="false"/>
    <row r="2640" customFormat="false" ht="11.25" hidden="false" customHeight="true" outlineLevel="0" collapsed="false"/>
    <row r="2641" customFormat="false" ht="11.25" hidden="false" customHeight="true" outlineLevel="0" collapsed="false"/>
    <row r="2642" customFormat="false" ht="11.25" hidden="false" customHeight="true" outlineLevel="0" collapsed="false"/>
    <row r="2643" customFormat="false" ht="11.25" hidden="false" customHeight="true" outlineLevel="0" collapsed="false"/>
    <row r="2644" customFormat="false" ht="11.25" hidden="false" customHeight="true" outlineLevel="0" collapsed="false"/>
    <row r="2645" customFormat="false" ht="11.25" hidden="false" customHeight="true" outlineLevel="0" collapsed="false"/>
    <row r="2646" customFormat="false" ht="11.25" hidden="false" customHeight="true" outlineLevel="0" collapsed="false"/>
    <row r="2647" customFormat="false" ht="11.25" hidden="false" customHeight="true" outlineLevel="0" collapsed="false"/>
    <row r="2648" customFormat="false" ht="11.25" hidden="false" customHeight="true" outlineLevel="0" collapsed="false"/>
    <row r="2649" customFormat="false" ht="11.25" hidden="false" customHeight="true" outlineLevel="0" collapsed="false"/>
    <row r="2650" customFormat="false" ht="11.25" hidden="false" customHeight="true" outlineLevel="0" collapsed="false"/>
    <row r="2651" customFormat="false" ht="11.25" hidden="false" customHeight="true" outlineLevel="0" collapsed="false"/>
    <row r="2652" customFormat="false" ht="11.25" hidden="false" customHeight="true" outlineLevel="0" collapsed="false"/>
    <row r="2653" customFormat="false" ht="11.25" hidden="false" customHeight="true" outlineLevel="0" collapsed="false"/>
    <row r="2654" customFormat="false" ht="11.25" hidden="false" customHeight="true" outlineLevel="0" collapsed="false"/>
    <row r="2655" customFormat="false" ht="11.25" hidden="false" customHeight="true" outlineLevel="0" collapsed="false"/>
    <row r="2656" customFormat="false" ht="11.25" hidden="false" customHeight="true" outlineLevel="0" collapsed="false"/>
    <row r="2657" customFormat="false" ht="11.25" hidden="false" customHeight="true" outlineLevel="0" collapsed="false"/>
    <row r="2658" customFormat="false" ht="11.25" hidden="false" customHeight="true" outlineLevel="0" collapsed="false"/>
    <row r="2659" customFormat="false" ht="11.25" hidden="false" customHeight="true" outlineLevel="0" collapsed="false"/>
    <row r="2660" customFormat="false" ht="11.25" hidden="false" customHeight="true" outlineLevel="0" collapsed="false"/>
    <row r="2661" customFormat="false" ht="11.25" hidden="false" customHeight="true" outlineLevel="0" collapsed="false"/>
    <row r="2662" customFormat="false" ht="11.25" hidden="false" customHeight="true" outlineLevel="0" collapsed="false"/>
    <row r="2663" customFormat="false" ht="11.25" hidden="false" customHeight="true" outlineLevel="0" collapsed="false"/>
    <row r="2664" customFormat="false" ht="11.25" hidden="false" customHeight="true" outlineLevel="0" collapsed="false"/>
    <row r="2665" customFormat="false" ht="11.25" hidden="false" customHeight="true" outlineLevel="0" collapsed="false"/>
    <row r="2666" customFormat="false" ht="11.25" hidden="false" customHeight="true" outlineLevel="0" collapsed="false"/>
    <row r="2667" customFormat="false" ht="11.25" hidden="false" customHeight="true" outlineLevel="0" collapsed="false"/>
    <row r="2668" customFormat="false" ht="11.25" hidden="false" customHeight="true" outlineLevel="0" collapsed="false"/>
    <row r="2669" customFormat="false" ht="11.25" hidden="false" customHeight="true" outlineLevel="0" collapsed="false"/>
    <row r="2670" customFormat="false" ht="11.25" hidden="false" customHeight="true" outlineLevel="0" collapsed="false"/>
    <row r="2671" customFormat="false" ht="11.25" hidden="false" customHeight="true" outlineLevel="0" collapsed="false"/>
    <row r="2672" customFormat="false" ht="11.25" hidden="false" customHeight="true" outlineLevel="0" collapsed="false"/>
    <row r="2673" customFormat="false" ht="11.25" hidden="false" customHeight="true" outlineLevel="0" collapsed="false"/>
    <row r="2674" customFormat="false" ht="11.25" hidden="false" customHeight="true" outlineLevel="0" collapsed="false"/>
    <row r="2675" customFormat="false" ht="11.25" hidden="false" customHeight="true" outlineLevel="0" collapsed="false"/>
    <row r="2676" customFormat="false" ht="11.25" hidden="false" customHeight="true" outlineLevel="0" collapsed="false"/>
    <row r="2677" customFormat="false" ht="11.25" hidden="false" customHeight="true" outlineLevel="0" collapsed="false"/>
    <row r="2678" customFormat="false" ht="11.25" hidden="false" customHeight="true" outlineLevel="0" collapsed="false"/>
    <row r="2679" customFormat="false" ht="11.25" hidden="false" customHeight="true" outlineLevel="0" collapsed="false"/>
    <row r="2680" customFormat="false" ht="11.25" hidden="false" customHeight="true" outlineLevel="0" collapsed="false"/>
    <row r="2681" customFormat="false" ht="11.25" hidden="false" customHeight="true" outlineLevel="0" collapsed="false"/>
    <row r="2682" customFormat="false" ht="11.25" hidden="false" customHeight="true" outlineLevel="0" collapsed="false"/>
    <row r="2683" customFormat="false" ht="11.25" hidden="false" customHeight="true" outlineLevel="0" collapsed="false"/>
    <row r="2684" customFormat="false" ht="11.25" hidden="false" customHeight="true" outlineLevel="0" collapsed="false"/>
    <row r="2685" customFormat="false" ht="11.25" hidden="false" customHeight="true" outlineLevel="0" collapsed="false"/>
    <row r="2686" customFormat="false" ht="11.25" hidden="false" customHeight="true" outlineLevel="0" collapsed="false"/>
    <row r="2687" customFormat="false" ht="11.25" hidden="false" customHeight="true" outlineLevel="0" collapsed="false"/>
    <row r="2688" customFormat="false" ht="11.25" hidden="false" customHeight="true" outlineLevel="0" collapsed="false"/>
    <row r="2689" customFormat="false" ht="11.25" hidden="false" customHeight="true" outlineLevel="0" collapsed="false"/>
    <row r="2690" customFormat="false" ht="11.25" hidden="false" customHeight="true" outlineLevel="0" collapsed="false"/>
    <row r="2691" customFormat="false" ht="11.25" hidden="false" customHeight="true" outlineLevel="0" collapsed="false"/>
    <row r="2692" customFormat="false" ht="11.25" hidden="false" customHeight="true" outlineLevel="0" collapsed="false"/>
    <row r="2693" customFormat="false" ht="11.25" hidden="false" customHeight="true" outlineLevel="0" collapsed="false"/>
    <row r="2694" customFormat="false" ht="11.25" hidden="false" customHeight="true" outlineLevel="0" collapsed="false"/>
    <row r="2695" customFormat="false" ht="11.25" hidden="false" customHeight="true" outlineLevel="0" collapsed="false"/>
    <row r="2696" customFormat="false" ht="11.25" hidden="false" customHeight="true" outlineLevel="0" collapsed="false"/>
    <row r="2697" customFormat="false" ht="11.25" hidden="false" customHeight="true" outlineLevel="0" collapsed="false"/>
    <row r="2698" customFormat="false" ht="11.25" hidden="false" customHeight="true" outlineLevel="0" collapsed="false"/>
    <row r="2699" customFormat="false" ht="11.25" hidden="false" customHeight="true" outlineLevel="0" collapsed="false"/>
    <row r="2700" customFormat="false" ht="11.25" hidden="false" customHeight="true" outlineLevel="0" collapsed="false"/>
    <row r="2701" customFormat="false" ht="11.25" hidden="false" customHeight="true" outlineLevel="0" collapsed="false"/>
    <row r="2702" customFormat="false" ht="11.25" hidden="false" customHeight="true" outlineLevel="0" collapsed="false"/>
    <row r="2703" customFormat="false" ht="11.25" hidden="false" customHeight="true" outlineLevel="0" collapsed="false"/>
    <row r="2704" customFormat="false" ht="11.25" hidden="false" customHeight="true" outlineLevel="0" collapsed="false"/>
    <row r="2705" customFormat="false" ht="11.25" hidden="false" customHeight="true" outlineLevel="0" collapsed="false"/>
    <row r="2706" customFormat="false" ht="11.25" hidden="false" customHeight="true" outlineLevel="0" collapsed="false"/>
    <row r="2707" customFormat="false" ht="11.25" hidden="false" customHeight="true" outlineLevel="0" collapsed="false"/>
    <row r="2708" customFormat="false" ht="11.25" hidden="false" customHeight="true" outlineLevel="0" collapsed="false"/>
    <row r="2709" customFormat="false" ht="11.25" hidden="false" customHeight="true" outlineLevel="0" collapsed="false"/>
    <row r="2710" customFormat="false" ht="11.25" hidden="false" customHeight="true" outlineLevel="0" collapsed="false"/>
    <row r="2711" customFormat="false" ht="11.25" hidden="false" customHeight="true" outlineLevel="0" collapsed="false"/>
    <row r="2712" customFormat="false" ht="11.25" hidden="false" customHeight="true" outlineLevel="0" collapsed="false"/>
    <row r="2713" customFormat="false" ht="11.25" hidden="false" customHeight="true" outlineLevel="0" collapsed="false"/>
    <row r="2714" customFormat="false" ht="11.25" hidden="false" customHeight="true" outlineLevel="0" collapsed="false"/>
    <row r="2715" customFormat="false" ht="11.25" hidden="false" customHeight="true" outlineLevel="0" collapsed="false"/>
    <row r="2716" customFormat="false" ht="11.25" hidden="false" customHeight="true" outlineLevel="0" collapsed="false"/>
    <row r="2717" customFormat="false" ht="11.25" hidden="false" customHeight="true" outlineLevel="0" collapsed="false"/>
    <row r="2718" customFormat="false" ht="11.25" hidden="false" customHeight="true" outlineLevel="0" collapsed="false"/>
    <row r="2719" customFormat="false" ht="11.25" hidden="false" customHeight="true" outlineLevel="0" collapsed="false"/>
    <row r="2720" customFormat="false" ht="11.25" hidden="false" customHeight="true" outlineLevel="0" collapsed="false"/>
    <row r="2721" customFormat="false" ht="11.25" hidden="false" customHeight="true" outlineLevel="0" collapsed="false"/>
    <row r="2722" customFormat="false" ht="11.25" hidden="false" customHeight="true" outlineLevel="0" collapsed="false"/>
    <row r="2723" customFormat="false" ht="11.25" hidden="false" customHeight="true" outlineLevel="0" collapsed="false"/>
    <row r="2724" customFormat="false" ht="11.25" hidden="false" customHeight="true" outlineLevel="0" collapsed="false"/>
    <row r="2725" customFormat="false" ht="11.25" hidden="false" customHeight="true" outlineLevel="0" collapsed="false"/>
    <row r="2726" customFormat="false" ht="11.25" hidden="false" customHeight="true" outlineLevel="0" collapsed="false"/>
    <row r="2727" customFormat="false" ht="11.25" hidden="false" customHeight="true" outlineLevel="0" collapsed="false"/>
    <row r="2728" customFormat="false" ht="11.25" hidden="false" customHeight="true" outlineLevel="0" collapsed="false"/>
    <row r="2729" customFormat="false" ht="11.25" hidden="false" customHeight="true" outlineLevel="0" collapsed="false"/>
    <row r="2730" customFormat="false" ht="11.25" hidden="false" customHeight="true" outlineLevel="0" collapsed="false"/>
    <row r="2731" customFormat="false" ht="11.25" hidden="false" customHeight="true" outlineLevel="0" collapsed="false"/>
    <row r="2732" customFormat="false" ht="11.25" hidden="false" customHeight="true" outlineLevel="0" collapsed="false"/>
    <row r="2733" customFormat="false" ht="11.25" hidden="false" customHeight="true" outlineLevel="0" collapsed="false"/>
    <row r="2734" customFormat="false" ht="11.25" hidden="false" customHeight="true" outlineLevel="0" collapsed="false"/>
    <row r="2735" customFormat="false" ht="11.25" hidden="false" customHeight="true" outlineLevel="0" collapsed="false"/>
    <row r="2736" customFormat="false" ht="11.25" hidden="false" customHeight="true" outlineLevel="0" collapsed="false"/>
    <row r="2737" customFormat="false" ht="11.25" hidden="false" customHeight="true" outlineLevel="0" collapsed="false"/>
    <row r="2738" customFormat="false" ht="11.25" hidden="false" customHeight="true" outlineLevel="0" collapsed="false"/>
    <row r="2739" customFormat="false" ht="11.25" hidden="false" customHeight="true" outlineLevel="0" collapsed="false"/>
    <row r="2740" customFormat="false" ht="11.25" hidden="false" customHeight="true" outlineLevel="0" collapsed="false"/>
    <row r="2741" customFormat="false" ht="11.25" hidden="false" customHeight="true" outlineLevel="0" collapsed="false"/>
    <row r="2742" customFormat="false" ht="11.25" hidden="false" customHeight="true" outlineLevel="0" collapsed="false"/>
    <row r="2743" customFormat="false" ht="11.25" hidden="false" customHeight="true" outlineLevel="0" collapsed="false"/>
    <row r="2744" customFormat="false" ht="11.25" hidden="false" customHeight="true" outlineLevel="0" collapsed="false"/>
    <row r="2745" customFormat="false" ht="11.25" hidden="false" customHeight="true" outlineLevel="0" collapsed="false"/>
    <row r="2746" customFormat="false" ht="11.25" hidden="false" customHeight="true" outlineLevel="0" collapsed="false"/>
    <row r="2747" customFormat="false" ht="11.25" hidden="false" customHeight="true" outlineLevel="0" collapsed="false"/>
    <row r="2748" customFormat="false" ht="11.25" hidden="false" customHeight="true" outlineLevel="0" collapsed="false"/>
    <row r="2749" customFormat="false" ht="11.25" hidden="false" customHeight="true" outlineLevel="0" collapsed="false"/>
    <row r="2750" customFormat="false" ht="11.25" hidden="false" customHeight="true" outlineLevel="0" collapsed="false"/>
    <row r="2751" customFormat="false" ht="11.25" hidden="false" customHeight="true" outlineLevel="0" collapsed="false"/>
    <row r="2752" customFormat="false" ht="11.25" hidden="false" customHeight="true" outlineLevel="0" collapsed="false"/>
    <row r="2753" customFormat="false" ht="11.25" hidden="false" customHeight="true" outlineLevel="0" collapsed="false"/>
    <row r="2754" customFormat="false" ht="11.25" hidden="false" customHeight="true" outlineLevel="0" collapsed="false"/>
    <row r="2755" customFormat="false" ht="11.25" hidden="false" customHeight="true" outlineLevel="0" collapsed="false"/>
    <row r="2756" customFormat="false" ht="11.25" hidden="false" customHeight="true" outlineLevel="0" collapsed="false"/>
    <row r="2757" customFormat="false" ht="11.25" hidden="false" customHeight="true" outlineLevel="0" collapsed="false"/>
    <row r="2758" customFormat="false" ht="11.25" hidden="false" customHeight="true" outlineLevel="0" collapsed="false"/>
    <row r="2759" customFormat="false" ht="11.25" hidden="false" customHeight="true" outlineLevel="0" collapsed="false"/>
    <row r="2760" customFormat="false" ht="11.25" hidden="false" customHeight="true" outlineLevel="0" collapsed="false"/>
    <row r="2761" customFormat="false" ht="11.25" hidden="false" customHeight="true" outlineLevel="0" collapsed="false"/>
    <row r="2762" customFormat="false" ht="11.25" hidden="false" customHeight="true" outlineLevel="0" collapsed="false"/>
    <row r="2763" customFormat="false" ht="11.25" hidden="false" customHeight="true" outlineLevel="0" collapsed="false"/>
    <row r="2764" customFormat="false" ht="11.25" hidden="false" customHeight="true" outlineLevel="0" collapsed="false"/>
    <row r="2765" customFormat="false" ht="11.25" hidden="false" customHeight="true" outlineLevel="0" collapsed="false"/>
    <row r="2766" customFormat="false" ht="11.25" hidden="false" customHeight="true" outlineLevel="0" collapsed="false"/>
    <row r="2767" customFormat="false" ht="11.25" hidden="false" customHeight="true" outlineLevel="0" collapsed="false"/>
    <row r="2768" customFormat="false" ht="11.25" hidden="false" customHeight="true" outlineLevel="0" collapsed="false"/>
    <row r="2769" customFormat="false" ht="11.25" hidden="false" customHeight="true" outlineLevel="0" collapsed="false"/>
    <row r="2770" customFormat="false" ht="11.25" hidden="false" customHeight="true" outlineLevel="0" collapsed="false"/>
    <row r="2771" customFormat="false" ht="11.25" hidden="false" customHeight="true" outlineLevel="0" collapsed="false"/>
    <row r="2772" customFormat="false" ht="11.25" hidden="false" customHeight="true" outlineLevel="0" collapsed="false"/>
    <row r="2773" customFormat="false" ht="11.25" hidden="false" customHeight="true" outlineLevel="0" collapsed="false"/>
    <row r="2774" customFormat="false" ht="11.25" hidden="false" customHeight="true" outlineLevel="0" collapsed="false"/>
    <row r="2775" customFormat="false" ht="11.25" hidden="false" customHeight="true" outlineLevel="0" collapsed="false"/>
    <row r="2776" customFormat="false" ht="11.25" hidden="false" customHeight="true" outlineLevel="0" collapsed="false"/>
    <row r="2777" customFormat="false" ht="11.25" hidden="false" customHeight="true" outlineLevel="0" collapsed="false"/>
    <row r="2778" customFormat="false" ht="11.25" hidden="false" customHeight="true" outlineLevel="0" collapsed="false"/>
    <row r="2779" customFormat="false" ht="11.25" hidden="false" customHeight="true" outlineLevel="0" collapsed="false"/>
    <row r="2780" customFormat="false" ht="11.25" hidden="false" customHeight="true" outlineLevel="0" collapsed="false"/>
    <row r="2781" customFormat="false" ht="11.25" hidden="false" customHeight="true" outlineLevel="0" collapsed="false"/>
    <row r="2782" customFormat="false" ht="11.25" hidden="false" customHeight="true" outlineLevel="0" collapsed="false"/>
    <row r="2783" customFormat="false" ht="11.25" hidden="false" customHeight="true" outlineLevel="0" collapsed="false"/>
    <row r="2784" customFormat="false" ht="11.25" hidden="false" customHeight="true" outlineLevel="0" collapsed="false"/>
    <row r="2785" customFormat="false" ht="11.25" hidden="false" customHeight="true" outlineLevel="0" collapsed="false"/>
    <row r="2786" customFormat="false" ht="11.25" hidden="false" customHeight="true" outlineLevel="0" collapsed="false"/>
    <row r="2787" customFormat="false" ht="11.25" hidden="false" customHeight="true" outlineLevel="0" collapsed="false"/>
    <row r="2788" customFormat="false" ht="11.25" hidden="false" customHeight="true" outlineLevel="0" collapsed="false"/>
    <row r="2789" customFormat="false" ht="11.25" hidden="false" customHeight="true" outlineLevel="0" collapsed="false"/>
    <row r="2790" customFormat="false" ht="11.25" hidden="false" customHeight="true" outlineLevel="0" collapsed="false"/>
    <row r="2791" customFormat="false" ht="11.25" hidden="false" customHeight="true" outlineLevel="0" collapsed="false"/>
    <row r="2792" customFormat="false" ht="11.25" hidden="false" customHeight="true" outlineLevel="0" collapsed="false"/>
    <row r="2793" customFormat="false" ht="11.25" hidden="false" customHeight="true" outlineLevel="0" collapsed="false"/>
    <row r="2794" customFormat="false" ht="11.25" hidden="false" customHeight="true" outlineLevel="0" collapsed="false"/>
    <row r="2795" customFormat="false" ht="11.25" hidden="false" customHeight="true" outlineLevel="0" collapsed="false"/>
    <row r="2796" customFormat="false" ht="11.25" hidden="false" customHeight="true" outlineLevel="0" collapsed="false"/>
    <row r="2797" customFormat="false" ht="11.25" hidden="false" customHeight="true" outlineLevel="0" collapsed="false"/>
    <row r="2798" customFormat="false" ht="11.25" hidden="false" customHeight="true" outlineLevel="0" collapsed="false"/>
    <row r="2799" customFormat="false" ht="11.25" hidden="false" customHeight="true" outlineLevel="0" collapsed="false"/>
    <row r="2800" customFormat="false" ht="11.25" hidden="false" customHeight="true" outlineLevel="0" collapsed="false"/>
    <row r="2801" customFormat="false" ht="11.25" hidden="false" customHeight="true" outlineLevel="0" collapsed="false"/>
    <row r="2802" customFormat="false" ht="11.25" hidden="false" customHeight="true" outlineLevel="0" collapsed="false"/>
    <row r="2803" customFormat="false" ht="11.25" hidden="false" customHeight="true" outlineLevel="0" collapsed="false"/>
    <row r="2804" customFormat="false" ht="11.25" hidden="false" customHeight="true" outlineLevel="0" collapsed="false"/>
    <row r="2805" customFormat="false" ht="11.25" hidden="false" customHeight="true" outlineLevel="0" collapsed="false"/>
    <row r="2806" customFormat="false" ht="11.25" hidden="false" customHeight="true" outlineLevel="0" collapsed="false"/>
    <row r="2807" customFormat="false" ht="11.25" hidden="false" customHeight="true" outlineLevel="0" collapsed="false"/>
    <row r="2808" customFormat="false" ht="11.25" hidden="false" customHeight="true" outlineLevel="0" collapsed="false"/>
    <row r="2809" customFormat="false" ht="11.25" hidden="false" customHeight="true" outlineLevel="0" collapsed="false"/>
    <row r="2810" customFormat="false" ht="11.25" hidden="false" customHeight="true" outlineLevel="0" collapsed="false"/>
    <row r="2811" customFormat="false" ht="11.25" hidden="false" customHeight="true" outlineLevel="0" collapsed="false"/>
    <row r="2812" customFormat="false" ht="11.25" hidden="false" customHeight="true" outlineLevel="0" collapsed="false"/>
    <row r="2813" customFormat="false" ht="11.25" hidden="false" customHeight="true" outlineLevel="0" collapsed="false"/>
    <row r="2814" customFormat="false" ht="11.25" hidden="false" customHeight="true" outlineLevel="0" collapsed="false"/>
    <row r="2815" customFormat="false" ht="11.25" hidden="false" customHeight="true" outlineLevel="0" collapsed="false"/>
    <row r="2816" customFormat="false" ht="11.25" hidden="false" customHeight="true" outlineLevel="0" collapsed="false"/>
    <row r="2817" customFormat="false" ht="11.25" hidden="false" customHeight="true" outlineLevel="0" collapsed="false"/>
    <row r="2818" customFormat="false" ht="11.25" hidden="false" customHeight="true" outlineLevel="0" collapsed="false"/>
    <row r="2819" customFormat="false" ht="11.25" hidden="false" customHeight="true" outlineLevel="0" collapsed="false"/>
    <row r="2820" customFormat="false" ht="11.25" hidden="false" customHeight="true" outlineLevel="0" collapsed="false"/>
    <row r="2821" customFormat="false" ht="11.25" hidden="false" customHeight="true" outlineLevel="0" collapsed="false"/>
    <row r="2822" customFormat="false" ht="11.25" hidden="false" customHeight="true" outlineLevel="0" collapsed="false"/>
    <row r="2823" customFormat="false" ht="11.25" hidden="false" customHeight="true" outlineLevel="0" collapsed="false"/>
    <row r="2824" customFormat="false" ht="11.25" hidden="false" customHeight="true" outlineLevel="0" collapsed="false"/>
    <row r="2825" customFormat="false" ht="11.25" hidden="false" customHeight="true" outlineLevel="0" collapsed="false"/>
    <row r="2826" customFormat="false" ht="11.25" hidden="false" customHeight="true" outlineLevel="0" collapsed="false"/>
    <row r="2827" customFormat="false" ht="11.25" hidden="false" customHeight="true" outlineLevel="0" collapsed="false"/>
    <row r="2828" customFormat="false" ht="11.25" hidden="false" customHeight="true" outlineLevel="0" collapsed="false"/>
    <row r="2829" customFormat="false" ht="11.25" hidden="false" customHeight="true" outlineLevel="0" collapsed="false"/>
    <row r="2830" customFormat="false" ht="11.25" hidden="false" customHeight="true" outlineLevel="0" collapsed="false"/>
    <row r="2831" customFormat="false" ht="11.25" hidden="false" customHeight="true" outlineLevel="0" collapsed="false"/>
    <row r="2832" customFormat="false" ht="11.25" hidden="false" customHeight="true" outlineLevel="0" collapsed="false"/>
    <row r="2833" customFormat="false" ht="11.25" hidden="false" customHeight="true" outlineLevel="0" collapsed="false"/>
    <row r="2834" customFormat="false" ht="11.25" hidden="false" customHeight="true" outlineLevel="0" collapsed="false"/>
    <row r="2835" customFormat="false" ht="11.25" hidden="false" customHeight="true" outlineLevel="0" collapsed="false"/>
    <row r="2836" customFormat="false" ht="11.25" hidden="false" customHeight="true" outlineLevel="0" collapsed="false"/>
    <row r="2837" customFormat="false" ht="11.25" hidden="false" customHeight="true" outlineLevel="0" collapsed="false"/>
    <row r="2838" customFormat="false" ht="11.25" hidden="false" customHeight="true" outlineLevel="0" collapsed="false"/>
    <row r="2839" customFormat="false" ht="11.25" hidden="false" customHeight="true" outlineLevel="0" collapsed="false"/>
    <row r="2840" customFormat="false" ht="11.25" hidden="false" customHeight="true" outlineLevel="0" collapsed="false"/>
    <row r="2841" customFormat="false" ht="11.25" hidden="false" customHeight="true" outlineLevel="0" collapsed="false"/>
    <row r="2842" customFormat="false" ht="11.25" hidden="false" customHeight="true" outlineLevel="0" collapsed="false"/>
    <row r="2843" customFormat="false" ht="11.25" hidden="false" customHeight="true" outlineLevel="0" collapsed="false"/>
    <row r="2844" customFormat="false" ht="11.25" hidden="false" customHeight="true" outlineLevel="0" collapsed="false"/>
    <row r="2845" customFormat="false" ht="11.25" hidden="false" customHeight="true" outlineLevel="0" collapsed="false"/>
    <row r="2846" customFormat="false" ht="11.25" hidden="false" customHeight="true" outlineLevel="0" collapsed="false"/>
    <row r="2847" customFormat="false" ht="11.25" hidden="false" customHeight="true" outlineLevel="0" collapsed="false"/>
    <row r="2848" customFormat="false" ht="11.25" hidden="false" customHeight="true" outlineLevel="0" collapsed="false"/>
    <row r="2849" customFormat="false" ht="11.25" hidden="false" customHeight="true" outlineLevel="0" collapsed="false"/>
    <row r="2850" customFormat="false" ht="11.25" hidden="false" customHeight="true" outlineLevel="0" collapsed="false"/>
    <row r="2851" customFormat="false" ht="11.25" hidden="false" customHeight="true" outlineLevel="0" collapsed="false"/>
    <row r="2852" customFormat="false" ht="11.25" hidden="false" customHeight="true" outlineLevel="0" collapsed="false"/>
    <row r="2853" customFormat="false" ht="11.25" hidden="false" customHeight="true" outlineLevel="0" collapsed="false"/>
    <row r="2854" customFormat="false" ht="11.25" hidden="false" customHeight="true" outlineLevel="0" collapsed="false"/>
    <row r="2855" customFormat="false" ht="11.25" hidden="false" customHeight="true" outlineLevel="0" collapsed="false"/>
    <row r="2856" customFormat="false" ht="11.25" hidden="false" customHeight="true" outlineLevel="0" collapsed="false"/>
    <row r="2857" customFormat="false" ht="11.25" hidden="false" customHeight="true" outlineLevel="0" collapsed="false"/>
    <row r="2858" customFormat="false" ht="11.25" hidden="false" customHeight="true" outlineLevel="0" collapsed="false"/>
    <row r="2859" customFormat="false" ht="11.25" hidden="false" customHeight="true" outlineLevel="0" collapsed="false"/>
    <row r="2860" customFormat="false" ht="11.25" hidden="false" customHeight="true" outlineLevel="0" collapsed="false"/>
    <row r="2861" customFormat="false" ht="11.25" hidden="false" customHeight="true" outlineLevel="0" collapsed="false"/>
    <row r="2862" customFormat="false" ht="11.25" hidden="false" customHeight="true" outlineLevel="0" collapsed="false"/>
    <row r="2863" customFormat="false" ht="11.25" hidden="false" customHeight="true" outlineLevel="0" collapsed="false"/>
    <row r="2864" customFormat="false" ht="11.25" hidden="false" customHeight="true" outlineLevel="0" collapsed="false"/>
    <row r="2865" customFormat="false" ht="11.25" hidden="false" customHeight="true" outlineLevel="0" collapsed="false"/>
    <row r="2866" customFormat="false" ht="11.25" hidden="false" customHeight="true" outlineLevel="0" collapsed="false"/>
    <row r="2867" customFormat="false" ht="11.25" hidden="false" customHeight="true" outlineLevel="0" collapsed="false"/>
    <row r="2868" customFormat="false" ht="11.25" hidden="false" customHeight="true" outlineLevel="0" collapsed="false"/>
    <row r="2869" customFormat="false" ht="11.25" hidden="false" customHeight="true" outlineLevel="0" collapsed="false"/>
    <row r="2870" customFormat="false" ht="11.25" hidden="false" customHeight="true" outlineLevel="0" collapsed="false"/>
    <row r="2871" customFormat="false" ht="11.25" hidden="false" customHeight="true" outlineLevel="0" collapsed="false"/>
    <row r="2872" customFormat="false" ht="11.25" hidden="false" customHeight="true" outlineLevel="0" collapsed="false"/>
    <row r="2873" customFormat="false" ht="11.25" hidden="false" customHeight="true" outlineLevel="0" collapsed="false"/>
    <row r="2874" customFormat="false" ht="11.25" hidden="false" customHeight="true" outlineLevel="0" collapsed="false"/>
    <row r="2875" customFormat="false" ht="11.25" hidden="false" customHeight="true" outlineLevel="0" collapsed="false"/>
    <row r="2876" customFormat="false" ht="11.25" hidden="false" customHeight="true" outlineLevel="0" collapsed="false"/>
    <row r="2877" customFormat="false" ht="11.25" hidden="false" customHeight="true" outlineLevel="0" collapsed="false"/>
    <row r="2878" customFormat="false" ht="11.25" hidden="false" customHeight="true" outlineLevel="0" collapsed="false"/>
    <row r="2879" customFormat="false" ht="11.25" hidden="false" customHeight="true" outlineLevel="0" collapsed="false"/>
    <row r="2880" customFormat="false" ht="11.25" hidden="false" customHeight="true" outlineLevel="0" collapsed="false"/>
    <row r="2881" customFormat="false" ht="11.25" hidden="false" customHeight="true" outlineLevel="0" collapsed="false"/>
    <row r="2882" customFormat="false" ht="11.25" hidden="false" customHeight="true" outlineLevel="0" collapsed="false"/>
    <row r="2883" customFormat="false" ht="11.25" hidden="false" customHeight="true" outlineLevel="0" collapsed="false"/>
    <row r="2884" customFormat="false" ht="11.25" hidden="false" customHeight="true" outlineLevel="0" collapsed="false"/>
    <row r="2885" customFormat="false" ht="11.25" hidden="false" customHeight="true" outlineLevel="0" collapsed="false"/>
    <row r="2886" customFormat="false" ht="11.25" hidden="false" customHeight="true" outlineLevel="0" collapsed="false"/>
    <row r="2887" customFormat="false" ht="11.25" hidden="false" customHeight="true" outlineLevel="0" collapsed="false"/>
    <row r="2888" customFormat="false" ht="11.25" hidden="false" customHeight="true" outlineLevel="0" collapsed="false"/>
    <row r="2889" customFormat="false" ht="11.25" hidden="false" customHeight="true" outlineLevel="0" collapsed="false"/>
    <row r="2890" customFormat="false" ht="11.25" hidden="false" customHeight="true" outlineLevel="0" collapsed="false"/>
    <row r="2891" customFormat="false" ht="11.25" hidden="false" customHeight="true" outlineLevel="0" collapsed="false"/>
    <row r="2892" customFormat="false" ht="11.25" hidden="false" customHeight="true" outlineLevel="0" collapsed="false"/>
    <row r="2893" customFormat="false" ht="11.25" hidden="false" customHeight="true" outlineLevel="0" collapsed="false"/>
    <row r="2894" customFormat="false" ht="11.25" hidden="false" customHeight="true" outlineLevel="0" collapsed="false"/>
    <row r="2895" customFormat="false" ht="11.25" hidden="false" customHeight="true" outlineLevel="0" collapsed="false"/>
    <row r="2896" customFormat="false" ht="11.25" hidden="false" customHeight="true" outlineLevel="0" collapsed="false"/>
    <row r="2897" customFormat="false" ht="11.25" hidden="false" customHeight="true" outlineLevel="0" collapsed="false"/>
    <row r="2898" customFormat="false" ht="11.25" hidden="false" customHeight="true" outlineLevel="0" collapsed="false"/>
    <row r="2899" customFormat="false" ht="11.25" hidden="false" customHeight="true" outlineLevel="0" collapsed="false"/>
    <row r="2900" customFormat="false" ht="11.25" hidden="false" customHeight="true" outlineLevel="0" collapsed="false"/>
    <row r="2901" customFormat="false" ht="11.25" hidden="false" customHeight="true" outlineLevel="0" collapsed="false"/>
    <row r="2902" customFormat="false" ht="11.25" hidden="false" customHeight="true" outlineLevel="0" collapsed="false"/>
    <row r="2903" customFormat="false" ht="11.25" hidden="false" customHeight="true" outlineLevel="0" collapsed="false"/>
    <row r="2904" customFormat="false" ht="11.25" hidden="false" customHeight="true" outlineLevel="0" collapsed="false"/>
    <row r="2905" customFormat="false" ht="11.25" hidden="false" customHeight="true" outlineLevel="0" collapsed="false"/>
    <row r="2906" customFormat="false" ht="11.25" hidden="false" customHeight="true" outlineLevel="0" collapsed="false"/>
    <row r="2907" customFormat="false" ht="11.25" hidden="false" customHeight="true" outlineLevel="0" collapsed="false"/>
    <row r="2908" customFormat="false" ht="11.25" hidden="false" customHeight="true" outlineLevel="0" collapsed="false"/>
    <row r="2909" customFormat="false" ht="11.25" hidden="false" customHeight="true" outlineLevel="0" collapsed="false"/>
    <row r="2910" customFormat="false" ht="11.25" hidden="false" customHeight="true" outlineLevel="0" collapsed="false"/>
    <row r="2911" customFormat="false" ht="11.25" hidden="false" customHeight="true" outlineLevel="0" collapsed="false"/>
    <row r="2912" customFormat="false" ht="11.25" hidden="false" customHeight="true" outlineLevel="0" collapsed="false"/>
    <row r="2913" customFormat="false" ht="11.25" hidden="false" customHeight="true" outlineLevel="0" collapsed="false"/>
    <row r="2914" customFormat="false" ht="11.25" hidden="false" customHeight="true" outlineLevel="0" collapsed="false"/>
    <row r="2915" customFormat="false" ht="11.25" hidden="false" customHeight="true" outlineLevel="0" collapsed="false"/>
    <row r="2916" customFormat="false" ht="11.25" hidden="false" customHeight="true" outlineLevel="0" collapsed="false"/>
    <row r="2917" customFormat="false" ht="11.25" hidden="false" customHeight="true" outlineLevel="0" collapsed="false"/>
    <row r="2918" customFormat="false" ht="11.25" hidden="false" customHeight="true" outlineLevel="0" collapsed="false"/>
    <row r="2919" customFormat="false" ht="11.25" hidden="false" customHeight="true" outlineLevel="0" collapsed="false"/>
    <row r="2920" customFormat="false" ht="11.25" hidden="false" customHeight="true" outlineLevel="0" collapsed="false"/>
    <row r="2921" customFormat="false" ht="11.25" hidden="false" customHeight="true" outlineLevel="0" collapsed="false"/>
    <row r="2922" customFormat="false" ht="11.25" hidden="false" customHeight="true" outlineLevel="0" collapsed="false"/>
    <row r="2923" customFormat="false" ht="11.25" hidden="false" customHeight="true" outlineLevel="0" collapsed="false"/>
    <row r="2924" customFormat="false" ht="11.25" hidden="false" customHeight="true" outlineLevel="0" collapsed="false"/>
    <row r="2925" customFormat="false" ht="11.25" hidden="false" customHeight="true" outlineLevel="0" collapsed="false"/>
    <row r="2926" customFormat="false" ht="11.25" hidden="false" customHeight="true" outlineLevel="0" collapsed="false"/>
    <row r="2927" customFormat="false" ht="11.25" hidden="false" customHeight="true" outlineLevel="0" collapsed="false"/>
    <row r="2928" customFormat="false" ht="11.25" hidden="false" customHeight="true" outlineLevel="0" collapsed="false"/>
    <row r="2929" customFormat="false" ht="11.25" hidden="false" customHeight="true" outlineLevel="0" collapsed="false"/>
    <row r="2930" customFormat="false" ht="11.25" hidden="false" customHeight="true" outlineLevel="0" collapsed="false"/>
    <row r="2931" customFormat="false" ht="11.25" hidden="false" customHeight="true" outlineLevel="0" collapsed="false"/>
    <row r="2932" customFormat="false" ht="11.25" hidden="false" customHeight="true" outlineLevel="0" collapsed="false"/>
    <row r="2933" customFormat="false" ht="11.25" hidden="false" customHeight="true" outlineLevel="0" collapsed="false"/>
    <row r="2934" customFormat="false" ht="11.25" hidden="false" customHeight="true" outlineLevel="0" collapsed="false"/>
    <row r="2935" customFormat="false" ht="11.25" hidden="false" customHeight="true" outlineLevel="0" collapsed="false"/>
    <row r="2936" customFormat="false" ht="11.25" hidden="false" customHeight="true" outlineLevel="0" collapsed="false"/>
    <row r="2937" customFormat="false" ht="11.25" hidden="false" customHeight="true" outlineLevel="0" collapsed="false"/>
    <row r="2938" customFormat="false" ht="11.25" hidden="false" customHeight="true" outlineLevel="0" collapsed="false"/>
    <row r="2939" customFormat="false" ht="11.25" hidden="false" customHeight="true" outlineLevel="0" collapsed="false"/>
    <row r="2940" customFormat="false" ht="11.25" hidden="false" customHeight="true" outlineLevel="0" collapsed="false"/>
    <row r="2941" customFormat="false" ht="11.25" hidden="false" customHeight="true" outlineLevel="0" collapsed="false"/>
    <row r="2942" customFormat="false" ht="11.25" hidden="false" customHeight="true" outlineLevel="0" collapsed="false"/>
    <row r="2943" customFormat="false" ht="11.25" hidden="false" customHeight="true" outlineLevel="0" collapsed="false"/>
    <row r="2944" customFormat="false" ht="11.25" hidden="false" customHeight="true" outlineLevel="0" collapsed="false"/>
    <row r="2945" customFormat="false" ht="11.25" hidden="false" customHeight="true" outlineLevel="0" collapsed="false"/>
    <row r="2946" customFormat="false" ht="11.25" hidden="false" customHeight="true" outlineLevel="0" collapsed="false"/>
    <row r="2947" customFormat="false" ht="11.25" hidden="false" customHeight="true" outlineLevel="0" collapsed="false"/>
    <row r="2948" customFormat="false" ht="11.25" hidden="false" customHeight="true" outlineLevel="0" collapsed="false"/>
    <row r="2949" customFormat="false" ht="11.25" hidden="false" customHeight="true" outlineLevel="0" collapsed="false"/>
    <row r="2950" customFormat="false" ht="11.25" hidden="false" customHeight="true" outlineLevel="0" collapsed="false"/>
    <row r="2951" customFormat="false" ht="11.25" hidden="false" customHeight="true" outlineLevel="0" collapsed="false"/>
    <row r="2952" customFormat="false" ht="11.25" hidden="false" customHeight="true" outlineLevel="0" collapsed="false"/>
    <row r="2953" customFormat="false" ht="11.25" hidden="false" customHeight="true" outlineLevel="0" collapsed="false"/>
    <row r="2954" customFormat="false" ht="11.25" hidden="false" customHeight="true" outlineLevel="0" collapsed="false"/>
    <row r="2955" customFormat="false" ht="11.25" hidden="false" customHeight="true" outlineLevel="0" collapsed="false"/>
    <row r="2956" customFormat="false" ht="11.25" hidden="false" customHeight="true" outlineLevel="0" collapsed="false"/>
    <row r="2957" customFormat="false" ht="11.25" hidden="false" customHeight="true" outlineLevel="0" collapsed="false"/>
    <row r="2958" customFormat="false" ht="11.25" hidden="false" customHeight="true" outlineLevel="0" collapsed="false"/>
    <row r="2959" customFormat="false" ht="11.25" hidden="false" customHeight="true" outlineLevel="0" collapsed="false"/>
    <row r="2960" customFormat="false" ht="11.25" hidden="false" customHeight="true" outlineLevel="0" collapsed="false"/>
    <row r="2961" customFormat="false" ht="11.25" hidden="false" customHeight="true" outlineLevel="0" collapsed="false"/>
    <row r="2962" customFormat="false" ht="11.25" hidden="false" customHeight="true" outlineLevel="0" collapsed="false"/>
    <row r="2963" customFormat="false" ht="11.25" hidden="false" customHeight="true" outlineLevel="0" collapsed="false"/>
    <row r="2964" customFormat="false" ht="11.25" hidden="false" customHeight="true" outlineLevel="0" collapsed="false"/>
    <row r="2965" customFormat="false" ht="11.25" hidden="false" customHeight="true" outlineLevel="0" collapsed="false"/>
    <row r="2966" customFormat="false" ht="11.25" hidden="false" customHeight="true" outlineLevel="0" collapsed="false"/>
    <row r="2967" customFormat="false" ht="11.25" hidden="false" customHeight="true" outlineLevel="0" collapsed="false"/>
    <row r="2968" customFormat="false" ht="11.25" hidden="false" customHeight="true" outlineLevel="0" collapsed="false"/>
    <row r="2969" customFormat="false" ht="11.25" hidden="false" customHeight="true" outlineLevel="0" collapsed="false"/>
    <row r="2970" customFormat="false" ht="11.25" hidden="false" customHeight="true" outlineLevel="0" collapsed="false"/>
    <row r="2971" customFormat="false" ht="11.25" hidden="false" customHeight="true" outlineLevel="0" collapsed="false"/>
    <row r="2972" customFormat="false" ht="11.25" hidden="false" customHeight="true" outlineLevel="0" collapsed="false"/>
    <row r="2973" customFormat="false" ht="11.25" hidden="false" customHeight="true" outlineLevel="0" collapsed="false"/>
    <row r="2974" customFormat="false" ht="11.25" hidden="false" customHeight="true" outlineLevel="0" collapsed="false"/>
    <row r="2975" customFormat="false" ht="11.25" hidden="false" customHeight="true" outlineLevel="0" collapsed="false"/>
    <row r="2976" customFormat="false" ht="11.25" hidden="false" customHeight="true" outlineLevel="0" collapsed="false"/>
    <row r="2977" customFormat="false" ht="11.25" hidden="false" customHeight="true" outlineLevel="0" collapsed="false"/>
    <row r="2978" customFormat="false" ht="11.25" hidden="false" customHeight="true" outlineLevel="0" collapsed="false"/>
    <row r="2979" customFormat="false" ht="11.25" hidden="false" customHeight="true" outlineLevel="0" collapsed="false"/>
    <row r="2980" customFormat="false" ht="11.25" hidden="false" customHeight="true" outlineLevel="0" collapsed="false"/>
    <row r="2981" customFormat="false" ht="11.25" hidden="false" customHeight="true" outlineLevel="0" collapsed="false"/>
    <row r="2982" customFormat="false" ht="11.25" hidden="false" customHeight="true" outlineLevel="0" collapsed="false"/>
    <row r="2983" customFormat="false" ht="11.25" hidden="false" customHeight="true" outlineLevel="0" collapsed="false"/>
    <row r="2984" customFormat="false" ht="11.25" hidden="false" customHeight="true" outlineLevel="0" collapsed="false"/>
    <row r="2985" customFormat="false" ht="11.25" hidden="false" customHeight="true" outlineLevel="0" collapsed="false"/>
    <row r="2986" customFormat="false" ht="11.25" hidden="false" customHeight="true" outlineLevel="0" collapsed="false"/>
    <row r="2987" customFormat="false" ht="11.25" hidden="false" customHeight="true" outlineLevel="0" collapsed="false"/>
    <row r="2988" customFormat="false" ht="11.25" hidden="false" customHeight="true" outlineLevel="0" collapsed="false"/>
    <row r="2989" customFormat="false" ht="11.25" hidden="false" customHeight="true" outlineLevel="0" collapsed="false"/>
    <row r="2990" customFormat="false" ht="11.25" hidden="false" customHeight="true" outlineLevel="0" collapsed="false"/>
    <row r="2991" customFormat="false" ht="11.25" hidden="false" customHeight="true" outlineLevel="0" collapsed="false"/>
    <row r="2992" customFormat="false" ht="11.25" hidden="false" customHeight="true" outlineLevel="0" collapsed="false"/>
    <row r="2993" customFormat="false" ht="11.25" hidden="false" customHeight="true" outlineLevel="0" collapsed="false"/>
    <row r="2994" customFormat="false" ht="11.25" hidden="false" customHeight="true" outlineLevel="0" collapsed="false"/>
    <row r="2995" customFormat="false" ht="11.25" hidden="false" customHeight="true" outlineLevel="0" collapsed="false"/>
    <row r="2996" customFormat="false" ht="11.25" hidden="false" customHeight="true" outlineLevel="0" collapsed="false"/>
    <row r="2997" customFormat="false" ht="11.25" hidden="false" customHeight="true" outlineLevel="0" collapsed="false"/>
    <row r="2998" customFormat="false" ht="11.25" hidden="false" customHeight="true" outlineLevel="0" collapsed="false"/>
    <row r="2999" customFormat="false" ht="11.25" hidden="false" customHeight="true" outlineLevel="0" collapsed="false"/>
    <row r="3000" customFormat="false" ht="11.25" hidden="false" customHeight="true" outlineLevel="0" collapsed="false"/>
    <row r="3001" customFormat="false" ht="11.25" hidden="false" customHeight="true" outlineLevel="0" collapsed="false"/>
    <row r="3002" customFormat="false" ht="11.25" hidden="false" customHeight="true" outlineLevel="0" collapsed="false"/>
    <row r="3003" customFormat="false" ht="11.25" hidden="false" customHeight="true" outlineLevel="0" collapsed="false"/>
    <row r="3004" customFormat="false" ht="11.25" hidden="false" customHeight="true" outlineLevel="0" collapsed="false"/>
    <row r="3005" customFormat="false" ht="11.25" hidden="false" customHeight="true" outlineLevel="0" collapsed="false"/>
    <row r="3006" customFormat="false" ht="11.25" hidden="false" customHeight="true" outlineLevel="0" collapsed="false"/>
    <row r="3007" customFormat="false" ht="11.25" hidden="false" customHeight="true" outlineLevel="0" collapsed="false"/>
    <row r="3008" customFormat="false" ht="11.25" hidden="false" customHeight="true" outlineLevel="0" collapsed="false"/>
    <row r="3009" customFormat="false" ht="11.25" hidden="false" customHeight="true" outlineLevel="0" collapsed="false"/>
    <row r="3010" customFormat="false" ht="11.25" hidden="false" customHeight="true" outlineLevel="0" collapsed="false"/>
    <row r="3011" customFormat="false" ht="11.25" hidden="false" customHeight="true" outlineLevel="0" collapsed="false"/>
    <row r="3012" customFormat="false" ht="11.25" hidden="false" customHeight="true" outlineLevel="0" collapsed="false"/>
    <row r="3013" customFormat="false" ht="11.25" hidden="false" customHeight="true" outlineLevel="0" collapsed="false"/>
    <row r="3014" customFormat="false" ht="11.25" hidden="false" customHeight="true" outlineLevel="0" collapsed="false"/>
    <row r="3015" customFormat="false" ht="11.25" hidden="false" customHeight="true" outlineLevel="0" collapsed="false"/>
    <row r="3016" customFormat="false" ht="11.25" hidden="false" customHeight="true" outlineLevel="0" collapsed="false"/>
    <row r="3017" customFormat="false" ht="11.25" hidden="false" customHeight="true" outlineLevel="0" collapsed="false"/>
    <row r="3018" customFormat="false" ht="11.25" hidden="false" customHeight="true" outlineLevel="0" collapsed="false"/>
    <row r="3019" customFormat="false" ht="11.25" hidden="false" customHeight="true" outlineLevel="0" collapsed="false"/>
    <row r="3020" customFormat="false" ht="11.25" hidden="false" customHeight="true" outlineLevel="0" collapsed="false"/>
    <row r="3021" customFormat="false" ht="11.25" hidden="false" customHeight="true" outlineLevel="0" collapsed="false"/>
    <row r="3022" customFormat="false" ht="11.25" hidden="false" customHeight="true" outlineLevel="0" collapsed="false"/>
    <row r="3023" customFormat="false" ht="11.25" hidden="false" customHeight="true" outlineLevel="0" collapsed="false"/>
    <row r="3024" customFormat="false" ht="11.25" hidden="false" customHeight="true" outlineLevel="0" collapsed="false"/>
    <row r="3025" customFormat="false" ht="11.25" hidden="false" customHeight="true" outlineLevel="0" collapsed="false"/>
    <row r="3026" customFormat="false" ht="11.25" hidden="false" customHeight="true" outlineLevel="0" collapsed="false"/>
    <row r="3027" customFormat="false" ht="11.25" hidden="false" customHeight="true" outlineLevel="0" collapsed="false"/>
    <row r="3028" customFormat="false" ht="11.25" hidden="false" customHeight="true" outlineLevel="0" collapsed="false"/>
    <row r="3029" customFormat="false" ht="11.25" hidden="false" customHeight="true" outlineLevel="0" collapsed="false"/>
    <row r="3030" customFormat="false" ht="11.25" hidden="false" customHeight="true" outlineLevel="0" collapsed="false"/>
    <row r="3031" customFormat="false" ht="11.25" hidden="false" customHeight="true" outlineLevel="0" collapsed="false"/>
    <row r="3032" customFormat="false" ht="11.25" hidden="false" customHeight="true" outlineLevel="0" collapsed="false"/>
    <row r="3033" customFormat="false" ht="11.25" hidden="false" customHeight="true" outlineLevel="0" collapsed="false"/>
    <row r="3034" customFormat="false" ht="11.25" hidden="false" customHeight="true" outlineLevel="0" collapsed="false"/>
    <row r="3035" customFormat="false" ht="11.25" hidden="false" customHeight="true" outlineLevel="0" collapsed="false"/>
    <row r="3036" customFormat="false" ht="11.25" hidden="false" customHeight="true" outlineLevel="0" collapsed="false"/>
    <row r="3037" customFormat="false" ht="11.25" hidden="false" customHeight="true" outlineLevel="0" collapsed="false"/>
    <row r="3038" customFormat="false" ht="11.25" hidden="false" customHeight="true" outlineLevel="0" collapsed="false"/>
    <row r="3039" customFormat="false" ht="11.25" hidden="false" customHeight="true" outlineLevel="0" collapsed="false"/>
    <row r="3040" customFormat="false" ht="11.25" hidden="false" customHeight="true" outlineLevel="0" collapsed="false"/>
    <row r="3041" customFormat="false" ht="11.25" hidden="false" customHeight="true" outlineLevel="0" collapsed="false"/>
    <row r="3042" customFormat="false" ht="11.25" hidden="false" customHeight="true" outlineLevel="0" collapsed="false"/>
    <row r="3043" customFormat="false" ht="11.25" hidden="false" customHeight="true" outlineLevel="0" collapsed="false"/>
    <row r="3044" customFormat="false" ht="11.25" hidden="false" customHeight="true" outlineLevel="0" collapsed="false"/>
    <row r="3045" customFormat="false" ht="11.25" hidden="false" customHeight="true" outlineLevel="0" collapsed="false"/>
    <row r="3046" customFormat="false" ht="11.25" hidden="false" customHeight="true" outlineLevel="0" collapsed="false"/>
    <row r="3047" customFormat="false" ht="11.25" hidden="false" customHeight="true" outlineLevel="0" collapsed="false"/>
    <row r="3048" customFormat="false" ht="11.25" hidden="false" customHeight="true" outlineLevel="0" collapsed="false"/>
    <row r="3049" customFormat="false" ht="11.25" hidden="false" customHeight="true" outlineLevel="0" collapsed="false"/>
    <row r="3050" customFormat="false" ht="11.25" hidden="false" customHeight="true" outlineLevel="0" collapsed="false"/>
    <row r="3051" customFormat="false" ht="11.25" hidden="false" customHeight="true" outlineLevel="0" collapsed="false"/>
    <row r="3052" customFormat="false" ht="11.25" hidden="false" customHeight="true" outlineLevel="0" collapsed="false"/>
    <row r="3053" customFormat="false" ht="11.25" hidden="false" customHeight="true" outlineLevel="0" collapsed="false"/>
    <row r="3054" customFormat="false" ht="11.25" hidden="false" customHeight="true" outlineLevel="0" collapsed="false"/>
    <row r="3055" customFormat="false" ht="11.25" hidden="false" customHeight="true" outlineLevel="0" collapsed="false"/>
    <row r="3056" customFormat="false" ht="11.25" hidden="false" customHeight="true" outlineLevel="0" collapsed="false"/>
    <row r="3057" customFormat="false" ht="11.25" hidden="false" customHeight="true" outlineLevel="0" collapsed="false"/>
    <row r="3058" customFormat="false" ht="11.25" hidden="false" customHeight="true" outlineLevel="0" collapsed="false"/>
    <row r="3059" customFormat="false" ht="11.25" hidden="false" customHeight="true" outlineLevel="0" collapsed="false"/>
    <row r="3060" customFormat="false" ht="11.25" hidden="false" customHeight="true" outlineLevel="0" collapsed="false"/>
    <row r="3061" customFormat="false" ht="11.25" hidden="false" customHeight="true" outlineLevel="0" collapsed="false"/>
    <row r="3062" customFormat="false" ht="11.25" hidden="false" customHeight="true" outlineLevel="0" collapsed="false"/>
    <row r="3063" customFormat="false" ht="11.25" hidden="false" customHeight="true" outlineLevel="0" collapsed="false"/>
    <row r="3064" customFormat="false" ht="11.25" hidden="false" customHeight="true" outlineLevel="0" collapsed="false"/>
    <row r="3065" customFormat="false" ht="11.25" hidden="false" customHeight="true" outlineLevel="0" collapsed="false"/>
    <row r="3066" customFormat="false" ht="11.25" hidden="false" customHeight="true" outlineLevel="0" collapsed="false"/>
    <row r="3067" customFormat="false" ht="11.25" hidden="false" customHeight="true" outlineLevel="0" collapsed="false"/>
    <row r="3068" customFormat="false" ht="11.25" hidden="false" customHeight="true" outlineLevel="0" collapsed="false"/>
    <row r="3069" customFormat="false" ht="11.25" hidden="false" customHeight="true" outlineLevel="0" collapsed="false"/>
    <row r="3070" customFormat="false" ht="11.25" hidden="false" customHeight="true" outlineLevel="0" collapsed="false"/>
    <row r="3071" customFormat="false" ht="11.25" hidden="false" customHeight="true" outlineLevel="0" collapsed="false"/>
    <row r="3072" customFormat="false" ht="11.25" hidden="false" customHeight="true" outlineLevel="0" collapsed="false"/>
    <row r="3073" customFormat="false" ht="11.25" hidden="false" customHeight="true" outlineLevel="0" collapsed="false"/>
    <row r="3074" customFormat="false" ht="11.25" hidden="false" customHeight="true" outlineLevel="0" collapsed="false"/>
    <row r="3075" customFormat="false" ht="11.25" hidden="false" customHeight="true" outlineLevel="0" collapsed="false"/>
    <row r="3076" customFormat="false" ht="11.25" hidden="false" customHeight="true" outlineLevel="0" collapsed="false"/>
    <row r="3077" customFormat="false" ht="11.25" hidden="false" customHeight="true" outlineLevel="0" collapsed="false"/>
    <row r="3078" customFormat="false" ht="11.25" hidden="false" customHeight="true" outlineLevel="0" collapsed="false"/>
    <row r="3079" customFormat="false" ht="11.25" hidden="false" customHeight="true" outlineLevel="0" collapsed="false"/>
    <row r="3080" customFormat="false" ht="11.25" hidden="false" customHeight="true" outlineLevel="0" collapsed="false"/>
    <row r="3081" customFormat="false" ht="11.25" hidden="false" customHeight="true" outlineLevel="0" collapsed="false"/>
    <row r="3082" customFormat="false" ht="11.25" hidden="false" customHeight="true" outlineLevel="0" collapsed="false"/>
    <row r="3083" customFormat="false" ht="11.25" hidden="false" customHeight="true" outlineLevel="0" collapsed="false"/>
    <row r="3084" customFormat="false" ht="11.25" hidden="false" customHeight="true" outlineLevel="0" collapsed="false"/>
    <row r="3085" customFormat="false" ht="11.25" hidden="false" customHeight="true" outlineLevel="0" collapsed="false"/>
    <row r="3086" customFormat="false" ht="11.25" hidden="false" customHeight="true" outlineLevel="0" collapsed="false"/>
    <row r="3087" customFormat="false" ht="11.25" hidden="false" customHeight="true" outlineLevel="0" collapsed="false"/>
    <row r="3088" customFormat="false" ht="11.25" hidden="false" customHeight="true" outlineLevel="0" collapsed="false"/>
    <row r="3089" customFormat="false" ht="11.25" hidden="false" customHeight="true" outlineLevel="0" collapsed="false"/>
    <row r="3090" customFormat="false" ht="11.25" hidden="false" customHeight="true" outlineLevel="0" collapsed="false"/>
    <row r="3091" customFormat="false" ht="11.25" hidden="false" customHeight="true" outlineLevel="0" collapsed="false"/>
    <row r="3092" customFormat="false" ht="11.25" hidden="false" customHeight="true" outlineLevel="0" collapsed="false"/>
    <row r="3093" customFormat="false" ht="11.25" hidden="false" customHeight="true" outlineLevel="0" collapsed="false"/>
    <row r="3094" customFormat="false" ht="11.25" hidden="false" customHeight="true" outlineLevel="0" collapsed="false"/>
    <row r="3095" customFormat="false" ht="11.25" hidden="false" customHeight="true" outlineLevel="0" collapsed="false"/>
    <row r="3096" customFormat="false" ht="11.25" hidden="false" customHeight="true" outlineLevel="0" collapsed="false"/>
    <row r="3097" customFormat="false" ht="11.25" hidden="false" customHeight="true" outlineLevel="0" collapsed="false"/>
    <row r="3098" customFormat="false" ht="11.25" hidden="false" customHeight="true" outlineLevel="0" collapsed="false"/>
    <row r="3099" customFormat="false" ht="11.25" hidden="false" customHeight="true" outlineLevel="0" collapsed="false"/>
    <row r="3100" customFormat="false" ht="11.25" hidden="false" customHeight="true" outlineLevel="0" collapsed="false"/>
    <row r="3101" customFormat="false" ht="11.25" hidden="false" customHeight="true" outlineLevel="0" collapsed="false"/>
    <row r="3102" customFormat="false" ht="11.25" hidden="false" customHeight="true" outlineLevel="0" collapsed="false"/>
    <row r="3103" customFormat="false" ht="11.25" hidden="false" customHeight="true" outlineLevel="0" collapsed="false"/>
    <row r="3104" customFormat="false" ht="11.25" hidden="false" customHeight="true" outlineLevel="0" collapsed="false"/>
    <row r="3105" customFormat="false" ht="11.25" hidden="false" customHeight="true" outlineLevel="0" collapsed="false"/>
    <row r="3106" customFormat="false" ht="11.25" hidden="false" customHeight="true" outlineLevel="0" collapsed="false"/>
    <row r="3107" customFormat="false" ht="11.25" hidden="false" customHeight="true" outlineLevel="0" collapsed="false"/>
    <row r="3108" customFormat="false" ht="11.25" hidden="false" customHeight="true" outlineLevel="0" collapsed="false"/>
    <row r="3109" customFormat="false" ht="11.25" hidden="false" customHeight="true" outlineLevel="0" collapsed="false"/>
    <row r="3110" customFormat="false" ht="11.25" hidden="false" customHeight="true" outlineLevel="0" collapsed="false"/>
    <row r="3111" customFormat="false" ht="11.25" hidden="false" customHeight="true" outlineLevel="0" collapsed="false"/>
    <row r="3112" customFormat="false" ht="11.25" hidden="false" customHeight="true" outlineLevel="0" collapsed="false"/>
    <row r="3113" customFormat="false" ht="11.25" hidden="false" customHeight="true" outlineLevel="0" collapsed="false"/>
    <row r="3114" customFormat="false" ht="11.25" hidden="false" customHeight="true" outlineLevel="0" collapsed="false"/>
    <row r="3115" customFormat="false" ht="11.25" hidden="false" customHeight="true" outlineLevel="0" collapsed="false"/>
    <row r="3116" customFormat="false" ht="11.25" hidden="false" customHeight="true" outlineLevel="0" collapsed="false"/>
    <row r="3117" customFormat="false" ht="11.25" hidden="false" customHeight="true" outlineLevel="0" collapsed="false"/>
    <row r="3118" customFormat="false" ht="11.25" hidden="false" customHeight="true" outlineLevel="0" collapsed="false"/>
    <row r="3119" customFormat="false" ht="11.25" hidden="false" customHeight="true" outlineLevel="0" collapsed="false"/>
    <row r="3120" customFormat="false" ht="11.25" hidden="false" customHeight="true" outlineLevel="0" collapsed="false"/>
    <row r="3121" customFormat="false" ht="11.25" hidden="false" customHeight="true" outlineLevel="0" collapsed="false"/>
    <row r="3122" customFormat="false" ht="11.25" hidden="false" customHeight="true" outlineLevel="0" collapsed="false"/>
    <row r="3123" customFormat="false" ht="11.25" hidden="false" customHeight="true" outlineLevel="0" collapsed="false"/>
    <row r="3124" customFormat="false" ht="11.25" hidden="false" customHeight="true" outlineLevel="0" collapsed="false"/>
    <row r="3125" customFormat="false" ht="11.25" hidden="false" customHeight="true" outlineLevel="0" collapsed="false"/>
    <row r="3126" customFormat="false" ht="11.25" hidden="false" customHeight="true" outlineLevel="0" collapsed="false"/>
    <row r="3127" customFormat="false" ht="11.25" hidden="false" customHeight="true" outlineLevel="0" collapsed="false"/>
    <row r="3128" customFormat="false" ht="11.25" hidden="false" customHeight="true" outlineLevel="0" collapsed="false"/>
    <row r="3129" customFormat="false" ht="11.25" hidden="false" customHeight="true" outlineLevel="0" collapsed="false"/>
    <row r="3130" customFormat="false" ht="11.25" hidden="false" customHeight="true" outlineLevel="0" collapsed="false"/>
    <row r="3131" customFormat="false" ht="11.25" hidden="false" customHeight="true" outlineLevel="0" collapsed="false"/>
    <row r="3132" customFormat="false" ht="11.25" hidden="false" customHeight="true" outlineLevel="0" collapsed="false"/>
    <row r="3133" customFormat="false" ht="11.25" hidden="false" customHeight="true" outlineLevel="0" collapsed="false"/>
    <row r="3134" customFormat="false" ht="11.25" hidden="false" customHeight="true" outlineLevel="0" collapsed="false"/>
    <row r="3135" customFormat="false" ht="11.25" hidden="false" customHeight="true" outlineLevel="0" collapsed="false"/>
    <row r="3136" customFormat="false" ht="11.25" hidden="false" customHeight="true" outlineLevel="0" collapsed="false"/>
    <row r="3137" customFormat="false" ht="11.25" hidden="false" customHeight="true" outlineLevel="0" collapsed="false"/>
    <row r="3138" customFormat="false" ht="11.25" hidden="false" customHeight="true" outlineLevel="0" collapsed="false"/>
    <row r="3139" customFormat="false" ht="11.25" hidden="false" customHeight="true" outlineLevel="0" collapsed="false"/>
    <row r="3140" customFormat="false" ht="11.25" hidden="false" customHeight="true" outlineLevel="0" collapsed="false"/>
    <row r="3141" customFormat="false" ht="11.25" hidden="false" customHeight="true" outlineLevel="0" collapsed="false"/>
    <row r="3142" customFormat="false" ht="11.25" hidden="false" customHeight="true" outlineLevel="0" collapsed="false"/>
    <row r="3143" customFormat="false" ht="11.25" hidden="false" customHeight="true" outlineLevel="0" collapsed="false"/>
    <row r="3144" customFormat="false" ht="11.25" hidden="false" customHeight="true" outlineLevel="0" collapsed="false"/>
    <row r="3145" customFormat="false" ht="11.25" hidden="false" customHeight="true" outlineLevel="0" collapsed="false"/>
    <row r="3146" customFormat="false" ht="11.25" hidden="false" customHeight="true" outlineLevel="0" collapsed="false"/>
    <row r="3147" customFormat="false" ht="11.25" hidden="false" customHeight="true" outlineLevel="0" collapsed="false"/>
    <row r="3148" customFormat="false" ht="11.25" hidden="false" customHeight="true" outlineLevel="0" collapsed="false"/>
    <row r="3149" customFormat="false" ht="11.25" hidden="false" customHeight="true" outlineLevel="0" collapsed="false"/>
    <row r="3150" customFormat="false" ht="11.25" hidden="false" customHeight="true" outlineLevel="0" collapsed="false"/>
    <row r="3151" customFormat="false" ht="11.25" hidden="false" customHeight="true" outlineLevel="0" collapsed="false"/>
    <row r="3152" customFormat="false" ht="11.25" hidden="false" customHeight="true" outlineLevel="0" collapsed="false"/>
    <row r="3153" customFormat="false" ht="11.25" hidden="false" customHeight="true" outlineLevel="0" collapsed="false"/>
    <row r="3154" customFormat="false" ht="11.25" hidden="false" customHeight="true" outlineLevel="0" collapsed="false"/>
    <row r="3155" customFormat="false" ht="11.25" hidden="false" customHeight="true" outlineLevel="0" collapsed="false"/>
    <row r="3156" customFormat="false" ht="11.25" hidden="false" customHeight="true" outlineLevel="0" collapsed="false"/>
    <row r="3157" customFormat="false" ht="11.25" hidden="false" customHeight="true" outlineLevel="0" collapsed="false"/>
    <row r="3158" customFormat="false" ht="11.25" hidden="false" customHeight="true" outlineLevel="0" collapsed="false"/>
    <row r="3159" customFormat="false" ht="11.25" hidden="false" customHeight="true" outlineLevel="0" collapsed="false"/>
    <row r="3160" customFormat="false" ht="11.25" hidden="false" customHeight="true" outlineLevel="0" collapsed="false"/>
    <row r="3161" customFormat="false" ht="11.25" hidden="false" customHeight="true" outlineLevel="0" collapsed="false"/>
    <row r="3162" customFormat="false" ht="11.25" hidden="false" customHeight="true" outlineLevel="0" collapsed="false"/>
    <row r="3163" customFormat="false" ht="11.25" hidden="false" customHeight="true" outlineLevel="0" collapsed="false"/>
    <row r="3164" customFormat="false" ht="11.25" hidden="false" customHeight="true" outlineLevel="0" collapsed="false"/>
    <row r="3165" customFormat="false" ht="11.25" hidden="false" customHeight="true" outlineLevel="0" collapsed="false"/>
    <row r="3166" customFormat="false" ht="11.25" hidden="false" customHeight="true" outlineLevel="0" collapsed="false"/>
    <row r="3167" customFormat="false" ht="11.25" hidden="false" customHeight="true" outlineLevel="0" collapsed="false"/>
    <row r="3168" customFormat="false" ht="11.25" hidden="false" customHeight="true" outlineLevel="0" collapsed="false"/>
    <row r="3169" customFormat="false" ht="11.25" hidden="false" customHeight="true" outlineLevel="0" collapsed="false"/>
    <row r="3170" customFormat="false" ht="11.25" hidden="false" customHeight="true" outlineLevel="0" collapsed="false"/>
    <row r="3171" customFormat="false" ht="11.25" hidden="false" customHeight="true" outlineLevel="0" collapsed="false"/>
    <row r="3172" customFormat="false" ht="11.25" hidden="false" customHeight="true" outlineLevel="0" collapsed="false"/>
    <row r="3173" customFormat="false" ht="11.25" hidden="false" customHeight="true" outlineLevel="0" collapsed="false"/>
    <row r="3174" customFormat="false" ht="11.25" hidden="false" customHeight="true" outlineLevel="0" collapsed="false"/>
    <row r="3175" customFormat="false" ht="11.25" hidden="false" customHeight="true" outlineLevel="0" collapsed="false"/>
    <row r="3176" customFormat="false" ht="11.25" hidden="false" customHeight="true" outlineLevel="0" collapsed="false"/>
    <row r="3177" customFormat="false" ht="11.25" hidden="false" customHeight="true" outlineLevel="0" collapsed="false"/>
    <row r="3178" customFormat="false" ht="11.25" hidden="false" customHeight="true" outlineLevel="0" collapsed="false"/>
    <row r="3179" customFormat="false" ht="11.25" hidden="false" customHeight="true" outlineLevel="0" collapsed="false"/>
    <row r="3180" customFormat="false" ht="11.25" hidden="false" customHeight="true" outlineLevel="0" collapsed="false"/>
    <row r="3181" customFormat="false" ht="11.25" hidden="false" customHeight="true" outlineLevel="0" collapsed="false"/>
    <row r="3182" customFormat="false" ht="11.25" hidden="false" customHeight="true" outlineLevel="0" collapsed="false"/>
    <row r="3183" customFormat="false" ht="11.25" hidden="false" customHeight="true" outlineLevel="0" collapsed="false"/>
    <row r="3184" customFormat="false" ht="11.25" hidden="false" customHeight="true" outlineLevel="0" collapsed="false"/>
    <row r="3185" customFormat="false" ht="11.25" hidden="false" customHeight="true" outlineLevel="0" collapsed="false"/>
    <row r="3186" customFormat="false" ht="11.25" hidden="false" customHeight="true" outlineLevel="0" collapsed="false"/>
    <row r="3187" customFormat="false" ht="11.25" hidden="false" customHeight="true" outlineLevel="0" collapsed="false"/>
    <row r="3188" customFormat="false" ht="11.25" hidden="false" customHeight="true" outlineLevel="0" collapsed="false"/>
    <row r="3189" customFormat="false" ht="11.25" hidden="false" customHeight="true" outlineLevel="0" collapsed="false"/>
    <row r="3190" customFormat="false" ht="11.25" hidden="false" customHeight="true" outlineLevel="0" collapsed="false"/>
    <row r="3191" customFormat="false" ht="11.25" hidden="false" customHeight="true" outlineLevel="0" collapsed="false"/>
    <row r="3192" customFormat="false" ht="11.25" hidden="false" customHeight="true" outlineLevel="0" collapsed="false"/>
    <row r="3193" customFormat="false" ht="11.25" hidden="false" customHeight="true" outlineLevel="0" collapsed="false"/>
    <row r="3194" customFormat="false" ht="11.25" hidden="false" customHeight="true" outlineLevel="0" collapsed="false"/>
    <row r="3195" customFormat="false" ht="11.25" hidden="false" customHeight="true" outlineLevel="0" collapsed="false"/>
    <row r="3196" customFormat="false" ht="11.25" hidden="false" customHeight="true" outlineLevel="0" collapsed="false"/>
    <row r="3197" customFormat="false" ht="11.25" hidden="false" customHeight="true" outlineLevel="0" collapsed="false"/>
    <row r="3198" customFormat="false" ht="11.25" hidden="false" customHeight="true" outlineLevel="0" collapsed="false"/>
    <row r="3199" customFormat="false" ht="11.25" hidden="false" customHeight="true" outlineLevel="0" collapsed="false"/>
    <row r="3200" customFormat="false" ht="11.25" hidden="false" customHeight="true" outlineLevel="0" collapsed="false"/>
    <row r="3201" customFormat="false" ht="11.25" hidden="false" customHeight="true" outlineLevel="0" collapsed="false"/>
    <row r="3202" customFormat="false" ht="11.25" hidden="false" customHeight="true" outlineLevel="0" collapsed="false"/>
    <row r="3203" customFormat="false" ht="11.25" hidden="false" customHeight="true" outlineLevel="0" collapsed="false"/>
    <row r="3204" customFormat="false" ht="11.25" hidden="false" customHeight="true" outlineLevel="0" collapsed="false"/>
    <row r="3205" customFormat="false" ht="11.25" hidden="false" customHeight="true" outlineLevel="0" collapsed="false"/>
    <row r="3206" customFormat="false" ht="11.25" hidden="false" customHeight="true" outlineLevel="0" collapsed="false"/>
    <row r="3207" customFormat="false" ht="11.25" hidden="false" customHeight="true" outlineLevel="0" collapsed="false"/>
    <row r="3208" customFormat="false" ht="11.25" hidden="false" customHeight="true" outlineLevel="0" collapsed="false"/>
    <row r="3209" customFormat="false" ht="11.25" hidden="false" customHeight="true" outlineLevel="0" collapsed="false"/>
    <row r="3210" customFormat="false" ht="11.25" hidden="false" customHeight="true" outlineLevel="0" collapsed="false"/>
    <row r="3211" customFormat="false" ht="11.25" hidden="false" customHeight="true" outlineLevel="0" collapsed="false"/>
    <row r="3212" customFormat="false" ht="11.25" hidden="false" customHeight="true" outlineLevel="0" collapsed="false"/>
    <row r="3213" customFormat="false" ht="11.25" hidden="false" customHeight="true" outlineLevel="0" collapsed="false"/>
    <row r="3214" customFormat="false" ht="11.25" hidden="false" customHeight="true" outlineLevel="0" collapsed="false"/>
    <row r="3215" customFormat="false" ht="11.25" hidden="false" customHeight="true" outlineLevel="0" collapsed="false"/>
    <row r="3216" customFormat="false" ht="11.25" hidden="false" customHeight="true" outlineLevel="0" collapsed="false"/>
    <row r="3217" customFormat="false" ht="11.25" hidden="false" customHeight="true" outlineLevel="0" collapsed="false"/>
    <row r="3218" customFormat="false" ht="11.25" hidden="false" customHeight="true" outlineLevel="0" collapsed="false"/>
    <row r="3219" customFormat="false" ht="11.25" hidden="false" customHeight="true" outlineLevel="0" collapsed="false"/>
    <row r="3220" customFormat="false" ht="11.25" hidden="false" customHeight="true" outlineLevel="0" collapsed="false"/>
    <row r="3221" customFormat="false" ht="11.25" hidden="false" customHeight="true" outlineLevel="0" collapsed="false"/>
    <row r="3222" customFormat="false" ht="11.25" hidden="false" customHeight="true" outlineLevel="0" collapsed="false"/>
    <row r="3223" customFormat="false" ht="11.25" hidden="false" customHeight="true" outlineLevel="0" collapsed="false"/>
    <row r="3224" customFormat="false" ht="11.25" hidden="false" customHeight="true" outlineLevel="0" collapsed="false"/>
    <row r="3225" customFormat="false" ht="11.25" hidden="false" customHeight="true" outlineLevel="0" collapsed="false"/>
    <row r="3226" customFormat="false" ht="11.25" hidden="false" customHeight="true" outlineLevel="0" collapsed="false"/>
    <row r="3227" customFormat="false" ht="11.25" hidden="false" customHeight="true" outlineLevel="0" collapsed="false"/>
    <row r="3228" customFormat="false" ht="11.25" hidden="false" customHeight="true" outlineLevel="0" collapsed="false"/>
    <row r="3229" customFormat="false" ht="11.25" hidden="false" customHeight="true" outlineLevel="0" collapsed="false"/>
    <row r="3230" customFormat="false" ht="11.25" hidden="false" customHeight="true" outlineLevel="0" collapsed="false"/>
    <row r="3231" customFormat="false" ht="11.25" hidden="false" customHeight="true" outlineLevel="0" collapsed="false"/>
    <row r="3232" customFormat="false" ht="11.25" hidden="false" customHeight="true" outlineLevel="0" collapsed="false"/>
    <row r="3233" customFormat="false" ht="11.25" hidden="false" customHeight="true" outlineLevel="0" collapsed="false"/>
    <row r="3234" customFormat="false" ht="11.25" hidden="false" customHeight="true" outlineLevel="0" collapsed="false"/>
    <row r="3235" customFormat="false" ht="11.25" hidden="false" customHeight="true" outlineLevel="0" collapsed="false"/>
    <row r="3236" customFormat="false" ht="11.25" hidden="false" customHeight="true" outlineLevel="0" collapsed="false"/>
    <row r="3237" customFormat="false" ht="11.25" hidden="false" customHeight="true" outlineLevel="0" collapsed="false"/>
    <row r="3238" customFormat="false" ht="11.25" hidden="false" customHeight="true" outlineLevel="0" collapsed="false"/>
    <row r="3239" customFormat="false" ht="11.25" hidden="false" customHeight="true" outlineLevel="0" collapsed="false"/>
    <row r="3240" customFormat="false" ht="11.25" hidden="false" customHeight="true" outlineLevel="0" collapsed="false"/>
    <row r="3241" customFormat="false" ht="11.25" hidden="false" customHeight="true" outlineLevel="0" collapsed="false"/>
    <row r="3242" customFormat="false" ht="11.25" hidden="false" customHeight="true" outlineLevel="0" collapsed="false"/>
    <row r="3243" customFormat="false" ht="11.25" hidden="false" customHeight="true" outlineLevel="0" collapsed="false"/>
    <row r="3244" customFormat="false" ht="11.25" hidden="false" customHeight="true" outlineLevel="0" collapsed="false"/>
    <row r="3245" customFormat="false" ht="11.25" hidden="false" customHeight="true" outlineLevel="0" collapsed="false"/>
    <row r="3246" customFormat="false" ht="11.25" hidden="false" customHeight="true" outlineLevel="0" collapsed="false"/>
    <row r="3247" customFormat="false" ht="11.25" hidden="false" customHeight="true" outlineLevel="0" collapsed="false"/>
    <row r="3248" customFormat="false" ht="11.25" hidden="false" customHeight="true" outlineLevel="0" collapsed="false"/>
    <row r="3249" customFormat="false" ht="11.25" hidden="false" customHeight="true" outlineLevel="0" collapsed="false"/>
    <row r="3250" customFormat="false" ht="11.25" hidden="false" customHeight="true" outlineLevel="0" collapsed="false"/>
    <row r="3251" customFormat="false" ht="11.25" hidden="false" customHeight="true" outlineLevel="0" collapsed="false"/>
    <row r="3252" customFormat="false" ht="11.25" hidden="false" customHeight="true" outlineLevel="0" collapsed="false"/>
    <row r="3253" customFormat="false" ht="11.25" hidden="false" customHeight="true" outlineLevel="0" collapsed="false"/>
    <row r="3254" customFormat="false" ht="11.25" hidden="false" customHeight="true" outlineLevel="0" collapsed="false"/>
    <row r="3255" customFormat="false" ht="11.25" hidden="false" customHeight="true" outlineLevel="0" collapsed="false"/>
    <row r="3256" customFormat="false" ht="11.25" hidden="false" customHeight="true" outlineLevel="0" collapsed="false"/>
    <row r="3257" customFormat="false" ht="11.25" hidden="false" customHeight="true" outlineLevel="0" collapsed="false"/>
    <row r="3258" customFormat="false" ht="11.25" hidden="false" customHeight="true" outlineLevel="0" collapsed="false"/>
    <row r="3259" customFormat="false" ht="11.25" hidden="false" customHeight="true" outlineLevel="0" collapsed="false"/>
    <row r="3260" customFormat="false" ht="11.25" hidden="false" customHeight="true" outlineLevel="0" collapsed="false"/>
    <row r="3261" customFormat="false" ht="11.25" hidden="false" customHeight="true" outlineLevel="0" collapsed="false"/>
    <row r="3262" customFormat="false" ht="11.25" hidden="false" customHeight="true" outlineLevel="0" collapsed="false"/>
    <row r="3263" customFormat="false" ht="11.25" hidden="false" customHeight="true" outlineLevel="0" collapsed="false"/>
    <row r="3264" customFormat="false" ht="11.25" hidden="false" customHeight="true" outlineLevel="0" collapsed="false"/>
    <row r="3265" customFormat="false" ht="11.25" hidden="false" customHeight="true" outlineLevel="0" collapsed="false"/>
    <row r="3266" customFormat="false" ht="11.25" hidden="false" customHeight="true" outlineLevel="0" collapsed="false"/>
    <row r="3267" customFormat="false" ht="11.25" hidden="false" customHeight="true" outlineLevel="0" collapsed="false"/>
    <row r="3268" customFormat="false" ht="11.25" hidden="false" customHeight="true" outlineLevel="0" collapsed="false"/>
    <row r="3269" customFormat="false" ht="11.25" hidden="false" customHeight="true" outlineLevel="0" collapsed="false"/>
    <row r="3270" customFormat="false" ht="11.25" hidden="false" customHeight="true" outlineLevel="0" collapsed="false"/>
    <row r="3271" customFormat="false" ht="11.25" hidden="false" customHeight="true" outlineLevel="0" collapsed="false"/>
    <row r="3272" customFormat="false" ht="11.25" hidden="false" customHeight="true" outlineLevel="0" collapsed="false"/>
    <row r="3273" customFormat="false" ht="11.25" hidden="false" customHeight="true" outlineLevel="0" collapsed="false"/>
    <row r="3274" customFormat="false" ht="11.25" hidden="false" customHeight="true" outlineLevel="0" collapsed="false"/>
    <row r="3275" customFormat="false" ht="11.25" hidden="false" customHeight="true" outlineLevel="0" collapsed="false"/>
    <row r="3276" customFormat="false" ht="11.25" hidden="false" customHeight="true" outlineLevel="0" collapsed="false"/>
    <row r="3277" customFormat="false" ht="11.25" hidden="false" customHeight="true" outlineLevel="0" collapsed="false"/>
    <row r="3278" customFormat="false" ht="11.25" hidden="false" customHeight="true" outlineLevel="0" collapsed="false"/>
    <row r="3279" customFormat="false" ht="11.25" hidden="false" customHeight="true" outlineLevel="0" collapsed="false"/>
    <row r="3280" customFormat="false" ht="11.25" hidden="false" customHeight="true" outlineLevel="0" collapsed="false"/>
    <row r="3281" customFormat="false" ht="11.25" hidden="false" customHeight="true" outlineLevel="0" collapsed="false"/>
    <row r="3282" customFormat="false" ht="11.25" hidden="false" customHeight="true" outlineLevel="0" collapsed="false"/>
    <row r="3283" customFormat="false" ht="11.25" hidden="false" customHeight="true" outlineLevel="0" collapsed="false"/>
    <row r="3284" customFormat="false" ht="11.25" hidden="false" customHeight="true" outlineLevel="0" collapsed="false"/>
    <row r="3285" customFormat="false" ht="11.25" hidden="false" customHeight="true" outlineLevel="0" collapsed="false"/>
    <row r="3286" customFormat="false" ht="11.25" hidden="false" customHeight="true" outlineLevel="0" collapsed="false"/>
    <row r="3287" customFormat="false" ht="11.25" hidden="false" customHeight="true" outlineLevel="0" collapsed="false"/>
    <row r="3288" customFormat="false" ht="11.25" hidden="false" customHeight="true" outlineLevel="0" collapsed="false"/>
    <row r="3289" customFormat="false" ht="11.25" hidden="false" customHeight="true" outlineLevel="0" collapsed="false"/>
    <row r="3290" customFormat="false" ht="11.25" hidden="false" customHeight="true" outlineLevel="0" collapsed="false"/>
    <row r="3291" customFormat="false" ht="11.25" hidden="false" customHeight="true" outlineLevel="0" collapsed="false"/>
    <row r="3292" customFormat="false" ht="11.25" hidden="false" customHeight="true" outlineLevel="0" collapsed="false"/>
    <row r="3293" customFormat="false" ht="11.25" hidden="false" customHeight="true" outlineLevel="0" collapsed="false"/>
    <row r="3294" customFormat="false" ht="11.25" hidden="false" customHeight="true" outlineLevel="0" collapsed="false"/>
    <row r="3295" customFormat="false" ht="11.25" hidden="false" customHeight="true" outlineLevel="0" collapsed="false"/>
    <row r="3296" customFormat="false" ht="11.25" hidden="false" customHeight="true" outlineLevel="0" collapsed="false"/>
    <row r="3297" customFormat="false" ht="11.25" hidden="false" customHeight="true" outlineLevel="0" collapsed="false"/>
    <row r="3298" customFormat="false" ht="11.25" hidden="false" customHeight="true" outlineLevel="0" collapsed="false"/>
    <row r="3299" customFormat="false" ht="11.25" hidden="false" customHeight="true" outlineLevel="0" collapsed="false"/>
    <row r="3300" customFormat="false" ht="11.25" hidden="false" customHeight="true" outlineLevel="0" collapsed="false"/>
    <row r="3301" customFormat="false" ht="11.25" hidden="false" customHeight="true" outlineLevel="0" collapsed="false"/>
    <row r="3302" customFormat="false" ht="11.25" hidden="false" customHeight="true" outlineLevel="0" collapsed="false"/>
    <row r="3303" customFormat="false" ht="11.25" hidden="false" customHeight="true" outlineLevel="0" collapsed="false"/>
    <row r="3304" customFormat="false" ht="11.25" hidden="false" customHeight="true" outlineLevel="0" collapsed="false"/>
    <row r="3305" customFormat="false" ht="11.25" hidden="false" customHeight="true" outlineLevel="0" collapsed="false"/>
    <row r="3306" customFormat="false" ht="11.25" hidden="false" customHeight="true" outlineLevel="0" collapsed="false"/>
    <row r="3307" customFormat="false" ht="11.25" hidden="false" customHeight="true" outlineLevel="0" collapsed="false"/>
    <row r="3308" customFormat="false" ht="11.25" hidden="false" customHeight="true" outlineLevel="0" collapsed="false"/>
    <row r="3309" customFormat="false" ht="11.25" hidden="false" customHeight="true" outlineLevel="0" collapsed="false"/>
    <row r="3310" customFormat="false" ht="11.25" hidden="false" customHeight="true" outlineLevel="0" collapsed="false"/>
    <row r="3311" customFormat="false" ht="11.25" hidden="false" customHeight="true" outlineLevel="0" collapsed="false"/>
    <row r="3312" customFormat="false" ht="11.25" hidden="false" customHeight="true" outlineLevel="0" collapsed="false"/>
    <row r="3313" customFormat="false" ht="11.25" hidden="false" customHeight="true" outlineLevel="0" collapsed="false"/>
    <row r="3314" customFormat="false" ht="11.25" hidden="false" customHeight="true" outlineLevel="0" collapsed="false"/>
    <row r="3315" customFormat="false" ht="11.25" hidden="false" customHeight="true" outlineLevel="0" collapsed="false"/>
    <row r="3316" customFormat="false" ht="11.25" hidden="false" customHeight="true" outlineLevel="0" collapsed="false"/>
    <row r="3317" customFormat="false" ht="11.25" hidden="false" customHeight="true" outlineLevel="0" collapsed="false"/>
    <row r="3318" customFormat="false" ht="11.25" hidden="false" customHeight="true" outlineLevel="0" collapsed="false"/>
    <row r="3319" customFormat="false" ht="11.25" hidden="false" customHeight="true" outlineLevel="0" collapsed="false"/>
    <row r="3320" customFormat="false" ht="11.25" hidden="false" customHeight="true" outlineLevel="0" collapsed="false"/>
    <row r="3321" customFormat="false" ht="11.25" hidden="false" customHeight="true" outlineLevel="0" collapsed="false"/>
    <row r="3322" customFormat="false" ht="11.25" hidden="false" customHeight="true" outlineLevel="0" collapsed="false"/>
    <row r="3323" customFormat="false" ht="11.25" hidden="false" customHeight="true" outlineLevel="0" collapsed="false"/>
    <row r="3324" customFormat="false" ht="11.25" hidden="false" customHeight="true" outlineLevel="0" collapsed="false"/>
    <row r="3325" customFormat="false" ht="11.25" hidden="false" customHeight="true" outlineLevel="0" collapsed="false"/>
    <row r="3326" customFormat="false" ht="11.25" hidden="false" customHeight="true" outlineLevel="0" collapsed="false"/>
    <row r="3327" customFormat="false" ht="11.25" hidden="false" customHeight="true" outlineLevel="0" collapsed="false"/>
    <row r="3328" customFormat="false" ht="11.25" hidden="false" customHeight="true" outlineLevel="0" collapsed="false"/>
    <row r="3329" customFormat="false" ht="11.25" hidden="false" customHeight="true" outlineLevel="0" collapsed="false"/>
    <row r="3330" customFormat="false" ht="11.25" hidden="false" customHeight="true" outlineLevel="0" collapsed="false"/>
    <row r="3331" customFormat="false" ht="11.25" hidden="false" customHeight="true" outlineLevel="0" collapsed="false"/>
    <row r="3332" customFormat="false" ht="11.25" hidden="false" customHeight="true" outlineLevel="0" collapsed="false"/>
    <row r="3333" customFormat="false" ht="11.25" hidden="false" customHeight="true" outlineLevel="0" collapsed="false"/>
    <row r="3334" customFormat="false" ht="11.25" hidden="false" customHeight="true" outlineLevel="0" collapsed="false"/>
    <row r="3335" customFormat="false" ht="11.25" hidden="false" customHeight="true" outlineLevel="0" collapsed="false"/>
    <row r="3336" customFormat="false" ht="11.25" hidden="false" customHeight="true" outlineLevel="0" collapsed="false"/>
    <row r="3337" customFormat="false" ht="11.25" hidden="false" customHeight="true" outlineLevel="0" collapsed="false"/>
    <row r="3338" customFormat="false" ht="11.25" hidden="false" customHeight="true" outlineLevel="0" collapsed="false"/>
    <row r="3339" customFormat="false" ht="11.25" hidden="false" customHeight="true" outlineLevel="0" collapsed="false"/>
    <row r="3340" customFormat="false" ht="11.25" hidden="false" customHeight="true" outlineLevel="0" collapsed="false"/>
    <row r="3341" customFormat="false" ht="11.25" hidden="false" customHeight="true" outlineLevel="0" collapsed="false"/>
    <row r="3342" customFormat="false" ht="11.25" hidden="false" customHeight="true" outlineLevel="0" collapsed="false"/>
    <row r="3343" customFormat="false" ht="11.25" hidden="false" customHeight="true" outlineLevel="0" collapsed="false"/>
    <row r="3344" customFormat="false" ht="11.25" hidden="false" customHeight="true" outlineLevel="0" collapsed="false"/>
    <row r="3345" customFormat="false" ht="11.25" hidden="false" customHeight="true" outlineLevel="0" collapsed="false"/>
    <row r="3346" customFormat="false" ht="11.25" hidden="false" customHeight="true" outlineLevel="0" collapsed="false"/>
    <row r="3347" customFormat="false" ht="11.25" hidden="false" customHeight="true" outlineLevel="0" collapsed="false"/>
    <row r="3348" customFormat="false" ht="11.25" hidden="false" customHeight="true" outlineLevel="0" collapsed="false"/>
    <row r="3349" customFormat="false" ht="11.25" hidden="false" customHeight="true" outlineLevel="0" collapsed="false"/>
    <row r="3350" customFormat="false" ht="11.25" hidden="false" customHeight="true" outlineLevel="0" collapsed="false"/>
    <row r="3351" customFormat="false" ht="11.25" hidden="false" customHeight="true" outlineLevel="0" collapsed="false"/>
    <row r="3352" customFormat="false" ht="11.25" hidden="false" customHeight="true" outlineLevel="0" collapsed="false"/>
    <row r="3353" customFormat="false" ht="11.25" hidden="false" customHeight="true" outlineLevel="0" collapsed="false"/>
    <row r="3354" customFormat="false" ht="11.25" hidden="false" customHeight="true" outlineLevel="0" collapsed="false"/>
    <row r="3355" customFormat="false" ht="11.25" hidden="false" customHeight="true" outlineLevel="0" collapsed="false"/>
    <row r="3356" customFormat="false" ht="11.25" hidden="false" customHeight="true" outlineLevel="0" collapsed="false"/>
    <row r="3357" customFormat="false" ht="11.25" hidden="false" customHeight="true" outlineLevel="0" collapsed="false"/>
    <row r="3358" customFormat="false" ht="11.25" hidden="false" customHeight="true" outlineLevel="0" collapsed="false"/>
    <row r="3359" customFormat="false" ht="11.25" hidden="false" customHeight="true" outlineLevel="0" collapsed="false"/>
    <row r="3360" customFormat="false" ht="11.25" hidden="false" customHeight="true" outlineLevel="0" collapsed="false"/>
    <row r="3361" customFormat="false" ht="11.25" hidden="false" customHeight="true" outlineLevel="0" collapsed="false"/>
    <row r="3362" customFormat="false" ht="11.25" hidden="false" customHeight="true" outlineLevel="0" collapsed="false"/>
    <row r="3363" customFormat="false" ht="11.25" hidden="false" customHeight="true" outlineLevel="0" collapsed="false"/>
    <row r="3364" customFormat="false" ht="11.25" hidden="false" customHeight="true" outlineLevel="0" collapsed="false"/>
    <row r="3365" customFormat="false" ht="11.25" hidden="false" customHeight="true" outlineLevel="0" collapsed="false"/>
    <row r="3366" customFormat="false" ht="11.25" hidden="false" customHeight="true" outlineLevel="0" collapsed="false"/>
    <row r="3367" customFormat="false" ht="11.25" hidden="false" customHeight="true" outlineLevel="0" collapsed="false"/>
    <row r="3368" customFormat="false" ht="11.25" hidden="false" customHeight="true" outlineLevel="0" collapsed="false"/>
    <row r="3369" customFormat="false" ht="11.25" hidden="false" customHeight="true" outlineLevel="0" collapsed="false"/>
    <row r="3370" customFormat="false" ht="11.25" hidden="false" customHeight="true" outlineLevel="0" collapsed="false"/>
    <row r="3371" customFormat="false" ht="11.25" hidden="false" customHeight="true" outlineLevel="0" collapsed="false"/>
    <row r="3372" customFormat="false" ht="11.25" hidden="false" customHeight="true" outlineLevel="0" collapsed="false"/>
    <row r="3373" customFormat="false" ht="11.25" hidden="false" customHeight="true" outlineLevel="0" collapsed="false"/>
    <row r="3374" customFormat="false" ht="11.25" hidden="false" customHeight="true" outlineLevel="0" collapsed="false"/>
    <row r="3375" customFormat="false" ht="11.25" hidden="false" customHeight="true" outlineLevel="0" collapsed="false"/>
    <row r="3376" customFormat="false" ht="11.25" hidden="false" customHeight="true" outlineLevel="0" collapsed="false"/>
    <row r="3377" customFormat="false" ht="11.25" hidden="false" customHeight="true" outlineLevel="0" collapsed="false"/>
    <row r="3378" customFormat="false" ht="11.25" hidden="false" customHeight="true" outlineLevel="0" collapsed="false"/>
    <row r="3379" customFormat="false" ht="11.25" hidden="false" customHeight="true" outlineLevel="0" collapsed="false"/>
    <row r="3380" customFormat="false" ht="11.25" hidden="false" customHeight="true" outlineLevel="0" collapsed="false"/>
    <row r="3381" customFormat="false" ht="11.25" hidden="false" customHeight="true" outlineLevel="0" collapsed="false"/>
    <row r="3382" customFormat="false" ht="11.25" hidden="false" customHeight="true" outlineLevel="0" collapsed="false"/>
    <row r="3383" customFormat="false" ht="11.25" hidden="false" customHeight="true" outlineLevel="0" collapsed="false"/>
    <row r="3384" customFormat="false" ht="11.25" hidden="false" customHeight="true" outlineLevel="0" collapsed="false"/>
    <row r="3385" customFormat="false" ht="11.25" hidden="false" customHeight="true" outlineLevel="0" collapsed="false"/>
    <row r="3386" customFormat="false" ht="11.25" hidden="false" customHeight="true" outlineLevel="0" collapsed="false"/>
    <row r="3387" customFormat="false" ht="11.25" hidden="false" customHeight="true" outlineLevel="0" collapsed="false"/>
    <row r="3388" customFormat="false" ht="11.25" hidden="false" customHeight="true" outlineLevel="0" collapsed="false"/>
    <row r="3389" customFormat="false" ht="11.25" hidden="false" customHeight="true" outlineLevel="0" collapsed="false"/>
    <row r="3390" customFormat="false" ht="11.25" hidden="false" customHeight="true" outlineLevel="0" collapsed="false"/>
    <row r="3391" customFormat="false" ht="11.25" hidden="false" customHeight="true" outlineLevel="0" collapsed="false"/>
    <row r="3392" customFormat="false" ht="11.25" hidden="false" customHeight="true" outlineLevel="0" collapsed="false"/>
    <row r="3393" customFormat="false" ht="11.25" hidden="false" customHeight="true" outlineLevel="0" collapsed="false"/>
    <row r="3394" customFormat="false" ht="11.25" hidden="false" customHeight="true" outlineLevel="0" collapsed="false"/>
    <row r="3395" customFormat="false" ht="11.25" hidden="false" customHeight="true" outlineLevel="0" collapsed="false"/>
    <row r="3396" customFormat="false" ht="11.25" hidden="false" customHeight="true" outlineLevel="0" collapsed="false"/>
    <row r="3397" customFormat="false" ht="11.25" hidden="false" customHeight="true" outlineLevel="0" collapsed="false"/>
    <row r="3398" customFormat="false" ht="11.25" hidden="false" customHeight="true" outlineLevel="0" collapsed="false"/>
    <row r="3399" customFormat="false" ht="11.25" hidden="false" customHeight="true" outlineLevel="0" collapsed="false"/>
    <row r="3400" customFormat="false" ht="11.25" hidden="false" customHeight="true" outlineLevel="0" collapsed="false"/>
    <row r="3401" customFormat="false" ht="11.25" hidden="false" customHeight="true" outlineLevel="0" collapsed="false"/>
    <row r="3402" customFormat="false" ht="11.25" hidden="false" customHeight="true" outlineLevel="0" collapsed="false"/>
    <row r="3403" customFormat="false" ht="11.25" hidden="false" customHeight="true" outlineLevel="0" collapsed="false"/>
    <row r="3404" customFormat="false" ht="11.25" hidden="false" customHeight="true" outlineLevel="0" collapsed="false"/>
    <row r="3405" customFormat="false" ht="11.25" hidden="false" customHeight="true" outlineLevel="0" collapsed="false"/>
    <row r="3406" customFormat="false" ht="11.25" hidden="false" customHeight="true" outlineLevel="0" collapsed="false"/>
    <row r="3407" customFormat="false" ht="11.25" hidden="false" customHeight="true" outlineLevel="0" collapsed="false"/>
    <row r="3408" customFormat="false" ht="11.25" hidden="false" customHeight="true" outlineLevel="0" collapsed="false"/>
    <row r="3409" customFormat="false" ht="11.25" hidden="false" customHeight="true" outlineLevel="0" collapsed="false"/>
    <row r="3410" customFormat="false" ht="11.25" hidden="false" customHeight="true" outlineLevel="0" collapsed="false"/>
    <row r="3411" customFormat="false" ht="11.25" hidden="false" customHeight="true" outlineLevel="0" collapsed="false"/>
    <row r="3412" customFormat="false" ht="11.25" hidden="false" customHeight="true" outlineLevel="0" collapsed="false"/>
    <row r="3413" customFormat="false" ht="11.25" hidden="false" customHeight="true" outlineLevel="0" collapsed="false"/>
    <row r="3414" customFormat="false" ht="11.25" hidden="false" customHeight="true" outlineLevel="0" collapsed="false"/>
    <row r="3415" customFormat="false" ht="11.25" hidden="false" customHeight="true" outlineLevel="0" collapsed="false"/>
    <row r="3416" customFormat="false" ht="11.25" hidden="false" customHeight="true" outlineLevel="0" collapsed="false"/>
    <row r="3417" customFormat="false" ht="11.25" hidden="false" customHeight="true" outlineLevel="0" collapsed="false"/>
    <row r="3418" customFormat="false" ht="11.25" hidden="false" customHeight="true" outlineLevel="0" collapsed="false"/>
    <row r="3419" customFormat="false" ht="11.25" hidden="false" customHeight="true" outlineLevel="0" collapsed="false"/>
    <row r="3420" customFormat="false" ht="11.25" hidden="false" customHeight="true" outlineLevel="0" collapsed="false"/>
    <row r="3421" customFormat="false" ht="11.25" hidden="false" customHeight="true" outlineLevel="0" collapsed="false"/>
    <row r="3422" customFormat="false" ht="11.25" hidden="false" customHeight="true" outlineLevel="0" collapsed="false"/>
    <row r="3423" customFormat="false" ht="11.25" hidden="false" customHeight="true" outlineLevel="0" collapsed="false"/>
    <row r="3424" customFormat="false" ht="11.25" hidden="false" customHeight="true" outlineLevel="0" collapsed="false"/>
    <row r="3425" customFormat="false" ht="11.25" hidden="false" customHeight="true" outlineLevel="0" collapsed="false"/>
    <row r="3426" customFormat="false" ht="11.25" hidden="false" customHeight="true" outlineLevel="0" collapsed="false"/>
    <row r="3427" customFormat="false" ht="11.25" hidden="false" customHeight="true" outlineLevel="0" collapsed="false"/>
    <row r="3428" customFormat="false" ht="11.25" hidden="false" customHeight="true" outlineLevel="0" collapsed="false"/>
    <row r="3429" customFormat="false" ht="11.25" hidden="false" customHeight="true" outlineLevel="0" collapsed="false"/>
    <row r="3430" customFormat="false" ht="11.25" hidden="false" customHeight="true" outlineLevel="0" collapsed="false"/>
    <row r="3431" customFormat="false" ht="11.25" hidden="false" customHeight="true" outlineLevel="0" collapsed="false"/>
    <row r="3432" customFormat="false" ht="11.25" hidden="false" customHeight="true" outlineLevel="0" collapsed="false"/>
    <row r="3433" customFormat="false" ht="11.25" hidden="false" customHeight="true" outlineLevel="0" collapsed="false"/>
    <row r="3434" customFormat="false" ht="11.25" hidden="false" customHeight="true" outlineLevel="0" collapsed="false"/>
    <row r="3435" customFormat="false" ht="11.25" hidden="false" customHeight="true" outlineLevel="0" collapsed="false"/>
    <row r="3436" customFormat="false" ht="11.25" hidden="false" customHeight="true" outlineLevel="0" collapsed="false"/>
    <row r="3437" customFormat="false" ht="11.25" hidden="false" customHeight="true" outlineLevel="0" collapsed="false"/>
    <row r="3438" customFormat="false" ht="11.25" hidden="false" customHeight="true" outlineLevel="0" collapsed="false"/>
    <row r="3439" customFormat="false" ht="11.25" hidden="false" customHeight="true" outlineLevel="0" collapsed="false"/>
    <row r="3440" customFormat="false" ht="11.25" hidden="false" customHeight="true" outlineLevel="0" collapsed="false"/>
    <row r="3441" customFormat="false" ht="11.25" hidden="false" customHeight="true" outlineLevel="0" collapsed="false"/>
    <row r="3442" customFormat="false" ht="11.25" hidden="false" customHeight="true" outlineLevel="0" collapsed="false"/>
    <row r="3443" customFormat="false" ht="11.25" hidden="false" customHeight="true" outlineLevel="0" collapsed="false"/>
    <row r="3444" customFormat="false" ht="11.25" hidden="false" customHeight="true" outlineLevel="0" collapsed="false"/>
    <row r="3445" customFormat="false" ht="11.25" hidden="false" customHeight="true" outlineLevel="0" collapsed="false"/>
    <row r="3446" customFormat="false" ht="11.25" hidden="false" customHeight="true" outlineLevel="0" collapsed="false"/>
    <row r="3447" customFormat="false" ht="11.25" hidden="false" customHeight="true" outlineLevel="0" collapsed="false"/>
    <row r="3448" customFormat="false" ht="11.25" hidden="false" customHeight="true" outlineLevel="0" collapsed="false"/>
    <row r="3449" customFormat="false" ht="11.25" hidden="false" customHeight="true" outlineLevel="0" collapsed="false"/>
    <row r="3450" customFormat="false" ht="11.25" hidden="false" customHeight="true" outlineLevel="0" collapsed="false"/>
    <row r="3451" customFormat="false" ht="11.25" hidden="false" customHeight="true" outlineLevel="0" collapsed="false"/>
    <row r="3452" customFormat="false" ht="11.25" hidden="false" customHeight="true" outlineLevel="0" collapsed="false"/>
    <row r="3453" customFormat="false" ht="11.25" hidden="false" customHeight="true" outlineLevel="0" collapsed="false"/>
    <row r="3454" customFormat="false" ht="11.25" hidden="false" customHeight="true" outlineLevel="0" collapsed="false"/>
    <row r="3455" customFormat="false" ht="11.25" hidden="false" customHeight="true" outlineLevel="0" collapsed="false"/>
    <row r="3456" customFormat="false" ht="11.25" hidden="false" customHeight="true" outlineLevel="0" collapsed="false"/>
    <row r="3457" customFormat="false" ht="11.25" hidden="false" customHeight="true" outlineLevel="0" collapsed="false"/>
    <row r="3458" customFormat="false" ht="11.25" hidden="false" customHeight="true" outlineLevel="0" collapsed="false"/>
    <row r="3459" customFormat="false" ht="11.25" hidden="false" customHeight="true" outlineLevel="0" collapsed="false"/>
    <row r="3460" customFormat="false" ht="11.25" hidden="false" customHeight="true" outlineLevel="0" collapsed="false"/>
    <row r="3461" customFormat="false" ht="11.25" hidden="false" customHeight="true" outlineLevel="0" collapsed="false"/>
    <row r="3462" customFormat="false" ht="11.25" hidden="false" customHeight="true" outlineLevel="0" collapsed="false"/>
    <row r="3463" customFormat="false" ht="11.25" hidden="false" customHeight="true" outlineLevel="0" collapsed="false"/>
    <row r="3464" customFormat="false" ht="11.25" hidden="false" customHeight="true" outlineLevel="0" collapsed="false"/>
    <row r="3465" customFormat="false" ht="11.25" hidden="false" customHeight="true" outlineLevel="0" collapsed="false"/>
    <row r="3466" customFormat="false" ht="11.25" hidden="false" customHeight="true" outlineLevel="0" collapsed="false"/>
    <row r="3467" customFormat="false" ht="11.25" hidden="false" customHeight="true" outlineLevel="0" collapsed="false"/>
    <row r="3468" customFormat="false" ht="11.25" hidden="false" customHeight="true" outlineLevel="0" collapsed="false"/>
    <row r="3469" customFormat="false" ht="11.25" hidden="false" customHeight="true" outlineLevel="0" collapsed="false"/>
    <row r="3470" customFormat="false" ht="11.25" hidden="false" customHeight="true" outlineLevel="0" collapsed="false"/>
    <row r="3471" customFormat="false" ht="11.25" hidden="false" customHeight="true" outlineLevel="0" collapsed="false"/>
    <row r="3472" customFormat="false" ht="11.25" hidden="false" customHeight="true" outlineLevel="0" collapsed="false"/>
    <row r="3473" customFormat="false" ht="11.25" hidden="false" customHeight="true" outlineLevel="0" collapsed="false"/>
    <row r="3474" customFormat="false" ht="11.25" hidden="false" customHeight="true" outlineLevel="0" collapsed="false"/>
    <row r="3475" customFormat="false" ht="11.25" hidden="false" customHeight="true" outlineLevel="0" collapsed="false"/>
    <row r="3476" customFormat="false" ht="11.25" hidden="false" customHeight="true" outlineLevel="0" collapsed="false"/>
    <row r="3477" customFormat="false" ht="11.25" hidden="false" customHeight="true" outlineLevel="0" collapsed="false"/>
    <row r="3478" customFormat="false" ht="11.25" hidden="false" customHeight="true" outlineLevel="0" collapsed="false"/>
    <row r="3479" customFormat="false" ht="11.25" hidden="false" customHeight="true" outlineLevel="0" collapsed="false"/>
    <row r="3480" customFormat="false" ht="11.25" hidden="false" customHeight="true" outlineLevel="0" collapsed="false"/>
    <row r="3481" customFormat="false" ht="11.25" hidden="false" customHeight="true" outlineLevel="0" collapsed="false"/>
    <row r="3482" customFormat="false" ht="11.25" hidden="false" customHeight="true" outlineLevel="0" collapsed="false"/>
    <row r="3483" customFormat="false" ht="11.25" hidden="false" customHeight="true" outlineLevel="0" collapsed="false"/>
    <row r="3484" customFormat="false" ht="11.25" hidden="false" customHeight="true" outlineLevel="0" collapsed="false"/>
    <row r="3485" customFormat="false" ht="11.25" hidden="false" customHeight="true" outlineLevel="0" collapsed="false"/>
    <row r="3486" customFormat="false" ht="11.25" hidden="false" customHeight="true" outlineLevel="0" collapsed="false"/>
    <row r="3487" customFormat="false" ht="11.25" hidden="false" customHeight="true" outlineLevel="0" collapsed="false"/>
    <row r="3488" customFormat="false" ht="11.25" hidden="false" customHeight="true" outlineLevel="0" collapsed="false"/>
    <row r="3489" customFormat="false" ht="11.25" hidden="false" customHeight="true" outlineLevel="0" collapsed="false"/>
    <row r="3490" customFormat="false" ht="11.25" hidden="false" customHeight="true" outlineLevel="0" collapsed="false"/>
    <row r="3491" customFormat="false" ht="11.25" hidden="false" customHeight="true" outlineLevel="0" collapsed="false"/>
    <row r="3492" customFormat="false" ht="11.25" hidden="false" customHeight="true" outlineLevel="0" collapsed="false"/>
    <row r="3493" customFormat="false" ht="11.25" hidden="false" customHeight="true" outlineLevel="0" collapsed="false"/>
    <row r="3494" customFormat="false" ht="11.25" hidden="false" customHeight="true" outlineLevel="0" collapsed="false"/>
    <row r="3495" customFormat="false" ht="11.25" hidden="false" customHeight="true" outlineLevel="0" collapsed="false"/>
    <row r="3496" customFormat="false" ht="11.25" hidden="false" customHeight="true" outlineLevel="0" collapsed="false"/>
    <row r="3497" customFormat="false" ht="11.25" hidden="false" customHeight="true" outlineLevel="0" collapsed="false"/>
    <row r="3498" customFormat="false" ht="11.25" hidden="false" customHeight="true" outlineLevel="0" collapsed="false"/>
    <row r="3499" customFormat="false" ht="11.25" hidden="false" customHeight="true" outlineLevel="0" collapsed="false"/>
    <row r="3500" customFormat="false" ht="11.25" hidden="false" customHeight="true" outlineLevel="0" collapsed="false"/>
    <row r="3501" customFormat="false" ht="11.25" hidden="false" customHeight="true" outlineLevel="0" collapsed="false"/>
    <row r="3502" customFormat="false" ht="11.25" hidden="false" customHeight="true" outlineLevel="0" collapsed="false"/>
    <row r="3503" customFormat="false" ht="11.25" hidden="false" customHeight="true" outlineLevel="0" collapsed="false"/>
    <row r="3504" customFormat="false" ht="11.25" hidden="false" customHeight="true" outlineLevel="0" collapsed="false"/>
    <row r="3505" customFormat="false" ht="11.25" hidden="false" customHeight="true" outlineLevel="0" collapsed="false"/>
    <row r="3506" customFormat="false" ht="11.25" hidden="false" customHeight="true" outlineLevel="0" collapsed="false"/>
    <row r="3507" customFormat="false" ht="11.25" hidden="false" customHeight="true" outlineLevel="0" collapsed="false"/>
    <row r="3508" customFormat="false" ht="11.25" hidden="false" customHeight="true" outlineLevel="0" collapsed="false"/>
    <row r="3509" customFormat="false" ht="11.25" hidden="false" customHeight="true" outlineLevel="0" collapsed="false"/>
    <row r="3510" customFormat="false" ht="11.25" hidden="false" customHeight="true" outlineLevel="0" collapsed="false"/>
    <row r="3511" customFormat="false" ht="11.25" hidden="false" customHeight="true" outlineLevel="0" collapsed="false"/>
    <row r="3512" customFormat="false" ht="11.25" hidden="false" customHeight="true" outlineLevel="0" collapsed="false"/>
    <row r="3513" customFormat="false" ht="11.25" hidden="false" customHeight="true" outlineLevel="0" collapsed="false"/>
    <row r="3514" customFormat="false" ht="11.25" hidden="false" customHeight="true" outlineLevel="0" collapsed="false"/>
    <row r="3515" customFormat="false" ht="11.25" hidden="false" customHeight="true" outlineLevel="0" collapsed="false"/>
    <row r="3516" customFormat="false" ht="11.25" hidden="false" customHeight="true" outlineLevel="0" collapsed="false"/>
    <row r="3517" customFormat="false" ht="11.25" hidden="false" customHeight="true" outlineLevel="0" collapsed="false"/>
    <row r="3518" customFormat="false" ht="11.25" hidden="false" customHeight="true" outlineLevel="0" collapsed="false"/>
    <row r="3519" customFormat="false" ht="11.25" hidden="false" customHeight="true" outlineLevel="0" collapsed="false"/>
    <row r="3520" customFormat="false" ht="11.25" hidden="false" customHeight="true" outlineLevel="0" collapsed="false"/>
    <row r="3521" customFormat="false" ht="11.25" hidden="false" customHeight="true" outlineLevel="0" collapsed="false"/>
    <row r="3522" customFormat="false" ht="11.25" hidden="false" customHeight="true" outlineLevel="0" collapsed="false"/>
    <row r="3523" customFormat="false" ht="11.25" hidden="false" customHeight="true" outlineLevel="0" collapsed="false"/>
    <row r="3524" customFormat="false" ht="11.25" hidden="false" customHeight="true" outlineLevel="0" collapsed="false"/>
    <row r="3525" customFormat="false" ht="11.25" hidden="false" customHeight="true" outlineLevel="0" collapsed="false"/>
    <row r="3526" customFormat="false" ht="11.25" hidden="false" customHeight="true" outlineLevel="0" collapsed="false"/>
    <row r="3527" customFormat="false" ht="11.25" hidden="false" customHeight="true" outlineLevel="0" collapsed="false"/>
    <row r="3528" customFormat="false" ht="11.25" hidden="false" customHeight="true" outlineLevel="0" collapsed="false"/>
    <row r="3529" customFormat="false" ht="11.25" hidden="false" customHeight="true" outlineLevel="0" collapsed="false"/>
    <row r="3530" customFormat="false" ht="11.25" hidden="false" customHeight="true" outlineLevel="0" collapsed="false"/>
    <row r="3531" customFormat="false" ht="11.25" hidden="false" customHeight="true" outlineLevel="0" collapsed="false"/>
    <row r="3532" customFormat="false" ht="11.25" hidden="false" customHeight="true" outlineLevel="0" collapsed="false"/>
    <row r="3533" customFormat="false" ht="11.25" hidden="false" customHeight="true" outlineLevel="0" collapsed="false"/>
    <row r="3534" customFormat="false" ht="11.25" hidden="false" customHeight="true" outlineLevel="0" collapsed="false"/>
    <row r="3535" customFormat="false" ht="11.25" hidden="false" customHeight="true" outlineLevel="0" collapsed="false"/>
    <row r="3536" customFormat="false" ht="11.25" hidden="false" customHeight="true" outlineLevel="0" collapsed="false"/>
    <row r="3537" customFormat="false" ht="11.25" hidden="false" customHeight="true" outlineLevel="0" collapsed="false"/>
    <row r="3538" customFormat="false" ht="11.25" hidden="false" customHeight="true" outlineLevel="0" collapsed="false"/>
    <row r="3539" customFormat="false" ht="11.25" hidden="false" customHeight="true" outlineLevel="0" collapsed="false"/>
    <row r="3540" customFormat="false" ht="11.25" hidden="false" customHeight="true" outlineLevel="0" collapsed="false"/>
    <row r="3541" customFormat="false" ht="11.25" hidden="false" customHeight="true" outlineLevel="0" collapsed="false"/>
    <row r="3542" customFormat="false" ht="11.25" hidden="false" customHeight="true" outlineLevel="0" collapsed="false"/>
    <row r="3543" customFormat="false" ht="11.25" hidden="false" customHeight="true" outlineLevel="0" collapsed="false"/>
    <row r="3544" customFormat="false" ht="11.25" hidden="false" customHeight="true" outlineLevel="0" collapsed="false"/>
    <row r="3545" customFormat="false" ht="11.25" hidden="false" customHeight="true" outlineLevel="0" collapsed="false"/>
    <row r="3546" customFormat="false" ht="11.25" hidden="false" customHeight="true" outlineLevel="0" collapsed="false"/>
    <row r="3547" customFormat="false" ht="11.25" hidden="false" customHeight="true" outlineLevel="0" collapsed="false"/>
    <row r="3548" customFormat="false" ht="11.25" hidden="false" customHeight="true" outlineLevel="0" collapsed="false"/>
    <row r="3549" customFormat="false" ht="11.25" hidden="false" customHeight="true" outlineLevel="0" collapsed="false"/>
    <row r="3550" customFormat="false" ht="11.25" hidden="false" customHeight="true" outlineLevel="0" collapsed="false"/>
    <row r="3551" customFormat="false" ht="11.25" hidden="false" customHeight="true" outlineLevel="0" collapsed="false"/>
    <row r="3552" customFormat="false" ht="11.25" hidden="false" customHeight="true" outlineLevel="0" collapsed="false"/>
    <row r="3553" customFormat="false" ht="11.25" hidden="false" customHeight="true" outlineLevel="0" collapsed="false"/>
    <row r="3554" customFormat="false" ht="11.25" hidden="false" customHeight="true" outlineLevel="0" collapsed="false"/>
    <row r="3555" customFormat="false" ht="11.25" hidden="false" customHeight="true" outlineLevel="0" collapsed="false"/>
    <row r="3556" customFormat="false" ht="11.25" hidden="false" customHeight="true" outlineLevel="0" collapsed="false"/>
    <row r="3557" customFormat="false" ht="11.25" hidden="false" customHeight="true" outlineLevel="0" collapsed="false"/>
    <row r="3558" customFormat="false" ht="11.25" hidden="false" customHeight="true" outlineLevel="0" collapsed="false"/>
    <row r="3559" customFormat="false" ht="11.25" hidden="false" customHeight="true" outlineLevel="0" collapsed="false"/>
    <row r="3560" customFormat="false" ht="11.25" hidden="false" customHeight="true" outlineLevel="0" collapsed="false"/>
    <row r="3561" customFormat="false" ht="11.25" hidden="false" customHeight="true" outlineLevel="0" collapsed="false"/>
    <row r="3562" customFormat="false" ht="11.25" hidden="false" customHeight="true" outlineLevel="0" collapsed="false"/>
    <row r="3563" customFormat="false" ht="11.25" hidden="false" customHeight="true" outlineLevel="0" collapsed="false"/>
    <row r="3564" customFormat="false" ht="11.25" hidden="false" customHeight="true" outlineLevel="0" collapsed="false"/>
    <row r="3565" customFormat="false" ht="11.25" hidden="false" customHeight="true" outlineLevel="0" collapsed="false"/>
    <row r="3566" customFormat="false" ht="11.25" hidden="false" customHeight="true" outlineLevel="0" collapsed="false"/>
    <row r="3567" customFormat="false" ht="11.25" hidden="false" customHeight="true" outlineLevel="0" collapsed="false"/>
    <row r="3568" customFormat="false" ht="11.25" hidden="false" customHeight="true" outlineLevel="0" collapsed="false"/>
    <row r="3569" customFormat="false" ht="11.25" hidden="false" customHeight="true" outlineLevel="0" collapsed="false"/>
    <row r="3570" customFormat="false" ht="11.25" hidden="false" customHeight="true" outlineLevel="0" collapsed="false"/>
    <row r="3571" customFormat="false" ht="11.25" hidden="false" customHeight="true" outlineLevel="0" collapsed="false"/>
    <row r="3572" customFormat="false" ht="11.25" hidden="false" customHeight="true" outlineLevel="0" collapsed="false"/>
    <row r="3573" customFormat="false" ht="11.25" hidden="false" customHeight="true" outlineLevel="0" collapsed="false"/>
    <row r="3574" customFormat="false" ht="11.25" hidden="false" customHeight="true" outlineLevel="0" collapsed="false"/>
    <row r="3575" customFormat="false" ht="11.25" hidden="false" customHeight="true" outlineLevel="0" collapsed="false"/>
    <row r="3576" customFormat="false" ht="11.25" hidden="false" customHeight="true" outlineLevel="0" collapsed="false"/>
    <row r="3577" customFormat="false" ht="11.25" hidden="false" customHeight="true" outlineLevel="0" collapsed="false"/>
    <row r="3578" customFormat="false" ht="11.25" hidden="false" customHeight="true" outlineLevel="0" collapsed="false"/>
    <row r="3579" customFormat="false" ht="11.25" hidden="false" customHeight="true" outlineLevel="0" collapsed="false"/>
    <row r="3580" customFormat="false" ht="11.25" hidden="false" customHeight="true" outlineLevel="0" collapsed="false"/>
    <row r="3581" customFormat="false" ht="11.25" hidden="false" customHeight="true" outlineLevel="0" collapsed="false"/>
    <row r="3582" customFormat="false" ht="11.25" hidden="false" customHeight="true" outlineLevel="0" collapsed="false"/>
    <row r="3583" customFormat="false" ht="11.25" hidden="false" customHeight="true" outlineLevel="0" collapsed="false"/>
    <row r="3584" customFormat="false" ht="11.25" hidden="false" customHeight="true" outlineLevel="0" collapsed="false"/>
    <row r="3585" customFormat="false" ht="11.25" hidden="false" customHeight="true" outlineLevel="0" collapsed="false"/>
    <row r="3586" customFormat="false" ht="11.25" hidden="false" customHeight="true" outlineLevel="0" collapsed="false"/>
    <row r="3587" customFormat="false" ht="11.25" hidden="false" customHeight="true" outlineLevel="0" collapsed="false"/>
    <row r="3588" customFormat="false" ht="11.25" hidden="false" customHeight="true" outlineLevel="0" collapsed="false"/>
    <row r="3589" customFormat="false" ht="11.25" hidden="false" customHeight="true" outlineLevel="0" collapsed="false"/>
    <row r="3590" customFormat="false" ht="11.25" hidden="false" customHeight="true" outlineLevel="0" collapsed="false"/>
    <row r="3591" customFormat="false" ht="11.25" hidden="false" customHeight="true" outlineLevel="0" collapsed="false"/>
    <row r="3592" customFormat="false" ht="11.25" hidden="false" customHeight="true" outlineLevel="0" collapsed="false"/>
    <row r="3593" customFormat="false" ht="11.25" hidden="false" customHeight="true" outlineLevel="0" collapsed="false"/>
    <row r="3594" customFormat="false" ht="11.25" hidden="false" customHeight="true" outlineLevel="0" collapsed="false"/>
    <row r="3595" customFormat="false" ht="11.25" hidden="false" customHeight="true" outlineLevel="0" collapsed="false"/>
    <row r="3596" customFormat="false" ht="11.25" hidden="false" customHeight="true" outlineLevel="0" collapsed="false"/>
    <row r="3597" customFormat="false" ht="11.25" hidden="false" customHeight="true" outlineLevel="0" collapsed="false"/>
    <row r="3598" customFormat="false" ht="11.25" hidden="false" customHeight="true" outlineLevel="0" collapsed="false"/>
    <row r="3599" customFormat="false" ht="11.25" hidden="false" customHeight="true" outlineLevel="0" collapsed="false"/>
    <row r="3600" customFormat="false" ht="11.25" hidden="false" customHeight="true" outlineLevel="0" collapsed="false"/>
    <row r="3601" customFormat="false" ht="11.25" hidden="false" customHeight="true" outlineLevel="0" collapsed="false"/>
    <row r="3602" customFormat="false" ht="11.25" hidden="false" customHeight="true" outlineLevel="0" collapsed="false"/>
    <row r="3603" customFormat="false" ht="11.25" hidden="false" customHeight="true" outlineLevel="0" collapsed="false"/>
    <row r="3604" customFormat="false" ht="11.25" hidden="false" customHeight="true" outlineLevel="0" collapsed="false"/>
    <row r="3605" customFormat="false" ht="11.25" hidden="false" customHeight="true" outlineLevel="0" collapsed="false"/>
    <row r="3606" customFormat="false" ht="11.25" hidden="false" customHeight="true" outlineLevel="0" collapsed="false"/>
    <row r="3607" customFormat="false" ht="11.25" hidden="false" customHeight="true" outlineLevel="0" collapsed="false"/>
    <row r="3608" customFormat="false" ht="11.25" hidden="false" customHeight="true" outlineLevel="0" collapsed="false"/>
    <row r="3609" customFormat="false" ht="11.25" hidden="false" customHeight="true" outlineLevel="0" collapsed="false"/>
    <row r="3610" customFormat="false" ht="11.25" hidden="false" customHeight="true" outlineLevel="0" collapsed="false"/>
    <row r="3611" customFormat="false" ht="11.25" hidden="false" customHeight="true" outlineLevel="0" collapsed="false"/>
    <row r="3612" customFormat="false" ht="11.25" hidden="false" customHeight="true" outlineLevel="0" collapsed="false"/>
    <row r="3613" customFormat="false" ht="11.25" hidden="false" customHeight="true" outlineLevel="0" collapsed="false"/>
    <row r="3614" customFormat="false" ht="11.25" hidden="false" customHeight="true" outlineLevel="0" collapsed="false"/>
    <row r="3615" customFormat="false" ht="11.25" hidden="false" customHeight="true" outlineLevel="0" collapsed="false"/>
    <row r="3616" customFormat="false" ht="11.25" hidden="false" customHeight="true" outlineLevel="0" collapsed="false"/>
    <row r="3617" customFormat="false" ht="11.25" hidden="false" customHeight="true" outlineLevel="0" collapsed="false"/>
    <row r="3618" customFormat="false" ht="11.25" hidden="false" customHeight="true" outlineLevel="0" collapsed="false"/>
    <row r="3619" customFormat="false" ht="11.25" hidden="false" customHeight="true" outlineLevel="0" collapsed="false"/>
    <row r="3620" customFormat="false" ht="11.25" hidden="false" customHeight="true" outlineLevel="0" collapsed="false"/>
    <row r="3621" customFormat="false" ht="11.25" hidden="false" customHeight="true" outlineLevel="0" collapsed="false"/>
    <row r="3622" customFormat="false" ht="11.25" hidden="false" customHeight="true" outlineLevel="0" collapsed="false"/>
    <row r="3623" customFormat="false" ht="11.25" hidden="false" customHeight="true" outlineLevel="0" collapsed="false"/>
    <row r="3624" customFormat="false" ht="11.25" hidden="false" customHeight="true" outlineLevel="0" collapsed="false"/>
    <row r="3625" customFormat="false" ht="11.25" hidden="false" customHeight="true" outlineLevel="0" collapsed="false"/>
    <row r="3626" customFormat="false" ht="11.25" hidden="false" customHeight="true" outlineLevel="0" collapsed="false"/>
    <row r="3627" customFormat="false" ht="11.25" hidden="false" customHeight="true" outlineLevel="0" collapsed="false"/>
    <row r="3628" customFormat="false" ht="11.25" hidden="false" customHeight="true" outlineLevel="0" collapsed="false"/>
    <row r="3629" customFormat="false" ht="11.25" hidden="false" customHeight="true" outlineLevel="0" collapsed="false"/>
    <row r="3630" customFormat="false" ht="11.25" hidden="false" customHeight="true" outlineLevel="0" collapsed="false"/>
    <row r="3631" customFormat="false" ht="11.25" hidden="false" customHeight="true" outlineLevel="0" collapsed="false"/>
    <row r="3632" customFormat="false" ht="11.25" hidden="false" customHeight="true" outlineLevel="0" collapsed="false"/>
    <row r="3633" customFormat="false" ht="11.25" hidden="false" customHeight="true" outlineLevel="0" collapsed="false"/>
    <row r="3634" customFormat="false" ht="11.25" hidden="false" customHeight="true" outlineLevel="0" collapsed="false"/>
    <row r="3635" customFormat="false" ht="11.25" hidden="false" customHeight="true" outlineLevel="0" collapsed="false"/>
    <row r="3636" customFormat="false" ht="11.25" hidden="false" customHeight="true" outlineLevel="0" collapsed="false"/>
    <row r="3637" customFormat="false" ht="11.25" hidden="false" customHeight="true" outlineLevel="0" collapsed="false"/>
    <row r="3638" customFormat="false" ht="11.25" hidden="false" customHeight="true" outlineLevel="0" collapsed="false"/>
    <row r="3639" customFormat="false" ht="11.25" hidden="false" customHeight="true" outlineLevel="0" collapsed="false"/>
    <row r="3640" customFormat="false" ht="11.25" hidden="false" customHeight="true" outlineLevel="0" collapsed="false"/>
    <row r="3641" customFormat="false" ht="11.25" hidden="false" customHeight="true" outlineLevel="0" collapsed="false"/>
    <row r="3642" customFormat="false" ht="11.25" hidden="false" customHeight="true" outlineLevel="0" collapsed="false"/>
    <row r="3643" customFormat="false" ht="11.25" hidden="false" customHeight="true" outlineLevel="0" collapsed="false"/>
    <row r="3644" customFormat="false" ht="11.25" hidden="false" customHeight="true" outlineLevel="0" collapsed="false"/>
    <row r="3645" customFormat="false" ht="11.25" hidden="false" customHeight="true" outlineLevel="0" collapsed="false"/>
    <row r="3646" customFormat="false" ht="11.25" hidden="false" customHeight="true" outlineLevel="0" collapsed="false"/>
    <row r="3647" customFormat="false" ht="11.25" hidden="false" customHeight="true" outlineLevel="0" collapsed="false"/>
    <row r="3648" customFormat="false" ht="11.25" hidden="false" customHeight="true" outlineLevel="0" collapsed="false"/>
    <row r="3649" customFormat="false" ht="11.25" hidden="false" customHeight="true" outlineLevel="0" collapsed="false"/>
    <row r="3650" customFormat="false" ht="11.25" hidden="false" customHeight="true" outlineLevel="0" collapsed="false"/>
    <row r="3651" customFormat="false" ht="11.25" hidden="false" customHeight="true" outlineLevel="0" collapsed="false"/>
    <row r="3652" customFormat="false" ht="11.25" hidden="false" customHeight="true" outlineLevel="0" collapsed="false"/>
    <row r="3653" customFormat="false" ht="11.25" hidden="false" customHeight="true" outlineLevel="0" collapsed="false"/>
    <row r="3654" customFormat="false" ht="11.25" hidden="false" customHeight="true" outlineLevel="0" collapsed="false"/>
    <row r="3655" customFormat="false" ht="11.25" hidden="false" customHeight="true" outlineLevel="0" collapsed="false"/>
    <row r="3656" customFormat="false" ht="11.25" hidden="false" customHeight="true" outlineLevel="0" collapsed="false"/>
    <row r="3657" customFormat="false" ht="11.25" hidden="false" customHeight="true" outlineLevel="0" collapsed="false"/>
    <row r="3658" customFormat="false" ht="11.25" hidden="false" customHeight="true" outlineLevel="0" collapsed="false"/>
    <row r="3659" customFormat="false" ht="11.25" hidden="false" customHeight="true" outlineLevel="0" collapsed="false"/>
    <row r="3660" customFormat="false" ht="11.25" hidden="false" customHeight="true" outlineLevel="0" collapsed="false"/>
    <row r="3661" customFormat="false" ht="11.25" hidden="false" customHeight="true" outlineLevel="0" collapsed="false"/>
    <row r="3662" customFormat="false" ht="11.25" hidden="false" customHeight="true" outlineLevel="0" collapsed="false"/>
    <row r="3663" customFormat="false" ht="11.25" hidden="false" customHeight="true" outlineLevel="0" collapsed="false"/>
    <row r="3664" customFormat="false" ht="11.25" hidden="false" customHeight="true" outlineLevel="0" collapsed="false"/>
    <row r="3665" customFormat="false" ht="11.25" hidden="false" customHeight="true" outlineLevel="0" collapsed="false"/>
    <row r="3666" customFormat="false" ht="11.25" hidden="false" customHeight="true" outlineLevel="0" collapsed="false"/>
    <row r="3667" customFormat="false" ht="11.25" hidden="false" customHeight="true" outlineLevel="0" collapsed="false"/>
    <row r="3668" customFormat="false" ht="11.25" hidden="false" customHeight="true" outlineLevel="0" collapsed="false"/>
    <row r="3669" customFormat="false" ht="11.25" hidden="false" customHeight="true" outlineLevel="0" collapsed="false"/>
    <row r="3670" customFormat="false" ht="11.25" hidden="false" customHeight="true" outlineLevel="0" collapsed="false"/>
    <row r="3671" customFormat="false" ht="11.25" hidden="false" customHeight="true" outlineLevel="0" collapsed="false"/>
    <row r="3672" customFormat="false" ht="11.25" hidden="false" customHeight="true" outlineLevel="0" collapsed="false"/>
    <row r="3673" customFormat="false" ht="11.25" hidden="false" customHeight="true" outlineLevel="0" collapsed="false"/>
    <row r="3674" customFormat="false" ht="11.25" hidden="false" customHeight="true" outlineLevel="0" collapsed="false"/>
    <row r="3675" customFormat="false" ht="11.25" hidden="false" customHeight="true" outlineLevel="0" collapsed="false"/>
    <row r="3676" customFormat="false" ht="11.25" hidden="false" customHeight="true" outlineLevel="0" collapsed="false"/>
    <row r="3677" customFormat="false" ht="11.25" hidden="false" customHeight="true" outlineLevel="0" collapsed="false"/>
    <row r="3678" customFormat="false" ht="11.25" hidden="false" customHeight="true" outlineLevel="0" collapsed="false"/>
    <row r="3679" customFormat="false" ht="11.25" hidden="false" customHeight="true" outlineLevel="0" collapsed="false"/>
    <row r="3680" customFormat="false" ht="11.25" hidden="false" customHeight="true" outlineLevel="0" collapsed="false"/>
    <row r="3681" customFormat="false" ht="11.25" hidden="false" customHeight="true" outlineLevel="0" collapsed="false"/>
    <row r="3682" customFormat="false" ht="11.25" hidden="false" customHeight="true" outlineLevel="0" collapsed="false"/>
    <row r="3683" customFormat="false" ht="11.25" hidden="false" customHeight="true" outlineLevel="0" collapsed="false"/>
    <row r="3684" customFormat="false" ht="11.25" hidden="false" customHeight="true" outlineLevel="0" collapsed="false"/>
    <row r="3685" customFormat="false" ht="11.25" hidden="false" customHeight="true" outlineLevel="0" collapsed="false"/>
    <row r="3686" customFormat="false" ht="11.25" hidden="false" customHeight="true" outlineLevel="0" collapsed="false"/>
    <row r="3687" customFormat="false" ht="11.25" hidden="false" customHeight="true" outlineLevel="0" collapsed="false"/>
    <row r="3688" customFormat="false" ht="11.25" hidden="false" customHeight="true" outlineLevel="0" collapsed="false"/>
    <row r="3689" customFormat="false" ht="11.25" hidden="false" customHeight="true" outlineLevel="0" collapsed="false"/>
    <row r="3690" customFormat="false" ht="11.25" hidden="false" customHeight="true" outlineLevel="0" collapsed="false"/>
    <row r="3691" customFormat="false" ht="11.25" hidden="false" customHeight="true" outlineLevel="0" collapsed="false"/>
    <row r="3692" customFormat="false" ht="11.25" hidden="false" customHeight="true" outlineLevel="0" collapsed="false"/>
    <row r="3693" customFormat="false" ht="11.25" hidden="false" customHeight="true" outlineLevel="0" collapsed="false"/>
    <row r="3694" customFormat="false" ht="11.25" hidden="false" customHeight="true" outlineLevel="0" collapsed="false"/>
    <row r="3695" customFormat="false" ht="11.25" hidden="false" customHeight="true" outlineLevel="0" collapsed="false"/>
    <row r="3696" customFormat="false" ht="11.25" hidden="false" customHeight="true" outlineLevel="0" collapsed="false"/>
    <row r="3697" customFormat="false" ht="11.25" hidden="false" customHeight="true" outlineLevel="0" collapsed="false"/>
    <row r="3698" customFormat="false" ht="11.25" hidden="false" customHeight="true" outlineLevel="0" collapsed="false"/>
    <row r="3699" customFormat="false" ht="11.25" hidden="false" customHeight="true" outlineLevel="0" collapsed="false"/>
    <row r="3700" customFormat="false" ht="11.25" hidden="false" customHeight="true" outlineLevel="0" collapsed="false"/>
    <row r="3701" customFormat="false" ht="11.25" hidden="false" customHeight="true" outlineLevel="0" collapsed="false"/>
    <row r="3702" customFormat="false" ht="11.25" hidden="false" customHeight="true" outlineLevel="0" collapsed="false"/>
    <row r="3703" customFormat="false" ht="11.25" hidden="false" customHeight="true" outlineLevel="0" collapsed="false"/>
    <row r="3704" customFormat="false" ht="11.25" hidden="false" customHeight="true" outlineLevel="0" collapsed="false"/>
    <row r="3705" customFormat="false" ht="11.25" hidden="false" customHeight="true" outlineLevel="0" collapsed="false"/>
    <row r="3706" customFormat="false" ht="11.25" hidden="false" customHeight="true" outlineLevel="0" collapsed="false"/>
    <row r="3707" customFormat="false" ht="11.25" hidden="false" customHeight="true" outlineLevel="0" collapsed="false"/>
    <row r="3708" customFormat="false" ht="11.25" hidden="false" customHeight="true" outlineLevel="0" collapsed="false"/>
    <row r="3709" customFormat="false" ht="11.25" hidden="false" customHeight="true" outlineLevel="0" collapsed="false"/>
    <row r="3710" customFormat="false" ht="11.25" hidden="false" customHeight="true" outlineLevel="0" collapsed="false"/>
    <row r="3711" customFormat="false" ht="11.25" hidden="false" customHeight="true" outlineLevel="0" collapsed="false"/>
    <row r="3712" customFormat="false" ht="11.25" hidden="false" customHeight="true" outlineLevel="0" collapsed="false"/>
    <row r="3713" customFormat="false" ht="11.25" hidden="false" customHeight="true" outlineLevel="0" collapsed="false"/>
    <row r="3714" customFormat="false" ht="11.25" hidden="false" customHeight="true" outlineLevel="0" collapsed="false"/>
    <row r="3715" customFormat="false" ht="11.25" hidden="false" customHeight="true" outlineLevel="0" collapsed="false"/>
    <row r="3716" customFormat="false" ht="11.25" hidden="false" customHeight="true" outlineLevel="0" collapsed="false"/>
    <row r="3717" customFormat="false" ht="11.25" hidden="false" customHeight="true" outlineLevel="0" collapsed="false"/>
    <row r="3718" customFormat="false" ht="11.25" hidden="false" customHeight="true" outlineLevel="0" collapsed="false"/>
    <row r="3719" customFormat="false" ht="11.25" hidden="false" customHeight="true" outlineLevel="0" collapsed="false"/>
    <row r="3720" customFormat="false" ht="11.25" hidden="false" customHeight="true" outlineLevel="0" collapsed="false"/>
    <row r="3721" customFormat="false" ht="11.25" hidden="false" customHeight="true" outlineLevel="0" collapsed="false"/>
    <row r="3722" customFormat="false" ht="11.25" hidden="false" customHeight="true" outlineLevel="0" collapsed="false"/>
    <row r="3723" customFormat="false" ht="11.25" hidden="false" customHeight="true" outlineLevel="0" collapsed="false"/>
    <row r="3724" customFormat="false" ht="11.25" hidden="false" customHeight="true" outlineLevel="0" collapsed="false"/>
    <row r="3725" customFormat="false" ht="11.25" hidden="false" customHeight="true" outlineLevel="0" collapsed="false"/>
    <row r="3726" customFormat="false" ht="11.25" hidden="false" customHeight="true" outlineLevel="0" collapsed="false"/>
    <row r="3727" customFormat="false" ht="11.25" hidden="false" customHeight="true" outlineLevel="0" collapsed="false"/>
    <row r="3728" customFormat="false" ht="11.25" hidden="false" customHeight="true" outlineLevel="0" collapsed="false"/>
    <row r="3729" customFormat="false" ht="11.25" hidden="false" customHeight="true" outlineLevel="0" collapsed="false"/>
    <row r="3730" customFormat="false" ht="11.25" hidden="false" customHeight="true" outlineLevel="0" collapsed="false"/>
    <row r="3731" customFormat="false" ht="11.25" hidden="false" customHeight="true" outlineLevel="0" collapsed="false"/>
    <row r="3732" customFormat="false" ht="11.25" hidden="false" customHeight="true" outlineLevel="0" collapsed="false"/>
    <row r="3733" customFormat="false" ht="11.25" hidden="false" customHeight="true" outlineLevel="0" collapsed="false"/>
    <row r="3734" customFormat="false" ht="11.25" hidden="false" customHeight="true" outlineLevel="0" collapsed="false"/>
    <row r="3735" customFormat="false" ht="11.25" hidden="false" customHeight="true" outlineLevel="0" collapsed="false"/>
    <row r="3736" customFormat="false" ht="11.25" hidden="false" customHeight="true" outlineLevel="0" collapsed="false"/>
    <row r="3737" customFormat="false" ht="11.25" hidden="false" customHeight="true" outlineLevel="0" collapsed="false"/>
    <row r="3738" customFormat="false" ht="11.25" hidden="false" customHeight="true" outlineLevel="0" collapsed="false"/>
    <row r="3739" customFormat="false" ht="11.25" hidden="false" customHeight="true" outlineLevel="0" collapsed="false"/>
    <row r="3740" customFormat="false" ht="11.25" hidden="false" customHeight="true" outlineLevel="0" collapsed="false"/>
    <row r="3741" customFormat="false" ht="11.25" hidden="false" customHeight="true" outlineLevel="0" collapsed="false"/>
    <row r="3742" customFormat="false" ht="11.25" hidden="false" customHeight="true" outlineLevel="0" collapsed="false"/>
    <row r="3743" customFormat="false" ht="11.25" hidden="false" customHeight="true" outlineLevel="0" collapsed="false"/>
    <row r="3744" customFormat="false" ht="11.25" hidden="false" customHeight="true" outlineLevel="0" collapsed="false"/>
    <row r="3745" customFormat="false" ht="11.25" hidden="false" customHeight="true" outlineLevel="0" collapsed="false"/>
    <row r="3746" customFormat="false" ht="11.25" hidden="false" customHeight="true" outlineLevel="0" collapsed="false"/>
    <row r="3747" customFormat="false" ht="11.25" hidden="false" customHeight="true" outlineLevel="0" collapsed="false"/>
    <row r="3748" customFormat="false" ht="11.25" hidden="false" customHeight="true" outlineLevel="0" collapsed="false"/>
    <row r="3749" customFormat="false" ht="11.25" hidden="false" customHeight="true" outlineLevel="0" collapsed="false"/>
    <row r="3750" customFormat="false" ht="11.25" hidden="false" customHeight="true" outlineLevel="0" collapsed="false"/>
    <row r="3751" customFormat="false" ht="11.25" hidden="false" customHeight="true" outlineLevel="0" collapsed="false"/>
    <row r="3752" customFormat="false" ht="11.25" hidden="false" customHeight="true" outlineLevel="0" collapsed="false"/>
    <row r="3753" customFormat="false" ht="11.25" hidden="false" customHeight="true" outlineLevel="0" collapsed="false"/>
    <row r="3754" customFormat="false" ht="11.25" hidden="false" customHeight="true" outlineLevel="0" collapsed="false"/>
    <row r="3755" customFormat="false" ht="11.25" hidden="false" customHeight="true" outlineLevel="0" collapsed="false"/>
    <row r="3756" customFormat="false" ht="11.25" hidden="false" customHeight="true" outlineLevel="0" collapsed="false"/>
    <row r="3757" customFormat="false" ht="11.25" hidden="false" customHeight="true" outlineLevel="0" collapsed="false"/>
    <row r="3758" customFormat="false" ht="11.25" hidden="false" customHeight="true" outlineLevel="0" collapsed="false"/>
    <row r="3759" customFormat="false" ht="11.25" hidden="false" customHeight="true" outlineLevel="0" collapsed="false"/>
    <row r="3760" customFormat="false" ht="11.25" hidden="false" customHeight="true" outlineLevel="0" collapsed="false"/>
    <row r="3761" customFormat="false" ht="11.25" hidden="false" customHeight="true" outlineLevel="0" collapsed="false"/>
    <row r="3762" customFormat="false" ht="11.25" hidden="false" customHeight="true" outlineLevel="0" collapsed="false"/>
    <row r="3763" customFormat="false" ht="11.25" hidden="false" customHeight="true" outlineLevel="0" collapsed="false"/>
    <row r="3764" customFormat="false" ht="11.25" hidden="false" customHeight="true" outlineLevel="0" collapsed="false"/>
    <row r="3765" customFormat="false" ht="11.25" hidden="false" customHeight="true" outlineLevel="0" collapsed="false"/>
    <row r="3766" customFormat="false" ht="11.25" hidden="false" customHeight="true" outlineLevel="0" collapsed="false"/>
    <row r="3767" customFormat="false" ht="11.25" hidden="false" customHeight="true" outlineLevel="0" collapsed="false"/>
    <row r="3768" customFormat="false" ht="11.25" hidden="false" customHeight="true" outlineLevel="0" collapsed="false"/>
    <row r="3769" customFormat="false" ht="11.25" hidden="false" customHeight="true" outlineLevel="0" collapsed="false"/>
    <row r="3770" customFormat="false" ht="11.25" hidden="false" customHeight="true" outlineLevel="0" collapsed="false"/>
    <row r="3771" customFormat="false" ht="11.25" hidden="false" customHeight="true" outlineLevel="0" collapsed="false"/>
    <row r="3772" customFormat="false" ht="11.25" hidden="false" customHeight="true" outlineLevel="0" collapsed="false"/>
    <row r="3773" customFormat="false" ht="11.25" hidden="false" customHeight="true" outlineLevel="0" collapsed="false"/>
    <row r="3774" customFormat="false" ht="11.25" hidden="false" customHeight="true" outlineLevel="0" collapsed="false"/>
    <row r="3775" customFormat="false" ht="11.25" hidden="false" customHeight="true" outlineLevel="0" collapsed="false"/>
    <row r="3776" customFormat="false" ht="11.25" hidden="false" customHeight="true" outlineLevel="0" collapsed="false"/>
    <row r="3777" customFormat="false" ht="11.25" hidden="false" customHeight="true" outlineLevel="0" collapsed="false"/>
    <row r="3778" customFormat="false" ht="11.25" hidden="false" customHeight="true" outlineLevel="0" collapsed="false"/>
    <row r="3779" customFormat="false" ht="11.25" hidden="false" customHeight="true" outlineLevel="0" collapsed="false"/>
    <row r="3780" customFormat="false" ht="11.25" hidden="false" customHeight="true" outlineLevel="0" collapsed="false"/>
    <row r="3781" customFormat="false" ht="11.25" hidden="false" customHeight="true" outlineLevel="0" collapsed="false"/>
    <row r="3782" customFormat="false" ht="11.25" hidden="false" customHeight="true" outlineLevel="0" collapsed="false"/>
    <row r="3783" customFormat="false" ht="11.25" hidden="false" customHeight="true" outlineLevel="0" collapsed="false"/>
    <row r="3784" customFormat="false" ht="11.25" hidden="false" customHeight="true" outlineLevel="0" collapsed="false"/>
    <row r="3785" customFormat="false" ht="11.25" hidden="false" customHeight="true" outlineLevel="0" collapsed="false"/>
    <row r="3786" customFormat="false" ht="11.25" hidden="false" customHeight="true" outlineLevel="0" collapsed="false"/>
    <row r="3787" customFormat="false" ht="11.25" hidden="false" customHeight="true" outlineLevel="0" collapsed="false"/>
    <row r="3788" customFormat="false" ht="11.25" hidden="false" customHeight="true" outlineLevel="0" collapsed="false"/>
    <row r="3789" customFormat="false" ht="11.25" hidden="false" customHeight="true" outlineLevel="0" collapsed="false"/>
    <row r="3790" customFormat="false" ht="11.25" hidden="false" customHeight="true" outlineLevel="0" collapsed="false"/>
    <row r="3791" customFormat="false" ht="11.25" hidden="false" customHeight="true" outlineLevel="0" collapsed="false"/>
    <row r="3792" customFormat="false" ht="11.25" hidden="false" customHeight="true" outlineLevel="0" collapsed="false"/>
    <row r="3793" customFormat="false" ht="11.25" hidden="false" customHeight="true" outlineLevel="0" collapsed="false"/>
    <row r="3794" customFormat="false" ht="11.25" hidden="false" customHeight="true" outlineLevel="0" collapsed="false"/>
    <row r="3795" customFormat="false" ht="11.25" hidden="false" customHeight="true" outlineLevel="0" collapsed="false"/>
    <row r="3796" customFormat="false" ht="11.25" hidden="false" customHeight="true" outlineLevel="0" collapsed="false"/>
    <row r="3797" customFormat="false" ht="11.25" hidden="false" customHeight="true" outlineLevel="0" collapsed="false"/>
    <row r="3798" customFormat="false" ht="11.25" hidden="false" customHeight="true" outlineLevel="0" collapsed="false"/>
    <row r="3799" customFormat="false" ht="11.25" hidden="false" customHeight="true" outlineLevel="0" collapsed="false"/>
    <row r="3800" customFormat="false" ht="11.25" hidden="false" customHeight="true" outlineLevel="0" collapsed="false"/>
    <row r="3801" customFormat="false" ht="11.25" hidden="false" customHeight="true" outlineLevel="0" collapsed="false"/>
    <row r="3802" customFormat="false" ht="11.25" hidden="false" customHeight="true" outlineLevel="0" collapsed="false"/>
    <row r="3803" customFormat="false" ht="11.25" hidden="false" customHeight="true" outlineLevel="0" collapsed="false"/>
    <row r="3804" customFormat="false" ht="11.25" hidden="false" customHeight="true" outlineLevel="0" collapsed="false"/>
    <row r="3805" customFormat="false" ht="11.25" hidden="false" customHeight="true" outlineLevel="0" collapsed="false"/>
    <row r="3806" customFormat="false" ht="11.25" hidden="false" customHeight="true" outlineLevel="0" collapsed="false"/>
    <row r="3807" customFormat="false" ht="11.25" hidden="false" customHeight="true" outlineLevel="0" collapsed="false"/>
    <row r="3808" customFormat="false" ht="11.25" hidden="false" customHeight="true" outlineLevel="0" collapsed="false"/>
    <row r="3809" customFormat="false" ht="11.25" hidden="false" customHeight="true" outlineLevel="0" collapsed="false"/>
    <row r="3810" customFormat="false" ht="11.25" hidden="false" customHeight="true" outlineLevel="0" collapsed="false"/>
    <row r="3811" customFormat="false" ht="11.25" hidden="false" customHeight="true" outlineLevel="0" collapsed="false"/>
    <row r="3812" customFormat="false" ht="11.25" hidden="false" customHeight="true" outlineLevel="0" collapsed="false"/>
    <row r="3813" customFormat="false" ht="11.25" hidden="false" customHeight="true" outlineLevel="0" collapsed="false"/>
    <row r="3814" customFormat="false" ht="11.25" hidden="false" customHeight="true" outlineLevel="0" collapsed="false"/>
    <row r="3815" customFormat="false" ht="11.25" hidden="false" customHeight="true" outlineLevel="0" collapsed="false"/>
    <row r="3816" customFormat="false" ht="11.25" hidden="false" customHeight="true" outlineLevel="0" collapsed="false"/>
    <row r="3817" customFormat="false" ht="11.25" hidden="false" customHeight="true" outlineLevel="0" collapsed="false"/>
    <row r="3818" customFormat="false" ht="11.25" hidden="false" customHeight="true" outlineLevel="0" collapsed="false"/>
    <row r="3819" customFormat="false" ht="11.25" hidden="false" customHeight="true" outlineLevel="0" collapsed="false"/>
    <row r="3820" customFormat="false" ht="11.25" hidden="false" customHeight="true" outlineLevel="0" collapsed="false"/>
    <row r="3821" customFormat="false" ht="11.25" hidden="false" customHeight="true" outlineLevel="0" collapsed="false"/>
    <row r="3822" customFormat="false" ht="11.25" hidden="false" customHeight="true" outlineLevel="0" collapsed="false"/>
    <row r="3823" customFormat="false" ht="11.25" hidden="false" customHeight="true" outlineLevel="0" collapsed="false"/>
    <row r="3824" customFormat="false" ht="11.25" hidden="false" customHeight="true" outlineLevel="0" collapsed="false"/>
    <row r="3825" customFormat="false" ht="11.25" hidden="false" customHeight="true" outlineLevel="0" collapsed="false"/>
    <row r="3826" customFormat="false" ht="11.25" hidden="false" customHeight="true" outlineLevel="0" collapsed="false"/>
    <row r="3827" customFormat="false" ht="11.25" hidden="false" customHeight="true" outlineLevel="0" collapsed="false"/>
    <row r="3828" customFormat="false" ht="11.25" hidden="false" customHeight="true" outlineLevel="0" collapsed="false"/>
    <row r="3829" customFormat="false" ht="11.25" hidden="false" customHeight="true" outlineLevel="0" collapsed="false"/>
    <row r="3830" customFormat="false" ht="11.25" hidden="false" customHeight="true" outlineLevel="0" collapsed="false"/>
    <row r="3831" customFormat="false" ht="11.25" hidden="false" customHeight="true" outlineLevel="0" collapsed="false"/>
    <row r="3832" customFormat="false" ht="11.25" hidden="false" customHeight="true" outlineLevel="0" collapsed="false"/>
    <row r="3833" customFormat="false" ht="11.25" hidden="false" customHeight="true" outlineLevel="0" collapsed="false"/>
    <row r="3834" customFormat="false" ht="11.25" hidden="false" customHeight="true" outlineLevel="0" collapsed="false"/>
    <row r="3835" customFormat="false" ht="11.25" hidden="false" customHeight="true" outlineLevel="0" collapsed="false"/>
    <row r="3836" customFormat="false" ht="11.25" hidden="false" customHeight="true" outlineLevel="0" collapsed="false"/>
    <row r="3837" customFormat="false" ht="11.25" hidden="false" customHeight="true" outlineLevel="0" collapsed="false"/>
    <row r="3838" customFormat="false" ht="11.25" hidden="false" customHeight="true" outlineLevel="0" collapsed="false"/>
    <row r="3839" customFormat="false" ht="11.25" hidden="false" customHeight="true" outlineLevel="0" collapsed="false"/>
    <row r="3840" customFormat="false" ht="11.25" hidden="false" customHeight="true" outlineLevel="0" collapsed="false"/>
    <row r="3841" customFormat="false" ht="11.25" hidden="false" customHeight="true" outlineLevel="0" collapsed="false"/>
    <row r="3842" customFormat="false" ht="11.25" hidden="false" customHeight="true" outlineLevel="0" collapsed="false"/>
    <row r="3843" customFormat="false" ht="11.25" hidden="false" customHeight="true" outlineLevel="0" collapsed="false"/>
    <row r="3844" customFormat="false" ht="11.25" hidden="false" customHeight="true" outlineLevel="0" collapsed="false"/>
    <row r="3845" customFormat="false" ht="11.25" hidden="false" customHeight="true" outlineLevel="0" collapsed="false"/>
    <row r="3846" customFormat="false" ht="11.25" hidden="false" customHeight="true" outlineLevel="0" collapsed="false"/>
    <row r="3847" customFormat="false" ht="11.25" hidden="false" customHeight="true" outlineLevel="0" collapsed="false"/>
    <row r="3848" customFormat="false" ht="11.25" hidden="false" customHeight="true" outlineLevel="0" collapsed="false"/>
    <row r="3849" customFormat="false" ht="11.25" hidden="false" customHeight="true" outlineLevel="0" collapsed="false"/>
    <row r="3850" customFormat="false" ht="11.25" hidden="false" customHeight="true" outlineLevel="0" collapsed="false"/>
    <row r="3851" customFormat="false" ht="11.25" hidden="false" customHeight="true" outlineLevel="0" collapsed="false"/>
    <row r="3852" customFormat="false" ht="11.25" hidden="false" customHeight="true" outlineLevel="0" collapsed="false"/>
    <row r="3853" customFormat="false" ht="11.25" hidden="false" customHeight="true" outlineLevel="0" collapsed="false"/>
    <row r="3854" customFormat="false" ht="11.25" hidden="false" customHeight="true" outlineLevel="0" collapsed="false"/>
    <row r="3855" customFormat="false" ht="11.25" hidden="false" customHeight="true" outlineLevel="0" collapsed="false"/>
    <row r="3856" customFormat="false" ht="11.25" hidden="false" customHeight="true" outlineLevel="0" collapsed="false"/>
    <row r="3857" customFormat="false" ht="11.25" hidden="false" customHeight="true" outlineLevel="0" collapsed="false"/>
    <row r="3858" customFormat="false" ht="11.25" hidden="false" customHeight="true" outlineLevel="0" collapsed="false"/>
    <row r="3859" customFormat="false" ht="11.25" hidden="false" customHeight="true" outlineLevel="0" collapsed="false"/>
    <row r="3860" customFormat="false" ht="11.25" hidden="false" customHeight="true" outlineLevel="0" collapsed="false"/>
    <row r="3861" customFormat="false" ht="11.25" hidden="false" customHeight="true" outlineLevel="0" collapsed="false"/>
    <row r="3862" customFormat="false" ht="11.25" hidden="false" customHeight="true" outlineLevel="0" collapsed="false"/>
    <row r="3863" customFormat="false" ht="11.25" hidden="false" customHeight="true" outlineLevel="0" collapsed="false"/>
    <row r="3864" customFormat="false" ht="11.25" hidden="false" customHeight="true" outlineLevel="0" collapsed="false"/>
    <row r="3865" customFormat="false" ht="11.25" hidden="false" customHeight="true" outlineLevel="0" collapsed="false"/>
    <row r="3866" customFormat="false" ht="11.25" hidden="false" customHeight="true" outlineLevel="0" collapsed="false"/>
    <row r="3867" customFormat="false" ht="11.25" hidden="false" customHeight="true" outlineLevel="0" collapsed="false"/>
    <row r="3868" customFormat="false" ht="11.25" hidden="false" customHeight="true" outlineLevel="0" collapsed="false"/>
    <row r="3869" customFormat="false" ht="11.25" hidden="false" customHeight="true" outlineLevel="0" collapsed="false"/>
    <row r="3870" customFormat="false" ht="11.25" hidden="false" customHeight="true" outlineLevel="0" collapsed="false"/>
    <row r="3871" customFormat="false" ht="11.25" hidden="false" customHeight="true" outlineLevel="0" collapsed="false"/>
    <row r="3872" customFormat="false" ht="11.25" hidden="false" customHeight="true" outlineLevel="0" collapsed="false"/>
    <row r="3873" customFormat="false" ht="11.25" hidden="false" customHeight="true" outlineLevel="0" collapsed="false"/>
    <row r="3874" customFormat="false" ht="11.25" hidden="false" customHeight="true" outlineLevel="0" collapsed="false"/>
    <row r="3875" customFormat="false" ht="11.25" hidden="false" customHeight="true" outlineLevel="0" collapsed="false"/>
    <row r="3876" customFormat="false" ht="11.25" hidden="false" customHeight="true" outlineLevel="0" collapsed="false"/>
    <row r="3877" customFormat="false" ht="11.25" hidden="false" customHeight="true" outlineLevel="0" collapsed="false"/>
    <row r="3878" customFormat="false" ht="11.25" hidden="false" customHeight="true" outlineLevel="0" collapsed="false"/>
    <row r="3879" customFormat="false" ht="11.25" hidden="false" customHeight="true" outlineLevel="0" collapsed="false"/>
    <row r="3880" customFormat="false" ht="11.25" hidden="false" customHeight="true" outlineLevel="0" collapsed="false"/>
    <row r="3881" customFormat="false" ht="11.25" hidden="false" customHeight="true" outlineLevel="0" collapsed="false"/>
    <row r="3882" customFormat="false" ht="11.25" hidden="false" customHeight="true" outlineLevel="0" collapsed="false"/>
    <row r="3883" customFormat="false" ht="11.25" hidden="false" customHeight="true" outlineLevel="0" collapsed="false"/>
    <row r="3884" customFormat="false" ht="11.25" hidden="false" customHeight="true" outlineLevel="0" collapsed="false"/>
    <row r="3885" customFormat="false" ht="11.25" hidden="false" customHeight="true" outlineLevel="0" collapsed="false"/>
    <row r="3886" customFormat="false" ht="11.25" hidden="false" customHeight="true" outlineLevel="0" collapsed="false"/>
    <row r="3887" customFormat="false" ht="11.25" hidden="false" customHeight="true" outlineLevel="0" collapsed="false"/>
    <row r="3888" customFormat="false" ht="11.25" hidden="false" customHeight="true" outlineLevel="0" collapsed="false"/>
    <row r="3889" customFormat="false" ht="11.25" hidden="false" customHeight="true" outlineLevel="0" collapsed="false"/>
    <row r="3890" customFormat="false" ht="11.25" hidden="false" customHeight="true" outlineLevel="0" collapsed="false"/>
    <row r="3891" customFormat="false" ht="11.25" hidden="false" customHeight="true" outlineLevel="0" collapsed="false"/>
    <row r="3892" customFormat="false" ht="11.25" hidden="false" customHeight="true" outlineLevel="0" collapsed="false"/>
    <row r="3893" customFormat="false" ht="11.25" hidden="false" customHeight="true" outlineLevel="0" collapsed="false"/>
    <row r="3894" customFormat="false" ht="11.25" hidden="false" customHeight="true" outlineLevel="0" collapsed="false"/>
    <row r="3895" customFormat="false" ht="11.25" hidden="false" customHeight="true" outlineLevel="0" collapsed="false"/>
    <row r="3896" customFormat="false" ht="11.25" hidden="false" customHeight="true" outlineLevel="0" collapsed="false"/>
    <row r="3897" customFormat="false" ht="11.25" hidden="false" customHeight="true" outlineLevel="0" collapsed="false"/>
    <row r="3898" customFormat="false" ht="11.25" hidden="false" customHeight="true" outlineLevel="0" collapsed="false"/>
    <row r="3899" customFormat="false" ht="11.25" hidden="false" customHeight="true" outlineLevel="0" collapsed="false"/>
    <row r="3900" customFormat="false" ht="11.25" hidden="false" customHeight="true" outlineLevel="0" collapsed="false"/>
    <row r="3901" customFormat="false" ht="11.25" hidden="false" customHeight="true" outlineLevel="0" collapsed="false"/>
    <row r="3902" customFormat="false" ht="11.25" hidden="false" customHeight="true" outlineLevel="0" collapsed="false"/>
    <row r="3903" customFormat="false" ht="11.25" hidden="false" customHeight="true" outlineLevel="0" collapsed="false"/>
    <row r="3904" customFormat="false" ht="11.25" hidden="false" customHeight="true" outlineLevel="0" collapsed="false"/>
    <row r="3905" customFormat="false" ht="11.25" hidden="false" customHeight="true" outlineLevel="0" collapsed="false"/>
    <row r="3906" customFormat="false" ht="11.25" hidden="false" customHeight="true" outlineLevel="0" collapsed="false"/>
    <row r="3907" customFormat="false" ht="11.25" hidden="false" customHeight="true" outlineLevel="0" collapsed="false"/>
    <row r="3908" customFormat="false" ht="11.25" hidden="false" customHeight="true" outlineLevel="0" collapsed="false"/>
    <row r="3909" customFormat="false" ht="11.25" hidden="false" customHeight="true" outlineLevel="0" collapsed="false"/>
    <row r="3910" customFormat="false" ht="11.25" hidden="false" customHeight="true" outlineLevel="0" collapsed="false"/>
    <row r="3911" customFormat="false" ht="11.25" hidden="false" customHeight="true" outlineLevel="0" collapsed="false"/>
    <row r="3912" customFormat="false" ht="11.25" hidden="false" customHeight="true" outlineLevel="0" collapsed="false"/>
    <row r="3913" customFormat="false" ht="11.25" hidden="false" customHeight="true" outlineLevel="0" collapsed="false"/>
    <row r="3914" customFormat="false" ht="11.25" hidden="false" customHeight="true" outlineLevel="0" collapsed="false"/>
    <row r="3915" customFormat="false" ht="11.25" hidden="false" customHeight="true" outlineLevel="0" collapsed="false"/>
    <row r="3916" customFormat="false" ht="11.25" hidden="false" customHeight="true" outlineLevel="0" collapsed="false"/>
    <row r="3917" customFormat="false" ht="11.25" hidden="false" customHeight="true" outlineLevel="0" collapsed="false"/>
    <row r="3918" customFormat="false" ht="11.25" hidden="false" customHeight="true" outlineLevel="0" collapsed="false"/>
    <row r="3919" customFormat="false" ht="11.25" hidden="false" customHeight="true" outlineLevel="0" collapsed="false"/>
    <row r="3920" customFormat="false" ht="11.25" hidden="false" customHeight="true" outlineLevel="0" collapsed="false"/>
    <row r="3921" customFormat="false" ht="11.25" hidden="false" customHeight="true" outlineLevel="0" collapsed="false"/>
    <row r="3922" customFormat="false" ht="11.25" hidden="false" customHeight="true" outlineLevel="0" collapsed="false"/>
    <row r="3923" customFormat="false" ht="11.25" hidden="false" customHeight="true" outlineLevel="0" collapsed="false"/>
    <row r="3924" customFormat="false" ht="11.25" hidden="false" customHeight="true" outlineLevel="0" collapsed="false"/>
    <row r="3925" customFormat="false" ht="11.25" hidden="false" customHeight="true" outlineLevel="0" collapsed="false"/>
    <row r="3926" customFormat="false" ht="11.25" hidden="false" customHeight="true" outlineLevel="0" collapsed="false"/>
    <row r="3927" customFormat="false" ht="11.25" hidden="false" customHeight="true" outlineLevel="0" collapsed="false"/>
    <row r="3928" customFormat="false" ht="11.25" hidden="false" customHeight="true" outlineLevel="0" collapsed="false"/>
    <row r="3929" customFormat="false" ht="11.25" hidden="false" customHeight="true" outlineLevel="0" collapsed="false"/>
    <row r="3930" customFormat="false" ht="11.25" hidden="false" customHeight="true" outlineLevel="0" collapsed="false"/>
    <row r="3931" customFormat="false" ht="11.25" hidden="false" customHeight="true" outlineLevel="0" collapsed="false"/>
    <row r="3932" customFormat="false" ht="11.25" hidden="false" customHeight="true" outlineLevel="0" collapsed="false"/>
    <row r="3933" customFormat="false" ht="11.25" hidden="false" customHeight="true" outlineLevel="0" collapsed="false"/>
    <row r="3934" customFormat="false" ht="11.25" hidden="false" customHeight="true" outlineLevel="0" collapsed="false"/>
    <row r="3935" customFormat="false" ht="11.25" hidden="false" customHeight="true" outlineLevel="0" collapsed="false"/>
    <row r="3936" customFormat="false" ht="11.25" hidden="false" customHeight="true" outlineLevel="0" collapsed="false"/>
    <row r="3937" customFormat="false" ht="11.25" hidden="false" customHeight="true" outlineLevel="0" collapsed="false"/>
    <row r="3938" customFormat="false" ht="11.25" hidden="false" customHeight="true" outlineLevel="0" collapsed="false"/>
    <row r="3939" customFormat="false" ht="11.25" hidden="false" customHeight="true" outlineLevel="0" collapsed="false"/>
    <row r="3940" customFormat="false" ht="11.25" hidden="false" customHeight="true" outlineLevel="0" collapsed="false"/>
    <row r="3941" customFormat="false" ht="11.25" hidden="false" customHeight="true" outlineLevel="0" collapsed="false"/>
    <row r="3942" customFormat="false" ht="11.25" hidden="false" customHeight="true" outlineLevel="0" collapsed="false"/>
    <row r="3943" customFormat="false" ht="11.25" hidden="false" customHeight="true" outlineLevel="0" collapsed="false"/>
    <row r="3944" customFormat="false" ht="11.25" hidden="false" customHeight="true" outlineLevel="0" collapsed="false"/>
    <row r="3945" customFormat="false" ht="11.25" hidden="false" customHeight="true" outlineLevel="0" collapsed="false"/>
    <row r="3946" customFormat="false" ht="11.25" hidden="false" customHeight="true" outlineLevel="0" collapsed="false"/>
    <row r="3947" customFormat="false" ht="11.25" hidden="false" customHeight="true" outlineLevel="0" collapsed="false"/>
    <row r="3948" customFormat="false" ht="11.25" hidden="false" customHeight="true" outlineLevel="0" collapsed="false"/>
    <row r="3949" customFormat="false" ht="11.25" hidden="false" customHeight="true" outlineLevel="0" collapsed="false"/>
    <row r="3950" customFormat="false" ht="11.25" hidden="false" customHeight="true" outlineLevel="0" collapsed="false"/>
    <row r="3951" customFormat="false" ht="11.25" hidden="false" customHeight="true" outlineLevel="0" collapsed="false"/>
    <row r="3952" customFormat="false" ht="11.25" hidden="false" customHeight="true" outlineLevel="0" collapsed="false"/>
    <row r="3953" customFormat="false" ht="11.25" hidden="false" customHeight="true" outlineLevel="0" collapsed="false"/>
    <row r="3954" customFormat="false" ht="11.25" hidden="false" customHeight="true" outlineLevel="0" collapsed="false"/>
    <row r="3955" customFormat="false" ht="11.25" hidden="false" customHeight="true" outlineLevel="0" collapsed="false"/>
    <row r="3956" customFormat="false" ht="11.25" hidden="false" customHeight="true" outlineLevel="0" collapsed="false"/>
    <row r="3957" customFormat="false" ht="11.25" hidden="false" customHeight="true" outlineLevel="0" collapsed="false"/>
    <row r="3958" customFormat="false" ht="11.25" hidden="false" customHeight="true" outlineLevel="0" collapsed="false"/>
    <row r="3959" customFormat="false" ht="11.25" hidden="false" customHeight="true" outlineLevel="0" collapsed="false"/>
    <row r="3960" customFormat="false" ht="11.25" hidden="false" customHeight="true" outlineLevel="0" collapsed="false"/>
    <row r="3961" customFormat="false" ht="11.25" hidden="false" customHeight="true" outlineLevel="0" collapsed="false"/>
    <row r="3962" customFormat="false" ht="11.25" hidden="false" customHeight="true" outlineLevel="0" collapsed="false"/>
    <row r="3963" customFormat="false" ht="11.25" hidden="false" customHeight="true" outlineLevel="0" collapsed="false"/>
    <row r="3964" customFormat="false" ht="11.25" hidden="false" customHeight="true" outlineLevel="0" collapsed="false"/>
    <row r="3965" customFormat="false" ht="11.25" hidden="false" customHeight="true" outlineLevel="0" collapsed="false"/>
    <row r="3966" customFormat="false" ht="11.25" hidden="false" customHeight="true" outlineLevel="0" collapsed="false"/>
    <row r="3967" customFormat="false" ht="11.25" hidden="false" customHeight="true" outlineLevel="0" collapsed="false"/>
    <row r="3968" customFormat="false" ht="11.25" hidden="false" customHeight="true" outlineLevel="0" collapsed="false"/>
    <row r="3969" customFormat="false" ht="11.25" hidden="false" customHeight="true" outlineLevel="0" collapsed="false"/>
    <row r="3970" customFormat="false" ht="11.25" hidden="false" customHeight="true" outlineLevel="0" collapsed="false"/>
    <row r="3971" customFormat="false" ht="11.25" hidden="false" customHeight="true" outlineLevel="0" collapsed="false"/>
    <row r="3972" customFormat="false" ht="11.25" hidden="false" customHeight="true" outlineLevel="0" collapsed="false"/>
    <row r="3973" customFormat="false" ht="11.25" hidden="false" customHeight="true" outlineLevel="0" collapsed="false"/>
    <row r="3974" customFormat="false" ht="11.25" hidden="false" customHeight="true" outlineLevel="0" collapsed="false"/>
    <row r="3975" customFormat="false" ht="11.25" hidden="false" customHeight="true" outlineLevel="0" collapsed="false"/>
    <row r="3976" customFormat="false" ht="11.25" hidden="false" customHeight="true" outlineLevel="0" collapsed="false"/>
    <row r="3977" customFormat="false" ht="11.25" hidden="false" customHeight="true" outlineLevel="0" collapsed="false"/>
    <row r="3978" customFormat="false" ht="11.25" hidden="false" customHeight="true" outlineLevel="0" collapsed="false"/>
    <row r="3979" customFormat="false" ht="11.25" hidden="false" customHeight="true" outlineLevel="0" collapsed="false"/>
    <row r="3980" customFormat="false" ht="11.25" hidden="false" customHeight="true" outlineLevel="0" collapsed="false"/>
    <row r="3981" customFormat="false" ht="11.25" hidden="false" customHeight="true" outlineLevel="0" collapsed="false"/>
    <row r="3982" customFormat="false" ht="11.25" hidden="false" customHeight="true" outlineLevel="0" collapsed="false"/>
    <row r="3983" customFormat="false" ht="11.25" hidden="false" customHeight="true" outlineLevel="0" collapsed="false"/>
    <row r="3984" customFormat="false" ht="11.25" hidden="false" customHeight="true" outlineLevel="0" collapsed="false"/>
    <row r="3985" customFormat="false" ht="11.25" hidden="false" customHeight="true" outlineLevel="0" collapsed="false"/>
    <row r="3986" customFormat="false" ht="11.25" hidden="false" customHeight="true" outlineLevel="0" collapsed="false"/>
    <row r="3987" customFormat="false" ht="11.25" hidden="false" customHeight="true" outlineLevel="0" collapsed="false"/>
    <row r="3988" customFormat="false" ht="11.25" hidden="false" customHeight="true" outlineLevel="0" collapsed="false"/>
    <row r="3989" customFormat="false" ht="11.25" hidden="false" customHeight="true" outlineLevel="0" collapsed="false"/>
    <row r="3990" customFormat="false" ht="11.25" hidden="false" customHeight="true" outlineLevel="0" collapsed="false"/>
    <row r="3991" customFormat="false" ht="11.25" hidden="false" customHeight="true" outlineLevel="0" collapsed="false"/>
    <row r="3992" customFormat="false" ht="11.25" hidden="false" customHeight="true" outlineLevel="0" collapsed="false"/>
    <row r="3993" customFormat="false" ht="11.25" hidden="false" customHeight="true" outlineLevel="0" collapsed="false"/>
    <row r="3994" customFormat="false" ht="11.25" hidden="false" customHeight="true" outlineLevel="0" collapsed="false"/>
    <row r="3995" customFormat="false" ht="11.25" hidden="false" customHeight="true" outlineLevel="0" collapsed="false"/>
    <row r="3996" customFormat="false" ht="11.25" hidden="false" customHeight="true" outlineLevel="0" collapsed="false"/>
    <row r="3997" customFormat="false" ht="11.25" hidden="false" customHeight="true" outlineLevel="0" collapsed="false"/>
    <row r="3998" customFormat="false" ht="11.25" hidden="false" customHeight="true" outlineLevel="0" collapsed="false"/>
    <row r="3999" customFormat="false" ht="11.25" hidden="false" customHeight="true" outlineLevel="0" collapsed="false"/>
    <row r="4000" customFormat="false" ht="11.25" hidden="false" customHeight="true" outlineLevel="0" collapsed="false"/>
    <row r="4001" customFormat="false" ht="11.25" hidden="false" customHeight="true" outlineLevel="0" collapsed="false"/>
    <row r="4002" customFormat="false" ht="11.25" hidden="false" customHeight="true" outlineLevel="0" collapsed="false"/>
    <row r="4003" customFormat="false" ht="11.25" hidden="false" customHeight="true" outlineLevel="0" collapsed="false"/>
    <row r="4004" customFormat="false" ht="11.25" hidden="false" customHeight="true" outlineLevel="0" collapsed="false"/>
    <row r="4005" customFormat="false" ht="11.25" hidden="false" customHeight="true" outlineLevel="0" collapsed="false"/>
    <row r="4006" customFormat="false" ht="11.25" hidden="false" customHeight="true" outlineLevel="0" collapsed="false"/>
    <row r="4007" customFormat="false" ht="11.25" hidden="false" customHeight="true" outlineLevel="0" collapsed="false"/>
    <row r="4008" customFormat="false" ht="11.25" hidden="false" customHeight="true" outlineLevel="0" collapsed="false"/>
    <row r="4009" customFormat="false" ht="11.25" hidden="false" customHeight="true" outlineLevel="0" collapsed="false"/>
    <row r="4010" customFormat="false" ht="11.25" hidden="false" customHeight="true" outlineLevel="0" collapsed="false"/>
    <row r="4011" customFormat="false" ht="11.25" hidden="false" customHeight="true" outlineLevel="0" collapsed="false"/>
    <row r="4012" customFormat="false" ht="11.25" hidden="false" customHeight="true" outlineLevel="0" collapsed="false"/>
    <row r="4013" customFormat="false" ht="11.25" hidden="false" customHeight="true" outlineLevel="0" collapsed="false"/>
    <row r="4014" customFormat="false" ht="11.25" hidden="false" customHeight="true" outlineLevel="0" collapsed="false"/>
    <row r="4015" customFormat="false" ht="11.25" hidden="false" customHeight="true" outlineLevel="0" collapsed="false"/>
    <row r="4016" customFormat="false" ht="11.25" hidden="false" customHeight="true" outlineLevel="0" collapsed="false"/>
    <row r="4017" customFormat="false" ht="11.25" hidden="false" customHeight="true" outlineLevel="0" collapsed="false"/>
    <row r="4018" customFormat="false" ht="11.25" hidden="false" customHeight="true" outlineLevel="0" collapsed="false"/>
    <row r="4019" customFormat="false" ht="11.25" hidden="false" customHeight="true" outlineLevel="0" collapsed="false"/>
    <row r="4020" customFormat="false" ht="11.25" hidden="false" customHeight="true" outlineLevel="0" collapsed="false"/>
    <row r="4021" customFormat="false" ht="11.25" hidden="false" customHeight="true" outlineLevel="0" collapsed="false"/>
    <row r="4022" customFormat="false" ht="11.25" hidden="false" customHeight="true" outlineLevel="0" collapsed="false"/>
    <row r="4023" customFormat="false" ht="11.25" hidden="false" customHeight="true" outlineLevel="0" collapsed="false"/>
    <row r="4024" customFormat="false" ht="11.25" hidden="false" customHeight="true" outlineLevel="0" collapsed="false"/>
    <row r="4025" customFormat="false" ht="11.25" hidden="false" customHeight="true" outlineLevel="0" collapsed="false"/>
    <row r="4026" customFormat="false" ht="11.25" hidden="false" customHeight="true" outlineLevel="0" collapsed="false"/>
    <row r="4027" customFormat="false" ht="11.25" hidden="false" customHeight="true" outlineLevel="0" collapsed="false"/>
    <row r="4028" customFormat="false" ht="11.25" hidden="false" customHeight="true" outlineLevel="0" collapsed="false"/>
    <row r="4029" customFormat="false" ht="11.25" hidden="false" customHeight="true" outlineLevel="0" collapsed="false"/>
    <row r="4030" customFormat="false" ht="11.25" hidden="false" customHeight="true" outlineLevel="0" collapsed="false"/>
    <row r="4031" customFormat="false" ht="11.25" hidden="false" customHeight="true" outlineLevel="0" collapsed="false"/>
    <row r="4032" customFormat="false" ht="11.25" hidden="false" customHeight="true" outlineLevel="0" collapsed="false"/>
    <row r="4033" customFormat="false" ht="11.25" hidden="false" customHeight="true" outlineLevel="0" collapsed="false"/>
    <row r="4034" customFormat="false" ht="11.25" hidden="false" customHeight="true" outlineLevel="0" collapsed="false"/>
    <row r="4035" customFormat="false" ht="11.25" hidden="false" customHeight="true" outlineLevel="0" collapsed="false"/>
    <row r="4036" customFormat="false" ht="11.25" hidden="false" customHeight="true" outlineLevel="0" collapsed="false"/>
    <row r="4037" customFormat="false" ht="11.25" hidden="false" customHeight="true" outlineLevel="0" collapsed="false"/>
    <row r="4038" customFormat="false" ht="11.25" hidden="false" customHeight="true" outlineLevel="0" collapsed="false"/>
    <row r="4039" customFormat="false" ht="11.25" hidden="false" customHeight="true" outlineLevel="0" collapsed="false"/>
    <row r="4040" customFormat="false" ht="11.25" hidden="false" customHeight="true" outlineLevel="0" collapsed="false"/>
    <row r="4041" customFormat="false" ht="11.25" hidden="false" customHeight="true" outlineLevel="0" collapsed="false"/>
    <row r="4042" customFormat="false" ht="11.25" hidden="false" customHeight="true" outlineLevel="0" collapsed="false"/>
    <row r="4043" customFormat="false" ht="11.25" hidden="false" customHeight="true" outlineLevel="0" collapsed="false"/>
    <row r="4044" customFormat="false" ht="11.25" hidden="false" customHeight="true" outlineLevel="0" collapsed="false"/>
    <row r="4045" customFormat="false" ht="11.25" hidden="false" customHeight="true" outlineLevel="0" collapsed="false"/>
    <row r="4046" customFormat="false" ht="11.25" hidden="false" customHeight="true" outlineLevel="0" collapsed="false"/>
    <row r="4047" customFormat="false" ht="11.25" hidden="false" customHeight="true" outlineLevel="0" collapsed="false"/>
    <row r="4048" customFormat="false" ht="11.25" hidden="false" customHeight="true" outlineLevel="0" collapsed="false"/>
    <row r="4049" customFormat="false" ht="11.25" hidden="false" customHeight="true" outlineLevel="0" collapsed="false"/>
    <row r="4050" customFormat="false" ht="11.25" hidden="false" customHeight="true" outlineLevel="0" collapsed="false"/>
    <row r="4051" customFormat="false" ht="11.25" hidden="false" customHeight="true" outlineLevel="0" collapsed="false"/>
    <row r="4052" customFormat="false" ht="11.25" hidden="false" customHeight="true" outlineLevel="0" collapsed="false"/>
    <row r="4053" customFormat="false" ht="11.25" hidden="false" customHeight="true" outlineLevel="0" collapsed="false"/>
    <row r="4054" customFormat="false" ht="11.25" hidden="false" customHeight="true" outlineLevel="0" collapsed="false"/>
    <row r="4055" customFormat="false" ht="11.25" hidden="false" customHeight="true" outlineLevel="0" collapsed="false"/>
    <row r="4056" customFormat="false" ht="11.25" hidden="false" customHeight="true" outlineLevel="0" collapsed="false"/>
    <row r="4057" customFormat="false" ht="11.25" hidden="false" customHeight="true" outlineLevel="0" collapsed="false"/>
    <row r="4058" customFormat="false" ht="11.25" hidden="false" customHeight="true" outlineLevel="0" collapsed="false"/>
    <row r="4059" customFormat="false" ht="11.25" hidden="false" customHeight="true" outlineLevel="0" collapsed="false"/>
    <row r="4060" customFormat="false" ht="11.25" hidden="false" customHeight="true" outlineLevel="0" collapsed="false"/>
    <row r="4061" customFormat="false" ht="11.25" hidden="false" customHeight="true" outlineLevel="0" collapsed="false"/>
    <row r="4062" customFormat="false" ht="11.25" hidden="false" customHeight="true" outlineLevel="0" collapsed="false"/>
    <row r="4063" customFormat="false" ht="11.25" hidden="false" customHeight="true" outlineLevel="0" collapsed="false"/>
    <row r="4064" customFormat="false" ht="11.25" hidden="false" customHeight="true" outlineLevel="0" collapsed="false"/>
    <row r="4065" customFormat="false" ht="11.25" hidden="false" customHeight="true" outlineLevel="0" collapsed="false"/>
    <row r="4066" customFormat="false" ht="11.25" hidden="false" customHeight="true" outlineLevel="0" collapsed="false"/>
    <row r="4067" customFormat="false" ht="11.25" hidden="false" customHeight="true" outlineLevel="0" collapsed="false"/>
    <row r="4068" customFormat="false" ht="11.25" hidden="false" customHeight="true" outlineLevel="0" collapsed="false"/>
    <row r="4069" customFormat="false" ht="11.25" hidden="false" customHeight="true" outlineLevel="0" collapsed="false"/>
    <row r="4070" customFormat="false" ht="11.25" hidden="false" customHeight="true" outlineLevel="0" collapsed="false"/>
    <row r="4071" customFormat="false" ht="11.25" hidden="false" customHeight="true" outlineLevel="0" collapsed="false"/>
    <row r="4072" customFormat="false" ht="11.25" hidden="false" customHeight="true" outlineLevel="0" collapsed="false"/>
    <row r="4073" customFormat="false" ht="11.25" hidden="false" customHeight="true" outlineLevel="0" collapsed="false"/>
    <row r="4074" customFormat="false" ht="11.25" hidden="false" customHeight="true" outlineLevel="0" collapsed="false"/>
    <row r="4075" customFormat="false" ht="11.25" hidden="false" customHeight="true" outlineLevel="0" collapsed="false"/>
    <row r="4076" customFormat="false" ht="11.25" hidden="false" customHeight="true" outlineLevel="0" collapsed="false"/>
    <row r="4077" customFormat="false" ht="11.25" hidden="false" customHeight="true" outlineLevel="0" collapsed="false"/>
    <row r="4078" customFormat="false" ht="11.25" hidden="false" customHeight="true" outlineLevel="0" collapsed="false"/>
    <row r="4079" customFormat="false" ht="11.25" hidden="false" customHeight="true" outlineLevel="0" collapsed="false"/>
    <row r="4080" customFormat="false" ht="11.25" hidden="false" customHeight="true" outlineLevel="0" collapsed="false"/>
    <row r="4081" customFormat="false" ht="11.25" hidden="false" customHeight="true" outlineLevel="0" collapsed="false"/>
    <row r="4082" customFormat="false" ht="11.25" hidden="false" customHeight="true" outlineLevel="0" collapsed="false"/>
    <row r="4083" customFormat="false" ht="11.25" hidden="false" customHeight="true" outlineLevel="0" collapsed="false"/>
    <row r="4084" customFormat="false" ht="11.25" hidden="false" customHeight="true" outlineLevel="0" collapsed="false"/>
    <row r="4085" customFormat="false" ht="11.25" hidden="false" customHeight="true" outlineLevel="0" collapsed="false"/>
    <row r="4086" customFormat="false" ht="11.25" hidden="false" customHeight="true" outlineLevel="0" collapsed="false"/>
    <row r="4087" customFormat="false" ht="11.25" hidden="false" customHeight="true" outlineLevel="0" collapsed="false"/>
    <row r="4088" customFormat="false" ht="11.25" hidden="false" customHeight="true" outlineLevel="0" collapsed="false"/>
    <row r="4089" customFormat="false" ht="11.25" hidden="false" customHeight="true" outlineLevel="0" collapsed="false"/>
    <row r="4090" customFormat="false" ht="11.25" hidden="false" customHeight="true" outlineLevel="0" collapsed="false"/>
    <row r="4091" customFormat="false" ht="11.25" hidden="false" customHeight="true" outlineLevel="0" collapsed="false"/>
    <row r="4092" customFormat="false" ht="11.25" hidden="false" customHeight="true" outlineLevel="0" collapsed="false"/>
    <row r="4093" customFormat="false" ht="11.25" hidden="false" customHeight="true" outlineLevel="0" collapsed="false"/>
    <row r="4094" customFormat="false" ht="11.25" hidden="false" customHeight="true" outlineLevel="0" collapsed="false"/>
    <row r="4095" customFormat="false" ht="11.25" hidden="false" customHeight="true" outlineLevel="0" collapsed="false"/>
    <row r="4096" customFormat="false" ht="11.25" hidden="false" customHeight="true" outlineLevel="0" collapsed="false"/>
    <row r="4097" customFormat="false" ht="11.25" hidden="false" customHeight="true" outlineLevel="0" collapsed="false"/>
    <row r="4098" customFormat="false" ht="11.25" hidden="false" customHeight="true" outlineLevel="0" collapsed="false"/>
    <row r="4099" customFormat="false" ht="11.25" hidden="false" customHeight="true" outlineLevel="0" collapsed="false"/>
    <row r="4100" customFormat="false" ht="11.25" hidden="false" customHeight="true" outlineLevel="0" collapsed="false"/>
    <row r="4101" customFormat="false" ht="11.25" hidden="false" customHeight="true" outlineLevel="0" collapsed="false"/>
    <row r="4102" customFormat="false" ht="11.25" hidden="false" customHeight="true" outlineLevel="0" collapsed="false"/>
    <row r="4103" customFormat="false" ht="11.25" hidden="false" customHeight="true" outlineLevel="0" collapsed="false"/>
    <row r="4104" customFormat="false" ht="11.25" hidden="false" customHeight="true" outlineLevel="0" collapsed="false"/>
    <row r="4105" customFormat="false" ht="11.25" hidden="false" customHeight="true" outlineLevel="0" collapsed="false"/>
    <row r="4106" customFormat="false" ht="11.25" hidden="false" customHeight="true" outlineLevel="0" collapsed="false"/>
    <row r="4107" customFormat="false" ht="11.25" hidden="false" customHeight="true" outlineLevel="0" collapsed="false"/>
    <row r="4108" customFormat="false" ht="11.25" hidden="false" customHeight="true" outlineLevel="0" collapsed="false"/>
    <row r="4109" customFormat="false" ht="11.25" hidden="false" customHeight="true" outlineLevel="0" collapsed="false"/>
    <row r="4110" customFormat="false" ht="11.25" hidden="false" customHeight="true" outlineLevel="0" collapsed="false"/>
    <row r="4111" customFormat="false" ht="11.25" hidden="false" customHeight="true" outlineLevel="0" collapsed="false"/>
    <row r="4112" customFormat="false" ht="11.25" hidden="false" customHeight="true" outlineLevel="0" collapsed="false"/>
    <row r="4113" customFormat="false" ht="11.25" hidden="false" customHeight="true" outlineLevel="0" collapsed="false"/>
    <row r="4114" customFormat="false" ht="11.25" hidden="false" customHeight="true" outlineLevel="0" collapsed="false"/>
    <row r="4115" customFormat="false" ht="11.25" hidden="false" customHeight="true" outlineLevel="0" collapsed="false"/>
    <row r="4116" customFormat="false" ht="11.25" hidden="false" customHeight="true" outlineLevel="0" collapsed="false"/>
    <row r="4117" customFormat="false" ht="11.25" hidden="false" customHeight="true" outlineLevel="0" collapsed="false"/>
    <row r="4118" customFormat="false" ht="11.25" hidden="false" customHeight="true" outlineLevel="0" collapsed="false"/>
    <row r="4119" customFormat="false" ht="11.25" hidden="false" customHeight="true" outlineLevel="0" collapsed="false"/>
    <row r="4120" customFormat="false" ht="11.25" hidden="false" customHeight="true" outlineLevel="0" collapsed="false"/>
    <row r="4121" customFormat="false" ht="11.25" hidden="false" customHeight="true" outlineLevel="0" collapsed="false"/>
    <row r="4122" customFormat="false" ht="11.25" hidden="false" customHeight="true" outlineLevel="0" collapsed="false"/>
    <row r="4123" customFormat="false" ht="11.25" hidden="false" customHeight="true" outlineLevel="0" collapsed="false"/>
    <row r="4124" customFormat="false" ht="11.25" hidden="false" customHeight="true" outlineLevel="0" collapsed="false"/>
    <row r="4125" customFormat="false" ht="11.25" hidden="false" customHeight="true" outlineLevel="0" collapsed="false"/>
    <row r="4126" customFormat="false" ht="11.25" hidden="false" customHeight="true" outlineLevel="0" collapsed="false"/>
    <row r="4127" customFormat="false" ht="11.25" hidden="false" customHeight="true" outlineLevel="0" collapsed="false"/>
    <row r="4128" customFormat="false" ht="11.25" hidden="false" customHeight="true" outlineLevel="0" collapsed="false"/>
    <row r="4129" customFormat="false" ht="11.25" hidden="false" customHeight="true" outlineLevel="0" collapsed="false"/>
    <row r="4130" customFormat="false" ht="11.25" hidden="false" customHeight="true" outlineLevel="0" collapsed="false"/>
    <row r="4131" customFormat="false" ht="11.25" hidden="false" customHeight="true" outlineLevel="0" collapsed="false"/>
    <row r="4132" customFormat="false" ht="11.25" hidden="false" customHeight="true" outlineLevel="0" collapsed="false"/>
    <row r="4133" customFormat="false" ht="11.25" hidden="false" customHeight="true" outlineLevel="0" collapsed="false"/>
    <row r="4134" customFormat="false" ht="11.25" hidden="false" customHeight="true" outlineLevel="0" collapsed="false"/>
    <row r="4135" customFormat="false" ht="11.25" hidden="false" customHeight="true" outlineLevel="0" collapsed="false"/>
    <row r="4136" customFormat="false" ht="11.25" hidden="false" customHeight="true" outlineLevel="0" collapsed="false"/>
    <row r="4137" customFormat="false" ht="11.25" hidden="false" customHeight="true" outlineLevel="0" collapsed="false"/>
    <row r="4138" customFormat="false" ht="11.25" hidden="false" customHeight="true" outlineLevel="0" collapsed="false"/>
    <row r="4139" customFormat="false" ht="11.25" hidden="false" customHeight="true" outlineLevel="0" collapsed="false"/>
    <row r="4140" customFormat="false" ht="11.25" hidden="false" customHeight="true" outlineLevel="0" collapsed="false"/>
    <row r="4141" customFormat="false" ht="11.25" hidden="false" customHeight="true" outlineLevel="0" collapsed="false"/>
    <row r="4142" customFormat="false" ht="11.25" hidden="false" customHeight="true" outlineLevel="0" collapsed="false"/>
    <row r="4143" customFormat="false" ht="11.25" hidden="false" customHeight="true" outlineLevel="0" collapsed="false"/>
    <row r="4144" customFormat="false" ht="11.25" hidden="false" customHeight="true" outlineLevel="0" collapsed="false"/>
    <row r="4145" customFormat="false" ht="11.25" hidden="false" customHeight="true" outlineLevel="0" collapsed="false"/>
    <row r="4146" customFormat="false" ht="11.25" hidden="false" customHeight="true" outlineLevel="0" collapsed="false"/>
    <row r="4147" customFormat="false" ht="11.25" hidden="false" customHeight="true" outlineLevel="0" collapsed="false"/>
    <row r="4148" customFormat="false" ht="11.25" hidden="false" customHeight="true" outlineLevel="0" collapsed="false"/>
    <row r="4149" customFormat="false" ht="11.25" hidden="false" customHeight="true" outlineLevel="0" collapsed="false"/>
    <row r="4150" customFormat="false" ht="11.25" hidden="false" customHeight="true" outlineLevel="0" collapsed="false"/>
    <row r="4151" customFormat="false" ht="11.25" hidden="false" customHeight="true" outlineLevel="0" collapsed="false"/>
    <row r="4152" customFormat="false" ht="11.25" hidden="false" customHeight="true" outlineLevel="0" collapsed="false"/>
    <row r="4153" customFormat="false" ht="11.25" hidden="false" customHeight="true" outlineLevel="0" collapsed="false"/>
    <row r="4154" customFormat="false" ht="11.25" hidden="false" customHeight="true" outlineLevel="0" collapsed="false"/>
    <row r="4155" customFormat="false" ht="11.25" hidden="false" customHeight="true" outlineLevel="0" collapsed="false"/>
    <row r="4156" customFormat="false" ht="11.25" hidden="false" customHeight="true" outlineLevel="0" collapsed="false"/>
    <row r="4157" customFormat="false" ht="11.25" hidden="false" customHeight="true" outlineLevel="0" collapsed="false"/>
    <row r="4158" customFormat="false" ht="11.25" hidden="false" customHeight="true" outlineLevel="0" collapsed="false"/>
    <row r="4159" customFormat="false" ht="11.25" hidden="false" customHeight="true" outlineLevel="0" collapsed="false"/>
    <row r="4160" customFormat="false" ht="11.25" hidden="false" customHeight="true" outlineLevel="0" collapsed="false"/>
    <row r="4161" customFormat="false" ht="11.25" hidden="false" customHeight="true" outlineLevel="0" collapsed="false"/>
    <row r="4162" customFormat="false" ht="11.25" hidden="false" customHeight="true" outlineLevel="0" collapsed="false"/>
    <row r="4163" customFormat="false" ht="11.25" hidden="false" customHeight="true" outlineLevel="0" collapsed="false"/>
    <row r="4164" customFormat="false" ht="11.25" hidden="false" customHeight="true" outlineLevel="0" collapsed="false"/>
    <row r="4165" customFormat="false" ht="11.25" hidden="false" customHeight="true" outlineLevel="0" collapsed="false"/>
    <row r="4166" customFormat="false" ht="11.25" hidden="false" customHeight="true" outlineLevel="0" collapsed="false"/>
    <row r="4167" customFormat="false" ht="11.25" hidden="false" customHeight="true" outlineLevel="0" collapsed="false"/>
    <row r="4168" customFormat="false" ht="11.25" hidden="false" customHeight="true" outlineLevel="0" collapsed="false"/>
    <row r="4169" customFormat="false" ht="11.25" hidden="false" customHeight="true" outlineLevel="0" collapsed="false"/>
    <row r="4170" customFormat="false" ht="11.25" hidden="false" customHeight="true" outlineLevel="0" collapsed="false"/>
    <row r="4171" customFormat="false" ht="11.25" hidden="false" customHeight="true" outlineLevel="0" collapsed="false"/>
    <row r="4172" customFormat="false" ht="11.25" hidden="false" customHeight="true" outlineLevel="0" collapsed="false"/>
    <row r="4173" customFormat="false" ht="11.25" hidden="false" customHeight="true" outlineLevel="0" collapsed="false"/>
    <row r="4174" customFormat="false" ht="11.25" hidden="false" customHeight="true" outlineLevel="0" collapsed="false"/>
    <row r="4175" customFormat="false" ht="11.25" hidden="false" customHeight="true" outlineLevel="0" collapsed="false"/>
    <row r="4176" customFormat="false" ht="11.25" hidden="false" customHeight="true" outlineLevel="0" collapsed="false"/>
    <row r="4177" customFormat="false" ht="11.25" hidden="false" customHeight="true" outlineLevel="0" collapsed="false"/>
    <row r="4178" customFormat="false" ht="11.25" hidden="false" customHeight="true" outlineLevel="0" collapsed="false"/>
    <row r="4179" customFormat="false" ht="11.25" hidden="false" customHeight="true" outlineLevel="0" collapsed="false"/>
    <row r="4180" customFormat="false" ht="11.25" hidden="false" customHeight="true" outlineLevel="0" collapsed="false"/>
    <row r="4181" customFormat="false" ht="11.25" hidden="false" customHeight="true" outlineLevel="0" collapsed="false"/>
    <row r="4182" customFormat="false" ht="11.25" hidden="false" customHeight="true" outlineLevel="0" collapsed="false"/>
    <row r="4183" customFormat="false" ht="11.25" hidden="false" customHeight="true" outlineLevel="0" collapsed="false"/>
    <row r="4184" customFormat="false" ht="11.25" hidden="false" customHeight="true" outlineLevel="0" collapsed="false"/>
    <row r="4185" customFormat="false" ht="11.25" hidden="false" customHeight="true" outlineLevel="0" collapsed="false"/>
    <row r="4186" customFormat="false" ht="11.25" hidden="false" customHeight="true" outlineLevel="0" collapsed="false"/>
    <row r="4187" customFormat="false" ht="11.25" hidden="false" customHeight="true" outlineLevel="0" collapsed="false"/>
    <row r="4188" customFormat="false" ht="11.25" hidden="false" customHeight="true" outlineLevel="0" collapsed="false"/>
    <row r="4189" customFormat="false" ht="11.25" hidden="false" customHeight="true" outlineLevel="0" collapsed="false"/>
    <row r="4190" customFormat="false" ht="11.25" hidden="false" customHeight="true" outlineLevel="0" collapsed="false"/>
    <row r="4191" customFormat="false" ht="11.25" hidden="false" customHeight="true" outlineLevel="0" collapsed="false"/>
    <row r="4192" customFormat="false" ht="11.25" hidden="false" customHeight="true" outlineLevel="0" collapsed="false"/>
    <row r="4193" customFormat="false" ht="11.25" hidden="false" customHeight="true" outlineLevel="0" collapsed="false"/>
    <row r="4194" customFormat="false" ht="11.25" hidden="false" customHeight="true" outlineLevel="0" collapsed="false"/>
    <row r="4195" customFormat="false" ht="11.25" hidden="false" customHeight="true" outlineLevel="0" collapsed="false"/>
    <row r="4196" customFormat="false" ht="11.25" hidden="false" customHeight="true" outlineLevel="0" collapsed="false"/>
    <row r="4197" customFormat="false" ht="11.25" hidden="false" customHeight="true" outlineLevel="0" collapsed="false"/>
    <row r="4198" customFormat="false" ht="11.25" hidden="false" customHeight="true" outlineLevel="0" collapsed="false"/>
    <row r="4199" customFormat="false" ht="11.25" hidden="false" customHeight="true" outlineLevel="0" collapsed="false"/>
    <row r="4200" customFormat="false" ht="11.25" hidden="false" customHeight="true" outlineLevel="0" collapsed="false"/>
    <row r="4201" customFormat="false" ht="11.25" hidden="false" customHeight="true" outlineLevel="0" collapsed="false"/>
    <row r="4202" customFormat="false" ht="11.25" hidden="false" customHeight="true" outlineLevel="0" collapsed="false"/>
    <row r="4203" customFormat="false" ht="11.25" hidden="false" customHeight="true" outlineLevel="0" collapsed="false"/>
    <row r="4204" customFormat="false" ht="11.25" hidden="false" customHeight="true" outlineLevel="0" collapsed="false"/>
    <row r="4205" customFormat="false" ht="11.25" hidden="false" customHeight="true" outlineLevel="0" collapsed="false"/>
    <row r="4206" customFormat="false" ht="11.25" hidden="false" customHeight="true" outlineLevel="0" collapsed="false"/>
    <row r="4207" customFormat="false" ht="11.25" hidden="false" customHeight="true" outlineLevel="0" collapsed="false"/>
    <row r="4208" customFormat="false" ht="11.25" hidden="false" customHeight="true" outlineLevel="0" collapsed="false"/>
    <row r="4209" customFormat="false" ht="11.25" hidden="false" customHeight="true" outlineLevel="0" collapsed="false"/>
    <row r="4210" customFormat="false" ht="11.25" hidden="false" customHeight="true" outlineLevel="0" collapsed="false"/>
    <row r="4211" customFormat="false" ht="11.25" hidden="false" customHeight="true" outlineLevel="0" collapsed="false"/>
    <row r="4212" customFormat="false" ht="11.25" hidden="false" customHeight="true" outlineLevel="0" collapsed="false"/>
    <row r="4213" customFormat="false" ht="11.25" hidden="false" customHeight="true" outlineLevel="0" collapsed="false"/>
    <row r="4214" customFormat="false" ht="11.25" hidden="false" customHeight="true" outlineLevel="0" collapsed="false"/>
    <row r="4215" customFormat="false" ht="11.25" hidden="false" customHeight="true" outlineLevel="0" collapsed="false"/>
    <row r="4216" customFormat="false" ht="11.25" hidden="false" customHeight="true" outlineLevel="0" collapsed="false"/>
    <row r="4217" customFormat="false" ht="11.25" hidden="false" customHeight="true" outlineLevel="0" collapsed="false"/>
    <row r="4218" customFormat="false" ht="11.25" hidden="false" customHeight="true" outlineLevel="0" collapsed="false"/>
    <row r="4219" customFormat="false" ht="11.25" hidden="false" customHeight="true" outlineLevel="0" collapsed="false"/>
    <row r="4220" customFormat="false" ht="11.25" hidden="false" customHeight="true" outlineLevel="0" collapsed="false"/>
    <row r="4221" customFormat="false" ht="11.25" hidden="false" customHeight="true" outlineLevel="0" collapsed="false"/>
    <row r="4222" customFormat="false" ht="11.25" hidden="false" customHeight="true" outlineLevel="0" collapsed="false"/>
    <row r="4223" customFormat="false" ht="11.25" hidden="false" customHeight="true" outlineLevel="0" collapsed="false"/>
    <row r="4224" customFormat="false" ht="11.25" hidden="false" customHeight="true" outlineLevel="0" collapsed="false"/>
    <row r="4225" customFormat="false" ht="11.25" hidden="false" customHeight="true" outlineLevel="0" collapsed="false"/>
    <row r="4226" customFormat="false" ht="11.25" hidden="false" customHeight="true" outlineLevel="0" collapsed="false"/>
    <row r="4227" customFormat="false" ht="11.25" hidden="false" customHeight="true" outlineLevel="0" collapsed="false"/>
    <row r="4228" customFormat="false" ht="11.25" hidden="false" customHeight="true" outlineLevel="0" collapsed="false"/>
    <row r="4229" customFormat="false" ht="11.25" hidden="false" customHeight="true" outlineLevel="0" collapsed="false"/>
    <row r="4230" customFormat="false" ht="11.25" hidden="false" customHeight="true" outlineLevel="0" collapsed="false"/>
    <row r="4231" customFormat="false" ht="11.25" hidden="false" customHeight="true" outlineLevel="0" collapsed="false"/>
    <row r="4232" customFormat="false" ht="11.25" hidden="false" customHeight="true" outlineLevel="0" collapsed="false"/>
    <row r="4233" customFormat="false" ht="11.25" hidden="false" customHeight="true" outlineLevel="0" collapsed="false"/>
    <row r="4234" customFormat="false" ht="11.25" hidden="false" customHeight="true" outlineLevel="0" collapsed="false"/>
    <row r="4235" customFormat="false" ht="11.25" hidden="false" customHeight="true" outlineLevel="0" collapsed="false"/>
    <row r="4236" customFormat="false" ht="11.25" hidden="false" customHeight="true" outlineLevel="0" collapsed="false"/>
    <row r="4237" customFormat="false" ht="11.25" hidden="false" customHeight="true" outlineLevel="0" collapsed="false"/>
    <row r="4238" customFormat="false" ht="11.25" hidden="false" customHeight="true" outlineLevel="0" collapsed="false"/>
    <row r="4239" customFormat="false" ht="11.25" hidden="false" customHeight="true" outlineLevel="0" collapsed="false"/>
    <row r="4240" customFormat="false" ht="11.25" hidden="false" customHeight="true" outlineLevel="0" collapsed="false"/>
    <row r="4241" customFormat="false" ht="11.25" hidden="false" customHeight="true" outlineLevel="0" collapsed="false"/>
    <row r="4242" customFormat="false" ht="11.25" hidden="false" customHeight="true" outlineLevel="0" collapsed="false"/>
    <row r="4243" customFormat="false" ht="11.25" hidden="false" customHeight="true" outlineLevel="0" collapsed="false"/>
    <row r="4244" customFormat="false" ht="11.25" hidden="false" customHeight="true" outlineLevel="0" collapsed="false"/>
    <row r="4245" customFormat="false" ht="11.25" hidden="false" customHeight="true" outlineLevel="0" collapsed="false"/>
    <row r="4246" customFormat="false" ht="11.25" hidden="false" customHeight="true" outlineLevel="0" collapsed="false"/>
    <row r="4247" customFormat="false" ht="11.25" hidden="false" customHeight="true" outlineLevel="0" collapsed="false"/>
    <row r="4248" customFormat="false" ht="11.25" hidden="false" customHeight="true" outlineLevel="0" collapsed="false"/>
    <row r="4249" customFormat="false" ht="11.25" hidden="false" customHeight="true" outlineLevel="0" collapsed="false"/>
    <row r="4250" customFormat="false" ht="11.25" hidden="false" customHeight="true" outlineLevel="0" collapsed="false"/>
    <row r="4251" customFormat="false" ht="11.25" hidden="false" customHeight="true" outlineLevel="0" collapsed="false"/>
    <row r="4252" customFormat="false" ht="11.25" hidden="false" customHeight="true" outlineLevel="0" collapsed="false"/>
    <row r="4253" customFormat="false" ht="11.25" hidden="false" customHeight="true" outlineLevel="0" collapsed="false"/>
    <row r="4254" customFormat="false" ht="11.25" hidden="false" customHeight="true" outlineLevel="0" collapsed="false"/>
    <row r="4255" customFormat="false" ht="11.25" hidden="false" customHeight="true" outlineLevel="0" collapsed="false"/>
    <row r="4256" customFormat="false" ht="11.25" hidden="false" customHeight="true" outlineLevel="0" collapsed="false"/>
    <row r="4257" customFormat="false" ht="11.25" hidden="false" customHeight="true" outlineLevel="0" collapsed="false"/>
    <row r="4258" customFormat="false" ht="11.25" hidden="false" customHeight="true" outlineLevel="0" collapsed="false"/>
    <row r="4259" customFormat="false" ht="11.25" hidden="false" customHeight="true" outlineLevel="0" collapsed="false"/>
    <row r="4260" customFormat="false" ht="11.25" hidden="false" customHeight="true" outlineLevel="0" collapsed="false"/>
    <row r="4261" customFormat="false" ht="11.25" hidden="false" customHeight="true" outlineLevel="0" collapsed="false"/>
    <row r="4262" customFormat="false" ht="11.25" hidden="false" customHeight="true" outlineLevel="0" collapsed="false"/>
    <row r="4263" customFormat="false" ht="11.25" hidden="false" customHeight="true" outlineLevel="0" collapsed="false"/>
    <row r="4264" customFormat="false" ht="11.25" hidden="false" customHeight="true" outlineLevel="0" collapsed="false"/>
    <row r="4265" customFormat="false" ht="11.25" hidden="false" customHeight="true" outlineLevel="0" collapsed="false"/>
    <row r="4266" customFormat="false" ht="11.25" hidden="false" customHeight="true" outlineLevel="0" collapsed="false"/>
    <row r="4267" customFormat="false" ht="11.25" hidden="false" customHeight="true" outlineLevel="0" collapsed="false"/>
    <row r="4268" customFormat="false" ht="11.25" hidden="false" customHeight="true" outlineLevel="0" collapsed="false"/>
    <row r="4269" customFormat="false" ht="11.25" hidden="false" customHeight="true" outlineLevel="0" collapsed="false"/>
    <row r="4270" customFormat="false" ht="11.25" hidden="false" customHeight="true" outlineLevel="0" collapsed="false"/>
    <row r="4271" customFormat="false" ht="11.25" hidden="false" customHeight="true" outlineLevel="0" collapsed="false"/>
    <row r="4272" customFormat="false" ht="11.25" hidden="false" customHeight="true" outlineLevel="0" collapsed="false"/>
    <row r="4273" customFormat="false" ht="11.25" hidden="false" customHeight="true" outlineLevel="0" collapsed="false"/>
    <row r="4274" customFormat="false" ht="11.25" hidden="false" customHeight="true" outlineLevel="0" collapsed="false"/>
    <row r="4275" customFormat="false" ht="11.25" hidden="false" customHeight="true" outlineLevel="0" collapsed="false"/>
    <row r="4276" customFormat="false" ht="11.25" hidden="false" customHeight="true" outlineLevel="0" collapsed="false"/>
    <row r="4277" customFormat="false" ht="11.25" hidden="false" customHeight="true" outlineLevel="0" collapsed="false"/>
    <row r="4278" customFormat="false" ht="11.25" hidden="false" customHeight="true" outlineLevel="0" collapsed="false"/>
    <row r="4279" customFormat="false" ht="11.25" hidden="false" customHeight="true" outlineLevel="0" collapsed="false"/>
    <row r="4280" customFormat="false" ht="11.25" hidden="false" customHeight="true" outlineLevel="0" collapsed="false"/>
    <row r="4281" customFormat="false" ht="11.25" hidden="false" customHeight="true" outlineLevel="0" collapsed="false"/>
    <row r="4282" customFormat="false" ht="11.25" hidden="false" customHeight="true" outlineLevel="0" collapsed="false"/>
    <row r="4283" customFormat="false" ht="11.25" hidden="false" customHeight="true" outlineLevel="0" collapsed="false"/>
    <row r="4284" customFormat="false" ht="11.25" hidden="false" customHeight="true" outlineLevel="0" collapsed="false"/>
    <row r="4285" customFormat="false" ht="11.25" hidden="false" customHeight="true" outlineLevel="0" collapsed="false"/>
    <row r="4286" customFormat="false" ht="11.25" hidden="false" customHeight="true" outlineLevel="0" collapsed="false"/>
    <row r="4287" customFormat="false" ht="11.25" hidden="false" customHeight="true" outlineLevel="0" collapsed="false"/>
    <row r="4288" customFormat="false" ht="11.25" hidden="false" customHeight="true" outlineLevel="0" collapsed="false"/>
    <row r="4289" customFormat="false" ht="11.25" hidden="false" customHeight="true" outlineLevel="0" collapsed="false"/>
    <row r="4290" customFormat="false" ht="11.25" hidden="false" customHeight="true" outlineLevel="0" collapsed="false"/>
    <row r="4291" customFormat="false" ht="11.25" hidden="false" customHeight="true" outlineLevel="0" collapsed="false"/>
    <row r="4292" customFormat="false" ht="11.25" hidden="false" customHeight="true" outlineLevel="0" collapsed="false"/>
    <row r="4293" customFormat="false" ht="11.25" hidden="false" customHeight="true" outlineLevel="0" collapsed="false"/>
    <row r="4294" customFormat="false" ht="11.25" hidden="false" customHeight="true" outlineLevel="0" collapsed="false"/>
    <row r="4295" customFormat="false" ht="11.25" hidden="false" customHeight="true" outlineLevel="0" collapsed="false"/>
    <row r="4296" customFormat="false" ht="11.25" hidden="false" customHeight="true" outlineLevel="0" collapsed="false"/>
    <row r="4297" customFormat="false" ht="11.25" hidden="false" customHeight="true" outlineLevel="0" collapsed="false"/>
    <row r="4298" customFormat="false" ht="11.25" hidden="false" customHeight="true" outlineLevel="0" collapsed="false"/>
    <row r="4299" customFormat="false" ht="11.25" hidden="false" customHeight="true" outlineLevel="0" collapsed="false"/>
    <row r="4300" customFormat="false" ht="11.25" hidden="false" customHeight="true" outlineLevel="0" collapsed="false"/>
    <row r="4301" customFormat="false" ht="11.25" hidden="false" customHeight="true" outlineLevel="0" collapsed="false"/>
    <row r="4302" customFormat="false" ht="11.25" hidden="false" customHeight="true" outlineLevel="0" collapsed="false"/>
    <row r="4303" customFormat="false" ht="11.25" hidden="false" customHeight="true" outlineLevel="0" collapsed="false"/>
    <row r="4304" customFormat="false" ht="11.25" hidden="false" customHeight="true" outlineLevel="0" collapsed="false"/>
    <row r="4305" customFormat="false" ht="11.25" hidden="false" customHeight="true" outlineLevel="0" collapsed="false"/>
    <row r="4306" customFormat="false" ht="11.25" hidden="false" customHeight="true" outlineLevel="0" collapsed="false"/>
    <row r="4307" customFormat="false" ht="11.25" hidden="false" customHeight="true" outlineLevel="0" collapsed="false"/>
    <row r="4308" customFormat="false" ht="11.25" hidden="false" customHeight="true" outlineLevel="0" collapsed="false"/>
    <row r="4309" customFormat="false" ht="11.25" hidden="false" customHeight="true" outlineLevel="0" collapsed="false"/>
    <row r="4310" customFormat="false" ht="11.25" hidden="false" customHeight="true" outlineLevel="0" collapsed="false"/>
    <row r="4311" customFormat="false" ht="11.25" hidden="false" customHeight="true" outlineLevel="0" collapsed="false"/>
    <row r="4312" customFormat="false" ht="11.25" hidden="false" customHeight="true" outlineLevel="0" collapsed="false"/>
    <row r="4313" customFormat="false" ht="11.25" hidden="false" customHeight="true" outlineLevel="0" collapsed="false"/>
    <row r="4314" customFormat="false" ht="11.25" hidden="false" customHeight="true" outlineLevel="0" collapsed="false"/>
    <row r="4315" customFormat="false" ht="11.25" hidden="false" customHeight="true" outlineLevel="0" collapsed="false"/>
    <row r="4316" customFormat="false" ht="11.25" hidden="false" customHeight="true" outlineLevel="0" collapsed="false"/>
    <row r="4317" customFormat="false" ht="11.25" hidden="false" customHeight="true" outlineLevel="0" collapsed="false"/>
    <row r="4318" customFormat="false" ht="11.25" hidden="false" customHeight="true" outlineLevel="0" collapsed="false"/>
    <row r="4319" customFormat="false" ht="11.25" hidden="false" customHeight="true" outlineLevel="0" collapsed="false"/>
    <row r="4320" customFormat="false" ht="11.25" hidden="false" customHeight="true" outlineLevel="0" collapsed="false"/>
    <row r="4321" customFormat="false" ht="11.25" hidden="false" customHeight="true" outlineLevel="0" collapsed="false"/>
    <row r="4322" customFormat="false" ht="11.25" hidden="false" customHeight="true" outlineLevel="0" collapsed="false"/>
    <row r="4323" customFormat="false" ht="11.25" hidden="false" customHeight="true" outlineLevel="0" collapsed="false"/>
    <row r="4324" customFormat="false" ht="11.25" hidden="false" customHeight="true" outlineLevel="0" collapsed="false"/>
    <row r="4325" customFormat="false" ht="11.25" hidden="false" customHeight="true" outlineLevel="0" collapsed="false"/>
    <row r="4326" customFormat="false" ht="11.25" hidden="false" customHeight="true" outlineLevel="0" collapsed="false"/>
    <row r="4327" customFormat="false" ht="11.25" hidden="false" customHeight="true" outlineLevel="0" collapsed="false"/>
    <row r="4328" customFormat="false" ht="11.25" hidden="false" customHeight="true" outlineLevel="0" collapsed="false"/>
    <row r="4329" customFormat="false" ht="11.25" hidden="false" customHeight="true" outlineLevel="0" collapsed="false"/>
    <row r="4330" customFormat="false" ht="11.25" hidden="false" customHeight="true" outlineLevel="0" collapsed="false"/>
    <row r="4331" customFormat="false" ht="11.25" hidden="false" customHeight="true" outlineLevel="0" collapsed="false"/>
    <row r="4332" customFormat="false" ht="11.25" hidden="false" customHeight="true" outlineLevel="0" collapsed="false"/>
    <row r="4333" customFormat="false" ht="11.25" hidden="false" customHeight="true" outlineLevel="0" collapsed="false"/>
    <row r="4334" customFormat="false" ht="11.25" hidden="false" customHeight="true" outlineLevel="0" collapsed="false"/>
    <row r="4335" customFormat="false" ht="11.25" hidden="false" customHeight="true" outlineLevel="0" collapsed="false"/>
    <row r="4336" customFormat="false" ht="11.25" hidden="false" customHeight="true" outlineLevel="0" collapsed="false"/>
    <row r="4337" customFormat="false" ht="11.25" hidden="false" customHeight="true" outlineLevel="0" collapsed="false"/>
    <row r="4338" customFormat="false" ht="11.25" hidden="false" customHeight="true" outlineLevel="0" collapsed="false"/>
    <row r="4339" customFormat="false" ht="11.25" hidden="false" customHeight="true" outlineLevel="0" collapsed="false"/>
    <row r="4340" customFormat="false" ht="11.25" hidden="false" customHeight="true" outlineLevel="0" collapsed="false"/>
    <row r="4341" customFormat="false" ht="11.25" hidden="false" customHeight="true" outlineLevel="0" collapsed="false"/>
    <row r="4342" customFormat="false" ht="11.25" hidden="false" customHeight="true" outlineLevel="0" collapsed="false"/>
    <row r="4343" customFormat="false" ht="11.25" hidden="false" customHeight="true" outlineLevel="0" collapsed="false"/>
    <row r="4344" customFormat="false" ht="11.25" hidden="false" customHeight="true" outlineLevel="0" collapsed="false"/>
    <row r="4345" customFormat="false" ht="11.25" hidden="false" customHeight="true" outlineLevel="0" collapsed="false"/>
    <row r="4346" customFormat="false" ht="11.25" hidden="false" customHeight="true" outlineLevel="0" collapsed="false"/>
    <row r="4347" customFormat="false" ht="11.25" hidden="false" customHeight="true" outlineLevel="0" collapsed="false"/>
    <row r="4348" customFormat="false" ht="11.25" hidden="false" customHeight="true" outlineLevel="0" collapsed="false"/>
    <row r="4349" customFormat="false" ht="11.25" hidden="false" customHeight="true" outlineLevel="0" collapsed="false"/>
    <row r="4350" customFormat="false" ht="11.25" hidden="false" customHeight="true" outlineLevel="0" collapsed="false"/>
    <row r="4351" customFormat="false" ht="11.25" hidden="false" customHeight="true" outlineLevel="0" collapsed="false"/>
    <row r="4352" customFormat="false" ht="11.25" hidden="false" customHeight="true" outlineLevel="0" collapsed="false"/>
    <row r="4353" customFormat="false" ht="11.25" hidden="false" customHeight="true" outlineLevel="0" collapsed="false"/>
    <row r="4354" customFormat="false" ht="11.25" hidden="false" customHeight="true" outlineLevel="0" collapsed="false"/>
    <row r="4355" customFormat="false" ht="11.25" hidden="false" customHeight="true" outlineLevel="0" collapsed="false"/>
    <row r="4356" customFormat="false" ht="11.25" hidden="false" customHeight="true" outlineLevel="0" collapsed="false"/>
    <row r="4357" customFormat="false" ht="11.25" hidden="false" customHeight="true" outlineLevel="0" collapsed="false"/>
    <row r="4358" customFormat="false" ht="11.25" hidden="false" customHeight="true" outlineLevel="0" collapsed="false"/>
    <row r="4359" customFormat="false" ht="11.25" hidden="false" customHeight="true" outlineLevel="0" collapsed="false"/>
    <row r="4360" customFormat="false" ht="11.25" hidden="false" customHeight="true" outlineLevel="0" collapsed="false"/>
    <row r="4361" customFormat="false" ht="11.25" hidden="false" customHeight="true" outlineLevel="0" collapsed="false"/>
    <row r="4362" customFormat="false" ht="11.25" hidden="false" customHeight="true" outlineLevel="0" collapsed="false"/>
    <row r="4363" customFormat="false" ht="11.25" hidden="false" customHeight="true" outlineLevel="0" collapsed="false"/>
    <row r="4364" customFormat="false" ht="11.25" hidden="false" customHeight="true" outlineLevel="0" collapsed="false"/>
    <row r="4365" customFormat="false" ht="11.25" hidden="false" customHeight="true" outlineLevel="0" collapsed="false"/>
    <row r="4366" customFormat="false" ht="11.25" hidden="false" customHeight="true" outlineLevel="0" collapsed="false"/>
    <row r="4367" customFormat="false" ht="11.25" hidden="false" customHeight="true" outlineLevel="0" collapsed="false"/>
    <row r="4368" customFormat="false" ht="11.25" hidden="false" customHeight="true" outlineLevel="0" collapsed="false"/>
    <row r="4369" customFormat="false" ht="11.25" hidden="false" customHeight="true" outlineLevel="0" collapsed="false"/>
    <row r="4370" customFormat="false" ht="11.25" hidden="false" customHeight="true" outlineLevel="0" collapsed="false"/>
    <row r="4371" customFormat="false" ht="11.25" hidden="false" customHeight="true" outlineLevel="0" collapsed="false"/>
    <row r="4372" customFormat="false" ht="11.25" hidden="false" customHeight="true" outlineLevel="0" collapsed="false"/>
    <row r="4373" customFormat="false" ht="11.25" hidden="false" customHeight="true" outlineLevel="0" collapsed="false"/>
    <row r="4374" customFormat="false" ht="11.25" hidden="false" customHeight="true" outlineLevel="0" collapsed="false"/>
    <row r="4375" customFormat="false" ht="11.25" hidden="false" customHeight="true" outlineLevel="0" collapsed="false"/>
    <row r="4376" customFormat="false" ht="11.25" hidden="false" customHeight="true" outlineLevel="0" collapsed="false"/>
    <row r="4377" customFormat="false" ht="11.25" hidden="false" customHeight="true" outlineLevel="0" collapsed="false"/>
    <row r="4378" customFormat="false" ht="11.25" hidden="false" customHeight="true" outlineLevel="0" collapsed="false"/>
    <row r="4379" customFormat="false" ht="11.25" hidden="false" customHeight="true" outlineLevel="0" collapsed="false"/>
    <row r="4380" customFormat="false" ht="11.25" hidden="false" customHeight="true" outlineLevel="0" collapsed="false"/>
    <row r="4381" customFormat="false" ht="11.25" hidden="false" customHeight="true" outlineLevel="0" collapsed="false"/>
    <row r="4382" customFormat="false" ht="11.25" hidden="false" customHeight="true" outlineLevel="0" collapsed="false"/>
    <row r="4383" customFormat="false" ht="11.25" hidden="false" customHeight="true" outlineLevel="0" collapsed="false"/>
    <row r="4384" customFormat="false" ht="11.25" hidden="false" customHeight="true" outlineLevel="0" collapsed="false"/>
    <row r="4385" customFormat="false" ht="11.25" hidden="false" customHeight="true" outlineLevel="0" collapsed="false"/>
    <row r="4386" customFormat="false" ht="11.25" hidden="false" customHeight="true" outlineLevel="0" collapsed="false"/>
    <row r="4387" customFormat="false" ht="11.25" hidden="false" customHeight="true" outlineLevel="0" collapsed="false"/>
    <row r="4388" customFormat="false" ht="11.25" hidden="false" customHeight="true" outlineLevel="0" collapsed="false"/>
    <row r="4389" customFormat="false" ht="11.25" hidden="false" customHeight="true" outlineLevel="0" collapsed="false"/>
    <row r="4390" customFormat="false" ht="11.25" hidden="false" customHeight="true" outlineLevel="0" collapsed="false"/>
    <row r="4391" customFormat="false" ht="11.25" hidden="false" customHeight="true" outlineLevel="0" collapsed="false"/>
    <row r="4392" customFormat="false" ht="11.25" hidden="false" customHeight="true" outlineLevel="0" collapsed="false"/>
    <row r="4393" customFormat="false" ht="11.25" hidden="false" customHeight="true" outlineLevel="0" collapsed="false"/>
    <row r="4394" customFormat="false" ht="11.25" hidden="false" customHeight="true" outlineLevel="0" collapsed="false"/>
    <row r="4395" customFormat="false" ht="11.25" hidden="false" customHeight="true" outlineLevel="0" collapsed="false"/>
    <row r="4396" customFormat="false" ht="11.25" hidden="false" customHeight="true" outlineLevel="0" collapsed="false"/>
    <row r="4397" customFormat="false" ht="11.25" hidden="false" customHeight="true" outlineLevel="0" collapsed="false"/>
    <row r="4398" customFormat="false" ht="11.25" hidden="false" customHeight="true" outlineLevel="0" collapsed="false"/>
    <row r="4399" customFormat="false" ht="11.25" hidden="false" customHeight="true" outlineLevel="0" collapsed="false"/>
    <row r="4400" customFormat="false" ht="11.25" hidden="false" customHeight="true" outlineLevel="0" collapsed="false"/>
    <row r="4401" customFormat="false" ht="11.25" hidden="false" customHeight="true" outlineLevel="0" collapsed="false"/>
    <row r="4402" customFormat="false" ht="11.25" hidden="false" customHeight="true" outlineLevel="0" collapsed="false"/>
    <row r="4403" customFormat="false" ht="11.25" hidden="false" customHeight="true" outlineLevel="0" collapsed="false"/>
    <row r="4404" customFormat="false" ht="11.25" hidden="false" customHeight="true" outlineLevel="0" collapsed="false"/>
    <row r="4405" customFormat="false" ht="11.25" hidden="false" customHeight="true" outlineLevel="0" collapsed="false"/>
    <row r="4406" customFormat="false" ht="11.25" hidden="false" customHeight="true" outlineLevel="0" collapsed="false"/>
    <row r="4407" customFormat="false" ht="11.25" hidden="false" customHeight="true" outlineLevel="0" collapsed="false"/>
    <row r="4408" customFormat="false" ht="11.25" hidden="false" customHeight="true" outlineLevel="0" collapsed="false"/>
    <row r="4409" customFormat="false" ht="11.25" hidden="false" customHeight="true" outlineLevel="0" collapsed="false"/>
    <row r="4410" customFormat="false" ht="11.25" hidden="false" customHeight="true" outlineLevel="0" collapsed="false"/>
    <row r="4411" customFormat="false" ht="11.25" hidden="false" customHeight="true" outlineLevel="0" collapsed="false"/>
    <row r="4412" customFormat="false" ht="11.25" hidden="false" customHeight="true" outlineLevel="0" collapsed="false"/>
    <row r="4413" customFormat="false" ht="11.25" hidden="false" customHeight="true" outlineLevel="0" collapsed="false"/>
    <row r="4414" customFormat="false" ht="11.25" hidden="false" customHeight="true" outlineLevel="0" collapsed="false"/>
    <row r="4415" customFormat="false" ht="11.25" hidden="false" customHeight="true" outlineLevel="0" collapsed="false"/>
    <row r="4416" customFormat="false" ht="11.25" hidden="false" customHeight="true" outlineLevel="0" collapsed="false"/>
    <row r="4417" customFormat="false" ht="11.25" hidden="false" customHeight="true" outlineLevel="0" collapsed="false"/>
    <row r="4418" customFormat="false" ht="11.25" hidden="false" customHeight="true" outlineLevel="0" collapsed="false"/>
    <row r="4419" customFormat="false" ht="11.25" hidden="false" customHeight="true" outlineLevel="0" collapsed="false"/>
    <row r="4420" customFormat="false" ht="11.25" hidden="false" customHeight="true" outlineLevel="0" collapsed="false"/>
    <row r="4421" customFormat="false" ht="11.25" hidden="false" customHeight="true" outlineLevel="0" collapsed="false"/>
    <row r="4422" customFormat="false" ht="11.25" hidden="false" customHeight="true" outlineLevel="0" collapsed="false"/>
    <row r="4423" customFormat="false" ht="11.25" hidden="false" customHeight="true" outlineLevel="0" collapsed="false"/>
    <row r="4424" customFormat="false" ht="11.25" hidden="false" customHeight="true" outlineLevel="0" collapsed="false"/>
    <row r="4425" customFormat="false" ht="11.25" hidden="false" customHeight="true" outlineLevel="0" collapsed="false"/>
    <row r="4426" customFormat="false" ht="11.25" hidden="false" customHeight="true" outlineLevel="0" collapsed="false"/>
    <row r="4427" customFormat="false" ht="11.25" hidden="false" customHeight="true" outlineLevel="0" collapsed="false"/>
    <row r="4428" customFormat="false" ht="11.25" hidden="false" customHeight="true" outlineLevel="0" collapsed="false"/>
    <row r="4429" customFormat="false" ht="11.25" hidden="false" customHeight="true" outlineLevel="0" collapsed="false"/>
    <row r="4430" customFormat="false" ht="11.25" hidden="false" customHeight="true" outlineLevel="0" collapsed="false"/>
    <row r="4431" customFormat="false" ht="11.25" hidden="false" customHeight="true" outlineLevel="0" collapsed="false"/>
    <row r="4432" customFormat="false" ht="11.25" hidden="false" customHeight="true" outlineLevel="0" collapsed="false"/>
    <row r="4433" customFormat="false" ht="11.25" hidden="false" customHeight="true" outlineLevel="0" collapsed="false"/>
    <row r="4434" customFormat="false" ht="11.25" hidden="false" customHeight="true" outlineLevel="0" collapsed="false"/>
    <row r="4435" customFormat="false" ht="11.25" hidden="false" customHeight="true" outlineLevel="0" collapsed="false"/>
    <row r="4436" customFormat="false" ht="11.25" hidden="false" customHeight="true" outlineLevel="0" collapsed="false"/>
    <row r="4437" customFormat="false" ht="11.25" hidden="false" customHeight="true" outlineLevel="0" collapsed="false"/>
    <row r="4438" customFormat="false" ht="11.25" hidden="false" customHeight="true" outlineLevel="0" collapsed="false"/>
    <row r="4439" customFormat="false" ht="11.25" hidden="false" customHeight="true" outlineLevel="0" collapsed="false"/>
    <row r="4440" customFormat="false" ht="11.25" hidden="false" customHeight="true" outlineLevel="0" collapsed="false"/>
    <row r="4441" customFormat="false" ht="11.25" hidden="false" customHeight="true" outlineLevel="0" collapsed="false"/>
    <row r="4442" customFormat="false" ht="11.25" hidden="false" customHeight="true" outlineLevel="0" collapsed="false"/>
    <row r="4443" customFormat="false" ht="11.25" hidden="false" customHeight="true" outlineLevel="0" collapsed="false"/>
    <row r="4444" customFormat="false" ht="11.25" hidden="false" customHeight="true" outlineLevel="0" collapsed="false"/>
    <row r="4445" customFormat="false" ht="11.25" hidden="false" customHeight="true" outlineLevel="0" collapsed="false"/>
    <row r="4446" customFormat="false" ht="11.25" hidden="false" customHeight="true" outlineLevel="0" collapsed="false"/>
    <row r="4447" customFormat="false" ht="11.25" hidden="false" customHeight="true" outlineLevel="0" collapsed="false"/>
    <row r="4448" customFormat="false" ht="11.25" hidden="false" customHeight="true" outlineLevel="0" collapsed="false"/>
    <row r="4449" customFormat="false" ht="11.25" hidden="false" customHeight="true" outlineLevel="0" collapsed="false"/>
    <row r="4450" customFormat="false" ht="11.25" hidden="false" customHeight="true" outlineLevel="0" collapsed="false"/>
    <row r="4451" customFormat="false" ht="11.25" hidden="false" customHeight="true" outlineLevel="0" collapsed="false"/>
    <row r="4452" customFormat="false" ht="11.25" hidden="false" customHeight="true" outlineLevel="0" collapsed="false"/>
    <row r="4453" customFormat="false" ht="11.25" hidden="false" customHeight="true" outlineLevel="0" collapsed="false"/>
    <row r="4454" customFormat="false" ht="11.25" hidden="false" customHeight="true" outlineLevel="0" collapsed="false"/>
    <row r="4455" customFormat="false" ht="11.25" hidden="false" customHeight="true" outlineLevel="0" collapsed="false"/>
    <row r="4456" customFormat="false" ht="11.25" hidden="false" customHeight="true" outlineLevel="0" collapsed="false"/>
    <row r="4457" customFormat="false" ht="11.25" hidden="false" customHeight="true" outlineLevel="0" collapsed="false"/>
    <row r="4458" customFormat="false" ht="11.25" hidden="false" customHeight="true" outlineLevel="0" collapsed="false"/>
    <row r="4459" customFormat="false" ht="11.25" hidden="false" customHeight="true" outlineLevel="0" collapsed="false"/>
    <row r="4460" customFormat="false" ht="11.25" hidden="false" customHeight="true" outlineLevel="0" collapsed="false"/>
    <row r="4461" customFormat="false" ht="11.25" hidden="false" customHeight="true" outlineLevel="0" collapsed="false"/>
    <row r="4462" customFormat="false" ht="11.25" hidden="false" customHeight="true" outlineLevel="0" collapsed="false"/>
    <row r="4463" customFormat="false" ht="11.25" hidden="false" customHeight="true" outlineLevel="0" collapsed="false"/>
    <row r="4464" customFormat="false" ht="11.25" hidden="false" customHeight="true" outlineLevel="0" collapsed="false"/>
    <row r="4465" customFormat="false" ht="11.25" hidden="false" customHeight="true" outlineLevel="0" collapsed="false"/>
    <row r="4466" customFormat="false" ht="11.25" hidden="false" customHeight="true" outlineLevel="0" collapsed="false"/>
    <row r="4467" customFormat="false" ht="11.25" hidden="false" customHeight="true" outlineLevel="0" collapsed="false"/>
    <row r="4468" customFormat="false" ht="11.25" hidden="false" customHeight="true" outlineLevel="0" collapsed="false"/>
    <row r="4469" customFormat="false" ht="11.25" hidden="false" customHeight="true" outlineLevel="0" collapsed="false"/>
    <row r="4470" customFormat="false" ht="11.25" hidden="false" customHeight="true" outlineLevel="0" collapsed="false"/>
    <row r="4471" customFormat="false" ht="11.25" hidden="false" customHeight="true" outlineLevel="0" collapsed="false"/>
    <row r="4472" customFormat="false" ht="11.25" hidden="false" customHeight="true" outlineLevel="0" collapsed="false"/>
    <row r="4473" customFormat="false" ht="11.25" hidden="false" customHeight="true" outlineLevel="0" collapsed="false"/>
    <row r="4474" customFormat="false" ht="11.25" hidden="false" customHeight="true" outlineLevel="0" collapsed="false"/>
    <row r="4475" customFormat="false" ht="11.25" hidden="false" customHeight="true" outlineLevel="0" collapsed="false"/>
    <row r="4476" customFormat="false" ht="11.25" hidden="false" customHeight="true" outlineLevel="0" collapsed="false"/>
    <row r="4477" customFormat="false" ht="11.25" hidden="false" customHeight="true" outlineLevel="0" collapsed="false"/>
    <row r="4478" customFormat="false" ht="11.25" hidden="false" customHeight="true" outlineLevel="0" collapsed="false"/>
    <row r="4479" customFormat="false" ht="11.25" hidden="false" customHeight="true" outlineLevel="0" collapsed="false"/>
    <row r="4480" customFormat="false" ht="11.25" hidden="false" customHeight="true" outlineLevel="0" collapsed="false"/>
    <row r="4481" customFormat="false" ht="11.25" hidden="false" customHeight="true" outlineLevel="0" collapsed="false"/>
    <row r="4482" customFormat="false" ht="11.25" hidden="false" customHeight="true" outlineLevel="0" collapsed="false"/>
    <row r="4483" customFormat="false" ht="11.25" hidden="false" customHeight="true" outlineLevel="0" collapsed="false"/>
    <row r="4484" customFormat="false" ht="11.25" hidden="false" customHeight="true" outlineLevel="0" collapsed="false"/>
    <row r="4485" customFormat="false" ht="11.25" hidden="false" customHeight="true" outlineLevel="0" collapsed="false"/>
    <row r="4486" customFormat="false" ht="11.25" hidden="false" customHeight="true" outlineLevel="0" collapsed="false"/>
    <row r="4487" customFormat="false" ht="11.25" hidden="false" customHeight="true" outlineLevel="0" collapsed="false"/>
    <row r="4488" customFormat="false" ht="11.25" hidden="false" customHeight="true" outlineLevel="0" collapsed="false"/>
    <row r="4489" customFormat="false" ht="11.25" hidden="false" customHeight="true" outlineLevel="0" collapsed="false"/>
    <row r="4490" customFormat="false" ht="11.25" hidden="false" customHeight="true" outlineLevel="0" collapsed="false"/>
    <row r="4491" customFormat="false" ht="11.25" hidden="false" customHeight="true" outlineLevel="0" collapsed="false"/>
    <row r="4492" customFormat="false" ht="11.25" hidden="false" customHeight="true" outlineLevel="0" collapsed="false"/>
    <row r="4493" customFormat="false" ht="11.25" hidden="false" customHeight="true" outlineLevel="0" collapsed="false"/>
    <row r="4494" customFormat="false" ht="11.25" hidden="false" customHeight="true" outlineLevel="0" collapsed="false"/>
    <row r="4495" customFormat="false" ht="11.25" hidden="false" customHeight="true" outlineLevel="0" collapsed="false"/>
    <row r="4496" customFormat="false" ht="11.25" hidden="false" customHeight="true" outlineLevel="0" collapsed="false"/>
    <row r="4497" customFormat="false" ht="11.25" hidden="false" customHeight="true" outlineLevel="0" collapsed="false"/>
    <row r="4498" customFormat="false" ht="11.25" hidden="false" customHeight="true" outlineLevel="0" collapsed="false"/>
    <row r="4499" customFormat="false" ht="11.25" hidden="false" customHeight="true" outlineLevel="0" collapsed="false"/>
    <row r="4500" customFormat="false" ht="11.25" hidden="false" customHeight="true" outlineLevel="0" collapsed="false"/>
    <row r="4501" customFormat="false" ht="11.25" hidden="false" customHeight="true" outlineLevel="0" collapsed="false"/>
    <row r="4502" customFormat="false" ht="11.25" hidden="false" customHeight="true" outlineLevel="0" collapsed="false"/>
    <row r="4503" customFormat="false" ht="11.25" hidden="false" customHeight="true" outlineLevel="0" collapsed="false"/>
    <row r="4504" customFormat="false" ht="11.25" hidden="false" customHeight="true" outlineLevel="0" collapsed="false"/>
    <row r="4505" customFormat="false" ht="11.25" hidden="false" customHeight="true" outlineLevel="0" collapsed="false"/>
    <row r="4506" customFormat="false" ht="11.25" hidden="false" customHeight="true" outlineLevel="0" collapsed="false"/>
    <row r="4507" customFormat="false" ht="11.25" hidden="false" customHeight="true" outlineLevel="0" collapsed="false"/>
    <row r="4508" customFormat="false" ht="11.25" hidden="false" customHeight="true" outlineLevel="0" collapsed="false"/>
    <row r="4509" customFormat="false" ht="11.25" hidden="false" customHeight="true" outlineLevel="0" collapsed="false"/>
    <row r="4510" customFormat="false" ht="11.25" hidden="false" customHeight="true" outlineLevel="0" collapsed="false"/>
    <row r="4511" customFormat="false" ht="11.25" hidden="false" customHeight="true" outlineLevel="0" collapsed="false"/>
    <row r="4512" customFormat="false" ht="11.25" hidden="false" customHeight="true" outlineLevel="0" collapsed="false"/>
    <row r="4513" customFormat="false" ht="11.25" hidden="false" customHeight="true" outlineLevel="0" collapsed="false"/>
    <row r="4514" customFormat="false" ht="11.25" hidden="false" customHeight="true" outlineLevel="0" collapsed="false"/>
    <row r="4515" customFormat="false" ht="11.25" hidden="false" customHeight="true" outlineLevel="0" collapsed="false"/>
    <row r="4516" customFormat="false" ht="11.25" hidden="false" customHeight="true" outlineLevel="0" collapsed="false"/>
    <row r="4517" customFormat="false" ht="11.25" hidden="false" customHeight="true" outlineLevel="0" collapsed="false"/>
    <row r="4518" customFormat="false" ht="11.25" hidden="false" customHeight="true" outlineLevel="0" collapsed="false"/>
    <row r="4519" customFormat="false" ht="11.25" hidden="false" customHeight="true" outlineLevel="0" collapsed="false"/>
    <row r="4520" customFormat="false" ht="11.25" hidden="false" customHeight="true" outlineLevel="0" collapsed="false"/>
    <row r="4521" customFormat="false" ht="11.25" hidden="false" customHeight="true" outlineLevel="0" collapsed="false"/>
    <row r="4522" customFormat="false" ht="11.25" hidden="false" customHeight="true" outlineLevel="0" collapsed="false"/>
    <row r="4523" customFormat="false" ht="11.25" hidden="false" customHeight="true" outlineLevel="0" collapsed="false"/>
    <row r="4524" customFormat="false" ht="11.25" hidden="false" customHeight="true" outlineLevel="0" collapsed="false"/>
    <row r="4525" customFormat="false" ht="11.25" hidden="false" customHeight="true" outlineLevel="0" collapsed="false"/>
    <row r="4526" customFormat="false" ht="11.25" hidden="false" customHeight="true" outlineLevel="0" collapsed="false"/>
    <row r="4527" customFormat="false" ht="11.25" hidden="false" customHeight="true" outlineLevel="0" collapsed="false"/>
    <row r="4528" customFormat="false" ht="11.25" hidden="false" customHeight="true" outlineLevel="0" collapsed="false"/>
    <row r="4529" customFormat="false" ht="11.25" hidden="false" customHeight="true" outlineLevel="0" collapsed="false"/>
    <row r="4530" customFormat="false" ht="11.25" hidden="false" customHeight="true" outlineLevel="0" collapsed="false"/>
    <row r="4531" customFormat="false" ht="11.25" hidden="false" customHeight="true" outlineLevel="0" collapsed="false"/>
    <row r="4532" customFormat="false" ht="11.25" hidden="false" customHeight="true" outlineLevel="0" collapsed="false"/>
    <row r="4533" customFormat="false" ht="11.25" hidden="false" customHeight="true" outlineLevel="0" collapsed="false"/>
    <row r="4534" customFormat="false" ht="11.25" hidden="false" customHeight="true" outlineLevel="0" collapsed="false"/>
    <row r="4535" customFormat="false" ht="11.25" hidden="false" customHeight="true" outlineLevel="0" collapsed="false"/>
    <row r="4536" customFormat="false" ht="11.25" hidden="false" customHeight="true" outlineLevel="0" collapsed="false"/>
    <row r="4537" customFormat="false" ht="11.25" hidden="false" customHeight="true" outlineLevel="0" collapsed="false"/>
    <row r="4538" customFormat="false" ht="11.25" hidden="false" customHeight="true" outlineLevel="0" collapsed="false"/>
    <row r="4539" customFormat="false" ht="11.25" hidden="false" customHeight="true" outlineLevel="0" collapsed="false"/>
    <row r="4540" customFormat="false" ht="11.25" hidden="false" customHeight="true" outlineLevel="0" collapsed="false"/>
    <row r="4541" customFormat="false" ht="11.25" hidden="false" customHeight="true" outlineLevel="0" collapsed="false"/>
    <row r="4542" customFormat="false" ht="11.25" hidden="false" customHeight="true" outlineLevel="0" collapsed="false"/>
    <row r="4543" customFormat="false" ht="11.25" hidden="false" customHeight="true" outlineLevel="0" collapsed="false"/>
    <row r="4544" customFormat="false" ht="11.25" hidden="false" customHeight="true" outlineLevel="0" collapsed="false"/>
    <row r="4545" customFormat="false" ht="11.25" hidden="false" customHeight="true" outlineLevel="0" collapsed="false"/>
    <row r="4546" customFormat="false" ht="11.25" hidden="false" customHeight="true" outlineLevel="0" collapsed="false"/>
    <row r="4547" customFormat="false" ht="11.25" hidden="false" customHeight="true" outlineLevel="0" collapsed="false"/>
    <row r="4548" customFormat="false" ht="11.25" hidden="false" customHeight="true" outlineLevel="0" collapsed="false"/>
    <row r="4549" customFormat="false" ht="11.25" hidden="false" customHeight="true" outlineLevel="0" collapsed="false"/>
    <row r="4550" customFormat="false" ht="11.25" hidden="false" customHeight="true" outlineLevel="0" collapsed="false"/>
    <row r="4551" customFormat="false" ht="11.25" hidden="false" customHeight="true" outlineLevel="0" collapsed="false"/>
    <row r="4552" customFormat="false" ht="11.25" hidden="false" customHeight="true" outlineLevel="0" collapsed="false"/>
    <row r="4553" customFormat="false" ht="11.25" hidden="false" customHeight="true" outlineLevel="0" collapsed="false"/>
    <row r="4554" customFormat="false" ht="11.25" hidden="false" customHeight="true" outlineLevel="0" collapsed="false"/>
    <row r="4555" customFormat="false" ht="11.25" hidden="false" customHeight="true" outlineLevel="0" collapsed="false"/>
    <row r="4556" customFormat="false" ht="11.25" hidden="false" customHeight="true" outlineLevel="0" collapsed="false"/>
    <row r="4557" customFormat="false" ht="11.25" hidden="false" customHeight="true" outlineLevel="0" collapsed="false"/>
    <row r="4558" customFormat="false" ht="11.25" hidden="false" customHeight="true" outlineLevel="0" collapsed="false"/>
    <row r="4559" customFormat="false" ht="11.25" hidden="false" customHeight="true" outlineLevel="0" collapsed="false"/>
    <row r="4560" customFormat="false" ht="11.25" hidden="false" customHeight="true" outlineLevel="0" collapsed="false"/>
    <row r="4561" customFormat="false" ht="11.25" hidden="false" customHeight="true" outlineLevel="0" collapsed="false"/>
    <row r="4562" customFormat="false" ht="11.25" hidden="false" customHeight="true" outlineLevel="0" collapsed="false"/>
    <row r="4563" customFormat="false" ht="11.25" hidden="false" customHeight="true" outlineLevel="0" collapsed="false"/>
    <row r="4564" customFormat="false" ht="11.25" hidden="false" customHeight="true" outlineLevel="0" collapsed="false"/>
    <row r="4565" customFormat="false" ht="11.25" hidden="false" customHeight="true" outlineLevel="0" collapsed="false"/>
    <row r="4566" customFormat="false" ht="11.25" hidden="false" customHeight="true" outlineLevel="0" collapsed="false"/>
    <row r="4567" customFormat="false" ht="11.25" hidden="false" customHeight="true" outlineLevel="0" collapsed="false"/>
    <row r="4568" customFormat="false" ht="11.25" hidden="false" customHeight="true" outlineLevel="0" collapsed="false"/>
    <row r="4569" customFormat="false" ht="11.25" hidden="false" customHeight="true" outlineLevel="0" collapsed="false"/>
    <row r="4570" customFormat="false" ht="11.25" hidden="false" customHeight="true" outlineLevel="0" collapsed="false"/>
    <row r="4571" customFormat="false" ht="11.25" hidden="false" customHeight="true" outlineLevel="0" collapsed="false"/>
    <row r="4572" customFormat="false" ht="11.25" hidden="false" customHeight="true" outlineLevel="0" collapsed="false"/>
    <row r="4573" customFormat="false" ht="11.25" hidden="false" customHeight="true" outlineLevel="0" collapsed="false"/>
    <row r="4574" customFormat="false" ht="11.25" hidden="false" customHeight="true" outlineLevel="0" collapsed="false"/>
    <row r="4575" customFormat="false" ht="11.25" hidden="false" customHeight="true" outlineLevel="0" collapsed="false"/>
    <row r="4576" customFormat="false" ht="11.25" hidden="false" customHeight="true" outlineLevel="0" collapsed="false"/>
    <row r="4577" customFormat="false" ht="11.25" hidden="false" customHeight="true" outlineLevel="0" collapsed="false"/>
    <row r="4578" customFormat="false" ht="11.25" hidden="false" customHeight="true" outlineLevel="0" collapsed="false"/>
    <row r="4579" customFormat="false" ht="11.25" hidden="false" customHeight="true" outlineLevel="0" collapsed="false"/>
    <row r="4580" customFormat="false" ht="11.25" hidden="false" customHeight="true" outlineLevel="0" collapsed="false"/>
    <row r="4581" customFormat="false" ht="11.25" hidden="false" customHeight="true" outlineLevel="0" collapsed="false"/>
    <row r="4582" customFormat="false" ht="11.25" hidden="false" customHeight="true" outlineLevel="0" collapsed="false"/>
    <row r="4583" customFormat="false" ht="11.25" hidden="false" customHeight="true" outlineLevel="0" collapsed="false"/>
    <row r="4584" customFormat="false" ht="11.25" hidden="false" customHeight="true" outlineLevel="0" collapsed="false"/>
    <row r="4585" customFormat="false" ht="11.25" hidden="false" customHeight="true" outlineLevel="0" collapsed="false"/>
    <row r="4586" customFormat="false" ht="11.25" hidden="false" customHeight="true" outlineLevel="0" collapsed="false"/>
    <row r="4587" customFormat="false" ht="11.25" hidden="false" customHeight="true" outlineLevel="0" collapsed="false"/>
    <row r="4588" customFormat="false" ht="11.25" hidden="false" customHeight="true" outlineLevel="0" collapsed="false"/>
    <row r="4589" customFormat="false" ht="11.25" hidden="false" customHeight="true" outlineLevel="0" collapsed="false"/>
    <row r="4590" customFormat="false" ht="11.25" hidden="false" customHeight="true" outlineLevel="0" collapsed="false"/>
    <row r="4591" customFormat="false" ht="11.25" hidden="false" customHeight="true" outlineLevel="0" collapsed="false"/>
    <row r="4592" customFormat="false" ht="11.25" hidden="false" customHeight="true" outlineLevel="0" collapsed="false"/>
    <row r="4593" customFormat="false" ht="11.25" hidden="false" customHeight="true" outlineLevel="0" collapsed="false"/>
    <row r="4594" customFormat="false" ht="11.25" hidden="false" customHeight="true" outlineLevel="0" collapsed="false"/>
    <row r="4595" customFormat="false" ht="11.25" hidden="false" customHeight="true" outlineLevel="0" collapsed="false"/>
    <row r="4596" customFormat="false" ht="11.25" hidden="false" customHeight="true" outlineLevel="0" collapsed="false"/>
    <row r="4597" customFormat="false" ht="11.25" hidden="false" customHeight="true" outlineLevel="0" collapsed="false"/>
    <row r="4598" customFormat="false" ht="11.25" hidden="false" customHeight="true" outlineLevel="0" collapsed="false"/>
    <row r="4599" customFormat="false" ht="11.25" hidden="false" customHeight="true" outlineLevel="0" collapsed="false"/>
    <row r="4600" customFormat="false" ht="11.25" hidden="false" customHeight="true" outlineLevel="0" collapsed="false"/>
    <row r="4601" customFormat="false" ht="11.25" hidden="false" customHeight="true" outlineLevel="0" collapsed="false"/>
    <row r="4602" customFormat="false" ht="11.25" hidden="false" customHeight="true" outlineLevel="0" collapsed="false"/>
    <row r="4603" customFormat="false" ht="11.25" hidden="false" customHeight="true" outlineLevel="0" collapsed="false"/>
    <row r="4604" customFormat="false" ht="11.25" hidden="false" customHeight="true" outlineLevel="0" collapsed="false"/>
    <row r="4605" customFormat="false" ht="11.25" hidden="false" customHeight="true" outlineLevel="0" collapsed="false"/>
    <row r="4606" customFormat="false" ht="11.25" hidden="false" customHeight="true" outlineLevel="0" collapsed="false"/>
    <row r="4607" customFormat="false" ht="11.25" hidden="false" customHeight="true" outlineLevel="0" collapsed="false"/>
    <row r="4608" customFormat="false" ht="11.25" hidden="false" customHeight="true" outlineLevel="0" collapsed="false"/>
    <row r="4609" customFormat="false" ht="11.25" hidden="false" customHeight="true" outlineLevel="0" collapsed="false"/>
    <row r="4610" customFormat="false" ht="11.25" hidden="false" customHeight="true" outlineLevel="0" collapsed="false"/>
    <row r="4611" customFormat="false" ht="11.25" hidden="false" customHeight="true" outlineLevel="0" collapsed="false"/>
    <row r="4612" customFormat="false" ht="11.25" hidden="false" customHeight="true" outlineLevel="0" collapsed="false"/>
    <row r="4613" customFormat="false" ht="11.25" hidden="false" customHeight="true" outlineLevel="0" collapsed="false"/>
    <row r="4614" customFormat="false" ht="11.25" hidden="false" customHeight="true" outlineLevel="0" collapsed="false"/>
    <row r="4615" customFormat="false" ht="11.25" hidden="false" customHeight="true" outlineLevel="0" collapsed="false"/>
    <row r="4616" customFormat="false" ht="11.25" hidden="false" customHeight="true" outlineLevel="0" collapsed="false"/>
    <row r="4617" customFormat="false" ht="11.25" hidden="false" customHeight="true" outlineLevel="0" collapsed="false"/>
    <row r="4618" customFormat="false" ht="11.25" hidden="false" customHeight="true" outlineLevel="0" collapsed="false"/>
    <row r="4619" customFormat="false" ht="11.25" hidden="false" customHeight="true" outlineLevel="0" collapsed="false"/>
    <row r="4620" customFormat="false" ht="11.25" hidden="false" customHeight="true" outlineLevel="0" collapsed="false"/>
    <row r="4621" customFormat="false" ht="11.25" hidden="false" customHeight="true" outlineLevel="0" collapsed="false"/>
    <row r="4622" customFormat="false" ht="11.25" hidden="false" customHeight="true" outlineLevel="0" collapsed="false"/>
    <row r="4623" customFormat="false" ht="11.25" hidden="false" customHeight="true" outlineLevel="0" collapsed="false"/>
    <row r="4624" customFormat="false" ht="11.25" hidden="false" customHeight="true" outlineLevel="0" collapsed="false"/>
    <row r="4625" customFormat="false" ht="11.25" hidden="false" customHeight="true" outlineLevel="0" collapsed="false"/>
    <row r="4626" customFormat="false" ht="11.25" hidden="false" customHeight="true" outlineLevel="0" collapsed="false"/>
    <row r="4627" customFormat="false" ht="11.25" hidden="false" customHeight="true" outlineLevel="0" collapsed="false"/>
    <row r="4628" customFormat="false" ht="11.25" hidden="false" customHeight="true" outlineLevel="0" collapsed="false"/>
    <row r="4629" customFormat="false" ht="11.25" hidden="false" customHeight="true" outlineLevel="0" collapsed="false"/>
    <row r="4630" customFormat="false" ht="11.25" hidden="false" customHeight="true" outlineLevel="0" collapsed="false"/>
    <row r="4631" customFormat="false" ht="11.25" hidden="false" customHeight="true" outlineLevel="0" collapsed="false"/>
    <row r="4632" customFormat="false" ht="11.25" hidden="false" customHeight="true" outlineLevel="0" collapsed="false"/>
    <row r="4633" customFormat="false" ht="11.25" hidden="false" customHeight="true" outlineLevel="0" collapsed="false"/>
    <row r="4634" customFormat="false" ht="11.25" hidden="false" customHeight="true" outlineLevel="0" collapsed="false"/>
    <row r="4635" customFormat="false" ht="11.25" hidden="false" customHeight="true" outlineLevel="0" collapsed="false"/>
    <row r="4636" customFormat="false" ht="11.25" hidden="false" customHeight="true" outlineLevel="0" collapsed="false"/>
    <row r="4637" customFormat="false" ht="11.25" hidden="false" customHeight="true" outlineLevel="0" collapsed="false"/>
    <row r="4638" customFormat="false" ht="11.25" hidden="false" customHeight="true" outlineLevel="0" collapsed="false"/>
    <row r="4639" customFormat="false" ht="11.25" hidden="false" customHeight="true" outlineLevel="0" collapsed="false"/>
    <row r="4640" customFormat="false" ht="11.25" hidden="false" customHeight="true" outlineLevel="0" collapsed="false"/>
    <row r="4641" customFormat="false" ht="11.25" hidden="false" customHeight="true" outlineLevel="0" collapsed="false"/>
    <row r="4642" customFormat="false" ht="11.25" hidden="false" customHeight="true" outlineLevel="0" collapsed="false"/>
    <row r="4643" customFormat="false" ht="11.25" hidden="false" customHeight="true" outlineLevel="0" collapsed="false"/>
    <row r="4644" customFormat="false" ht="11.25" hidden="false" customHeight="true" outlineLevel="0" collapsed="false"/>
    <row r="4645" customFormat="false" ht="11.25" hidden="false" customHeight="true" outlineLevel="0" collapsed="false"/>
    <row r="4646" customFormat="false" ht="11.25" hidden="false" customHeight="true" outlineLevel="0" collapsed="false"/>
    <row r="4647" customFormat="false" ht="11.25" hidden="false" customHeight="true" outlineLevel="0" collapsed="false"/>
    <row r="4648" customFormat="false" ht="11.25" hidden="false" customHeight="true" outlineLevel="0" collapsed="false"/>
    <row r="4649" customFormat="false" ht="11.25" hidden="false" customHeight="true" outlineLevel="0" collapsed="false"/>
    <row r="4650" customFormat="false" ht="11.25" hidden="false" customHeight="true" outlineLevel="0" collapsed="false"/>
    <row r="4651" customFormat="false" ht="11.25" hidden="false" customHeight="true" outlineLevel="0" collapsed="false"/>
    <row r="4652" customFormat="false" ht="11.25" hidden="false" customHeight="true" outlineLevel="0" collapsed="false"/>
    <row r="4653" customFormat="false" ht="11.25" hidden="false" customHeight="true" outlineLevel="0" collapsed="false"/>
    <row r="4654" customFormat="false" ht="11.25" hidden="false" customHeight="true" outlineLevel="0" collapsed="false"/>
    <row r="4655" customFormat="false" ht="11.25" hidden="false" customHeight="true" outlineLevel="0" collapsed="false"/>
    <row r="4656" customFormat="false" ht="11.25" hidden="false" customHeight="true" outlineLevel="0" collapsed="false"/>
    <row r="4657" customFormat="false" ht="11.25" hidden="false" customHeight="true" outlineLevel="0" collapsed="false"/>
    <row r="4658" customFormat="false" ht="11.25" hidden="false" customHeight="true" outlineLevel="0" collapsed="false"/>
    <row r="4659" customFormat="false" ht="11.25" hidden="false" customHeight="true" outlineLevel="0" collapsed="false"/>
    <row r="4660" customFormat="false" ht="11.25" hidden="false" customHeight="true" outlineLevel="0" collapsed="false"/>
    <row r="4661" customFormat="false" ht="11.25" hidden="false" customHeight="true" outlineLevel="0" collapsed="false"/>
    <row r="4662" customFormat="false" ht="11.25" hidden="false" customHeight="true" outlineLevel="0" collapsed="false"/>
    <row r="4663" customFormat="false" ht="11.25" hidden="false" customHeight="true" outlineLevel="0" collapsed="false"/>
    <row r="4664" customFormat="false" ht="11.25" hidden="false" customHeight="true" outlineLevel="0" collapsed="false"/>
    <row r="4665" customFormat="false" ht="11.25" hidden="false" customHeight="true" outlineLevel="0" collapsed="false"/>
    <row r="4666" customFormat="false" ht="11.25" hidden="false" customHeight="true" outlineLevel="0" collapsed="false"/>
    <row r="4667" customFormat="false" ht="11.25" hidden="false" customHeight="true" outlineLevel="0" collapsed="false"/>
    <row r="4668" customFormat="false" ht="11.25" hidden="false" customHeight="true" outlineLevel="0" collapsed="false"/>
    <row r="4669" customFormat="false" ht="11.25" hidden="false" customHeight="true" outlineLevel="0" collapsed="false"/>
    <row r="4670" customFormat="false" ht="11.25" hidden="false" customHeight="true" outlineLevel="0" collapsed="false"/>
    <row r="4671" customFormat="false" ht="11.25" hidden="false" customHeight="true" outlineLevel="0" collapsed="false"/>
    <row r="4672" customFormat="false" ht="11.25" hidden="false" customHeight="true" outlineLevel="0" collapsed="false"/>
    <row r="4673" customFormat="false" ht="11.25" hidden="false" customHeight="true" outlineLevel="0" collapsed="false"/>
    <row r="4674" customFormat="false" ht="11.25" hidden="false" customHeight="true" outlineLevel="0" collapsed="false"/>
    <row r="4675" customFormat="false" ht="11.25" hidden="false" customHeight="true" outlineLevel="0" collapsed="false"/>
    <row r="4676" customFormat="false" ht="11.25" hidden="false" customHeight="true" outlineLevel="0" collapsed="false"/>
    <row r="4677" customFormat="false" ht="11.25" hidden="false" customHeight="true" outlineLevel="0" collapsed="false"/>
    <row r="4678" customFormat="false" ht="11.25" hidden="false" customHeight="true" outlineLevel="0" collapsed="false"/>
    <row r="4679" customFormat="false" ht="11.25" hidden="false" customHeight="true" outlineLevel="0" collapsed="false"/>
    <row r="4680" customFormat="false" ht="11.25" hidden="false" customHeight="true" outlineLevel="0" collapsed="false"/>
    <row r="4681" customFormat="false" ht="11.25" hidden="false" customHeight="true" outlineLevel="0" collapsed="false"/>
    <row r="4682" customFormat="false" ht="11.25" hidden="false" customHeight="true" outlineLevel="0" collapsed="false"/>
    <row r="4683" customFormat="false" ht="11.25" hidden="false" customHeight="true" outlineLevel="0" collapsed="false"/>
    <row r="4684" customFormat="false" ht="11.25" hidden="false" customHeight="true" outlineLevel="0" collapsed="false"/>
    <row r="4685" customFormat="false" ht="11.25" hidden="false" customHeight="true" outlineLevel="0" collapsed="false"/>
    <row r="4686" customFormat="false" ht="11.25" hidden="false" customHeight="true" outlineLevel="0" collapsed="false"/>
    <row r="4687" customFormat="false" ht="11.25" hidden="false" customHeight="true" outlineLevel="0" collapsed="false"/>
    <row r="4688" customFormat="false" ht="11.25" hidden="false" customHeight="true" outlineLevel="0" collapsed="false"/>
    <row r="4689" customFormat="false" ht="11.25" hidden="false" customHeight="true" outlineLevel="0" collapsed="false"/>
    <row r="4690" customFormat="false" ht="11.25" hidden="false" customHeight="true" outlineLevel="0" collapsed="false"/>
    <row r="4691" customFormat="false" ht="11.25" hidden="false" customHeight="true" outlineLevel="0" collapsed="false"/>
    <row r="4692" customFormat="false" ht="11.25" hidden="false" customHeight="true" outlineLevel="0" collapsed="false"/>
    <row r="4693" customFormat="false" ht="11.25" hidden="false" customHeight="true" outlineLevel="0" collapsed="false"/>
    <row r="4694" customFormat="false" ht="11.25" hidden="false" customHeight="true" outlineLevel="0" collapsed="false"/>
    <row r="4695" customFormat="false" ht="11.25" hidden="false" customHeight="true" outlineLevel="0" collapsed="false"/>
    <row r="4696" customFormat="false" ht="11.25" hidden="false" customHeight="true" outlineLevel="0" collapsed="false"/>
    <row r="4697" customFormat="false" ht="11.25" hidden="false" customHeight="true" outlineLevel="0" collapsed="false"/>
    <row r="4698" customFormat="false" ht="11.25" hidden="false" customHeight="true" outlineLevel="0" collapsed="false"/>
    <row r="4699" customFormat="false" ht="11.25" hidden="false" customHeight="true" outlineLevel="0" collapsed="false"/>
    <row r="4700" customFormat="false" ht="11.25" hidden="false" customHeight="true" outlineLevel="0" collapsed="false"/>
    <row r="4701" customFormat="false" ht="11.25" hidden="false" customHeight="true" outlineLevel="0" collapsed="false"/>
    <row r="4702" customFormat="false" ht="11.25" hidden="false" customHeight="true" outlineLevel="0" collapsed="false"/>
    <row r="4703" customFormat="false" ht="11.25" hidden="false" customHeight="true" outlineLevel="0" collapsed="false"/>
    <row r="4704" customFormat="false" ht="11.25" hidden="false" customHeight="true" outlineLevel="0" collapsed="false"/>
    <row r="4705" customFormat="false" ht="11.25" hidden="false" customHeight="true" outlineLevel="0" collapsed="false"/>
    <row r="4706" customFormat="false" ht="11.25" hidden="false" customHeight="true" outlineLevel="0" collapsed="false"/>
    <row r="4707" customFormat="false" ht="11.25" hidden="false" customHeight="true" outlineLevel="0" collapsed="false"/>
    <row r="4708" customFormat="false" ht="11.25" hidden="false" customHeight="true" outlineLevel="0" collapsed="false"/>
    <row r="4709" customFormat="false" ht="11.25" hidden="false" customHeight="true" outlineLevel="0" collapsed="false"/>
    <row r="4710" customFormat="false" ht="11.25" hidden="false" customHeight="true" outlineLevel="0" collapsed="false"/>
    <row r="4711" customFormat="false" ht="11.25" hidden="false" customHeight="true" outlineLevel="0" collapsed="false"/>
    <row r="4712" customFormat="false" ht="11.25" hidden="false" customHeight="true" outlineLevel="0" collapsed="false"/>
    <row r="4713" customFormat="false" ht="11.25" hidden="false" customHeight="true" outlineLevel="0" collapsed="false"/>
    <row r="4714" customFormat="false" ht="11.25" hidden="false" customHeight="true" outlineLevel="0" collapsed="false"/>
    <row r="4715" customFormat="false" ht="11.25" hidden="false" customHeight="true" outlineLevel="0" collapsed="false"/>
    <row r="4716" customFormat="false" ht="11.25" hidden="false" customHeight="true" outlineLevel="0" collapsed="false"/>
    <row r="4717" customFormat="false" ht="11.25" hidden="false" customHeight="true" outlineLevel="0" collapsed="false"/>
    <row r="4718" customFormat="false" ht="11.25" hidden="false" customHeight="true" outlineLevel="0" collapsed="false"/>
    <row r="4719" customFormat="false" ht="11.25" hidden="false" customHeight="true" outlineLevel="0" collapsed="false"/>
    <row r="4720" customFormat="false" ht="11.25" hidden="false" customHeight="true" outlineLevel="0" collapsed="false"/>
    <row r="4721" customFormat="false" ht="11.25" hidden="false" customHeight="true" outlineLevel="0" collapsed="false"/>
    <row r="4722" customFormat="false" ht="11.25" hidden="false" customHeight="true" outlineLevel="0" collapsed="false"/>
    <row r="4723" customFormat="false" ht="11.25" hidden="false" customHeight="true" outlineLevel="0" collapsed="false"/>
    <row r="4724" customFormat="false" ht="11.25" hidden="false" customHeight="true" outlineLevel="0" collapsed="false"/>
    <row r="4725" customFormat="false" ht="11.25" hidden="false" customHeight="true" outlineLevel="0" collapsed="false"/>
    <row r="4726" customFormat="false" ht="11.25" hidden="false" customHeight="true" outlineLevel="0" collapsed="false"/>
    <row r="4727" customFormat="false" ht="11.25" hidden="false" customHeight="true" outlineLevel="0" collapsed="false"/>
    <row r="4728" customFormat="false" ht="11.25" hidden="false" customHeight="true" outlineLevel="0" collapsed="false"/>
    <row r="4729" customFormat="false" ht="11.25" hidden="false" customHeight="true" outlineLevel="0" collapsed="false"/>
    <row r="4730" customFormat="false" ht="11.25" hidden="false" customHeight="true" outlineLevel="0" collapsed="false"/>
    <row r="4731" customFormat="false" ht="11.25" hidden="false" customHeight="true" outlineLevel="0" collapsed="false"/>
    <row r="4732" customFormat="false" ht="11.25" hidden="false" customHeight="true" outlineLevel="0" collapsed="false"/>
    <row r="4733" customFormat="false" ht="11.25" hidden="false" customHeight="true" outlineLevel="0" collapsed="false"/>
    <row r="4734" customFormat="false" ht="11.25" hidden="false" customHeight="true" outlineLevel="0" collapsed="false"/>
    <row r="4735" customFormat="false" ht="11.25" hidden="false" customHeight="true" outlineLevel="0" collapsed="false"/>
    <row r="4736" customFormat="false" ht="11.25" hidden="false" customHeight="true" outlineLevel="0" collapsed="false"/>
    <row r="4737" customFormat="false" ht="11.25" hidden="false" customHeight="true" outlineLevel="0" collapsed="false"/>
    <row r="4738" customFormat="false" ht="11.25" hidden="false" customHeight="true" outlineLevel="0" collapsed="false"/>
    <row r="4739" customFormat="false" ht="11.25" hidden="false" customHeight="true" outlineLevel="0" collapsed="false"/>
    <row r="4740" customFormat="false" ht="11.25" hidden="false" customHeight="true" outlineLevel="0" collapsed="false"/>
    <row r="4741" customFormat="false" ht="11.25" hidden="false" customHeight="true" outlineLevel="0" collapsed="false"/>
    <row r="4742" customFormat="false" ht="11.25" hidden="false" customHeight="true" outlineLevel="0" collapsed="false"/>
    <row r="4743" customFormat="false" ht="11.25" hidden="false" customHeight="true" outlineLevel="0" collapsed="false"/>
    <row r="4744" customFormat="false" ht="11.25" hidden="false" customHeight="true" outlineLevel="0" collapsed="false"/>
    <row r="4745" customFormat="false" ht="11.25" hidden="false" customHeight="true" outlineLevel="0" collapsed="false"/>
    <row r="4746" customFormat="false" ht="11.25" hidden="false" customHeight="true" outlineLevel="0" collapsed="false"/>
    <row r="4747" customFormat="false" ht="11.25" hidden="false" customHeight="true" outlineLevel="0" collapsed="false"/>
    <row r="4748" customFormat="false" ht="11.25" hidden="false" customHeight="true" outlineLevel="0" collapsed="false"/>
    <row r="4749" customFormat="false" ht="11.25" hidden="false" customHeight="true" outlineLevel="0" collapsed="false"/>
    <row r="4750" customFormat="false" ht="11.25" hidden="false" customHeight="true" outlineLevel="0" collapsed="false"/>
    <row r="4751" customFormat="false" ht="11.25" hidden="false" customHeight="true" outlineLevel="0" collapsed="false"/>
    <row r="4752" customFormat="false" ht="11.25" hidden="false" customHeight="true" outlineLevel="0" collapsed="false"/>
    <row r="4753" customFormat="false" ht="11.25" hidden="false" customHeight="true" outlineLevel="0" collapsed="false"/>
    <row r="4754" customFormat="false" ht="11.25" hidden="false" customHeight="true" outlineLevel="0" collapsed="false"/>
    <row r="4755" customFormat="false" ht="11.25" hidden="false" customHeight="true" outlineLevel="0" collapsed="false"/>
    <row r="4756" customFormat="false" ht="11.25" hidden="false" customHeight="true" outlineLevel="0" collapsed="false"/>
    <row r="4757" customFormat="false" ht="11.25" hidden="false" customHeight="true" outlineLevel="0" collapsed="false"/>
    <row r="4758" customFormat="false" ht="11.25" hidden="false" customHeight="true" outlineLevel="0" collapsed="false"/>
    <row r="4759" customFormat="false" ht="11.25" hidden="false" customHeight="true" outlineLevel="0" collapsed="false"/>
    <row r="4760" customFormat="false" ht="11.25" hidden="false" customHeight="true" outlineLevel="0" collapsed="false"/>
    <row r="4761" customFormat="false" ht="11.25" hidden="false" customHeight="true" outlineLevel="0" collapsed="false"/>
    <row r="4762" customFormat="false" ht="11.25" hidden="false" customHeight="true" outlineLevel="0" collapsed="false"/>
    <row r="4763" customFormat="false" ht="11.25" hidden="false" customHeight="true" outlineLevel="0" collapsed="false"/>
    <row r="4764" customFormat="false" ht="11.25" hidden="false" customHeight="true" outlineLevel="0" collapsed="false"/>
    <row r="4765" customFormat="false" ht="11.25" hidden="false" customHeight="true" outlineLevel="0" collapsed="false"/>
    <row r="4766" customFormat="false" ht="11.25" hidden="false" customHeight="true" outlineLevel="0" collapsed="false"/>
    <row r="4767" customFormat="false" ht="11.25" hidden="false" customHeight="true" outlineLevel="0" collapsed="false"/>
    <row r="4768" customFormat="false" ht="11.25" hidden="false" customHeight="true" outlineLevel="0" collapsed="false"/>
    <row r="4769" customFormat="false" ht="11.25" hidden="false" customHeight="true" outlineLevel="0" collapsed="false"/>
    <row r="4770" customFormat="false" ht="11.25" hidden="false" customHeight="true" outlineLevel="0" collapsed="false"/>
    <row r="4771" customFormat="false" ht="11.25" hidden="false" customHeight="true" outlineLevel="0" collapsed="false"/>
    <row r="4772" customFormat="false" ht="11.25" hidden="false" customHeight="true" outlineLevel="0" collapsed="false"/>
    <row r="4773" customFormat="false" ht="11.25" hidden="false" customHeight="true" outlineLevel="0" collapsed="false"/>
    <row r="4774" customFormat="false" ht="11.25" hidden="false" customHeight="true" outlineLevel="0" collapsed="false"/>
    <row r="4775" customFormat="false" ht="11.25" hidden="false" customHeight="true" outlineLevel="0" collapsed="false"/>
    <row r="4776" customFormat="false" ht="11.25" hidden="false" customHeight="true" outlineLevel="0" collapsed="false"/>
    <row r="4777" customFormat="false" ht="11.25" hidden="false" customHeight="true" outlineLevel="0" collapsed="false"/>
    <row r="4778" customFormat="false" ht="11.25" hidden="false" customHeight="true" outlineLevel="0" collapsed="false"/>
    <row r="4779" customFormat="false" ht="11.25" hidden="false" customHeight="true" outlineLevel="0" collapsed="false"/>
    <row r="4780" customFormat="false" ht="11.25" hidden="false" customHeight="true" outlineLevel="0" collapsed="false"/>
    <row r="4781" customFormat="false" ht="11.25" hidden="false" customHeight="true" outlineLevel="0" collapsed="false"/>
    <row r="4782" customFormat="false" ht="11.25" hidden="false" customHeight="true" outlineLevel="0" collapsed="false"/>
    <row r="4783" customFormat="false" ht="11.25" hidden="false" customHeight="true" outlineLevel="0" collapsed="false"/>
    <row r="4784" customFormat="false" ht="11.25" hidden="false" customHeight="true" outlineLevel="0" collapsed="false"/>
    <row r="4785" customFormat="false" ht="11.25" hidden="false" customHeight="true" outlineLevel="0" collapsed="false"/>
    <row r="4786" customFormat="false" ht="11.25" hidden="false" customHeight="true" outlineLevel="0" collapsed="false"/>
    <row r="4787" customFormat="false" ht="11.25" hidden="false" customHeight="true" outlineLevel="0" collapsed="false"/>
    <row r="4788" customFormat="false" ht="11.25" hidden="false" customHeight="true" outlineLevel="0" collapsed="false"/>
    <row r="4789" customFormat="false" ht="11.25" hidden="false" customHeight="true" outlineLevel="0" collapsed="false"/>
    <row r="4790" customFormat="false" ht="11.25" hidden="false" customHeight="true" outlineLevel="0" collapsed="false"/>
    <row r="4791" customFormat="false" ht="11.25" hidden="false" customHeight="true" outlineLevel="0" collapsed="false"/>
    <row r="4792" customFormat="false" ht="11.25" hidden="false" customHeight="true" outlineLevel="0" collapsed="false"/>
    <row r="4793" customFormat="false" ht="11.25" hidden="false" customHeight="true" outlineLevel="0" collapsed="false"/>
    <row r="4794" customFormat="false" ht="11.25" hidden="false" customHeight="true" outlineLevel="0" collapsed="false"/>
    <row r="4795" customFormat="false" ht="11.25" hidden="false" customHeight="true" outlineLevel="0" collapsed="false"/>
    <row r="4796" customFormat="false" ht="11.25" hidden="false" customHeight="true" outlineLevel="0" collapsed="false"/>
    <row r="4797" customFormat="false" ht="11.25" hidden="false" customHeight="true" outlineLevel="0" collapsed="false"/>
    <row r="4798" customFormat="false" ht="11.25" hidden="false" customHeight="true" outlineLevel="0" collapsed="false"/>
    <row r="4799" customFormat="false" ht="11.25" hidden="false" customHeight="true" outlineLevel="0" collapsed="false"/>
    <row r="4800" customFormat="false" ht="11.25" hidden="false" customHeight="true" outlineLevel="0" collapsed="false"/>
    <row r="4801" customFormat="false" ht="11.25" hidden="false" customHeight="true" outlineLevel="0" collapsed="false"/>
    <row r="4802" customFormat="false" ht="11.25" hidden="false" customHeight="true" outlineLevel="0" collapsed="false"/>
    <row r="4803" customFormat="false" ht="11.25" hidden="false" customHeight="true" outlineLevel="0" collapsed="false"/>
    <row r="4804" customFormat="false" ht="11.25" hidden="false" customHeight="true" outlineLevel="0" collapsed="false"/>
    <row r="4805" customFormat="false" ht="11.25" hidden="false" customHeight="true" outlineLevel="0" collapsed="false"/>
    <row r="4806" customFormat="false" ht="11.25" hidden="false" customHeight="true" outlineLevel="0" collapsed="false"/>
    <row r="4807" customFormat="false" ht="11.25" hidden="false" customHeight="true" outlineLevel="0" collapsed="false"/>
    <row r="4808" customFormat="false" ht="11.25" hidden="false" customHeight="true" outlineLevel="0" collapsed="false"/>
    <row r="4809" customFormat="false" ht="11.25" hidden="false" customHeight="true" outlineLevel="0" collapsed="false"/>
    <row r="4810" customFormat="false" ht="11.25" hidden="false" customHeight="true" outlineLevel="0" collapsed="false"/>
    <row r="4811" customFormat="false" ht="11.25" hidden="false" customHeight="true" outlineLevel="0" collapsed="false"/>
    <row r="4812" customFormat="false" ht="11.25" hidden="false" customHeight="true" outlineLevel="0" collapsed="false"/>
    <row r="4813" customFormat="false" ht="11.25" hidden="false" customHeight="true" outlineLevel="0" collapsed="false"/>
    <row r="4814" customFormat="false" ht="11.25" hidden="false" customHeight="true" outlineLevel="0" collapsed="false"/>
    <row r="4815" customFormat="false" ht="11.25" hidden="false" customHeight="true" outlineLevel="0" collapsed="false"/>
    <row r="4816" customFormat="false" ht="11.25" hidden="false" customHeight="true" outlineLevel="0" collapsed="false"/>
    <row r="4817" customFormat="false" ht="11.25" hidden="false" customHeight="true" outlineLevel="0" collapsed="false"/>
    <row r="4818" customFormat="false" ht="11.25" hidden="false" customHeight="true" outlineLevel="0" collapsed="false"/>
    <row r="4819" customFormat="false" ht="11.25" hidden="false" customHeight="true" outlineLevel="0" collapsed="false"/>
    <row r="4820" customFormat="false" ht="11.25" hidden="false" customHeight="true" outlineLevel="0" collapsed="false"/>
    <row r="4821" customFormat="false" ht="11.25" hidden="false" customHeight="true" outlineLevel="0" collapsed="false"/>
    <row r="4822" customFormat="false" ht="11.25" hidden="false" customHeight="true" outlineLevel="0" collapsed="false"/>
    <row r="4823" customFormat="false" ht="11.25" hidden="false" customHeight="true" outlineLevel="0" collapsed="false"/>
    <row r="4824" customFormat="false" ht="11.25" hidden="false" customHeight="true" outlineLevel="0" collapsed="false"/>
    <row r="4825" customFormat="false" ht="11.25" hidden="false" customHeight="true" outlineLevel="0" collapsed="false"/>
    <row r="4826" customFormat="false" ht="11.25" hidden="false" customHeight="true" outlineLevel="0" collapsed="false"/>
    <row r="4827" customFormat="false" ht="11.25" hidden="false" customHeight="true" outlineLevel="0" collapsed="false"/>
    <row r="4828" customFormat="false" ht="11.25" hidden="false" customHeight="true" outlineLevel="0" collapsed="false"/>
    <row r="4829" customFormat="false" ht="11.25" hidden="false" customHeight="true" outlineLevel="0" collapsed="false"/>
    <row r="4830" customFormat="false" ht="11.25" hidden="false" customHeight="true" outlineLevel="0" collapsed="false"/>
    <row r="4831" customFormat="false" ht="11.25" hidden="false" customHeight="true" outlineLevel="0" collapsed="false"/>
    <row r="4832" customFormat="false" ht="11.25" hidden="false" customHeight="true" outlineLevel="0" collapsed="false"/>
    <row r="4833" customFormat="false" ht="11.25" hidden="false" customHeight="true" outlineLevel="0" collapsed="false"/>
    <row r="4834" customFormat="false" ht="11.25" hidden="false" customHeight="true" outlineLevel="0" collapsed="false"/>
    <row r="4835" customFormat="false" ht="11.25" hidden="false" customHeight="true" outlineLevel="0" collapsed="false"/>
    <row r="4836" customFormat="false" ht="11.25" hidden="false" customHeight="true" outlineLevel="0" collapsed="false"/>
    <row r="4837" customFormat="false" ht="11.25" hidden="false" customHeight="true" outlineLevel="0" collapsed="false"/>
    <row r="4838" customFormat="false" ht="11.25" hidden="false" customHeight="true" outlineLevel="0" collapsed="false"/>
    <row r="4839" customFormat="false" ht="11.25" hidden="false" customHeight="true" outlineLevel="0" collapsed="false"/>
    <row r="4840" customFormat="false" ht="11.25" hidden="false" customHeight="true" outlineLevel="0" collapsed="false"/>
    <row r="4841" customFormat="false" ht="11.25" hidden="false" customHeight="true" outlineLevel="0" collapsed="false"/>
    <row r="4842" customFormat="false" ht="11.25" hidden="false" customHeight="true" outlineLevel="0" collapsed="false"/>
    <row r="4843" customFormat="false" ht="11.25" hidden="false" customHeight="true" outlineLevel="0" collapsed="false"/>
    <row r="4844" customFormat="false" ht="11.25" hidden="false" customHeight="true" outlineLevel="0" collapsed="false"/>
    <row r="4845" customFormat="false" ht="11.25" hidden="false" customHeight="true" outlineLevel="0" collapsed="false"/>
    <row r="4846" customFormat="false" ht="11.25" hidden="false" customHeight="true" outlineLevel="0" collapsed="false"/>
    <row r="4847" customFormat="false" ht="11.25" hidden="false" customHeight="true" outlineLevel="0" collapsed="false"/>
    <row r="4848" customFormat="false" ht="11.25" hidden="false" customHeight="true" outlineLevel="0" collapsed="false"/>
    <row r="4849" customFormat="false" ht="11.25" hidden="false" customHeight="true" outlineLevel="0" collapsed="false"/>
    <row r="4850" customFormat="false" ht="11.25" hidden="false" customHeight="true" outlineLevel="0" collapsed="false"/>
    <row r="4851" customFormat="false" ht="11.25" hidden="false" customHeight="true" outlineLevel="0" collapsed="false"/>
    <row r="4852" customFormat="false" ht="11.25" hidden="false" customHeight="true" outlineLevel="0" collapsed="false"/>
    <row r="4853" customFormat="false" ht="11.25" hidden="false" customHeight="true" outlineLevel="0" collapsed="false"/>
    <row r="4854" customFormat="false" ht="11.25" hidden="false" customHeight="true" outlineLevel="0" collapsed="false"/>
    <row r="4855" customFormat="false" ht="11.25" hidden="false" customHeight="true" outlineLevel="0" collapsed="false"/>
    <row r="4856" customFormat="false" ht="11.25" hidden="false" customHeight="true" outlineLevel="0" collapsed="false"/>
    <row r="4857" customFormat="false" ht="11.25" hidden="false" customHeight="true" outlineLevel="0" collapsed="false"/>
    <row r="4858" customFormat="false" ht="11.25" hidden="false" customHeight="true" outlineLevel="0" collapsed="false"/>
    <row r="4859" customFormat="false" ht="11.25" hidden="false" customHeight="true" outlineLevel="0" collapsed="false"/>
    <row r="4860" customFormat="false" ht="11.25" hidden="false" customHeight="true" outlineLevel="0" collapsed="false"/>
    <row r="4861" customFormat="false" ht="11.25" hidden="false" customHeight="true" outlineLevel="0" collapsed="false"/>
    <row r="4862" customFormat="false" ht="11.25" hidden="false" customHeight="true" outlineLevel="0" collapsed="false"/>
    <row r="4863" customFormat="false" ht="11.25" hidden="false" customHeight="true" outlineLevel="0" collapsed="false"/>
    <row r="4864" customFormat="false" ht="11.25" hidden="false" customHeight="true" outlineLevel="0" collapsed="false"/>
    <row r="4865" customFormat="false" ht="11.25" hidden="false" customHeight="true" outlineLevel="0" collapsed="false"/>
    <row r="4866" customFormat="false" ht="11.25" hidden="false" customHeight="true" outlineLevel="0" collapsed="false"/>
    <row r="4867" customFormat="false" ht="11.25" hidden="false" customHeight="true" outlineLevel="0" collapsed="false"/>
    <row r="4868" customFormat="false" ht="11.25" hidden="false" customHeight="true" outlineLevel="0" collapsed="false"/>
    <row r="4869" customFormat="false" ht="11.25" hidden="false" customHeight="true" outlineLevel="0" collapsed="false"/>
    <row r="4870" customFormat="false" ht="11.25" hidden="false" customHeight="true" outlineLevel="0" collapsed="false"/>
    <row r="4871" customFormat="false" ht="11.25" hidden="false" customHeight="true" outlineLevel="0" collapsed="false"/>
    <row r="4872" customFormat="false" ht="11.25" hidden="false" customHeight="true" outlineLevel="0" collapsed="false"/>
    <row r="4873" customFormat="false" ht="11.25" hidden="false" customHeight="true" outlineLevel="0" collapsed="false"/>
    <row r="4874" customFormat="false" ht="11.25" hidden="false" customHeight="true" outlineLevel="0" collapsed="false"/>
    <row r="4875" customFormat="false" ht="11.25" hidden="false" customHeight="true" outlineLevel="0" collapsed="false"/>
    <row r="4876" customFormat="false" ht="11.25" hidden="false" customHeight="true" outlineLevel="0" collapsed="false"/>
    <row r="4877" customFormat="false" ht="11.25" hidden="false" customHeight="true" outlineLevel="0" collapsed="false"/>
    <row r="4878" customFormat="false" ht="11.25" hidden="false" customHeight="true" outlineLevel="0" collapsed="false"/>
    <row r="4879" customFormat="false" ht="11.25" hidden="false" customHeight="true" outlineLevel="0" collapsed="false"/>
    <row r="4880" customFormat="false" ht="11.25" hidden="false" customHeight="true" outlineLevel="0" collapsed="false"/>
    <row r="4881" customFormat="false" ht="11.25" hidden="false" customHeight="true" outlineLevel="0" collapsed="false"/>
    <row r="4882" customFormat="false" ht="11.25" hidden="false" customHeight="true" outlineLevel="0" collapsed="false"/>
    <row r="4883" customFormat="false" ht="11.25" hidden="false" customHeight="true" outlineLevel="0" collapsed="false"/>
    <row r="4884" customFormat="false" ht="11.25" hidden="false" customHeight="true" outlineLevel="0" collapsed="false"/>
    <row r="4885" customFormat="false" ht="11.25" hidden="false" customHeight="true" outlineLevel="0" collapsed="false"/>
    <row r="4886" customFormat="false" ht="11.25" hidden="false" customHeight="true" outlineLevel="0" collapsed="false"/>
    <row r="4887" customFormat="false" ht="11.25" hidden="false" customHeight="true" outlineLevel="0" collapsed="false"/>
    <row r="4888" customFormat="false" ht="11.25" hidden="false" customHeight="true" outlineLevel="0" collapsed="false"/>
    <row r="4889" customFormat="false" ht="11.25" hidden="false" customHeight="true" outlineLevel="0" collapsed="false"/>
    <row r="4890" customFormat="false" ht="11.25" hidden="false" customHeight="true" outlineLevel="0" collapsed="false"/>
    <row r="4891" customFormat="false" ht="11.25" hidden="false" customHeight="true" outlineLevel="0" collapsed="false"/>
    <row r="4892" customFormat="false" ht="11.25" hidden="false" customHeight="true" outlineLevel="0" collapsed="false"/>
    <row r="4893" customFormat="false" ht="11.25" hidden="false" customHeight="true" outlineLevel="0" collapsed="false"/>
    <row r="4894" customFormat="false" ht="11.25" hidden="false" customHeight="true" outlineLevel="0" collapsed="false"/>
    <row r="4895" customFormat="false" ht="11.25" hidden="false" customHeight="true" outlineLevel="0" collapsed="false"/>
    <row r="4896" customFormat="false" ht="11.25" hidden="false" customHeight="true" outlineLevel="0" collapsed="false"/>
    <row r="4897" customFormat="false" ht="11.25" hidden="false" customHeight="true" outlineLevel="0" collapsed="false"/>
    <row r="4898" customFormat="false" ht="11.25" hidden="false" customHeight="true" outlineLevel="0" collapsed="false"/>
    <row r="4899" customFormat="false" ht="11.25" hidden="false" customHeight="true" outlineLevel="0" collapsed="false"/>
    <row r="4900" customFormat="false" ht="11.25" hidden="false" customHeight="true" outlineLevel="0" collapsed="false"/>
    <row r="4901" customFormat="false" ht="11.25" hidden="false" customHeight="true" outlineLevel="0" collapsed="false"/>
    <row r="4902" customFormat="false" ht="11.25" hidden="false" customHeight="true" outlineLevel="0" collapsed="false"/>
    <row r="4903" customFormat="false" ht="11.25" hidden="false" customHeight="true" outlineLevel="0" collapsed="false"/>
    <row r="4904" customFormat="false" ht="11.25" hidden="false" customHeight="true" outlineLevel="0" collapsed="false"/>
    <row r="4905" customFormat="false" ht="11.25" hidden="false" customHeight="true" outlineLevel="0" collapsed="false"/>
    <row r="4906" customFormat="false" ht="11.25" hidden="false" customHeight="true" outlineLevel="0" collapsed="false"/>
    <row r="4907" customFormat="false" ht="11.25" hidden="false" customHeight="true" outlineLevel="0" collapsed="false"/>
    <row r="4908" customFormat="false" ht="11.25" hidden="false" customHeight="true" outlineLevel="0" collapsed="false"/>
    <row r="4909" customFormat="false" ht="11.25" hidden="false" customHeight="true" outlineLevel="0" collapsed="false"/>
    <row r="4910" customFormat="false" ht="11.25" hidden="false" customHeight="true" outlineLevel="0" collapsed="false"/>
    <row r="4911" customFormat="false" ht="11.25" hidden="false" customHeight="true" outlineLevel="0" collapsed="false"/>
    <row r="4912" customFormat="false" ht="11.25" hidden="false" customHeight="true" outlineLevel="0" collapsed="false"/>
    <row r="4913" customFormat="false" ht="11.25" hidden="false" customHeight="true" outlineLevel="0" collapsed="false"/>
    <row r="4914" customFormat="false" ht="11.25" hidden="false" customHeight="true" outlineLevel="0" collapsed="false"/>
    <row r="4915" customFormat="false" ht="11.25" hidden="false" customHeight="true" outlineLevel="0" collapsed="false"/>
    <row r="4916" customFormat="false" ht="11.25" hidden="false" customHeight="true" outlineLevel="0" collapsed="false"/>
    <row r="4917" customFormat="false" ht="11.25" hidden="false" customHeight="true" outlineLevel="0" collapsed="false"/>
    <row r="4918" customFormat="false" ht="11.25" hidden="false" customHeight="true" outlineLevel="0" collapsed="false"/>
    <row r="4919" customFormat="false" ht="11.25" hidden="false" customHeight="true" outlineLevel="0" collapsed="false"/>
    <row r="4920" customFormat="false" ht="11.25" hidden="false" customHeight="true" outlineLevel="0" collapsed="false"/>
    <row r="4921" customFormat="false" ht="11.25" hidden="false" customHeight="true" outlineLevel="0" collapsed="false"/>
    <row r="4922" customFormat="false" ht="11.25" hidden="false" customHeight="true" outlineLevel="0" collapsed="false"/>
    <row r="4923" customFormat="false" ht="11.25" hidden="false" customHeight="true" outlineLevel="0" collapsed="false"/>
    <row r="4924" customFormat="false" ht="11.25" hidden="false" customHeight="true" outlineLevel="0" collapsed="false"/>
    <row r="4925" customFormat="false" ht="11.25" hidden="false" customHeight="true" outlineLevel="0" collapsed="false"/>
    <row r="4926" customFormat="false" ht="11.25" hidden="false" customHeight="true" outlineLevel="0" collapsed="false"/>
    <row r="4927" customFormat="false" ht="11.25" hidden="false" customHeight="true" outlineLevel="0" collapsed="false"/>
    <row r="4928" customFormat="false" ht="11.25" hidden="false" customHeight="true" outlineLevel="0" collapsed="false"/>
    <row r="4929" customFormat="false" ht="11.25" hidden="false" customHeight="true" outlineLevel="0" collapsed="false"/>
    <row r="4930" customFormat="false" ht="11.25" hidden="false" customHeight="true" outlineLevel="0" collapsed="false"/>
    <row r="4931" customFormat="false" ht="11.25" hidden="false" customHeight="true" outlineLevel="0" collapsed="false"/>
    <row r="4932" customFormat="false" ht="11.25" hidden="false" customHeight="true" outlineLevel="0" collapsed="false"/>
    <row r="4933" customFormat="false" ht="11.25" hidden="false" customHeight="true" outlineLevel="0" collapsed="false"/>
    <row r="4934" customFormat="false" ht="11.25" hidden="false" customHeight="true" outlineLevel="0" collapsed="false"/>
    <row r="4935" customFormat="false" ht="11.25" hidden="false" customHeight="true" outlineLevel="0" collapsed="false"/>
    <row r="4936" customFormat="false" ht="11.25" hidden="false" customHeight="true" outlineLevel="0" collapsed="false"/>
    <row r="4937" customFormat="false" ht="11.25" hidden="false" customHeight="true" outlineLevel="0" collapsed="false"/>
    <row r="4938" customFormat="false" ht="11.25" hidden="false" customHeight="true" outlineLevel="0" collapsed="false"/>
    <row r="4939" customFormat="false" ht="11.25" hidden="false" customHeight="true" outlineLevel="0" collapsed="false"/>
    <row r="4940" customFormat="false" ht="11.25" hidden="false" customHeight="true" outlineLevel="0" collapsed="false"/>
    <row r="4941" customFormat="false" ht="11.25" hidden="false" customHeight="true" outlineLevel="0" collapsed="false"/>
    <row r="4942" customFormat="false" ht="11.25" hidden="false" customHeight="true" outlineLevel="0" collapsed="false"/>
    <row r="4943" customFormat="false" ht="11.25" hidden="false" customHeight="true" outlineLevel="0" collapsed="false"/>
    <row r="4944" customFormat="false" ht="11.25" hidden="false" customHeight="true" outlineLevel="0" collapsed="false"/>
    <row r="4945" customFormat="false" ht="11.25" hidden="false" customHeight="true" outlineLevel="0" collapsed="false"/>
    <row r="4946" customFormat="false" ht="11.25" hidden="false" customHeight="true" outlineLevel="0" collapsed="false"/>
    <row r="4947" customFormat="false" ht="11.25" hidden="false" customHeight="true" outlineLevel="0" collapsed="false"/>
    <row r="4948" customFormat="false" ht="11.25" hidden="false" customHeight="true" outlineLevel="0" collapsed="false"/>
    <row r="4949" customFormat="false" ht="11.25" hidden="false" customHeight="true" outlineLevel="0" collapsed="false"/>
    <row r="4950" customFormat="false" ht="11.25" hidden="false" customHeight="true" outlineLevel="0" collapsed="false"/>
    <row r="4951" customFormat="false" ht="11.25" hidden="false" customHeight="true" outlineLevel="0" collapsed="false"/>
    <row r="4952" customFormat="false" ht="11.25" hidden="false" customHeight="true" outlineLevel="0" collapsed="false"/>
    <row r="4953" customFormat="false" ht="11.25" hidden="false" customHeight="true" outlineLevel="0" collapsed="false"/>
    <row r="4954" customFormat="false" ht="11.25" hidden="false" customHeight="true" outlineLevel="0" collapsed="false"/>
    <row r="4955" customFormat="false" ht="11.25" hidden="false" customHeight="true" outlineLevel="0" collapsed="false"/>
    <row r="4956" customFormat="false" ht="11.25" hidden="false" customHeight="true" outlineLevel="0" collapsed="false"/>
    <row r="4957" customFormat="false" ht="11.25" hidden="false" customHeight="true" outlineLevel="0" collapsed="false"/>
    <row r="4958" customFormat="false" ht="11.25" hidden="false" customHeight="true" outlineLevel="0" collapsed="false"/>
    <row r="4959" customFormat="false" ht="11.25" hidden="false" customHeight="true" outlineLevel="0" collapsed="false"/>
    <row r="4960" customFormat="false" ht="11.25" hidden="false" customHeight="true" outlineLevel="0" collapsed="false"/>
    <row r="4961" customFormat="false" ht="11.25" hidden="false" customHeight="true" outlineLevel="0" collapsed="false"/>
    <row r="4962" customFormat="false" ht="11.25" hidden="false" customHeight="true" outlineLevel="0" collapsed="false"/>
    <row r="4963" customFormat="false" ht="11.25" hidden="false" customHeight="true" outlineLevel="0" collapsed="false"/>
    <row r="4964" customFormat="false" ht="11.25" hidden="false" customHeight="true" outlineLevel="0" collapsed="false"/>
    <row r="4965" customFormat="false" ht="11.25" hidden="false" customHeight="true" outlineLevel="0" collapsed="false"/>
    <row r="4966" customFormat="false" ht="11.25" hidden="false" customHeight="true" outlineLevel="0" collapsed="false"/>
    <row r="4967" customFormat="false" ht="11.25" hidden="false" customHeight="true" outlineLevel="0" collapsed="false"/>
    <row r="4968" customFormat="false" ht="11.25" hidden="false" customHeight="true" outlineLevel="0" collapsed="false"/>
    <row r="4969" customFormat="false" ht="11.25" hidden="false" customHeight="true" outlineLevel="0" collapsed="false"/>
    <row r="4970" customFormat="false" ht="11.25" hidden="false" customHeight="true" outlineLevel="0" collapsed="false"/>
    <row r="4971" customFormat="false" ht="11.25" hidden="false" customHeight="true" outlineLevel="0" collapsed="false"/>
    <row r="4972" customFormat="false" ht="11.25" hidden="false" customHeight="true" outlineLevel="0" collapsed="false"/>
    <row r="4973" customFormat="false" ht="11.25" hidden="false" customHeight="true" outlineLevel="0" collapsed="false"/>
    <row r="4974" customFormat="false" ht="11.25" hidden="false" customHeight="true" outlineLevel="0" collapsed="false"/>
    <row r="4975" customFormat="false" ht="11.25" hidden="false" customHeight="true" outlineLevel="0" collapsed="false"/>
    <row r="4976" customFormat="false" ht="11.25" hidden="false" customHeight="true" outlineLevel="0" collapsed="false"/>
    <row r="4977" customFormat="false" ht="11.25" hidden="false" customHeight="true" outlineLevel="0" collapsed="false"/>
    <row r="4978" customFormat="false" ht="11.25" hidden="false" customHeight="true" outlineLevel="0" collapsed="false"/>
    <row r="4979" customFormat="false" ht="11.25" hidden="false" customHeight="true" outlineLevel="0" collapsed="false"/>
    <row r="4980" customFormat="false" ht="11.25" hidden="false" customHeight="true" outlineLevel="0" collapsed="false"/>
    <row r="4981" customFormat="false" ht="11.25" hidden="false" customHeight="true" outlineLevel="0" collapsed="false"/>
    <row r="4982" customFormat="false" ht="11.25" hidden="false" customHeight="true" outlineLevel="0" collapsed="false"/>
    <row r="4983" customFormat="false" ht="11.25" hidden="false" customHeight="true" outlineLevel="0" collapsed="false"/>
    <row r="4984" customFormat="false" ht="11.25" hidden="false" customHeight="true" outlineLevel="0" collapsed="false"/>
    <row r="4985" customFormat="false" ht="11.25" hidden="false" customHeight="true" outlineLevel="0" collapsed="false"/>
    <row r="4986" customFormat="false" ht="11.25" hidden="false" customHeight="true" outlineLevel="0" collapsed="false"/>
    <row r="4987" customFormat="false" ht="11.25" hidden="false" customHeight="true" outlineLevel="0" collapsed="false"/>
    <row r="4988" customFormat="false" ht="11.25" hidden="false" customHeight="true" outlineLevel="0" collapsed="false"/>
    <row r="4989" customFormat="false" ht="11.25" hidden="false" customHeight="true" outlineLevel="0" collapsed="false"/>
    <row r="4990" customFormat="false" ht="11.25" hidden="false" customHeight="true" outlineLevel="0" collapsed="false"/>
    <row r="4991" customFormat="false" ht="11.25" hidden="false" customHeight="true" outlineLevel="0" collapsed="false"/>
    <row r="4992" customFormat="false" ht="11.25" hidden="false" customHeight="true" outlineLevel="0" collapsed="false"/>
    <row r="4993" customFormat="false" ht="11.25" hidden="false" customHeight="true" outlineLevel="0" collapsed="false"/>
    <row r="4994" customFormat="false" ht="11.25" hidden="false" customHeight="true" outlineLevel="0" collapsed="false"/>
    <row r="4995" customFormat="false" ht="11.25" hidden="false" customHeight="true" outlineLevel="0" collapsed="false"/>
    <row r="4996" customFormat="false" ht="11.25" hidden="false" customHeight="true" outlineLevel="0" collapsed="false"/>
    <row r="4997" customFormat="false" ht="11.25" hidden="false" customHeight="true" outlineLevel="0" collapsed="false"/>
    <row r="4998" customFormat="false" ht="11.25" hidden="false" customHeight="true" outlineLevel="0" collapsed="false"/>
    <row r="4999" customFormat="false" ht="11.25" hidden="false" customHeight="true" outlineLevel="0" collapsed="false"/>
    <row r="5000" customFormat="false" ht="11.25" hidden="false" customHeight="true" outlineLevel="0" collapsed="false"/>
    <row r="5001" customFormat="false" ht="11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599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X9" activeCellId="0" sqref="X9"/>
    </sheetView>
  </sheetViews>
  <sheetFormatPr defaultColWidth="8.71484375" defaultRowHeight="12.75" zeroHeight="false" outlineLevelRow="0" outlineLevelCol="0"/>
  <cols>
    <col collapsed="false" customWidth="true" hidden="false" outlineLevel="0" max="1" min="1" style="17" width="32"/>
    <col collapsed="false" customWidth="true" hidden="false" outlineLevel="0" max="2" min="2" style="17" width="36.42"/>
    <col collapsed="false" customWidth="true" hidden="false" outlineLevel="0" max="4" min="3" style="17" width="22"/>
    <col collapsed="false" customWidth="true" hidden="false" outlineLevel="0" max="5" min="5" style="17" width="30"/>
    <col collapsed="false" customWidth="true" hidden="false" outlineLevel="0" max="6" min="6" style="17" width="12"/>
    <col collapsed="false" customWidth="true" hidden="false" outlineLevel="0" max="7" min="7" style="17" width="26.42"/>
    <col collapsed="false" customWidth="true" hidden="false" outlineLevel="0" max="8" min="8" style="17" width="63.42"/>
    <col collapsed="false" customWidth="true" hidden="false" outlineLevel="0" max="9" min="9" style="17" width="10.42"/>
    <col collapsed="false" customWidth="true" hidden="false" outlineLevel="0" max="10" min="10" style="17" width="25"/>
    <col collapsed="false" customWidth="false" hidden="false" outlineLevel="0" max="16" min="11" style="17" width="8.71"/>
    <col collapsed="false" customWidth="true" hidden="false" outlineLevel="0" max="17" min="17" style="17" width="22"/>
    <col collapsed="false" customWidth="true" hidden="false" outlineLevel="0" max="18" min="18" style="17" width="13.86"/>
    <col collapsed="false" customWidth="true" hidden="false" outlineLevel="0" max="19" min="19" style="17" width="12.15"/>
    <col collapsed="false" customWidth="true" hidden="false" outlineLevel="0" max="20" min="20" style="17" width="26.42"/>
    <col collapsed="false" customWidth="true" hidden="false" outlineLevel="0" max="21" min="21" style="17" width="14.86"/>
    <col collapsed="false" customWidth="false" hidden="false" outlineLevel="0" max="22" min="22" style="17" width="8.71"/>
    <col collapsed="false" customWidth="true" hidden="false" outlineLevel="0" max="23" min="23" style="17" width="55.29"/>
    <col collapsed="false" customWidth="true" hidden="false" outlineLevel="0" max="24" min="24" style="17" width="14.71"/>
    <col collapsed="false" customWidth="false" hidden="false" outlineLevel="0" max="26" min="25" style="17" width="8.71"/>
    <col collapsed="false" customWidth="true" hidden="false" outlineLevel="0" max="27" min="27" style="17" width="35.57"/>
    <col collapsed="false" customWidth="true" hidden="false" outlineLevel="0" max="28" min="28" style="17" width="10.42"/>
    <col collapsed="false" customWidth="false" hidden="false" outlineLevel="0" max="29" min="29" style="17" width="8.71"/>
    <col collapsed="false" customWidth="true" hidden="false" outlineLevel="0" max="30" min="30" style="17" width="48.57"/>
    <col collapsed="false" customWidth="false" hidden="false" outlineLevel="0" max="32" min="31" style="17" width="8.71"/>
    <col collapsed="false" customWidth="true" hidden="false" outlineLevel="0" max="33" min="33" style="17" width="32.29"/>
    <col collapsed="false" customWidth="true" hidden="false" outlineLevel="0" max="34" min="34" style="17" width="6.14"/>
    <col collapsed="false" customWidth="false" hidden="false" outlineLevel="0" max="35" min="35" style="17" width="8.71"/>
    <col collapsed="false" customWidth="true" hidden="false" outlineLevel="0" max="36" min="36" style="17" width="43.71"/>
    <col collapsed="false" customWidth="false" hidden="false" outlineLevel="0" max="16384" min="37" style="17" width="8.71"/>
  </cols>
  <sheetData>
    <row r="1" customFormat="false" ht="15.75" hidden="false" customHeight="true" outlineLevel="0" collapsed="false">
      <c r="A1" s="18" t="s">
        <v>2954</v>
      </c>
      <c r="B1" s="18"/>
      <c r="C1" s="19"/>
      <c r="D1" s="20"/>
      <c r="E1" s="20"/>
      <c r="G1" s="18" t="s">
        <v>2955</v>
      </c>
      <c r="H1" s="18"/>
      <c r="J1" s="21" t="s">
        <v>2956</v>
      </c>
      <c r="K1" s="21"/>
      <c r="L1" s="21"/>
      <c r="M1" s="21"/>
      <c r="N1" s="21"/>
      <c r="O1" s="21"/>
      <c r="Q1" s="22" t="s">
        <v>2957</v>
      </c>
      <c r="R1" s="22"/>
      <c r="S1" s="22"/>
      <c r="T1" s="22"/>
      <c r="W1" s="18" t="s">
        <v>2958</v>
      </c>
      <c r="X1" s="18"/>
      <c r="AA1" s="23" t="s">
        <v>2959</v>
      </c>
      <c r="AD1" s="23" t="s">
        <v>2960</v>
      </c>
      <c r="AG1" s="23" t="s">
        <v>2961</v>
      </c>
      <c r="AJ1" s="23" t="s">
        <v>2962</v>
      </c>
    </row>
    <row r="2" customFormat="false" ht="24" hidden="false" customHeight="true" outlineLevel="0" collapsed="false">
      <c r="A2" s="24" t="s">
        <v>2963</v>
      </c>
      <c r="B2" s="24" t="s">
        <v>2964</v>
      </c>
      <c r="D2" s="25"/>
      <c r="E2" s="25"/>
      <c r="G2" s="24" t="s">
        <v>2965</v>
      </c>
      <c r="H2" s="24" t="s">
        <v>2966</v>
      </c>
      <c r="J2" s="24" t="s">
        <v>14</v>
      </c>
      <c r="K2" s="24" t="s">
        <v>167</v>
      </c>
      <c r="L2" s="24" t="s">
        <v>123</v>
      </c>
      <c r="M2" s="24" t="s">
        <v>192</v>
      </c>
      <c r="N2" s="24" t="s">
        <v>2967</v>
      </c>
      <c r="Q2" s="26" t="s">
        <v>2968</v>
      </c>
      <c r="R2" s="26" t="s">
        <v>2969</v>
      </c>
      <c r="S2" s="26" t="s">
        <v>2970</v>
      </c>
      <c r="T2" s="26" t="s">
        <v>2971</v>
      </c>
      <c r="W2" s="24" t="s">
        <v>2972</v>
      </c>
      <c r="X2" s="24" t="s">
        <v>2973</v>
      </c>
      <c r="AA2" s="26" t="s">
        <v>2974</v>
      </c>
      <c r="AB2" s="26" t="s">
        <v>2975</v>
      </c>
      <c r="AD2" s="27" t="s">
        <v>2976</v>
      </c>
      <c r="AE2" s="27" t="s">
        <v>2977</v>
      </c>
      <c r="AG2" s="27" t="s">
        <v>8</v>
      </c>
      <c r="AH2" s="27" t="s">
        <v>2966</v>
      </c>
      <c r="AJ2" s="26" t="s">
        <v>2978</v>
      </c>
      <c r="AK2" s="26" t="s">
        <v>2966</v>
      </c>
    </row>
    <row r="3" customFormat="false" ht="30" hidden="false" customHeight="true" outlineLevel="0" collapsed="false">
      <c r="A3" s="28" t="s">
        <v>2979</v>
      </c>
      <c r="B3" s="29" t="n">
        <f aca="false">COUNTA(RawData[ID])</f>
        <v>500</v>
      </c>
      <c r="D3" s="30"/>
      <c r="E3" s="30"/>
      <c r="G3" s="31" t="s">
        <v>107</v>
      </c>
      <c r="H3" s="32" t="n">
        <f aca="false">COUNTIF(RawData[Engagement Type],G3)</f>
        <v>162</v>
      </c>
      <c r="J3" s="30" t="s">
        <v>113</v>
      </c>
      <c r="K3" s="30" t="n">
        <f aca="false">COUNTIFS(RawData[Service Line],J3,RawData[Severity],"High")</f>
        <v>75</v>
      </c>
      <c r="L3" s="30" t="n">
        <f aca="false">COUNTIFS(RawData[Service Line],J3,RawData[Severity],"Moderate")</f>
        <v>145</v>
      </c>
      <c r="M3" s="30" t="n">
        <f aca="false">COUNTIFS(RawData[Service Line],J3,RawData[Severity],"Low")</f>
        <v>123</v>
      </c>
      <c r="N3" s="30" t="n">
        <f aca="false">SUM(K3:M3)</f>
        <v>343</v>
      </c>
      <c r="Q3" s="33" t="str">
        <f aca="false" t="array" ref="Q3:Q3">IFERROR(INDEX($AJ$2:$AJ$599,MATCH(1,($AK$2:$AK$599=R3)*(COUNTIF($Q2:$Q$3,$AJ$2:$AJ$599)=0)*($AJ$2:$AJ$599&lt;&gt;""),0)),"")</f>
        <v>Feedback on recent processes</v>
      </c>
      <c r="R3" s="34" t="n">
        <f aca="false">IFERROR(LARGE($AK$2:$AK$599,1),"")</f>
        <v>36</v>
      </c>
      <c r="S3" s="34" t="n">
        <f aca="false">IF(Q3="","",IFERROR(R3/$B$3,0))</f>
        <v>0.072</v>
      </c>
      <c r="T3" s="34" t="str">
        <f aca="false" t="array" ref="T3:T3">IF(Q3="","",IFERROR(INDEX(SummaryData[Engagement Type],MATCH(TRIM(Q3),TRIM(SummaryData[Statement]),0)),""))</f>
        <v>1:1</v>
      </c>
      <c r="W3" s="30" t="s">
        <v>176</v>
      </c>
      <c r="X3" s="30" t="n">
        <f aca="false">SUMPRODUCT((TRIM(RawData[Alignment])=TRIM(W3))*1)</f>
        <v>33</v>
      </c>
      <c r="AA3" s="17" t="str">
        <f aca="false" t="array" ref="AA3:AA3">IFERROR(INDEX($AM$2:$AM$199,MATCH(1,($AN$2:$AN$199=AB3)*(COUNTIF($AA2:$AA$3,$AM$2:$AM$199)=0)*($AM$2:$AM$199&lt;&gt;""),0)),"")</f>
        <v>HR Connect (Project Wise)</v>
      </c>
      <c r="AB3" s="17" t="n">
        <f aca="false">IFERROR(LARGE($AN$2:$AN$199,1),"")</f>
        <v>37</v>
      </c>
      <c r="AD3" s="17" t="str">
        <f aca="false">IF(Calc!Q3="","",Calc!Q3)</f>
        <v>Feedback on recent processes</v>
      </c>
      <c r="AE3" s="17" t="n">
        <f aca="false">IF(Calc!Q3="","",Calc!R3)</f>
        <v>36</v>
      </c>
      <c r="AG3" s="17" t="str">
        <f aca="false" t="array" ref="AG3:AG3">IFERROR(INDEX($G$3:$G$15,MATCH(1,(($H$3:$H$15)=AH3)*(COUNTIF($AG2:$AG$3,$G$3:$G$15)=0),0)),"")</f>
        <v>Large Connect</v>
      </c>
      <c r="AH3" s="17" t="n">
        <f aca="false">IFERROR(LARGE($H$3:$H$15,1),"")</f>
        <v>162</v>
      </c>
      <c r="AJ3" s="17" t="str">
        <f aca="false">IF(Data_Summary!Y3&lt;&gt;"Coverage","",IF(Data_Summary!AA3="","",IF(COUNTIFS(Data_Summary!$Y$2:$Y3,"Coverage",Data_Summary!$AA$2:$AA3,Data_Summary!AA3)=1,Data_Summary!AA3,"")))</f>
        <v/>
      </c>
      <c r="AK3" s="17" t="str">
        <f aca="false">IF(AJ3="","",COUNTIFS(Data_Summary!$Y$2:$Y$20001,"Coverage",Data_Summary!$AA$2:$AA$20001,AJ3))</f>
        <v/>
      </c>
    </row>
    <row r="4" customFormat="false" ht="25.5" hidden="false" customHeight="true" outlineLevel="0" collapsed="false">
      <c r="A4" s="28" t="s">
        <v>2980</v>
      </c>
      <c r="B4" s="29" t="n">
        <f aca="false">COUNTIF(RawData[Status],"Open")</f>
        <v>44</v>
      </c>
      <c r="D4" s="30"/>
      <c r="E4" s="30"/>
      <c r="G4" s="30" t="s">
        <v>172</v>
      </c>
      <c r="H4" s="35" t="n">
        <f aca="false">COUNTIF(RawData[Engagement Type],G4)</f>
        <v>104</v>
      </c>
      <c r="J4" s="30" t="s">
        <v>863</v>
      </c>
      <c r="K4" s="30" t="n">
        <f aca="false">COUNTIFS(RawData[Service Line],J4,RawData[Severity],"High")</f>
        <v>1</v>
      </c>
      <c r="L4" s="30" t="n">
        <f aca="false">COUNTIFS(RawData[Service Line],J4,RawData[Severity],"Moderate")</f>
        <v>9</v>
      </c>
      <c r="M4" s="30" t="n">
        <f aca="false">COUNTIFS(RawData[Service Line],J4,RawData[Severity],"Low")</f>
        <v>1</v>
      </c>
      <c r="N4" s="30" t="n">
        <f aca="false">SUM(K4:M4)</f>
        <v>11</v>
      </c>
      <c r="Q4" s="36" t="str">
        <f aca="false" t="array" ref="Q4:Q4">IFERROR(INDEX($AJ$2:$AJ$599,MATCH(1,($AK$2:$AK$599=R4)*(COUNTIF($Q$3:$Q3,$AJ$2:$AJ$599)=0)*($AJ$2:$AJ$599&lt;&gt;""),0)),"")</f>
        <v>Clarity on expectations</v>
      </c>
      <c r="R4" s="34" t="n">
        <f aca="false">IFERROR(LARGE($AK$2:$AK$599,2),"")</f>
        <v>33</v>
      </c>
      <c r="S4" s="37" t="n">
        <f aca="false">IF(Q4="","",IFERROR(R4/$B$3,0))</f>
        <v>0.066</v>
      </c>
      <c r="T4" s="38" t="str">
        <f aca="false" t="array" ref="T4:T4">IF(Q4="","",IFERROR(INDEX(SummaryData[Engagement Type],MATCH(TRIM(Q4),TRIM(SummaryData[Statement]),0)),""))</f>
        <v>Large Connect</v>
      </c>
      <c r="W4" s="30" t="s">
        <v>2981</v>
      </c>
      <c r="X4" s="30" t="n">
        <f aca="false">SUMPRODUCT((TRIM(RawData[Alignment])=TRIM(W4))*1)</f>
        <v>0</v>
      </c>
      <c r="AA4" s="17" t="str">
        <f aca="false" t="array" ref="AA4:AA4">IFERROR(INDEX($AM$2:$AM$199,MATCH(1,($AN$2:$AN$199=AB4)*(COUNTIF($AA$3:$AA3,$AM$2:$AM$199)=0)*($AM$2:$AM$199&lt;&gt;""),0)),"")</f>
        <v>New Joiner Connect (60 Days)</v>
      </c>
      <c r="AB4" s="17" t="n">
        <f aca="false">IFERROR(LARGE($AN$2:$AN$199,2),"")</f>
        <v>36</v>
      </c>
      <c r="AD4" s="17" t="str">
        <f aca="false">IF(Calc!Q4="","",Calc!Q4)</f>
        <v>Clarity on expectations</v>
      </c>
      <c r="AE4" s="17" t="n">
        <f aca="false">IF(Calc!Q4="","",Calc!R4)</f>
        <v>33</v>
      </c>
      <c r="AG4" s="17" t="str">
        <f aca="false" t="array" ref="AG4:AG4">IFERROR(INDEX($G$3:$G$15,MATCH(1,(($H$3:$H$15)=AH4)*(COUNTIF($AG$3:$AG3,$G$3:$G$15)=0),0)),"")</f>
        <v>FGD</v>
      </c>
      <c r="AH4" s="17" t="n">
        <f aca="false">IFERROR(LARGE($H$3:$H$15,2),"")</f>
        <v>104</v>
      </c>
      <c r="AJ4" s="17" t="str">
        <f aca="false">IF(Data_Summary!Y5&lt;&gt;"Coverage","",IF(Data_Summary!AA5="","",IF(COUNTIFS(Data_Summary!$Y$2:$Y5,"Coverage",Data_Summary!$AA$2:$AA5,Data_Summary!AA5)=1,Data_Summary!AA5,"")))</f>
        <v/>
      </c>
      <c r="AK4" s="17" t="str">
        <f aca="false">IF(AJ4="","",COUNTIFS(Data_Summary!$Y$2:$Y$20001,"Coverage",Data_Summary!$AA$2:$AA$20001,AJ4))</f>
        <v/>
      </c>
    </row>
    <row r="5" customFormat="false" ht="25.5" hidden="false" customHeight="true" outlineLevel="0" collapsed="false">
      <c r="A5" s="28" t="s">
        <v>2982</v>
      </c>
      <c r="B5" s="29" t="n">
        <f aca="false">COUNTIF(RawData[Status],"In-progress")</f>
        <v>83</v>
      </c>
      <c r="D5" s="30"/>
      <c r="E5" s="30"/>
      <c r="G5" s="30" t="s">
        <v>244</v>
      </c>
      <c r="H5" s="35" t="n">
        <f aca="false">COUNTIF(RawData[Engagement Type],G5)</f>
        <v>85</v>
      </c>
      <c r="J5" s="30" t="s">
        <v>336</v>
      </c>
      <c r="K5" s="30" t="n">
        <f aca="false">COUNTIFS(RawData[Service Line],J5,RawData[Severity],"High")</f>
        <v>4</v>
      </c>
      <c r="L5" s="30" t="n">
        <f aca="false">COUNTIFS(RawData[Service Line],J5,RawData[Severity],"Moderate")</f>
        <v>7</v>
      </c>
      <c r="M5" s="30" t="n">
        <f aca="false">COUNTIFS(RawData[Service Line],J5,RawData[Severity],"Low")</f>
        <v>6</v>
      </c>
      <c r="N5" s="30" t="n">
        <f aca="false">SUM(K5:M5)</f>
        <v>17</v>
      </c>
      <c r="Q5" s="36" t="str">
        <f aca="false" t="array" ref="Q5:Q5">IFERROR(INDEX($AJ$2:$AJ$599,MATCH(1,($AK$2:$AK$599=R5)*(COUNTIF($Q$3:$Q4,$AJ$2:$AJ$599)=0)*($AJ$2:$AJ$599&lt;&gt;""),0)),"")</f>
        <v>General wellbeing check-in</v>
      </c>
      <c r="R5" s="34" t="n">
        <f aca="false">IFERROR(LARGE($AK$2:$AK$599,3),"")</f>
        <v>29</v>
      </c>
      <c r="S5" s="37" t="n">
        <f aca="false">IF(Q5="","",IFERROR(R5/$B$3,0))</f>
        <v>0.058</v>
      </c>
      <c r="T5" s="38" t="str">
        <f aca="false" t="array" ref="T5:T5">IF(Q5="","",IFERROR(INDEX(SummaryData[Engagement Type],MATCH(TRIM(Q5),TRIM(SummaryData[Statement]),0)),""))</f>
        <v>Location-Offshore</v>
      </c>
      <c r="W5" s="30" t="s">
        <v>2983</v>
      </c>
      <c r="X5" s="30" t="n">
        <f aca="false">SUMPRODUCT((TRIM(RawData[Alignment])=TRIM(W5))*1)</f>
        <v>0</v>
      </c>
      <c r="AA5" s="17" t="str">
        <f aca="false" t="array" ref="AA5:AA5">IFERROR(INDEX($AM$2:$AM$199,MATCH(1,($AN$2:$AN$199=AB5)*(COUNTIF($AA$3:$AA4,$AM$2:$AM$199)=0)*($AM$2:$AM$199&lt;&gt;""),0)),"")</f>
        <v>New Joiner Connect (30 Days)</v>
      </c>
      <c r="AB5" s="17" t="n">
        <f aca="false">IFERROR(LARGE($AN$2:$AN$199,3),"")</f>
        <v>31</v>
      </c>
      <c r="AD5" s="17" t="str">
        <f aca="false">IF(Calc!Q5="","",Calc!Q5)</f>
        <v>General wellbeing check-in</v>
      </c>
      <c r="AE5" s="17" t="n">
        <f aca="false">IF(Calc!Q5="","",Calc!R5)</f>
        <v>29</v>
      </c>
      <c r="AG5" s="17" t="str">
        <f aca="false" t="array" ref="AG5:AG5">IFERROR(INDEX($G$3:$G$15,MATCH(1,(($H$3:$H$15)=AH5)*(COUNTIF($AG$3:$AG4,$G$3:$G$15)=0),0)),"")</f>
        <v>1:1</v>
      </c>
      <c r="AH5" s="17" t="n">
        <f aca="false">IFERROR(LARGE($H$3:$H$15,3),"")</f>
        <v>85</v>
      </c>
      <c r="AJ5" s="17" t="str">
        <f aca="false">IF(Data_Summary!Y6&lt;&gt;"Coverage","",IF(Data_Summary!AA6="","",IF(COUNTIFS(Data_Summary!$Y$2:$Y6,"Coverage",Data_Summary!$AA$2:$AA6,Data_Summary!AA6)=1,Data_Summary!AA6,"")))</f>
        <v/>
      </c>
      <c r="AK5" s="17" t="str">
        <f aca="false">IF(AJ5="","",COUNTIFS(Data_Summary!$Y$2:$Y$20001,"Coverage",Data_Summary!$AA$2:$AA$20001,AJ5))</f>
        <v/>
      </c>
    </row>
    <row r="6" customFormat="false" ht="15" hidden="false" customHeight="true" outlineLevel="0" collapsed="false">
      <c r="A6" s="28" t="s">
        <v>2984</v>
      </c>
      <c r="B6" s="29" t="n">
        <f aca="false">COUNTIF(RawData[Status],"Closed")</f>
        <v>373</v>
      </c>
      <c r="D6" s="30"/>
      <c r="E6" s="30"/>
      <c r="G6" s="30" t="s">
        <v>278</v>
      </c>
      <c r="H6" s="35" t="n">
        <f aca="false">COUNTIF(RawData[Engagement Type],G6)</f>
        <v>64</v>
      </c>
      <c r="Q6" s="36" t="str">
        <f aca="false" t="array" ref="Q6:Q6">IFERROR(INDEX($AJ$2:$AJ$599,MATCH(1,($AK$2:$AK$599=R6)*(COUNTIF($Q$3:$Q5,$AJ$2:$AJ$599)=0)*($AJ$2:$AJ$599&lt;&gt;""),0)),"")</f>
        <v>Discussion on team dynamics</v>
      </c>
      <c r="R6" s="34" t="n">
        <f aca="false">IFERROR(LARGE($AK$2:$AK$599,4),"")</f>
        <v>23</v>
      </c>
      <c r="S6" s="37" t="n">
        <f aca="false">IF(Q6="","",IFERROR(R6/$B$3,0))</f>
        <v>0.046</v>
      </c>
      <c r="T6" s="38" t="str">
        <f aca="false" t="array" ref="T6:T6">IF(Q6="","",IFERROR(INDEX(SummaryData[Engagement Type],MATCH(TRIM(Q6),TRIM(SummaryData[Statement]),0)),""))</f>
        <v>1:1</v>
      </c>
      <c r="W6" s="30" t="s">
        <v>271</v>
      </c>
      <c r="X6" s="30" t="n">
        <f aca="false">SUMPRODUCT((TRIM(RawData[Alignment])=TRIM(W6))*1)</f>
        <v>31</v>
      </c>
      <c r="AA6" s="17" t="str">
        <f aca="false" t="array" ref="AA6:AA6">IFERROR(INDEX($AM$2:$AM$199,MATCH(1,($AN$2:$AN$199=AB6)*(COUNTIF($AA$3:$AA5,$AM$2:$AM$199)=0)*($AM$2:$AM$199&lt;&gt;""),0)),"")</f>
        <v>New Joiner Connect (90 Days)</v>
      </c>
      <c r="AB6" s="17" t="n">
        <f aca="false">IFERROR(LARGE($AN$2:$AN$199,4),"")</f>
        <v>31</v>
      </c>
      <c r="AD6" s="17" t="str">
        <f aca="false">IF(Calc!Q6="","",Calc!Q6)</f>
        <v>Discussion on team dynamics</v>
      </c>
      <c r="AE6" s="17" t="n">
        <f aca="false">IF(Calc!Q6="","",Calc!R6)</f>
        <v>23</v>
      </c>
      <c r="AG6" s="17" t="str">
        <f aca="false" t="array" ref="AG6:AG6">IFERROR(INDEX($G$3:$G$15,MATCH(1,(($H$3:$H$15)=AH6)*(COUNTIF($AG$3:$AG5,$G$3:$G$15)=0),0)),"")</f>
        <v>Floor Connect</v>
      </c>
      <c r="AH6" s="17" t="n">
        <f aca="false">IFERROR(LARGE($H$3:$H$15,4),"")</f>
        <v>64</v>
      </c>
      <c r="AJ6" s="17" t="str">
        <f aca="false">IF(Data_Summary!Y7&lt;&gt;"Coverage","",IF(Data_Summary!AA7="","",IF(COUNTIFS(Data_Summary!$Y$2:$Y7,"Coverage",Data_Summary!$AA$2:$AA7,Data_Summary!AA7)=1,Data_Summary!AA7,"")))</f>
        <v>Business &amp; Strategy Clarity</v>
      </c>
      <c r="AK6" s="17" t="n">
        <f aca="false">IF(AJ6="","",COUNTIFS(Data_Summary!$Y$2:$Y$20001,"Coverage",Data_Summary!$AA$2:$AA$20001,AJ6))</f>
        <v>16</v>
      </c>
    </row>
    <row r="7" customFormat="false" ht="15" hidden="false" customHeight="true" outlineLevel="0" collapsed="false">
      <c r="A7" s="28" t="s">
        <v>2985</v>
      </c>
      <c r="B7" s="29" t="n">
        <f aca="false">COUNTIF(RawData[Severity],"High")</f>
        <v>108</v>
      </c>
      <c r="D7" s="30"/>
      <c r="E7" s="30"/>
      <c r="G7" s="30" t="s">
        <v>157</v>
      </c>
      <c r="H7" s="35" t="n">
        <f aca="false">COUNTIF(RawData[Engagement Type],G7)</f>
        <v>30</v>
      </c>
      <c r="Q7" s="36" t="str">
        <f aca="false" t="array" ref="Q7:Q7">IFERROR(INDEX($AJ$2:$AJ$599,MATCH(1,($AK$2:$AK$599=R7)*(COUNTIF($Q$3:$Q6,$AJ$2:$AJ$599)=0)*($AJ$2:$AJ$599&lt;&gt;""),0)),"")</f>
        <v>Engagement &amp; Belonging</v>
      </c>
      <c r="R7" s="34" t="n">
        <f aca="false">IFERROR(LARGE($AK$2:$AK$599,5),"")</f>
        <v>18</v>
      </c>
      <c r="S7" s="37" t="n">
        <f aca="false">IF(Q7="","",IFERROR(R7/$B$3,0))</f>
        <v>0.036</v>
      </c>
      <c r="T7" s="38" t="str">
        <f aca="false" t="array" ref="T7:T7">IF(Q7="","",IFERROR(INDEX(SummaryData[Engagement Type],MATCH(TRIM(Q7),TRIM(SummaryData[Statement]),0)),""))</f>
        <v>FGD</v>
      </c>
      <c r="W7" s="30" t="s">
        <v>339</v>
      </c>
      <c r="X7" s="30" t="n">
        <f aca="false">SUMPRODUCT((TRIM(RawData[Alignment])=TRIM(W7))*1)</f>
        <v>36</v>
      </c>
      <c r="AA7" s="17" t="str">
        <f aca="false" t="array" ref="AA7:AA7">IFERROR(INDEX($AM$2:$AM$199,MATCH(1,($AN$2:$AN$199=AB7)*(COUNTIF($AA$3:$AA6,$AM$2:$AM$199)=0)*($AM$2:$AM$199&lt;&gt;""),0)),"")</f>
        <v>New Joiner Connect (7 Days)</v>
      </c>
      <c r="AB7" s="17" t="n">
        <f aca="false">IFERROR(LARGE($AN$2:$AN$199,5),"")</f>
        <v>28</v>
      </c>
      <c r="AD7" s="17" t="str">
        <f aca="false">IF(Calc!Q7="","",Calc!Q7)</f>
        <v>Engagement &amp; Belonging</v>
      </c>
      <c r="AE7" s="17" t="n">
        <f aca="false">IF(Calc!Q7="","",Calc!R7)</f>
        <v>18</v>
      </c>
      <c r="AG7" s="17" t="str">
        <f aca="false" t="array" ref="AG7:AG7">IFERROR(INDEX($G$3:$G$15,MATCH(1,(($H$3:$H$15)=AH7)*(COUNTIF($AG$3:$AG6,$G$3:$G$15)=0),0)),"")</f>
        <v>Location-Offshore</v>
      </c>
      <c r="AH7" s="17" t="n">
        <f aca="false">IFERROR(LARGE($H$3:$H$15,5),"")</f>
        <v>30</v>
      </c>
      <c r="AJ7" s="17" t="str">
        <f aca="false">IF(Data_Summary!Y8&lt;&gt;"Coverage","",IF(Data_Summary!AA8="","",IF(COUNTIFS(Data_Summary!$Y$2:$Y8,"Coverage",Data_Summary!$AA$2:$AA8,Data_Summary!AA8)=1,Data_Summary!AA8,"")))</f>
        <v>Career Visibility &amp; Skill Roadmap</v>
      </c>
      <c r="AK7" s="17" t="n">
        <f aca="false">IF(AJ7="","",COUNTIFS(Data_Summary!$Y$2:$Y$20001,"Coverage",Data_Summary!$AA$2:$AA$20001,AJ7))</f>
        <v>14</v>
      </c>
    </row>
    <row r="8" customFormat="false" ht="15" hidden="false" customHeight="true" outlineLevel="0" collapsed="false">
      <c r="A8" s="28" t="s">
        <v>2986</v>
      </c>
      <c r="B8" s="29" t="n">
        <f aca="false">COUNTIF(RawData[Severity],"Moderate")</f>
        <v>218</v>
      </c>
      <c r="D8" s="30"/>
      <c r="E8" s="30"/>
      <c r="G8" s="30" t="s">
        <v>750</v>
      </c>
      <c r="H8" s="35" t="n">
        <f aca="false">COUNTIF(RawData[Engagement Type],G8)</f>
        <v>8</v>
      </c>
      <c r="Q8" s="36" t="str">
        <f aca="false" t="array" ref="Q8:Q8">IFERROR(INDEX($AJ$2:$AJ$599,MATCH(1,($AK$2:$AK$599=R8)*(COUNTIF($Q$3:$Q7,$AJ$2:$AJ$599)=0)*($AJ$2:$AJ$599&lt;&gt;""),0)),"")</f>
        <v>Internal Growth Opportunities</v>
      </c>
      <c r="R8" s="34" t="n">
        <f aca="false">IFERROR(LARGE($AK$2:$AK$599,6),"")</f>
        <v>17</v>
      </c>
      <c r="S8" s="37" t="n">
        <f aca="false">IF(Q8="","",IFERROR(R8/$B$3,0))</f>
        <v>0.034</v>
      </c>
      <c r="T8" s="38" t="str">
        <f aca="false" t="array" ref="T8:T8">IF(Q8="","",IFERROR(INDEX(SummaryData[Engagement Type],MATCH(TRIM(Q8),TRIM(SummaryData[Statement]),0)),""))</f>
        <v>1:1</v>
      </c>
      <c r="W8" s="30" t="s">
        <v>381</v>
      </c>
      <c r="X8" s="30" t="n">
        <f aca="false">SUMPRODUCT((TRIM(RawData[Alignment])=TRIM(W8))*1)</f>
        <v>31</v>
      </c>
      <c r="AA8" s="17" t="str">
        <f aca="false" t="array" ref="AA8:AA8">IFERROR(INDEX($AM$2:$AM$199,MATCH(1,($AN$2:$AN$199=AB8)*(COUNTIF($AA$3:$AA7,$AM$2:$AM$199)=0)*($AM$2:$AM$199&lt;&gt;""),0)),"")</f>
        <v>Skip Meeting</v>
      </c>
      <c r="AB8" s="17" t="n">
        <f aca="false">IFERROR(LARGE($AN$2:$AN$199,6),"")</f>
        <v>18</v>
      </c>
      <c r="AD8" s="17" t="str">
        <f aca="false">IF(Calc!Q8="","",Calc!Q8)</f>
        <v>Internal Growth Opportunities</v>
      </c>
      <c r="AE8" s="17" t="n">
        <f aca="false">IF(Calc!Q8="","",Calc!R8)</f>
        <v>17</v>
      </c>
      <c r="AG8" s="17" t="str">
        <f aca="false" t="array" ref="AG8:AG8">IFERROR(INDEX($G$3:$G$15,MATCH(1,(($H$3:$H$15)=AH8)*(COUNTIF($AG$3:$AG7,$G$3:$G$15)=0),0)),"")</f>
        <v>Location-Mixed</v>
      </c>
      <c r="AH8" s="17" t="n">
        <f aca="false">IFERROR(LARGE($H$3:$H$15,6),"")</f>
        <v>17</v>
      </c>
      <c r="AJ8" s="17" t="str">
        <f aca="false">IF(Data_Summary!Y9&lt;&gt;"Coverage","",IF(Data_Summary!AA9="","",IF(COUNTIFS(Data_Summary!$Y$2:$Y9,"Coverage",Data_Summary!$AA$2:$AA9,Data_Summary!AA9)=1,Data_Summary!AA9,"")))</f>
        <v>AI/future Readiness Messaging Is High-level</v>
      </c>
      <c r="AK8" s="17" t="n">
        <f aca="false">IF(AJ8="","",COUNTIFS(Data_Summary!$Y$2:$Y$20001,"Coverage",Data_Summary!$AA$2:$AA$20001,AJ8))</f>
        <v>7</v>
      </c>
    </row>
    <row r="9" customFormat="false" ht="15" hidden="false" customHeight="true" outlineLevel="0" collapsed="false">
      <c r="A9" s="28" t="s">
        <v>2987</v>
      </c>
      <c r="B9" s="29" t="n">
        <f aca="false">COUNTIF(RawData[Severity],"Low")</f>
        <v>174</v>
      </c>
      <c r="D9" s="39"/>
      <c r="E9" s="30"/>
      <c r="G9" s="30" t="s">
        <v>2670</v>
      </c>
      <c r="H9" s="35" t="n">
        <f aca="false">COUNTIF(RawData[Engagement Type],G9)</f>
        <v>3</v>
      </c>
      <c r="Q9" s="36" t="str">
        <f aca="false" t="array" ref="Q9:Q9">IFERROR(INDEX($AJ$2:$AJ$599,MATCH(1,($AK$2:$AK$599=R9)*(COUNTIF($Q$3:$Q8,$AJ$2:$AJ$599)=0)*($AJ$2:$AJ$599&lt;&gt;""),0)),"")</f>
        <v>Business &amp; Strategy Clarity</v>
      </c>
      <c r="R9" s="34" t="n">
        <f aca="false">IFERROR(LARGE($AK$2:$AK$599,7),"")</f>
        <v>16</v>
      </c>
      <c r="S9" s="37" t="n">
        <f aca="false">IF(Q9="","",IFERROR(R9/$B$3,0))</f>
        <v>0.032</v>
      </c>
      <c r="T9" s="38" t="str">
        <f aca="false" t="array" ref="T9:T9">IF(Q9="","",IFERROR(INDEX(SummaryData[Engagement Type],MATCH(TRIM(Q9),TRIM(SummaryData[Statement]),0)),""))</f>
        <v>Large Connect</v>
      </c>
      <c r="W9" s="30" t="s">
        <v>148</v>
      </c>
      <c r="X9" s="30" t="n">
        <f aca="false">SUMPRODUCT((TRIM(RawData[Alignment])=TRIM(W9))*1)</f>
        <v>33</v>
      </c>
      <c r="AA9" s="17" t="str">
        <f aca="false" t="array" ref="AA9:AA9">IFERROR(INDEX($AM$2:$AM$199,MATCH(1,($AN$2:$AN$199=AB9)*(COUNTIF($AA$3:$AA8,$AM$2:$AM$199)=0)*($AM$2:$AM$199&lt;&gt;""),0)),"")</f>
        <v>Leadership Connect</v>
      </c>
      <c r="AB9" s="17" t="n">
        <f aca="false">IFERROR(LARGE($AN$2:$AN$199,7),"")</f>
        <v>17</v>
      </c>
      <c r="AD9" s="17" t="str">
        <f aca="false">IF(Calc!Q9="","",Calc!Q9)</f>
        <v>Business &amp; Strategy Clarity</v>
      </c>
      <c r="AE9" s="17" t="n">
        <f aca="false">IF(Calc!Q9="","",Calc!R9)</f>
        <v>16</v>
      </c>
      <c r="AG9" s="17" t="str">
        <f aca="false" t="array" ref="AG9:AG9">IFERROR(INDEX($G$3:$G$15,MATCH(1,(($H$3:$H$15)=AH9)*(COUNTIF($AG$3:$AG8,$G$3:$G$15)=0),0)),"")</f>
        <v>Workshop/Session</v>
      </c>
      <c r="AH9" s="17" t="n">
        <f aca="false">IFERROR(LARGE($H$3:$H$15,7),"")</f>
        <v>8</v>
      </c>
      <c r="AJ9" s="17" t="str">
        <f aca="false">IF(Data_Summary!Y10&lt;&gt;"Coverage","",IF(Data_Summary!AA10="","",IF(COUNTIFS(Data_Summary!$Y$2:$Y10,"Coverage",Data_Summary!$AA$2:$AA10,Data_Summary!AA10)=1,Data_Summary!AA10,"")))</f>
        <v/>
      </c>
      <c r="AK9" s="17" t="str">
        <f aca="false">IF(AJ9="","",COUNTIFS(Data_Summary!$Y$2:$Y$20001,"Coverage",Data_Summary!$AA$2:$AA$20001,AJ9))</f>
        <v/>
      </c>
    </row>
    <row r="10" customFormat="false" ht="15" hidden="false" customHeight="true" outlineLevel="0" collapsed="false">
      <c r="A10" s="28" t="s">
        <v>2988</v>
      </c>
      <c r="B10" s="29" t="n">
        <f aca="false">COUNTIF(RawData[Overall Sentiment],"Positive")</f>
        <v>317</v>
      </c>
      <c r="D10" s="30"/>
      <c r="E10" s="30"/>
      <c r="G10" s="30" t="s">
        <v>713</v>
      </c>
      <c r="H10" s="35" t="n">
        <f aca="false">COUNTIF(RawData[Engagement Type],G10)</f>
        <v>17</v>
      </c>
      <c r="Q10" s="36" t="str">
        <f aca="false" t="array" ref="Q10:Q10">IFERROR(INDEX($AJ$2:$AJ$599,MATCH(1,($AK$2:$AK$599=R10)*(COUNTIF($Q$3:$Q9,$AJ$2:$AJ$599)=0)*($AJ$2:$AJ$599&lt;&gt;""),0)),"")</f>
        <v>HR / WFM / Training Communication Effectiveness</v>
      </c>
      <c r="R10" s="34" t="n">
        <f aca="false">IFERROR(LARGE($AK$2:$AK$599,8),"")</f>
        <v>16</v>
      </c>
      <c r="S10" s="37" t="n">
        <f aca="false">IF(Q10="","",IFERROR(R10/$B$3,0))</f>
        <v>0.032</v>
      </c>
      <c r="T10" s="38" t="str">
        <f aca="false" t="array" ref="T10:T10">IF(Q10="","",IFERROR(INDEX(SummaryData[Engagement Type],MATCH(TRIM(Q10),TRIM(SummaryData[Statement]),0)),""))</f>
        <v>1:1</v>
      </c>
      <c r="W10" s="30" t="s">
        <v>135</v>
      </c>
      <c r="X10" s="30" t="n">
        <f aca="false" t="array" ref="X10:X10">SUMPRODUCT((TRIM(RawData[Alignment])=TRIM(W10))*1)</f>
        <v>31</v>
      </c>
      <c r="AA10" s="17" t="str">
        <f aca="false" t="array" ref="AA10:AA10">IFERROR(INDEX($AM$2:$AM$199,MATCH(1,($AN$2:$AN$199=AB10)*(COUNTIF($AA$3:$AA9,$AM$2:$AM$199)=0)*($AM$2:$AM$199&lt;&gt;""),0)),"")</f>
        <v>Cadence Connect</v>
      </c>
      <c r="AB10" s="17" t="n">
        <f aca="false">IFERROR(LARGE($AN$2:$AN$199,8),"")</f>
        <v>16</v>
      </c>
      <c r="AD10" s="17" t="str">
        <f aca="false">IF(Calc!Q10="","",Calc!Q10)</f>
        <v>HR / WFM / Training Communication Effectiveness</v>
      </c>
      <c r="AE10" s="17" t="n">
        <f aca="false">IF(Calc!Q10="","",Calc!R10)</f>
        <v>16</v>
      </c>
      <c r="AG10" s="17" t="str">
        <f aca="false" t="array" ref="AG10:AG10">IFERROR(INDEX($G$3:$G$15,MATCH(1,(($H$3:$H$15)=AH10)*(COUNTIF($AG$3:$AG9,$G$3:$G$15)=0),0)),"")</f>
        <v>Leadership Connect</v>
      </c>
      <c r="AH10" s="17" t="n">
        <f aca="false">IFERROR(LARGE($H$3:$H$15,8),"")</f>
        <v>8</v>
      </c>
      <c r="AJ10" s="17" t="str">
        <f aca="false">IF(Data_Summary!Y11&lt;&gt;"Coverage","",IF(Data_Summary!AA11="","",IF(COUNTIFS(Data_Summary!$Y$2:$Y11,"Coverage",Data_Summary!$AA$2:$AA11,Data_Summary!AA11)=1,Data_Summary!AA11,"")))</f>
        <v/>
      </c>
      <c r="AK10" s="17" t="str">
        <f aca="false">IF(AJ10="","",COUNTIFS(Data_Summary!$Y$2:$Y$20001,"Coverage",Data_Summary!$AA$2:$AA$20001,AJ10))</f>
        <v/>
      </c>
    </row>
    <row r="11" customFormat="false" ht="28.5" hidden="false" customHeight="true" outlineLevel="0" collapsed="false">
      <c r="A11" s="28" t="s">
        <v>2989</v>
      </c>
      <c r="B11" s="29" t="n">
        <f aca="false">COUNTIF(RawData[Overall Sentiment],"Mixed")</f>
        <v>38</v>
      </c>
      <c r="D11" s="30"/>
      <c r="E11" s="30"/>
      <c r="G11" s="30" t="s">
        <v>2990</v>
      </c>
      <c r="H11" s="35" t="n">
        <f aca="false">COUNTIF(RawData[Engagement Type],G11)</f>
        <v>0</v>
      </c>
      <c r="Q11" s="36" t="str">
        <f aca="false" t="array" ref="Q11:Q11">IFERROR(INDEX($AJ$2:$AJ$599,MATCH(1,($AK$2:$AK$599=R11)*(COUNTIF($Q$3:$Q10,$AJ$2:$AJ$599)=0)*($AJ$2:$AJ$599&lt;&gt;""),0)),"")</f>
        <v>Long-Term Role Alignment</v>
      </c>
      <c r="R11" s="34" t="n">
        <f aca="false">IFERROR(LARGE($AK$2:$AK$599,9),"")</f>
        <v>16</v>
      </c>
      <c r="S11" s="37" t="n">
        <f aca="false">IF(Q11="","",IFERROR(R11/$B$3,0))</f>
        <v>0.032</v>
      </c>
      <c r="T11" s="38" t="str">
        <f aca="false" t="array" ref="T11:T11">IF(Q11="","",IFERROR(INDEX(SummaryData[Engagement Type],MATCH(TRIM(Q11),TRIM(SummaryData[Statement]),0)),""))</f>
        <v>1:1</v>
      </c>
      <c r="W11" s="30" t="s">
        <v>448</v>
      </c>
      <c r="X11" s="30" t="n">
        <f aca="false" t="array" ref="X11:X11">SUMPRODUCT((TRIM(RawData[Empowerment])=TRIM(W11))*1)</f>
        <v>18</v>
      </c>
      <c r="AA11" s="17" t="str">
        <f aca="false" t="array" ref="AA11:AA11">IFERROR(INDEX($AM$2:$AM$199,MATCH(1,($AN$2:$AN$199=AB11)*(COUNTIF($AA$3:$AA10,$AM$2:$AM$199)=0)*($AM$2:$AM$199&lt;&gt;""),0)),"")</f>
        <v>ELTP Connect (12-24m)</v>
      </c>
      <c r="AB11" s="17" t="n">
        <f aca="false">IFERROR(LARGE($AN$2:$AN$199,9),"")</f>
        <v>14</v>
      </c>
      <c r="AD11" s="17" t="str">
        <f aca="false">IF(Calc!Q11="","",Calc!Q11)</f>
        <v>Long-Term Role Alignment</v>
      </c>
      <c r="AE11" s="17" t="n">
        <f aca="false">IF(Calc!Q11="","",Calc!R11)</f>
        <v>16</v>
      </c>
      <c r="AG11" s="17" t="str">
        <f aca="false" t="array" ref="AG11:AG11">IFERROR(INDEX($G$3:$G$15,MATCH(1,(($H$3:$H$15)=AH11)*(COUNTIF($AG$3:$AG10,$G$3:$G$15)=0),0)),"")</f>
        <v>Induction</v>
      </c>
      <c r="AH11" s="17" t="n">
        <f aca="false">IFERROR(LARGE($H$3:$H$15,9),"")</f>
        <v>5</v>
      </c>
      <c r="AJ11" s="17" t="str">
        <f aca="false">IF(Data_Summary!Y12&lt;&gt;"Coverage","",IF(Data_Summary!AA12="","",IF(COUNTIFS(Data_Summary!$Y$2:$Y12,"Coverage",Data_Summary!$AA$2:$AA12,Data_Summary!AA12)=1,Data_Summary!AA12,"")))</f>
        <v/>
      </c>
      <c r="AK11" s="17" t="str">
        <f aca="false">IF(AJ11="","",COUNTIFS(Data_Summary!$Y$2:$Y$20001,"Coverage",Data_Summary!$AA$2:$AA$20001,AJ11))</f>
        <v/>
      </c>
    </row>
    <row r="12" customFormat="false" ht="15" hidden="false" customHeight="true" outlineLevel="0" collapsed="false">
      <c r="A12" s="28" t="s">
        <v>2991</v>
      </c>
      <c r="B12" s="29" t="n">
        <f aca="false">COUNTIF(RawData[Overall Sentiment],"Neutral")</f>
        <v>141</v>
      </c>
      <c r="D12" s="39"/>
      <c r="E12" s="30"/>
      <c r="G12" s="30" t="s">
        <v>405</v>
      </c>
      <c r="H12" s="35" t="n">
        <f aca="false">COUNTIF(RawData[Engagement Type],G12)</f>
        <v>5</v>
      </c>
      <c r="Q12" s="36" t="str">
        <f aca="false" t="array" ref="Q12:Q12">IFERROR(INDEX($AJ$2:$AJ$599,MATCH(1,($AK$2:$AK$599=R12)*(COUNTIF($Q$3:$Q11,$AJ$2:$AJ$599)=0)*($AJ$2:$AJ$599&lt;&gt;""),0)),"")</f>
        <v>Buddy / Support System</v>
      </c>
      <c r="R12" s="34" t="n">
        <f aca="false">IFERROR(LARGE($AK$2:$AK$599,10),"")</f>
        <v>15</v>
      </c>
      <c r="S12" s="37" t="n">
        <f aca="false">IF(Q12="","",IFERROR(R12/$B$3,0))</f>
        <v>0.03</v>
      </c>
      <c r="T12" s="38" t="str">
        <f aca="false" t="array" ref="T12:T12">IF(Q12="","",IFERROR(INDEX(SummaryData[Engagement Type],MATCH(TRIM(Q12),TRIM(SummaryData[Statement]),0)),""))</f>
        <v>FGD</v>
      </c>
      <c r="W12" s="30" t="s">
        <v>1830</v>
      </c>
      <c r="X12" s="30" t="n">
        <f aca="false" t="array" ref="X12:X12">SUMPRODUCT((TRIM(RawData[Career])=TRIM(W12))*1)</f>
        <v>4</v>
      </c>
      <c r="AA12" s="17" t="str">
        <f aca="false" t="array" ref="AA12:AA12">IFERROR(INDEX($AM$2:$AM$199,MATCH(1,($AN$2:$AN$199=AB12)*(COUNTIF($AA$3:$AA11,$AM$2:$AM$199)=0)*($AM$2:$AM$199&lt;&gt;""),0)),"")</f>
        <v>Top Talent FGD Connect</v>
      </c>
      <c r="AB12" s="17" t="n">
        <f aca="false">IFERROR(LARGE($AN$2:$AN$199,10),"")</f>
        <v>13</v>
      </c>
      <c r="AD12" s="17" t="str">
        <f aca="false">IF(Calc!Q12="","",Calc!Q12)</f>
        <v>Buddy / Support System</v>
      </c>
      <c r="AE12" s="17" t="n">
        <f aca="false">IF(Calc!Q12="","",Calc!R12)</f>
        <v>15</v>
      </c>
      <c r="AG12" s="17" t="str">
        <f aca="false" t="array" ref="AG12:AG12">IFERROR(INDEX($G$3:$G$15,MATCH(1,(($H$3:$H$15)=AH12)*(COUNTIF($AG$3:$AG11,$G$3:$G$15)=0),0)),"")</f>
        <v>New Joiner Induction</v>
      </c>
      <c r="AH12" s="17" t="n">
        <f aca="false">IFERROR(LARGE($H$3:$H$15,10),"")</f>
        <v>5</v>
      </c>
      <c r="AJ12" s="17" t="str">
        <f aca="false">IF(Data_Summary!Y13&lt;&gt;"Coverage","",IF(Data_Summary!AA13="","",IF(COUNTIFS(Data_Summary!$Y$2:$Y13,"Coverage",Data_Summary!$AA$2:$AA13,Data_Summary!AA13)=1,Data_Summary!AA13,"")))</f>
        <v>Visibility on Allocation &amp; Demand</v>
      </c>
      <c r="AK12" s="17" t="n">
        <f aca="false">IF(AJ12="","",COUNTIFS(Data_Summary!$Y$2:$Y$20001,"Coverage",Data_Summary!$AA$2:$AA$20001,AJ12))</f>
        <v>10</v>
      </c>
      <c r="AM12" s="17" t="str">
        <f aca="false">IF(Data_Insight!X12="","",IF(COUNTIF(Data_Insight!$X$2:$X12,Data_Insight!X12)=1,Data_Insight!X12,""))</f>
        <v>Top Talent FGD Connect</v>
      </c>
      <c r="AN12" s="17" t="n">
        <f aca="false">IF(AM12="","",COUNTIF(Data_Insight!$X$2:$X$20001,AM12))</f>
        <v>13</v>
      </c>
    </row>
    <row r="13" customFormat="false" ht="15" hidden="false" customHeight="true" outlineLevel="0" collapsed="false">
      <c r="A13" s="28" t="s">
        <v>2992</v>
      </c>
      <c r="B13" s="29" t="n">
        <f aca="false">IFERROR(COUNTIF(RawData[Status],"Closed")/COUNTA(RawData[ID])*100,0)</f>
        <v>74.6</v>
      </c>
      <c r="D13" s="39"/>
      <c r="E13" s="30"/>
      <c r="G13" s="30" t="s">
        <v>1506</v>
      </c>
      <c r="H13" s="35" t="n">
        <f aca="false">COUNTIF(RawData[Engagement Type],G13)</f>
        <v>5</v>
      </c>
      <c r="Q13" s="36" t="str">
        <f aca="false" t="array" ref="Q13:Q13">IFERROR(INDEX($AJ$2:$AJ$599,MATCH(1,($AK$2:$AK$599=R13)*(COUNTIF($Q$3:$Q12,$AJ$2:$AJ$599)=0)*($AJ$2:$AJ$599&lt;&gt;""),0)),"")</f>
        <v>Career Visibility &amp; Skill Roadmap</v>
      </c>
      <c r="R13" s="40" t="n">
        <f aca="false">IFERROR(LARGE($AK$2:$AK$599,11),"")</f>
        <v>14</v>
      </c>
      <c r="S13" s="37" t="n">
        <f aca="false">IF(Q13="","",IFERROR(R13/$B$3,0))</f>
        <v>0.028</v>
      </c>
      <c r="T13" s="38" t="str">
        <f aca="false" t="array" ref="T13:T13">IF(Q13="","",IFERROR(INDEX(SummaryData[Engagement Type],MATCH(TRIM(Q13),TRIM(SummaryData[Statement]),0)),""))</f>
        <v>Large Connect</v>
      </c>
      <c r="W13" s="30" t="s">
        <v>2993</v>
      </c>
      <c r="X13" s="30" t="n">
        <f aca="false" t="array" ref="X13:X13">SUMPRODUCT((TRIM(RawData[Career])=TRIM(W13))*1)</f>
        <v>0</v>
      </c>
      <c r="AA13" s="17" t="str">
        <f aca="false" t="array" ref="AA13:AA13">IFERROR(INDEX($AM$2:$AM$199,MATCH(1,($AN$2:$AN$199=AB13)*(COUNTIF($AA$3:$AA12,$AM$2:$AM$199)=0)*($AM$2:$AM$199&lt;&gt;""),0)),"")</f>
        <v>ELTP Connect (&lt;6m)</v>
      </c>
      <c r="AB13" s="17" t="n">
        <f aca="false">IFERROR(LARGE($AN$2:$AN$199,11),"")</f>
        <v>13</v>
      </c>
      <c r="AG13" s="17" t="str">
        <f aca="false" t="array" ref="AG13:AG13">IFERROR(INDEX($G$3:$G$15,MATCH(1,(($H$3:$H$15)=AH13)*(COUNTIF($AG$3:$AG12,$G$3:$G$15)=0),0)),"")</f>
        <v>Monthly Cadence</v>
      </c>
      <c r="AH13" s="17" t="n">
        <f aca="false">IFERROR(LARGE($H$3:$H$15,11),"")</f>
        <v>4</v>
      </c>
      <c r="AJ13" s="17" t="str">
        <f aca="false">IF(Data_Summary!Y14&lt;&gt;"Coverage","",IF(Data_Summary!AA14="","",IF(COUNTIFS(Data_Summary!$Y$2:$Y14,"Coverage",Data_Summary!$AA$2:$AA14,Data_Summary!AA14)=1,Data_Summary!AA14,"")))</f>
        <v/>
      </c>
      <c r="AK13" s="17" t="str">
        <f aca="false">IF(AJ13="","",COUNTIFS(Data_Summary!$Y$2:$Y$20001,"Coverage",Data_Summary!$AA$2:$AA$20001,AJ13))</f>
        <v/>
      </c>
      <c r="AM13" s="17" t="str">
        <f aca="false">IF(Data_Insight!X13="","",IF(COUNTIF(Data_Insight!$X$2:$X13,Data_Insight!X13)=1,Data_Insight!X13,""))</f>
        <v>Leadership Connect</v>
      </c>
      <c r="AN13" s="17" t="n">
        <f aca="false">IF(AM13="","",COUNTIF(Data_Insight!$X$2:$X$20001,AM13))</f>
        <v>17</v>
      </c>
    </row>
    <row r="14" customFormat="false" ht="15" hidden="false" customHeight="true" outlineLevel="0" collapsed="false">
      <c r="A14" s="28" t="s">
        <v>2994</v>
      </c>
      <c r="B14" s="29" t="n">
        <f aca="false">IFERROR((COUNTIF(RawData[Overall Sentiment],"Positive")*100+COUNTIF(RawData[Overall Sentiment],"Neutral")*50+COUNTIF(RawData[Overall Sentiment],"Mixed")*25)/COUNTA(RawData[ID]),0)</f>
        <v>79.4</v>
      </c>
      <c r="D14" s="39"/>
      <c r="E14" s="30"/>
      <c r="G14" s="30" t="s">
        <v>260</v>
      </c>
      <c r="H14" s="35" t="n">
        <f aca="false">COUNTIF(RawData[Engagement Type],G14)</f>
        <v>8</v>
      </c>
      <c r="Q14" s="36" t="str">
        <f aca="false" t="array" ref="Q14:Q14">IFERROR(INDEX($AJ$2:$AJ$599,MATCH(1,($AK$2:$AK$599=R14)*(COUNTIF($Q$3:$Q13,$AJ$2:$AJ$599)=0)*($AJ$2:$AJ$599&lt;&gt;""),0)),"")</f>
        <v>Workload &amp; Work-Life Balance</v>
      </c>
      <c r="R14" s="34" t="n">
        <f aca="false">IFERROR(LARGE($AK$2:$AK$599,12),"")</f>
        <v>14</v>
      </c>
      <c r="S14" s="37" t="n">
        <f aca="false">IF(Q14="","",IFERROR(R14/$B$3,0))</f>
        <v>0.028</v>
      </c>
      <c r="T14" s="38" t="str">
        <f aca="false" t="array" ref="T14:T14">IF(Q14="","",IFERROR(INDEX(SummaryData[Engagement Type],MATCH(TRIM(Q14),TRIM(SummaryData[Statement]),0)),""))</f>
        <v>FGD</v>
      </c>
      <c r="W14" s="30" t="s">
        <v>2995</v>
      </c>
      <c r="X14" s="30" t="n">
        <f aca="false" t="array" ref="X14:X14">SUMPRODUCT((TRIM(RawData[Career])=TRIM(W14))*1)</f>
        <v>0</v>
      </c>
      <c r="AA14" s="17" t="str">
        <f aca="false" t="array" ref="AA14:AA14">IFERROR(INDEX($AM$2:$AM$199,MATCH(1,($AN$2:$AN$199=AB14)*(COUNTIF($AA$3:$AA13,$AM$2:$AM$199)=0)*($AM$2:$AM$199&lt;&gt;""),0)),"")</f>
        <v>Josh (Fun Engagements)</v>
      </c>
      <c r="AB14" s="17" t="n">
        <f aca="false">IFERROR(LARGE($AN$2:$AN$199,12),"")</f>
        <v>11</v>
      </c>
      <c r="AG14" s="17" t="str">
        <f aca="false" t="array" ref="AG14:AG14">IFERROR(INDEX($G$3:$G$15,MATCH(1,(($H$3:$H$15)=AH14)*(COUNTIF($AG$3:$AG13,$G$3:$G$15)=0),0)),"")</f>
        <v>Connect with Women Associates</v>
      </c>
      <c r="AH14" s="17" t="n">
        <f aca="false">IFERROR(LARGE($H$3:$H$15,12),"")</f>
        <v>3</v>
      </c>
      <c r="AJ14" s="17" t="str">
        <f aca="false">IF(Data_Summary!Y15&lt;&gt;"Coverage","",IF(Data_Summary!AA15="","",IF(COUNTIFS(Data_Summary!$Y$2:$Y15,"Coverage",Data_Summary!$AA$2:$AA15,Data_Summary!AA15)=1,Data_Summary!AA15,"")))</f>
        <v/>
      </c>
      <c r="AK14" s="17" t="str">
        <f aca="false">IF(AJ14="","",COUNTIFS(Data_Summary!$Y$2:$Y$20001,"Coverage",Data_Summary!$AA$2:$AA$20001,AJ14))</f>
        <v/>
      </c>
      <c r="AM14" s="17" t="str">
        <f aca="false">IF(Data_Insight!X14="","",IF(COUNTIF(Data_Insight!$X$2:$X14,Data_Insight!X14)=1,Data_Insight!X14,""))</f>
        <v>New Joiner Connect (30 Days)</v>
      </c>
      <c r="AN14" s="17" t="n">
        <f aca="false">IF(AM14="","",COUNTIF(Data_Insight!$X$2:$X$20001,AM14))</f>
        <v>31</v>
      </c>
    </row>
    <row r="15" customFormat="false" ht="15" hidden="false" customHeight="true" outlineLevel="0" collapsed="false">
      <c r="A15" s="28" t="s">
        <v>2996</v>
      </c>
      <c r="B15" s="29" t="n">
        <f aca="false" t="array" ref="B15:B15">SUMPRODUCT((RawData[BHR Name]&lt;&gt;"")/COUNTIF(RawData[BHR Name],RawData[BHR Name]&amp;""))</f>
        <v>499</v>
      </c>
      <c r="G15" s="30" t="s">
        <v>781</v>
      </c>
      <c r="H15" s="35" t="n">
        <f aca="false">COUNTIF(RawData[Engagement Type],G15)</f>
        <v>4</v>
      </c>
      <c r="Q15" s="36" t="str">
        <f aca="false" t="array" ref="Q15:Q15">IFERROR(INDEX($AJ$2:$AJ$599,MATCH(1,($AK$2:$AK$599=R15)*(COUNTIF($Q$3:$Q14,$AJ$2:$AJ$599)=0)*($AJ$2:$AJ$599&lt;&gt;""),0)),"")</f>
        <v>Role Confidence Level</v>
      </c>
      <c r="R15" s="34" t="n">
        <f aca="false">IFERROR(LARGE($AK$2:$AK$599,13),"")</f>
        <v>14</v>
      </c>
      <c r="S15" s="37" t="n">
        <f aca="false">IF(Q15="","",IFERROR(R15/$B$3,0))</f>
        <v>0.028</v>
      </c>
      <c r="T15" s="38" t="str">
        <f aca="false" t="array" ref="T15:T15">IF(Q15="","",IFERROR(INDEX(SummaryData[Engagement Type],MATCH(TRIM(Q15),TRIM(SummaryData[Statement]),0)),""))</f>
        <v>Large Connect</v>
      </c>
      <c r="W15" s="30" t="s">
        <v>503</v>
      </c>
      <c r="X15" s="30" t="n">
        <f aca="false" t="array" ref="X15:X15">SUMPRODUCT((TRIM(RawData[Recognition])=TRIM(W15))*1)</f>
        <v>5</v>
      </c>
      <c r="AA15" s="17" t="str">
        <f aca="false" t="array" ref="AA15:AA15">IFERROR(INDEX($AM$2:$AM$199,MATCH(1,($AN$2:$AN$199=AB15)*(COUNTIF($AA$3:$AA14,$AM$2:$AM$199)=0)*($AM$2:$AM$199&lt;&gt;""),0)),"")</f>
        <v>Top Talent Connect</v>
      </c>
      <c r="AB15" s="17" t="n">
        <f aca="false">IFERROR(LARGE($AN$2:$AN$199,13),"")</f>
        <v>11</v>
      </c>
      <c r="AG15" s="17" t="str">
        <f aca="false" t="array" ref="AG15:AG15">IFERROR(INDEX($G$3:$G$15,MATCH(1,(($H$3:$H$15)=AH15)*(COUNTIF($AG$3:$AG14,$G$3:$G$15)=0),0)),"")</f>
        <v>Account Based</v>
      </c>
      <c r="AH15" s="17" t="n">
        <f aca="false">IFERROR(LARGE($H$3:$H$15,13),"")</f>
        <v>0</v>
      </c>
      <c r="AJ15" s="17" t="str">
        <f aca="false">IF(Data_Summary!Y16&lt;&gt;"Coverage","",IF(Data_Summary!AA16="","",IF(COUNTIFS(Data_Summary!$Y$2:$Y16,"Coverage",Data_Summary!$AA$2:$AA16,Data_Summary!AA16)=1,Data_Summary!AA16,"")))</f>
        <v/>
      </c>
      <c r="AK15" s="17" t="str">
        <f aca="false">IF(AJ15="","",COUNTIFS(Data_Summary!$Y$2:$Y$20001,"Coverage",Data_Summary!$AA$2:$AA$20001,AJ15))</f>
        <v/>
      </c>
      <c r="AM15" s="17" t="str">
        <f aca="false">IF(Data_Insight!X15="","",IF(COUNTIF(Data_Insight!$X$2:$X15,Data_Insight!X15)=1,Data_Insight!X15,""))</f>
        <v/>
      </c>
      <c r="AN15" s="17" t="str">
        <f aca="false">IF(AM15="","",COUNTIF(Data_Insight!$X$2:$X$20001,AM15))</f>
        <v/>
      </c>
    </row>
    <row r="16" customFormat="false" ht="15" hidden="false" customHeight="true" outlineLevel="0" collapsed="false">
      <c r="A16" s="28" t="s">
        <v>2997</v>
      </c>
      <c r="B16" s="29" t="n">
        <f aca="false">IFERROR(SUMPRODUCT((RawData[Service Line]&lt;&gt;"")/COUNTIF(RawData[Service Line],RawData[Service Line]&amp;"")),0)</f>
        <v>10</v>
      </c>
      <c r="Q16" s="36" t="str">
        <f aca="false" t="array" ref="Q16:Q16">IFERROR(INDEX($AJ$2:$AJ$599,MATCH(1,($AK$2:$AK$599=R16)*(COUNTIF($Q$3:$Q15,$AJ$2:$AJ$599)=0)*($AJ$2:$AJ$599&lt;&gt;""),0)),"")</f>
        <v>Project Allocation Clarity</v>
      </c>
      <c r="R16" s="34" t="n">
        <f aca="false">IFERROR(LARGE($AK$2:$AK$599,14),"")</f>
        <v>13</v>
      </c>
      <c r="S16" s="37" t="n">
        <f aca="false">IF(Q16="","",IFERROR(R16/$B$3,0))</f>
        <v>0.026</v>
      </c>
      <c r="T16" s="38" t="str">
        <f aca="false" t="array" ref="T16:T16">IF(Q16="","",IFERROR(INDEX(SummaryData[Engagement Type],MATCH(TRIM(Q16),TRIM(SummaryData[Statement]),0)),""))</f>
        <v>1:1</v>
      </c>
      <c r="W16" s="30" t="s">
        <v>2998</v>
      </c>
      <c r="X16" s="30" t="n">
        <f aca="false" t="array" ref="X16:X16">SUMPRODUCT((TRIM(RawData[Recognition])=TRIM(W16))*1)</f>
        <v>0</v>
      </c>
      <c r="AA16" s="17" t="str">
        <f aca="false" t="array" ref="AA16:AA16">IFERROR(INDEX($AM$2:$AM$199,MATCH(1,($AN$2:$AN$199=AB16)*(COUNTIF($AA$3:$AA15,$AM$2:$AM$199)=0)*($AM$2:$AM$199&lt;&gt;""),0)),"")</f>
        <v>Exclusive Award Ceremony</v>
      </c>
      <c r="AB16" s="17" t="n">
        <f aca="false">IFERROR(LARGE($AN$2:$AN$199,14),"")</f>
        <v>8</v>
      </c>
      <c r="AJ16" s="17" t="str">
        <f aca="false">IF(Data_Summary!Y17&lt;&gt;"Coverage","",IF(Data_Summary!AA17="","",IF(COUNTIFS(Data_Summary!$Y$2:$Y17,"Coverage",Data_Summary!$AA$2:$AA17,Data_Summary!AA17)=1,Data_Summary!AA17,"")))</f>
        <v/>
      </c>
      <c r="AK16" s="17" t="str">
        <f aca="false">IF(AJ16="","",COUNTIFS(Data_Summary!$Y$2:$Y$20001,"Coverage",Data_Summary!$AA$2:$AA$20001,AJ16))</f>
        <v/>
      </c>
      <c r="AM16" s="17" t="str">
        <f aca="false">IF(Data_Insight!X16="","",IF(COUNTIF(Data_Insight!$X$2:$X16,Data_Insight!X16)=1,Data_Insight!X16,""))</f>
        <v/>
      </c>
      <c r="AN16" s="17" t="str">
        <f aca="false">IF(AM16="","",COUNTIF(Data_Insight!$X$2:$X$20001,AM16))</f>
        <v/>
      </c>
    </row>
    <row r="17" customFormat="false" ht="15" hidden="false" customHeight="true" outlineLevel="0" collapsed="false">
      <c r="A17" s="28" t="s">
        <v>2999</v>
      </c>
      <c r="B17" s="29" t="str">
        <f aca="false" t="array" ref="B17:B17">IFERROR(INDEX(RawData[Service Line],MATCH(MAX(COUNTIF(RawData[Service Line],RawData[Service Line])),COUNTIF(RawData[Service Line],RawData[Service Line]),0)),"N/A")</f>
        <v>DEA Service Line</v>
      </c>
      <c r="Q17" s="36" t="str">
        <f aca="false" t="array" ref="Q17:Q17">IFERROR(INDEX($AJ$2:$AJ$599,MATCH(1,($AK$2:$AK$599=R17)*(COUNTIF($Q$3:$Q16,$AJ$2:$AJ$599)=0)*($AJ$2:$AJ$599&lt;&gt;""),0)),"")</f>
        <v>Manager Connect Effectiveness</v>
      </c>
      <c r="R17" s="34" t="n">
        <f aca="false">IFERROR(LARGE($AK$2:$AK$599,15),"")</f>
        <v>13</v>
      </c>
      <c r="S17" s="37" t="n">
        <f aca="false">IF(Q17="","",IFERROR(R17/$B$3,0))</f>
        <v>0.026</v>
      </c>
      <c r="T17" s="38" t="str">
        <f aca="false" t="array" ref="T17:T17">IF(Q17="","",IFERROR(INDEX(SummaryData[Engagement Type],MATCH(TRIM(Q17),TRIM(SummaryData[Statement]),0)),""))</f>
        <v>1:1</v>
      </c>
      <c r="W17" s="30" t="s">
        <v>3000</v>
      </c>
      <c r="X17" s="30" t="n">
        <f aca="false" t="array" ref="X17:X17">SUMPRODUCT((TRIM(RawData[Empowerment])=TRIM(W17))*1)</f>
        <v>0</v>
      </c>
      <c r="AA17" s="17" t="str">
        <f aca="false" t="array" ref="AA17:AA17">IFERROR(INDEX($AM$2:$AM$199,MATCH(1,($AN$2:$AN$199=AB17)*(COUNTIF($AA$3:$AA16,$AM$2:$AM$199)=0)*($AM$2:$AM$199&lt;&gt;""),0)),"")</f>
        <v>ELTP Connect (Practice Level)</v>
      </c>
      <c r="AB17" s="17" t="n">
        <f aca="false">IFERROR(LARGE($AN$2:$AN$199,15),"")</f>
        <v>7</v>
      </c>
      <c r="AJ17" s="17" t="str">
        <f aca="false">IF(Data_Summary!Y18&lt;&gt;"Coverage","",IF(Data_Summary!AA18="","",IF(COUNTIFS(Data_Summary!$Y$2:$Y18,"Coverage",Data_Summary!$AA$2:$AA18,Data_Summary!AA18)=1,Data_Summary!AA18,"")))</f>
        <v>General wellbeing check-in</v>
      </c>
      <c r="AK17" s="17" t="n">
        <f aca="false">IF(AJ17="","",COUNTIFS(Data_Summary!$Y$2:$Y$20001,"Coverage",Data_Summary!$AA$2:$AA$20001,AJ17))</f>
        <v>29</v>
      </c>
      <c r="AM17" s="17" t="str">
        <f aca="false">IF(Data_Insight!X17="","",IF(COUNTIF(Data_Insight!$X$2:$X17,Data_Insight!X17)=1,Data_Insight!X17,""))</f>
        <v>HR Connect (Project Wise)</v>
      </c>
      <c r="AN17" s="17" t="n">
        <f aca="false">IF(AM17="","",COUNTIF(Data_Insight!$X$2:$X$20001,AM17))</f>
        <v>37</v>
      </c>
    </row>
    <row r="18" customFormat="false" ht="32.25" hidden="false" customHeight="true" outlineLevel="0" collapsed="false">
      <c r="A18" s="28" t="s">
        <v>9</v>
      </c>
      <c r="B18" s="29" t="str">
        <f aca="false" t="array" ref="B18:B18">IFERROR(INDEX(RawData[IBU/Practice/Location],MATCH(MAX(COUNTIF(RawData[IBU/Practice/Location],RawData[IBU/Practice/Location])),COUNTIF(RawData[IBU/Practice/Location],RawData[IBU/Practice/Location]),0)),"N/A")</f>
        <v>IBU Specific Connect </v>
      </c>
      <c r="Q18" s="36" t="str">
        <f aca="false" t="array" ref="Q18:Q18">IFERROR(INDEX($AJ$2:$AJ$599,MATCH(1,($AK$2:$AK$599=R18)*(COUNTIF($Q$3:$Q17,$AJ$2:$AJ$599)=0)*($AJ$2:$AJ$599&lt;&gt;""),0)),"")</f>
        <v>Workload Management</v>
      </c>
      <c r="R18" s="34" t="n">
        <f aca="false">IFERROR(LARGE($AK$2:$AK$599,16),"")</f>
        <v>13</v>
      </c>
      <c r="S18" s="37" t="n">
        <f aca="false">IF(Q18="","",IFERROR(R18/$B$3,0))</f>
        <v>0.026</v>
      </c>
      <c r="T18" s="38" t="str">
        <f aca="false" t="array" ref="T18:T18">IF(Q18="","",IFERROR(INDEX(SummaryData[Engagement Type],MATCH(TRIM(Q18),TRIM(SummaryData[Statement]),0)),""))</f>
        <v>Large Connect</v>
      </c>
      <c r="W18" s="30" t="s">
        <v>457</v>
      </c>
      <c r="X18" s="30" t="n">
        <f aca="false" t="array" ref="X18:X18">SUMPRODUCT((TRIM(RawData[Empowerment])=TRIM(W18))*1)</f>
        <v>0</v>
      </c>
      <c r="AJ18" s="17" t="str">
        <f aca="false">IF(Data_Summary!Y19&lt;&gt;"Coverage","",IF(Data_Summary!AA19="","",IF(COUNTIFS(Data_Summary!$Y$2:$Y19,"Coverage",Data_Summary!$AA$2:$AA19,Data_Summary!AA19)=1,Data_Summary!AA19,"")))</f>
        <v/>
      </c>
      <c r="AK18" s="17" t="str">
        <f aca="false">IF(AJ18="","",COUNTIFS(Data_Summary!$Y$2:$Y$20001,"Coverage",Data_Summary!$AA$2:$AA$20001,AJ18))</f>
        <v/>
      </c>
      <c r="AM18" s="17" t="str">
        <f aca="false">IF(Data_Insight!X18="","",IF(COUNTIF(Data_Insight!$X$2:$X18,Data_Insight!X18)=1,Data_Insight!X18,""))</f>
        <v>ELTP Connect (12-24m)</v>
      </c>
      <c r="AN18" s="17" t="n">
        <f aca="false">IF(AM18="","",COUNTIF(Data_Insight!$X$2:$X$20001,AM18))</f>
        <v>14</v>
      </c>
    </row>
    <row r="19" customFormat="false" ht="30" hidden="false" customHeight="true" outlineLevel="0" collapsed="false">
      <c r="A19" s="28" t="s">
        <v>3001</v>
      </c>
      <c r="B19" s="29" t="str">
        <f aca="false" t="array" ref="B19:B19">IFERROR(INDEX(RawData[CARES Framework],MATCH(MAX(COUNTIF(RawData[CARES Framework],RawData[CARES Framework])),COUNTIF(RawData[CARES Framework],RawData[CARES Framework]),0)),"N/A")</f>
        <v>Alignment</v>
      </c>
      <c r="Q19" s="36" t="str">
        <f aca="false" t="array" ref="Q19:Q19">IFERROR(INDEX($AJ$2:$AJ$599,MATCH(1,($AK$2:$AK$599=R19)*(COUNTIF($Q$3:$Q18,$AJ$2:$AJ$599)=0)*($AJ$2:$AJ$599&lt;&gt;""),0)),"")</f>
        <v>Career Path Visibility</v>
      </c>
      <c r="R19" s="34" t="n">
        <f aca="false">IFERROR(LARGE($AK$2:$AK$599,17),"")</f>
        <v>13</v>
      </c>
      <c r="S19" s="37" t="n">
        <f aca="false">IF(Q19="","",IFERROR(R19/$B$3,0))</f>
        <v>0.026</v>
      </c>
      <c r="T19" s="38" t="str">
        <f aca="false" t="array" ref="T19:T19">IF(Q19="","",IFERROR(INDEX(SummaryData[Engagement Type],MATCH(TRIM(Q19),TRIM(SummaryData[Statement]),0)),""))</f>
        <v>Large Connect</v>
      </c>
      <c r="W19" s="30" t="s">
        <v>3002</v>
      </c>
      <c r="X19" s="30" t="n">
        <f aca="false" t="array" ref="X19:X19">SUMPRODUCT((TRIM(RawData[Empowerment])=TRIM(W19))*1)</f>
        <v>0</v>
      </c>
      <c r="AJ19" s="17" t="str">
        <f aca="false">IF(Data_Summary!Y20&lt;&gt;"Coverage","",IF(Data_Summary!AA20="","",IF(COUNTIFS(Data_Summary!$Y$2:$Y20,"Coverage",Data_Summary!$AA$2:$AA20,Data_Summary!AA20)=1,Data_Summary!AA20,"")))</f>
        <v/>
      </c>
      <c r="AK19" s="17" t="str">
        <f aca="false">IF(AJ19="","",COUNTIFS(Data_Summary!$Y$2:$Y$20001,"Coverage",Data_Summary!$AA$2:$AA$20001,AJ19))</f>
        <v/>
      </c>
      <c r="AM19" s="17" t="str">
        <f aca="false">IF(Data_Insight!X19="","",IF(COUNTIF(Data_Insight!$X$2:$X19,Data_Insight!X19)=1,Data_Insight!X19,""))</f>
        <v/>
      </c>
      <c r="AN19" s="17" t="str">
        <f aca="false">IF(AM19="","",COUNTIF(Data_Insight!$X$2:$X$20001,AM19))</f>
        <v/>
      </c>
    </row>
    <row r="20" customFormat="false" ht="26.25" hidden="false" customHeight="true" outlineLevel="0" collapsed="false">
      <c r="A20" s="28" t="s">
        <v>3003</v>
      </c>
      <c r="B20" s="29" t="n">
        <f aca="false">COUNTIF(RawData[Status],"Open")+COUNTIF(RawData[Status],"In-progress")</f>
        <v>127</v>
      </c>
      <c r="Q20" s="36" t="str">
        <f aca="false" t="array" ref="Q20:Q20">IFERROR(INDEX($AJ$2:$AJ$599,MATCH(1,($AK$2:$AK$599=R20)*(COUNTIF($Q$3:$Q19,$AJ$2:$AJ$599)=0)*($AJ$2:$AJ$599&lt;&gt;""),0)),"")</f>
        <v>Team Integration</v>
      </c>
      <c r="R20" s="34" t="n">
        <f aca="false">IFERROR(LARGE($AK$2:$AK$599,18),"")</f>
        <v>13</v>
      </c>
      <c r="S20" s="37" t="n">
        <f aca="false">IF(Q20="","",IFERROR(R20/$B$3,0))</f>
        <v>0.026</v>
      </c>
      <c r="T20" s="38" t="str">
        <f aca="false" t="array" ref="T20:T20">IF(Q20="","",IFERROR(INDEX(SummaryData[Engagement Type],MATCH(TRIM(Q20),TRIM(SummaryData[Statement]),0)),""))</f>
        <v>Induction</v>
      </c>
      <c r="W20" s="30" t="s">
        <v>307</v>
      </c>
      <c r="X20" s="30" t="n">
        <f aca="false" t="array" ref="X20:X20">SUMPRODUCT((TRIM(RawData[Empowerment])=TRIM(W20))*1)</f>
        <v>0</v>
      </c>
      <c r="AJ20" s="17" t="str">
        <f aca="false">IF(Data_Summary!Y21&lt;&gt;"Coverage","",IF(Data_Summary!AA21="","",IF(COUNTIFS(Data_Summary!$Y$2:$Y21,"Coverage",Data_Summary!$AA$2:$AA21,Data_Summary!AA21)=1,Data_Summary!AA21,"")))</f>
        <v/>
      </c>
      <c r="AK20" s="17" t="str">
        <f aca="false">IF(AJ20="","",COUNTIFS(Data_Summary!$Y$2:$Y$20001,"Coverage",Data_Summary!$AA$2:$AA$20001,AJ20))</f>
        <v/>
      </c>
      <c r="AM20" s="17" t="str">
        <f aca="false">IF(Data_Insight!X20="","",IF(COUNTIF(Data_Insight!$X$2:$X20,Data_Insight!X20)=1,Data_Insight!X20,""))</f>
        <v>Josh (Fun Engagements)</v>
      </c>
      <c r="AN20" s="17" t="n">
        <f aca="false">IF(AM20="","",COUNTIF(Data_Insight!$X$2:$X$20001,AM20))</f>
        <v>11</v>
      </c>
    </row>
    <row r="21" customFormat="false" ht="26.25" hidden="false" customHeight="true" outlineLevel="0" collapsed="false">
      <c r="Q21" s="36" t="str">
        <f aca="false" t="array" ref="Q21:Q21">IFERROR(INDEX($AJ$2:$AJ$599,MATCH(1,($AK$2:$AK$599=R21)*(COUNTIF($Q$3:$Q20,$AJ$2:$AJ$599)=0)*($AJ$2:$AJ$599&lt;&gt;""),0)),"")</f>
        <v>Engagement with Leadership &amp; Confidence Level</v>
      </c>
      <c r="R21" s="34" t="n">
        <f aca="false">IFERROR(LARGE($AK$2:$AK$599,19),"")</f>
        <v>13</v>
      </c>
      <c r="S21" s="37" t="n">
        <f aca="false">IF(Q21="","",IFERROR(R21/$B$3,0))</f>
        <v>0.026</v>
      </c>
      <c r="T21" s="38" t="str">
        <f aca="false" t="array" ref="T21:T21">IF(Q21="","",IFERROR(INDEX(SummaryData[Engagement Type],MATCH(TRIM(Q21),TRIM(SummaryData[Statement]),0)),""))</f>
        <v>FGD</v>
      </c>
      <c r="W21" s="30" t="s">
        <v>116</v>
      </c>
      <c r="X21" s="30" t="n">
        <f aca="false" t="array" ref="X21:X21">SUMPRODUCT((TRIM(RawData[Empowerment])=TRIM(W21))*1)</f>
        <v>0</v>
      </c>
      <c r="AJ21" s="17" t="str">
        <f aca="false">IF(Data_Summary!Y22&lt;&gt;"Coverage","",IF(Data_Summary!AA22="","",IF(COUNTIFS(Data_Summary!$Y$2:$Y22,"Coverage",Data_Summary!$AA$2:$AA22,Data_Summary!AA22)=1,Data_Summary!AA22,"")))</f>
        <v/>
      </c>
      <c r="AK21" s="17" t="str">
        <f aca="false">IF(AJ21="","",COUNTIFS(Data_Summary!$Y$2:$Y$20001,"Coverage",Data_Summary!$AA$2:$AA$20001,AJ21))</f>
        <v/>
      </c>
      <c r="AM21" s="17" t="str">
        <f aca="false">IF(Data_Insight!X21="","",IF(COUNTIF(Data_Insight!$X$2:$X21,Data_Insight!X21)=1,Data_Insight!X21,""))</f>
        <v>New Joiner Connect (60 Days)</v>
      </c>
      <c r="AN21" s="17" t="n">
        <f aca="false">IF(AM21="","",COUNTIF(Data_Insight!$X$2:$X$20001,AM21))</f>
        <v>36</v>
      </c>
    </row>
    <row r="22" customFormat="false" ht="15.75" hidden="false" customHeight="true" outlineLevel="0" collapsed="false">
      <c r="A22" s="18" t="s">
        <v>3004</v>
      </c>
      <c r="B22" s="18"/>
      <c r="Q22" s="36" t="str">
        <f aca="false" t="array" ref="Q22:Q22">IFERROR(INDEX($AJ$2:$AJ$599,MATCH(1,($AK$2:$AK$599=R22)*(COUNTIF($Q$3:$Q21,$AJ$2:$AJ$599)=0)*($AJ$2:$AJ$599&lt;&gt;""),0)),"")</f>
        <v>Tool &amp; System Access</v>
      </c>
      <c r="R22" s="34" t="n">
        <f aca="false">IFERROR(LARGE($AK$2:$AK$599,20),"")</f>
        <v>13</v>
      </c>
      <c r="S22" s="37" t="n">
        <f aca="false">IF(Q22="","",IFERROR(R22/$B$3,0))</f>
        <v>0.026</v>
      </c>
      <c r="T22" s="38" t="str">
        <f aca="false" t="array" ref="T22:T22">IF(Q22="","",IFERROR(INDEX(SummaryData[Engagement Type],MATCH(TRIM(Q22),TRIM(SummaryData[Statement]),0)),""))</f>
        <v>Location-Mixed</v>
      </c>
      <c r="W22" s="30" t="s">
        <v>223</v>
      </c>
      <c r="X22" s="30" t="n">
        <f aca="false" t="array" ref="X22:X22">SUMPRODUCT((TRIM(RawData[Empowerment])=TRIM(W22))*1)</f>
        <v>25</v>
      </c>
      <c r="AJ22" s="17" t="str">
        <f aca="false">IF(Data_Summary!Y23&lt;&gt;"Coverage","",IF(Data_Summary!AA23="","",IF(COUNTIFS(Data_Summary!$Y$2:$Y23,"Coverage",Data_Summary!$AA$2:$AA23,Data_Summary!AA23)=1,Data_Summary!AA23,"")))</f>
        <v>Connect for recognition</v>
      </c>
      <c r="AK22" s="17" t="n">
        <f aca="false">IF(AJ22="","",COUNTIFS(Data_Summary!$Y$2:$Y$20001,"Coverage",Data_Summary!$AA$2:$AA$20001,AJ22))</f>
        <v>5</v>
      </c>
      <c r="AM22" s="17" t="str">
        <f aca="false">IF(Data_Insight!X22="","",IF(COUNTIF(Data_Insight!$X$2:$X22,Data_Insight!X22)=1,Data_Insight!X22,""))</f>
        <v>Top Talent Connect</v>
      </c>
      <c r="AN22" s="17" t="n">
        <f aca="false">IF(AM22="","",COUNTIF(Data_Insight!$X$2:$X$20001,AM22))</f>
        <v>11</v>
      </c>
    </row>
    <row r="23" customFormat="false" ht="13.5" hidden="false" customHeight="true" outlineLevel="0" collapsed="false">
      <c r="A23" s="24" t="s">
        <v>3005</v>
      </c>
      <c r="B23" s="24" t="s">
        <v>2966</v>
      </c>
      <c r="Q23" s="36" t="str">
        <f aca="false" t="array" ref="Q23:Q23">IFERROR(INDEX($AJ$2:$AJ$599,MATCH(1,($AK$2:$AK$599=R23)*(COUNTIF($Q$3:$Q22,$AJ$2:$AJ$599)=0)*($AJ$2:$AJ$599&lt;&gt;""),0)),"")</f>
        <v>Learning Curve Support</v>
      </c>
      <c r="R23" s="34" t="n">
        <f aca="false">IFERROR(LARGE($AK$2:$AK$599,21),"")</f>
        <v>13</v>
      </c>
      <c r="S23" s="37" t="n">
        <f aca="false">IF(Q23="","",IFERROR(R23/$B$3,0))</f>
        <v>0.026</v>
      </c>
      <c r="T23" s="38" t="str">
        <f aca="false" t="array" ref="T23:T23">IF(Q23="","",IFERROR(INDEX(SummaryData[Engagement Type],MATCH(TRIM(Q23),TRIM(SummaryData[Statement]),0)),""))</f>
        <v>Location-Offshore</v>
      </c>
      <c r="W23" s="30" t="s">
        <v>3006</v>
      </c>
      <c r="X23" s="30" t="n">
        <f aca="false" t="array" ref="X23:X23">SUMPRODUCT((TRIM(RawData[Empowerment])=TRIM(W23))*1)</f>
        <v>0</v>
      </c>
      <c r="AJ23" s="17" t="str">
        <f aca="false">IF(Data_Summary!Y24&lt;&gt;"Coverage","",IF(Data_Summary!AA24="","",IF(COUNTIFS(Data_Summary!$Y$2:$Y24,"Coverage",Data_Summary!$AA$2:$AA24,Data_Summary!AA24)=1,Data_Summary!AA24,"")))</f>
        <v>Clarity On Role-based Learning Expectations</v>
      </c>
      <c r="AK23" s="17" t="n">
        <f aca="false">IF(AJ23="","",COUNTIFS(Data_Summary!$Y$2:$Y$20001,"Coverage",Data_Summary!$AA$2:$AA$20001,AJ23))</f>
        <v>4</v>
      </c>
      <c r="AM23" s="17" t="str">
        <f aca="false">IF(Data_Insight!X23="","",IF(COUNTIF(Data_Insight!$X$2:$X23,Data_Insight!X23)=1,Data_Insight!X23,""))</f>
        <v/>
      </c>
      <c r="AN23" s="17" t="str">
        <f aca="false">IF(AM23="","",COUNTIF(Data_Insight!$X$2:$X$20001,AM23))</f>
        <v/>
      </c>
    </row>
    <row r="24" customFormat="false" ht="15" hidden="false" customHeight="true" outlineLevel="0" collapsed="false">
      <c r="A24" s="30" t="s">
        <v>152</v>
      </c>
      <c r="B24" s="30" t="n">
        <f aca="false">COUNTIF(RawData[Overall Sentiment],A24)</f>
        <v>317</v>
      </c>
      <c r="Q24" s="36" t="str">
        <f aca="false" t="array" ref="Q24:Q24">IFERROR(INDEX($AJ$2:$AJ$599,MATCH(1,($AK$2:$AK$599=R24)*(COUNTIF($Q$3:$Q23,$AJ$2:$AJ$599)=0)*($AJ$2:$AJ$599&lt;&gt;""),0)),"")</f>
        <v>Business &amp; Practice Awareness</v>
      </c>
      <c r="R24" s="34" t="n">
        <f aca="false">IFERROR(LARGE($AK$2:$AK$599,22),"")</f>
        <v>12</v>
      </c>
      <c r="S24" s="37" t="n">
        <f aca="false">IF(Q24="","",IFERROR(R24/$B$3,0))</f>
        <v>0.024</v>
      </c>
      <c r="T24" s="38" t="str">
        <f aca="false" t="array" ref="T24:T24">IF(Q24="","",IFERROR(INDEX(SummaryData[Engagement Type],MATCH(TRIM(Q24),TRIM(SummaryData[Statement]),0)),""))</f>
        <v>Large Connect</v>
      </c>
      <c r="W24" s="30" t="s">
        <v>260</v>
      </c>
      <c r="X24" s="30" t="n">
        <f aca="false" t="array" ref="X24:X24">SUMPRODUCT((TRIM(RawData[Empowerment])=TRIM(W24))*1)</f>
        <v>17</v>
      </c>
      <c r="AJ24" s="17" t="str">
        <f aca="false">IF(Data_Summary!Y25&lt;&gt;"Coverage","",IF(Data_Summary!AA25="","",IF(COUNTIFS(Data_Summary!$Y$2:$Y25,"Coverage",Data_Summary!$AA$2:$AA25,Data_Summary!AA25)=1,Data_Summary!AA25,"")))</f>
        <v>On Hybrid/WFO Rules And Monthly Compliance Expectations</v>
      </c>
      <c r="AK24" s="17" t="n">
        <f aca="false">IF(AJ24="","",COUNTIFS(Data_Summary!$Y$2:$Y$20001,"Coverage",Data_Summary!$AA$2:$AA$20001,AJ24))</f>
        <v>7</v>
      </c>
      <c r="AM24" s="17" t="str">
        <f aca="false">IF(Data_Insight!X24="","",IF(COUNTIF(Data_Insight!$X$2:$X24,Data_Insight!X24)=1,Data_Insight!X24,""))</f>
        <v/>
      </c>
      <c r="AN24" s="17" t="str">
        <f aca="false">IF(AM24="","",COUNTIF(Data_Insight!$X$2:$X$20001,AM24))</f>
        <v/>
      </c>
    </row>
    <row r="25" customFormat="false" ht="15" hidden="false" customHeight="true" outlineLevel="0" collapsed="false">
      <c r="A25" s="30" t="s">
        <v>120</v>
      </c>
      <c r="B25" s="30" t="n">
        <f aca="false">COUNTIF(RawData[Overall Sentiment],A25)</f>
        <v>141</v>
      </c>
      <c r="Q25" s="36" t="str">
        <f aca="false" t="array" ref="Q25:Q25">IFERROR(INDEX($AJ$2:$AJ$599,MATCH(1,($AK$2:$AK$599=R25)*(COUNTIF($Q$3:$Q24,$AJ$2:$AJ$599)=0)*($AJ$2:$AJ$599&lt;&gt;""),0)),"")</f>
        <v>Work-Life Balance &amp; Flexibility</v>
      </c>
      <c r="R25" s="34" t="n">
        <f aca="false">IFERROR(LARGE($AK$2:$AK$599,23),"")</f>
        <v>12</v>
      </c>
      <c r="S25" s="37" t="n">
        <f aca="false">IF(Q25="","",IFERROR(R25/$B$3,0))</f>
        <v>0.024</v>
      </c>
      <c r="T25" s="38" t="str">
        <f aca="false" t="array" ref="T25:T25">IF(Q25="","",IFERROR(INDEX(SummaryData[Engagement Type],MATCH(TRIM(Q25),TRIM(SummaryData[Statement]),0)),""))</f>
        <v>FGD</v>
      </c>
      <c r="W25" s="30" t="s">
        <v>3007</v>
      </c>
      <c r="X25" s="30" t="n">
        <f aca="false" t="array" ref="X25:X25">SUMPRODUCT((TRIM(RawData[Empowerment])=TRIM(W25))*1)</f>
        <v>0</v>
      </c>
      <c r="AJ25" s="17" t="str">
        <f aca="false">IF(Data_Summary!Y26&lt;&gt;"Coverage","",IF(Data_Summary!AA26="","",IF(COUNTIFS(Data_Summary!$Y$2:$Y26,"Coverage",Data_Summary!$AA$2:$AA26,Data_Summary!AA26)=1,Data_Summary!AA26,"")))</f>
        <v/>
      </c>
      <c r="AK25" s="17" t="str">
        <f aca="false">IF(AJ25="","",COUNTIFS(Data_Summary!$Y$2:$Y$20001,"Coverage",Data_Summary!$AA$2:$AA$20001,AJ25))</f>
        <v/>
      </c>
      <c r="AM25" s="17" t="str">
        <f aca="false">IF(Data_Insight!X25="","",IF(COUNTIF(Data_Insight!$X$2:$X25,Data_Insight!X25)=1,Data_Insight!X25,""))</f>
        <v>ELTP Connect (Practice Level)</v>
      </c>
      <c r="AN25" s="17" t="n">
        <f aca="false">IF(AM25="","",COUNTIF(Data_Insight!$X$2:$X$20001,AM25))</f>
        <v>7</v>
      </c>
    </row>
    <row r="26" customFormat="false" ht="24.75" hidden="false" customHeight="true" outlineLevel="0" collapsed="false">
      <c r="A26" s="30" t="s">
        <v>227</v>
      </c>
      <c r="B26" s="30" t="n">
        <f aca="false">COUNTIF(RawData[Overall Sentiment],A26)</f>
        <v>38</v>
      </c>
      <c r="Q26" s="36" t="str">
        <f aca="false" t="array" ref="Q26:Q26">IFERROR(INDEX($AJ$2:$AJ$599,MATCH(1,($AK$2:$AK$599=R26)*(COUNTIF($Q$3:$Q25,$AJ$2:$AJ$599)=0)*($AJ$2:$AJ$599&lt;&gt;""),0)),"")</f>
        <v>Queries related to BGV check</v>
      </c>
      <c r="R26" s="34" t="n">
        <f aca="false">IFERROR(LARGE($AK$2:$AK$599,24),"")</f>
        <v>12</v>
      </c>
      <c r="S26" s="37" t="n">
        <f aca="false">IF(Q26="","",IFERROR(R26/$B$3,0))</f>
        <v>0.024</v>
      </c>
      <c r="T26" s="38" t="str">
        <f aca="false" t="array" ref="T26:T26">IF(Q26="","",IFERROR(INDEX(SummaryData[Engagement Type],MATCH(TRIM(Q26),TRIM(SummaryData[Statement]),0)),""))</f>
        <v>Induction</v>
      </c>
      <c r="W26" s="30" t="s">
        <v>327</v>
      </c>
      <c r="X26" s="30" t="n">
        <f aca="false" t="array" ref="X26:X26">SUMPRODUCT((TRIM(RawData[Strive])=TRIM(W26))*1)</f>
        <v>11</v>
      </c>
      <c r="AJ26" s="17" t="str">
        <f aca="false">IF(Data_Summary!Y27&lt;&gt;"Coverage","",IF(Data_Summary!AA27="","",IF(COUNTIFS(Data_Summary!$Y$2:$Y27,"Coverage",Data_Summary!$AA$2:$AA27,Data_Summary!AA27)=1,Data_Summary!AA27,"")))</f>
        <v/>
      </c>
      <c r="AK26" s="17" t="str">
        <f aca="false">IF(AJ26="","",COUNTIFS(Data_Summary!$Y$2:$Y$20001,"Coverage",Data_Summary!$AA$2:$AA$20001,AJ26))</f>
        <v/>
      </c>
      <c r="AM26" s="17" t="str">
        <f aca="false">IF(Data_Insight!X26="","",IF(COUNTIF(Data_Insight!$X$2:$X26,Data_Insight!X26)=1,Data_Insight!X26,""))</f>
        <v>New Joiner Connect (90 Days)</v>
      </c>
      <c r="AN26" s="17" t="n">
        <f aca="false">IF(AM26="","",COUNTIF(Data_Insight!$X$2:$X$20001,AM26))</f>
        <v>31</v>
      </c>
    </row>
    <row r="27" customFormat="false" ht="25.5" hidden="false" customHeight="true" outlineLevel="0" collapsed="false">
      <c r="Q27" s="36" t="str">
        <f aca="false" t="array" ref="Q27:Q27">IFERROR(INDEX($AJ$2:$AJ$599,MATCH(1,($AK$2:$AK$599=R27)*(COUNTIF($Q$3:$Q26,$AJ$2:$AJ$599)=0)*($AJ$2:$AJ$599&lt;&gt;""),0)),"")</f>
        <v>BGV queries</v>
      </c>
      <c r="R27" s="34" t="n">
        <f aca="false">IFERROR(LARGE($AK$2:$AK$599,25),"")</f>
        <v>12</v>
      </c>
      <c r="S27" s="37" t="n">
        <f aca="false">IF(Q27="","",IFERROR(R27/$B$3,0))</f>
        <v>0.024</v>
      </c>
      <c r="T27" s="38" t="str">
        <f aca="false" t="array" ref="T27:T27">IF(Q27="","",IFERROR(INDEX(SummaryData[Engagement Type],MATCH(TRIM(Q27),TRIM(SummaryData[Statement]),0)),""))</f>
        <v>FGD</v>
      </c>
      <c r="W27" s="30" t="s">
        <v>687</v>
      </c>
      <c r="X27" s="30" t="n">
        <f aca="false" t="array" ref="X27:X27">SUMPRODUCT((TRIM(RawData[Strive])=TRIM(W27))*1)</f>
        <v>3</v>
      </c>
      <c r="AJ27" s="17" t="str">
        <f aca="false">IF(Data_Summary!Y28&lt;&gt;"Coverage","",IF(Data_Summary!AA28="","",IF(COUNTIFS(Data_Summary!$Y$2:$Y28,"Coverage",Data_Summary!$AA$2:$AA28,Data_Summary!AA28)=1,Data_Summary!AA28,"")))</f>
        <v/>
      </c>
      <c r="AK27" s="17" t="str">
        <f aca="false">IF(AJ27="","",COUNTIFS(Data_Summary!$Y$2:$Y$20001,"Coverage",Data_Summary!$AA$2:$AA$20001,AJ27))</f>
        <v/>
      </c>
      <c r="AM27" s="17" t="str">
        <f aca="false">IF(Data_Insight!X27="","",IF(COUNTIF(Data_Insight!$X$2:$X27,Data_Insight!X27)=1,Data_Insight!X27,""))</f>
        <v/>
      </c>
      <c r="AN27" s="17" t="str">
        <f aca="false">IF(AM27="","",COUNTIF(Data_Insight!$X$2:$X$20001,AM27))</f>
        <v/>
      </c>
    </row>
    <row r="28" customFormat="false" ht="15.75" hidden="false" customHeight="true" outlineLevel="0" collapsed="false">
      <c r="A28" s="18" t="s">
        <v>3008</v>
      </c>
      <c r="B28" s="18"/>
      <c r="Q28" s="36" t="str">
        <f aca="false" t="array" ref="Q28:Q28">IFERROR(INDEX($AJ$2:$AJ$599,MATCH(1,($AK$2:$AK$599=R28)*(COUNTIF($Q$3:$Q27,$AJ$2:$AJ$599)=0)*($AJ$2:$AJ$599&lt;&gt;""),0)),"")</f>
        <v>Initial Engagement Level</v>
      </c>
      <c r="R28" s="34" t="n">
        <f aca="false">IFERROR(LARGE($AK$2:$AK$599,26),"")</f>
        <v>11</v>
      </c>
      <c r="S28" s="37" t="n">
        <f aca="false">IF(Q28="","",IFERROR(R28/$B$3,0))</f>
        <v>0.022</v>
      </c>
      <c r="T28" s="38" t="str">
        <f aca="false" t="array" ref="T28:T28">IF(Q28="","",IFERROR(INDEX(SummaryData[Engagement Type],MATCH(TRIM(Q28),TRIM(SummaryData[Statement]),0)),""))</f>
        <v>FGD</v>
      </c>
      <c r="W28" s="30" t="s">
        <v>1712</v>
      </c>
      <c r="X28" s="30" t="n">
        <f aca="false" t="array" ref="X28:X28">SUMPRODUCT((TRIM(RawData[Strive])=TRIM(W28))*1)</f>
        <v>6</v>
      </c>
      <c r="AJ28" s="17" t="str">
        <f aca="false">IF(Data_Summary!Y29&lt;&gt;"Coverage","",IF(Data_Summary!AA29="","",IF(COUNTIFS(Data_Summary!$Y$2:$Y29,"Coverage",Data_Summary!$AA$2:$AA29,Data_Summary!AA29)=1,Data_Summary!AA29,"")))</f>
        <v>Business Context &amp; Org Awareness</v>
      </c>
      <c r="AK28" s="17" t="n">
        <f aca="false">IF(AJ28="","",COUNTIFS(Data_Summary!$Y$2:$Y$20001,"Coverage",Data_Summary!$AA$2:$AA$20001,AJ28))</f>
        <v>8</v>
      </c>
      <c r="AM28" s="17" t="str">
        <f aca="false">IF(Data_Insight!X28="","",IF(COUNTIF(Data_Insight!$X$2:$X28,Data_Insight!X28)=1,Data_Insight!X28,""))</f>
        <v/>
      </c>
      <c r="AN28" s="17" t="str">
        <f aca="false">IF(AM28="","",COUNTIF(Data_Insight!$X$2:$X$20001,AM28))</f>
        <v/>
      </c>
    </row>
    <row r="29" customFormat="false" ht="13.5" hidden="false" customHeight="true" outlineLevel="0" collapsed="false">
      <c r="A29" s="24" t="s">
        <v>3005</v>
      </c>
      <c r="B29" s="24" t="s">
        <v>2966</v>
      </c>
      <c r="Q29" s="36" t="str">
        <f aca="false" t="array" ref="Q29:Q29">IFERROR(INDEX($AJ$2:$AJ$599,MATCH(1,($AK$2:$AK$599=R29)*(COUNTIF($Q$3:$Q28,$AJ$2:$AJ$599)=0)*($AJ$2:$AJ$599&lt;&gt;""),0)),"")</f>
        <v>Manager Support &amp; Local Leadership Effectiveness</v>
      </c>
      <c r="R29" s="34" t="n">
        <f aca="false">IFERROR(LARGE($AK$2:$AK$599,27),"")</f>
        <v>11</v>
      </c>
      <c r="S29" s="37" t="n">
        <f aca="false">IF(Q29="","",IFERROR(R29/$B$3,0))</f>
        <v>0.022</v>
      </c>
      <c r="T29" s="38" t="str">
        <f aca="false" t="array" ref="T29:T29">IF(Q29="","",IFERROR(INDEX(SummaryData[Engagement Type],MATCH(TRIM(Q29),TRIM(SummaryData[Statement]),0)),""))</f>
        <v>FGD</v>
      </c>
      <c r="AJ29" s="17" t="str">
        <f aca="false">IF(Data_Summary!Y30&lt;&gt;"Coverage","",IF(Data_Summary!AA30="","",IF(COUNTIFS(Data_Summary!$Y$2:$Y30,"Coverage",Data_Summary!$AA$2:$AA30,Data_Summary!AA30)=1,Data_Summary!AA30,"")))</f>
        <v/>
      </c>
      <c r="AK29" s="17" t="str">
        <f aca="false">IF(AJ29="","",COUNTIFS(Data_Summary!$Y$2:$Y$20001,"Coverage",Data_Summary!$AA$2:$AA$20001,AJ29))</f>
        <v/>
      </c>
      <c r="AM29" s="17" t="str">
        <f aca="false">IF(Data_Insight!X29="","",IF(COUNTIF(Data_Insight!$X$2:$X29,Data_Insight!X29)=1,Data_Insight!X29,""))</f>
        <v/>
      </c>
      <c r="AN29" s="17" t="str">
        <f aca="false">IF(AM29="","",COUNTIF(Data_Insight!$X$2:$X$20001,AM29))</f>
        <v/>
      </c>
    </row>
    <row r="30" customFormat="false" ht="15" hidden="false" customHeight="true" outlineLevel="0" collapsed="false">
      <c r="A30" s="30" t="s">
        <v>167</v>
      </c>
      <c r="B30" s="41" t="n">
        <f aca="false">ROUND(COUNTIF(RawData[Severity],A30)/COUNTA(RawData[Severity]),2)</f>
        <v>0.22</v>
      </c>
      <c r="Q30" s="36" t="str">
        <f aca="false" t="array" ref="Q30:Q30">IFERROR(INDEX($AJ$2:$AJ$599,MATCH(1,($AK$2:$AK$599=R30)*(COUNTIF($Q$3:$Q29,$AJ$2:$AJ$599)=0)*($AJ$2:$AJ$599&lt;&gt;""),0)),"")</f>
        <v>Internal Mobility / Rotation Opportunities</v>
      </c>
      <c r="R30" s="34" t="n">
        <f aca="false">IFERROR(LARGE($AK$2:$AK$599,28),"")</f>
        <v>11</v>
      </c>
      <c r="S30" s="37" t="n">
        <f aca="false">IF(Q30="","",IFERROR(R30/$B$3,0))</f>
        <v>0.022</v>
      </c>
      <c r="T30" s="38" t="str">
        <f aca="false" t="array" ref="T30:T30">IF(Q30="","",IFERROR(INDEX(SummaryData[Engagement Type],MATCH(TRIM(Q30),TRIM(SummaryData[Statement]),0)),""))</f>
        <v>Large Connect</v>
      </c>
      <c r="AJ30" s="17" t="str">
        <f aca="false">IF(Data_Summary!Y31&lt;&gt;"Coverage","",IF(Data_Summary!AA31="","",IF(COUNTIFS(Data_Summary!$Y$2:$Y31,"Coverage",Data_Summary!$AA$2:$AA31,Data_Summary!AA31)=1,Data_Summary!AA31,"")))</f>
        <v/>
      </c>
      <c r="AK30" s="17" t="str">
        <f aca="false">IF(AJ30="","",COUNTIFS(Data_Summary!$Y$2:$Y$20001,"Coverage",Data_Summary!$AA$2:$AA$20001,AJ30))</f>
        <v/>
      </c>
      <c r="AM30" s="17" t="str">
        <f aca="false">IF(Data_Insight!X30="","",IF(COUNTIF(Data_Insight!$X$2:$X30,Data_Insight!X30)=1,Data_Insight!X30,""))</f>
        <v/>
      </c>
      <c r="AN30" s="17" t="str">
        <f aca="false">IF(AM30="","",COUNTIF(Data_Insight!$X$2:$X$20001,AM30))</f>
        <v/>
      </c>
    </row>
    <row r="31" customFormat="false" ht="31.5" hidden="false" customHeight="true" outlineLevel="0" collapsed="false">
      <c r="A31" s="30" t="s">
        <v>123</v>
      </c>
      <c r="B31" s="41" t="n">
        <f aca="false">ROUND(COUNTIF(RawData[Severity],A31)/COUNTA(RawData[Severity]),2)</f>
        <v>0.44</v>
      </c>
      <c r="Q31" s="36" t="str">
        <f aca="false" t="array" ref="Q31:Q31">IFERROR(INDEX($AJ$2:$AJ$599,MATCH(1,($AK$2:$AK$599=R31)*(COUNTIF($Q$3:$Q30,$AJ$2:$AJ$599)=0)*($AJ$2:$AJ$599&lt;&gt;""),0)),"")</f>
        <v>Career Progression &amp; Next-Level Readiness</v>
      </c>
      <c r="R31" s="34" t="n">
        <f aca="false">IFERROR(LARGE($AK$2:$AK$599,29),"")</f>
        <v>11</v>
      </c>
      <c r="S31" s="37" t="n">
        <f aca="false">IF(Q31="","",IFERROR(R31/$B$3,0))</f>
        <v>0.022</v>
      </c>
      <c r="T31" s="38" t="str">
        <f aca="false" t="array" ref="T31:T31">IF(Q31="","",IFERROR(INDEX(SummaryData[Engagement Type],MATCH(TRIM(Q31),TRIM(SummaryData[Statement]),0)),""))</f>
        <v>Large Connect</v>
      </c>
      <c r="AJ31" s="17" t="str">
        <f aca="false">IF(Data_Summary!Y32&lt;&gt;"Coverage","",IF(Data_Summary!AA32="","",IF(COUNTIFS(Data_Summary!$Y$2:$Y32,"Coverage",Data_Summary!$AA$2:$AA32,Data_Summary!AA32)=1,Data_Summary!AA32,"")))</f>
        <v>Business &amp; Practice Awareness</v>
      </c>
      <c r="AK31" s="17" t="n">
        <f aca="false">IF(AJ31="","",COUNTIFS(Data_Summary!$Y$2:$Y$20001,"Coverage",Data_Summary!$AA$2:$AA$20001,AJ31))</f>
        <v>12</v>
      </c>
      <c r="AM31" s="17" t="str">
        <f aca="false">IF(Data_Insight!X31="","",IF(COUNTIF(Data_Insight!$X$2:$X31,Data_Insight!X31)=1,Data_Insight!X31,""))</f>
        <v/>
      </c>
      <c r="AN31" s="17" t="str">
        <f aca="false">IF(AM31="","",COUNTIF(Data_Insight!$X$2:$X$20001,AM31))</f>
        <v/>
      </c>
    </row>
    <row r="32" customFormat="false" ht="30" hidden="false" customHeight="true" outlineLevel="0" collapsed="false">
      <c r="A32" s="30" t="s">
        <v>192</v>
      </c>
      <c r="B32" s="42" t="n">
        <f aca="false">ROUND(COUNTIF(RawData[Severity],A32)/COUNTA(RawData[Severity]),2)</f>
        <v>0.35</v>
      </c>
      <c r="Q32" s="36" t="str">
        <f aca="false" t="array" ref="Q32:Q32">IFERROR(INDEX($AJ$2:$AJ$599,MATCH(1,($AK$2:$AK$599=R32)*(COUNTIF($Q$3:$Q31,$AJ$2:$AJ$599)=0)*($AJ$2:$AJ$599&lt;&gt;""),0)),"")</f>
        <v>Policy &amp; Process Clarity</v>
      </c>
      <c r="R32" s="34" t="n">
        <f aca="false">IFERROR(LARGE($AK$2:$AK$599,30),"")</f>
        <v>11</v>
      </c>
      <c r="S32" s="37" t="n">
        <f aca="false">IF(Q32="","",IFERROR(R32/$B$3,0))</f>
        <v>0.022</v>
      </c>
      <c r="T32" s="38" t="str">
        <f aca="false" t="array" ref="T32:T32">IF(Q32="","",IFERROR(INDEX(SummaryData[Engagement Type],MATCH(TRIM(Q32),TRIM(SummaryData[Statement]),0)),""))</f>
        <v>Large Connect</v>
      </c>
      <c r="AJ32" s="17" t="str">
        <f aca="false">IF(Data_Summary!Y33&lt;&gt;"Coverage","",IF(Data_Summary!AA33="","",IF(COUNTIFS(Data_Summary!$Y$2:$Y33,"Coverage",Data_Summary!$AA$2:$AA33,Data_Summary!AA33)=1,Data_Summary!AA33,"")))</f>
        <v/>
      </c>
      <c r="AK32" s="17" t="str">
        <f aca="false">IF(AJ32="","",COUNTIFS(Data_Summary!$Y$2:$Y$20001,"Coverage",Data_Summary!$AA$2:$AA$20001,AJ32))</f>
        <v/>
      </c>
      <c r="AM32" s="17" t="str">
        <f aca="false">IF(Data_Insight!X32="","",IF(COUNTIF(Data_Insight!$X$2:$X32,Data_Insight!X32)=1,Data_Insight!X32,""))</f>
        <v/>
      </c>
      <c r="AN32" s="17" t="str">
        <f aca="false">IF(AM32="","",COUNTIF(Data_Insight!$X$2:$X$20001,AM32))</f>
        <v/>
      </c>
    </row>
    <row r="33" customFormat="false" ht="25.5" hidden="false" customHeight="true" outlineLevel="0" collapsed="false">
      <c r="Q33" s="36" t="str">
        <f aca="false" t="array" ref="Q33:Q33">IFERROR(INDEX($AJ$2:$AJ$599,MATCH(1,($AK$2:$AK$599=R33)*(COUNTIF($Q$3:$Q32,$AJ$2:$AJ$599)=0)*($AJ$2:$AJ$599&lt;&gt;""),0)),"")</f>
        <v>Induction Effectiveness</v>
      </c>
      <c r="R33" s="34" t="n">
        <f aca="false">IFERROR(LARGE($AK$2:$AK$599,31),"")</f>
        <v>11</v>
      </c>
      <c r="S33" s="37" t="n">
        <f aca="false">IF(Q33="","",IFERROR(R33/$B$3,0))</f>
        <v>0.022</v>
      </c>
      <c r="T33" s="38" t="str">
        <f aca="false" t="array" ref="T33:T33">IF(Q33="","",IFERROR(INDEX(SummaryData[Engagement Type],MATCH(TRIM(Q33),TRIM(SummaryData[Statement]),0)),""))</f>
        <v>FGD</v>
      </c>
      <c r="AJ33" s="17" t="str">
        <f aca="false">IF(Data_Summary!Y34&lt;&gt;"Coverage","",IF(Data_Summary!AA34="","",IF(COUNTIFS(Data_Summary!$Y$2:$Y34,"Coverage",Data_Summary!$AA$2:$AA34,Data_Summary!AA34)=1,Data_Summary!AA34,"")))</f>
        <v/>
      </c>
      <c r="AK33" s="17" t="str">
        <f aca="false">IF(AJ33="","",COUNTIFS(Data_Summary!$Y$2:$Y$20001,"Coverage",Data_Summary!$AA$2:$AA$20001,AJ33))</f>
        <v/>
      </c>
      <c r="AM33" s="17" t="str">
        <f aca="false">IF(Data_Insight!X33="","",IF(COUNTIF(Data_Insight!$X$2:$X33,Data_Insight!X33)=1,Data_Insight!X33,""))</f>
        <v>Exclusive Award Ceremony</v>
      </c>
      <c r="AN33" s="17" t="n">
        <f aca="false">IF(AM33="","",COUNTIF(Data_Insight!$X$2:$X$20001,AM33))</f>
        <v>8</v>
      </c>
    </row>
    <row r="34" customFormat="false" ht="15.75" hidden="false" customHeight="true" outlineLevel="0" collapsed="false">
      <c r="A34" s="18" t="s">
        <v>3009</v>
      </c>
      <c r="B34" s="18"/>
      <c r="Q34" s="36" t="str">
        <f aca="false" t="array" ref="Q34:Q34">IFERROR(INDEX($AJ$2:$AJ$599,MATCH(1,($AK$2:$AK$599=R34)*(COUNTIF($Q$3:$Q33,$AJ$2:$AJ$599)=0)*($AJ$2:$AJ$599&lt;&gt;""),0)),"")</f>
        <v>Visibility on Allocation &amp; Demand</v>
      </c>
      <c r="R34" s="34" t="n">
        <f aca="false">IFERROR(LARGE($AK$2:$AK$599,32),"")</f>
        <v>10</v>
      </c>
      <c r="S34" s="37" t="n">
        <f aca="false">IF(Q34="","",IFERROR(R34/$B$3,0))</f>
        <v>0.02</v>
      </c>
      <c r="T34" s="38" t="str">
        <f aca="false" t="array" ref="T34:T34">IF(Q34="","",IFERROR(INDEX(SummaryData[Engagement Type],MATCH(TRIM(Q34),TRIM(SummaryData[Statement]),0)),""))</f>
        <v>Large Connect</v>
      </c>
      <c r="AJ34" s="17" t="str">
        <f aca="false">IF(Data_Summary!Y35&lt;&gt;"Coverage","",IF(Data_Summary!AA35="","",IF(COUNTIFS(Data_Summary!$Y$2:$Y35,"Coverage",Data_Summary!$AA$2:$AA35,Data_Summary!AA35)=1,Data_Summary!AA35,"")))</f>
        <v/>
      </c>
      <c r="AK34" s="17" t="str">
        <f aca="false">IF(AJ34="","",COUNTIFS(Data_Summary!$Y$2:$Y$20001,"Coverage",Data_Summary!$AA$2:$AA$20001,AJ34))</f>
        <v/>
      </c>
      <c r="AM34" s="17" t="str">
        <f aca="false">IF(Data_Insight!X34="","",IF(COUNTIF(Data_Insight!$X$2:$X34,Data_Insight!X34)=1,Data_Insight!X34,""))</f>
        <v>Skip Meeting</v>
      </c>
      <c r="AN34" s="17" t="n">
        <f aca="false">IF(AM34="","",COUNTIF(Data_Insight!$X$2:$X$20001,AM34))</f>
        <v>18</v>
      </c>
    </row>
    <row r="35" customFormat="false" ht="21" hidden="false" customHeight="true" outlineLevel="0" collapsed="false">
      <c r="A35" s="24" t="s">
        <v>3005</v>
      </c>
      <c r="B35" s="24" t="s">
        <v>2966</v>
      </c>
      <c r="Q35" s="36" t="str">
        <f aca="false" t="array" ref="Q35:Q35">IFERROR(INDEX($AJ$2:$AJ$599,MATCH(1,($AK$2:$AK$599=R35)*(COUNTIF($Q$3:$Q34,$AJ$2:$AJ$599)=0)*($AJ$2:$AJ$599&lt;&gt;""),0)),"")</f>
        <v>Recognition &amp; Visibility</v>
      </c>
      <c r="R35" s="34" t="n">
        <f aca="false">IFERROR(LARGE($AK$2:$AK$599,33),"")</f>
        <v>10</v>
      </c>
      <c r="S35" s="37" t="n">
        <f aca="false">IF(Q35="","",IFERROR(R35/$B$3,0))</f>
        <v>0.02</v>
      </c>
      <c r="T35" s="38" t="str">
        <f aca="false" t="array" ref="T35:T35">IF(Q35="","",IFERROR(INDEX(SummaryData[Engagement Type],MATCH(TRIM(Q35),TRIM(SummaryData[Statement]),0)),""))</f>
        <v>Large Connect</v>
      </c>
      <c r="AJ35" s="17" t="str">
        <f aca="false">IF(Data_Summary!Y36&lt;&gt;"Coverage","",IF(Data_Summary!AA36="","",IF(COUNTIFS(Data_Summary!$Y$2:$Y36,"Coverage",Data_Summary!$AA$2:$AA36,Data_Summary!AA36)=1,Data_Summary!AA36,"")))</f>
        <v>Clarity on expectations</v>
      </c>
      <c r="AK35" s="17" t="n">
        <f aca="false">IF(AJ35="","",COUNTIFS(Data_Summary!$Y$2:$Y$20001,"Coverage",Data_Summary!$AA$2:$AA$20001,AJ35))</f>
        <v>33</v>
      </c>
      <c r="AM35" s="17" t="str">
        <f aca="false">IF(Data_Insight!X35="","",IF(COUNTIF(Data_Insight!$X$2:$X35,Data_Insight!X35)=1,Data_Insight!X35,""))</f>
        <v>ELTP Connect (&lt;6m)</v>
      </c>
      <c r="AN35" s="17" t="n">
        <f aca="false">IF(AM35="","",COUNTIF(Data_Insight!$X$2:$X$20001,AM35))</f>
        <v>13</v>
      </c>
    </row>
    <row r="36" customFormat="false" ht="22.5" hidden="false" customHeight="true" outlineLevel="0" collapsed="false">
      <c r="A36" s="30" t="s">
        <v>139</v>
      </c>
      <c r="B36" s="30" t="n">
        <f aca="false">COUNTIF(RawData[Status],A36)</f>
        <v>44</v>
      </c>
      <c r="Q36" s="36" t="str">
        <f aca="false" t="array" ref="Q36:Q36">IFERROR(INDEX($AJ$2:$AJ$599,MATCH(1,($AK$2:$AK$599=R36)*(COUNTIF($Q$3:$Q35,$AJ$2:$AJ$599)=0)*($AJ$2:$AJ$599&lt;&gt;""),0)),"")</f>
        <v>Communication &amp; Transparency</v>
      </c>
      <c r="R36" s="34" t="n">
        <f aca="false">IFERROR(LARGE($AK$2:$AK$599,34),"")</f>
        <v>10</v>
      </c>
      <c r="S36" s="37" t="n">
        <f aca="false">IF(Q36="","",IFERROR(R36/$B$3,0))</f>
        <v>0.02</v>
      </c>
      <c r="T36" s="38" t="str">
        <f aca="false" t="array" ref="T36:T36">IF(Q36="","",IFERROR(INDEX(SummaryData[Engagement Type],MATCH(TRIM(Q36),TRIM(SummaryData[Statement]),0)),""))</f>
        <v>1:1</v>
      </c>
      <c r="AJ36" s="17" t="str">
        <f aca="false">IF(Data_Summary!Y37&lt;&gt;"Coverage","",IF(Data_Summary!AA37="","",IF(COUNTIFS(Data_Summary!$Y$2:$Y37,"Coverage",Data_Summary!$AA$2:$AA37,Data_Summary!AA37)=1,Data_Summary!AA37,"")))</f>
        <v/>
      </c>
      <c r="AK36" s="17" t="str">
        <f aca="false">IF(AJ36="","",COUNTIFS(Data_Summary!$Y$2:$Y$20001,"Coverage",Data_Summary!$AA$2:$AA$20001,AJ36))</f>
        <v/>
      </c>
      <c r="AM36" s="17" t="str">
        <f aca="false">IF(Data_Insight!X36="","",IF(COUNTIF(Data_Insight!$X$2:$X36,Data_Insight!X36)=1,Data_Insight!X36,""))</f>
        <v/>
      </c>
      <c r="AN36" s="17" t="str">
        <f aca="false">IF(AM36="","",COUNTIF(Data_Insight!$X$2:$X$20001,AM36))</f>
        <v/>
      </c>
    </row>
    <row r="37" customFormat="false" ht="30" hidden="false" customHeight="true" outlineLevel="0" collapsed="false">
      <c r="A37" s="30" t="s">
        <v>168</v>
      </c>
      <c r="B37" s="30" t="n">
        <f aca="false">COUNTIF(RawData[Status],A37)</f>
        <v>83</v>
      </c>
      <c r="Q37" s="36" t="str">
        <f aca="false" t="array" ref="Q37:Q37">IFERROR(INDEX($AJ$2:$AJ$599,MATCH(1,($AK$2:$AK$599=R37)*(COUNTIF($Q$3:$Q36,$AJ$2:$AJ$599)=0)*($AJ$2:$AJ$599&lt;&gt;""),0)),"")</f>
        <v>HR Process Clarity</v>
      </c>
      <c r="R37" s="34" t="n">
        <f aca="false">IFERROR(LARGE($AK$2:$AK$599,35),"")</f>
        <v>10</v>
      </c>
      <c r="S37" s="37" t="n">
        <f aca="false">IF(Q37="","",IFERROR(R37/$B$3,0))</f>
        <v>0.02</v>
      </c>
      <c r="T37" s="38" t="str">
        <f aca="false" t="array" ref="T37:T37">IF(Q37="","",IFERROR(INDEX(SummaryData[Engagement Type],MATCH(TRIM(Q37),TRIM(SummaryData[Statement]),0)),""))</f>
        <v>FGD</v>
      </c>
      <c r="AJ37" s="17" t="str">
        <f aca="false">IF(Data_Summary!Y38&lt;&gt;"Coverage","",IF(Data_Summary!AA38="","",IF(COUNTIFS(Data_Summary!$Y$2:$Y38,"Coverage",Data_Summary!$AA$2:$AA38,Data_Summary!AA38)=1,Data_Summary!AA38,"")))</f>
        <v/>
      </c>
      <c r="AK37" s="17" t="str">
        <f aca="false">IF(AJ37="","",COUNTIFS(Data_Summary!$Y$2:$Y$20001,"Coverage",Data_Summary!$AA$2:$AA$20001,AJ37))</f>
        <v/>
      </c>
      <c r="AM37" s="17" t="str">
        <f aca="false">IF(Data_Insight!X37="","",IF(COUNTIF(Data_Insight!$X$2:$X37,Data_Insight!X37)=1,Data_Insight!X37,""))</f>
        <v/>
      </c>
      <c r="AN37" s="17" t="str">
        <f aca="false">IF(AM37="","",COUNTIF(Data_Insight!$X$2:$X$20001,AM37))</f>
        <v/>
      </c>
    </row>
    <row r="38" customFormat="false" ht="24" hidden="false" customHeight="true" outlineLevel="0" collapsed="false">
      <c r="A38" s="30" t="s">
        <v>124</v>
      </c>
      <c r="B38" s="30" t="n">
        <f aca="false">COUNTIF(RawData[Status],A38)</f>
        <v>373</v>
      </c>
      <c r="Q38" s="36" t="str">
        <f aca="false" t="array" ref="Q38:Q38">IFERROR(INDEX($AJ$2:$AJ$599,MATCH(1,($AK$2:$AK$599=R38)*(COUNTIF($Q$3:$Q37,$AJ$2:$AJ$599)=0)*($AJ$2:$AJ$599&lt;&gt;""),0)),"")</f>
        <v>Role Expectation Clarity</v>
      </c>
      <c r="R38" s="34" t="n">
        <f aca="false">IFERROR(LARGE($AK$2:$AK$599,36),"")</f>
        <v>9</v>
      </c>
      <c r="S38" s="37" t="n">
        <f aca="false">IF(Q38="","",IFERROR(R38/$B$3,0))</f>
        <v>0.018</v>
      </c>
      <c r="T38" s="38" t="str">
        <f aca="false" t="array" ref="T38:T38">IF(Q38="","",IFERROR(INDEX(SummaryData[Engagement Type],MATCH(TRIM(Q38),TRIM(SummaryData[Statement]),0)),""))</f>
        <v>FGD</v>
      </c>
      <c r="AJ38" s="17" t="str">
        <f aca="false">IF(Data_Summary!Y39&lt;&gt;"Coverage","",IF(Data_Summary!AA39="","",IF(COUNTIFS(Data_Summary!$Y$2:$Y39,"Coverage",Data_Summary!$AA$2:$AA39,Data_Summary!AA39)=1,Data_Summary!AA39,"")))</f>
        <v/>
      </c>
      <c r="AK38" s="17" t="str">
        <f aca="false">IF(AJ38="","",COUNTIFS(Data_Summary!$Y$2:$Y$20001,"Coverage",Data_Summary!$AA$2:$AA$20001,AJ38))</f>
        <v/>
      </c>
      <c r="AM38" s="17" t="str">
        <f aca="false">IF(Data_Insight!X38="","",IF(COUNTIF(Data_Insight!$X$2:$X38,Data_Insight!X38)=1,Data_Insight!X38,""))</f>
        <v/>
      </c>
      <c r="AN38" s="17" t="str">
        <f aca="false">IF(AM38="","",COUNTIF(Data_Insight!$X$2:$X$20001,AM38))</f>
        <v/>
      </c>
    </row>
    <row r="39" customFormat="false" ht="25.5" hidden="false" customHeight="true" outlineLevel="0" collapsed="false">
      <c r="Q39" s="36" t="str">
        <f aca="false" t="array" ref="Q39:Q39">IFERROR(INDEX($AJ$2:$AJ$599,MATCH(1,($AK$2:$AK$599=R39)*(COUNTIF($Q$3:$Q38,$AJ$2:$AJ$599)=0)*($AJ$2:$AJ$599&lt;&gt;""),0)),"")</f>
        <v>Recognition &amp; Visibility of Growth</v>
      </c>
      <c r="R39" s="34" t="n">
        <f aca="false">IFERROR(LARGE($AK$2:$AK$599,37),"")</f>
        <v>9</v>
      </c>
      <c r="S39" s="37" t="n">
        <f aca="false">IF(Q39="","",IFERROR(R39/$B$3,0))</f>
        <v>0.018</v>
      </c>
      <c r="T39" s="38" t="str">
        <f aca="false" t="array" ref="T39:T39">IF(Q39="","",IFERROR(INDEX(SummaryData[Engagement Type],MATCH(TRIM(Q39),TRIM(SummaryData[Statement]),0)),""))</f>
        <v>Large Connect</v>
      </c>
      <c r="AJ39" s="17" t="str">
        <f aca="false">IF(Data_Summary!Y40&lt;&gt;"Coverage","",IF(Data_Summary!AA40="","",IF(COUNTIFS(Data_Summary!$Y$2:$Y40,"Coverage",Data_Summary!$AA$2:$AA40,Data_Summary!AA40)=1,Data_Summary!AA40,"")))</f>
        <v/>
      </c>
      <c r="AK39" s="17" t="str">
        <f aca="false">IF(AJ39="","",COUNTIFS(Data_Summary!$Y$2:$Y$20001,"Coverage",Data_Summary!$AA$2:$AA$20001,AJ39))</f>
        <v/>
      </c>
      <c r="AM39" s="17" t="str">
        <f aca="false">IF(Data_Insight!X39="","",IF(COUNTIF(Data_Insight!$X$2:$X39,Data_Insight!X39)=1,Data_Insight!X39,""))</f>
        <v/>
      </c>
      <c r="AN39" s="17" t="str">
        <f aca="false">IF(AM39="","",COUNTIF(Data_Insight!$X$2:$X$20001,AM39))</f>
        <v/>
      </c>
    </row>
    <row r="40" customFormat="false" ht="15.75" hidden="false" customHeight="true" outlineLevel="0" collapsed="false">
      <c r="A40" s="18" t="s">
        <v>3010</v>
      </c>
      <c r="B40" s="18"/>
      <c r="Q40" s="36" t="str">
        <f aca="false" t="array" ref="Q40:Q40">IFERROR(INDEX($AJ$2:$AJ$599,MATCH(1,($AK$2:$AK$599=R40)*(COUNTIF($Q$3:$Q39,$AJ$2:$AJ$599)=0)*($AJ$2:$AJ$599&lt;&gt;""),0)),"")</f>
        <v>Leadership Communication &amp; Q&amp;A Effectiveness</v>
      </c>
      <c r="R40" s="34" t="n">
        <f aca="false">IFERROR(LARGE($AK$2:$AK$599,38),"")</f>
        <v>9</v>
      </c>
      <c r="S40" s="37" t="n">
        <f aca="false">IF(Q40="","",IFERROR(R40/$B$3,0))</f>
        <v>0.018</v>
      </c>
      <c r="T40" s="38" t="str">
        <f aca="false" t="array" ref="T40:T40">IF(Q40="","",IFERROR(INDEX(SummaryData[Engagement Type],MATCH(TRIM(Q40),TRIM(SummaryData[Statement]),0)),""))</f>
        <v>1:1</v>
      </c>
      <c r="AJ40" s="17" t="str">
        <f aca="false">IF(Data_Summary!Y41&lt;&gt;"Coverage","",IF(Data_Summary!AA41="","",IF(COUNTIFS(Data_Summary!$Y$2:$Y41,"Coverage",Data_Summary!$AA$2:$AA41,Data_Summary!AA41)=1,Data_Summary!AA41,"")))</f>
        <v>Recognition &amp; Visibility</v>
      </c>
      <c r="AK40" s="17" t="n">
        <f aca="false">IF(AJ40="","",COUNTIFS(Data_Summary!$Y$2:$Y$20001,"Coverage",Data_Summary!$AA$2:$AA$20001,AJ40))</f>
        <v>10</v>
      </c>
      <c r="AM40" s="17" t="str">
        <f aca="false">IF(Data_Insight!X40="","",IF(COUNTIF(Data_Insight!$X$2:$X40,Data_Insight!X40)=1,Data_Insight!X40,""))</f>
        <v/>
      </c>
      <c r="AN40" s="17" t="str">
        <f aca="false">IF(AM40="","",COUNTIF(Data_Insight!$X$2:$X$20001,AM40))</f>
        <v/>
      </c>
    </row>
    <row r="41" customFormat="false" ht="13.5" hidden="false" customHeight="true" outlineLevel="0" collapsed="false">
      <c r="A41" s="24" t="s">
        <v>3005</v>
      </c>
      <c r="B41" s="24" t="s">
        <v>2966</v>
      </c>
      <c r="Q41" s="36" t="str">
        <f aca="false" t="array" ref="Q41:Q41">IFERROR(INDEX($AJ$2:$AJ$599,MATCH(1,($AK$2:$AK$599=R41)*(COUNTIF($Q$3:$Q40,$AJ$2:$AJ$599)=0)*($AJ$2:$AJ$599&lt;&gt;""),0)),"")</f>
        <v>Feedback Mechanism</v>
      </c>
      <c r="R41" s="34" t="n">
        <f aca="false">IFERROR(LARGE($AK$2:$AK$599,39),"")</f>
        <v>9</v>
      </c>
      <c r="S41" s="37" t="n">
        <f aca="false">IF(Q41="","",IFERROR(R41/$B$3,0))</f>
        <v>0.018</v>
      </c>
      <c r="T41" s="38" t="str">
        <f aca="false" t="array" ref="T41:T41">IF(Q41="","",IFERROR(INDEX(SummaryData[Engagement Type],MATCH(TRIM(Q41),TRIM(SummaryData[Statement]),0)),""))</f>
        <v>Large Connect</v>
      </c>
      <c r="AJ41" s="17" t="str">
        <f aca="false">IF(Data_Summary!Y42&lt;&gt;"Coverage","",IF(Data_Summary!AA42="","",IF(COUNTIFS(Data_Summary!$Y$2:$Y42,"Coverage",Data_Summary!$AA$2:$AA42,Data_Summary!AA42)=1,Data_Summary!AA42,"")))</f>
        <v>Grievance/speak-up Clarity</v>
      </c>
      <c r="AK41" s="17" t="n">
        <f aca="false">IF(AJ41="","",COUNTIFS(Data_Summary!$Y$2:$Y$20001,"Coverage",Data_Summary!$AA$2:$AA$20001,AJ41))</f>
        <v>7</v>
      </c>
      <c r="AM41" s="17" t="str">
        <f aca="false">IF(Data_Insight!X41="","",IF(COUNTIF(Data_Insight!$X$2:$X41,Data_Insight!X41)=1,Data_Insight!X41,""))</f>
        <v>LSA Connect</v>
      </c>
      <c r="AN41" s="17" t="n">
        <f aca="false">IF(AM41="","",COUNTIF(Data_Insight!$X$2:$X$20001,AM41))</f>
        <v>5</v>
      </c>
    </row>
    <row r="42" customFormat="false" ht="15" hidden="false" customHeight="true" outlineLevel="0" collapsed="false">
      <c r="A42" s="30" t="s">
        <v>22</v>
      </c>
      <c r="B42" s="30" t="n">
        <f aca="false">COUNTIF(RawData[CARES Framework],A42)</f>
        <v>286</v>
      </c>
      <c r="Q42" s="36" t="str">
        <f aca="false" t="array" ref="Q42:Q42">IFERROR(INDEX($AJ$2:$AJ$599,MATCH(1,($AK$2:$AK$599=R42)*(COUNTIF($Q$3:$Q41,$AJ$2:$AJ$599)=0)*($AJ$2:$AJ$599&lt;&gt;""),0)),"")</f>
        <v>Recognition Visibility</v>
      </c>
      <c r="R42" s="34" t="n">
        <f aca="false">IFERROR(LARGE($AK$2:$AK$599,40),"")</f>
        <v>9</v>
      </c>
      <c r="S42" s="37" t="n">
        <f aca="false">IF(Q42="","",IFERROR(R42/$B$3,0))</f>
        <v>0.018</v>
      </c>
      <c r="T42" s="38" t="str">
        <f aca="false" t="array" ref="T42:T42">IF(Q42="","",IFERROR(INDEX(SummaryData[Engagement Type],MATCH(TRIM(Q42),TRIM(SummaryData[Statement]),0)),""))</f>
        <v>Large Connect</v>
      </c>
      <c r="AJ42" s="17" t="str">
        <f aca="false">IF(Data_Summary!Y43&lt;&gt;"Coverage","",IF(Data_Summary!AA43="","",IF(COUNTIFS(Data_Summary!$Y$2:$Y43,"Coverage",Data_Summary!$AA$2:$AA43,Data_Summary!AA43)=1,Data_Summary!AA43,"")))</f>
        <v>Empathy And Communication</v>
      </c>
      <c r="AK42" s="17" t="n">
        <f aca="false">IF(AJ42="","",COUNTIFS(Data_Summary!$Y$2:$Y$20001,"Coverage",Data_Summary!$AA$2:$AA$20001,AJ42))</f>
        <v>4</v>
      </c>
      <c r="AM42" s="17" t="str">
        <f aca="false">IF(Data_Insight!X42="","",IF(COUNTIF(Data_Insight!$X$2:$X42,Data_Insight!X42)=1,Data_Insight!X42,""))</f>
        <v/>
      </c>
      <c r="AN42" s="17" t="str">
        <f aca="false">IF(AM42="","",COUNTIF(Data_Insight!$X$2:$X$20001,AM42))</f>
        <v/>
      </c>
    </row>
    <row r="43" customFormat="false" ht="15" hidden="false" customHeight="true" outlineLevel="0" collapsed="false">
      <c r="A43" s="30" t="s">
        <v>21</v>
      </c>
      <c r="B43" s="30" t="n">
        <f aca="false">COUNTIF(RawData[CARES Framework],A43)</f>
        <v>70</v>
      </c>
      <c r="Q43" s="36" t="str">
        <f aca="false" t="array" ref="Q43:Q43">IFERROR(INDEX($AJ$2:$AJ$599,MATCH(1,($AK$2:$AK$599=R43)*(COUNTIF($Q$3:$Q42,$AJ$2:$AJ$599)=0)*($AJ$2:$AJ$599&lt;&gt;""),0)),"")</f>
        <v>AI Workshop By Natesh</v>
      </c>
      <c r="R43" s="34" t="n">
        <f aca="false">IFERROR(LARGE($AK$2:$AK$599,41),"")</f>
        <v>9</v>
      </c>
      <c r="S43" s="37" t="n">
        <f aca="false">IF(Q43="","",IFERROR(R43/$B$3,0))</f>
        <v>0.018</v>
      </c>
      <c r="T43" s="38" t="str">
        <f aca="false" t="array" ref="T43:T43">IF(Q43="","",IFERROR(INDEX(SummaryData[Engagement Type],MATCH(TRIM(Q43),TRIM(SummaryData[Statement]),0)),""))</f>
        <v>Location-Mixed</v>
      </c>
      <c r="AJ43" s="17" t="str">
        <f aca="false">IF(Data_Summary!Y44&lt;&gt;"Coverage","",IF(Data_Summary!AA44="","",IF(COUNTIFS(Data_Summary!$Y$2:$Y44,"Coverage",Data_Summary!$AA$2:$AA44,Data_Summary!AA44)=1,Data_Summary!AA44,"")))</f>
        <v/>
      </c>
      <c r="AK43" s="17" t="str">
        <f aca="false">IF(AJ43="","",COUNTIFS(Data_Summary!$Y$2:$Y$20001,"Coverage",Data_Summary!$AA$2:$AA$20001,AJ43))</f>
        <v/>
      </c>
      <c r="AM43" s="17" t="str">
        <f aca="false">IF(Data_Insight!X43="","",IF(COUNTIF(Data_Insight!$X$2:$X43,Data_Insight!X43)=1,Data_Insight!X43,""))</f>
        <v/>
      </c>
      <c r="AN43" s="17" t="str">
        <f aca="false">IF(AM43="","",COUNTIF(Data_Insight!$X$2:$X$20001,AM43))</f>
        <v/>
      </c>
    </row>
    <row r="44" customFormat="false" ht="15" hidden="false" customHeight="true" outlineLevel="0" collapsed="false">
      <c r="A44" s="30" t="s">
        <v>24</v>
      </c>
      <c r="B44" s="30" t="n">
        <f aca="false">COUNTIF(RawData[CARES Framework],A44)</f>
        <v>97</v>
      </c>
      <c r="Q44" s="36" t="str">
        <f aca="false" t="array" ref="Q44:Q44">IFERROR(INDEX($AJ$2:$AJ$599,MATCH(1,($AK$2:$AK$599=R44)*(COUNTIF($Q$3:$Q43,$AJ$2:$AJ$599)=0)*($AJ$2:$AJ$599&lt;&gt;""),0)),"")</f>
        <v>Business Context &amp; Org Awareness</v>
      </c>
      <c r="R44" s="34" t="n">
        <f aca="false">IFERROR(LARGE($AK$2:$AK$599,42),"")</f>
        <v>8</v>
      </c>
      <c r="S44" s="37" t="n">
        <f aca="false">IF(Q44="","",IFERROR(R44/$B$3,0))</f>
        <v>0.016</v>
      </c>
      <c r="T44" s="38" t="str">
        <f aca="false" t="array" ref="T44:T44">IF(Q44="","",IFERROR(INDEX(SummaryData[Engagement Type],MATCH(TRIM(Q44),TRIM(SummaryData[Statement]),0)),""))</f>
        <v>FGD</v>
      </c>
      <c r="AJ44" s="17" t="str">
        <f aca="false">IF(Data_Summary!Y45&lt;&gt;"Coverage","",IF(Data_Summary!AA45="","",IF(COUNTIFS(Data_Summary!$Y$2:$Y45,"Coverage",Data_Summary!$AA$2:$AA45,Data_Summary!AA45)=1,Data_Summary!AA45,"")))</f>
        <v/>
      </c>
      <c r="AK44" s="17" t="str">
        <f aca="false">IF(AJ44="","",COUNTIFS(Data_Summary!$Y$2:$Y$20001,"Coverage",Data_Summary!$AA$2:$AA$20001,AJ44))</f>
        <v/>
      </c>
      <c r="AM44" s="17" t="str">
        <f aca="false">IF(Data_Insight!X44="","",IF(COUNTIF(Data_Insight!$X$2:$X44,Data_Insight!X44)=1,Data_Insight!X44,""))</f>
        <v/>
      </c>
      <c r="AN44" s="17" t="str">
        <f aca="false">IF(AM44="","",COUNTIF(Data_Insight!$X$2:$X$20001,AM44))</f>
        <v/>
      </c>
    </row>
    <row r="45" customFormat="false" ht="15" hidden="false" customHeight="true" outlineLevel="0" collapsed="false">
      <c r="A45" s="30" t="s">
        <v>23</v>
      </c>
      <c r="B45" s="30" t="n">
        <f aca="false">COUNTIF(RawData[CARES Framework],A45)</f>
        <v>27</v>
      </c>
      <c r="Q45" s="36" t="str">
        <f aca="false" t="array" ref="Q45:Q45">IFERROR(INDEX($AJ$2:$AJ$599,MATCH(1,($AK$2:$AK$599=R45)*(COUNTIF($Q$3:$Q44,$AJ$2:$AJ$599)=0)*($AJ$2:$AJ$599&lt;&gt;""),0)),"")</f>
        <v>Career Support &amp; Sponsorship</v>
      </c>
      <c r="R45" s="34" t="n">
        <f aca="false">IFERROR(LARGE($AK$2:$AK$599,43),"")</f>
        <v>8</v>
      </c>
      <c r="S45" s="37" t="n">
        <f aca="false">IF(Q45="","",IFERROR(R45/$B$3,0))</f>
        <v>0.016</v>
      </c>
      <c r="T45" s="38" t="str">
        <f aca="false" t="array" ref="T45:T45">IF(Q45="","",IFERROR(INDEX(SummaryData[Engagement Type],MATCH(TRIM(Q45),TRIM(SummaryData[Statement]),0)),""))</f>
        <v>FGD</v>
      </c>
      <c r="AJ45" s="17" t="str">
        <f aca="false">IF(Data_Summary!Y46&lt;&gt;"Coverage","",IF(Data_Summary!AA46="","",IF(COUNTIFS(Data_Summary!$Y$2:$Y46,"Coverage",Data_Summary!$AA$2:$AA46,Data_Summary!AA46)=1,Data_Summary!AA46,"")))</f>
        <v/>
      </c>
      <c r="AK45" s="17" t="str">
        <f aca="false">IF(AJ45="","",COUNTIFS(Data_Summary!$Y$2:$Y$20001,"Coverage",Data_Summary!$AA$2:$AA$20001,AJ45))</f>
        <v/>
      </c>
      <c r="AM45" s="17" t="str">
        <f aca="false">IF(Data_Insight!X45="","",IF(COUNTIF(Data_Insight!$X$2:$X45,Data_Insight!X45)=1,Data_Insight!X45,""))</f>
        <v/>
      </c>
      <c r="AN45" s="17" t="str">
        <f aca="false">IF(AM45="","",COUNTIF(Data_Insight!$X$2:$X$20001,AM45))</f>
        <v/>
      </c>
    </row>
    <row r="46" customFormat="false" ht="15" hidden="false" customHeight="true" outlineLevel="0" collapsed="false">
      <c r="A46" s="30" t="s">
        <v>25</v>
      </c>
      <c r="B46" s="30" t="n">
        <f aca="false">COUNTIF(RawData[CARES Framework],A46)</f>
        <v>20</v>
      </c>
      <c r="Q46" s="36" t="str">
        <f aca="false" t="array" ref="Q46:Q46">IFERROR(INDEX($AJ$2:$AJ$599,MATCH(1,($AK$2:$AK$599=R46)*(COUNTIF($Q$3:$Q45,$AJ$2:$AJ$599)=0)*($AJ$2:$AJ$599&lt;&gt;""),0)),"")</f>
        <v>Manager Effectiveness &amp; Delegation</v>
      </c>
      <c r="R46" s="34" t="n">
        <f aca="false">IFERROR(LARGE($AK$2:$AK$599,44),"")</f>
        <v>8</v>
      </c>
      <c r="S46" s="37" t="n">
        <f aca="false">IF(Q46="","",IFERROR(R46/$B$3,0))</f>
        <v>0.016</v>
      </c>
      <c r="T46" s="38" t="str">
        <f aca="false" t="array" ref="T46:T46">IF(Q46="","",IFERROR(INDEX(SummaryData[Engagement Type],MATCH(TRIM(Q46),TRIM(SummaryData[Statement]),0)),""))</f>
        <v>1:1</v>
      </c>
      <c r="AJ46" s="17" t="str">
        <f aca="false">IF(Data_Summary!Y47&lt;&gt;"Coverage","",IF(Data_Summary!AA47="","",IF(COUNTIFS(Data_Summary!$Y$2:$Y47,"Coverage",Data_Summary!$AA$2:$AA47,Data_Summary!AA47)=1,Data_Summary!AA47,"")))</f>
        <v/>
      </c>
      <c r="AK46" s="17" t="str">
        <f aca="false">IF(AJ46="","",COUNTIFS(Data_Summary!$Y$2:$Y$20001,"Coverage",Data_Summary!$AA$2:$AA$20001,AJ46))</f>
        <v/>
      </c>
      <c r="AM46" s="17" t="str">
        <f aca="false">IF(Data_Insight!X46="","",IF(COUNTIF(Data_Insight!$X$2:$X46,Data_Insight!X46)=1,Data_Insight!X46,""))</f>
        <v/>
      </c>
      <c r="AN46" s="17" t="str">
        <f aca="false">IF(AM46="","",COUNTIF(Data_Insight!$X$2:$X$20001,AM46))</f>
        <v/>
      </c>
    </row>
    <row r="47" customFormat="false" ht="15" hidden="false" customHeight="true" outlineLevel="0" collapsed="false">
      <c r="A47" s="30"/>
      <c r="B47" s="30"/>
      <c r="Q47" s="36" t="str">
        <f aca="false" t="array" ref="Q47:Q47">IFERROR(INDEX($AJ$2:$AJ$599,MATCH(1,($AK$2:$AK$599=R47)*(COUNTIF($Q$3:$Q46,$AJ$2:$AJ$599)=0)*($AJ$2:$AJ$599&lt;&gt;""),0)),"")</f>
        <v>Work-Life &amp; Sustainability Signals</v>
      </c>
      <c r="R47" s="34" t="n">
        <f aca="false">IFERROR(LARGE($AK$2:$AK$599,45),"")</f>
        <v>8</v>
      </c>
      <c r="S47" s="37" t="n">
        <f aca="false">IF(Q47="","",IFERROR(R47/$B$3,0))</f>
        <v>0.016</v>
      </c>
      <c r="T47" s="38" t="str">
        <f aca="false" t="array" ref="T47:T47">IF(Q47="","",IFERROR(INDEX(SummaryData[Engagement Type],MATCH(TRIM(Q47),TRIM(SummaryData[Statement]),0)),""))</f>
        <v>Large Connect</v>
      </c>
      <c r="AJ47" s="17" t="str">
        <f aca="false">IF(Data_Summary!Y48&lt;&gt;"Coverage","",IF(Data_Summary!AA48="","",IF(COUNTIFS(Data_Summary!$Y$2:$Y48,"Coverage",Data_Summary!$AA$2:$AA48,Data_Summary!AA48)=1,Data_Summary!AA48,"")))</f>
        <v>Career Support &amp; Sponsorship</v>
      </c>
      <c r="AK47" s="17" t="n">
        <f aca="false">IF(AJ47="","",COUNTIFS(Data_Summary!$Y$2:$Y$20001,"Coverage",Data_Summary!$AA$2:$AA$20001,AJ47))</f>
        <v>8</v>
      </c>
      <c r="AM47" s="17" t="str">
        <f aca="false">IF(Data_Insight!X47="","",IF(COUNTIF(Data_Insight!$X$2:$X47,Data_Insight!X47)=1,Data_Insight!X47,""))</f>
        <v/>
      </c>
      <c r="AN47" s="17" t="str">
        <f aca="false">IF(AM47="","",COUNTIF(Data_Insight!$X$2:$X$20001,AM47))</f>
        <v/>
      </c>
    </row>
    <row r="48" customFormat="false" ht="15" hidden="false" customHeight="true" outlineLevel="0" collapsed="false">
      <c r="A48" s="21" t="s">
        <v>3011</v>
      </c>
      <c r="B48" s="21"/>
      <c r="C48" s="21"/>
      <c r="D48" s="21"/>
      <c r="Q48" s="36" t="str">
        <f aca="false" t="array" ref="Q48:Q48">IFERROR(INDEX($AJ$2:$AJ$599,MATCH(1,($AK$2:$AK$599=R48)*(COUNTIF($Q$3:$Q47,$AJ$2:$AJ$599)=0)*($AJ$2:$AJ$599&lt;&gt;""),0)),"")</f>
        <v>Recognition &amp; Engagement within Project</v>
      </c>
      <c r="R48" s="34" t="n">
        <f aca="false">IFERROR(LARGE($AK$2:$AK$599,46),"")</f>
        <v>8</v>
      </c>
      <c r="S48" s="37" t="n">
        <f aca="false">IF(Q48="","",IFERROR(R48/$B$3,0))</f>
        <v>0.016</v>
      </c>
      <c r="T48" s="38" t="str">
        <f aca="false" t="array" ref="T48:T48">IF(Q48="","",IFERROR(INDEX(SummaryData[Engagement Type],MATCH(TRIM(Q48),TRIM(SummaryData[Statement]),0)),""))</f>
        <v>Large Connect</v>
      </c>
      <c r="AJ48" s="17" t="str">
        <f aca="false">IF(Data_Summary!Y49&lt;&gt;"Coverage","",IF(Data_Summary!AA49="","",IF(COUNTIFS(Data_Summary!$Y$2:$Y49,"Coverage",Data_Summary!$AA$2:$AA49,Data_Summary!AA49)=1,Data_Summary!AA49,"")))</f>
        <v>Work-Life Balance &amp; Flexibility</v>
      </c>
      <c r="AK48" s="17" t="n">
        <f aca="false">IF(AJ48="","",COUNTIFS(Data_Summary!$Y$2:$Y$20001,"Coverage",Data_Summary!$AA$2:$AA$20001,AJ48))</f>
        <v>12</v>
      </c>
      <c r="AM48" s="17" t="str">
        <f aca="false">IF(Data_Insight!X48="","",IF(COUNTIF(Data_Insight!$X$2:$X48,Data_Insight!X48)=1,Data_Insight!X48,""))</f>
        <v/>
      </c>
      <c r="AN48" s="17" t="str">
        <f aca="false">IF(AM48="","",COUNTIF(Data_Insight!$X$2:$X$20001,AM48))</f>
        <v/>
      </c>
    </row>
    <row r="49" customFormat="false" ht="15" hidden="false" customHeight="true" outlineLevel="0" collapsed="false">
      <c r="A49" s="24" t="s">
        <v>3012</v>
      </c>
      <c r="B49" s="24" t="s">
        <v>2966</v>
      </c>
      <c r="C49" s="24" t="s">
        <v>3013</v>
      </c>
      <c r="Q49" s="36" t="str">
        <f aca="false" t="array" ref="Q49:Q49">IFERROR(INDEX($AJ$2:$AJ$599,MATCH(1,($AK$2:$AK$599=R49)*(COUNTIF($Q$3:$Q48,$AJ$2:$AJ$599)=0)*($AJ$2:$AJ$599&lt;&gt;""),0)),"")</f>
        <v>On Leave/comp-off Due To Client Calendar Mismatches</v>
      </c>
      <c r="R49" s="34" t="n">
        <f aca="false">IFERROR(LARGE($AK$2:$AK$599,47),"")</f>
        <v>8</v>
      </c>
      <c r="S49" s="37" t="n">
        <f aca="false">IF(Q49="","",IFERROR(R49/$B$3,0))</f>
        <v>0.016</v>
      </c>
      <c r="T49" s="38" t="str">
        <f aca="false" t="array" ref="T49:T49">IF(Q49="","",IFERROR(INDEX(SummaryData[Engagement Type],MATCH(TRIM(Q49),TRIM(SummaryData[Statement]),0)),""))</f>
        <v>Large Connect</v>
      </c>
      <c r="AJ49" s="17" t="str">
        <f aca="false">IF(Data_Summary!Y50&lt;&gt;"Coverage","",IF(Data_Summary!AA50="","",IF(COUNTIFS(Data_Summary!$Y$2:$Y50,"Coverage",Data_Summary!$AA$2:$AA50,Data_Summary!AA50)=1,Data_Summary!AA50,"")))</f>
        <v/>
      </c>
      <c r="AK49" s="17" t="str">
        <f aca="false">IF(AJ49="","",COUNTIFS(Data_Summary!$Y$2:$Y$20001,"Coverage",Data_Summary!$AA$2:$AA$20001,AJ49))</f>
        <v/>
      </c>
      <c r="AM49" s="17" t="str">
        <f aca="false">IF(Data_Insight!X49="","",IF(COUNTIF(Data_Insight!$X$2:$X49,Data_Insight!X49)=1,Data_Insight!X49,""))</f>
        <v/>
      </c>
      <c r="AN49" s="17" t="str">
        <f aca="false">IF(AM49="","",COUNTIF(Data_Insight!$X$2:$X$20001,AM49))</f>
        <v/>
      </c>
    </row>
    <row r="50" customFormat="false" ht="15" hidden="false" customHeight="true" outlineLevel="0" collapsed="false">
      <c r="A50" s="30" t="s">
        <v>112</v>
      </c>
      <c r="B50" s="30" t="n">
        <f aca="false">COUNTIF(RawData[Engagement Mode],C50)</f>
        <v>332</v>
      </c>
      <c r="C50" s="43" t="s">
        <v>112</v>
      </c>
      <c r="Q50" s="36" t="str">
        <f aca="false" t="array" ref="Q50:Q50">IFERROR(INDEX($AJ$2:$AJ$599,MATCH(1,($AK$2:$AK$599=R50)*(COUNTIF($Q$3:$Q49,$AJ$2:$AJ$599)=0)*($AJ$2:$AJ$599&lt;&gt;""),0)),"")</f>
        <v>AI/future Readiness Messaging Is High-level</v>
      </c>
      <c r="R50" s="34" t="n">
        <f aca="false">IFERROR(LARGE($AK$2:$AK$599,48),"")</f>
        <v>7</v>
      </c>
      <c r="S50" s="37" t="n">
        <f aca="false">IF(Q50="","",IFERROR(R50/$B$3,0))</f>
        <v>0.014</v>
      </c>
      <c r="T50" s="38" t="str">
        <f aca="false" t="array" ref="T50:T50">IF(Q50="","",IFERROR(INDEX(SummaryData[Engagement Type],MATCH(TRIM(Q50),TRIM(SummaryData[Statement]),0)),""))</f>
        <v>Large Connect</v>
      </c>
      <c r="AJ50" s="17" t="str">
        <f aca="false">IF(Data_Summary!Y51&lt;&gt;"Coverage","",IF(Data_Summary!AA51="","",IF(COUNTIFS(Data_Summary!$Y$2:$Y51,"Coverage",Data_Summary!$AA$2:$AA51,Data_Summary!AA51)=1,Data_Summary!AA51,"")))</f>
        <v/>
      </c>
      <c r="AK50" s="17" t="str">
        <f aca="false">IF(AJ50="","",COUNTIFS(Data_Summary!$Y$2:$Y$20001,"Coverage",Data_Summary!$AA$2:$AA$20001,AJ50))</f>
        <v/>
      </c>
      <c r="AM50" s="17" t="str">
        <f aca="false">IF(Data_Insight!X50="","",IF(COUNTIF(Data_Insight!$X$2:$X50,Data_Insight!X50)=1,Data_Insight!X50,""))</f>
        <v/>
      </c>
      <c r="AN50" s="17" t="str">
        <f aca="false">IF(AM50="","",COUNTIF(Data_Insight!$X$2:$X$20001,AM50))</f>
        <v/>
      </c>
    </row>
    <row r="51" customFormat="false" ht="15" hidden="false" customHeight="true" outlineLevel="0" collapsed="false">
      <c r="A51" s="30" t="s">
        <v>3014</v>
      </c>
      <c r="B51" s="30" t="n">
        <f aca="false">COUNTIF(RawData[Engagement Mode],C51)</f>
        <v>122</v>
      </c>
      <c r="C51" s="43" t="s">
        <v>145</v>
      </c>
      <c r="Q51" s="36" t="str">
        <f aca="false" t="array" ref="Q51:Q51">IFERROR(INDEX($AJ$2:$AJ$599,MATCH(1,($AK$2:$AK$599=R51)*(COUNTIF($Q$3:$Q50,$AJ$2:$AJ$599)=0)*($AJ$2:$AJ$599&lt;&gt;""),0)),"")</f>
        <v>On Hybrid/WFO Rules And Monthly Compliance Expectations</v>
      </c>
      <c r="R51" s="34" t="n">
        <f aca="false">IFERROR(LARGE($AK$2:$AK$599,49),"")</f>
        <v>7</v>
      </c>
      <c r="S51" s="37" t="n">
        <f aca="false">IF(Q51="","",IFERROR(R51/$B$3,0))</f>
        <v>0.014</v>
      </c>
      <c r="T51" s="38" t="str">
        <f aca="false" t="array" ref="T51:T51">IF(Q51="","",IFERROR(INDEX(SummaryData[Engagement Type],MATCH(TRIM(Q51),TRIM(SummaryData[Statement]),0)),""))</f>
        <v>FGD</v>
      </c>
      <c r="AJ51" s="17" t="str">
        <f aca="false">IF(Data_Summary!Y52&lt;&gt;"Coverage","",IF(Data_Summary!AA52="","",IF(COUNTIFS(Data_Summary!$Y$2:$Y52,"Coverage",Data_Summary!$AA$2:$AA52,Data_Summary!AA52)=1,Data_Summary!AA52,"")))</f>
        <v/>
      </c>
      <c r="AK51" s="17" t="str">
        <f aca="false">IF(AJ51="","",COUNTIFS(Data_Summary!$Y$2:$Y$20001,"Coverage",Data_Summary!$AA$2:$AA$20001,AJ51))</f>
        <v/>
      </c>
      <c r="AM51" s="17" t="str">
        <f aca="false">IF(Data_Insight!X51="","",IF(COUNTIF(Data_Insight!$X$2:$X51,Data_Insight!X51)=1,Data_Insight!X51,""))</f>
        <v>NA</v>
      </c>
      <c r="AN51" s="17" t="n">
        <f aca="false">IF(AM51="","",COUNTIF(Data_Insight!$X$2:$X$20001,AM51))</f>
        <v>6</v>
      </c>
    </row>
    <row r="52" customFormat="false" ht="15" hidden="false" customHeight="true" outlineLevel="0" collapsed="false">
      <c r="A52" s="30" t="s">
        <v>3015</v>
      </c>
      <c r="B52" s="30" t="n">
        <f aca="false">COUNTIF(RawData[Engagement Mode],C52)</f>
        <v>33</v>
      </c>
      <c r="C52" s="43" t="s">
        <v>247</v>
      </c>
      <c r="Q52" s="36" t="str">
        <f aca="false" t="array" ref="Q52:Q52">IFERROR(INDEX($AJ$2:$AJ$599,MATCH(1,($AK$2:$AK$599=R52)*(COUNTIF($Q$3:$Q51,$AJ$2:$AJ$599)=0)*($AJ$2:$AJ$599&lt;&gt;""),0)),"")</f>
        <v>Grievance/speak-up Clarity</v>
      </c>
      <c r="R52" s="34" t="n">
        <f aca="false">IFERROR(LARGE($AK$2:$AK$599,50),"")</f>
        <v>7</v>
      </c>
      <c r="S52" s="37" t="n">
        <f aca="false">IF(Q52="","",IFERROR(R52/$B$3,0))</f>
        <v>0.014</v>
      </c>
      <c r="T52" s="38" t="str">
        <f aca="false" t="array" ref="T52:T52">IF(Q52="","",IFERROR(INDEX(SummaryData[Engagement Type],MATCH(TRIM(Q52),TRIM(SummaryData[Statement]),0)),""))</f>
        <v>Large Connect</v>
      </c>
      <c r="AJ52" s="17" t="str">
        <f aca="false">IF(Data_Summary!Y53&lt;&gt;"Coverage","",IF(Data_Summary!AA53="","",IF(COUNTIFS(Data_Summary!$Y$2:$Y53,"Coverage",Data_Summary!$AA$2:$AA53,Data_Summary!AA53)=1,Data_Summary!AA53,"")))</f>
        <v/>
      </c>
      <c r="AK52" s="17" t="str">
        <f aca="false">IF(AJ52="","",COUNTIFS(Data_Summary!$Y$2:$Y$20001,"Coverage",Data_Summary!$AA$2:$AA$20001,AJ52))</f>
        <v/>
      </c>
      <c r="AM52" s="17" t="str">
        <f aca="false">IF(Data_Insight!X52="","",IF(COUNTIF(Data_Insight!$X$2:$X52,Data_Insight!X52)=1,Data_Insight!X52,""))</f>
        <v/>
      </c>
      <c r="AN52" s="17" t="str">
        <f aca="false">IF(AM52="","",COUNTIF(Data_Insight!$X$2:$X$20001,AM52))</f>
        <v/>
      </c>
    </row>
    <row r="53" customFormat="false" ht="15" hidden="false" customHeight="true" outlineLevel="0" collapsed="false">
      <c r="A53" s="30" t="s">
        <v>3016</v>
      </c>
      <c r="B53" s="30" t="n">
        <f aca="false">COUNTIF(RawData[Engagement Mode],C53)</f>
        <v>13</v>
      </c>
      <c r="C53" s="43" t="s">
        <v>198</v>
      </c>
      <c r="Q53" s="36" t="str">
        <f aca="false" t="array" ref="Q53:Q53">IFERROR(INDEX($AJ$2:$AJ$599,MATCH(1,($AK$2:$AK$599=R53)*(COUNTIF($Q$3:$Q52,$AJ$2:$AJ$599)=0)*($AJ$2:$AJ$599&lt;&gt;""),0)),"")</f>
        <v>Learning &amp; Skill Building</v>
      </c>
      <c r="R53" s="34" t="n">
        <f aca="false">IFERROR(LARGE($AK$2:$AK$599,51),"")</f>
        <v>7</v>
      </c>
      <c r="S53" s="37" t="n">
        <f aca="false">IF(Q53="","",IFERROR(R53/$B$3,0))</f>
        <v>0.014</v>
      </c>
      <c r="T53" s="38" t="str">
        <f aca="false" t="array" ref="T53:T53">IF(Q53="","",IFERROR(INDEX(SummaryData[Engagement Type],MATCH(TRIM(Q53),TRIM(SummaryData[Statement]),0)),""))</f>
        <v>Floor Connect</v>
      </c>
      <c r="AJ53" s="17" t="str">
        <f aca="false">IF(Data_Summary!Y54&lt;&gt;"Coverage","",IF(Data_Summary!AA54="","",IF(COUNTIFS(Data_Summary!$Y$2:$Y54,"Coverage",Data_Summary!$AA$2:$AA54,Data_Summary!AA54)=1,Data_Summary!AA54,"")))</f>
        <v>Feedback on recent processes</v>
      </c>
      <c r="AK53" s="17" t="n">
        <f aca="false">IF(AJ53="","",COUNTIFS(Data_Summary!$Y$2:$Y$20001,"Coverage",Data_Summary!$AA$2:$AA$20001,AJ53))</f>
        <v>36</v>
      </c>
      <c r="AM53" s="17" t="str">
        <f aca="false">IF(Data_Insight!X53="","",IF(COUNTIF(Data_Insight!$X$2:$X53,Data_Insight!X53)=1,Data_Insight!X53,""))</f>
        <v/>
      </c>
      <c r="AN53" s="17" t="str">
        <f aca="false">IF(AM53="","",COUNTIF(Data_Insight!$X$2:$X$20001,AM53))</f>
        <v/>
      </c>
    </row>
    <row r="54" customFormat="false" ht="25.5" hidden="false" customHeight="true" outlineLevel="0" collapsed="false">
      <c r="Q54" s="36" t="str">
        <f aca="false" t="array" ref="Q54:Q54">IFERROR(INDEX($AJ$2:$AJ$599,MATCH(1,($AK$2:$AK$599=R54)*(COUNTIF($Q$3:$Q53,$AJ$2:$AJ$599)=0)*($AJ$2:$AJ$599&lt;&gt;""),0)),"")</f>
        <v>Inclusive Team Practices</v>
      </c>
      <c r="R54" s="34" t="n">
        <f aca="false">IFERROR(LARGE($AK$2:$AK$599,52),"")</f>
        <v>7</v>
      </c>
      <c r="S54" s="37" t="n">
        <f aca="false">IF(Q54="","",IFERROR(R54/$B$3,0))</f>
        <v>0.014</v>
      </c>
      <c r="T54" s="38" t="str">
        <f aca="false" t="array" ref="T54:T54">IF(Q54="","",IFERROR(INDEX(SummaryData[Engagement Type],MATCH(TRIM(Q54),TRIM(SummaryData[Statement]),0)),""))</f>
        <v>FGD</v>
      </c>
      <c r="AJ54" s="17" t="str">
        <f aca="false">IF(Data_Summary!Y55&lt;&gt;"Coverage","",IF(Data_Summary!AA55="","",IF(COUNTIFS(Data_Summary!$Y$2:$Y55,"Coverage",Data_Summary!$AA$2:$AA55,Data_Summary!AA55)=1,Data_Summary!AA55,"")))</f>
        <v/>
      </c>
      <c r="AK54" s="17" t="str">
        <f aca="false">IF(AJ54="","",COUNTIFS(Data_Summary!$Y$2:$Y$20001,"Coverage",Data_Summary!$AA$2:$AA$20001,AJ54))</f>
        <v/>
      </c>
      <c r="AM54" s="17" t="str">
        <f aca="false">IF(Data_Insight!X54="","",IF(COUNTIF(Data_Insight!$X$2:$X54,Data_Insight!X54)=1,Data_Insight!X54,""))</f>
        <v/>
      </c>
      <c r="AN54" s="17" t="str">
        <f aca="false">IF(AM54="","",COUNTIF(Data_Insight!$X$2:$X$20001,AM54))</f>
        <v/>
      </c>
    </row>
    <row r="55" customFormat="false" ht="25.5" hidden="false" customHeight="true" outlineLevel="0" collapsed="false">
      <c r="A55" s="20"/>
      <c r="B55" s="25"/>
      <c r="Q55" s="36" t="str">
        <f aca="false" t="array" ref="Q55:Q55">IFERROR(INDEX($AJ$2:$AJ$599,MATCH(1,($AK$2:$AK$599=R55)*(COUNTIF($Q$3:$Q54,$AJ$2:$AJ$599)=0)*($AJ$2:$AJ$599&lt;&gt;""),0)),"")</f>
        <v>Timesheet Submission/approval Process Inconsistencies Create</v>
      </c>
      <c r="R55" s="34" t="n">
        <f aca="false">IFERROR(LARGE($AK$2:$AK$599,53),"")</f>
        <v>7</v>
      </c>
      <c r="S55" s="37" t="n">
        <f aca="false">IF(Q55="","",IFERROR(R55/$B$3,0))</f>
        <v>0.014</v>
      </c>
      <c r="T55" s="38" t="str">
        <f aca="false" t="array" ref="T55:T55">IF(Q55="","",IFERROR(INDEX(SummaryData[Engagement Type],MATCH(TRIM(Q55),TRIM(SummaryData[Statement]),0)),""))</f>
        <v>FGD</v>
      </c>
      <c r="AJ55" s="17" t="str">
        <f aca="false">IF(Data_Summary!Y56&lt;&gt;"Coverage","",IF(Data_Summary!AA56="","",IF(COUNTIFS(Data_Summary!$Y$2:$Y56,"Coverage",Data_Summary!$AA$2:$AA56,Data_Summary!AA56)=1,Data_Summary!AA56,"")))</f>
        <v/>
      </c>
      <c r="AK55" s="17" t="str">
        <f aca="false">IF(AJ55="","",COUNTIFS(Data_Summary!$Y$2:$Y$20001,"Coverage",Data_Summary!$AA$2:$AA$20001,AJ55))</f>
        <v/>
      </c>
      <c r="AM55" s="17" t="str">
        <f aca="false">IF(Data_Insight!X55="","",IF(COUNTIF(Data_Insight!$X$2:$X55,Data_Insight!X55)=1,Data_Insight!X55,""))</f>
        <v/>
      </c>
      <c r="AN55" s="17" t="str">
        <f aca="false">IF(AM55="","",COUNTIF(Data_Insight!$X$2:$X$20001,AM55))</f>
        <v/>
      </c>
    </row>
    <row r="56" customFormat="false" ht="25.5" hidden="false" customHeight="true" outlineLevel="0" collapsed="false">
      <c r="A56" s="25"/>
      <c r="B56" s="25"/>
      <c r="C56" s="25"/>
      <c r="D56" s="25"/>
      <c r="Q56" s="36" t="str">
        <f aca="false" t="array" ref="Q56:Q56">IFERROR(INDEX($AJ$2:$AJ$599,MATCH(1,($AK$2:$AK$599=R56)*(COUNTIF($Q$3:$Q55,$AJ$2:$AJ$599)=0)*($AJ$2:$AJ$599&lt;&gt;""),0)),"")</f>
        <v>Clarity on Org Changes &amp; Priorities</v>
      </c>
      <c r="R56" s="34" t="n">
        <f aca="false">IFERROR(LARGE($AK$2:$AK$599,54),"")</f>
        <v>7</v>
      </c>
      <c r="S56" s="37" t="n">
        <f aca="false">IF(Q56="","",IFERROR(R56/$B$3,0))</f>
        <v>0.014</v>
      </c>
      <c r="T56" s="38" t="str">
        <f aca="false" t="array" ref="T56:T56">IF(Q56="","",IFERROR(INDEX(SummaryData[Engagement Type],MATCH(TRIM(Q56),TRIM(SummaryData[Statement]),0)),""))</f>
        <v>Location-Offshore</v>
      </c>
      <c r="AJ56" s="17" t="str">
        <f aca="false">IF(Data_Summary!Y57&lt;&gt;"Coverage","",IF(Data_Summary!AA57="","",IF(COUNTIFS(Data_Summary!$Y$2:$Y57,"Coverage",Data_Summary!$AA$2:$AA57,Data_Summary!AA57)=1,Data_Summary!AA57,"")))</f>
        <v/>
      </c>
      <c r="AK56" s="17" t="str">
        <f aca="false">IF(AJ56="","",COUNTIFS(Data_Summary!$Y$2:$Y$20001,"Coverage",Data_Summary!$AA$2:$AA$20001,AJ56))</f>
        <v/>
      </c>
      <c r="AM56" s="17" t="str">
        <f aca="false">IF(Data_Insight!X56="","",IF(COUNTIF(Data_Insight!$X$2:$X56,Data_Insight!X56)=1,Data_Insight!X56,""))</f>
        <v/>
      </c>
      <c r="AN56" s="17" t="str">
        <f aca="false">IF(AM56="","",COUNTIF(Data_Insight!$X$2:$X$20001,AM56))</f>
        <v/>
      </c>
    </row>
    <row r="57" customFormat="false" ht="15" hidden="false" customHeight="true" outlineLevel="0" collapsed="false">
      <c r="A57" s="44"/>
      <c r="B57" s="45"/>
      <c r="C57" s="46"/>
      <c r="D57" s="47"/>
      <c r="E57" s="17" t="n">
        <f aca="false">IFERROR(IF(D170=0,0,(D170-E170)/D170),0)</f>
        <v>0</v>
      </c>
      <c r="Q57" s="36" t="str">
        <f aca="false" t="array" ref="Q57:Q57">IFERROR(INDEX($AJ$2:$AJ$599,MATCH(1,($AK$2:$AK$599=R57)*(COUNTIF($Q$3:$Q56,$AJ$2:$AJ$599)=0)*($AJ$2:$AJ$599&lt;&gt;""),0)),"")</f>
        <v>Timely Policy/process Updates</v>
      </c>
      <c r="R57" s="34" t="n">
        <f aca="false">IFERROR(LARGE($AK$2:$AK$599,55),"")</f>
        <v>7</v>
      </c>
      <c r="S57" s="37" t="n">
        <f aca="false">IF(Q57="","",IFERROR(R57/$B$3,0))</f>
        <v>0.014</v>
      </c>
      <c r="T57" s="38" t="str">
        <f aca="false" t="array" ref="T57:T57">IF(Q57="","",IFERROR(INDEX(SummaryData[Engagement Type],MATCH(TRIM(Q57),TRIM(SummaryData[Statement]),0)),""))</f>
        <v>1:1</v>
      </c>
      <c r="AJ57" s="17" t="str">
        <f aca="false">IF(Data_Summary!Y58&lt;&gt;"Coverage","",IF(Data_Summary!AA58="","",IF(COUNTIFS(Data_Summary!$Y$2:$Y58,"Coverage",Data_Summary!$AA$2:$AA58,Data_Summary!AA58)=1,Data_Summary!AA58,"")))</f>
        <v/>
      </c>
      <c r="AK57" s="17" t="str">
        <f aca="false">IF(AJ57="","",COUNTIFS(Data_Summary!$Y$2:$Y$20001,"Coverage",Data_Summary!$AA$2:$AA$20001,AJ57))</f>
        <v/>
      </c>
      <c r="AM57" s="17" t="str">
        <f aca="false">IF(Data_Insight!X57="","",IF(COUNTIF(Data_Insight!$X$2:$X57,Data_Insight!X57)=1,Data_Insight!X57,""))</f>
        <v/>
      </c>
      <c r="AN57" s="17" t="str">
        <f aca="false">IF(AM57="","",COUNTIF(Data_Insight!$X$2:$X$20001,AM57))</f>
        <v/>
      </c>
    </row>
    <row r="58" customFormat="false" ht="25.5" hidden="false" customHeight="true" outlineLevel="0" collapsed="false">
      <c r="A58" s="44"/>
      <c r="B58" s="45"/>
      <c r="C58" s="46"/>
      <c r="D58" s="47"/>
      <c r="Q58" s="36" t="str">
        <f aca="false" t="array" ref="Q58:Q58">IFERROR(INDEX($AJ$2:$AJ$599,MATCH(1,($AK$2:$AK$599=R58)*(COUNTIF($Q$3:$Q57,$AJ$2:$AJ$599)=0)*($AJ$2:$AJ$599&lt;&gt;""),0)),"")</f>
        <v>Recognition &amp; Motivation</v>
      </c>
      <c r="R58" s="34" t="n">
        <f aca="false">IFERROR(LARGE($AK$2:$AK$599,56),"")</f>
        <v>7</v>
      </c>
      <c r="S58" s="37" t="n">
        <f aca="false">IF(Q58="","",IFERROR(R58/$B$3,0))</f>
        <v>0.014</v>
      </c>
      <c r="T58" s="38" t="str">
        <f aca="false" t="array" ref="T58:T58">IF(Q58="","",IFERROR(INDEX(SummaryData[Engagement Type],MATCH(TRIM(Q58),TRIM(SummaryData[Statement]),0)),""))</f>
        <v>FGD</v>
      </c>
      <c r="AJ58" s="17" t="str">
        <f aca="false">IF(Data_Summary!Y59&lt;&gt;"Coverage","",IF(Data_Summary!AA59="","",IF(COUNTIFS(Data_Summary!$Y$2:$Y59,"Coverage",Data_Summary!$AA$2:$AA59,Data_Summary!AA59)=1,Data_Summary!AA59,"")))</f>
        <v>AI Session</v>
      </c>
      <c r="AK58" s="17" t="n">
        <f aca="false">IF(AJ58="","",COUNTIFS(Data_Summary!$Y$2:$Y$20001,"Coverage",Data_Summary!$AA$2:$AA$20001,AJ58))</f>
        <v>4</v>
      </c>
      <c r="AM58" s="17" t="str">
        <f aca="false">IF(Data_Insight!X58="","",IF(COUNTIF(Data_Insight!$X$2:$X58,Data_Insight!X58)=1,Data_Insight!X58,""))</f>
        <v/>
      </c>
      <c r="AN58" s="17" t="str">
        <f aca="false">IF(AM58="","",COUNTIF(Data_Insight!$X$2:$X$20001,AM58))</f>
        <v/>
      </c>
    </row>
    <row r="59" customFormat="false" ht="25.5" hidden="false" customHeight="true" outlineLevel="0" collapsed="false">
      <c r="A59" s="44"/>
      <c r="B59" s="45"/>
      <c r="C59" s="46"/>
      <c r="D59" s="47"/>
      <c r="Q59" s="36" t="str">
        <f aca="false" t="array" ref="Q59:Q59">IFERROR(INDEX($AJ$2:$AJ$599,MATCH(1,($AK$2:$AK$599=R59)*(COUNTIF($Q$3:$Q58,$AJ$2:$AJ$599)=0)*($AJ$2:$AJ$599&lt;&gt;""),0)),"")</f>
        <v>Strategic Connect</v>
      </c>
      <c r="R59" s="34" t="n">
        <f aca="false">IFERROR(LARGE($AK$2:$AK$599,57),"")</f>
        <v>7</v>
      </c>
      <c r="S59" s="37" t="n">
        <f aca="false">IF(Q59="","",IFERROR(R59/$B$3,0))</f>
        <v>0.014</v>
      </c>
      <c r="T59" s="38" t="str">
        <f aca="false" t="array" ref="T59:T59">IF(Q59="","",IFERROR(INDEX(SummaryData[Engagement Type],MATCH(TRIM(Q59),TRIM(SummaryData[Statement]),0)),""))</f>
        <v>Large Connect</v>
      </c>
      <c r="AJ59" s="17" t="str">
        <f aca="false">IF(Data_Summary!Y60&lt;&gt;"Coverage","",IF(Data_Summary!AA60="","",IF(COUNTIFS(Data_Summary!$Y$2:$Y60,"Coverage",Data_Summary!$AA$2:$AA60,Data_Summary!AA60)=1,Data_Summary!AA60,"")))</f>
        <v>Review Cadence</v>
      </c>
      <c r="AK59" s="17" t="n">
        <f aca="false">IF(AJ59="","",COUNTIFS(Data_Summary!$Y$2:$Y$20001,"Coverage",Data_Summary!$AA$2:$AA$20001,AJ59))</f>
        <v>1</v>
      </c>
      <c r="AM59" s="17" t="str">
        <f aca="false">IF(Data_Insight!X59="","",IF(COUNTIF(Data_Insight!$X$2:$X59,Data_Insight!X59)=1,Data_Insight!X59,""))</f>
        <v/>
      </c>
      <c r="AN59" s="17" t="str">
        <f aca="false">IF(AM59="","",COUNTIF(Data_Insight!$X$2:$X$20001,AM59))</f>
        <v/>
      </c>
    </row>
    <row r="60" customFormat="false" ht="15" hidden="false" customHeight="true" outlineLevel="0" collapsed="false">
      <c r="A60" s="44"/>
      <c r="B60" s="45"/>
      <c r="C60" s="46"/>
      <c r="D60" s="47"/>
      <c r="Q60" s="36" t="str">
        <f aca="false" t="array" ref="Q60:Q60">IFERROR(INDEX($AJ$2:$AJ$599,MATCH(1,($AK$2:$AK$599=R60)*(COUNTIF($Q$3:$Q59,$AJ$2:$AJ$599)=0)*($AJ$2:$AJ$599&lt;&gt;""),0)),"")</f>
        <v>Initial Organization Understanding</v>
      </c>
      <c r="R60" s="34" t="n">
        <f aca="false">IFERROR(LARGE($AK$2:$AK$599,58),"")</f>
        <v>7</v>
      </c>
      <c r="S60" s="37" t="n">
        <f aca="false">IF(Q60="","",IFERROR(R60/$B$3,0))</f>
        <v>0.014</v>
      </c>
      <c r="T60" s="38" t="str">
        <f aca="false" t="array" ref="T60:T60">IF(Q60="","",IFERROR(INDEX(SummaryData[Engagement Type],MATCH(TRIM(Q60),TRIM(SummaryData[Statement]),0)),""))</f>
        <v>Location-Mixed</v>
      </c>
      <c r="AJ60" s="17" t="str">
        <f aca="false">IF(Data_Summary!Y61&lt;&gt;"Coverage","",IF(Data_Summary!AA61="","",IF(COUNTIFS(Data_Summary!$Y$2:$Y61,"Coverage",Data_Summary!$AA$2:$AA61,Data_Summary!AA61)=1,Data_Summary!AA61,"")))</f>
        <v/>
      </c>
      <c r="AK60" s="17" t="str">
        <f aca="false">IF(AJ60="","",COUNTIFS(Data_Summary!$Y$2:$Y$20001,"Coverage",Data_Summary!$AA$2:$AA$20001,AJ60))</f>
        <v/>
      </c>
      <c r="AM60" s="17" t="str">
        <f aca="false">IF(Data_Insight!X60="","",IF(COUNTIF(Data_Insight!$X$2:$X60,Data_Insight!X60)=1,Data_Insight!X60,""))</f>
        <v/>
      </c>
      <c r="AN60" s="17" t="str">
        <f aca="false">IF(AM60="","",COUNTIF(Data_Insight!$X$2:$X$20001,AM60))</f>
        <v/>
      </c>
    </row>
    <row r="61" customFormat="false" ht="15" hidden="false" customHeight="true" outlineLevel="0" collapsed="false">
      <c r="A61" s="44"/>
      <c r="B61" s="45"/>
      <c r="C61" s="46"/>
      <c r="D61" s="47"/>
      <c r="Q61" s="48" t="str">
        <f aca="false" t="array" ref="Q61:Q61">IFERROR(INDEX($AJ$2:$AJ$599,MATCH(1,($AK$2:$AK$599=R61)*(COUNTIF($Q$3:$Q60,$AJ$2:$AJ$599)=0)*($AJ$2:$AJ$599&lt;&gt;""),0)),"")</f>
        <v>Infrastructure / Workplace Enablement</v>
      </c>
      <c r="R61" s="49" t="n">
        <f aca="false">IFERROR(LARGE($AK$2:$AK$599,59),"")</f>
        <v>7</v>
      </c>
      <c r="S61" s="49" t="n">
        <f aca="false">IF(Q61="","",IFERROR(R61/$B$3,0))</f>
        <v>0.014</v>
      </c>
      <c r="T61" s="49" t="str">
        <f aca="false" t="array" ref="T61:T61">IF(Q61="","",IFERROR(INDEX(SummaryData[Engagement Type],MATCH(TRIM(Q61),TRIM(SummaryData[Statement]),0)),""))</f>
        <v>1:1</v>
      </c>
      <c r="AJ61" s="17" t="str">
        <f aca="false">IF(Data_Summary!Y62&lt;&gt;"Coverage","",IF(Data_Summary!AA62="","",IF(COUNTIFS(Data_Summary!$Y$2:$Y62,"Coverage",Data_Summary!$AA$2:$AA62,Data_Summary!AA62)=1,Data_Summary!AA62,"")))</f>
        <v/>
      </c>
      <c r="AK61" s="17" t="str">
        <f aca="false">IF(AJ61="","",COUNTIFS(Data_Summary!$Y$2:$Y$20001,"Coverage",Data_Summary!$AA$2:$AA$20001,AJ61))</f>
        <v/>
      </c>
      <c r="AM61" s="17" t="str">
        <f aca="false">IF(Data_Insight!X61="","",IF(COUNTIF(Data_Insight!$X$2:$X61,Data_Insight!X61)=1,Data_Insight!X61,""))</f>
        <v/>
      </c>
      <c r="AN61" s="17" t="str">
        <f aca="false">IF(AM61="","",COUNTIF(Data_Insight!$X$2:$X$20001,AM61))</f>
        <v/>
      </c>
    </row>
    <row r="62" customFormat="false" ht="15" hidden="false" customHeight="true" outlineLevel="0" collapsed="false">
      <c r="A62" s="44"/>
      <c r="B62" s="45"/>
      <c r="C62" s="46"/>
      <c r="D62" s="47"/>
      <c r="Q62" s="49" t="str">
        <f aca="false" t="array" ref="Q62:Q62">IFERROR(INDEX($AJ$2:$AJ$599,MATCH(1,($AK$2:$AK$599=R62)*(COUNTIF($Q$3:$Q61,$AJ$2:$AJ$599)=0)*($AJ$2:$AJ$599&lt;&gt;""),0)),"")</f>
        <v>Monthly Cadence IBU Head coverage on HC, Attrition, eltp and Bench</v>
      </c>
      <c r="R62" s="49" t="n">
        <f aca="false">IFERROR(LARGE($AK$2:$AK$599,60),"")</f>
        <v>7</v>
      </c>
      <c r="S62" s="49" t="n">
        <f aca="false">IF(Q62="","",IFERROR(R62/$B$3,0))</f>
        <v>0.014</v>
      </c>
      <c r="T62" s="49" t="str">
        <f aca="false" t="array" ref="T62:T62">IF(Q62="","",IFERROR(INDEX(SummaryData[Engagement Type],MATCH(TRIM(Q62),TRIM(SummaryData[Statement]),0)),""))</f>
        <v>Workshop/Session</v>
      </c>
      <c r="AJ62" s="17" t="str">
        <f aca="false">IF(Data_Summary!Y63&lt;&gt;"Coverage","",IF(Data_Summary!AA63="","",IF(COUNTIFS(Data_Summary!$Y$2:$Y63,"Coverage",Data_Summary!$AA$2:$AA63,Data_Summary!AA63)=1,Data_Summary!AA63,"")))</f>
        <v/>
      </c>
      <c r="AK62" s="17" t="str">
        <f aca="false">IF(AJ62="","",COUNTIFS(Data_Summary!$Y$2:$Y$20001,"Coverage",Data_Summary!$AA$2:$AA$20001,AJ62))</f>
        <v/>
      </c>
      <c r="AM62" s="17" t="str">
        <f aca="false">IF(Data_Insight!X62="","",IF(COUNTIF(Data_Insight!$X$2:$X62,Data_Insight!X62)=1,Data_Insight!X62,""))</f>
        <v/>
      </c>
      <c r="AN62" s="17" t="str">
        <f aca="false">IF(AM62="","",COUNTIF(Data_Insight!$X$2:$X$20001,AM62))</f>
        <v/>
      </c>
    </row>
    <row r="63" customFormat="false" ht="15" hidden="false" customHeight="true" outlineLevel="0" collapsed="false">
      <c r="A63" s="44"/>
      <c r="B63" s="45"/>
      <c r="C63" s="46"/>
      <c r="D63" s="47"/>
      <c r="AJ63" s="17" t="str">
        <f aca="false">IF(Data_Summary!Y64&lt;&gt;"Coverage","",IF(Data_Summary!AA64="","",IF(COUNTIFS(Data_Summary!$Y$2:$Y64,"Coverage",Data_Summary!$AA$2:$AA64,Data_Summary!AA64)=1,Data_Summary!AA64,"")))</f>
        <v>Role Expectation Clarity</v>
      </c>
      <c r="AK63" s="17" t="n">
        <f aca="false">IF(AJ63="","",COUNTIFS(Data_Summary!$Y$2:$Y$20001,"Coverage",Data_Summary!$AA$2:$AA$20001,AJ63))</f>
        <v>9</v>
      </c>
      <c r="AM63" s="17" t="str">
        <f aca="false">IF(Data_Insight!X63="","",IF(COUNTIF(Data_Insight!$X$2:$X63,Data_Insight!X63)=1,Data_Insight!X63,""))</f>
        <v/>
      </c>
      <c r="AN63" s="17" t="str">
        <f aca="false">IF(AM63="","",COUNTIF(Data_Insight!$X$2:$X$20001,AM63))</f>
        <v/>
      </c>
    </row>
    <row r="64" customFormat="false" ht="15" hidden="false" customHeight="true" outlineLevel="0" collapsed="false">
      <c r="A64" s="44"/>
      <c r="B64" s="45"/>
      <c r="C64" s="46"/>
      <c r="D64" s="47"/>
      <c r="AJ64" s="17" t="str">
        <f aca="false">IF(Data_Summary!Y65&lt;&gt;"Coverage","",IF(Data_Summary!AA65="","",IF(COUNTIFS(Data_Summary!$Y$2:$Y65,"Coverage",Data_Summary!$AA$2:$AA65,Data_Summary!AA65)=1,Data_Summary!AA65,"")))</f>
        <v>Initial Engagement Level</v>
      </c>
      <c r="AK64" s="17" t="n">
        <f aca="false">IF(AJ64="","",COUNTIFS(Data_Summary!$Y$2:$Y$20001,"Coverage",Data_Summary!$AA$2:$AA$20001,AJ64))</f>
        <v>11</v>
      </c>
      <c r="AM64" s="17" t="str">
        <f aca="false">IF(Data_Insight!X64="","",IF(COUNTIF(Data_Insight!$X$2:$X64,Data_Insight!X64)=1,Data_Insight!X64,""))</f>
        <v/>
      </c>
      <c r="AN64" s="17" t="str">
        <f aca="false">IF(AM64="","",COUNTIF(Data_Insight!$X$2:$X$20001,AM64))</f>
        <v/>
      </c>
    </row>
    <row r="65" customFormat="false" ht="15" hidden="false" customHeight="true" outlineLevel="0" collapsed="false">
      <c r="A65" s="44"/>
      <c r="B65" s="45"/>
      <c r="C65" s="46"/>
      <c r="D65" s="47"/>
      <c r="AJ65" s="17" t="str">
        <f aca="false">IF(Data_Summary!Y66&lt;&gt;"Coverage","",IF(Data_Summary!AA66="","",IF(COUNTIFS(Data_Summary!$Y$2:$Y66,"Coverage",Data_Summary!$AA$2:$AA66,Data_Summary!AA66)=1,Data_Summary!AA66,"")))</f>
        <v/>
      </c>
      <c r="AK65" s="17" t="str">
        <f aca="false">IF(AJ65="","",COUNTIFS(Data_Summary!$Y$2:$Y$20001,"Coverage",Data_Summary!$AA$2:$AA$20001,AJ65))</f>
        <v/>
      </c>
      <c r="AM65" s="17" t="str">
        <f aca="false">IF(Data_Insight!X65="","",IF(COUNTIF(Data_Insight!$X$2:$X65,Data_Insight!X65)=1,Data_Insight!X65,""))</f>
        <v/>
      </c>
      <c r="AN65" s="17" t="str">
        <f aca="false">IF(AM65="","",COUNTIF(Data_Insight!$X$2:$X$20001,AM65))</f>
        <v/>
      </c>
    </row>
    <row r="66" customFormat="false" ht="15" hidden="false" customHeight="true" outlineLevel="0" collapsed="false">
      <c r="A66" s="44"/>
      <c r="B66" s="45"/>
      <c r="C66" s="46"/>
      <c r="D66" s="47"/>
      <c r="AJ66" s="17" t="str">
        <f aca="false">IF(Data_Summary!Y67&lt;&gt;"Coverage","",IF(Data_Summary!AA67="","",IF(COUNTIFS(Data_Summary!$Y$2:$Y67,"Coverage",Data_Summary!$AA$2:$AA67,Data_Summary!AA67)=1,Data_Summary!AA67,"")))</f>
        <v/>
      </c>
      <c r="AK66" s="17" t="str">
        <f aca="false">IF(AJ66="","",COUNTIFS(Data_Summary!$Y$2:$Y$20001,"Coverage",Data_Summary!$AA$2:$AA$20001,AJ66))</f>
        <v/>
      </c>
      <c r="AM66" s="17" t="str">
        <f aca="false">IF(Data_Insight!X66="","",IF(COUNTIF(Data_Insight!$X$2:$X66,Data_Insight!X66)=1,Data_Insight!X66,""))</f>
        <v/>
      </c>
      <c r="AN66" s="17" t="str">
        <f aca="false">IF(AM66="","",COUNTIF(Data_Insight!$X$2:$X$20001,AM66))</f>
        <v/>
      </c>
    </row>
    <row r="67" customFormat="false" ht="15" hidden="false" customHeight="true" outlineLevel="0" collapsed="false">
      <c r="A67" s="44"/>
      <c r="B67" s="45"/>
      <c r="C67" s="46"/>
      <c r="D67" s="47"/>
      <c r="AJ67" s="17" t="str">
        <f aca="false">IF(Data_Summary!Y68&lt;&gt;"Coverage","",IF(Data_Summary!AA68="","",IF(COUNTIFS(Data_Summary!$Y$2:$Y68,"Coverage",Data_Summary!$AA$2:$AA68,Data_Summary!AA68)=1,Data_Summary!AA68,"")))</f>
        <v/>
      </c>
      <c r="AK67" s="17" t="str">
        <f aca="false">IF(AJ67="","",COUNTIFS(Data_Summary!$Y$2:$Y$20001,"Coverage",Data_Summary!$AA$2:$AA$20001,AJ67))</f>
        <v/>
      </c>
      <c r="AM67" s="17" t="str">
        <f aca="false">IF(Data_Insight!X67="","",IF(COUNTIF(Data_Insight!$X$2:$X67,Data_Insight!X67)=1,Data_Insight!X67,""))</f>
        <v/>
      </c>
      <c r="AN67" s="17" t="str">
        <f aca="false">IF(AM67="","",COUNTIF(Data_Insight!$X$2:$X$20001,AM67))</f>
        <v/>
      </c>
    </row>
    <row r="68" customFormat="false" ht="15" hidden="false" customHeight="true" outlineLevel="0" collapsed="false">
      <c r="A68" s="44"/>
      <c r="B68" s="45"/>
      <c r="C68" s="46"/>
      <c r="D68" s="47"/>
      <c r="AJ68" s="17" t="str">
        <f aca="false">IF(Data_Summary!Y69&lt;&gt;"Coverage","",IF(Data_Summary!AA69="","",IF(COUNTIFS(Data_Summary!$Y$2:$Y69,"Coverage",Data_Summary!$AA$2:$AA69,Data_Summary!AA69)=1,Data_Summary!AA69,"")))</f>
        <v/>
      </c>
      <c r="AK68" s="17" t="str">
        <f aca="false">IF(AJ68="","",COUNTIFS(Data_Summary!$Y$2:$Y$20001,"Coverage",Data_Summary!$AA$2:$AA$20001,AJ68))</f>
        <v/>
      </c>
      <c r="AM68" s="17" t="str">
        <f aca="false">IF(Data_Insight!X68="","",IF(COUNTIF(Data_Insight!$X$2:$X68,Data_Insight!X68)=1,Data_Insight!X68,""))</f>
        <v>Wellness Session</v>
      </c>
      <c r="AN68" s="17" t="n">
        <f aca="false">IF(AM68="","",COUNTIF(Data_Insight!$X$2:$X$20001,AM68))</f>
        <v>3</v>
      </c>
    </row>
    <row r="69" customFormat="false" ht="15" hidden="false" customHeight="true" outlineLevel="0" collapsed="false">
      <c r="A69" s="44"/>
      <c r="B69" s="45"/>
      <c r="C69" s="46"/>
      <c r="D69" s="47"/>
      <c r="AJ69" s="17" t="str">
        <f aca="false">IF(Data_Summary!Y70&lt;&gt;"Coverage","",IF(Data_Summary!AA70="","",IF(COUNTIFS(Data_Summary!$Y$2:$Y70,"Coverage",Data_Summary!$AA$2:$AA70,Data_Summary!AA70)=1,Data_Summary!AA70,"")))</f>
        <v>Learning &amp; Skill Building</v>
      </c>
      <c r="AK69" s="17" t="n">
        <f aca="false">IF(AJ69="","",COUNTIFS(Data_Summary!$Y$2:$Y$20001,"Coverage",Data_Summary!$AA$2:$AA$20001,AJ69))</f>
        <v>7</v>
      </c>
      <c r="AM69" s="17" t="str">
        <f aca="false">IF(Data_Insight!X69="","",IF(COUNTIF(Data_Insight!$X$2:$X69,Data_Insight!X69)=1,Data_Insight!X69,""))</f>
        <v/>
      </c>
      <c r="AN69" s="17" t="str">
        <f aca="false">IF(AM69="","",COUNTIF(Data_Insight!$X$2:$X$20001,AM69))</f>
        <v/>
      </c>
    </row>
    <row r="70" customFormat="false" ht="15" hidden="false" customHeight="true" outlineLevel="0" collapsed="false">
      <c r="A70" s="44"/>
      <c r="B70" s="45"/>
      <c r="C70" s="46"/>
      <c r="D70" s="47"/>
      <c r="AJ70" s="17" t="str">
        <f aca="false">IF(Data_Summary!Y71&lt;&gt;"Coverage","",IF(Data_Summary!AA71="","",IF(COUNTIFS(Data_Summary!$Y$2:$Y71,"Coverage",Data_Summary!$AA$2:$AA71,Data_Summary!AA71)=1,Data_Summary!AA71,"")))</f>
        <v/>
      </c>
      <c r="AK70" s="17" t="str">
        <f aca="false">IF(AJ70="","",COUNTIFS(Data_Summary!$Y$2:$Y$20001,"Coverage",Data_Summary!$AA$2:$AA$20001,AJ70))</f>
        <v/>
      </c>
      <c r="AM70" s="17" t="str">
        <f aca="false">IF(Data_Insight!X70="","",IF(COUNTIF(Data_Insight!$X$2:$X70,Data_Insight!X70)=1,Data_Insight!X70,""))</f>
        <v/>
      </c>
      <c r="AN70" s="17" t="str">
        <f aca="false">IF(AM70="","",COUNTIF(Data_Insight!$X$2:$X$20001,AM70))</f>
        <v/>
      </c>
    </row>
    <row r="71" customFormat="false" ht="15" hidden="false" customHeight="true" outlineLevel="0" collapsed="false">
      <c r="A71" s="44"/>
      <c r="B71" s="45"/>
      <c r="C71" s="46"/>
      <c r="D71" s="47"/>
      <c r="AJ71" s="17" t="str">
        <f aca="false">IF(Data_Summary!Y72&lt;&gt;"Coverage","",IF(Data_Summary!AA72="","",IF(COUNTIFS(Data_Summary!$Y$2:$Y72,"Coverage",Data_Summary!$AA$2:$AA72,Data_Summary!AA72)=1,Data_Summary!AA72,"")))</f>
        <v>Inclusive Team Practices</v>
      </c>
      <c r="AK71" s="17" t="n">
        <f aca="false">IF(AJ71="","",COUNTIFS(Data_Summary!$Y$2:$Y$20001,"Coverage",Data_Summary!$AA$2:$AA$20001,AJ71))</f>
        <v>7</v>
      </c>
      <c r="AM71" s="17" t="str">
        <f aca="false">IF(Data_Insight!X71="","",IF(COUNTIF(Data_Insight!$X$2:$X71,Data_Insight!X71)=1,Data_Insight!X71,""))</f>
        <v/>
      </c>
      <c r="AN71" s="17" t="str">
        <f aca="false">IF(AM71="","",COUNTIF(Data_Insight!$X$2:$X$20001,AM71))</f>
        <v/>
      </c>
    </row>
    <row r="72" customFormat="false" ht="15" hidden="false" customHeight="true" outlineLevel="0" collapsed="false">
      <c r="A72" s="44"/>
      <c r="B72" s="45"/>
      <c r="C72" s="46"/>
      <c r="D72" s="47"/>
      <c r="AJ72" s="17" t="str">
        <f aca="false">IF(Data_Summary!Y73&lt;&gt;"Coverage","",IF(Data_Summary!AA73="","",IF(COUNTIFS(Data_Summary!$Y$2:$Y73,"Coverage",Data_Summary!$AA$2:$AA73,Data_Summary!AA73)=1,Data_Summary!AA73,"")))</f>
        <v/>
      </c>
      <c r="AK72" s="17" t="str">
        <f aca="false">IF(AJ72="","",COUNTIFS(Data_Summary!$Y$2:$Y$20001,"Coverage",Data_Summary!$AA$2:$AA$20001,AJ72))</f>
        <v/>
      </c>
      <c r="AM72" s="17" t="str">
        <f aca="false">IF(Data_Insight!X72="","",IF(COUNTIF(Data_Insight!$X$2:$X72,Data_Insight!X72)=1,Data_Insight!X72,""))</f>
        <v>New Joiner Connect (7 Days)</v>
      </c>
      <c r="AN72" s="17" t="n">
        <f aca="false">IF(AM72="","",COUNTIF(Data_Insight!$X$2:$X$20001,AM72))</f>
        <v>28</v>
      </c>
    </row>
    <row r="73" customFormat="false" ht="15" hidden="false" customHeight="true" outlineLevel="0" collapsed="false">
      <c r="A73" s="44"/>
      <c r="B73" s="45"/>
      <c r="C73" s="46"/>
      <c r="D73" s="47"/>
      <c r="AJ73" s="17" t="str">
        <f aca="false">IF(Data_Summary!Y74&lt;&gt;"Coverage","",IF(Data_Summary!AA74="","",IF(COUNTIFS(Data_Summary!$Y$2:$Y74,"Coverage",Data_Summary!$AA$2:$AA74,Data_Summary!AA74)=1,Data_Summary!AA74,"")))</f>
        <v/>
      </c>
      <c r="AK73" s="17" t="str">
        <f aca="false">IF(AJ73="","",COUNTIFS(Data_Summary!$Y$2:$Y$20001,"Coverage",Data_Summary!$AA$2:$AA$20001,AJ73))</f>
        <v/>
      </c>
      <c r="AM73" s="17" t="str">
        <f aca="false">IF(Data_Insight!X73="","",IF(COUNTIF(Data_Insight!$X$2:$X73,Data_Insight!X73)=1,Data_Insight!X73,""))</f>
        <v/>
      </c>
      <c r="AN73" s="17" t="str">
        <f aca="false">IF(AM73="","",COUNTIF(Data_Insight!$X$2:$X$20001,AM73))</f>
        <v/>
      </c>
    </row>
    <row r="74" customFormat="false" ht="12.75" hidden="false" customHeight="true" outlineLevel="0" collapsed="false">
      <c r="A74" s="50"/>
      <c r="B74" s="45"/>
      <c r="C74" s="51"/>
      <c r="D74" s="52"/>
      <c r="AJ74" s="17" t="str">
        <f aca="false">IF(Data_Summary!Y75&lt;&gt;"Coverage","",IF(Data_Summary!AA75="","",IF(COUNTIFS(Data_Summary!$Y$2:$Y75,"Coverage",Data_Summary!$AA$2:$AA75,Data_Summary!AA75)=1,Data_Summary!AA75,"")))</f>
        <v/>
      </c>
      <c r="AK74" s="17" t="str">
        <f aca="false">IF(AJ74="","",COUNTIFS(Data_Summary!$Y$2:$Y$20001,"Coverage",Data_Summary!$AA$2:$AA$20001,AJ74))</f>
        <v/>
      </c>
      <c r="AM74" s="17" t="str">
        <f aca="false">IF(Data_Insight!X74="","",IF(COUNTIF(Data_Insight!$X$2:$X74,Data_Insight!X74)=1,Data_Insight!X74,""))</f>
        <v/>
      </c>
      <c r="AN74" s="17" t="str">
        <f aca="false">IF(AM74="","",COUNTIF(Data_Insight!$X$2:$X$20001,AM74))</f>
        <v/>
      </c>
    </row>
    <row r="75" customFormat="false" ht="15.75" hidden="false" customHeight="true" outlineLevel="0" collapsed="false">
      <c r="A75" s="50"/>
      <c r="B75" s="46"/>
      <c r="C75" s="50"/>
      <c r="D75" s="53"/>
      <c r="AJ75" s="17" t="str">
        <f aca="false">IF(Data_Summary!Y76&lt;&gt;"Coverage","",IF(Data_Summary!AA76="","",IF(COUNTIFS(Data_Summary!$Y$2:$Y76,"Coverage",Data_Summary!$AA$2:$AA76,Data_Summary!AA76)=1,Data_Summary!AA76,"")))</f>
        <v>HR / WFM / Training Communication Effectiveness</v>
      </c>
      <c r="AK75" s="17" t="n">
        <f aca="false">IF(AJ75="","",COUNTIFS(Data_Summary!$Y$2:$Y$20001,"Coverage",Data_Summary!$AA$2:$AA$20001,AJ75))</f>
        <v>16</v>
      </c>
      <c r="AM75" s="17" t="str">
        <f aca="false">IF(Data_Insight!X75="","",IF(COUNTIF(Data_Insight!$X$2:$X75,Data_Insight!X75)=1,Data_Insight!X75,""))</f>
        <v/>
      </c>
      <c r="AN75" s="17" t="str">
        <f aca="false">IF(AM75="","",COUNTIF(Data_Insight!$X$2:$X$20001,AM75))</f>
        <v/>
      </c>
    </row>
    <row r="76" customFormat="false" ht="13.5" hidden="false" customHeight="true" outlineLevel="0" collapsed="false">
      <c r="AJ76" s="17" t="str">
        <f aca="false">IF(Data_Summary!Y77&lt;&gt;"Coverage","",IF(Data_Summary!AA77="","",IF(COUNTIFS(Data_Summary!$Y$2:$Y77,"Coverage",Data_Summary!$AA$2:$AA77,Data_Summary!AA77)=1,Data_Summary!AA77,"")))</f>
        <v/>
      </c>
      <c r="AK76" s="17" t="str">
        <f aca="false">IF(AJ76="","",COUNTIFS(Data_Summary!$Y$2:$Y$20001,"Coverage",Data_Summary!$AA$2:$AA$20001,AJ76))</f>
        <v/>
      </c>
      <c r="AM76" s="17" t="str">
        <f aca="false">IF(Data_Insight!X76="","",IF(COUNTIF(Data_Insight!$X$2:$X76,Data_Insight!X76)=1,Data_Insight!X76,""))</f>
        <v/>
      </c>
      <c r="AN76" s="17" t="str">
        <f aca="false">IF(AM76="","",COUNTIF(Data_Insight!$X$2:$X$20001,AM76))</f>
        <v/>
      </c>
    </row>
    <row r="77" customFormat="false" ht="15" hidden="false" customHeight="true" outlineLevel="0" collapsed="false">
      <c r="AJ77" s="17" t="str">
        <f aca="false">IF(Data_Summary!Y78&lt;&gt;"Coverage","",IF(Data_Summary!AA78="","",IF(COUNTIFS(Data_Summary!$Y$2:$Y78,"Coverage",Data_Summary!$AA$2:$AA78,Data_Summary!AA78)=1,Data_Summary!AA78,"")))</f>
        <v/>
      </c>
      <c r="AK77" s="17" t="str">
        <f aca="false">IF(AJ77="","",COUNTIFS(Data_Summary!$Y$2:$Y$20001,"Coverage",Data_Summary!$AA$2:$AA$20001,AJ77))</f>
        <v/>
      </c>
      <c r="AM77" s="17" t="str">
        <f aca="false">IF(Data_Insight!X77="","",IF(COUNTIF(Data_Insight!$X$2:$X77,Data_Insight!X77)=1,Data_Insight!X77,""))</f>
        <v/>
      </c>
      <c r="AN77" s="17" t="str">
        <f aca="false">IF(AM77="","",COUNTIF(Data_Insight!$X$2:$X$20001,AM77))</f>
        <v/>
      </c>
    </row>
    <row r="78" customFormat="false" ht="15" hidden="false" customHeight="true" outlineLevel="0" collapsed="false">
      <c r="AJ78" s="17" t="str">
        <f aca="false">IF(Data_Summary!Y79&lt;&gt;"Coverage","",IF(Data_Summary!AA79="","",IF(COUNTIFS(Data_Summary!$Y$2:$Y79,"Coverage",Data_Summary!$AA$2:$AA79,Data_Summary!AA79)=1,Data_Summary!AA79,"")))</f>
        <v/>
      </c>
      <c r="AK78" s="17" t="str">
        <f aca="false">IF(AJ78="","",COUNTIFS(Data_Summary!$Y$2:$Y$20001,"Coverage",Data_Summary!$AA$2:$AA$20001,AJ78))</f>
        <v/>
      </c>
      <c r="AM78" s="17" t="str">
        <f aca="false">IF(Data_Insight!X78="","",IF(COUNTIF(Data_Insight!$X$2:$X78,Data_Insight!X78)=1,Data_Insight!X78,""))</f>
        <v/>
      </c>
      <c r="AN78" s="17" t="str">
        <f aca="false">IF(AM78="","",COUNTIF(Data_Insight!$X$2:$X$20001,AM78))</f>
        <v/>
      </c>
    </row>
    <row r="79" customFormat="false" ht="15" hidden="false" customHeight="true" outlineLevel="0" collapsed="false">
      <c r="AJ79" s="17" t="str">
        <f aca="false">IF(Data_Summary!Y80&lt;&gt;"Coverage","",IF(Data_Summary!AA80="","",IF(COUNTIFS(Data_Summary!$Y$2:$Y80,"Coverage",Data_Summary!$AA$2:$AA80,Data_Summary!AA80)=1,Data_Summary!AA80,"")))</f>
        <v/>
      </c>
      <c r="AK79" s="17" t="str">
        <f aca="false">IF(AJ79="","",COUNTIFS(Data_Summary!$Y$2:$Y$20001,"Coverage",Data_Summary!$AA$2:$AA$20001,AJ79))</f>
        <v/>
      </c>
      <c r="AM79" s="17" t="str">
        <f aca="false">IF(Data_Insight!X79="","",IF(COUNTIF(Data_Insight!$X$2:$X79,Data_Insight!X79)=1,Data_Insight!X79,""))</f>
        <v/>
      </c>
      <c r="AN79" s="17" t="str">
        <f aca="false">IF(AM79="","",COUNTIF(Data_Insight!$X$2:$X$20001,AM79))</f>
        <v/>
      </c>
    </row>
    <row r="80" customFormat="false" ht="15" hidden="false" customHeight="true" outlineLevel="0" collapsed="false">
      <c r="AJ80" s="17" t="str">
        <f aca="false">IF(Data_Summary!Y81&lt;&gt;"Coverage","",IF(Data_Summary!AA81="","",IF(COUNTIFS(Data_Summary!$Y$2:$Y81,"Coverage",Data_Summary!$AA$2:$AA81,Data_Summary!AA81)=1,Data_Summary!AA81,"")))</f>
        <v>Timesheet Submission/approval Process Inconsistencies Create</v>
      </c>
      <c r="AK80" s="17" t="n">
        <f aca="false">IF(AJ80="","",COUNTIFS(Data_Summary!$Y$2:$Y$20001,"Coverage",Data_Summary!$AA$2:$AA$20001,AJ80))</f>
        <v>7</v>
      </c>
      <c r="AM80" s="17" t="str">
        <f aca="false">IF(Data_Insight!X80="","",IF(COUNTIF(Data_Insight!$X$2:$X80,Data_Insight!X80)=1,Data_Insight!X80,""))</f>
        <v/>
      </c>
      <c r="AN80" s="17" t="str">
        <f aca="false">IF(AM80="","",COUNTIF(Data_Insight!$X$2:$X$20001,AM80))</f>
        <v/>
      </c>
    </row>
    <row r="81" customFormat="false" ht="15" hidden="false" customHeight="true" outlineLevel="0" collapsed="false">
      <c r="AJ81" s="17" t="str">
        <f aca="false">IF(Data_Summary!Y82&lt;&gt;"Coverage","",IF(Data_Summary!AA82="","",IF(COUNTIFS(Data_Summary!$Y$2:$Y82,"Coverage",Data_Summary!$AA$2:$AA82,Data_Summary!AA82)=1,Data_Summary!AA82,"")))</f>
        <v>Workload &amp; Work-Life Balance</v>
      </c>
      <c r="AK81" s="17" t="n">
        <f aca="false">IF(AJ81="","",COUNTIFS(Data_Summary!$Y$2:$Y$20001,"Coverage",Data_Summary!$AA$2:$AA$20001,AJ81))</f>
        <v>14</v>
      </c>
      <c r="AM81" s="17" t="str">
        <f aca="false">IF(Data_Insight!X81="","",IF(COUNTIF(Data_Insight!$X$2:$X81,Data_Insight!X81)=1,Data_Insight!X81,""))</f>
        <v/>
      </c>
      <c r="AN81" s="17" t="str">
        <f aca="false">IF(AM81="","",COUNTIF(Data_Insight!$X$2:$X$20001,AM81))</f>
        <v/>
      </c>
    </row>
    <row r="82" customFormat="false" ht="15" hidden="false" customHeight="true" outlineLevel="0" collapsed="false">
      <c r="AJ82" s="17" t="str">
        <f aca="false">IF(Data_Summary!Y83&lt;&gt;"Coverage","",IF(Data_Summary!AA83="","",IF(COUNTIFS(Data_Summary!$Y$2:$Y83,"Coverage",Data_Summary!$AA$2:$AA83,Data_Summary!AA83)=1,Data_Summary!AA83,"")))</f>
        <v>Manager Support &amp; Local Leadership Effectiveness</v>
      </c>
      <c r="AK82" s="17" t="n">
        <f aca="false">IF(AJ82="","",COUNTIFS(Data_Summary!$Y$2:$Y$20001,"Coverage",Data_Summary!$AA$2:$AA$20001,AJ82))</f>
        <v>11</v>
      </c>
      <c r="AM82" s="17" t="str">
        <f aca="false">IF(Data_Insight!X82="","",IF(COUNTIF(Data_Insight!$X$2:$X82,Data_Insight!X82)=1,Data_Insight!X82,""))</f>
        <v/>
      </c>
      <c r="AN82" s="17" t="str">
        <f aca="false">IF(AM82="","",COUNTIF(Data_Insight!$X$2:$X$20001,AM82))</f>
        <v/>
      </c>
    </row>
    <row r="83" customFormat="false" ht="15" hidden="false" customHeight="true" outlineLevel="0" collapsed="false">
      <c r="AJ83" s="17" t="str">
        <f aca="false">IF(Data_Summary!Y84&lt;&gt;"Coverage","",IF(Data_Summary!AA84="","",IF(COUNTIFS(Data_Summary!$Y$2:$Y84,"Coverage",Data_Summary!$AA$2:$AA84,Data_Summary!AA84)=1,Data_Summary!AA84,"")))</f>
        <v/>
      </c>
      <c r="AK83" s="17" t="str">
        <f aca="false">IF(AJ83="","",COUNTIFS(Data_Summary!$Y$2:$Y$20001,"Coverage",Data_Summary!$AA$2:$AA$20001,AJ83))</f>
        <v/>
      </c>
      <c r="AM83" s="17" t="str">
        <f aca="false">IF(Data_Insight!X83="","",IF(COUNTIF(Data_Insight!$X$2:$X83,Data_Insight!X83)=1,Data_Insight!X83,""))</f>
        <v/>
      </c>
      <c r="AN83" s="17" t="str">
        <f aca="false">IF(AM83="","",COUNTIF(Data_Insight!$X$2:$X$20001,AM83))</f>
        <v/>
      </c>
    </row>
    <row r="84" customFormat="false" ht="15" hidden="false" customHeight="true" outlineLevel="0" collapsed="false">
      <c r="AJ84" s="17" t="str">
        <f aca="false">IF(Data_Summary!Y85&lt;&gt;"Coverage","",IF(Data_Summary!AA85="","",IF(COUNTIFS(Data_Summary!$Y$2:$Y85,"Coverage",Data_Summary!$AA$2:$AA85,Data_Summary!AA85)=1,Data_Summary!AA85,"")))</f>
        <v/>
      </c>
      <c r="AK84" s="17" t="str">
        <f aca="false">IF(AJ84="","",COUNTIFS(Data_Summary!$Y$2:$Y$20001,"Coverage",Data_Summary!$AA$2:$AA$20001,AJ84))</f>
        <v/>
      </c>
      <c r="AM84" s="17" t="str">
        <f aca="false">IF(Data_Insight!X84="","",IF(COUNTIF(Data_Insight!$X$2:$X84,Data_Insight!X84)=1,Data_Insight!X84,""))</f>
        <v/>
      </c>
      <c r="AN84" s="17" t="str">
        <f aca="false">IF(AM84="","",COUNTIF(Data_Insight!$X$2:$X$20001,AM84))</f>
        <v/>
      </c>
    </row>
    <row r="85" customFormat="false" ht="15" hidden="false" customHeight="true" outlineLevel="0" collapsed="false">
      <c r="AJ85" s="17" t="str">
        <f aca="false">IF(Data_Summary!Y86&lt;&gt;"Coverage","",IF(Data_Summary!AA86="","",IF(COUNTIFS(Data_Summary!$Y$2:$Y86,"Coverage",Data_Summary!$AA$2:$AA86,Data_Summary!AA86)=1,Data_Summary!AA86,"")))</f>
        <v/>
      </c>
      <c r="AK85" s="17" t="str">
        <f aca="false">IF(AJ85="","",COUNTIFS(Data_Summary!$Y$2:$Y$20001,"Coverage",Data_Summary!$AA$2:$AA$20001,AJ85))</f>
        <v/>
      </c>
      <c r="AM85" s="17" t="str">
        <f aca="false">IF(Data_Insight!X85="","",IF(COUNTIF(Data_Insight!$X$2:$X85,Data_Insight!X85)=1,Data_Insight!X85,""))</f>
        <v/>
      </c>
      <c r="AN85" s="17" t="str">
        <f aca="false">IF(AM85="","",COUNTIF(Data_Insight!$X$2:$X$20001,AM85))</f>
        <v/>
      </c>
    </row>
    <row r="86" customFormat="false" ht="15" hidden="false" customHeight="true" outlineLevel="0" collapsed="false">
      <c r="AJ86" s="17" t="str">
        <f aca="false">IF(Data_Summary!Y87&lt;&gt;"Coverage","",IF(Data_Summary!AA87="","",IF(COUNTIFS(Data_Summary!$Y$2:$Y87,"Coverage",Data_Summary!$AA$2:$AA87,Data_Summary!AA87)=1,Data_Summary!AA87,"")))</f>
        <v>Internal Mobility / Rotation Opportunities</v>
      </c>
      <c r="AK86" s="17" t="n">
        <f aca="false">IF(AJ86="","",COUNTIFS(Data_Summary!$Y$2:$Y$20001,"Coverage",Data_Summary!$AA$2:$AA$20001,AJ86))</f>
        <v>11</v>
      </c>
      <c r="AM86" s="17" t="str">
        <f aca="false">IF(Data_Insight!X86="","",IF(COUNTIF(Data_Insight!$X$2:$X86,Data_Insight!X86)=1,Data_Insight!X86,""))</f>
        <v/>
      </c>
      <c r="AN86" s="17" t="str">
        <f aca="false">IF(AM86="","",COUNTIF(Data_Insight!$X$2:$X$20001,AM86))</f>
        <v/>
      </c>
    </row>
    <row r="87" customFormat="false" ht="15" hidden="false" customHeight="true" outlineLevel="0" collapsed="false">
      <c r="AJ87" s="17" t="str">
        <f aca="false">IF(Data_Summary!Y88&lt;&gt;"Coverage","",IF(Data_Summary!AA88="","",IF(COUNTIFS(Data_Summary!$Y$2:$Y88,"Coverage",Data_Summary!$AA$2:$AA88,Data_Summary!AA88)=1,Data_Summary!AA88,"")))</f>
        <v>Recognition &amp; Visibility of Growth</v>
      </c>
      <c r="AK87" s="17" t="n">
        <f aca="false">IF(AJ87="","",COUNTIFS(Data_Summary!$Y$2:$Y$20001,"Coverage",Data_Summary!$AA$2:$AA$20001,AJ87))</f>
        <v>9</v>
      </c>
      <c r="AM87" s="17" t="str">
        <f aca="false">IF(Data_Insight!X87="","",IF(COUNTIF(Data_Insight!$X$2:$X87,Data_Insight!X87)=1,Data_Insight!X87,""))</f>
        <v/>
      </c>
      <c r="AN87" s="17" t="str">
        <f aca="false">IF(AM87="","",COUNTIF(Data_Insight!$X$2:$X$20001,AM87))</f>
        <v/>
      </c>
    </row>
    <row r="88" customFormat="false" ht="15" hidden="false" customHeight="true" outlineLevel="0" collapsed="false">
      <c r="AJ88" s="17" t="str">
        <f aca="false">IF(Data_Summary!Y89&lt;&gt;"Coverage","",IF(Data_Summary!AA89="","",IF(COUNTIFS(Data_Summary!$Y$2:$Y89,"Coverage",Data_Summary!$AA$2:$AA89,Data_Summary!AA89)=1,Data_Summary!AA89,"")))</f>
        <v>Career Progression &amp; Next-Level Readiness</v>
      </c>
      <c r="AK88" s="17" t="n">
        <f aca="false">IF(AJ88="","",COUNTIFS(Data_Summary!$Y$2:$Y$20001,"Coverage",Data_Summary!$AA$2:$AA$20001,AJ88))</f>
        <v>11</v>
      </c>
      <c r="AM88" s="17" t="str">
        <f aca="false">IF(Data_Insight!X88="","",IF(COUNTIF(Data_Insight!$X$2:$X88,Data_Insight!X88)=1,Data_Insight!X88,""))</f>
        <v/>
      </c>
      <c r="AN88" s="17" t="str">
        <f aca="false">IF(AM88="","",COUNTIF(Data_Insight!$X$2:$X$20001,AM88))</f>
        <v/>
      </c>
    </row>
    <row r="89" customFormat="false" ht="15" hidden="false" customHeight="true" outlineLevel="0" collapsed="false">
      <c r="A89" s="30"/>
      <c r="B89" s="30"/>
      <c r="AJ89" s="17" t="str">
        <f aca="false">IF(Data_Summary!Y90&lt;&gt;"Coverage","",IF(Data_Summary!AA90="","",IF(COUNTIFS(Data_Summary!$Y$2:$Y90,"Coverage",Data_Summary!$AA$2:$AA90,Data_Summary!AA90)=1,Data_Summary!AA90,"")))</f>
        <v/>
      </c>
      <c r="AK89" s="17" t="str">
        <f aca="false">IF(AJ89="","",COUNTIFS(Data_Summary!$Y$2:$Y$20001,"Coverage",Data_Summary!$AA$2:$AA$20001,AJ89))</f>
        <v/>
      </c>
      <c r="AM89" s="17" t="str">
        <f aca="false">IF(Data_Insight!X89="","",IF(COUNTIF(Data_Insight!$X$2:$X89,Data_Insight!X89)=1,Data_Insight!X89,""))</f>
        <v/>
      </c>
      <c r="AN89" s="17" t="str">
        <f aca="false">IF(AM89="","",COUNTIF(Data_Insight!$X$2:$X$20001,AM89))</f>
        <v/>
      </c>
    </row>
    <row r="90" customFormat="false" ht="12.75" hidden="false" customHeight="true" outlineLevel="0" collapsed="false">
      <c r="AJ90" s="17" t="str">
        <f aca="false">IF(Data_Summary!Y91&lt;&gt;"Coverage","",IF(Data_Summary!AA91="","",IF(COUNTIFS(Data_Summary!$Y$2:$Y91,"Coverage",Data_Summary!$AA$2:$AA91,Data_Summary!AA91)=1,Data_Summary!AA91,"")))</f>
        <v/>
      </c>
      <c r="AK90" s="17" t="str">
        <f aca="false">IF(AJ90="","",COUNTIFS(Data_Summary!$Y$2:$Y$20001,"Coverage",Data_Summary!$AA$2:$AA$20001,AJ90))</f>
        <v/>
      </c>
      <c r="AM90" s="17" t="str">
        <f aca="false">IF(Data_Insight!X90="","",IF(COUNTIF(Data_Insight!$X$2:$X90,Data_Insight!X90)=1,Data_Insight!X90,""))</f>
        <v/>
      </c>
      <c r="AN90" s="17" t="str">
        <f aca="false">IF(AM90="","",COUNTIF(Data_Insight!$X$2:$X$20001,AM90))</f>
        <v/>
      </c>
    </row>
    <row r="91" customFormat="false" ht="15.75" hidden="false" customHeight="true" outlineLevel="0" collapsed="false">
      <c r="AJ91" s="17" t="str">
        <f aca="false">IF(Data_Summary!Y92&lt;&gt;"Coverage","",IF(Data_Summary!AA92="","",IF(COUNTIFS(Data_Summary!$Y$2:$Y92,"Coverage",Data_Summary!$AA$2:$AA92,Data_Summary!AA92)=1,Data_Summary!AA92,"")))</f>
        <v/>
      </c>
      <c r="AK91" s="17" t="str">
        <f aca="false">IF(AJ91="","",COUNTIFS(Data_Summary!$Y$2:$Y$20001,"Coverage",Data_Summary!$AA$2:$AA$20001,AJ91))</f>
        <v/>
      </c>
      <c r="AM91" s="17" t="str">
        <f aca="false">IF(Data_Insight!X91="","",IF(COUNTIF(Data_Insight!$X$2:$X91,Data_Insight!X91)=1,Data_Insight!X91,""))</f>
        <v/>
      </c>
      <c r="AN91" s="17" t="str">
        <f aca="false">IF(AM91="","",COUNTIF(Data_Insight!$X$2:$X$20001,AM91))</f>
        <v/>
      </c>
    </row>
    <row r="92" customFormat="false" ht="13.5" hidden="false" customHeight="true" outlineLevel="0" collapsed="false">
      <c r="AJ92" s="17" t="str">
        <f aca="false">IF(Data_Summary!Y93&lt;&gt;"Coverage","",IF(Data_Summary!AA93="","",IF(COUNTIFS(Data_Summary!$Y$2:$Y93,"Coverage",Data_Summary!$AA$2:$AA93,Data_Summary!AA93)=1,Data_Summary!AA93,"")))</f>
        <v/>
      </c>
      <c r="AK92" s="17" t="str">
        <f aca="false">IF(AJ92="","",COUNTIFS(Data_Summary!$Y$2:$Y$20001,"Coverage",Data_Summary!$AA$2:$AA$20001,AJ92))</f>
        <v/>
      </c>
      <c r="AM92" s="17" t="str">
        <f aca="false">IF(Data_Insight!X92="","",IF(COUNTIF(Data_Insight!$X$2:$X92,Data_Insight!X92)=1,Data_Insight!X92,""))</f>
        <v/>
      </c>
      <c r="AN92" s="17" t="str">
        <f aca="false">IF(AM92="","",COUNTIF(Data_Insight!$X$2:$X$20001,AM92))</f>
        <v/>
      </c>
    </row>
    <row r="93" customFormat="false" ht="15" hidden="false" customHeight="true" outlineLevel="0" collapsed="false">
      <c r="AJ93" s="17" t="str">
        <f aca="false">IF(Data_Summary!Y94&lt;&gt;"Coverage","",IF(Data_Summary!AA94="","",IF(COUNTIFS(Data_Summary!$Y$2:$Y94,"Coverage",Data_Summary!$AA$2:$AA94,Data_Summary!AA94)=1,Data_Summary!AA94,"")))</f>
        <v>Project Allocation Clarity</v>
      </c>
      <c r="AK93" s="17" t="n">
        <f aca="false">IF(AJ93="","",COUNTIFS(Data_Summary!$Y$2:$Y$20001,"Coverage",Data_Summary!$AA$2:$AA$20001,AJ93))</f>
        <v>13</v>
      </c>
      <c r="AM93" s="17" t="str">
        <f aca="false">IF(Data_Insight!X93="","",IF(COUNTIF(Data_Insight!$X$2:$X93,Data_Insight!X93)=1,Data_Insight!X93,""))</f>
        <v/>
      </c>
      <c r="AN93" s="17" t="str">
        <f aca="false">IF(AM93="","",COUNTIF(Data_Insight!$X$2:$X$20001,AM93))</f>
        <v/>
      </c>
    </row>
    <row r="94" customFormat="false" ht="15" hidden="false" customHeight="true" outlineLevel="0" collapsed="false">
      <c r="AJ94" s="17" t="str">
        <f aca="false">IF(Data_Summary!Y95&lt;&gt;"Coverage","",IF(Data_Summary!AA95="","",IF(COUNTIFS(Data_Summary!$Y$2:$Y95,"Coverage",Data_Summary!$AA$2:$AA95,Data_Summary!AA95)=1,Data_Summary!AA95,"")))</f>
        <v>Manager Connect Effectiveness</v>
      </c>
      <c r="AK94" s="17" t="n">
        <f aca="false">IF(AJ94="","",COUNTIFS(Data_Summary!$Y$2:$Y$20001,"Coverage",Data_Summary!$AA$2:$AA$20001,AJ94))</f>
        <v>13</v>
      </c>
      <c r="AM94" s="17" t="str">
        <f aca="false">IF(Data_Insight!X94="","",IF(COUNTIF(Data_Insight!$X$2:$X94,Data_Insight!X94)=1,Data_Insight!X94,""))</f>
        <v/>
      </c>
      <c r="AN94" s="17" t="str">
        <f aca="false">IF(AM94="","",COUNTIF(Data_Insight!$X$2:$X$20001,AM94))</f>
        <v/>
      </c>
    </row>
    <row r="95" customFormat="false" ht="15" hidden="false" customHeight="true" outlineLevel="0" collapsed="false">
      <c r="AJ95" s="17" t="str">
        <f aca="false">IF(Data_Summary!Y96&lt;&gt;"Coverage","",IF(Data_Summary!AA96="","",IF(COUNTIFS(Data_Summary!$Y$2:$Y96,"Coverage",Data_Summary!$AA$2:$AA96,Data_Summary!AA96)=1,Data_Summary!AA96,"")))</f>
        <v/>
      </c>
      <c r="AK95" s="17" t="str">
        <f aca="false">IF(AJ95="","",COUNTIFS(Data_Summary!$Y$2:$Y$20001,"Coverage",Data_Summary!$AA$2:$AA$20001,AJ95))</f>
        <v/>
      </c>
      <c r="AM95" s="17" t="str">
        <f aca="false">IF(Data_Insight!X95="","",IF(COUNTIF(Data_Insight!$X$2:$X95,Data_Insight!X95)=1,Data_Insight!X95,""))</f>
        <v>Cadence Connect</v>
      </c>
      <c r="AN95" s="17" t="n">
        <f aca="false">IF(AM95="","",COUNTIF(Data_Insight!$X$2:$X$20001,AM95))</f>
        <v>16</v>
      </c>
    </row>
    <row r="96" customFormat="false" ht="15" hidden="false" customHeight="true" outlineLevel="0" collapsed="false">
      <c r="AJ96" s="17" t="str">
        <f aca="false">IF(Data_Summary!Y97&lt;&gt;"Coverage","",IF(Data_Summary!AA97="","",IF(COUNTIFS(Data_Summary!$Y$2:$Y97,"Coverage",Data_Summary!$AA$2:$AA97,Data_Summary!AA97)=1,Data_Summary!AA97,"")))</f>
        <v/>
      </c>
      <c r="AK96" s="17" t="str">
        <f aca="false">IF(AJ96="","",COUNTIFS(Data_Summary!$Y$2:$Y$20001,"Coverage",Data_Summary!$AA$2:$AA$20001,AJ96))</f>
        <v/>
      </c>
      <c r="AM96" s="17" t="str">
        <f aca="false">IF(Data_Insight!X96="","",IF(COUNTIF(Data_Insight!$X$2:$X96,Data_Insight!X96)=1,Data_Insight!X96,""))</f>
        <v/>
      </c>
      <c r="AN96" s="17" t="str">
        <f aca="false">IF(AM96="","",COUNTIF(Data_Insight!$X$2:$X$20001,AM96))</f>
        <v/>
      </c>
    </row>
    <row r="97" customFormat="false" ht="12.75" hidden="false" customHeight="true" outlineLevel="0" collapsed="false">
      <c r="AJ97" s="17" t="str">
        <f aca="false">IF(Data_Summary!Y98&lt;&gt;"Coverage","",IF(Data_Summary!AA98="","",IF(COUNTIFS(Data_Summary!$Y$2:$Y98,"Coverage",Data_Summary!$AA$2:$AA98,Data_Summary!AA98)=1,Data_Summary!AA98,"")))</f>
        <v/>
      </c>
      <c r="AK97" s="17" t="str">
        <f aca="false">IF(AJ97="","",COUNTIFS(Data_Summary!$Y$2:$Y$20001,"Coverage",Data_Summary!$AA$2:$AA$20001,AJ97))</f>
        <v/>
      </c>
      <c r="AM97" s="17" t="str">
        <f aca="false">IF(Data_Insight!X97="","",IF(COUNTIF(Data_Insight!$X$2:$X97,Data_Insight!X97)=1,Data_Insight!X97,""))</f>
        <v/>
      </c>
      <c r="AN97" s="17" t="str">
        <f aca="false">IF(AM97="","",COUNTIF(Data_Insight!$X$2:$X$20001,AM97))</f>
        <v/>
      </c>
    </row>
    <row r="98" customFormat="false" ht="15.75" hidden="false" customHeight="true" outlineLevel="0" collapsed="false">
      <c r="AJ98" s="17" t="str">
        <f aca="false">IF(Data_Summary!Y99&lt;&gt;"Coverage","",IF(Data_Summary!AA99="","",IF(COUNTIFS(Data_Summary!$Y$2:$Y99,"Coverage",Data_Summary!$AA$2:$AA99,Data_Summary!AA99)=1,Data_Summary!AA99,"")))</f>
        <v/>
      </c>
      <c r="AK98" s="17" t="str">
        <f aca="false">IF(AJ98="","",COUNTIFS(Data_Summary!$Y$2:$Y$20001,"Coverage",Data_Summary!$AA$2:$AA$20001,AJ98))</f>
        <v/>
      </c>
      <c r="AM98" s="17" t="str">
        <f aca="false">IF(Data_Insight!X98="","",IF(COUNTIF(Data_Insight!$X$2:$X98,Data_Insight!X98)=1,Data_Insight!X98,""))</f>
        <v/>
      </c>
      <c r="AN98" s="17" t="str">
        <f aca="false">IF(AM98="","",COUNTIF(Data_Insight!$X$2:$X$20001,AM98))</f>
        <v/>
      </c>
    </row>
    <row r="99" customFormat="false" ht="13.5" hidden="false" customHeight="true" outlineLevel="0" collapsed="false">
      <c r="AJ99" s="17" t="str">
        <f aca="false">IF(Data_Summary!Y100&lt;&gt;"Coverage","",IF(Data_Summary!AA100="","",IF(COUNTIFS(Data_Summary!$Y$2:$Y100,"Coverage",Data_Summary!$AA$2:$AA100,Data_Summary!AA100)=1,Data_Summary!AA100,"")))</f>
        <v/>
      </c>
      <c r="AK99" s="17" t="str">
        <f aca="false">IF(AJ99="","",COUNTIFS(Data_Summary!$Y$2:$Y$20001,"Coverage",Data_Summary!$AA$2:$AA$20001,AJ99))</f>
        <v/>
      </c>
      <c r="AM99" s="17" t="str">
        <f aca="false">IF(Data_Insight!X99="","",IF(COUNTIF(Data_Insight!$X$2:$X99,Data_Insight!X99)=1,Data_Insight!X99,""))</f>
        <v/>
      </c>
      <c r="AN99" s="17" t="str">
        <f aca="false">IF(AM99="","",COUNTIF(Data_Insight!$X$2:$X$20001,AM99))</f>
        <v/>
      </c>
    </row>
    <row r="100" customFormat="false" ht="15" hidden="false" customHeight="true" outlineLevel="0" collapsed="false">
      <c r="AJ100" s="17" t="str">
        <f aca="false">IF(Data_Summary!Y101&lt;&gt;"Coverage","",IF(Data_Summary!AA101="","",IF(COUNTIFS(Data_Summary!$Y$2:$Y101,"Coverage",Data_Summary!$AA$2:$AA101,Data_Summary!AA101)=1,Data_Summary!AA101,"")))</f>
        <v>Discussion on team dynamics</v>
      </c>
      <c r="AK100" s="17" t="n">
        <f aca="false">IF(AJ100="","",COUNTIFS(Data_Summary!$Y$2:$Y$20001,"Coverage",Data_Summary!$AA$2:$AA$20001,AJ100))</f>
        <v>23</v>
      </c>
      <c r="AM100" s="17" t="str">
        <f aca="false">IF(Data_Insight!X100="","",IF(COUNTIF(Data_Insight!$X$2:$X100,Data_Insight!X100)=1,Data_Insight!X100,""))</f>
        <v/>
      </c>
      <c r="AN100" s="17" t="str">
        <f aca="false">IF(AM100="","",COUNTIF(Data_Insight!$X$2:$X$20001,AM100))</f>
        <v/>
      </c>
    </row>
    <row r="101" customFormat="false" ht="15" hidden="false" customHeight="true" outlineLevel="0" collapsed="false">
      <c r="AJ101" s="17" t="str">
        <f aca="false">IF(Data_Summary!Y102&lt;&gt;"Coverage","",IF(Data_Summary!AA102="","",IF(COUNTIFS(Data_Summary!$Y$2:$Y102,"Coverage",Data_Summary!$AA$2:$AA102,Data_Summary!AA102)=1,Data_Summary!AA102,"")))</f>
        <v/>
      </c>
      <c r="AK101" s="17" t="str">
        <f aca="false">IF(AJ101="","",COUNTIFS(Data_Summary!$Y$2:$Y$20001,"Coverage",Data_Summary!$AA$2:$AA$20001,AJ101))</f>
        <v/>
      </c>
      <c r="AM101" s="17" t="str">
        <f aca="false">IF(Data_Insight!X101="","",IF(COUNTIF(Data_Insight!$X$2:$X101,Data_Insight!X101)=1,Data_Insight!X101,""))</f>
        <v/>
      </c>
      <c r="AN101" s="17" t="str">
        <f aca="false">IF(AM101="","",COUNTIF(Data_Insight!$X$2:$X$20001,AM101))</f>
        <v/>
      </c>
    </row>
    <row r="102" customFormat="false" ht="15" hidden="false" customHeight="true" outlineLevel="0" collapsed="false">
      <c r="AJ102" s="17" t="str">
        <f aca="false">IF(Data_Summary!Y103&lt;&gt;"Coverage","",IF(Data_Summary!AA103="","",IF(COUNTIFS(Data_Summary!$Y$2:$Y103,"Coverage",Data_Summary!$AA$2:$AA103,Data_Summary!AA103)=1,Data_Summary!AA103,"")))</f>
        <v/>
      </c>
      <c r="AK102" s="17" t="str">
        <f aca="false">IF(AJ102="","",COUNTIFS(Data_Summary!$Y$2:$Y$20001,"Coverage",Data_Summary!$AA$2:$AA$20001,AJ102))</f>
        <v/>
      </c>
      <c r="AM102" s="17" t="str">
        <f aca="false">IF(Data_Insight!X102="","",IF(COUNTIF(Data_Insight!$X$2:$X102,Data_Insight!X102)=1,Data_Insight!X102,""))</f>
        <v/>
      </c>
      <c r="AN102" s="17" t="str">
        <f aca="false">IF(AM102="","",COUNTIF(Data_Insight!$X$2:$X$20001,AM102))</f>
        <v/>
      </c>
    </row>
    <row r="103" customFormat="false" ht="15" hidden="false" customHeight="true" outlineLevel="0" collapsed="false">
      <c r="AJ103" s="17" t="str">
        <f aca="false">IF(Data_Summary!Y104&lt;&gt;"Coverage","",IF(Data_Summary!AA104="","",IF(COUNTIFS(Data_Summary!$Y$2:$Y104,"Coverage",Data_Summary!$AA$2:$AA104,Data_Summary!AA104)=1,Data_Summary!AA104,"")))</f>
        <v/>
      </c>
      <c r="AK103" s="17" t="str">
        <f aca="false">IF(AJ103="","",COUNTIFS(Data_Summary!$Y$2:$Y$20001,"Coverage",Data_Summary!$AA$2:$AA$20001,AJ103))</f>
        <v/>
      </c>
      <c r="AM103" s="17" t="str">
        <f aca="false">IF(Data_Insight!X103="","",IF(COUNTIF(Data_Insight!$X$2:$X103,Data_Insight!X103)=1,Data_Insight!X103,""))</f>
        <v/>
      </c>
      <c r="AN103" s="17" t="str">
        <f aca="false">IF(AM103="","",COUNTIF(Data_Insight!$X$2:$X$20001,AM103))</f>
        <v/>
      </c>
    </row>
    <row r="104" customFormat="false" ht="15" hidden="false" customHeight="true" outlineLevel="0" collapsed="false">
      <c r="AJ104" s="17" t="str">
        <f aca="false">IF(Data_Summary!Y105&lt;&gt;"Coverage","",IF(Data_Summary!AA105="","",IF(COUNTIFS(Data_Summary!$Y$2:$Y105,"Coverage",Data_Summary!$AA$2:$AA105,Data_Summary!AA105)=1,Data_Summary!AA105,"")))</f>
        <v/>
      </c>
      <c r="AK104" s="17" t="str">
        <f aca="false">IF(AJ104="","",COUNTIFS(Data_Summary!$Y$2:$Y$20001,"Coverage",Data_Summary!$AA$2:$AA$20001,AJ104))</f>
        <v/>
      </c>
      <c r="AM104" s="17" t="str">
        <f aca="false">IF(Data_Insight!X104="","",IF(COUNTIF(Data_Insight!$X$2:$X104,Data_Insight!X104)=1,Data_Insight!X104,""))</f>
        <v/>
      </c>
      <c r="AN104" s="17" t="str">
        <f aca="false">IF(AM104="","",COUNTIF(Data_Insight!$X$2:$X$20001,AM104))</f>
        <v/>
      </c>
    </row>
    <row r="105" customFormat="false" ht="15" hidden="false" customHeight="true" outlineLevel="0" collapsed="false">
      <c r="AJ105" s="17" t="str">
        <f aca="false">IF(Data_Summary!Y106&lt;&gt;"Coverage","",IF(Data_Summary!AA106="","",IF(COUNTIFS(Data_Summary!$Y$2:$Y106,"Coverage",Data_Summary!$AA$2:$AA106,Data_Summary!AA106)=1,Data_Summary!AA106,"")))</f>
        <v>Workload Management</v>
      </c>
      <c r="AK105" s="17" t="n">
        <f aca="false">IF(AJ105="","",COUNTIFS(Data_Summary!$Y$2:$Y$20001,"Coverage",Data_Summary!$AA$2:$AA$20001,AJ105))</f>
        <v>13</v>
      </c>
      <c r="AM105" s="17" t="str">
        <f aca="false">IF(Data_Insight!X105="","",IF(COUNTIF(Data_Insight!$X$2:$X105,Data_Insight!X105)=1,Data_Insight!X105,""))</f>
        <v/>
      </c>
      <c r="AN105" s="17" t="str">
        <f aca="false">IF(AM105="","",COUNTIF(Data_Insight!$X$2:$X$20001,AM105))</f>
        <v/>
      </c>
    </row>
    <row r="106" customFormat="false" ht="15" hidden="false" customHeight="true" outlineLevel="0" collapsed="false">
      <c r="AJ106" s="17" t="str">
        <f aca="false">IF(Data_Summary!Y107&lt;&gt;"Coverage","",IF(Data_Summary!AA107="","",IF(COUNTIFS(Data_Summary!$Y$2:$Y107,"Coverage",Data_Summary!$AA$2:$AA107,Data_Summary!AA107)=1,Data_Summary!AA107,"")))</f>
        <v/>
      </c>
      <c r="AK106" s="17" t="str">
        <f aca="false">IF(AJ106="","",COUNTIFS(Data_Summary!$Y$2:$Y$20001,"Coverage",Data_Summary!$AA$2:$AA$20001,AJ106))</f>
        <v/>
      </c>
      <c r="AM106" s="17" t="str">
        <f aca="false">IF(Data_Insight!X106="","",IF(COUNTIF(Data_Insight!$X$2:$X106,Data_Insight!X106)=1,Data_Insight!X106,""))</f>
        <v/>
      </c>
      <c r="AN106" s="17" t="str">
        <f aca="false">IF(AM106="","",COUNTIF(Data_Insight!$X$2:$X$20001,AM106))</f>
        <v/>
      </c>
    </row>
    <row r="107" customFormat="false" ht="15" hidden="false" customHeight="true" outlineLevel="0" collapsed="false">
      <c r="AJ107" s="17" t="str">
        <f aca="false">IF(Data_Summary!Y108&lt;&gt;"Coverage","",IF(Data_Summary!AA108="","",IF(COUNTIFS(Data_Summary!$Y$2:$Y108,"Coverage",Data_Summary!$AA$2:$AA108,Data_Summary!AA108)=1,Data_Summary!AA108,"")))</f>
        <v/>
      </c>
      <c r="AK107" s="17" t="str">
        <f aca="false">IF(AJ107="","",COUNTIFS(Data_Summary!$Y$2:$Y$20001,"Coverage",Data_Summary!$AA$2:$AA$20001,AJ107))</f>
        <v/>
      </c>
      <c r="AM107" s="17" t="str">
        <f aca="false">IF(Data_Insight!X107="","",IF(COUNTIF(Data_Insight!$X$2:$X107,Data_Insight!X107)=1,Data_Insight!X107,""))</f>
        <v/>
      </c>
      <c r="AN107" s="17" t="str">
        <f aca="false">IF(AM107="","",COUNTIF(Data_Insight!$X$2:$X$20001,AM107))</f>
        <v/>
      </c>
    </row>
    <row r="108" customFormat="false" ht="15" hidden="false" customHeight="true" outlineLevel="0" collapsed="false">
      <c r="AJ108" s="17" t="str">
        <f aca="false">IF(Data_Summary!Y109&lt;&gt;"Coverage","",IF(Data_Summary!AA109="","",IF(COUNTIFS(Data_Summary!$Y$2:$Y109,"Coverage",Data_Summary!$AA$2:$AA109,Data_Summary!AA109)=1,Data_Summary!AA109,"")))</f>
        <v/>
      </c>
      <c r="AK108" s="17" t="str">
        <f aca="false">IF(AJ108="","",COUNTIFS(Data_Summary!$Y$2:$Y$20001,"Coverage",Data_Summary!$AA$2:$AA$20001,AJ108))</f>
        <v/>
      </c>
      <c r="AM108" s="17" t="str">
        <f aca="false">IF(Data_Insight!X108="","",IF(COUNTIF(Data_Insight!$X$2:$X108,Data_Insight!X108)=1,Data_Insight!X108,""))</f>
        <v/>
      </c>
      <c r="AN108" s="17" t="str">
        <f aca="false">IF(AM108="","",COUNTIF(Data_Insight!$X$2:$X$20001,AM108))</f>
        <v/>
      </c>
    </row>
    <row r="109" customFormat="false" ht="15" hidden="false" customHeight="true" outlineLevel="0" collapsed="false">
      <c r="AJ109" s="17" t="str">
        <f aca="false">IF(Data_Summary!Y110&lt;&gt;"Coverage","",IF(Data_Summary!AA110="","",IF(COUNTIFS(Data_Summary!$Y$2:$Y110,"Coverage",Data_Summary!$AA$2:$AA110,Data_Summary!AA110)=1,Data_Summary!AA110,"")))</f>
        <v/>
      </c>
      <c r="AK109" s="17" t="str">
        <f aca="false">IF(AJ109="","",COUNTIFS(Data_Summary!$Y$2:$Y$20001,"Coverage",Data_Summary!$AA$2:$AA$20001,AJ109))</f>
        <v/>
      </c>
      <c r="AM109" s="17" t="str">
        <f aca="false">IF(Data_Insight!X109="","",IF(COUNTIF(Data_Insight!$X$2:$X109,Data_Insight!X109)=1,Data_Insight!X109,""))</f>
        <v/>
      </c>
      <c r="AN109" s="17" t="str">
        <f aca="false">IF(AM109="","",COUNTIF(Data_Insight!$X$2:$X$20001,AM109))</f>
        <v/>
      </c>
    </row>
    <row r="110" customFormat="false" ht="15" hidden="false" customHeight="true" outlineLevel="0" collapsed="false">
      <c r="AJ110" s="17" t="str">
        <f aca="false">IF(Data_Summary!Y111&lt;&gt;"Coverage","",IF(Data_Summary!AA111="","",IF(COUNTIFS(Data_Summary!$Y$2:$Y111,"Coverage",Data_Summary!$AA$2:$AA111,Data_Summary!AA111)=1,Data_Summary!AA111,"")))</f>
        <v>Clarity on Org Changes &amp; Priorities</v>
      </c>
      <c r="AK110" s="17" t="n">
        <f aca="false">IF(AJ110="","",COUNTIFS(Data_Summary!$Y$2:$Y$20001,"Coverage",Data_Summary!$AA$2:$AA$20001,AJ110))</f>
        <v>7</v>
      </c>
      <c r="AM110" s="17" t="str">
        <f aca="false">IF(Data_Insight!X110="","",IF(COUNTIF(Data_Insight!$X$2:$X110,Data_Insight!X110)=1,Data_Insight!X110,""))</f>
        <v/>
      </c>
      <c r="AN110" s="17" t="str">
        <f aca="false">IF(AM110="","",COUNTIF(Data_Insight!$X$2:$X$20001,AM110))</f>
        <v/>
      </c>
    </row>
    <row r="111" customFormat="false" ht="15" hidden="false" customHeight="true" outlineLevel="0" collapsed="false">
      <c r="AJ111" s="17" t="str">
        <f aca="false">IF(Data_Summary!Y112&lt;&gt;"Coverage","",IF(Data_Summary!AA112="","",IF(COUNTIFS(Data_Summary!$Y$2:$Y112,"Coverage",Data_Summary!$AA$2:$AA112,Data_Summary!AA112)=1,Data_Summary!AA112,"")))</f>
        <v/>
      </c>
      <c r="AK111" s="17" t="str">
        <f aca="false">IF(AJ111="","",COUNTIFS(Data_Summary!$Y$2:$Y$20001,"Coverage",Data_Summary!$AA$2:$AA$20001,AJ111))</f>
        <v/>
      </c>
      <c r="AM111" s="17" t="str">
        <f aca="false">IF(Data_Insight!X111="","",IF(COUNTIF(Data_Insight!$X$2:$X111,Data_Insight!X111)=1,Data_Insight!X111,""))</f>
        <v/>
      </c>
      <c r="AN111" s="17" t="str">
        <f aca="false">IF(AM111="","",COUNTIF(Data_Insight!$X$2:$X$20001,AM111))</f>
        <v/>
      </c>
    </row>
    <row r="112" customFormat="false" ht="15" hidden="false" customHeight="true" outlineLevel="0" collapsed="false">
      <c r="AJ112" s="17" t="str">
        <f aca="false">IF(Data_Summary!Y113&lt;&gt;"Coverage","",IF(Data_Summary!AA113="","",IF(COUNTIFS(Data_Summary!$Y$2:$Y113,"Coverage",Data_Summary!$AA$2:$AA113,Data_Summary!AA113)=1,Data_Summary!AA113,"")))</f>
        <v/>
      </c>
      <c r="AK112" s="17" t="str">
        <f aca="false">IF(AJ112="","",COUNTIFS(Data_Summary!$Y$2:$Y$20001,"Coverage",Data_Summary!$AA$2:$AA$20001,AJ112))</f>
        <v/>
      </c>
      <c r="AM112" s="17" t="str">
        <f aca="false">IF(Data_Insight!X112="","",IF(COUNTIF(Data_Insight!$X$2:$X112,Data_Insight!X112)=1,Data_Insight!X112,""))</f>
        <v/>
      </c>
      <c r="AN112" s="17" t="str">
        <f aca="false">IF(AM112="","",COUNTIF(Data_Insight!$X$2:$X$20001,AM112))</f>
        <v/>
      </c>
    </row>
    <row r="113" customFormat="false" ht="12.75" hidden="false" customHeight="true" outlineLevel="0" collapsed="false">
      <c r="AJ113" s="17" t="str">
        <f aca="false">IF(Data_Summary!Y114&lt;&gt;"Coverage","",IF(Data_Summary!AA114="","",IF(COUNTIFS(Data_Summary!$Y$2:$Y114,"Coverage",Data_Summary!$AA$2:$AA114,Data_Summary!AA114)=1,Data_Summary!AA114,"")))</f>
        <v/>
      </c>
      <c r="AK113" s="17" t="str">
        <f aca="false">IF(AJ113="","",COUNTIFS(Data_Summary!$Y$2:$Y$20001,"Coverage",Data_Summary!$AA$2:$AA$20001,AJ113))</f>
        <v/>
      </c>
      <c r="AM113" s="17" t="str">
        <f aca="false">IF(Data_Insight!X113="","",IF(COUNTIF(Data_Insight!$X$2:$X113,Data_Insight!X113)=1,Data_Insight!X113,""))</f>
        <v/>
      </c>
      <c r="AN113" s="17" t="str">
        <f aca="false">IF(AM113="","",COUNTIF(Data_Insight!$X$2:$X$20001,AM113))</f>
        <v/>
      </c>
    </row>
    <row r="114" customFormat="false" ht="15.75" hidden="false" customHeight="true" outlineLevel="0" collapsed="false">
      <c r="AJ114" s="17" t="str">
        <f aca="false">IF(Data_Summary!Y115&lt;&gt;"Coverage","",IF(Data_Summary!AA115="","",IF(COUNTIFS(Data_Summary!$Y$2:$Y115,"Coverage",Data_Summary!$AA$2:$AA115,Data_Summary!AA115)=1,Data_Summary!AA115,"")))</f>
        <v/>
      </c>
      <c r="AK114" s="17" t="str">
        <f aca="false">IF(AJ114="","",COUNTIFS(Data_Summary!$Y$2:$Y$20001,"Coverage",Data_Summary!$AA$2:$AA$20001,AJ114))</f>
        <v/>
      </c>
      <c r="AM114" s="17" t="str">
        <f aca="false">IF(Data_Insight!X114="","",IF(COUNTIF(Data_Insight!$X$2:$X114,Data_Insight!X114)=1,Data_Insight!X114,""))</f>
        <v/>
      </c>
      <c r="AN114" s="17" t="str">
        <f aca="false">IF(AM114="","",COUNTIF(Data_Insight!$X$2:$X$20001,AM114))</f>
        <v/>
      </c>
    </row>
    <row r="115" customFormat="false" ht="13.5" hidden="false" customHeight="true" outlineLevel="0" collapsed="false">
      <c r="AJ115" s="17" t="str">
        <f aca="false">IF(Data_Summary!Y116&lt;&gt;"Coverage","",IF(Data_Summary!AA116="","",IF(COUNTIFS(Data_Summary!$Y$2:$Y116,"Coverage",Data_Summary!$AA$2:$AA116,Data_Summary!AA116)=1,Data_Summary!AA116,"")))</f>
        <v/>
      </c>
      <c r="AK115" s="17" t="str">
        <f aca="false">IF(AJ115="","",COUNTIFS(Data_Summary!$Y$2:$Y$20001,"Coverage",Data_Summary!$AA$2:$AA$20001,AJ115))</f>
        <v/>
      </c>
      <c r="AM115" s="17" t="str">
        <f aca="false">IF(Data_Insight!X115="","",IF(COUNTIF(Data_Insight!$X$2:$X115,Data_Insight!X115)=1,Data_Insight!X115,""))</f>
        <v/>
      </c>
      <c r="AN115" s="17" t="str">
        <f aca="false">IF(AM115="","",COUNTIF(Data_Insight!$X$2:$X$20001,AM115))</f>
        <v/>
      </c>
    </row>
    <row r="116" customFormat="false" ht="15" hidden="false" customHeight="true" outlineLevel="0" collapsed="false">
      <c r="AJ116" s="17" t="str">
        <f aca="false">IF(Data_Summary!Y117&lt;&gt;"Coverage","",IF(Data_Summary!AA117="","",IF(COUNTIFS(Data_Summary!$Y$2:$Y117,"Coverage",Data_Summary!$AA$2:$AA117,Data_Summary!AA117)=1,Data_Summary!AA117,"")))</f>
        <v/>
      </c>
      <c r="AK116" s="17" t="str">
        <f aca="false">IF(AJ116="","",COUNTIFS(Data_Summary!$Y$2:$Y$20001,"Coverage",Data_Summary!$AA$2:$AA$20001,AJ116))</f>
        <v/>
      </c>
      <c r="AM116" s="17" t="str">
        <f aca="false">IF(Data_Insight!X116="","",IF(COUNTIF(Data_Insight!$X$2:$X116,Data_Insight!X116)=1,Data_Insight!X116,""))</f>
        <v/>
      </c>
      <c r="AN116" s="17" t="str">
        <f aca="false">IF(AM116="","",COUNTIF(Data_Insight!$X$2:$X$20001,AM116))</f>
        <v/>
      </c>
    </row>
    <row r="117" customFormat="false" ht="15" hidden="false" customHeight="true" outlineLevel="0" collapsed="false">
      <c r="AJ117" s="17" t="str">
        <f aca="false">IF(Data_Summary!Y118&lt;&gt;"Coverage","",IF(Data_Summary!AA118="","",IF(COUNTIFS(Data_Summary!$Y$2:$Y118,"Coverage",Data_Summary!$AA$2:$AA118,Data_Summary!AA118)=1,Data_Summary!AA118,"")))</f>
        <v/>
      </c>
      <c r="AK117" s="17" t="str">
        <f aca="false">IF(AJ117="","",COUNTIFS(Data_Summary!$Y$2:$Y$20001,"Coverage",Data_Summary!$AA$2:$AA$20001,AJ117))</f>
        <v/>
      </c>
      <c r="AM117" s="17" t="str">
        <f aca="false">IF(Data_Insight!X117="","",IF(COUNTIF(Data_Insight!$X$2:$X117,Data_Insight!X117)=1,Data_Insight!X117,""))</f>
        <v/>
      </c>
      <c r="AN117" s="17" t="str">
        <f aca="false">IF(AM117="","",COUNTIF(Data_Insight!$X$2:$X$20001,AM117))</f>
        <v/>
      </c>
    </row>
    <row r="118" customFormat="false" ht="15" hidden="false" customHeight="true" outlineLevel="0" collapsed="false">
      <c r="AJ118" s="17" t="str">
        <f aca="false">IF(Data_Summary!Y119&lt;&gt;"Coverage","",IF(Data_Summary!AA119="","",IF(COUNTIFS(Data_Summary!$Y$2:$Y119,"Coverage",Data_Summary!$AA$2:$AA119,Data_Summary!AA119)=1,Data_Summary!AA119,"")))</f>
        <v/>
      </c>
      <c r="AK118" s="17" t="str">
        <f aca="false">IF(AJ118="","",COUNTIFS(Data_Summary!$Y$2:$Y$20001,"Coverage",Data_Summary!$AA$2:$AA$20001,AJ118))</f>
        <v/>
      </c>
      <c r="AM118" s="17" t="str">
        <f aca="false">IF(Data_Insight!X118="","",IF(COUNTIF(Data_Insight!$X$2:$X118,Data_Insight!X118)=1,Data_Insight!X118,""))</f>
        <v/>
      </c>
      <c r="AN118" s="17" t="str">
        <f aca="false">IF(AM118="","",COUNTIF(Data_Insight!$X$2:$X$20001,AM118))</f>
        <v/>
      </c>
    </row>
    <row r="119" customFormat="false" ht="15" hidden="false" customHeight="true" outlineLevel="0" collapsed="false">
      <c r="AJ119" s="17" t="str">
        <f aca="false">IF(Data_Summary!Y120&lt;&gt;"Coverage","",IF(Data_Summary!AA120="","",IF(COUNTIFS(Data_Summary!$Y$2:$Y120,"Coverage",Data_Summary!$AA$2:$AA120,Data_Summary!AA120)=1,Data_Summary!AA120,"")))</f>
        <v/>
      </c>
      <c r="AK119" s="17" t="str">
        <f aca="false">IF(AJ119="","",COUNTIFS(Data_Summary!$Y$2:$Y$20001,"Coverage",Data_Summary!$AA$2:$AA$20001,AJ119))</f>
        <v/>
      </c>
      <c r="AM119" s="17" t="str">
        <f aca="false">IF(Data_Insight!X119="","",IF(COUNTIF(Data_Insight!$X$2:$X119,Data_Insight!X119)=1,Data_Insight!X119,""))</f>
        <v/>
      </c>
      <c r="AN119" s="17" t="str">
        <f aca="false">IF(AM119="","",COUNTIF(Data_Insight!$X$2:$X$20001,AM119))</f>
        <v/>
      </c>
    </row>
    <row r="120" customFormat="false" ht="15" hidden="false" customHeight="true" outlineLevel="0" collapsed="false">
      <c r="AJ120" s="17" t="str">
        <f aca="false">IF(Data_Summary!Y121&lt;&gt;"Coverage","",IF(Data_Summary!AA121="","",IF(COUNTIFS(Data_Summary!$Y$2:$Y121,"Coverage",Data_Summary!$AA$2:$AA121,Data_Summary!AA121)=1,Data_Summary!AA121,"")))</f>
        <v/>
      </c>
      <c r="AK120" s="17" t="str">
        <f aca="false">IF(AJ120="","",COUNTIFS(Data_Summary!$Y$2:$Y$20001,"Coverage",Data_Summary!$AA$2:$AA$20001,AJ120))</f>
        <v/>
      </c>
      <c r="AM120" s="17" t="str">
        <f aca="false">IF(Data_Insight!X120="","",IF(COUNTIF(Data_Insight!$X$2:$X120,Data_Insight!X120)=1,Data_Insight!X120,""))</f>
        <v/>
      </c>
      <c r="AN120" s="17" t="str">
        <f aca="false">IF(AM120="","",COUNTIF(Data_Insight!$X$2:$X$20001,AM120))</f>
        <v/>
      </c>
    </row>
    <row r="121" customFormat="false" ht="15" hidden="false" customHeight="true" outlineLevel="0" collapsed="false">
      <c r="AJ121" s="17" t="str">
        <f aca="false">IF(Data_Summary!Y122&lt;&gt;"Coverage","",IF(Data_Summary!AA122="","",IF(COUNTIFS(Data_Summary!$Y$2:$Y122,"Coverage",Data_Summary!$AA$2:$AA122,Data_Summary!AA122)=1,Data_Summary!AA122,"")))</f>
        <v/>
      </c>
      <c r="AK121" s="17" t="str">
        <f aca="false">IF(AJ121="","",COUNTIFS(Data_Summary!$Y$2:$Y$20001,"Coverage",Data_Summary!$AA$2:$AA$20001,AJ121))</f>
        <v/>
      </c>
      <c r="AM121" s="17" t="str">
        <f aca="false">IF(Data_Insight!X121="","",IF(COUNTIF(Data_Insight!$X$2:$X121,Data_Insight!X121)=1,Data_Insight!X121,""))</f>
        <v/>
      </c>
      <c r="AN121" s="17" t="str">
        <f aca="false">IF(AM121="","",COUNTIF(Data_Insight!$X$2:$X$20001,AM121))</f>
        <v/>
      </c>
    </row>
    <row r="122" customFormat="false" ht="15" hidden="false" customHeight="true" outlineLevel="0" collapsed="false">
      <c r="AJ122" s="17" t="str">
        <f aca="false">IF(Data_Summary!Y123&lt;&gt;"Coverage","",IF(Data_Summary!AA123="","",IF(COUNTIFS(Data_Summary!$Y$2:$Y123,"Coverage",Data_Summary!$AA$2:$AA123,Data_Summary!AA123)=1,Data_Summary!AA123,"")))</f>
        <v>Engagement &amp; Motivation Across Stages</v>
      </c>
      <c r="AK122" s="17" t="n">
        <f aca="false">IF(AJ122="","",COUNTIFS(Data_Summary!$Y$2:$Y$20001,"Coverage",Data_Summary!$AA$2:$AA$20001,AJ122))</f>
        <v>4</v>
      </c>
      <c r="AM122" s="17" t="str">
        <f aca="false">IF(Data_Insight!X122="","",IF(COUNTIF(Data_Insight!$X$2:$X122,Data_Insight!X122)=1,Data_Insight!X122,""))</f>
        <v/>
      </c>
      <c r="AN122" s="17" t="str">
        <f aca="false">IF(AM122="","",COUNTIF(Data_Insight!$X$2:$X$20001,AM122))</f>
        <v/>
      </c>
    </row>
    <row r="123" customFormat="false" ht="15" hidden="false" customHeight="true" outlineLevel="0" collapsed="false">
      <c r="AJ123" s="17" t="str">
        <f aca="false">IF(Data_Summary!Y124&lt;&gt;"Coverage","",IF(Data_Summary!AA124="","",IF(COUNTIFS(Data_Summary!$Y$2:$Y124,"Coverage",Data_Summary!$AA$2:$AA124,Data_Summary!AA124)=1,Data_Summary!AA124,"")))</f>
        <v>Career Clarity &amp; Growth Continuity</v>
      </c>
      <c r="AK123" s="17" t="n">
        <f aca="false">IF(AJ123="","",COUNTIFS(Data_Summary!$Y$2:$Y$20001,"Coverage",Data_Summary!$AA$2:$AA$20001,AJ123))</f>
        <v>4</v>
      </c>
      <c r="AM123" s="17" t="str">
        <f aca="false">IF(Data_Insight!X123="","",IF(COUNTIF(Data_Insight!$X$2:$X123,Data_Insight!X123)=1,Data_Insight!X123,""))</f>
        <v/>
      </c>
      <c r="AN123" s="17" t="str">
        <f aca="false">IF(AM123="","",COUNTIF(Data_Insight!$X$2:$X$20001,AM123))</f>
        <v/>
      </c>
    </row>
    <row r="124" customFormat="false" ht="15" hidden="false" customHeight="true" outlineLevel="0" collapsed="false">
      <c r="AJ124" s="17" t="str">
        <f aca="false">IF(Data_Summary!Y125&lt;&gt;"Coverage","",IF(Data_Summary!AA125="","",IF(COUNTIFS(Data_Summary!$Y$2:$Y125,"Coverage",Data_Summary!$AA$2:$AA125,Data_Summary!AA125)=1,Data_Summary!AA125,"")))</f>
        <v>Allocation &amp; Deployment Transparency</v>
      </c>
      <c r="AK124" s="17" t="n">
        <f aca="false">IF(AJ124="","",COUNTIFS(Data_Summary!$Y$2:$Y$20001,"Coverage",Data_Summary!$AA$2:$AA$20001,AJ124))</f>
        <v>5</v>
      </c>
      <c r="AM124" s="17" t="str">
        <f aca="false">IF(Data_Insight!X124="","",IF(COUNTIF(Data_Insight!$X$2:$X124,Data_Insight!X124)=1,Data_Insight!X124,""))</f>
        <v/>
      </c>
      <c r="AN124" s="17" t="str">
        <f aca="false">IF(AM124="","",COUNTIF(Data_Insight!$X$2:$X$20001,AM124))</f>
        <v/>
      </c>
    </row>
    <row r="125" customFormat="false" ht="15" hidden="false" customHeight="true" outlineLevel="0" collapsed="false">
      <c r="AJ125" s="17" t="str">
        <f aca="false">IF(Data_Summary!Y126&lt;&gt;"Coverage","",IF(Data_Summary!AA126="","",IF(COUNTIFS(Data_Summary!$Y$2:$Y126,"Coverage",Data_Summary!$AA$2:$AA126,Data_Summary!AA126)=1,Data_Summary!AA126,"")))</f>
        <v/>
      </c>
      <c r="AK125" s="17" t="str">
        <f aca="false">IF(AJ125="","",COUNTIFS(Data_Summary!$Y$2:$Y$20001,"Coverage",Data_Summary!$AA$2:$AA$20001,AJ125))</f>
        <v/>
      </c>
      <c r="AM125" s="17" t="str">
        <f aca="false">IF(Data_Insight!X125="","",IF(COUNTIF(Data_Insight!$X$2:$X125,Data_Insight!X125)=1,Data_Insight!X125,""))</f>
        <v/>
      </c>
      <c r="AN125" s="17" t="str">
        <f aca="false">IF(AM125="","",COUNTIF(Data_Insight!$X$2:$X$20001,AM125))</f>
        <v/>
      </c>
    </row>
    <row r="126" customFormat="false" ht="15" hidden="false" customHeight="true" outlineLevel="0" collapsed="false">
      <c r="AJ126" s="17" t="str">
        <f aca="false">IF(Data_Summary!Y127&lt;&gt;"Coverage","",IF(Data_Summary!AA127="","",IF(COUNTIFS(Data_Summary!$Y$2:$Y127,"Coverage",Data_Summary!$AA$2:$AA127,Data_Summary!AA127)=1,Data_Summary!AA127,"")))</f>
        <v/>
      </c>
      <c r="AK126" s="17" t="str">
        <f aca="false">IF(AJ126="","",COUNTIFS(Data_Summary!$Y$2:$Y$20001,"Coverage",Data_Summary!$AA$2:$AA$20001,AJ126))</f>
        <v/>
      </c>
      <c r="AM126" s="17" t="str">
        <f aca="false">IF(Data_Insight!X126="","",IF(COUNTIF(Data_Insight!$X$2:$X126,Data_Insight!X126)=1,Data_Insight!X126,""))</f>
        <v/>
      </c>
      <c r="AN126" s="17" t="str">
        <f aca="false">IF(AM126="","",COUNTIF(Data_Insight!$X$2:$X$20001,AM126))</f>
        <v/>
      </c>
    </row>
    <row r="127" customFormat="false" ht="15" hidden="false" customHeight="true" outlineLevel="0" collapsed="false">
      <c r="AJ127" s="17" t="str">
        <f aca="false">IF(Data_Summary!Y128&lt;&gt;"Coverage","",IF(Data_Summary!AA128="","",IF(COUNTIFS(Data_Summary!$Y$2:$Y128,"Coverage",Data_Summary!$AA$2:$AA128,Data_Summary!AA128)=1,Data_Summary!AA128,"")))</f>
        <v/>
      </c>
      <c r="AK127" s="17" t="str">
        <f aca="false">IF(AJ127="","",COUNTIFS(Data_Summary!$Y$2:$Y$20001,"Coverage",Data_Summary!$AA$2:$AA$20001,AJ127))</f>
        <v/>
      </c>
      <c r="AM127" s="17" t="str">
        <f aca="false">IF(Data_Insight!X127="","",IF(COUNTIF(Data_Insight!$X$2:$X127,Data_Insight!X127)=1,Data_Insight!X127,""))</f>
        <v/>
      </c>
      <c r="AN127" s="17" t="str">
        <f aca="false">IF(AM127="","",COUNTIF(Data_Insight!$X$2:$X$20001,AM127))</f>
        <v/>
      </c>
    </row>
    <row r="128" customFormat="false" ht="15" hidden="false" customHeight="true" outlineLevel="0" collapsed="false">
      <c r="AJ128" s="17" t="str">
        <f aca="false">IF(Data_Summary!Y129&lt;&gt;"Coverage","",IF(Data_Summary!AA129="","",IF(COUNTIFS(Data_Summary!$Y$2:$Y129,"Coverage",Data_Summary!$AA$2:$AA129,Data_Summary!AA129)=1,Data_Summary!AA129,"")))</f>
        <v>Career Path Visibility</v>
      </c>
      <c r="AK128" s="17" t="n">
        <f aca="false">IF(AJ128="","",COUNTIFS(Data_Summary!$Y$2:$Y$20001,"Coverage",Data_Summary!$AA$2:$AA$20001,AJ128))</f>
        <v>13</v>
      </c>
      <c r="AM128" s="17" t="str">
        <f aca="false">IF(Data_Insight!X128="","",IF(COUNTIF(Data_Insight!$X$2:$X128,Data_Insight!X128)=1,Data_Insight!X128,""))</f>
        <v/>
      </c>
      <c r="AN128" s="17" t="str">
        <f aca="false">IF(AM128="","",COUNTIF(Data_Insight!$X$2:$X$20001,AM128))</f>
        <v/>
      </c>
    </row>
    <row r="129" customFormat="false" ht="15" hidden="false" customHeight="true" outlineLevel="0" collapsed="false">
      <c r="AJ129" s="17" t="str">
        <f aca="false">IF(Data_Summary!Y130&lt;&gt;"Coverage","",IF(Data_Summary!AA130="","",IF(COUNTIFS(Data_Summary!$Y$2:$Y130,"Coverage",Data_Summary!$AA$2:$AA130,Data_Summary!AA130)=1,Data_Summary!AA130,"")))</f>
        <v/>
      </c>
      <c r="AK129" s="17" t="str">
        <f aca="false">IF(AJ129="","",COUNTIFS(Data_Summary!$Y$2:$Y$20001,"Coverage",Data_Summary!$AA$2:$AA$20001,AJ129))</f>
        <v/>
      </c>
      <c r="AM129" s="17" t="str">
        <f aca="false">IF(Data_Insight!X129="","",IF(COUNTIF(Data_Insight!$X$2:$X129,Data_Insight!X129)=1,Data_Insight!X129,""))</f>
        <v/>
      </c>
      <c r="AN129" s="17" t="str">
        <f aca="false">IF(AM129="","",COUNTIF(Data_Insight!$X$2:$X$20001,AM129))</f>
        <v/>
      </c>
    </row>
    <row r="130" customFormat="false" ht="15" hidden="false" customHeight="true" outlineLevel="0" collapsed="false">
      <c r="AJ130" s="17" t="str">
        <f aca="false">IF(Data_Summary!Y131&lt;&gt;"Coverage","",IF(Data_Summary!AA131="","",IF(COUNTIFS(Data_Summary!$Y$2:$Y131,"Coverage",Data_Summary!$AA$2:$AA131,Data_Summary!AA131)=1,Data_Summary!AA131,"")))</f>
        <v/>
      </c>
      <c r="AK130" s="17" t="str">
        <f aca="false">IF(AJ130="","",COUNTIFS(Data_Summary!$Y$2:$Y$20001,"Coverage",Data_Summary!$AA$2:$AA$20001,AJ130))</f>
        <v/>
      </c>
      <c r="AM130" s="17" t="str">
        <f aca="false">IF(Data_Insight!X130="","",IF(COUNTIF(Data_Insight!$X$2:$X130,Data_Insight!X130)=1,Data_Insight!X130,""))</f>
        <v/>
      </c>
      <c r="AN130" s="17" t="str">
        <f aca="false">IF(AM130="","",COUNTIF(Data_Insight!$X$2:$X$20001,AM130))</f>
        <v/>
      </c>
    </row>
    <row r="131" customFormat="false" ht="15" hidden="false" customHeight="true" outlineLevel="0" collapsed="false">
      <c r="AJ131" s="17" t="str">
        <f aca="false">IF(Data_Summary!Y132&lt;&gt;"Coverage","",IF(Data_Summary!AA132="","",IF(COUNTIFS(Data_Summary!$Y$2:$Y132,"Coverage",Data_Summary!$AA$2:$AA132,Data_Summary!AA132)=1,Data_Summary!AA132,"")))</f>
        <v/>
      </c>
      <c r="AK131" s="17" t="str">
        <f aca="false">IF(AJ131="","",COUNTIFS(Data_Summary!$Y$2:$Y$20001,"Coverage",Data_Summary!$AA$2:$AA$20001,AJ131))</f>
        <v/>
      </c>
      <c r="AM131" s="17" t="str">
        <f aca="false">IF(Data_Insight!X131="","",IF(COUNTIF(Data_Insight!$X$2:$X131,Data_Insight!X131)=1,Data_Insight!X131,""))</f>
        <v/>
      </c>
      <c r="AN131" s="17" t="str">
        <f aca="false">IF(AM131="","",COUNTIF(Data_Insight!$X$2:$X$20001,AM131))</f>
        <v/>
      </c>
    </row>
    <row r="132" customFormat="false" ht="15" hidden="false" customHeight="true" outlineLevel="0" collapsed="false">
      <c r="AJ132" s="17" t="str">
        <f aca="false">IF(Data_Summary!Y133&lt;&gt;"Coverage","",IF(Data_Summary!AA133="","",IF(COUNTIFS(Data_Summary!$Y$2:$Y133,"Coverage",Data_Summary!$AA$2:$AA133,Data_Summary!AA133)=1,Data_Summary!AA133,"")))</f>
        <v/>
      </c>
      <c r="AK132" s="17" t="str">
        <f aca="false">IF(AJ132="","",COUNTIFS(Data_Summary!$Y$2:$Y$20001,"Coverage",Data_Summary!$AA$2:$AA$20001,AJ132))</f>
        <v/>
      </c>
      <c r="AM132" s="17" t="str">
        <f aca="false">IF(Data_Insight!X132="","",IF(COUNTIF(Data_Insight!$X$2:$X132,Data_Insight!X132)=1,Data_Insight!X132,""))</f>
        <v/>
      </c>
      <c r="AN132" s="17" t="str">
        <f aca="false">IF(AM132="","",COUNTIF(Data_Insight!$X$2:$X$20001,AM132))</f>
        <v/>
      </c>
    </row>
    <row r="133" customFormat="false" ht="15" hidden="false" customHeight="true" outlineLevel="0" collapsed="false">
      <c r="AJ133" s="17" t="str">
        <f aca="false">IF(Data_Summary!Y134&lt;&gt;"Coverage","",IF(Data_Summary!AA134="","",IF(COUNTIFS(Data_Summary!$Y$2:$Y134,"Coverage",Data_Summary!$AA$2:$AA134,Data_Summary!AA134)=1,Data_Summary!AA134,"")))</f>
        <v>For Role Rotation (PM/PGM/architect)</v>
      </c>
      <c r="AK133" s="17" t="n">
        <f aca="false">IF(AJ133="","",COUNTIFS(Data_Summary!$Y$2:$Y$20001,"Coverage",Data_Summary!$AA$2:$AA$20001,AJ133))</f>
        <v>5</v>
      </c>
      <c r="AM133" s="17" t="str">
        <f aca="false">IF(Data_Insight!X133="","",IF(COUNTIF(Data_Insight!$X$2:$X133,Data_Insight!X133)=1,Data_Insight!X133,""))</f>
        <v/>
      </c>
      <c r="AN133" s="17" t="str">
        <f aca="false">IF(AM133="","",COUNTIF(Data_Insight!$X$2:$X$20001,AM133))</f>
        <v/>
      </c>
    </row>
    <row r="134" customFormat="false" ht="15" hidden="false" customHeight="true" outlineLevel="0" collapsed="false">
      <c r="AJ134" s="17" t="str">
        <f aca="false">IF(Data_Summary!Y135&lt;&gt;"Coverage","",IF(Data_Summary!AA135="","",IF(COUNTIFS(Data_Summary!$Y$2:$Y135,"Coverage",Data_Summary!$AA$2:$AA135,Data_Summary!AA135)=1,Data_Summary!AA135,"")))</f>
        <v>Recognition Equity &amp; Visibility</v>
      </c>
      <c r="AK134" s="17" t="n">
        <f aca="false">IF(AJ134="","",COUNTIFS(Data_Summary!$Y$2:$Y$20001,"Coverage",Data_Summary!$AA$2:$AA$20001,AJ134))</f>
        <v>2</v>
      </c>
      <c r="AM134" s="17" t="str">
        <f aca="false">IF(Data_Insight!X134="","",IF(COUNTIF(Data_Insight!$X$2:$X134,Data_Insight!X134)=1,Data_Insight!X134,""))</f>
        <v/>
      </c>
      <c r="AN134" s="17" t="str">
        <f aca="false">IF(AM134="","",COUNTIF(Data_Insight!$X$2:$X$20001,AM134))</f>
        <v/>
      </c>
    </row>
    <row r="135" customFormat="false" ht="15" hidden="false" customHeight="true" outlineLevel="0" collapsed="false">
      <c r="AJ135" s="17" t="str">
        <f aca="false">IF(Data_Summary!Y136&lt;&gt;"Coverage","",IF(Data_Summary!AA136="","",IF(COUNTIFS(Data_Summary!$Y$2:$Y136,"Coverage",Data_Summary!$AA$2:$AA136,Data_Summary!AA136)=1,Data_Summary!AA136,"")))</f>
        <v/>
      </c>
      <c r="AK135" s="17" t="str">
        <f aca="false">IF(AJ135="","",COUNTIFS(Data_Summary!$Y$2:$Y$20001,"Coverage",Data_Summary!$AA$2:$AA$20001,AJ135))</f>
        <v/>
      </c>
      <c r="AM135" s="17" t="str">
        <f aca="false">IF(Data_Insight!X135="","",IF(COUNTIF(Data_Insight!$X$2:$X135,Data_Insight!X135)=1,Data_Insight!X135,""))</f>
        <v/>
      </c>
      <c r="AN135" s="17" t="str">
        <f aca="false">IF(AM135="","",COUNTIF(Data_Insight!$X$2:$X$20001,AM135))</f>
        <v/>
      </c>
    </row>
    <row r="136" customFormat="false" ht="15" hidden="false" customHeight="true" outlineLevel="0" collapsed="false">
      <c r="AJ136" s="17" t="str">
        <f aca="false">IF(Data_Summary!Y137&lt;&gt;"Coverage","",IF(Data_Summary!AA137="","",IF(COUNTIFS(Data_Summary!$Y$2:$Y137,"Coverage",Data_Summary!$AA$2:$AA137,Data_Summary!AA137)=1,Data_Summary!AA137,"")))</f>
        <v/>
      </c>
      <c r="AK136" s="17" t="str">
        <f aca="false">IF(AJ136="","",COUNTIFS(Data_Summary!$Y$2:$Y$20001,"Coverage",Data_Summary!$AA$2:$AA$20001,AJ136))</f>
        <v/>
      </c>
      <c r="AM136" s="17" t="str">
        <f aca="false">IF(Data_Insight!X136="","",IF(COUNTIF(Data_Insight!$X$2:$X136,Data_Insight!X136)=1,Data_Insight!X136,""))</f>
        <v/>
      </c>
      <c r="AN136" s="17" t="str">
        <f aca="false">IF(AM136="","",COUNTIF(Data_Insight!$X$2:$X$20001,AM136))</f>
        <v/>
      </c>
    </row>
    <row r="137" customFormat="false" ht="15" hidden="false" customHeight="true" outlineLevel="0" collapsed="false">
      <c r="AJ137" s="17" t="str">
        <f aca="false">IF(Data_Summary!Y138&lt;&gt;"Coverage","",IF(Data_Summary!AA138="","",IF(COUNTIFS(Data_Summary!$Y$2:$Y138,"Coverage",Data_Summary!$AA$2:$AA138,Data_Summary!AA138)=1,Data_Summary!AA138,"")))</f>
        <v/>
      </c>
      <c r="AK137" s="17" t="str">
        <f aca="false">IF(AJ137="","",COUNTIFS(Data_Summary!$Y$2:$Y$20001,"Coverage",Data_Summary!$AA$2:$AA$20001,AJ137))</f>
        <v/>
      </c>
      <c r="AM137" s="17" t="str">
        <f aca="false">IF(Data_Insight!X137="","",IF(COUNTIF(Data_Insight!$X$2:$X137,Data_Insight!X137)=1,Data_Insight!X137,""))</f>
        <v/>
      </c>
      <c r="AN137" s="17" t="str">
        <f aca="false">IF(AM137="","",COUNTIF(Data_Insight!$X$2:$X$20001,AM137))</f>
        <v/>
      </c>
    </row>
    <row r="138" customFormat="false" ht="15" hidden="false" customHeight="true" outlineLevel="0" collapsed="false">
      <c r="AJ138" s="17" t="str">
        <f aca="false">IF(Data_Summary!Y139&lt;&gt;"Coverage","",IF(Data_Summary!AA139="","",IF(COUNTIFS(Data_Summary!$Y$2:$Y139,"Coverage",Data_Summary!$AA$2:$AA139,Data_Summary!AA139)=1,Data_Summary!AA139,"")))</f>
        <v/>
      </c>
      <c r="AK138" s="17" t="str">
        <f aca="false">IF(AJ138="","",COUNTIFS(Data_Summary!$Y$2:$Y$20001,"Coverage",Data_Summary!$AA$2:$AA$20001,AJ138))</f>
        <v/>
      </c>
      <c r="AM138" s="17" t="str">
        <f aca="false">IF(Data_Insight!X138="","",IF(COUNTIF(Data_Insight!$X$2:$X138,Data_Insight!X138)=1,Data_Insight!X138,""))</f>
        <v/>
      </c>
      <c r="AN138" s="17" t="str">
        <f aca="false">IF(AM138="","",COUNTIF(Data_Insight!$X$2:$X$20001,AM138))</f>
        <v/>
      </c>
    </row>
    <row r="139" customFormat="false" ht="15" hidden="false" customHeight="true" outlineLevel="0" collapsed="false">
      <c r="AJ139" s="17" t="str">
        <f aca="false">IF(Data_Summary!Y140&lt;&gt;"Coverage","",IF(Data_Summary!AA140="","",IF(COUNTIFS(Data_Summary!$Y$2:$Y140,"Coverage",Data_Summary!$AA$2:$AA140,Data_Summary!AA140)=1,Data_Summary!AA140,"")))</f>
        <v/>
      </c>
      <c r="AK139" s="17" t="str">
        <f aca="false">IF(AJ139="","",COUNTIFS(Data_Summary!$Y$2:$Y$20001,"Coverage",Data_Summary!$AA$2:$AA$20001,AJ139))</f>
        <v/>
      </c>
      <c r="AM139" s="17" t="str">
        <f aca="false">IF(Data_Insight!X139="","",IF(COUNTIF(Data_Insight!$X$2:$X139,Data_Insight!X139)=1,Data_Insight!X139,""))</f>
        <v/>
      </c>
      <c r="AN139" s="17" t="str">
        <f aca="false">IF(AM139="","",COUNTIF(Data_Insight!$X$2:$X$20001,AM139))</f>
        <v/>
      </c>
    </row>
    <row r="140" customFormat="false" ht="15" hidden="false" customHeight="true" outlineLevel="0" collapsed="false">
      <c r="AJ140" s="17" t="str">
        <f aca="false">IF(Data_Summary!Y141&lt;&gt;"Coverage","",IF(Data_Summary!AA141="","",IF(COUNTIFS(Data_Summary!$Y$2:$Y141,"Coverage",Data_Summary!$AA$2:$AA141,Data_Summary!AA141)=1,Data_Summary!AA141,"")))</f>
        <v>Team Integration</v>
      </c>
      <c r="AK140" s="17" t="n">
        <f aca="false">IF(AJ140="","",COUNTIFS(Data_Summary!$Y$2:$Y$20001,"Coverage",Data_Summary!$AA$2:$AA$20001,AJ140))</f>
        <v>13</v>
      </c>
      <c r="AM140" s="17" t="str">
        <f aca="false">IF(Data_Insight!X140="","",IF(COUNTIF(Data_Insight!$X$2:$X140,Data_Insight!X140)=1,Data_Insight!X140,""))</f>
        <v/>
      </c>
      <c r="AN140" s="17" t="str">
        <f aca="false">IF(AM140="","",COUNTIF(Data_Insight!$X$2:$X$20001,AM140))</f>
        <v/>
      </c>
    </row>
    <row r="141" customFormat="false" ht="15" hidden="false" customHeight="true" outlineLevel="0" collapsed="false">
      <c r="AJ141" s="17" t="str">
        <f aca="false">IF(Data_Summary!Y142&lt;&gt;"Coverage","",IF(Data_Summary!AA142="","",IF(COUNTIFS(Data_Summary!$Y$2:$Y142,"Coverage",Data_Summary!$AA$2:$AA142,Data_Summary!AA142)=1,Data_Summary!AA142,"")))</f>
        <v>Queries related to BGV check</v>
      </c>
      <c r="AK141" s="17" t="n">
        <f aca="false">IF(AJ141="","",COUNTIFS(Data_Summary!$Y$2:$Y$20001,"Coverage",Data_Summary!$AA$2:$AA$20001,AJ141))</f>
        <v>12</v>
      </c>
      <c r="AM141" s="17" t="str">
        <f aca="false">IF(Data_Insight!X141="","",IF(COUNTIF(Data_Insight!$X$2:$X141,Data_Insight!X141)=1,Data_Insight!X141,""))</f>
        <v/>
      </c>
      <c r="AN141" s="17" t="str">
        <f aca="false">IF(AM141="","",COUNTIF(Data_Insight!$X$2:$X$20001,AM141))</f>
        <v/>
      </c>
    </row>
    <row r="142" customFormat="false" ht="12.75" hidden="false" customHeight="true" outlineLevel="0" collapsed="false">
      <c r="AJ142" s="17" t="str">
        <f aca="false">IF(Data_Summary!Y143&lt;&gt;"Coverage","",IF(Data_Summary!AA143="","",IF(COUNTIFS(Data_Summary!$Y$2:$Y143,"Coverage",Data_Summary!$AA$2:$AA143,Data_Summary!AA143)=1,Data_Summary!AA143,"")))</f>
        <v/>
      </c>
      <c r="AK142" s="17" t="str">
        <f aca="false">IF(AJ142="","",COUNTIFS(Data_Summary!$Y$2:$Y$20001,"Coverage",Data_Summary!$AA$2:$AA$20001,AJ142))</f>
        <v/>
      </c>
      <c r="AM142" s="17" t="str">
        <f aca="false">IF(Data_Insight!X142="","",IF(COUNTIF(Data_Insight!$X$2:$X142,Data_Insight!X142)=1,Data_Insight!X142,""))</f>
        <v/>
      </c>
      <c r="AN142" s="17" t="str">
        <f aca="false">IF(AM142="","",COUNTIF(Data_Insight!$X$2:$X$20001,AM142))</f>
        <v/>
      </c>
    </row>
    <row r="143" customFormat="false" ht="15.75" hidden="false" customHeight="true" outlineLevel="0" collapsed="false">
      <c r="AJ143" s="17" t="str">
        <f aca="false">IF(Data_Summary!Y144&lt;&gt;"Coverage","",IF(Data_Summary!AA144="","",IF(COUNTIFS(Data_Summary!$Y$2:$Y144,"Coverage",Data_Summary!$AA$2:$AA144,Data_Summary!AA144)=1,Data_Summary!AA144,"")))</f>
        <v/>
      </c>
      <c r="AK143" s="17" t="str">
        <f aca="false">IF(AJ143="","",COUNTIFS(Data_Summary!$Y$2:$Y$20001,"Coverage",Data_Summary!$AA$2:$AA$20001,AJ143))</f>
        <v/>
      </c>
      <c r="AM143" s="17" t="str">
        <f aca="false">IF(Data_Insight!X143="","",IF(COUNTIF(Data_Insight!$X$2:$X143,Data_Insight!X143)=1,Data_Insight!X143,""))</f>
        <v/>
      </c>
      <c r="AN143" s="17" t="str">
        <f aca="false">IF(AM143="","",COUNTIF(Data_Insight!$X$2:$X$20001,AM143))</f>
        <v/>
      </c>
    </row>
    <row r="144" customFormat="false" ht="13.5" hidden="false" customHeight="true" outlineLevel="0" collapsed="false">
      <c r="AJ144" s="17" t="str">
        <f aca="false">IF(Data_Summary!Y145&lt;&gt;"Coverage","",IF(Data_Summary!AA145="","",IF(COUNTIFS(Data_Summary!$Y$2:$Y145,"Coverage",Data_Summary!$AA$2:$AA145,Data_Summary!AA145)=1,Data_Summary!AA145,"")))</f>
        <v/>
      </c>
      <c r="AK144" s="17" t="str">
        <f aca="false">IF(AJ144="","",COUNTIFS(Data_Summary!$Y$2:$Y$20001,"Coverage",Data_Summary!$AA$2:$AA$20001,AJ144))</f>
        <v/>
      </c>
      <c r="AM144" s="17" t="str">
        <f aca="false">IF(Data_Insight!X144="","",IF(COUNTIF(Data_Insight!$X$2:$X144,Data_Insight!X144)=1,Data_Insight!X144,""))</f>
        <v/>
      </c>
      <c r="AN144" s="17" t="str">
        <f aca="false">IF(AM144="","",COUNTIF(Data_Insight!$X$2:$X$20001,AM144))</f>
        <v/>
      </c>
    </row>
    <row r="145" customFormat="false" ht="15" hidden="false" customHeight="true" outlineLevel="0" collapsed="false">
      <c r="AJ145" s="17" t="str">
        <f aca="false">IF(Data_Summary!Y146&lt;&gt;"Coverage","",IF(Data_Summary!AA146="","",IF(COUNTIFS(Data_Summary!$Y$2:$Y146,"Coverage",Data_Summary!$AA$2:$AA146,Data_Summary!AA146)=1,Data_Summary!AA146,"")))</f>
        <v/>
      </c>
      <c r="AK145" s="17" t="str">
        <f aca="false">IF(AJ145="","",COUNTIFS(Data_Summary!$Y$2:$Y$20001,"Coverage",Data_Summary!$AA$2:$AA$20001,AJ145))</f>
        <v/>
      </c>
      <c r="AM145" s="17" t="str">
        <f aca="false">IF(Data_Insight!X145="","",IF(COUNTIF(Data_Insight!$X$2:$X145,Data_Insight!X145)=1,Data_Insight!X145,""))</f>
        <v/>
      </c>
      <c r="AN145" s="17" t="str">
        <f aca="false">IF(AM145="","",COUNTIF(Data_Insight!$X$2:$X$20001,AM145))</f>
        <v/>
      </c>
    </row>
    <row r="146" customFormat="false" ht="15" hidden="false" customHeight="true" outlineLevel="0" collapsed="false">
      <c r="AJ146" s="17" t="str">
        <f aca="false">IF(Data_Summary!Y147&lt;&gt;"Coverage","",IF(Data_Summary!AA147="","",IF(COUNTIFS(Data_Summary!$Y$2:$Y147,"Coverage",Data_Summary!$AA$2:$AA147,Data_Summary!AA147)=1,Data_Summary!AA147,"")))</f>
        <v/>
      </c>
      <c r="AK146" s="17" t="str">
        <f aca="false">IF(AJ146="","",COUNTIFS(Data_Summary!$Y$2:$Y$20001,"Coverage",Data_Summary!$AA$2:$AA$20001,AJ146))</f>
        <v/>
      </c>
      <c r="AM146" s="17" t="str">
        <f aca="false">IF(Data_Insight!X146="","",IF(COUNTIF(Data_Insight!$X$2:$X146,Data_Insight!X146)=1,Data_Insight!X146,""))</f>
        <v/>
      </c>
      <c r="AN146" s="17" t="str">
        <f aca="false">IF(AM146="","",COUNTIF(Data_Insight!$X$2:$X$20001,AM146))</f>
        <v/>
      </c>
    </row>
    <row r="147" customFormat="false" ht="15" hidden="false" customHeight="true" outlineLevel="0" collapsed="false">
      <c r="AJ147" s="17" t="str">
        <f aca="false">IF(Data_Summary!Y148&lt;&gt;"Coverage","",IF(Data_Summary!AA148="","",IF(COUNTIFS(Data_Summary!$Y$2:$Y148,"Coverage",Data_Summary!$AA$2:$AA148,Data_Summary!AA148)=1,Data_Summary!AA148,"")))</f>
        <v/>
      </c>
      <c r="AK147" s="17" t="str">
        <f aca="false">IF(AJ147="","",COUNTIFS(Data_Summary!$Y$2:$Y$20001,"Coverage",Data_Summary!$AA$2:$AA$20001,AJ147))</f>
        <v/>
      </c>
      <c r="AM147" s="17" t="str">
        <f aca="false">IF(Data_Insight!X147="","",IF(COUNTIF(Data_Insight!$X$2:$X147,Data_Insight!X147)=1,Data_Insight!X147,""))</f>
        <v/>
      </c>
      <c r="AN147" s="17" t="str">
        <f aca="false">IF(AM147="","",COUNTIF(Data_Insight!$X$2:$X$20001,AM147))</f>
        <v/>
      </c>
    </row>
    <row r="148" customFormat="false" ht="12.75" hidden="false" customHeight="true" outlineLevel="0" collapsed="false">
      <c r="AJ148" s="17" t="str">
        <f aca="false">IF(Data_Summary!Y149&lt;&gt;"Coverage","",IF(Data_Summary!AA149="","",IF(COUNTIFS(Data_Summary!$Y$2:$Y149,"Coverage",Data_Summary!$AA$2:$AA149,Data_Summary!AA149)=1,Data_Summary!AA149,"")))</f>
        <v/>
      </c>
      <c r="AK148" s="17" t="str">
        <f aca="false">IF(AJ148="","",COUNTIFS(Data_Summary!$Y$2:$Y$20001,"Coverage",Data_Summary!$AA$2:$AA$20001,AJ148))</f>
        <v/>
      </c>
      <c r="AM148" s="17" t="str">
        <f aca="false">IF(Data_Insight!X148="","",IF(COUNTIF(Data_Insight!$X$2:$X148,Data_Insight!X148)=1,Data_Insight!X148,""))</f>
        <v/>
      </c>
      <c r="AN148" s="17" t="str">
        <f aca="false">IF(AM148="","",COUNTIF(Data_Insight!$X$2:$X$20001,AM148))</f>
        <v/>
      </c>
    </row>
    <row r="149" customFormat="false" ht="12.75" hidden="false" customHeight="true" outlineLevel="0" collapsed="false">
      <c r="AJ149" s="17" t="str">
        <f aca="false">IF(Data_Summary!Y150&lt;&gt;"Coverage","",IF(Data_Summary!AA150="","",IF(COUNTIFS(Data_Summary!$Y$2:$Y150,"Coverage",Data_Summary!$AA$2:$AA150,Data_Summary!AA150)=1,Data_Summary!AA150,"")))</f>
        <v/>
      </c>
      <c r="AK149" s="17" t="str">
        <f aca="false">IF(AJ149="","",COUNTIFS(Data_Summary!$Y$2:$Y$20001,"Coverage",Data_Summary!$AA$2:$AA$20001,AJ149))</f>
        <v/>
      </c>
      <c r="AM149" s="17" t="str">
        <f aca="false">IF(Data_Insight!X149="","",IF(COUNTIF(Data_Insight!$X$2:$X149,Data_Insight!X149)=1,Data_Insight!X149,""))</f>
        <v/>
      </c>
      <c r="AN149" s="17" t="str">
        <f aca="false">IF(AM149="","",COUNTIF(Data_Insight!$X$2:$X$20001,AM149))</f>
        <v/>
      </c>
    </row>
    <row r="150" customFormat="false" ht="15" hidden="false" customHeight="true" outlineLevel="0" collapsed="false">
      <c r="AJ150" s="17" t="str">
        <f aca="false">IF(Data_Summary!Y151&lt;&gt;"Coverage","",IF(Data_Summary!AA151="","",IF(COUNTIFS(Data_Summary!$Y$2:$Y151,"Coverage",Data_Summary!$AA$2:$AA151,Data_Summary!AA151)=1,Data_Summary!AA151,"")))</f>
        <v/>
      </c>
      <c r="AK150" s="17" t="str">
        <f aca="false">IF(AJ150="","",COUNTIFS(Data_Summary!$Y$2:$Y$20001,"Coverage",Data_Summary!$AA$2:$AA$20001,AJ150))</f>
        <v/>
      </c>
      <c r="AM150" s="17" t="str">
        <f aca="false">IF(Data_Insight!X150="","",IF(COUNTIF(Data_Insight!$X$2:$X150,Data_Insight!X150)=1,Data_Insight!X150,""))</f>
        <v/>
      </c>
      <c r="AN150" s="17" t="str">
        <f aca="false">IF(AM150="","",COUNTIF(Data_Insight!$X$2:$X$20001,AM150))</f>
        <v/>
      </c>
    </row>
    <row r="151" customFormat="false" ht="32.25" hidden="false" customHeight="true" outlineLevel="0" collapsed="false">
      <c r="AJ151" s="17" t="str">
        <f aca="false">IF(Data_Summary!Y152&lt;&gt;"Coverage","",IF(Data_Summary!AA152="","",IF(COUNTIFS(Data_Summary!$Y$2:$Y152,"Coverage",Data_Summary!$AA$2:$AA152,Data_Summary!AA152)=1,Data_Summary!AA152,"")))</f>
        <v/>
      </c>
      <c r="AK151" s="17" t="str">
        <f aca="false">IF(AJ151="","",COUNTIFS(Data_Summary!$Y$2:$Y$20001,"Coverage",Data_Summary!$AA$2:$AA$20001,AJ151))</f>
        <v/>
      </c>
      <c r="AM151" s="17" t="str">
        <f aca="false">IF(Data_Insight!X151="","",IF(COUNTIF(Data_Insight!$X$2:$X151,Data_Insight!X151)=1,Data_Insight!X151,""))</f>
        <v/>
      </c>
      <c r="AN151" s="17" t="str">
        <f aca="false">IF(AM151="","",COUNTIF(Data_Insight!$X$2:$X$20001,AM151))</f>
        <v/>
      </c>
    </row>
    <row r="152" customFormat="false" ht="15" hidden="false" customHeight="true" outlineLevel="0" collapsed="false">
      <c r="AJ152" s="17" t="str">
        <f aca="false">IF(Data_Summary!Y153&lt;&gt;"Coverage","",IF(Data_Summary!AA153="","",IF(COUNTIFS(Data_Summary!$Y$2:$Y153,"Coverage",Data_Summary!$AA$2:$AA153,Data_Summary!AA153)=1,Data_Summary!AA153,"")))</f>
        <v/>
      </c>
      <c r="AK152" s="17" t="str">
        <f aca="false">IF(AJ152="","",COUNTIFS(Data_Summary!$Y$2:$Y$20001,"Coverage",Data_Summary!$AA$2:$AA$20001,AJ152))</f>
        <v/>
      </c>
      <c r="AM152" s="17" t="str">
        <f aca="false">IF(Data_Insight!X152="","",IF(COUNTIF(Data_Insight!$X$2:$X152,Data_Insight!X152)=1,Data_Insight!X152,""))</f>
        <v/>
      </c>
      <c r="AN152" s="17" t="str">
        <f aca="false">IF(AM152="","",COUNTIF(Data_Insight!$X$2:$X$20001,AM152))</f>
        <v/>
      </c>
    </row>
    <row r="153" customFormat="false" ht="15" hidden="false" customHeight="true" outlineLevel="0" collapsed="false">
      <c r="AJ153" s="17" t="str">
        <f aca="false">IF(Data_Summary!Y154&lt;&gt;"Coverage","",IF(Data_Summary!AA154="","",IF(COUNTIFS(Data_Summary!$Y$2:$Y154,"Coverage",Data_Summary!$AA$2:$AA154,Data_Summary!AA154)=1,Data_Summary!AA154,"")))</f>
        <v/>
      </c>
      <c r="AK153" s="17" t="str">
        <f aca="false">IF(AJ153="","",COUNTIFS(Data_Summary!$Y$2:$Y$20001,"Coverage",Data_Summary!$AA$2:$AA$20001,AJ153))</f>
        <v/>
      </c>
      <c r="AM153" s="17" t="str">
        <f aca="false">IF(Data_Insight!X153="","",IF(COUNTIF(Data_Insight!$X$2:$X153,Data_Insight!X153)=1,Data_Insight!X153,""))</f>
        <v/>
      </c>
      <c r="AN153" s="17" t="str">
        <f aca="false">IF(AM153="","",COUNTIF(Data_Insight!$X$2:$X$20001,AM153))</f>
        <v/>
      </c>
    </row>
    <row r="154" customFormat="false" ht="15" hidden="false" customHeight="true" outlineLevel="0" collapsed="false">
      <c r="AJ154" s="17" t="str">
        <f aca="false">IF(Data_Summary!Y155&lt;&gt;"Coverage","",IF(Data_Summary!AA155="","",IF(COUNTIFS(Data_Summary!$Y$2:$Y155,"Coverage",Data_Summary!$AA$2:$AA155,Data_Summary!AA155)=1,Data_Summary!AA155,"")))</f>
        <v/>
      </c>
      <c r="AK154" s="17" t="str">
        <f aca="false">IF(AJ154="","",COUNTIFS(Data_Summary!$Y$2:$Y$20001,"Coverage",Data_Summary!$AA$2:$AA$20001,AJ154))</f>
        <v/>
      </c>
      <c r="AM154" s="17" t="str">
        <f aca="false">IF(Data_Insight!X154="","",IF(COUNTIF(Data_Insight!$X$2:$X154,Data_Insight!X154)=1,Data_Insight!X154,""))</f>
        <v/>
      </c>
      <c r="AN154" s="17" t="str">
        <f aca="false">IF(AM154="","",COUNTIF(Data_Insight!$X$2:$X$20001,AM154))</f>
        <v/>
      </c>
    </row>
    <row r="155" customFormat="false" ht="15" hidden="false" customHeight="true" outlineLevel="0" collapsed="false">
      <c r="AJ155" s="17" t="str">
        <f aca="false">IF(Data_Summary!Y156&lt;&gt;"Coverage","",IF(Data_Summary!AA156="","",IF(COUNTIFS(Data_Summary!$Y$2:$Y156,"Coverage",Data_Summary!$AA$2:$AA156,Data_Summary!AA156)=1,Data_Summary!AA156,"")))</f>
        <v/>
      </c>
      <c r="AK155" s="17" t="str">
        <f aca="false">IF(AJ155="","",COUNTIFS(Data_Summary!$Y$2:$Y$20001,"Coverage",Data_Summary!$AA$2:$AA$20001,AJ155))</f>
        <v/>
      </c>
      <c r="AM155" s="17" t="str">
        <f aca="false">IF(Data_Insight!X155="","",IF(COUNTIF(Data_Insight!$X$2:$X155,Data_Insight!X155)=1,Data_Insight!X155,""))</f>
        <v/>
      </c>
      <c r="AN155" s="17" t="str">
        <f aca="false">IF(AM155="","",COUNTIF(Data_Insight!$X$2:$X$20001,AM155))</f>
        <v/>
      </c>
    </row>
    <row r="156" customFormat="false" ht="15" hidden="false" customHeight="true" outlineLevel="0" collapsed="false">
      <c r="AJ156" s="17" t="str">
        <f aca="false">IF(Data_Summary!Y157&lt;&gt;"Coverage","",IF(Data_Summary!AA157="","",IF(COUNTIFS(Data_Summary!$Y$2:$Y157,"Coverage",Data_Summary!$AA$2:$AA157,Data_Summary!AA157)=1,Data_Summary!AA157,"")))</f>
        <v/>
      </c>
      <c r="AK156" s="17" t="str">
        <f aca="false">IF(AJ156="","",COUNTIFS(Data_Summary!$Y$2:$Y$20001,"Coverage",Data_Summary!$AA$2:$AA$20001,AJ156))</f>
        <v/>
      </c>
      <c r="AM156" s="17" t="str">
        <f aca="false">IF(Data_Insight!X156="","",IF(COUNTIF(Data_Insight!$X$2:$X156,Data_Insight!X156)=1,Data_Insight!X156,""))</f>
        <v/>
      </c>
      <c r="AN156" s="17" t="str">
        <f aca="false">IF(AM156="","",COUNTIF(Data_Insight!$X$2:$X$20001,AM156))</f>
        <v/>
      </c>
    </row>
    <row r="157" customFormat="false" ht="15" hidden="false" customHeight="true" outlineLevel="0" collapsed="false">
      <c r="AJ157" s="17" t="str">
        <f aca="false">IF(Data_Summary!Y158&lt;&gt;"Coverage","",IF(Data_Summary!AA158="","",IF(COUNTIFS(Data_Summary!$Y$2:$Y158,"Coverage",Data_Summary!$AA$2:$AA158,Data_Summary!AA158)=1,Data_Summary!AA158,"")))</f>
        <v/>
      </c>
      <c r="AK157" s="17" t="str">
        <f aca="false">IF(AJ157="","",COUNTIFS(Data_Summary!$Y$2:$Y$20001,"Coverage",Data_Summary!$AA$2:$AA$20001,AJ157))</f>
        <v/>
      </c>
      <c r="AM157" s="17" t="str">
        <f aca="false">IF(Data_Insight!X157="","",IF(COUNTIF(Data_Insight!$X$2:$X157,Data_Insight!X157)=1,Data_Insight!X157,""))</f>
        <v/>
      </c>
      <c r="AN157" s="17" t="str">
        <f aca="false">IF(AM157="","",COUNTIF(Data_Insight!$X$2:$X$20001,AM157))</f>
        <v/>
      </c>
    </row>
    <row r="158" customFormat="false" ht="15" hidden="false" customHeight="true" outlineLevel="0" collapsed="false">
      <c r="AJ158" s="17" t="str">
        <f aca="false">IF(Data_Summary!Y159&lt;&gt;"Coverage","",IF(Data_Summary!AA159="","",IF(COUNTIFS(Data_Summary!$Y$2:$Y159,"Coverage",Data_Summary!$AA$2:$AA159,Data_Summary!AA159)=1,Data_Summary!AA159,"")))</f>
        <v/>
      </c>
      <c r="AK158" s="17" t="str">
        <f aca="false">IF(AJ158="","",COUNTIFS(Data_Summary!$Y$2:$Y$20001,"Coverage",Data_Summary!$AA$2:$AA$20001,AJ158))</f>
        <v/>
      </c>
      <c r="AM158" s="17" t="str">
        <f aca="false">IF(Data_Insight!X158="","",IF(COUNTIF(Data_Insight!$X$2:$X158,Data_Insight!X158)=1,Data_Insight!X158,""))</f>
        <v/>
      </c>
      <c r="AN158" s="17" t="str">
        <f aca="false">IF(AM158="","",COUNTIF(Data_Insight!$X$2:$X$20001,AM158))</f>
        <v/>
      </c>
    </row>
    <row r="159" customFormat="false" ht="15" hidden="false" customHeight="true" outlineLevel="0" collapsed="false">
      <c r="AJ159" s="17" t="str">
        <f aca="false">IF(Data_Summary!Y160&lt;&gt;"Coverage","",IF(Data_Summary!AA160="","",IF(COUNTIFS(Data_Summary!$Y$2:$Y160,"Coverage",Data_Summary!$AA$2:$AA160,Data_Summary!AA160)=1,Data_Summary!AA160,"")))</f>
        <v/>
      </c>
      <c r="AK159" s="17" t="str">
        <f aca="false">IF(AJ159="","",COUNTIFS(Data_Summary!$Y$2:$Y$20001,"Coverage",Data_Summary!$AA$2:$AA$20001,AJ159))</f>
        <v/>
      </c>
      <c r="AM159" s="17" t="str">
        <f aca="false">IF(Data_Insight!X159="","",IF(COUNTIF(Data_Insight!$X$2:$X159,Data_Insight!X159)=1,Data_Insight!X159,""))</f>
        <v/>
      </c>
      <c r="AN159" s="17" t="str">
        <f aca="false">IF(AM159="","",COUNTIF(Data_Insight!$X$2:$X$20001,AM159))</f>
        <v/>
      </c>
    </row>
    <row r="160" customFormat="false" ht="15" hidden="false" customHeight="true" outlineLevel="0" collapsed="false">
      <c r="AJ160" s="17" t="str">
        <f aca="false">IF(Data_Summary!Y161&lt;&gt;"Coverage","",IF(Data_Summary!AA161="","",IF(COUNTIFS(Data_Summary!$Y$2:$Y161,"Coverage",Data_Summary!$AA$2:$AA161,Data_Summary!AA161)=1,Data_Summary!AA161,"")))</f>
        <v/>
      </c>
      <c r="AK160" s="17" t="str">
        <f aca="false">IF(AJ160="","",COUNTIFS(Data_Summary!$Y$2:$Y$20001,"Coverage",Data_Summary!$AA$2:$AA$20001,AJ160))</f>
        <v/>
      </c>
      <c r="AM160" s="17" t="str">
        <f aca="false">IF(Data_Insight!X160="","",IF(COUNTIF(Data_Insight!$X$2:$X160,Data_Insight!X160)=1,Data_Insight!X160,""))</f>
        <v/>
      </c>
      <c r="AN160" s="17" t="str">
        <f aca="false">IF(AM160="","",COUNTIF(Data_Insight!$X$2:$X$20001,AM160))</f>
        <v/>
      </c>
    </row>
    <row r="161" customFormat="false" ht="15" hidden="false" customHeight="true" outlineLevel="0" collapsed="false">
      <c r="AJ161" s="17" t="str">
        <f aca="false">IF(Data_Summary!Y162&lt;&gt;"Coverage","",IF(Data_Summary!AA162="","",IF(COUNTIFS(Data_Summary!$Y$2:$Y162,"Coverage",Data_Summary!$AA$2:$AA162,Data_Summary!AA162)=1,Data_Summary!AA162,"")))</f>
        <v/>
      </c>
      <c r="AK161" s="17" t="str">
        <f aca="false">IF(AJ161="","",COUNTIFS(Data_Summary!$Y$2:$Y$20001,"Coverage",Data_Summary!$AA$2:$AA$20001,AJ161))</f>
        <v/>
      </c>
      <c r="AM161" s="17" t="str">
        <f aca="false">IF(Data_Insight!X161="","",IF(COUNTIF(Data_Insight!$X$2:$X161,Data_Insight!X161)=1,Data_Insight!X161,""))</f>
        <v/>
      </c>
      <c r="AN161" s="17" t="str">
        <f aca="false">IF(AM161="","",COUNTIF(Data_Insight!$X$2:$X$20001,AM161))</f>
        <v/>
      </c>
    </row>
    <row r="162" customFormat="false" ht="15" hidden="false" customHeight="true" outlineLevel="0" collapsed="false">
      <c r="AJ162" s="17" t="str">
        <f aca="false">IF(Data_Summary!Y163&lt;&gt;"Coverage","",IF(Data_Summary!AA163="","",IF(COUNTIFS(Data_Summary!$Y$2:$Y163,"Coverage",Data_Summary!$AA$2:$AA163,Data_Summary!AA163)=1,Data_Summary!AA163,"")))</f>
        <v>Timely Policy/process Updates</v>
      </c>
      <c r="AK162" s="17" t="n">
        <f aca="false">IF(AJ162="","",COUNTIFS(Data_Summary!$Y$2:$Y$20001,"Coverage",Data_Summary!$AA$2:$AA$20001,AJ162))</f>
        <v>7</v>
      </c>
      <c r="AM162" s="17" t="str">
        <f aca="false">IF(Data_Insight!X162="","",IF(COUNTIF(Data_Insight!$X$2:$X162,Data_Insight!X162)=1,Data_Insight!X162,""))</f>
        <v/>
      </c>
      <c r="AN162" s="17" t="str">
        <f aca="false">IF(AM162="","",COUNTIF(Data_Insight!$X$2:$X$20001,AM162))</f>
        <v/>
      </c>
    </row>
    <row r="163" customFormat="false" ht="15" hidden="false" customHeight="true" outlineLevel="0" collapsed="false">
      <c r="AJ163" s="17" t="str">
        <f aca="false">IF(Data_Summary!Y164&lt;&gt;"Coverage","",IF(Data_Summary!AA164="","",IF(COUNTIFS(Data_Summary!$Y$2:$Y164,"Coverage",Data_Summary!$AA$2:$AA164,Data_Summary!AA164)=1,Data_Summary!AA164,"")))</f>
        <v>Manager Effectiveness &amp; Delegation</v>
      </c>
      <c r="AK163" s="17" t="n">
        <f aca="false">IF(AJ163="","",COUNTIFS(Data_Summary!$Y$2:$Y$20001,"Coverage",Data_Summary!$AA$2:$AA$20001,AJ163))</f>
        <v>8</v>
      </c>
      <c r="AM163" s="17" t="str">
        <f aca="false">IF(Data_Insight!X163="","",IF(COUNTIF(Data_Insight!$X$2:$X163,Data_Insight!X163)=1,Data_Insight!X163,""))</f>
        <v/>
      </c>
      <c r="AN163" s="17" t="str">
        <f aca="false">IF(AM163="","",COUNTIF(Data_Insight!$X$2:$X$20001,AM163))</f>
        <v/>
      </c>
    </row>
    <row r="164" customFormat="false" ht="15" hidden="false" customHeight="true" outlineLevel="0" collapsed="false">
      <c r="AJ164" s="17" t="str">
        <f aca="false">IF(Data_Summary!Y165&lt;&gt;"Coverage","",IF(Data_Summary!AA165="","",IF(COUNTIFS(Data_Summary!$Y$2:$Y165,"Coverage",Data_Summary!$AA$2:$AA165,Data_Summary!AA165)=1,Data_Summary!AA165,"")))</f>
        <v>Communication &amp; Transparency</v>
      </c>
      <c r="AK164" s="17" t="n">
        <f aca="false">IF(AJ164="","",COUNTIFS(Data_Summary!$Y$2:$Y$20001,"Coverage",Data_Summary!$AA$2:$AA$20001,AJ164))</f>
        <v>10</v>
      </c>
      <c r="AM164" s="17" t="str">
        <f aca="false">IF(Data_Insight!X164="","",IF(COUNTIF(Data_Insight!$X$2:$X164,Data_Insight!X164)=1,Data_Insight!X164,""))</f>
        <v/>
      </c>
      <c r="AN164" s="17" t="str">
        <f aca="false">IF(AM164="","",COUNTIF(Data_Insight!$X$2:$X$20001,AM164))</f>
        <v/>
      </c>
    </row>
    <row r="165" customFormat="false" ht="15" hidden="false" customHeight="true" outlineLevel="0" collapsed="false">
      <c r="AJ165" s="17" t="str">
        <f aca="false">IF(Data_Summary!Y166&lt;&gt;"Coverage","",IF(Data_Summary!AA166="","",IF(COUNTIFS(Data_Summary!$Y$2:$Y166,"Coverage",Data_Summary!$AA$2:$AA166,Data_Summary!AA166)=1,Data_Summary!AA166,"")))</f>
        <v/>
      </c>
      <c r="AK165" s="17" t="str">
        <f aca="false">IF(AJ165="","",COUNTIFS(Data_Summary!$Y$2:$Y$20001,"Coverage",Data_Summary!$AA$2:$AA$20001,AJ165))</f>
        <v/>
      </c>
      <c r="AM165" s="17" t="str">
        <f aca="false">IF(Data_Insight!X165="","",IF(COUNTIF(Data_Insight!$X$2:$X165,Data_Insight!X165)=1,Data_Insight!X165,""))</f>
        <v/>
      </c>
      <c r="AN165" s="17" t="str">
        <f aca="false">IF(AM165="","",COUNTIF(Data_Insight!$X$2:$X$20001,AM165))</f>
        <v/>
      </c>
    </row>
    <row r="166" customFormat="false" ht="15" hidden="false" customHeight="true" outlineLevel="0" collapsed="false">
      <c r="AJ166" s="17" t="str">
        <f aca="false">IF(Data_Summary!Y167&lt;&gt;"Coverage","",IF(Data_Summary!AA167="","",IF(COUNTIFS(Data_Summary!$Y$2:$Y167,"Coverage",Data_Summary!$AA$2:$AA167,Data_Summary!AA167)=1,Data_Summary!AA167,"")))</f>
        <v/>
      </c>
      <c r="AK166" s="17" t="str">
        <f aca="false">IF(AJ166="","",COUNTIFS(Data_Summary!$Y$2:$Y$20001,"Coverage",Data_Summary!$AA$2:$AA$20001,AJ166))</f>
        <v/>
      </c>
      <c r="AM166" s="17" t="str">
        <f aca="false">IF(Data_Insight!X166="","",IF(COUNTIF(Data_Insight!$X$2:$X166,Data_Insight!X166)=1,Data_Insight!X166,""))</f>
        <v/>
      </c>
      <c r="AN166" s="17" t="str">
        <f aca="false">IF(AM166="","",COUNTIF(Data_Insight!$X$2:$X$20001,AM166))</f>
        <v/>
      </c>
    </row>
    <row r="167" customFormat="false" ht="15" hidden="false" customHeight="true" outlineLevel="0" collapsed="false">
      <c r="AJ167" s="17" t="str">
        <f aca="false">IF(Data_Summary!Y168&lt;&gt;"Coverage","",IF(Data_Summary!AA168="","",IF(COUNTIFS(Data_Summary!$Y$2:$Y168,"Coverage",Data_Summary!$AA$2:$AA168,Data_Summary!AA168)=1,Data_Summary!AA168,"")))</f>
        <v/>
      </c>
      <c r="AK167" s="17" t="str">
        <f aca="false">IF(AJ167="","",COUNTIFS(Data_Summary!$Y$2:$Y$20001,"Coverage",Data_Summary!$AA$2:$AA$20001,AJ167))</f>
        <v/>
      </c>
      <c r="AM167" s="17" t="str">
        <f aca="false">IF(Data_Insight!X167="","",IF(COUNTIF(Data_Insight!$X$2:$X167,Data_Insight!X167)=1,Data_Insight!X167,""))</f>
        <v/>
      </c>
      <c r="AN167" s="17" t="str">
        <f aca="false">IF(AM167="","",COUNTIF(Data_Insight!$X$2:$X$20001,AM167))</f>
        <v/>
      </c>
    </row>
    <row r="168" customFormat="false" ht="15" hidden="false" customHeight="true" outlineLevel="0" collapsed="false">
      <c r="AJ168" s="17" t="str">
        <f aca="false">IF(Data_Summary!Y169&lt;&gt;"Coverage","",IF(Data_Summary!AA169="","",IF(COUNTIFS(Data_Summary!$Y$2:$Y169,"Coverage",Data_Summary!$AA$2:$AA169,Data_Summary!AA169)=1,Data_Summary!AA169,"")))</f>
        <v/>
      </c>
      <c r="AK168" s="17" t="str">
        <f aca="false">IF(AJ168="","",COUNTIFS(Data_Summary!$Y$2:$Y$20001,"Coverage",Data_Summary!$AA$2:$AA$20001,AJ168))</f>
        <v/>
      </c>
      <c r="AM168" s="17" t="str">
        <f aca="false">IF(Data_Insight!X168="","",IF(COUNTIF(Data_Insight!$X$2:$X168,Data_Insight!X168)=1,Data_Insight!X168,""))</f>
        <v/>
      </c>
      <c r="AN168" s="17" t="str">
        <f aca="false">IF(AM168="","",COUNTIF(Data_Insight!$X$2:$X$20001,AM168))</f>
        <v/>
      </c>
    </row>
    <row r="169" customFormat="false" ht="15" hidden="false" customHeight="true" outlineLevel="0" collapsed="false">
      <c r="AJ169" s="17" t="str">
        <f aca="false">IF(Data_Summary!Y170&lt;&gt;"Coverage","",IF(Data_Summary!AA170="","",IF(COUNTIFS(Data_Summary!$Y$2:$Y170,"Coverage",Data_Summary!$AA$2:$AA170,Data_Summary!AA170)=1,Data_Summary!AA170,"")))</f>
        <v/>
      </c>
      <c r="AK169" s="17" t="str">
        <f aca="false">IF(AJ169="","",COUNTIFS(Data_Summary!$Y$2:$Y$20001,"Coverage",Data_Summary!$AA$2:$AA$20001,AJ169))</f>
        <v/>
      </c>
      <c r="AM169" s="17" t="str">
        <f aca="false">IF(Data_Insight!X169="","",IF(COUNTIF(Data_Insight!$X$2:$X169,Data_Insight!X169)=1,Data_Insight!X169,""))</f>
        <v/>
      </c>
      <c r="AN169" s="17" t="str">
        <f aca="false">IF(AM169="","",COUNTIF(Data_Insight!$X$2:$X$20001,AM169))</f>
        <v/>
      </c>
    </row>
    <row r="170" customFormat="false" ht="15" hidden="false" customHeight="true" outlineLevel="0" collapsed="false">
      <c r="AJ170" s="17" t="str">
        <f aca="false">IF(Data_Summary!Y171&lt;&gt;"Coverage","",IF(Data_Summary!AA171="","",IF(COUNTIFS(Data_Summary!$Y$2:$Y171,"Coverage",Data_Summary!$AA$2:$AA171,Data_Summary!AA171)=1,Data_Summary!AA171,"")))</f>
        <v/>
      </c>
      <c r="AK170" s="17" t="str">
        <f aca="false">IF(AJ170="","",COUNTIFS(Data_Summary!$Y$2:$Y$20001,"Coverage",Data_Summary!$AA$2:$AA$20001,AJ170))</f>
        <v/>
      </c>
      <c r="AM170" s="17" t="str">
        <f aca="false">IF(Data_Insight!X170="","",IF(COUNTIF(Data_Insight!$X$2:$X170,Data_Insight!X170)=1,Data_Insight!X170,""))</f>
        <v/>
      </c>
      <c r="AN170" s="17" t="str">
        <f aca="false">IF(AM170="","",COUNTIF(Data_Insight!$X$2:$X$20001,AM170))</f>
        <v/>
      </c>
    </row>
    <row r="171" customFormat="false" ht="15" hidden="false" customHeight="true" outlineLevel="0" collapsed="false">
      <c r="AJ171" s="17" t="str">
        <f aca="false">IF(Data_Summary!Y172&lt;&gt;"Coverage","",IF(Data_Summary!AA172="","",IF(COUNTIFS(Data_Summary!$Y$2:$Y172,"Coverage",Data_Summary!$AA$2:$AA172,Data_Summary!AA172)=1,Data_Summary!AA172,"")))</f>
        <v/>
      </c>
      <c r="AK171" s="17" t="str">
        <f aca="false">IF(AJ171="","",COUNTIFS(Data_Summary!$Y$2:$Y$20001,"Coverage",Data_Summary!$AA$2:$AA$20001,AJ171))</f>
        <v/>
      </c>
      <c r="AM171" s="17" t="str">
        <f aca="false">IF(Data_Insight!X171="","",IF(COUNTIF(Data_Insight!$X$2:$X171,Data_Insight!X171)=1,Data_Insight!X171,""))</f>
        <v/>
      </c>
      <c r="AN171" s="17" t="str">
        <f aca="false">IF(AM171="","",COUNTIF(Data_Insight!$X$2:$X$20001,AM171))</f>
        <v/>
      </c>
    </row>
    <row r="172" customFormat="false" ht="15" hidden="false" customHeight="true" outlineLevel="0" collapsed="false">
      <c r="AJ172" s="17" t="str">
        <f aca="false">IF(Data_Summary!Y173&lt;&gt;"Coverage","",IF(Data_Summary!AA173="","",IF(COUNTIFS(Data_Summary!$Y$2:$Y173,"Coverage",Data_Summary!$AA$2:$AA173,Data_Summary!AA173)=1,Data_Summary!AA173,"")))</f>
        <v/>
      </c>
      <c r="AK172" s="17" t="str">
        <f aca="false">IF(AJ172="","",COUNTIFS(Data_Summary!$Y$2:$Y$20001,"Coverage",Data_Summary!$AA$2:$AA$20001,AJ172))</f>
        <v/>
      </c>
      <c r="AM172" s="17" t="str">
        <f aca="false">IF(Data_Insight!X172="","",IF(COUNTIF(Data_Insight!$X$2:$X172,Data_Insight!X172)=1,Data_Insight!X172,""))</f>
        <v/>
      </c>
      <c r="AN172" s="17" t="str">
        <f aca="false">IF(AM172="","",COUNTIF(Data_Insight!$X$2:$X$20001,AM172))</f>
        <v/>
      </c>
    </row>
    <row r="173" customFormat="false" ht="15" hidden="false" customHeight="true" outlineLevel="0" collapsed="false">
      <c r="AJ173" s="17" t="str">
        <f aca="false">IF(Data_Summary!Y174&lt;&gt;"Coverage","",IF(Data_Summary!AA174="","",IF(COUNTIFS(Data_Summary!$Y$2:$Y174,"Coverage",Data_Summary!$AA$2:$AA174,Data_Summary!AA174)=1,Data_Summary!AA174,"")))</f>
        <v/>
      </c>
      <c r="AK173" s="17" t="str">
        <f aca="false">IF(AJ173="","",COUNTIFS(Data_Summary!$Y$2:$Y$20001,"Coverage",Data_Summary!$AA$2:$AA$20001,AJ173))</f>
        <v/>
      </c>
      <c r="AM173" s="17" t="str">
        <f aca="false">IF(Data_Insight!X173="","",IF(COUNTIF(Data_Insight!$X$2:$X173,Data_Insight!X173)=1,Data_Insight!X173,""))</f>
        <v/>
      </c>
      <c r="AN173" s="17" t="str">
        <f aca="false">IF(AM173="","",COUNTIF(Data_Insight!$X$2:$X$20001,AM173))</f>
        <v/>
      </c>
    </row>
    <row r="174" customFormat="false" ht="15" hidden="false" customHeight="true" outlineLevel="0" collapsed="false">
      <c r="AJ174" s="17" t="str">
        <f aca="false">IF(Data_Summary!Y175&lt;&gt;"Coverage","",IF(Data_Summary!AA175="","",IF(COUNTIFS(Data_Summary!$Y$2:$Y175,"Coverage",Data_Summary!$AA$2:$AA175,Data_Summary!AA175)=1,Data_Summary!AA175,"")))</f>
        <v>Internal Growth Opportunities</v>
      </c>
      <c r="AK174" s="17" t="n">
        <f aca="false">IF(AJ174="","",COUNTIFS(Data_Summary!$Y$2:$Y$20001,"Coverage",Data_Summary!$AA$2:$AA$20001,AJ174))</f>
        <v>17</v>
      </c>
      <c r="AM174" s="17" t="str">
        <f aca="false">IF(Data_Insight!X174="","",IF(COUNTIF(Data_Insight!$X$2:$X174,Data_Insight!X174)=1,Data_Insight!X174,""))</f>
        <v/>
      </c>
      <c r="AN174" s="17" t="str">
        <f aca="false">IF(AM174="","",COUNTIF(Data_Insight!$X$2:$X$20001,AM174))</f>
        <v/>
      </c>
    </row>
    <row r="175" customFormat="false" ht="15" hidden="false" customHeight="true" outlineLevel="0" collapsed="false">
      <c r="AJ175" s="17" t="str">
        <f aca="false">IF(Data_Summary!Y176&lt;&gt;"Coverage","",IF(Data_Summary!AA176="","",IF(COUNTIFS(Data_Summary!$Y$2:$Y176,"Coverage",Data_Summary!$AA$2:$AA176,Data_Summary!AA176)=1,Data_Summary!AA176,"")))</f>
        <v/>
      </c>
      <c r="AK175" s="17" t="str">
        <f aca="false">IF(AJ175="","",COUNTIFS(Data_Summary!$Y$2:$Y$20001,"Coverage",Data_Summary!$AA$2:$AA$20001,AJ175))</f>
        <v/>
      </c>
      <c r="AM175" s="17" t="str">
        <f aca="false">IF(Data_Insight!X175="","",IF(COUNTIF(Data_Insight!$X$2:$X175,Data_Insight!X175)=1,Data_Insight!X175,""))</f>
        <v/>
      </c>
      <c r="AN175" s="17" t="str">
        <f aca="false">IF(AM175="","",COUNTIF(Data_Insight!$X$2:$X$20001,AM175))</f>
        <v/>
      </c>
    </row>
    <row r="176" customFormat="false" ht="12.75" hidden="false" customHeight="true" outlineLevel="0" collapsed="false">
      <c r="AJ176" s="17" t="str">
        <f aca="false">IF(Data_Summary!Y177&lt;&gt;"Coverage","",IF(Data_Summary!AA177="","",IF(COUNTIFS(Data_Summary!$Y$2:$Y177,"Coverage",Data_Summary!$AA$2:$AA177,Data_Summary!AA177)=1,Data_Summary!AA177,"")))</f>
        <v/>
      </c>
      <c r="AK176" s="17" t="str">
        <f aca="false">IF(AJ176="","",COUNTIFS(Data_Summary!$Y$2:$Y$20001,"Coverage",Data_Summary!$AA$2:$AA$20001,AJ176))</f>
        <v/>
      </c>
      <c r="AM176" s="17" t="str">
        <f aca="false">IF(Data_Insight!X176="","",IF(COUNTIF(Data_Insight!$X$2:$X176,Data_Insight!X176)=1,Data_Insight!X176,""))</f>
        <v/>
      </c>
      <c r="AN176" s="17" t="str">
        <f aca="false">IF(AM176="","",COUNTIF(Data_Insight!$X$2:$X$20001,AM176))</f>
        <v/>
      </c>
    </row>
    <row r="177" customFormat="false" ht="12.75" hidden="false" customHeight="true" outlineLevel="0" collapsed="false">
      <c r="AJ177" s="17" t="str">
        <f aca="false">IF(Data_Summary!Y178&lt;&gt;"Coverage","",IF(Data_Summary!AA178="","",IF(COUNTIFS(Data_Summary!$Y$2:$Y178,"Coverage",Data_Summary!$AA$2:$AA178,Data_Summary!AA178)=1,Data_Summary!AA178,"")))</f>
        <v/>
      </c>
      <c r="AK177" s="17" t="str">
        <f aca="false">IF(AJ177="","",COUNTIFS(Data_Summary!$Y$2:$Y$20001,"Coverage",Data_Summary!$AA$2:$AA$20001,AJ177))</f>
        <v/>
      </c>
      <c r="AM177" s="17" t="str">
        <f aca="false">IF(Data_Insight!X177="","",IF(COUNTIF(Data_Insight!$X$2:$X177,Data_Insight!X177)=1,Data_Insight!X177,""))</f>
        <v/>
      </c>
      <c r="AN177" s="17" t="str">
        <f aca="false">IF(AM177="","",COUNTIF(Data_Insight!$X$2:$X$20001,AM177))</f>
        <v/>
      </c>
    </row>
    <row r="178" customFormat="false" ht="15" hidden="false" customHeight="true" outlineLevel="0" collapsed="false">
      <c r="AJ178" s="17" t="str">
        <f aca="false">IF(Data_Summary!Y179&lt;&gt;"Coverage","",IF(Data_Summary!AA179="","",IF(COUNTIFS(Data_Summary!$Y$2:$Y179,"Coverage",Data_Summary!$AA$2:$AA179,Data_Summary!AA179)=1,Data_Summary!AA179,"")))</f>
        <v/>
      </c>
      <c r="AK178" s="17" t="str">
        <f aca="false">IF(AJ178="","",COUNTIFS(Data_Summary!$Y$2:$Y$20001,"Coverage",Data_Summary!$AA$2:$AA$20001,AJ178))</f>
        <v/>
      </c>
      <c r="AM178" s="17" t="str">
        <f aca="false">IF(Data_Insight!X178="","",IF(COUNTIF(Data_Insight!$X$2:$X178,Data_Insight!X178)=1,Data_Insight!X178,""))</f>
        <v/>
      </c>
      <c r="AN178" s="17" t="str">
        <f aca="false">IF(AM178="","",COUNTIF(Data_Insight!$X$2:$X$20001,AM178))</f>
        <v/>
      </c>
    </row>
    <row r="179" customFormat="false" ht="32.25" hidden="false" customHeight="true" outlineLevel="0" collapsed="false">
      <c r="AJ179" s="17" t="str">
        <f aca="false">IF(Data_Summary!Y180&lt;&gt;"Coverage","",IF(Data_Summary!AA180="","",IF(COUNTIFS(Data_Summary!$Y$2:$Y180,"Coverage",Data_Summary!$AA$2:$AA180,Data_Summary!AA180)=1,Data_Summary!AA180,"")))</f>
        <v/>
      </c>
      <c r="AK179" s="17" t="str">
        <f aca="false">IF(AJ179="","",COUNTIFS(Data_Summary!$Y$2:$Y$20001,"Coverage",Data_Summary!$AA$2:$AA$20001,AJ179))</f>
        <v/>
      </c>
      <c r="AM179" s="17" t="str">
        <f aca="false">IF(Data_Insight!X179="","",IF(COUNTIF(Data_Insight!$X$2:$X179,Data_Insight!X179)=1,Data_Insight!X179,""))</f>
        <v/>
      </c>
      <c r="AN179" s="17" t="str">
        <f aca="false">IF(AM179="","",COUNTIF(Data_Insight!$X$2:$X$20001,AM179))</f>
        <v/>
      </c>
    </row>
    <row r="180" customFormat="false" ht="15" hidden="false" customHeight="true" outlineLevel="0" collapsed="false">
      <c r="AJ180" s="17" t="str">
        <f aca="false">IF(Data_Summary!Y181&lt;&gt;"Coverage","",IF(Data_Summary!AA181="","",IF(COUNTIFS(Data_Summary!$Y$2:$Y181,"Coverage",Data_Summary!$AA$2:$AA181,Data_Summary!AA181)=1,Data_Summary!AA181,"")))</f>
        <v/>
      </c>
      <c r="AK180" s="17" t="str">
        <f aca="false">IF(AJ180="","",COUNTIFS(Data_Summary!$Y$2:$Y$20001,"Coverage",Data_Summary!$AA$2:$AA$20001,AJ180))</f>
        <v/>
      </c>
      <c r="AM180" s="17" t="str">
        <f aca="false">IF(Data_Insight!X180="","",IF(COUNTIF(Data_Insight!$X$2:$X180,Data_Insight!X180)=1,Data_Insight!X180,""))</f>
        <v/>
      </c>
      <c r="AN180" s="17" t="str">
        <f aca="false">IF(AM180="","",COUNTIF(Data_Insight!$X$2:$X$20001,AM180))</f>
        <v/>
      </c>
    </row>
    <row r="181" customFormat="false" ht="15" hidden="false" customHeight="true" outlineLevel="0" collapsed="false">
      <c r="AJ181" s="17" t="str">
        <f aca="false">IF(Data_Summary!Y182&lt;&gt;"Coverage","",IF(Data_Summary!AA182="","",IF(COUNTIFS(Data_Summary!$Y$2:$Y182,"Coverage",Data_Summary!$AA$2:$AA182,Data_Summary!AA182)=1,Data_Summary!AA182,"")))</f>
        <v/>
      </c>
      <c r="AK181" s="17" t="str">
        <f aca="false">IF(AJ181="","",COUNTIFS(Data_Summary!$Y$2:$Y$20001,"Coverage",Data_Summary!$AA$2:$AA$20001,AJ181))</f>
        <v/>
      </c>
      <c r="AM181" s="17" t="str">
        <f aca="false">IF(Data_Insight!X181="","",IF(COUNTIF(Data_Insight!$X$2:$X181,Data_Insight!X181)=1,Data_Insight!X181,""))</f>
        <v/>
      </c>
      <c r="AN181" s="17" t="str">
        <f aca="false">IF(AM181="","",COUNTIF(Data_Insight!$X$2:$X$20001,AM181))</f>
        <v/>
      </c>
    </row>
    <row r="182" customFormat="false" ht="15" hidden="false" customHeight="true" outlineLevel="0" collapsed="false">
      <c r="AJ182" s="17" t="str">
        <f aca="false">IF(Data_Summary!Y183&lt;&gt;"Coverage","",IF(Data_Summary!AA183="","",IF(COUNTIFS(Data_Summary!$Y$2:$Y183,"Coverage",Data_Summary!$AA$2:$AA183,Data_Summary!AA183)=1,Data_Summary!AA183,"")))</f>
        <v>Leadership Communication &amp; Q&amp;A Effectiveness</v>
      </c>
      <c r="AK182" s="17" t="n">
        <f aca="false">IF(AJ182="","",COUNTIFS(Data_Summary!$Y$2:$Y$20001,"Coverage",Data_Summary!$AA$2:$AA$20001,AJ182))</f>
        <v>9</v>
      </c>
      <c r="AM182" s="17" t="str">
        <f aca="false">IF(Data_Insight!X182="","",IF(COUNTIF(Data_Insight!$X$2:$X182,Data_Insight!X182)=1,Data_Insight!X182,""))</f>
        <v/>
      </c>
      <c r="AN182" s="17" t="str">
        <f aca="false">IF(AM182="","",COUNTIF(Data_Insight!$X$2:$X$20001,AM182))</f>
        <v/>
      </c>
    </row>
    <row r="183" customFormat="false" ht="12.75" hidden="false" customHeight="true" outlineLevel="0" collapsed="false">
      <c r="AJ183" s="17" t="str">
        <f aca="false">IF(Data_Summary!Y184&lt;&gt;"Coverage","",IF(Data_Summary!AA184="","",IF(COUNTIFS(Data_Summary!$Y$2:$Y184,"Coverage",Data_Summary!$AA$2:$AA184,Data_Summary!AA184)=1,Data_Summary!AA184,"")))</f>
        <v/>
      </c>
      <c r="AK183" s="17" t="str">
        <f aca="false">IF(AJ183="","",COUNTIFS(Data_Summary!$Y$2:$Y$20001,"Coverage",Data_Summary!$AA$2:$AA$20001,AJ183))</f>
        <v/>
      </c>
      <c r="AM183" s="17" t="str">
        <f aca="false">IF(Data_Insight!X183="","",IF(COUNTIF(Data_Insight!$X$2:$X183,Data_Insight!X183)=1,Data_Insight!X183,""))</f>
        <v/>
      </c>
      <c r="AN183" s="17" t="str">
        <f aca="false">IF(AM183="","",COUNTIF(Data_Insight!$X$2:$X$20001,AM183))</f>
        <v/>
      </c>
    </row>
    <row r="184" customFormat="false" ht="12.75" hidden="false" customHeight="true" outlineLevel="0" collapsed="false">
      <c r="AJ184" s="17" t="str">
        <f aca="false">IF(Data_Summary!Y185&lt;&gt;"Coverage","",IF(Data_Summary!AA185="","",IF(COUNTIFS(Data_Summary!$Y$2:$Y185,"Coverage",Data_Summary!$AA$2:$AA185,Data_Summary!AA185)=1,Data_Summary!AA185,"")))</f>
        <v/>
      </c>
      <c r="AK184" s="17" t="str">
        <f aca="false">IF(AJ184="","",COUNTIFS(Data_Summary!$Y$2:$Y$20001,"Coverage",Data_Summary!$AA$2:$AA$20001,AJ184))</f>
        <v/>
      </c>
      <c r="AM184" s="17" t="str">
        <f aca="false">IF(Data_Insight!X184="","",IF(COUNTIF(Data_Insight!$X$2:$X184,Data_Insight!X184)=1,Data_Insight!X184,""))</f>
        <v/>
      </c>
      <c r="AN184" s="17" t="str">
        <f aca="false">IF(AM184="","",COUNTIF(Data_Insight!$X$2:$X$20001,AM184))</f>
        <v/>
      </c>
    </row>
    <row r="185" customFormat="false" ht="21" hidden="false" customHeight="true" outlineLevel="0" collapsed="false">
      <c r="AJ185" s="17" t="str">
        <f aca="false">IF(Data_Summary!Y186&lt;&gt;"Coverage","",IF(Data_Summary!AA186="","",IF(COUNTIFS(Data_Summary!$Y$2:$Y186,"Coverage",Data_Summary!$AA$2:$AA186,Data_Summary!AA186)=1,Data_Summary!AA186,"")))</f>
        <v/>
      </c>
      <c r="AK185" s="17" t="str">
        <f aca="false">IF(AJ185="","",COUNTIFS(Data_Summary!$Y$2:$Y$20001,"Coverage",Data_Summary!$AA$2:$AA$20001,AJ185))</f>
        <v/>
      </c>
      <c r="AM185" s="17" t="str">
        <f aca="false">IF(Data_Insight!X185="","",IF(COUNTIF(Data_Insight!$X$2:$X185,Data_Insight!X185)=1,Data_Insight!X185,""))</f>
        <v/>
      </c>
      <c r="AN185" s="17" t="str">
        <f aca="false">IF(AM185="","",COUNTIF(Data_Insight!$X$2:$X$20001,AM185))</f>
        <v/>
      </c>
    </row>
    <row r="186" customFormat="false" ht="12.75" hidden="false" customHeight="true" outlineLevel="0" collapsed="false">
      <c r="AJ186" s="17" t="str">
        <f aca="false">IF(Data_Summary!Y187&lt;&gt;"Coverage","",IF(Data_Summary!AA187="","",IF(COUNTIFS(Data_Summary!$Y$2:$Y187,"Coverage",Data_Summary!$AA$2:$AA187,Data_Summary!AA187)=1,Data_Summary!AA187,"")))</f>
        <v/>
      </c>
      <c r="AK186" s="17" t="str">
        <f aca="false">IF(AJ186="","",COUNTIFS(Data_Summary!$Y$2:$Y$20001,"Coverage",Data_Summary!$AA$2:$AA$20001,AJ186))</f>
        <v/>
      </c>
      <c r="AM186" s="17" t="str">
        <f aca="false">IF(Data_Insight!X186="","",IF(COUNTIF(Data_Insight!$X$2:$X186,Data_Insight!X186)=1,Data_Insight!X186,""))</f>
        <v/>
      </c>
      <c r="AN186" s="17" t="str">
        <f aca="false">IF(AM186="","",COUNTIF(Data_Insight!$X$2:$X$20001,AM186))</f>
        <v/>
      </c>
    </row>
    <row r="187" customFormat="false" ht="29.25" hidden="false" customHeight="true" outlineLevel="0" collapsed="false">
      <c r="AJ187" s="17" t="str">
        <f aca="false">IF(Data_Summary!Y188&lt;&gt;"Coverage","",IF(Data_Summary!AA188="","",IF(COUNTIFS(Data_Summary!$Y$2:$Y188,"Coverage",Data_Summary!$AA$2:$AA188,Data_Summary!AA188)=1,Data_Summary!AA188,"")))</f>
        <v>Engagement with Leadership &amp; Confidence Level</v>
      </c>
      <c r="AK187" s="17" t="n">
        <f aca="false">IF(AJ187="","",COUNTIFS(Data_Summary!$Y$2:$Y$20001,"Coverage",Data_Summary!$AA$2:$AA$20001,AJ187))</f>
        <v>13</v>
      </c>
      <c r="AM187" s="17" t="str">
        <f aca="false">IF(Data_Insight!X187="","",IF(COUNTIF(Data_Insight!$X$2:$X187,Data_Insight!X187)=1,Data_Insight!X187,""))</f>
        <v/>
      </c>
      <c r="AN187" s="17" t="str">
        <f aca="false">IF(AM187="","",COUNTIF(Data_Insight!$X$2:$X$20001,AM187))</f>
        <v/>
      </c>
    </row>
    <row r="188" customFormat="false" ht="15" hidden="false" customHeight="true" outlineLevel="0" collapsed="false">
      <c r="AJ188" s="17" t="str">
        <f aca="false">IF(Data_Summary!Y189&lt;&gt;"Coverage","",IF(Data_Summary!AA189="","",IF(COUNTIFS(Data_Summary!$Y$2:$Y189,"Coverage",Data_Summary!$AA$2:$AA189,Data_Summary!AA189)=1,Data_Summary!AA189,"")))</f>
        <v/>
      </c>
      <c r="AK188" s="17" t="str">
        <f aca="false">IF(AJ188="","",COUNTIFS(Data_Summary!$Y$2:$Y$20001,"Coverage",Data_Summary!$AA$2:$AA$20001,AJ188))</f>
        <v/>
      </c>
      <c r="AM188" s="17" t="str">
        <f aca="false">IF(Data_Insight!X188="","",IF(COUNTIF(Data_Insight!$X$2:$X188,Data_Insight!X188)=1,Data_Insight!X188,""))</f>
        <v/>
      </c>
      <c r="AN188" s="17" t="str">
        <f aca="false">IF(AM188="","",COUNTIF(Data_Insight!$X$2:$X$20001,AM188))</f>
        <v/>
      </c>
    </row>
    <row r="189" customFormat="false" ht="15" hidden="false" customHeight="true" outlineLevel="0" collapsed="false">
      <c r="AJ189" s="17" t="str">
        <f aca="false">IF(Data_Summary!Y190&lt;&gt;"Coverage","",IF(Data_Summary!AA190="","",IF(COUNTIFS(Data_Summary!$Y$2:$Y190,"Coverage",Data_Summary!$AA$2:$AA190,Data_Summary!AA190)=1,Data_Summary!AA190,"")))</f>
        <v/>
      </c>
      <c r="AK189" s="17" t="str">
        <f aca="false">IF(AJ189="","",COUNTIFS(Data_Summary!$Y$2:$Y$20001,"Coverage",Data_Summary!$AA$2:$AA$20001,AJ189))</f>
        <v/>
      </c>
      <c r="AM189" s="17" t="str">
        <f aca="false">IF(Data_Insight!X189="","",IF(COUNTIF(Data_Insight!$X$2:$X189,Data_Insight!X189)=1,Data_Insight!X189,""))</f>
        <v/>
      </c>
      <c r="AN189" s="17" t="str">
        <f aca="false">IF(AM189="","",COUNTIF(Data_Insight!$X$2:$X$20001,AM189))</f>
        <v/>
      </c>
    </row>
    <row r="190" customFormat="false" ht="27.75" hidden="false" customHeight="true" outlineLevel="0" collapsed="false">
      <c r="AJ190" s="17" t="str">
        <f aca="false">IF(Data_Summary!Y191&lt;&gt;"Coverage","",IF(Data_Summary!AA191="","",IF(COUNTIFS(Data_Summary!$Y$2:$Y191,"Coverage",Data_Summary!$AA$2:$AA191,Data_Summary!AA191)=1,Data_Summary!AA191,"")))</f>
        <v/>
      </c>
      <c r="AK190" s="17" t="str">
        <f aca="false">IF(AJ190="","",COUNTIFS(Data_Summary!$Y$2:$Y$20001,"Coverage",Data_Summary!$AA$2:$AA$20001,AJ190))</f>
        <v/>
      </c>
      <c r="AM190" s="17" t="str">
        <f aca="false">IF(Data_Insight!X190="","",IF(COUNTIF(Data_Insight!$X$2:$X190,Data_Insight!X190)=1,Data_Insight!X190,""))</f>
        <v/>
      </c>
      <c r="AN190" s="17" t="str">
        <f aca="false">IF(AM190="","",COUNTIF(Data_Insight!$X$2:$X$20001,AM190))</f>
        <v/>
      </c>
    </row>
    <row r="191" customFormat="false" ht="15" hidden="false" customHeight="true" outlineLevel="0" collapsed="false">
      <c r="AJ191" s="17" t="str">
        <f aca="false">IF(Data_Summary!Y192&lt;&gt;"Coverage","",IF(Data_Summary!AA192="","",IF(COUNTIFS(Data_Summary!$Y$2:$Y192,"Coverage",Data_Summary!$AA$2:$AA192,Data_Summary!AA192)=1,Data_Summary!AA192,"")))</f>
        <v/>
      </c>
      <c r="AK191" s="17" t="str">
        <f aca="false">IF(AJ191="","",COUNTIFS(Data_Summary!$Y$2:$Y$20001,"Coverage",Data_Summary!$AA$2:$AA$20001,AJ191))</f>
        <v/>
      </c>
      <c r="AM191" s="17" t="str">
        <f aca="false">IF(Data_Insight!X191="","",IF(COUNTIF(Data_Insight!$X$2:$X191,Data_Insight!X191)=1,Data_Insight!X191,""))</f>
        <v/>
      </c>
      <c r="AN191" s="17" t="str">
        <f aca="false">IF(AM191="","",COUNTIF(Data_Insight!$X$2:$X$20001,AM191))</f>
        <v/>
      </c>
    </row>
    <row r="192" customFormat="false" ht="28.5" hidden="false" customHeight="true" outlineLevel="0" collapsed="false">
      <c r="AJ192" s="17" t="str">
        <f aca="false">IF(Data_Summary!Y193&lt;&gt;"Coverage","",IF(Data_Summary!AA193="","",IF(COUNTIFS(Data_Summary!$Y$2:$Y193,"Coverage",Data_Summary!$AA$2:$AA193,Data_Summary!AA193)=1,Data_Summary!AA193,"")))</f>
        <v/>
      </c>
      <c r="AK192" s="17" t="str">
        <f aca="false">IF(AJ192="","",COUNTIFS(Data_Summary!$Y$2:$Y$20001,"Coverage",Data_Summary!$AA$2:$AA$20001,AJ192))</f>
        <v/>
      </c>
      <c r="AM192" s="17" t="str">
        <f aca="false">IF(Data_Insight!X192="","",IF(COUNTIF(Data_Insight!$X$2:$X192,Data_Insight!X192)=1,Data_Insight!X192,""))</f>
        <v/>
      </c>
      <c r="AN192" s="17" t="str">
        <f aca="false">IF(AM192="","",COUNTIF(Data_Insight!$X$2:$X$20001,AM192))</f>
        <v/>
      </c>
    </row>
    <row r="193" customFormat="false" ht="15" hidden="false" customHeight="true" outlineLevel="0" collapsed="false">
      <c r="AJ193" s="17" t="str">
        <f aca="false">IF(Data_Summary!Y194&lt;&gt;"Coverage","",IF(Data_Summary!AA194="","",IF(COUNTIFS(Data_Summary!$Y$2:$Y194,"Coverage",Data_Summary!$AA$2:$AA194,Data_Summary!AA194)=1,Data_Summary!AA194,"")))</f>
        <v/>
      </c>
      <c r="AK193" s="17" t="str">
        <f aca="false">IF(AJ193="","",COUNTIFS(Data_Summary!$Y$2:$Y$20001,"Coverage",Data_Summary!$AA$2:$AA$20001,AJ193))</f>
        <v/>
      </c>
      <c r="AM193" s="17" t="str">
        <f aca="false">IF(Data_Insight!X193="","",IF(COUNTIF(Data_Insight!$X$2:$X193,Data_Insight!X193)=1,Data_Insight!X193,""))</f>
        <v/>
      </c>
      <c r="AN193" s="17" t="str">
        <f aca="false">IF(AM193="","",COUNTIF(Data_Insight!$X$2:$X$20001,AM193))</f>
        <v/>
      </c>
    </row>
    <row r="194" customFormat="false" ht="27.75" hidden="false" customHeight="true" outlineLevel="0" collapsed="false">
      <c r="AJ194" s="17" t="str">
        <f aca="false">IF(Data_Summary!Y195&lt;&gt;"Coverage","",IF(Data_Summary!AA195="","",IF(COUNTIFS(Data_Summary!$Y$2:$Y195,"Coverage",Data_Summary!$AA$2:$AA195,Data_Summary!AA195)=1,Data_Summary!AA195,"")))</f>
        <v>Learning/cert Support Requests</v>
      </c>
      <c r="AK194" s="17" t="n">
        <f aca="false">IF(AJ194="","",COUNTIFS(Data_Summary!$Y$2:$Y$20001,"Coverage",Data_Summary!$AA$2:$AA$20001,AJ194))</f>
        <v>5</v>
      </c>
      <c r="AM194" s="17" t="str">
        <f aca="false">IF(Data_Insight!X194="","",IF(COUNTIF(Data_Insight!$X$2:$X194,Data_Insight!X194)=1,Data_Insight!X194,""))</f>
        <v/>
      </c>
      <c r="AN194" s="17" t="str">
        <f aca="false">IF(AM194="","",COUNTIF(Data_Insight!$X$2:$X$20001,AM194))</f>
        <v/>
      </c>
    </row>
    <row r="195" customFormat="false" ht="27.75" hidden="false" customHeight="true" outlineLevel="0" collapsed="false">
      <c r="AJ195" s="17" t="str">
        <f aca="false">IF(Data_Summary!Y196&lt;&gt;"Coverage","",IF(Data_Summary!AA196="","",IF(COUNTIFS(Data_Summary!$Y$2:$Y196,"Coverage",Data_Summary!$AA$2:$AA196,Data_Summary!AA196)=1,Data_Summary!AA196,"")))</f>
        <v/>
      </c>
      <c r="AK195" s="17" t="str">
        <f aca="false">IF(AJ195="","",COUNTIFS(Data_Summary!$Y$2:$Y$20001,"Coverage",Data_Summary!$AA$2:$AA$20001,AJ195))</f>
        <v/>
      </c>
      <c r="AM195" s="17" t="str">
        <f aca="false">IF(Data_Insight!X195="","",IF(COUNTIF(Data_Insight!$X$2:$X195,Data_Insight!X195)=1,Data_Insight!X195,""))</f>
        <v/>
      </c>
      <c r="AN195" s="17" t="str">
        <f aca="false">IF(AM195="","",COUNTIF(Data_Insight!$X$2:$X$20001,AM195))</f>
        <v/>
      </c>
    </row>
    <row r="196" customFormat="false" ht="15" hidden="false" customHeight="true" outlineLevel="0" collapsed="false">
      <c r="AJ196" s="17" t="str">
        <f aca="false">IF(Data_Summary!Y197&lt;&gt;"Coverage","",IF(Data_Summary!AA197="","",IF(COUNTIFS(Data_Summary!$Y$2:$Y197,"Coverage",Data_Summary!$AA$2:$AA197,Data_Summary!AA197)=1,Data_Summary!AA197,"")))</f>
        <v/>
      </c>
      <c r="AK196" s="17" t="str">
        <f aca="false">IF(AJ196="","",COUNTIFS(Data_Summary!$Y$2:$Y$20001,"Coverage",Data_Summary!$AA$2:$AA$20001,AJ196))</f>
        <v/>
      </c>
      <c r="AM196" s="17" t="str">
        <f aca="false">IF(Data_Insight!X196="","",IF(COUNTIF(Data_Insight!$X$2:$X196,Data_Insight!X196)=1,Data_Insight!X196,""))</f>
        <v/>
      </c>
      <c r="AN196" s="17" t="str">
        <f aca="false">IF(AM196="","",COUNTIF(Data_Insight!$X$2:$X$20001,AM196))</f>
        <v/>
      </c>
    </row>
    <row r="197" customFormat="false" ht="15" hidden="false" customHeight="true" outlineLevel="0" collapsed="false">
      <c r="AJ197" s="17" t="str">
        <f aca="false">IF(Data_Summary!Y198&lt;&gt;"Coverage","",IF(Data_Summary!AA198="","",IF(COUNTIFS(Data_Summary!$Y$2:$Y198,"Coverage",Data_Summary!$AA$2:$AA198,Data_Summary!AA198)=1,Data_Summary!AA198,"")))</f>
        <v/>
      </c>
      <c r="AK197" s="17" t="str">
        <f aca="false">IF(AJ197="","",COUNTIFS(Data_Summary!$Y$2:$Y$20001,"Coverage",Data_Summary!$AA$2:$AA$20001,AJ197))</f>
        <v/>
      </c>
      <c r="AM197" s="17" t="str">
        <f aca="false">IF(Data_Insight!X197="","",IF(COUNTIF(Data_Insight!$X$2:$X197,Data_Insight!X197)=1,Data_Insight!X197,""))</f>
        <v/>
      </c>
      <c r="AN197" s="17" t="str">
        <f aca="false">IF(AM197="","",COUNTIF(Data_Insight!$X$2:$X$20001,AM197))</f>
        <v/>
      </c>
    </row>
    <row r="198" customFormat="false" ht="15" hidden="false" customHeight="true" outlineLevel="0" collapsed="false">
      <c r="AJ198" s="17" t="str">
        <f aca="false">IF(Data_Summary!Y199&lt;&gt;"Coverage","",IF(Data_Summary!AA199="","",IF(COUNTIFS(Data_Summary!$Y$2:$Y199,"Coverage",Data_Summary!$AA$2:$AA199,Data_Summary!AA199)=1,Data_Summary!AA199,"")))</f>
        <v/>
      </c>
      <c r="AK198" s="17" t="str">
        <f aca="false">IF(AJ198="","",COUNTIFS(Data_Summary!$Y$2:$Y$20001,"Coverage",Data_Summary!$AA$2:$AA$20001,AJ198))</f>
        <v/>
      </c>
      <c r="AM198" s="17" t="str">
        <f aca="false">IF(Data_Insight!X198="","",IF(COUNTIF(Data_Insight!$X$2:$X198,Data_Insight!X198)=1,Data_Insight!X198,""))</f>
        <v/>
      </c>
      <c r="AN198" s="17" t="str">
        <f aca="false">IF(AM198="","",COUNTIF(Data_Insight!$X$2:$X$20001,AM198))</f>
        <v/>
      </c>
    </row>
    <row r="199" customFormat="false" ht="15" hidden="false" customHeight="true" outlineLevel="0" collapsed="false">
      <c r="AJ199" s="17" t="str">
        <f aca="false">IF(Data_Summary!Y200&lt;&gt;"Coverage","",IF(Data_Summary!AA200="","",IF(COUNTIFS(Data_Summary!$Y$2:$Y200,"Coverage",Data_Summary!$AA$2:$AA200,Data_Summary!AA200)=1,Data_Summary!AA200,"")))</f>
        <v/>
      </c>
      <c r="AK199" s="17" t="str">
        <f aca="false">IF(AJ199="","",COUNTIFS(Data_Summary!$Y$2:$Y$20001,"Coverage",Data_Summary!$AA$2:$AA$20001,AJ199))</f>
        <v/>
      </c>
      <c r="AM199" s="17" t="str">
        <f aca="false">IF(Data_Insight!X199="","",IF(COUNTIF(Data_Insight!$X$2:$X199,Data_Insight!X199)=1,Data_Insight!X199,""))</f>
        <v/>
      </c>
      <c r="AN199" s="17" t="str">
        <f aca="false">IF(AM199="","",COUNTIF(Data_Insight!$X$2:$X$20001,AM199))</f>
        <v/>
      </c>
    </row>
    <row r="200" customFormat="false" ht="15" hidden="false" customHeight="true" outlineLevel="0" collapsed="false">
      <c r="AJ200" s="17" t="str">
        <f aca="false">IF(Data_Summary!Y201&lt;&gt;"Coverage","",IF(Data_Summary!AA201="","",IF(COUNTIFS(Data_Summary!$Y$2:$Y201,"Coverage",Data_Summary!$AA$2:$AA201,Data_Summary!AA201)=1,Data_Summary!AA201,"")))</f>
        <v/>
      </c>
      <c r="AK200" s="17" t="str">
        <f aca="false">IF(AJ200="","",COUNTIFS(Data_Summary!$Y$2:$Y$20001,"Coverage",Data_Summary!$AA$2:$AA$20001,AJ200))</f>
        <v/>
      </c>
    </row>
    <row r="201" customFormat="false" ht="28.5" hidden="false" customHeight="true" outlineLevel="0" collapsed="false">
      <c r="AJ201" s="17" t="str">
        <f aca="false">IF(Data_Summary!Y202&lt;&gt;"Coverage","",IF(Data_Summary!AA202="","",IF(COUNTIFS(Data_Summary!$Y$2:$Y202,"Coverage",Data_Summary!$AA$2:$AA202,Data_Summary!AA202)=1,Data_Summary!AA202,"")))</f>
        <v/>
      </c>
      <c r="AK201" s="17" t="str">
        <f aca="false">IF(AJ201="","",COUNTIFS(Data_Summary!$Y$2:$Y$20001,"Coverage",Data_Summary!$AA$2:$AA$20001,AJ201))</f>
        <v/>
      </c>
    </row>
    <row r="202" customFormat="false" ht="27.75" hidden="false" customHeight="true" outlineLevel="0" collapsed="false">
      <c r="AJ202" s="17" t="str">
        <f aca="false">IF(Data_Summary!Y203&lt;&gt;"Coverage","",IF(Data_Summary!AA203="","",IF(COUNTIFS(Data_Summary!$Y$2:$Y203,"Coverage",Data_Summary!$AA$2:$AA203,Data_Summary!AA203)=1,Data_Summary!AA203,"")))</f>
        <v/>
      </c>
      <c r="AK202" s="17" t="str">
        <f aca="false">IF(AJ202="","",COUNTIFS(Data_Summary!$Y$2:$Y$20001,"Coverage",Data_Summary!$AA$2:$AA$20001,AJ202))</f>
        <v/>
      </c>
    </row>
    <row r="203" customFormat="false" ht="27.75" hidden="false" customHeight="true" outlineLevel="0" collapsed="false">
      <c r="AJ203" s="17" t="str">
        <f aca="false">IF(Data_Summary!Y204&lt;&gt;"Coverage","",IF(Data_Summary!AA204="","",IF(COUNTIFS(Data_Summary!$Y$2:$Y204,"Coverage",Data_Summary!$AA$2:$AA204,Data_Summary!AA204)=1,Data_Summary!AA204,"")))</f>
        <v>Recognition &amp; Motivation</v>
      </c>
      <c r="AK203" s="17" t="n">
        <f aca="false">IF(AJ203="","",COUNTIFS(Data_Summary!$Y$2:$Y$20001,"Coverage",Data_Summary!$AA$2:$AA$20001,AJ203))</f>
        <v>7</v>
      </c>
    </row>
    <row r="204" customFormat="false" ht="27.75" hidden="false" customHeight="true" outlineLevel="0" collapsed="false">
      <c r="AJ204" s="17" t="str">
        <f aca="false">IF(Data_Summary!Y205&lt;&gt;"Coverage","",IF(Data_Summary!AA205="","",IF(COUNTIFS(Data_Summary!$Y$2:$Y205,"Coverage",Data_Summary!$AA$2:$AA205,Data_Summary!AA205)=1,Data_Summary!AA205,"")))</f>
        <v/>
      </c>
      <c r="AK204" s="17" t="str">
        <f aca="false">IF(AJ204="","",COUNTIFS(Data_Summary!$Y$2:$Y$20001,"Coverage",Data_Summary!$AA$2:$AA$20001,AJ204))</f>
        <v/>
      </c>
    </row>
    <row r="205" customFormat="false" ht="27.75" hidden="false" customHeight="true" outlineLevel="0" collapsed="false">
      <c r="AJ205" s="17" t="str">
        <f aca="false">IF(Data_Summary!Y206&lt;&gt;"Coverage","",IF(Data_Summary!AA206="","",IF(COUNTIFS(Data_Summary!$Y$2:$Y206,"Coverage",Data_Summary!$AA$2:$AA206,Data_Summary!AA206)=1,Data_Summary!AA206,"")))</f>
        <v/>
      </c>
      <c r="AK205" s="17" t="str">
        <f aca="false">IF(AJ205="","",COUNTIFS(Data_Summary!$Y$2:$Y$20001,"Coverage",Data_Summary!$AA$2:$AA$20001,AJ205))</f>
        <v/>
      </c>
    </row>
    <row r="206" customFormat="false" ht="15" hidden="false" customHeight="true" outlineLevel="0" collapsed="false">
      <c r="AJ206" s="17" t="str">
        <f aca="false">IF(Data_Summary!Y207&lt;&gt;"Coverage","",IF(Data_Summary!AA207="","",IF(COUNTIFS(Data_Summary!$Y$2:$Y207,"Coverage",Data_Summary!$AA$2:$AA207,Data_Summary!AA207)=1,Data_Summary!AA207,"")))</f>
        <v/>
      </c>
      <c r="AK206" s="17" t="str">
        <f aca="false">IF(AJ206="","",COUNTIFS(Data_Summary!$Y$2:$Y$20001,"Coverage",Data_Summary!$AA$2:$AA$20001,AJ206))</f>
        <v/>
      </c>
    </row>
    <row r="207" customFormat="false" ht="15" hidden="false" customHeight="true" outlineLevel="0" collapsed="false">
      <c r="AJ207" s="17" t="str">
        <f aca="false">IF(Data_Summary!Y208&lt;&gt;"Coverage","",IF(Data_Summary!AA208="","",IF(COUNTIFS(Data_Summary!$Y$2:$Y208,"Coverage",Data_Summary!$AA$2:$AA208,Data_Summary!AA208)=1,Data_Summary!AA208,"")))</f>
        <v/>
      </c>
      <c r="AK207" s="17" t="str">
        <f aca="false">IF(AJ207="","",COUNTIFS(Data_Summary!$Y$2:$Y$20001,"Coverage",Data_Summary!$AA$2:$AA$20001,AJ207))</f>
        <v/>
      </c>
    </row>
    <row r="208" customFormat="false" ht="15" hidden="false" customHeight="true" outlineLevel="0" collapsed="false">
      <c r="AJ208" s="17" t="str">
        <f aca="false">IF(Data_Summary!Y209&lt;&gt;"Coverage","",IF(Data_Summary!AA209="","",IF(COUNTIFS(Data_Summary!$Y$2:$Y209,"Coverage",Data_Summary!$AA$2:$AA209,Data_Summary!AA209)=1,Data_Summary!AA209,"")))</f>
        <v/>
      </c>
      <c r="AK208" s="17" t="str">
        <f aca="false">IF(AJ208="","",COUNTIFS(Data_Summary!$Y$2:$Y$20001,"Coverage",Data_Summary!$AA$2:$AA$20001,AJ208))</f>
        <v/>
      </c>
    </row>
    <row r="209" customFormat="false" ht="15" hidden="false" customHeight="true" outlineLevel="0" collapsed="false">
      <c r="AJ209" s="17" t="str">
        <f aca="false">IF(Data_Summary!Y210&lt;&gt;"Coverage","",IF(Data_Summary!AA210="","",IF(COUNTIFS(Data_Summary!$Y$2:$Y210,"Coverage",Data_Summary!$AA$2:$AA210,Data_Summary!AA210)=1,Data_Summary!AA210,"")))</f>
        <v/>
      </c>
      <c r="AK209" s="17" t="str">
        <f aca="false">IF(AJ209="","",COUNTIFS(Data_Summary!$Y$2:$Y$20001,"Coverage",Data_Summary!$AA$2:$AA$20001,AJ209))</f>
        <v/>
      </c>
    </row>
    <row r="210" customFormat="false" ht="15" hidden="false" customHeight="true" outlineLevel="0" collapsed="false">
      <c r="AJ210" s="17" t="str">
        <f aca="false">IF(Data_Summary!Y211&lt;&gt;"Coverage","",IF(Data_Summary!AA211="","",IF(COUNTIFS(Data_Summary!$Y$2:$Y211,"Coverage",Data_Summary!$AA$2:$AA211,Data_Summary!AA211)=1,Data_Summary!AA211,"")))</f>
        <v/>
      </c>
      <c r="AK210" s="17" t="str">
        <f aca="false">IF(AJ210="","",COUNTIFS(Data_Summary!$Y$2:$Y$20001,"Coverage",Data_Summary!$AA$2:$AA$20001,AJ210))</f>
        <v/>
      </c>
    </row>
    <row r="211" customFormat="false" ht="15" hidden="false" customHeight="true" outlineLevel="0" collapsed="false">
      <c r="AJ211" s="17" t="str">
        <f aca="false">IF(Data_Summary!Y212&lt;&gt;"Coverage","",IF(Data_Summary!AA212="","",IF(COUNTIFS(Data_Summary!$Y$2:$Y212,"Coverage",Data_Summary!$AA$2:$AA212,Data_Summary!AA212)=1,Data_Summary!AA212,"")))</f>
        <v/>
      </c>
      <c r="AK211" s="17" t="str">
        <f aca="false">IF(AJ211="","",COUNTIFS(Data_Summary!$Y$2:$Y$20001,"Coverage",Data_Summary!$AA$2:$AA$20001,AJ211))</f>
        <v/>
      </c>
    </row>
    <row r="212" customFormat="false" ht="15" hidden="false" customHeight="true" outlineLevel="0" collapsed="false">
      <c r="AJ212" s="17" t="str">
        <f aca="false">IF(Data_Summary!Y213&lt;&gt;"Coverage","",IF(Data_Summary!AA213="","",IF(COUNTIFS(Data_Summary!$Y$2:$Y213,"Coverage",Data_Summary!$AA$2:$AA213,Data_Summary!AA213)=1,Data_Summary!AA213,"")))</f>
        <v/>
      </c>
      <c r="AK212" s="17" t="str">
        <f aca="false">IF(AJ212="","",COUNTIFS(Data_Summary!$Y$2:$Y$20001,"Coverage",Data_Summary!$AA$2:$AA$20001,AJ212))</f>
        <v/>
      </c>
    </row>
    <row r="213" customFormat="false" ht="15" hidden="false" customHeight="true" outlineLevel="0" collapsed="false">
      <c r="AJ213" s="17" t="str">
        <f aca="false">IF(Data_Summary!Y214&lt;&gt;"Coverage","",IF(Data_Summary!AA214="","",IF(COUNTIFS(Data_Summary!$Y$2:$Y214,"Coverage",Data_Summary!$AA$2:$AA214,Data_Summary!AA214)=1,Data_Summary!AA214,"")))</f>
        <v/>
      </c>
      <c r="AK213" s="17" t="str">
        <f aca="false">IF(AJ213="","",COUNTIFS(Data_Summary!$Y$2:$Y$20001,"Coverage",Data_Summary!$AA$2:$AA$20001,AJ213))</f>
        <v/>
      </c>
    </row>
    <row r="214" customFormat="false" ht="15" hidden="false" customHeight="true" outlineLevel="0" collapsed="false">
      <c r="AJ214" s="17" t="str">
        <f aca="false">IF(Data_Summary!Y215&lt;&gt;"Coverage","",IF(Data_Summary!AA215="","",IF(COUNTIFS(Data_Summary!$Y$2:$Y215,"Coverage",Data_Summary!$AA$2:$AA215,Data_Summary!AA215)=1,Data_Summary!AA215,"")))</f>
        <v/>
      </c>
      <c r="AK214" s="17" t="str">
        <f aca="false">IF(AJ214="","",COUNTIFS(Data_Summary!$Y$2:$Y$20001,"Coverage",Data_Summary!$AA$2:$AA$20001,AJ214))</f>
        <v/>
      </c>
    </row>
    <row r="215" customFormat="false" ht="15" hidden="false" customHeight="true" outlineLevel="0" collapsed="false">
      <c r="AJ215" s="17" t="str">
        <f aca="false">IF(Data_Summary!Y216&lt;&gt;"Coverage","",IF(Data_Summary!AA216="","",IF(COUNTIFS(Data_Summary!$Y$2:$Y216,"Coverage",Data_Summary!$AA$2:$AA216,Data_Summary!AA216)=1,Data_Summary!AA216,"")))</f>
        <v/>
      </c>
      <c r="AK215" s="17" t="str">
        <f aca="false">IF(AJ215="","",COUNTIFS(Data_Summary!$Y$2:$Y$20001,"Coverage",Data_Summary!$AA$2:$AA$20001,AJ215))</f>
        <v/>
      </c>
    </row>
    <row r="216" customFormat="false" ht="15" hidden="false" customHeight="true" outlineLevel="0" collapsed="false">
      <c r="AJ216" s="17" t="str">
        <f aca="false">IF(Data_Summary!Y217&lt;&gt;"Coverage","",IF(Data_Summary!AA217="","",IF(COUNTIFS(Data_Summary!$Y$2:$Y217,"Coverage",Data_Summary!$AA$2:$AA217,Data_Summary!AA217)=1,Data_Summary!AA217,"")))</f>
        <v/>
      </c>
      <c r="AK216" s="17" t="str">
        <f aca="false">IF(AJ216="","",COUNTIFS(Data_Summary!$Y$2:$Y$20001,"Coverage",Data_Summary!$AA$2:$AA$20001,AJ216))</f>
        <v/>
      </c>
    </row>
    <row r="217" customFormat="false" ht="15" hidden="false" customHeight="true" outlineLevel="0" collapsed="false">
      <c r="AJ217" s="17" t="str">
        <f aca="false">IF(Data_Summary!Y218&lt;&gt;"Coverage","",IF(Data_Summary!AA218="","",IF(COUNTIFS(Data_Summary!$Y$2:$Y218,"Coverage",Data_Summary!$AA$2:$AA218,Data_Summary!AA218)=1,Data_Summary!AA218,"")))</f>
        <v>Policy &amp; Process Clarity</v>
      </c>
      <c r="AK217" s="17" t="n">
        <f aca="false">IF(AJ217="","",COUNTIFS(Data_Summary!$Y$2:$Y$20001,"Coverage",Data_Summary!$AA$2:$AA$20001,AJ217))</f>
        <v>11</v>
      </c>
    </row>
    <row r="218" customFormat="false" ht="15" hidden="false" customHeight="true" outlineLevel="0" collapsed="false">
      <c r="AJ218" s="17" t="str">
        <f aca="false">IF(Data_Summary!Y219&lt;&gt;"Coverage","",IF(Data_Summary!AA219="","",IF(COUNTIFS(Data_Summary!$Y$2:$Y219,"Coverage",Data_Summary!$AA$2:$AA219,Data_Summary!AA219)=1,Data_Summary!AA219,"")))</f>
        <v>Strategic Connect</v>
      </c>
      <c r="AK218" s="17" t="n">
        <f aca="false">IF(AJ218="","",COUNTIFS(Data_Summary!$Y$2:$Y$20001,"Coverage",Data_Summary!$AA$2:$AA$20001,AJ218))</f>
        <v>7</v>
      </c>
    </row>
    <row r="219" customFormat="false" ht="15" hidden="false" customHeight="true" outlineLevel="0" collapsed="false">
      <c r="AJ219" s="17" t="str">
        <f aca="false">IF(Data_Summary!Y220&lt;&gt;"Coverage","",IF(Data_Summary!AA220="","",IF(COUNTIFS(Data_Summary!$Y$2:$Y220,"Coverage",Data_Summary!$AA$2:$AA220,Data_Summary!AA220)=1,Data_Summary!AA220,"")))</f>
        <v/>
      </c>
      <c r="AK219" s="17" t="str">
        <f aca="false">IF(AJ219="","",COUNTIFS(Data_Summary!$Y$2:$Y$20001,"Coverage",Data_Summary!$AA$2:$AA$20001,AJ219))</f>
        <v/>
      </c>
    </row>
    <row r="220" customFormat="false" ht="15" hidden="false" customHeight="true" outlineLevel="0" collapsed="false">
      <c r="AJ220" s="17" t="str">
        <f aca="false">IF(Data_Summary!Y221&lt;&gt;"Coverage","",IF(Data_Summary!AA221="","",IF(COUNTIFS(Data_Summary!$Y$2:$Y221,"Coverage",Data_Summary!$AA$2:$AA221,Data_Summary!AA221)=1,Data_Summary!AA221,"")))</f>
        <v/>
      </c>
      <c r="AK220" s="17" t="str">
        <f aca="false">IF(AJ220="","",COUNTIFS(Data_Summary!$Y$2:$Y$20001,"Coverage",Data_Summary!$AA$2:$AA$20001,AJ220))</f>
        <v/>
      </c>
    </row>
    <row r="221" customFormat="false" ht="15" hidden="false" customHeight="true" outlineLevel="0" collapsed="false">
      <c r="AJ221" s="17" t="str">
        <f aca="false">IF(Data_Summary!Y222&lt;&gt;"Coverage","",IF(Data_Summary!AA222="","",IF(COUNTIFS(Data_Summary!$Y$2:$Y222,"Coverage",Data_Summary!$AA$2:$AA222,Data_Summary!AA222)=1,Data_Summary!AA222,"")))</f>
        <v/>
      </c>
      <c r="AK221" s="17" t="str">
        <f aca="false">IF(AJ221="","",COUNTIFS(Data_Summary!$Y$2:$Y$20001,"Coverage",Data_Summary!$AA$2:$AA$20001,AJ221))</f>
        <v/>
      </c>
    </row>
    <row r="222" customFormat="false" ht="15" hidden="false" customHeight="true" outlineLevel="0" collapsed="false">
      <c r="AJ222" s="17" t="str">
        <f aca="false">IF(Data_Summary!Y223&lt;&gt;"Coverage","",IF(Data_Summary!AA223="","",IF(COUNTIFS(Data_Summary!$Y$2:$Y223,"Coverage",Data_Summary!$AA$2:$AA223,Data_Summary!AA223)=1,Data_Summary!AA223,"")))</f>
        <v/>
      </c>
      <c r="AK222" s="17" t="str">
        <f aca="false">IF(AJ222="","",COUNTIFS(Data_Summary!$Y$2:$Y$20001,"Coverage",Data_Summary!$AA$2:$AA$20001,AJ222))</f>
        <v/>
      </c>
    </row>
    <row r="223" customFormat="false" ht="15" hidden="false" customHeight="true" outlineLevel="0" collapsed="false">
      <c r="AJ223" s="17" t="str">
        <f aca="false">IF(Data_Summary!Y224&lt;&gt;"Coverage","",IF(Data_Summary!AA224="","",IF(COUNTIFS(Data_Summary!$Y$2:$Y224,"Coverage",Data_Summary!$AA$2:$AA224,Data_Summary!AA224)=1,Data_Summary!AA224,"")))</f>
        <v/>
      </c>
      <c r="AK223" s="17" t="str">
        <f aca="false">IF(AJ223="","",COUNTIFS(Data_Summary!$Y$2:$Y$20001,"Coverage",Data_Summary!$AA$2:$AA$20001,AJ223))</f>
        <v/>
      </c>
    </row>
    <row r="224" customFormat="false" ht="15" hidden="false" customHeight="true" outlineLevel="0" collapsed="false">
      <c r="AJ224" s="17" t="str">
        <f aca="false">IF(Data_Summary!Y225&lt;&gt;"Coverage","",IF(Data_Summary!AA225="","",IF(COUNTIFS(Data_Summary!$Y$2:$Y225,"Coverage",Data_Summary!$AA$2:$AA225,Data_Summary!AA225)=1,Data_Summary!AA225,"")))</f>
        <v/>
      </c>
      <c r="AK224" s="17" t="str">
        <f aca="false">IF(AJ224="","",COUNTIFS(Data_Summary!$Y$2:$Y$20001,"Coverage",Data_Summary!$AA$2:$AA$20001,AJ224))</f>
        <v/>
      </c>
    </row>
    <row r="225" customFormat="false" ht="15" hidden="false" customHeight="true" outlineLevel="0" collapsed="false">
      <c r="AJ225" s="17" t="str">
        <f aca="false">IF(Data_Summary!Y226&lt;&gt;"Coverage","",IF(Data_Summary!AA226="","",IF(COUNTIFS(Data_Summary!$Y$2:$Y226,"Coverage",Data_Summary!$AA$2:$AA226,Data_Summary!AA226)=1,Data_Summary!AA226,"")))</f>
        <v/>
      </c>
      <c r="AK225" s="17" t="str">
        <f aca="false">IF(AJ225="","",COUNTIFS(Data_Summary!$Y$2:$Y$20001,"Coverage",Data_Summary!$AA$2:$AA$20001,AJ225))</f>
        <v/>
      </c>
    </row>
    <row r="226" customFormat="false" ht="15" hidden="false" customHeight="true" outlineLevel="0" collapsed="false">
      <c r="AJ226" s="17" t="str">
        <f aca="false">IF(Data_Summary!Y227&lt;&gt;"Coverage","",IF(Data_Summary!AA227="","",IF(COUNTIFS(Data_Summary!$Y$2:$Y227,"Coverage",Data_Summary!$AA$2:$AA227,Data_Summary!AA227)=1,Data_Summary!AA227,"")))</f>
        <v/>
      </c>
      <c r="AK226" s="17" t="str">
        <f aca="false">IF(AJ226="","",COUNTIFS(Data_Summary!$Y$2:$Y$20001,"Coverage",Data_Summary!$AA$2:$AA$20001,AJ226))</f>
        <v/>
      </c>
    </row>
    <row r="227" customFormat="false" ht="28.5" hidden="false" customHeight="true" outlineLevel="0" collapsed="false">
      <c r="AJ227" s="17" t="str">
        <f aca="false">IF(Data_Summary!Y228&lt;&gt;"Coverage","",IF(Data_Summary!AA228="","",IF(COUNTIFS(Data_Summary!$Y$2:$Y228,"Coverage",Data_Summary!$AA$2:$AA228,Data_Summary!AA228)=1,Data_Summary!AA228,"")))</f>
        <v/>
      </c>
      <c r="AK227" s="17" t="str">
        <f aca="false">IF(AJ227="","",COUNTIFS(Data_Summary!$Y$2:$Y$20001,"Coverage",Data_Summary!$AA$2:$AA$20001,AJ227))</f>
        <v/>
      </c>
    </row>
    <row r="228" customFormat="false" ht="25.5" hidden="false" customHeight="true" outlineLevel="0" collapsed="false">
      <c r="AJ228" s="17" t="str">
        <f aca="false">IF(Data_Summary!Y229&lt;&gt;"Coverage","",IF(Data_Summary!AA229="","",IF(COUNTIFS(Data_Summary!$Y$2:$Y229,"Coverage",Data_Summary!$AA$2:$AA229,Data_Summary!AA229)=1,Data_Summary!AA229,"")))</f>
        <v>Role Confidence Level</v>
      </c>
      <c r="AK228" s="17" t="n">
        <f aca="false">IF(AJ228="","",COUNTIFS(Data_Summary!$Y$2:$Y$20001,"Coverage",Data_Summary!$AA$2:$AA$20001,AJ228))</f>
        <v>14</v>
      </c>
    </row>
    <row r="229" customFormat="false" ht="15" hidden="false" customHeight="true" outlineLevel="0" collapsed="false">
      <c r="AJ229" s="17" t="str">
        <f aca="false">IF(Data_Summary!Y230&lt;&gt;"Coverage","",IF(Data_Summary!AA230="","",IF(COUNTIFS(Data_Summary!$Y$2:$Y230,"Coverage",Data_Summary!$AA$2:$AA230,Data_Summary!AA230)=1,Data_Summary!AA230,"")))</f>
        <v>Feedback Mechanism</v>
      </c>
      <c r="AK229" s="17" t="n">
        <f aca="false">IF(AJ229="","",COUNTIFS(Data_Summary!$Y$2:$Y$20001,"Coverage",Data_Summary!$AA$2:$AA$20001,AJ229))</f>
        <v>9</v>
      </c>
    </row>
    <row r="230" customFormat="false" ht="15" hidden="false" customHeight="true" outlineLevel="0" collapsed="false">
      <c r="AJ230" s="17" t="str">
        <f aca="false">IF(Data_Summary!Y231&lt;&gt;"Coverage","",IF(Data_Summary!AA231="","",IF(COUNTIFS(Data_Summary!$Y$2:$Y231,"Coverage",Data_Summary!$AA$2:$AA231,Data_Summary!AA231)=1,Data_Summary!AA231,"")))</f>
        <v/>
      </c>
      <c r="AK230" s="17" t="str">
        <f aca="false">IF(AJ230="","",COUNTIFS(Data_Summary!$Y$2:$Y$20001,"Coverage",Data_Summary!$AA$2:$AA$20001,AJ230))</f>
        <v/>
      </c>
    </row>
    <row r="231" customFormat="false" ht="15" hidden="false" customHeight="true" outlineLevel="0" collapsed="false">
      <c r="AJ231" s="17" t="str">
        <f aca="false">IF(Data_Summary!Y232&lt;&gt;"Coverage","",IF(Data_Summary!AA232="","",IF(COUNTIFS(Data_Summary!$Y$2:$Y232,"Coverage",Data_Summary!$AA$2:$AA232,Data_Summary!AA232)=1,Data_Summary!AA232,"")))</f>
        <v/>
      </c>
      <c r="AK231" s="17" t="str">
        <f aca="false">IF(AJ231="","",COUNTIFS(Data_Summary!$Y$2:$Y$20001,"Coverage",Data_Summary!$AA$2:$AA$20001,AJ231))</f>
        <v/>
      </c>
    </row>
    <row r="232" customFormat="false" ht="15" hidden="false" customHeight="true" outlineLevel="0" collapsed="false">
      <c r="AJ232" s="17" t="str">
        <f aca="false">IF(Data_Summary!Y233&lt;&gt;"Coverage","",IF(Data_Summary!AA233="","",IF(COUNTIFS(Data_Summary!$Y$2:$Y233,"Coverage",Data_Summary!$AA$2:$AA233,Data_Summary!AA233)=1,Data_Summary!AA233,"")))</f>
        <v/>
      </c>
      <c r="AK232" s="17" t="str">
        <f aca="false">IF(AJ232="","",COUNTIFS(Data_Summary!$Y$2:$Y$20001,"Coverage",Data_Summary!$AA$2:$AA$20001,AJ232))</f>
        <v/>
      </c>
    </row>
    <row r="233" customFormat="false" ht="15" hidden="false" customHeight="true" outlineLevel="0" collapsed="false">
      <c r="AJ233" s="17" t="str">
        <f aca="false">IF(Data_Summary!Y234&lt;&gt;"Coverage","",IF(Data_Summary!AA234="","",IF(COUNTIFS(Data_Summary!$Y$2:$Y234,"Coverage",Data_Summary!$AA$2:$AA234,Data_Summary!AA234)=1,Data_Summary!AA234,"")))</f>
        <v/>
      </c>
      <c r="AK233" s="17" t="str">
        <f aca="false">IF(AJ233="","",COUNTIFS(Data_Summary!$Y$2:$Y$20001,"Coverage",Data_Summary!$AA$2:$AA$20001,AJ233))</f>
        <v/>
      </c>
    </row>
    <row r="234" customFormat="false" ht="15" hidden="false" customHeight="true" outlineLevel="0" collapsed="false">
      <c r="AJ234" s="17" t="str">
        <f aca="false">IF(Data_Summary!Y235&lt;&gt;"Coverage","",IF(Data_Summary!AA235="","",IF(COUNTIFS(Data_Summary!$Y$2:$Y235,"Coverage",Data_Summary!$AA$2:$AA235,Data_Summary!AA235)=1,Data_Summary!AA235,"")))</f>
        <v/>
      </c>
      <c r="AK234" s="17" t="str">
        <f aca="false">IF(AJ234="","",COUNTIFS(Data_Summary!$Y$2:$Y$20001,"Coverage",Data_Summary!$AA$2:$AA$20001,AJ234))</f>
        <v/>
      </c>
    </row>
    <row r="235" customFormat="false" ht="27" hidden="false" customHeight="true" outlineLevel="0" collapsed="false">
      <c r="AJ235" s="17" t="str">
        <f aca="false">IF(Data_Summary!Y236&lt;&gt;"Coverage","",IF(Data_Summary!AA236="","",IF(COUNTIFS(Data_Summary!$Y$2:$Y236,"Coverage",Data_Summary!$AA$2:$AA236,Data_Summary!AA236)=1,Data_Summary!AA236,"")))</f>
        <v/>
      </c>
      <c r="AK235" s="17" t="str">
        <f aca="false">IF(AJ235="","",COUNTIFS(Data_Summary!$Y$2:$Y$20001,"Coverage",Data_Summary!$AA$2:$AA$20001,AJ235))</f>
        <v/>
      </c>
    </row>
    <row r="236" customFormat="false" ht="15" hidden="false" customHeight="true" outlineLevel="0" collapsed="false">
      <c r="AJ236" s="17" t="str">
        <f aca="false">IF(Data_Summary!Y237&lt;&gt;"Coverage","",IF(Data_Summary!AA237="","",IF(COUNTIFS(Data_Summary!$Y$2:$Y237,"Coverage",Data_Summary!$AA$2:$AA237,Data_Summary!AA237)=1,Data_Summary!AA237,"")))</f>
        <v>Recognition Visibility</v>
      </c>
      <c r="AK236" s="17" t="n">
        <f aca="false">IF(AJ236="","",COUNTIFS(Data_Summary!$Y$2:$Y$20001,"Coverage",Data_Summary!$AA$2:$AA$20001,AJ236))</f>
        <v>9</v>
      </c>
    </row>
    <row r="237" customFormat="false" ht="15" hidden="false" customHeight="true" outlineLevel="0" collapsed="false">
      <c r="AJ237" s="17" t="str">
        <f aca="false">IF(Data_Summary!Y238&lt;&gt;"Coverage","",IF(Data_Summary!AA238="","",IF(COUNTIFS(Data_Summary!$Y$2:$Y238,"Coverage",Data_Summary!$AA$2:$AA238,Data_Summary!AA238)=1,Data_Summary!AA238,"")))</f>
        <v>Work-Life &amp; Sustainability Signals</v>
      </c>
      <c r="AK237" s="17" t="n">
        <f aca="false">IF(AJ237="","",COUNTIFS(Data_Summary!$Y$2:$Y$20001,"Coverage",Data_Summary!$AA$2:$AA$20001,AJ237))</f>
        <v>8</v>
      </c>
    </row>
    <row r="238" customFormat="false" ht="15" hidden="false" customHeight="true" outlineLevel="0" collapsed="false">
      <c r="AJ238" s="17" t="str">
        <f aca="false">IF(Data_Summary!Y239&lt;&gt;"Coverage","",IF(Data_Summary!AA239="","",IF(COUNTIFS(Data_Summary!$Y$2:$Y239,"Coverage",Data_Summary!$AA$2:$AA239,Data_Summary!AA239)=1,Data_Summary!AA239,"")))</f>
        <v/>
      </c>
      <c r="AK238" s="17" t="str">
        <f aca="false">IF(AJ238="","",COUNTIFS(Data_Summary!$Y$2:$Y$20001,"Coverage",Data_Summary!$AA$2:$AA$20001,AJ238))</f>
        <v/>
      </c>
    </row>
    <row r="239" customFormat="false" ht="15" hidden="false" customHeight="true" outlineLevel="0" collapsed="false">
      <c r="AJ239" s="17" t="str">
        <f aca="false">IF(Data_Summary!Y240&lt;&gt;"Coverage","",IF(Data_Summary!AA240="","",IF(COUNTIFS(Data_Summary!$Y$2:$Y240,"Coverage",Data_Summary!$AA$2:$AA240,Data_Summary!AA240)=1,Data_Summary!AA240,"")))</f>
        <v/>
      </c>
      <c r="AK239" s="17" t="str">
        <f aca="false">IF(AJ239="","",COUNTIFS(Data_Summary!$Y$2:$Y$20001,"Coverage",Data_Summary!$AA$2:$AA$20001,AJ239))</f>
        <v/>
      </c>
    </row>
    <row r="240" customFormat="false" ht="15" hidden="false" customHeight="true" outlineLevel="0" collapsed="false">
      <c r="AJ240" s="17" t="str">
        <f aca="false">IF(Data_Summary!Y241&lt;&gt;"Coverage","",IF(Data_Summary!AA241="","",IF(COUNTIFS(Data_Summary!$Y$2:$Y241,"Coverage",Data_Summary!$AA$2:$AA241,Data_Summary!AA241)=1,Data_Summary!AA241,"")))</f>
        <v/>
      </c>
      <c r="AK240" s="17" t="str">
        <f aca="false">IF(AJ240="","",COUNTIFS(Data_Summary!$Y$2:$Y$20001,"Coverage",Data_Summary!$AA$2:$AA$20001,AJ240))</f>
        <v/>
      </c>
    </row>
    <row r="241" customFormat="false" ht="15" hidden="false" customHeight="true" outlineLevel="0" collapsed="false">
      <c r="AJ241" s="17" t="str">
        <f aca="false">IF(Data_Summary!Y242&lt;&gt;"Coverage","",IF(Data_Summary!AA242="","",IF(COUNTIFS(Data_Summary!$Y$2:$Y242,"Coverage",Data_Summary!$AA$2:$AA242,Data_Summary!AA242)=1,Data_Summary!AA242,"")))</f>
        <v/>
      </c>
      <c r="AK241" s="17" t="str">
        <f aca="false">IF(AJ241="","",COUNTIFS(Data_Summary!$Y$2:$Y$20001,"Coverage",Data_Summary!$AA$2:$AA$20001,AJ241))</f>
        <v/>
      </c>
    </row>
    <row r="242" customFormat="false" ht="15" hidden="false" customHeight="true" outlineLevel="0" collapsed="false">
      <c r="AJ242" s="17" t="str">
        <f aca="false">IF(Data_Summary!Y243&lt;&gt;"Coverage","",IF(Data_Summary!AA243="","",IF(COUNTIFS(Data_Summary!$Y$2:$Y243,"Coverage",Data_Summary!$AA$2:$AA243,Data_Summary!AA243)=1,Data_Summary!AA243,"")))</f>
        <v/>
      </c>
      <c r="AK242" s="17" t="str">
        <f aca="false">IF(AJ242="","",COUNTIFS(Data_Summary!$Y$2:$Y$20001,"Coverage",Data_Summary!$AA$2:$AA$20001,AJ242))</f>
        <v/>
      </c>
    </row>
    <row r="243" customFormat="false" ht="15" hidden="false" customHeight="true" outlineLevel="0" collapsed="false">
      <c r="AJ243" s="17" t="str">
        <f aca="false">IF(Data_Summary!Y244&lt;&gt;"Coverage","",IF(Data_Summary!AA244="","",IF(COUNTIFS(Data_Summary!$Y$2:$Y244,"Coverage",Data_Summary!$AA$2:$AA244,Data_Summary!AA244)=1,Data_Summary!AA244,"")))</f>
        <v>Queries On Performance Cycle Steps And Deadlines</v>
      </c>
      <c r="AK243" s="17" t="n">
        <f aca="false">IF(AJ243="","",COUNTIFS(Data_Summary!$Y$2:$Y$20001,"Coverage",Data_Summary!$AA$2:$AA$20001,AJ243))</f>
        <v>6</v>
      </c>
    </row>
    <row r="244" customFormat="false" ht="15" hidden="false" customHeight="true" outlineLevel="0" collapsed="false">
      <c r="AJ244" s="17" t="str">
        <f aca="false">IF(Data_Summary!Y245&lt;&gt;"Coverage","",IF(Data_Summary!AA245="","",IF(COUNTIFS(Data_Summary!$Y$2:$Y245,"Coverage",Data_Summary!$AA$2:$AA245,Data_Summary!AA245)=1,Data_Summary!AA245,"")))</f>
        <v/>
      </c>
      <c r="AK244" s="17" t="str">
        <f aca="false">IF(AJ244="","",COUNTIFS(Data_Summary!$Y$2:$Y$20001,"Coverage",Data_Summary!$AA$2:$AA$20001,AJ244))</f>
        <v/>
      </c>
    </row>
    <row r="245" customFormat="false" ht="12.75" hidden="false" customHeight="true" outlineLevel="0" collapsed="false">
      <c r="AJ245" s="17" t="str">
        <f aca="false">IF(Data_Summary!Y246&lt;&gt;"Coverage","",IF(Data_Summary!AA246="","",IF(COUNTIFS(Data_Summary!$Y$2:$Y246,"Coverage",Data_Summary!$AA$2:$AA246,Data_Summary!AA246)=1,Data_Summary!AA246,"")))</f>
        <v/>
      </c>
      <c r="AK245" s="17" t="str">
        <f aca="false">IF(AJ245="","",COUNTIFS(Data_Summary!$Y$2:$Y$20001,"Coverage",Data_Summary!$AA$2:$AA$20001,AJ245))</f>
        <v/>
      </c>
    </row>
    <row r="246" customFormat="false" ht="12.75" hidden="false" customHeight="true" outlineLevel="0" collapsed="false">
      <c r="AJ246" s="17" t="str">
        <f aca="false">IF(Data_Summary!Y247&lt;&gt;"Coverage","",IF(Data_Summary!AA247="","",IF(COUNTIFS(Data_Summary!$Y$2:$Y247,"Coverage",Data_Summary!$AA$2:$AA247,Data_Summary!AA247)=1,Data_Summary!AA247,"")))</f>
        <v/>
      </c>
      <c r="AK246" s="17" t="str">
        <f aca="false">IF(AJ246="","",COUNTIFS(Data_Summary!$Y$2:$Y$20001,"Coverage",Data_Summary!$AA$2:$AA$20001,AJ246))</f>
        <v/>
      </c>
    </row>
    <row r="247" customFormat="false" ht="19.5" hidden="false" customHeight="true" outlineLevel="0" collapsed="false">
      <c r="AJ247" s="17" t="str">
        <f aca="false">IF(Data_Summary!Y248&lt;&gt;"Coverage","",IF(Data_Summary!AA248="","",IF(COUNTIFS(Data_Summary!$Y$2:$Y248,"Coverage",Data_Summary!$AA$2:$AA248,Data_Summary!AA248)=1,Data_Summary!AA248,"")))</f>
        <v/>
      </c>
      <c r="AK247" s="17" t="str">
        <f aca="false">IF(AJ247="","",COUNTIFS(Data_Summary!$Y$2:$Y$20001,"Coverage",Data_Summary!$AA$2:$AA$20001,AJ247))</f>
        <v/>
      </c>
    </row>
    <row r="248" customFormat="false" ht="15" hidden="false" customHeight="true" outlineLevel="0" collapsed="false">
      <c r="AJ248" s="17" t="str">
        <f aca="false">IF(Data_Summary!Y249&lt;&gt;"Coverage","",IF(Data_Summary!AA249="","",IF(COUNTIFS(Data_Summary!$Y$2:$Y249,"Coverage",Data_Summary!$AA$2:$AA249,Data_Summary!AA249)=1,Data_Summary!AA249,"")))</f>
        <v>Recognition &amp; Engagement within Project</v>
      </c>
      <c r="AK248" s="17" t="n">
        <f aca="false">IF(AJ248="","",COUNTIFS(Data_Summary!$Y$2:$Y$20001,"Coverage",Data_Summary!$AA$2:$AA$20001,AJ248))</f>
        <v>8</v>
      </c>
    </row>
    <row r="249" customFormat="false" ht="15" hidden="false" customHeight="true" outlineLevel="0" collapsed="false">
      <c r="AJ249" s="17" t="str">
        <f aca="false">IF(Data_Summary!Y250&lt;&gt;"Coverage","",IF(Data_Summary!AA250="","",IF(COUNTIFS(Data_Summary!$Y$2:$Y250,"Coverage",Data_Summary!$AA$2:$AA250,Data_Summary!AA250)=1,Data_Summary!AA250,"")))</f>
        <v>On Leave/comp-off Due To Client Calendar Mismatches</v>
      </c>
      <c r="AK249" s="17" t="n">
        <f aca="false">IF(AJ249="","",COUNTIFS(Data_Summary!$Y$2:$Y$20001,"Coverage",Data_Summary!$AA$2:$AA$20001,AJ249))</f>
        <v>8</v>
      </c>
    </row>
    <row r="250" customFormat="false" ht="34.5" hidden="false" customHeight="true" outlineLevel="0" collapsed="false">
      <c r="J250" s="54" t="n">
        <f aca="false" t="array" ref="J250:J250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1),"")</f>
        <v>100026</v>
      </c>
      <c r="AJ250" s="17" t="str">
        <f aca="false">IF(Data_Summary!Y251&lt;&gt;"Coverage","",IF(Data_Summary!AA251="","",IF(COUNTIFS(Data_Summary!$Y$2:$Y251,"Coverage",Data_Summary!$AA$2:$AA251,Data_Summary!AA251)=1,Data_Summary!AA251,"")))</f>
        <v/>
      </c>
      <c r="AK250" s="17" t="str">
        <f aca="false">IF(AJ250="","",COUNTIFS(Data_Summary!$Y$2:$Y$20001,"Coverage",Data_Summary!$AA$2:$AA$20001,AJ250))</f>
        <v/>
      </c>
    </row>
    <row r="251" customFormat="false" ht="34.5" hidden="false" customHeight="true" outlineLevel="0" collapsed="false">
      <c r="J251" s="54" t="n">
        <f aca="false" t="array" ref="J251:J251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2),"")</f>
        <v>100064</v>
      </c>
      <c r="AJ251" s="17" t="str">
        <f aca="false">IF(Data_Summary!Y252&lt;&gt;"Coverage","",IF(Data_Summary!AA252="","",IF(COUNTIFS(Data_Summary!$Y$2:$Y252,"Coverage",Data_Summary!$AA$2:$AA252,Data_Summary!AA252)=1,Data_Summary!AA252,"")))</f>
        <v/>
      </c>
      <c r="AK251" s="17" t="str">
        <f aca="false">IF(AJ251="","",COUNTIFS(Data_Summary!$Y$2:$Y$20001,"Coverage",Data_Summary!$AA$2:$AA$20001,AJ251))</f>
        <v/>
      </c>
    </row>
    <row r="252" customFormat="false" ht="34.5" hidden="false" customHeight="true" outlineLevel="0" collapsed="false">
      <c r="J252" s="54" t="n">
        <f aca="false" t="array" ref="J252:J252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3),"")</f>
        <v>100167</v>
      </c>
      <c r="AJ252" s="17" t="str">
        <f aca="false">IF(Data_Summary!Y253&lt;&gt;"Coverage","",IF(Data_Summary!AA253="","",IF(COUNTIFS(Data_Summary!$Y$2:$Y253,"Coverage",Data_Summary!$AA$2:$AA253,Data_Summary!AA253)=1,Data_Summary!AA253,"")))</f>
        <v/>
      </c>
      <c r="AK252" s="17" t="str">
        <f aca="false">IF(AJ252="","",COUNTIFS(Data_Summary!$Y$2:$Y$20001,"Coverage",Data_Summary!$AA$2:$AA$20001,AJ252))</f>
        <v/>
      </c>
    </row>
    <row r="253" customFormat="false" ht="34.5" hidden="false" customHeight="true" outlineLevel="0" collapsed="false">
      <c r="J253" s="54" t="n">
        <f aca="false" t="array" ref="J253:J253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4),"")</f>
        <v>100254</v>
      </c>
      <c r="AJ253" s="17" t="str">
        <f aca="false">IF(Data_Summary!Y254&lt;&gt;"Coverage","",IF(Data_Summary!AA254="","",IF(COUNTIFS(Data_Summary!$Y$2:$Y254,"Coverage",Data_Summary!$AA$2:$AA254,Data_Summary!AA254)=1,Data_Summary!AA254,"")))</f>
        <v/>
      </c>
      <c r="AK253" s="17" t="str">
        <f aca="false">IF(AJ253="","",COUNTIFS(Data_Summary!$Y$2:$Y$20001,"Coverage",Data_Summary!$AA$2:$AA$20001,AJ253))</f>
        <v/>
      </c>
    </row>
    <row r="254" customFormat="false" ht="34.5" hidden="false" customHeight="true" outlineLevel="0" collapsed="false">
      <c r="J254" s="54" t="n">
        <f aca="false" t="array" ref="J254:J254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5),"")</f>
        <v>100305</v>
      </c>
      <c r="AJ254" s="17" t="str">
        <f aca="false">IF(Data_Summary!Y255&lt;&gt;"Coverage","",IF(Data_Summary!AA255="","",IF(COUNTIFS(Data_Summary!$Y$2:$Y255,"Coverage",Data_Summary!$AA$2:$AA255,Data_Summary!AA255)=1,Data_Summary!AA255,"")))</f>
        <v/>
      </c>
      <c r="AK254" s="17" t="str">
        <f aca="false">IF(AJ254="","",COUNTIFS(Data_Summary!$Y$2:$Y$20001,"Coverage",Data_Summary!$AA$2:$AA$20001,AJ254))</f>
        <v/>
      </c>
    </row>
    <row r="255" customFormat="false" ht="34.5" hidden="false" customHeight="true" outlineLevel="0" collapsed="false">
      <c r="J255" s="54" t="n">
        <f aca="false" t="array" ref="J255:J255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6),"")</f>
        <v>100349</v>
      </c>
      <c r="AJ255" s="17" t="str">
        <f aca="false">IF(Data_Summary!Y256&lt;&gt;"Coverage","",IF(Data_Summary!AA256="","",IF(COUNTIFS(Data_Summary!$Y$2:$Y256,"Coverage",Data_Summary!$AA$2:$AA256,Data_Summary!AA256)=1,Data_Summary!AA256,"")))</f>
        <v/>
      </c>
      <c r="AK255" s="17" t="str">
        <f aca="false">IF(AJ255="","",COUNTIFS(Data_Summary!$Y$2:$Y$20001,"Coverage",Data_Summary!$AA$2:$AA$20001,AJ255))</f>
        <v/>
      </c>
    </row>
    <row r="256" customFormat="false" ht="34.5" hidden="false" customHeight="true" outlineLevel="0" collapsed="false">
      <c r="J256" s="54" t="n">
        <f aca="false" t="array" ref="J256:J256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7),"")</f>
        <v>100416</v>
      </c>
      <c r="AJ256" s="17" t="str">
        <f aca="false">IF(Data_Summary!Y257&lt;&gt;"Coverage","",IF(Data_Summary!AA257="","",IF(COUNTIFS(Data_Summary!$Y$2:$Y257,"Coverage",Data_Summary!$AA$2:$AA257,Data_Summary!AA257)=1,Data_Summary!AA257,"")))</f>
        <v/>
      </c>
      <c r="AK256" s="17" t="str">
        <f aca="false">IF(AJ256="","",COUNTIFS(Data_Summary!$Y$2:$Y$20001,"Coverage",Data_Summary!$AA$2:$AA$20001,AJ256))</f>
        <v/>
      </c>
    </row>
    <row r="257" customFormat="false" ht="34.5" hidden="false" customHeight="true" outlineLevel="0" collapsed="false">
      <c r="J257" s="54" t="n">
        <f aca="false" t="array" ref="J257:J257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8),"")</f>
        <v>100495</v>
      </c>
      <c r="AJ257" s="17" t="str">
        <f aca="false">IF(Data_Summary!Y258&lt;&gt;"Coverage","",IF(Data_Summary!AA258="","",IF(COUNTIFS(Data_Summary!$Y$2:$Y258,"Coverage",Data_Summary!$AA$2:$AA258,Data_Summary!AA258)=1,Data_Summary!AA258,"")))</f>
        <v/>
      </c>
      <c r="AK257" s="17" t="str">
        <f aca="false">IF(AJ257="","",COUNTIFS(Data_Summary!$Y$2:$Y$20001,"Coverage",Data_Summary!$AA$2:$AA$20001,AJ257))</f>
        <v/>
      </c>
    </row>
    <row r="258" customFormat="false" ht="34.5" hidden="false" customHeight="true" outlineLevel="0" collapsed="false">
      <c r="J258" s="54" t="n">
        <f aca="false" t="array" ref="J258:J258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9),"")</f>
        <v>200005</v>
      </c>
      <c r="AJ258" s="17" t="str">
        <f aca="false">IF(Data_Summary!Y259&lt;&gt;"Coverage","",IF(Data_Summary!AA259="","",IF(COUNTIFS(Data_Summary!$Y$2:$Y259,"Coverage",Data_Summary!$AA$2:$AA259,Data_Summary!AA259)=1,Data_Summary!AA259,"")))</f>
        <v/>
      </c>
      <c r="AK258" s="17" t="str">
        <f aca="false">IF(AJ258="","",COUNTIFS(Data_Summary!$Y$2:$Y$20001,"Coverage",Data_Summary!$AA$2:$AA$20001,AJ258))</f>
        <v/>
      </c>
    </row>
    <row r="259" customFormat="false" ht="34.5" hidden="false" customHeight="true" outlineLevel="0" collapsed="false">
      <c r="J259" s="54" t="n">
        <f aca="false" t="array" ref="J259:J259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10),"")</f>
        <v>200027</v>
      </c>
      <c r="AJ259" s="17" t="str">
        <f aca="false">IF(Data_Summary!Y260&lt;&gt;"Coverage","",IF(Data_Summary!AA260="","",IF(COUNTIFS(Data_Summary!$Y$2:$Y260,"Coverage",Data_Summary!$AA$2:$AA260,Data_Summary!AA260)=1,Data_Summary!AA260,"")))</f>
        <v/>
      </c>
      <c r="AK259" s="17" t="str">
        <f aca="false">IF(AJ259="","",COUNTIFS(Data_Summary!$Y$2:$Y$20001,"Coverage",Data_Summary!$AA$2:$AA$20001,AJ259))</f>
        <v/>
      </c>
    </row>
    <row r="260" customFormat="false" ht="12.75" hidden="false" customHeight="true" outlineLevel="0" collapsed="false">
      <c r="AJ260" s="17" t="str">
        <f aca="false">IF(Data_Summary!Y261&lt;&gt;"Coverage","",IF(Data_Summary!AA261="","",IF(COUNTIFS(Data_Summary!$Y$2:$Y261,"Coverage",Data_Summary!$AA$2:$AA261,Data_Summary!AA261)=1,Data_Summary!AA261,"")))</f>
        <v/>
      </c>
      <c r="AK260" s="17" t="str">
        <f aca="false">IF(AJ260="","",COUNTIFS(Data_Summary!$Y$2:$Y$20001,"Coverage",Data_Summary!$AA$2:$AA$20001,AJ260))</f>
        <v/>
      </c>
    </row>
    <row r="261" customFormat="false" ht="24.75" hidden="false" customHeight="true" outlineLevel="0" collapsed="false">
      <c r="A261" s="55" t="s">
        <v>3017</v>
      </c>
      <c r="B261" s="55"/>
      <c r="C261" s="55"/>
      <c r="D261" s="55"/>
      <c r="E261" s="55"/>
      <c r="AJ261" s="17" t="str">
        <f aca="false">IF(Data_Summary!Y262&lt;&gt;"Coverage","",IF(Data_Summary!AA262="","",IF(COUNTIFS(Data_Summary!$Y$2:$Y262,"Coverage",Data_Summary!$AA$2:$AA262,Data_Summary!AA262)=1,Data_Summary!AA262,"")))</f>
        <v/>
      </c>
      <c r="AK261" s="17" t="str">
        <f aca="false">IF(AJ261="","",COUNTIFS(Data_Summary!$Y$2:$Y$20001,"Coverage",Data_Summary!$AA$2:$AA$20001,AJ261))</f>
        <v/>
      </c>
    </row>
    <row r="262" customFormat="false" ht="12.75" hidden="false" customHeight="true" outlineLevel="0" collapsed="false">
      <c r="AJ262" s="17" t="str">
        <f aca="false">IF(Data_Summary!Y263&lt;&gt;"Coverage","",IF(Data_Summary!AA263="","",IF(COUNTIFS(Data_Summary!$Y$2:$Y263,"Coverage",Data_Summary!$AA$2:$AA263,Data_Summary!AA263)=1,Data_Summary!AA263,"")))</f>
        <v/>
      </c>
      <c r="AK262" s="17" t="str">
        <f aca="false">IF(AJ262="","",COUNTIFS(Data_Summary!$Y$2:$Y$20001,"Coverage",Data_Summary!$AA$2:$AA$20001,AJ262))</f>
        <v/>
      </c>
    </row>
    <row r="263" customFormat="false" ht="15" hidden="false" customHeight="true" outlineLevel="0" collapsed="false">
      <c r="A263" s="56" t="s">
        <v>99</v>
      </c>
      <c r="B263" s="56" t="s">
        <v>167</v>
      </c>
      <c r="C263" s="56" t="s">
        <v>123</v>
      </c>
      <c r="D263" s="56" t="s">
        <v>192</v>
      </c>
      <c r="E263" s="56" t="s">
        <v>2967</v>
      </c>
      <c r="AJ263" s="17" t="str">
        <f aca="false">IF(Data_Summary!Y264&lt;&gt;"Coverage","",IF(Data_Summary!AA264="","",IF(COUNTIFS(Data_Summary!$Y$2:$Y264,"Coverage",Data_Summary!$AA$2:$AA264,Data_Summary!AA264)=1,Data_Summary!AA264,"")))</f>
        <v/>
      </c>
      <c r="AK263" s="17" t="str">
        <f aca="false">IF(AJ263="","",COUNTIFS(Data_Summary!$Y$2:$Y$20001,"Coverage",Data_Summary!$AA$2:$AA$20001,AJ263))</f>
        <v/>
      </c>
    </row>
    <row r="264" customFormat="false" ht="15" hidden="false" customHeight="true" outlineLevel="0" collapsed="false">
      <c r="A264" s="57" t="s">
        <v>139</v>
      </c>
      <c r="B264" s="58" t="n">
        <f aca="false">COUNTIFS(InsightData[Status],A264,InsightData[Severity],"High")</f>
        <v>8</v>
      </c>
      <c r="C264" s="58" t="n">
        <f aca="false">COUNTIFS(InsightData[Status],A264,InsightData[Severity],"Moderate")</f>
        <v>22</v>
      </c>
      <c r="D264" s="58" t="n">
        <f aca="false">COUNTIFS(InsightData[Status],A264,InsightData[Severity],"Low")</f>
        <v>14</v>
      </c>
      <c r="E264" s="58" t="n">
        <f aca="false">SUM(B264:D264)</f>
        <v>44</v>
      </c>
      <c r="AJ264" s="17" t="str">
        <f aca="false">IF(Data_Summary!Y265&lt;&gt;"Coverage","",IF(Data_Summary!AA265="","",IF(COUNTIFS(Data_Summary!$Y$2:$Y265,"Coverage",Data_Summary!$AA$2:$AA265,Data_Summary!AA265)=1,Data_Summary!AA265,"")))</f>
        <v/>
      </c>
      <c r="AK264" s="17" t="str">
        <f aca="false">IF(AJ264="","",COUNTIFS(Data_Summary!$Y$2:$Y$20001,"Coverage",Data_Summary!$AA$2:$AA$20001,AJ264))</f>
        <v/>
      </c>
    </row>
    <row r="265" customFormat="false" ht="15" hidden="false" customHeight="true" outlineLevel="0" collapsed="false">
      <c r="A265" s="59" t="s">
        <v>168</v>
      </c>
      <c r="B265" s="60" t="n">
        <f aca="false">COUNTIFS(InsightData[Status],A265,InsightData[Severity],"High")</f>
        <v>19</v>
      </c>
      <c r="C265" s="60" t="n">
        <f aca="false">COUNTIFS(InsightData[Status],A265,InsightData[Severity],"Moderate")</f>
        <v>35</v>
      </c>
      <c r="D265" s="60" t="n">
        <f aca="false">COUNTIFS(InsightData[Status],A265,InsightData[Severity],"Low")</f>
        <v>29</v>
      </c>
      <c r="E265" s="60" t="n">
        <f aca="false">SUM(B265:D265)</f>
        <v>83</v>
      </c>
      <c r="AJ265" s="17" t="str">
        <f aca="false">IF(Data_Summary!Y266&lt;&gt;"Coverage","",IF(Data_Summary!AA266="","",IF(COUNTIFS(Data_Summary!$Y$2:$Y266,"Coverage",Data_Summary!$AA$2:$AA266,Data_Summary!AA266)=1,Data_Summary!AA266,"")))</f>
        <v/>
      </c>
      <c r="AK265" s="17" t="str">
        <f aca="false">IF(AJ265="","",COUNTIFS(Data_Summary!$Y$2:$Y$20001,"Coverage",Data_Summary!$AA$2:$AA$20001,AJ265))</f>
        <v/>
      </c>
    </row>
    <row r="266" customFormat="false" ht="15" hidden="false" customHeight="true" outlineLevel="0" collapsed="false">
      <c r="A266" s="61" t="s">
        <v>124</v>
      </c>
      <c r="B266" s="58" t="n">
        <f aca="false">COUNTIFS(InsightData[Status],A266,InsightData[Severity],"High")</f>
        <v>81</v>
      </c>
      <c r="C266" s="58" t="n">
        <f aca="false">COUNTIFS(InsightData[Status],A266,InsightData[Severity],"Moderate")</f>
        <v>161</v>
      </c>
      <c r="D266" s="58" t="n">
        <f aca="false">COUNTIFS(InsightData[Status],A266,InsightData[Severity],"Low")</f>
        <v>131</v>
      </c>
      <c r="E266" s="58" t="n">
        <f aca="false">SUM(B266:D266)</f>
        <v>373</v>
      </c>
      <c r="AJ266" s="17" t="str">
        <f aca="false">IF(Data_Summary!Y267&lt;&gt;"Coverage","",IF(Data_Summary!AA267="","",IF(COUNTIFS(Data_Summary!$Y$2:$Y267,"Coverage",Data_Summary!$AA$2:$AA267,Data_Summary!AA267)=1,Data_Summary!AA267,"")))</f>
        <v/>
      </c>
      <c r="AK266" s="17" t="str">
        <f aca="false">IF(AJ266="","",COUNTIFS(Data_Summary!$Y$2:$Y$20001,"Coverage",Data_Summary!$AA$2:$AA$20001,AJ266))</f>
        <v/>
      </c>
    </row>
    <row r="267" customFormat="false" ht="12.75" hidden="false" customHeight="true" outlineLevel="0" collapsed="false">
      <c r="AJ267" s="17" t="str">
        <f aca="false">IF(Data_Summary!Y268&lt;&gt;"Coverage","",IF(Data_Summary!AA268="","",IF(COUNTIFS(Data_Summary!$Y$2:$Y268,"Coverage",Data_Summary!$AA$2:$AA268,Data_Summary!AA268)=1,Data_Summary!AA268,"")))</f>
        <v/>
      </c>
      <c r="AK267" s="17" t="str">
        <f aca="false">IF(AJ267="","",COUNTIFS(Data_Summary!$Y$2:$Y$20001,"Coverage",Data_Summary!$AA$2:$AA$20001,AJ267))</f>
        <v/>
      </c>
    </row>
    <row r="268" customFormat="false" ht="12.75" hidden="false" customHeight="true" outlineLevel="0" collapsed="false">
      <c r="A268" s="62" t="s">
        <v>3018</v>
      </c>
      <c r="B268" s="62"/>
      <c r="C268" s="62"/>
      <c r="D268" s="62"/>
      <c r="E268" s="62"/>
      <c r="F268" s="62"/>
      <c r="G268" s="62"/>
      <c r="H268" s="62"/>
      <c r="AJ268" s="17" t="str">
        <f aca="false">IF(Data_Summary!Y269&lt;&gt;"Coverage","",IF(Data_Summary!AA269="","",IF(COUNTIFS(Data_Summary!$Y$2:$Y269,"Coverage",Data_Summary!$AA$2:$AA269,Data_Summary!AA269)=1,Data_Summary!AA269,"")))</f>
        <v/>
      </c>
      <c r="AK268" s="17" t="str">
        <f aca="false">IF(AJ268="","",COUNTIFS(Data_Summary!$Y$2:$Y$20001,"Coverage",Data_Summary!$AA$2:$AA$20001,AJ268))</f>
        <v/>
      </c>
    </row>
    <row r="269" customFormat="false" ht="12.75" hidden="false" customHeight="true" outlineLevel="0" collapsed="false">
      <c r="A269" s="63"/>
      <c r="B269" s="63"/>
      <c r="C269" s="63"/>
      <c r="D269" s="63"/>
      <c r="E269" s="63"/>
      <c r="F269" s="63"/>
      <c r="G269" s="63"/>
      <c r="H269" s="63"/>
      <c r="AJ269" s="17" t="str">
        <f aca="false">IF(Data_Summary!Y270&lt;&gt;"Coverage","",IF(Data_Summary!AA270="","",IF(COUNTIFS(Data_Summary!$Y$2:$Y270,"Coverage",Data_Summary!$AA$2:$AA270,Data_Summary!AA270)=1,Data_Summary!AA270,"")))</f>
        <v/>
      </c>
      <c r="AK269" s="17" t="str">
        <f aca="false">IF(AJ269="","",COUNTIFS(Data_Summary!$Y$2:$Y$20001,"Coverage",Data_Summary!$AA$2:$AA$20001,AJ269))</f>
        <v/>
      </c>
    </row>
    <row r="270" customFormat="false" ht="12.75" hidden="false" customHeight="true" outlineLevel="0" collapsed="false">
      <c r="A270" s="64" t="s">
        <v>3019</v>
      </c>
      <c r="B270" s="64" t="s">
        <v>0</v>
      </c>
      <c r="C270" s="64" t="s">
        <v>5</v>
      </c>
      <c r="D270" s="64" t="s">
        <v>14</v>
      </c>
      <c r="E270" s="64" t="s">
        <v>3020</v>
      </c>
      <c r="F270" s="64" t="s">
        <v>98</v>
      </c>
      <c r="G270" s="64" t="s">
        <v>99</v>
      </c>
      <c r="H270" s="64" t="s">
        <v>3021</v>
      </c>
      <c r="AJ270" s="17" t="str">
        <f aca="false">IF(Data_Summary!Y271&lt;&gt;"Coverage","",IF(Data_Summary!AA271="","",IF(COUNTIFS(Data_Summary!$Y$2:$Y271,"Coverage",Data_Summary!$AA$2:$AA271,Data_Summary!AA271)=1,Data_Summary!AA271,"")))</f>
        <v/>
      </c>
      <c r="AK270" s="17" t="str">
        <f aca="false">IF(AJ270="","",COUNTIFS(Data_Summary!$Y$2:$Y$20001,"Coverage",Data_Summary!$AA$2:$AA$20001,AJ270))</f>
        <v/>
      </c>
    </row>
    <row r="271" customFormat="false" ht="12.75" hidden="false" customHeight="true" outlineLevel="0" collapsed="false">
      <c r="A271" s="65" t="n">
        <f aca="false">IF(J250="","",1)</f>
        <v>1</v>
      </c>
      <c r="B271" s="66" t="n">
        <f aca="false">IFERROR(IF(J250="","",INDEX(Data_Insight!$A:$A,MOD(J250,100000))),"—")</f>
        <v>25</v>
      </c>
      <c r="C271" s="67" t="str">
        <f aca="false">IFERROR(IF(J250="","",INDEX(Data_Insight!$F:$F,MOD(J250,100000))),"—")</f>
        <v>Aadi Naik</v>
      </c>
      <c r="D271" s="67" t="str">
        <f aca="false">IFERROR(IF(J250="","",INDEX(Data_Insight!$I:$I,MOD(J250,100000))),"—")</f>
        <v>DIG Vertical</v>
      </c>
      <c r="E271" s="67" t="str">
        <f aca="false">IFERROR(IF(J250="","",INDEX(Data_Insight!$X:$X,MOD(J250,100000))),"—")</f>
        <v>New Joiner Connect (90 Days)</v>
      </c>
      <c r="F271" s="68" t="str">
        <f aca="false">IFERROR(IF(J250="","",INDEX(Data_Insight!$V:$V,MOD(J250,100000))),"—")</f>
        <v>High</v>
      </c>
      <c r="G271" s="69" t="str">
        <f aca="false">IFERROR(IF(J250="","",INDEX(Data_Insight!$W:$W,MOD(J250,100000))),"—")</f>
        <v>Open</v>
      </c>
      <c r="H271" s="17" t="str">
        <f aca="false">IF(J250="","—",IFERROR(IF(INDEX(Data_Insight!$U:$U,MOD(J250,100000))="",IF(INDEX(Data_Insight!$AG:$AG,MOD(J250,100000))="","—",INDEX(Data_Insight!$AG:$AG,MOD(J250,100000))),INDEX(Data_Insight!$U:$U,MOD(J250,100000))),"—"))</f>
        <v>aNA</v>
      </c>
      <c r="AJ271" s="17" t="str">
        <f aca="false">IF(Data_Summary!Y272&lt;&gt;"Coverage","",IF(Data_Summary!AA272="","",IF(COUNTIFS(Data_Summary!$Y$2:$Y272,"Coverage",Data_Summary!$AA$2:$AA272,Data_Summary!AA272)=1,Data_Summary!AA272,"")))</f>
        <v/>
      </c>
      <c r="AK271" s="17" t="str">
        <f aca="false">IF(AJ271="","",COUNTIFS(Data_Summary!$Y$2:$Y$20001,"Coverage",Data_Summary!$AA$2:$AA$20001,AJ271))</f>
        <v/>
      </c>
    </row>
    <row r="272" customFormat="false" ht="12.75" hidden="false" customHeight="true" outlineLevel="0" collapsed="false">
      <c r="A272" s="70" t="n">
        <f aca="false">IF(J251="","",2)</f>
        <v>2</v>
      </c>
      <c r="B272" s="71" t="n">
        <f aca="false">IFERROR(IF(J251="","",INDEX(Data_Insight!$A:$A,MOD(J251,100000))),"—")</f>
        <v>63</v>
      </c>
      <c r="C272" s="72" t="str">
        <f aca="false">IFERROR(IF(J251="","",INDEX(Data_Insight!$F:$F,MOD(J251,100000))),"—")</f>
        <v>Chaitanya Aggarwal</v>
      </c>
      <c r="D272" s="72" t="str">
        <f aca="false">IFERROR(IF(J251="","",INDEX(Data_Insight!$I:$I,MOD(J251,100000))),"—")</f>
        <v>Network Services Service Line</v>
      </c>
      <c r="E272" s="72" t="str">
        <f aca="false">IFERROR(IF(J251="","",INDEX(Data_Insight!$X:$X,MOD(J251,100000))),"—")</f>
        <v>SL Induction</v>
      </c>
      <c r="F272" s="73" t="str">
        <f aca="false">IFERROR(IF(J251="","",INDEX(Data_Insight!$V:$V,MOD(J251,100000))),"—")</f>
        <v>High</v>
      </c>
      <c r="G272" s="74" t="str">
        <f aca="false">IFERROR(IF(J251="","",INDEX(Data_Insight!$W:$W,MOD(J251,100000))),"—")</f>
        <v>Open</v>
      </c>
      <c r="H272" s="72" t="str">
        <f aca="false">IF(J251="","—",IFERROR(IF(INDEX(Data_Insight!$U:$U,MOD(J251,100000))="",IF(INDEX(Data_Insight!$AG:$AG,MOD(J251,100000))="","—",INDEX(Data_Insight!$AG:$AG,MOD(J251,100000))),INDEX(Data_Insight!$U:$U,MOD(J251,100000))),"—"))</f>
        <v>NA</v>
      </c>
      <c r="AJ272" s="17" t="str">
        <f aca="false">IF(Data_Summary!Y273&lt;&gt;"Coverage","",IF(Data_Summary!AA273="","",IF(COUNTIFS(Data_Summary!$Y$2:$Y273,"Coverage",Data_Summary!$AA$2:$AA273,Data_Summary!AA273)=1,Data_Summary!AA273,"")))</f>
        <v/>
      </c>
      <c r="AK272" s="17" t="str">
        <f aca="false">IF(AJ272="","",COUNTIFS(Data_Summary!$Y$2:$Y$20001,"Coverage",Data_Summary!$AA$2:$AA$20001,AJ272))</f>
        <v/>
      </c>
    </row>
    <row r="273" customFormat="false" ht="25.5" hidden="false" customHeight="true" outlineLevel="0" collapsed="false">
      <c r="A273" s="65" t="n">
        <f aca="false">IF(J252="","",3)</f>
        <v>3</v>
      </c>
      <c r="B273" s="66" t="n">
        <f aca="false">IFERROR(IF(J252="","",INDEX(Data_Insight!$A:$A,MOD(J252,100000))),"—")</f>
        <v>166</v>
      </c>
      <c r="C273" s="67" t="str">
        <f aca="false">IFERROR(IF(J252="","",INDEX(Data_Insight!$F:$F,MOD(J252,100000))),"—")</f>
        <v>Harini Tripathi</v>
      </c>
      <c r="D273" s="67" t="str">
        <f aca="false">IFERROR(IF(J252="","",INDEX(Data_Insight!$I:$I,MOD(J252,100000))),"—")</f>
        <v>DEA Service Line</v>
      </c>
      <c r="E273" s="67" t="str">
        <f aca="false">IFERROR(IF(J252="","",INDEX(Data_Insight!$X:$X,MOD(J252,100000))),"—")</f>
        <v>Women Associate Connect</v>
      </c>
      <c r="F273" s="68" t="str">
        <f aca="false">IFERROR(IF(J252="","",INDEX(Data_Insight!$V:$V,MOD(J252,100000))),"—")</f>
        <v>High</v>
      </c>
      <c r="G273" s="69" t="str">
        <f aca="false">IFERROR(IF(J252="","",INDEX(Data_Insight!$W:$W,MOD(J252,100000))),"—")</f>
        <v>Open</v>
      </c>
      <c r="H273" s="67" t="str">
        <f aca="false">IF(J252="","—",IFERROR(IF(INDEX(Data_Insight!$U:$U,MOD(J252,100000))="",IF(INDEX(Data_Insight!$AG:$AG,MOD(J252,100000))="","—",INDEX(Data_Insight!$AG:$AG,MOD(J252,100000))),INDEX(Data_Insight!$U:$U,MOD(J252,100000))),"—"))</f>
        <v>NA</v>
      </c>
      <c r="AJ273" s="17" t="str">
        <f aca="false">IF(Data_Summary!Y274&lt;&gt;"Coverage","",IF(Data_Summary!AA274="","",IF(COUNTIFS(Data_Summary!$Y$2:$Y274,"Coverage",Data_Summary!$AA$2:$AA274,Data_Summary!AA274)=1,Data_Summary!AA274,"")))</f>
        <v/>
      </c>
      <c r="AK273" s="17" t="str">
        <f aca="false">IF(AJ273="","",COUNTIFS(Data_Summary!$Y$2:$Y$20001,"Coverage",Data_Summary!$AA$2:$AA$20001,AJ273))</f>
        <v/>
      </c>
    </row>
    <row r="274" customFormat="false" ht="63.75" hidden="false" customHeight="true" outlineLevel="0" collapsed="false">
      <c r="A274" s="70" t="n">
        <f aca="false">IF(J253="","",4)</f>
        <v>4</v>
      </c>
      <c r="B274" s="71" t="n">
        <f aca="false">IFERROR(IF(J253="","",INDEX(Data_Insight!$A:$A,MOD(J253,100000))),"—")</f>
        <v>253</v>
      </c>
      <c r="C274" s="72" t="str">
        <f aca="false">IFERROR(IF(J253="","",INDEX(Data_Insight!$F:$F,MOD(J253,100000))),"—")</f>
        <v>Anvi Bhalla</v>
      </c>
      <c r="D274" s="72" t="str">
        <f aca="false">IFERROR(IF(J253="","",INDEX(Data_Insight!$I:$I,MOD(J253,100000))),"—")</f>
        <v>DEA Service Line</v>
      </c>
      <c r="E274" s="72" t="str">
        <f aca="false">IFERROR(IF(J253="","",INDEX(Data_Insight!$X:$X,MOD(J253,100000))),"—")</f>
        <v>ML Returnee Connect</v>
      </c>
      <c r="F274" s="73" t="str">
        <f aca="false">IFERROR(IF(J253="","",INDEX(Data_Insight!$V:$V,MOD(J253,100000))),"—")</f>
        <v>High</v>
      </c>
      <c r="G274" s="74" t="str">
        <f aca="false">IFERROR(IF(J253="","",INDEX(Data_Insight!$W:$W,MOD(J253,100000))),"—")</f>
        <v>Open</v>
      </c>
      <c r="H274" s="72" t="str">
        <f aca="false">IF(J253="","—",IFERROR(IF(INDEX(Data_Insight!$U:$U,MOD(J253,100000))="",IF(INDEX(Data_Insight!$AG:$AG,MOD(J253,100000))="","—",INDEX(Data_Insight!$AG:$AG,MOD(J253,100000))),INDEX(Data_Insight!$U:$U,MOD(J253,100000))),"—"))</f>
        <v>NA</v>
      </c>
      <c r="AJ274" s="17" t="str">
        <f aca="false">IF(Data_Summary!Y275&lt;&gt;"Coverage","",IF(Data_Summary!AA275="","",IF(COUNTIFS(Data_Summary!$Y$2:$Y275,"Coverage",Data_Summary!$AA$2:$AA275,Data_Summary!AA275)=1,Data_Summary!AA275,"")))</f>
        <v/>
      </c>
      <c r="AK274" s="17" t="str">
        <f aca="false">IF(AJ274="","",COUNTIFS(Data_Summary!$Y$2:$Y$20001,"Coverage",Data_Summary!$AA$2:$AA$20001,AJ274))</f>
        <v/>
      </c>
    </row>
    <row r="275" customFormat="false" ht="38.25" hidden="false" customHeight="true" outlineLevel="0" collapsed="false">
      <c r="A275" s="65" t="n">
        <f aca="false">IF(J254="","",5)</f>
        <v>5</v>
      </c>
      <c r="B275" s="66" t="n">
        <f aca="false">IFERROR(IF(J254="","",INDEX(Data_Insight!$A:$A,MOD(J254,100000))),"—")</f>
        <v>304</v>
      </c>
      <c r="C275" s="67" t="str">
        <f aca="false">IFERROR(IF(J254="","",INDEX(Data_Insight!$F:$F,MOD(J254,100000))),"—")</f>
        <v>Chakrika Mohan</v>
      </c>
      <c r="D275" s="67" t="str">
        <f aca="false">IFERROR(IF(J254="","",INDEX(Data_Insight!$I:$I,MOD(J254,100000))),"—")</f>
        <v>DEA Service Line</v>
      </c>
      <c r="E275" s="67" t="str">
        <f aca="false">IFERROR(IF(J254="","",INDEX(Data_Insight!$X:$X,MOD(J254,100000))),"—")</f>
        <v>New Joiner Connect (60 Days)</v>
      </c>
      <c r="F275" s="68" t="str">
        <f aca="false">IFERROR(IF(J254="","",INDEX(Data_Insight!$V:$V,MOD(J254,100000))),"—")</f>
        <v>High</v>
      </c>
      <c r="G275" s="69" t="str">
        <f aca="false">IFERROR(IF(J254="","",INDEX(Data_Insight!$W:$W,MOD(J254,100000))),"—")</f>
        <v>Open</v>
      </c>
      <c r="H275" s="67" t="str">
        <f aca="false">IF(J254="","—",IFERROR(IF(INDEX(Data_Insight!$U:$U,MOD(J254,100000))="",IF(INDEX(Data_Insight!$AG:$AG,MOD(J254,100000))="","—",INDEX(Data_Insight!$AG:$AG,MOD(J254,100000))),INDEX(Data_Insight!$U:$U,MOD(J254,100000))),"—"))</f>
        <v>NA</v>
      </c>
      <c r="AJ275" s="17" t="str">
        <f aca="false">IF(Data_Summary!Y276&lt;&gt;"Coverage","",IF(Data_Summary!AA276="","",IF(COUNTIFS(Data_Summary!$Y$2:$Y276,"Coverage",Data_Summary!$AA$2:$AA276,Data_Summary!AA276)=1,Data_Summary!AA276,"")))</f>
        <v/>
      </c>
      <c r="AK275" s="17" t="str">
        <f aca="false">IF(AJ275="","",COUNTIFS(Data_Summary!$Y$2:$Y$20001,"Coverage",Data_Summary!$AA$2:$AA$20001,AJ275))</f>
        <v/>
      </c>
    </row>
    <row r="276" customFormat="false" ht="25.5" hidden="false" customHeight="true" outlineLevel="0" collapsed="false">
      <c r="A276" s="70" t="n">
        <f aca="false">IF(J255="","",6)</f>
        <v>6</v>
      </c>
      <c r="B276" s="71" t="n">
        <f aca="false">IFERROR(IF(J255="","",INDEX(Data_Insight!$A:$A,MOD(J255,100000))),"—")</f>
        <v>348</v>
      </c>
      <c r="C276" s="75" t="str">
        <f aca="false">IFERROR(IF(J255="","",INDEX(Data_Insight!$F:$F,MOD(J255,100000))),"—")</f>
        <v>Urvi Venkataraman</v>
      </c>
      <c r="D276" s="75" t="str">
        <f aca="false">IFERROR(IF(J255="","",INDEX(Data_Insight!$I:$I,MOD(J255,100000))),"—")</f>
        <v>DEA Service Line</v>
      </c>
      <c r="E276" s="75" t="str">
        <f aca="false">IFERROR(IF(J255="","",INDEX(Data_Insight!$X:$X,MOD(J255,100000))),"—")</f>
        <v>Band Specific FGD Connect</v>
      </c>
      <c r="F276" s="73" t="str">
        <f aca="false">IFERROR(IF(J255="","",INDEX(Data_Insight!$V:$V,MOD(J255,100000))),"—")</f>
        <v>High</v>
      </c>
      <c r="G276" s="74" t="str">
        <f aca="false">IFERROR(IF(J255="","",INDEX(Data_Insight!$W:$W,MOD(J255,100000))),"—")</f>
        <v>Open</v>
      </c>
      <c r="H276" s="76" t="str">
        <f aca="false">IF(J255="","—",IFERROR(IF(INDEX(Data_Insight!$U:$U,MOD(J255,100000))="",IF(INDEX(Data_Insight!$AG:$AG,MOD(J255,100000))="","—",INDEX(Data_Insight!$AG:$AG,MOD(J255,100000))),INDEX(Data_Insight!$U:$U,MOD(J255,100000))),"—"))</f>
        <v>Share update with relevant stakeholder</v>
      </c>
      <c r="AJ276" s="17" t="str">
        <f aca="false">IF(Data_Summary!Y277&lt;&gt;"Coverage","",IF(Data_Summary!AA277="","",IF(COUNTIFS(Data_Summary!$Y$2:$Y277,"Coverage",Data_Summary!$AA$2:$AA277,Data_Summary!AA277)=1,Data_Summary!AA277,"")))</f>
        <v/>
      </c>
      <c r="AK276" s="17" t="str">
        <f aca="false">IF(AJ276="","",COUNTIFS(Data_Summary!$Y$2:$Y$20001,"Coverage",Data_Summary!$AA$2:$AA$20001,AJ276))</f>
        <v/>
      </c>
    </row>
    <row r="277" customFormat="false" ht="12.75" hidden="false" customHeight="true" outlineLevel="0" collapsed="false">
      <c r="A277" s="65" t="n">
        <f aca="false">IF(J256="","",7)</f>
        <v>7</v>
      </c>
      <c r="B277" s="66" t="n">
        <f aca="false">IFERROR(IF(J256="","",INDEX(Data_Insight!$A:$A,MOD(J256,100000))),"—")</f>
        <v>415</v>
      </c>
      <c r="C277" s="76" t="str">
        <f aca="false">IFERROR(IF(J256="","",INDEX(Data_Insight!$F:$F,MOD(J256,100000))),"—")</f>
        <v>Shivani Prabhakar</v>
      </c>
      <c r="D277" s="76" t="str">
        <f aca="false">IFERROR(IF(J256="","",INDEX(Data_Insight!$I:$I,MOD(J256,100000))),"—")</f>
        <v>DEA Service Line</v>
      </c>
      <c r="E277" s="76" t="str">
        <f aca="false">IFERROR(IF(J256="","",INDEX(Data_Insight!$X:$X,MOD(J256,100000))),"—")</f>
        <v>Leadership Connect</v>
      </c>
      <c r="F277" s="68" t="str">
        <f aca="false">IFERROR(IF(J256="","",INDEX(Data_Insight!$V:$V,MOD(J256,100000))),"—")</f>
        <v>High</v>
      </c>
      <c r="G277" s="69" t="str">
        <f aca="false">IFERROR(IF(J256="","",INDEX(Data_Insight!$W:$W,MOD(J256,100000))),"—")</f>
        <v>Open</v>
      </c>
      <c r="H277" s="76" t="str">
        <f aca="false">IF(J256="","—",IFERROR(IF(INDEX(Data_Insight!$U:$U,MOD(J256,100000))="",IF(INDEX(Data_Insight!$AG:$AG,MOD(J256,100000))="","—",INDEX(Data_Insight!$AG:$AG,MOD(J256,100000))),INDEX(Data_Insight!$U:$U,MOD(J256,100000))),"—"))</f>
        <v>Define capability targets</v>
      </c>
      <c r="AJ277" s="17" t="str">
        <f aca="false">IF(Data_Summary!Y278&lt;&gt;"Coverage","",IF(Data_Summary!AA278="","",IF(COUNTIFS(Data_Summary!$Y$2:$Y278,"Coverage",Data_Summary!$AA$2:$AA278,Data_Summary!AA278)=1,Data_Summary!AA278,"")))</f>
        <v/>
      </c>
      <c r="AK277" s="17" t="str">
        <f aca="false">IF(AJ277="","",COUNTIFS(Data_Summary!$Y$2:$Y$20001,"Coverage",Data_Summary!$AA$2:$AA$20001,AJ277))</f>
        <v/>
      </c>
    </row>
    <row r="278" customFormat="false" ht="12.75" hidden="false" customHeight="true" outlineLevel="0" collapsed="false">
      <c r="A278" s="70" t="n">
        <f aca="false">IF(J257="","",8)</f>
        <v>8</v>
      </c>
      <c r="B278" s="71" t="n">
        <f aca="false">IFERROR(IF(J257="","",INDEX(Data_Insight!$A:$A,MOD(J257,100000))),"—")</f>
        <v>494</v>
      </c>
      <c r="C278" s="75" t="str">
        <f aca="false">IFERROR(IF(J257="","",INDEX(Data_Insight!$F:$F,MOD(J257,100000))),"—")</f>
        <v>Thomas Master</v>
      </c>
      <c r="D278" s="75" t="str">
        <f aca="false">IFERROR(IF(J257="","",INDEX(Data_Insight!$I:$I,MOD(J257,100000))),"—")</f>
        <v>DIG Vertical</v>
      </c>
      <c r="E278" s="75" t="str">
        <f aca="false">IFERROR(IF(J257="","",INDEX(Data_Insight!$X:$X,MOD(J257,100000))),"—")</f>
        <v>Skip Meeting</v>
      </c>
      <c r="F278" s="73" t="str">
        <f aca="false">IFERROR(IF(J257="","",INDEX(Data_Insight!$V:$V,MOD(J257,100000))),"—")</f>
        <v>High</v>
      </c>
      <c r="G278" s="74" t="str">
        <f aca="false">IFERROR(IF(J257="","",INDEX(Data_Insight!$W:$W,MOD(J257,100000))),"—")</f>
        <v>Open</v>
      </c>
      <c r="H278" s="75" t="str">
        <f aca="false">IF(J257="","—",IFERROR(IF(INDEX(Data_Insight!$U:$U,MOD(J257,100000))="",IF(INDEX(Data_Insight!$AG:$AG,MOD(J257,100000))="","—",INDEX(Data_Insight!$AG:$AG,MOD(J257,100000))),INDEX(Data_Insight!$U:$U,MOD(J257,100000))),"—"))</f>
        <v>No response on IJP applied on Rapid</v>
      </c>
      <c r="AJ278" s="17" t="str">
        <f aca="false">IF(Data_Summary!Y279&lt;&gt;"Coverage","",IF(Data_Summary!AA279="","",IF(COUNTIFS(Data_Summary!$Y$2:$Y279,"Coverage",Data_Summary!$AA$2:$AA279,Data_Summary!AA279)=1,Data_Summary!AA279,"")))</f>
        <v/>
      </c>
      <c r="AK278" s="17" t="str">
        <f aca="false">IF(AJ278="","",COUNTIFS(Data_Summary!$Y$2:$Y$20001,"Coverage",Data_Summary!$AA$2:$AA$20001,AJ278))</f>
        <v/>
      </c>
    </row>
    <row r="279" customFormat="false" ht="25.5" hidden="false" customHeight="true" outlineLevel="0" collapsed="false">
      <c r="A279" s="65" t="n">
        <f aca="false">IF(J258="","",9)</f>
        <v>9</v>
      </c>
      <c r="B279" s="66" t="n">
        <f aca="false">IFERROR(IF(J258="","",INDEX(Data_Insight!$A:$A,MOD(J258,100000))),"—")</f>
        <v>4</v>
      </c>
      <c r="C279" s="76" t="str">
        <f aca="false">IFERROR(IF(J258="","",INDEX(Data_Insight!$F:$F,MOD(J258,100000))),"—")</f>
        <v>Abeer Dutta</v>
      </c>
      <c r="D279" s="76" t="str">
        <f aca="false">IFERROR(IF(J258="","",INDEX(Data_Insight!$I:$I,MOD(J258,100000))),"—")</f>
        <v>DEA Service Line</v>
      </c>
      <c r="E279" s="76" t="str">
        <f aca="false">IFERROR(IF(J258="","",INDEX(Data_Insight!$X:$X,MOD(J258,100000))),"—")</f>
        <v>ML Returnee Connect</v>
      </c>
      <c r="F279" s="68" t="str">
        <f aca="false">IFERROR(IF(J258="","",INDEX(Data_Insight!$V:$V,MOD(J258,100000))),"—")</f>
        <v>High</v>
      </c>
      <c r="G279" s="69" t="str">
        <f aca="false">IFERROR(IF(J258="","",INDEX(Data_Insight!$W:$W,MOD(J258,100000))),"—")</f>
        <v>In-progress</v>
      </c>
      <c r="H279" s="76" t="str">
        <f aca="false">IF(J258="","—",IFERROR(IF(INDEX(Data_Insight!$U:$U,MOD(J258,100000))="",IF(INDEX(Data_Insight!$AG:$AG,MOD(J258,100000))="","—",INDEX(Data_Insight!$AG:$AG,MOD(J258,100000))),INDEX(Data_Insight!$U:$U,MOD(J258,100000))),"—"))</f>
        <v>No response on IJP applied on Rapid</v>
      </c>
      <c r="AJ279" s="17" t="str">
        <f aca="false">IF(Data_Summary!Y280&lt;&gt;"Coverage","",IF(Data_Summary!AA280="","",IF(COUNTIFS(Data_Summary!$Y$2:$Y280,"Coverage",Data_Summary!$AA$2:$AA280,Data_Summary!AA280)=1,Data_Summary!AA280,"")))</f>
        <v/>
      </c>
      <c r="AK279" s="17" t="str">
        <f aca="false">IF(AJ279="","",COUNTIFS(Data_Summary!$Y$2:$Y$20001,"Coverage",Data_Summary!$AA$2:$AA$20001,AJ279))</f>
        <v/>
      </c>
    </row>
    <row r="280" customFormat="false" ht="57" hidden="false" customHeight="true" outlineLevel="0" collapsed="false">
      <c r="A280" s="70" t="n">
        <f aca="false">IF(J259="","",10)</f>
        <v>10</v>
      </c>
      <c r="B280" s="71" t="n">
        <f aca="false">IFERROR(IF(J259="","",INDEX(Data_Insight!$A:$A,MOD(J259,100000))),"—")</f>
        <v>26</v>
      </c>
      <c r="C280" s="75" t="str">
        <f aca="false">IFERROR(IF(J259="","",INDEX(Data_Insight!$F:$F,MOD(J259,100000))),"—")</f>
        <v>Janani Mohanty</v>
      </c>
      <c r="D280" s="75" t="str">
        <f aca="false">IFERROR(IF(J259="","",INDEX(Data_Insight!$I:$I,MOD(J259,100000))),"—")</f>
        <v>DEA Service Line</v>
      </c>
      <c r="E280" s="75" t="str">
        <f aca="false">IFERROR(IF(J259="","",INDEX(Data_Insight!$X:$X,MOD(J259,100000))),"—")</f>
        <v>Top Talent Connect</v>
      </c>
      <c r="F280" s="73" t="str">
        <f aca="false">IFERROR(IF(J259="","",INDEX(Data_Insight!$V:$V,MOD(J259,100000))),"—")</f>
        <v>High</v>
      </c>
      <c r="G280" s="74" t="str">
        <f aca="false">IFERROR(IF(J259="","",INDEX(Data_Insight!$W:$W,MOD(J259,100000))),"—")</f>
        <v>In-progress</v>
      </c>
      <c r="H280" s="75" t="str">
        <f aca="false">IF(J259="","—",IFERROR(IF(INDEX(Data_Insight!$U:$U,MOD(J259,100000))="",IF(INDEX(Data_Insight!$AG:$AG,MOD(J259,100000))="","—",INDEX(Data_Insight!$AG:$AG,MOD(J259,100000))),INDEX(Data_Insight!$U:$U,MOD(J259,100000))),"—"))</f>
        <v>NA</v>
      </c>
      <c r="AJ280" s="17" t="str">
        <f aca="false">IF(Data_Summary!Y281&lt;&gt;"Coverage","",IF(Data_Summary!AA281="","",IF(COUNTIFS(Data_Summary!$Y$2:$Y281,"Coverage",Data_Summary!$AA$2:$AA281,Data_Summary!AA281)=1,Data_Summary!AA281,"")))</f>
        <v/>
      </c>
      <c r="AK280" s="17" t="str">
        <f aca="false">IF(AJ280="","",COUNTIFS(Data_Summary!$Y$2:$Y$20001,"Coverage",Data_Summary!$AA$2:$AA$20001,AJ280))</f>
        <v/>
      </c>
    </row>
    <row r="281" customFormat="false" ht="12.75" hidden="false" customHeight="true" outlineLevel="0" collapsed="false">
      <c r="AJ281" s="17" t="str">
        <f aca="false">IF(Data_Summary!Y282&lt;&gt;"Coverage","",IF(Data_Summary!AA282="","",IF(COUNTIFS(Data_Summary!$Y$2:$Y282,"Coverage",Data_Summary!$AA$2:$AA282,Data_Summary!AA282)=1,Data_Summary!AA282,"")))</f>
        <v/>
      </c>
      <c r="AK281" s="17" t="str">
        <f aca="false">IF(AJ281="","",COUNTIFS(Data_Summary!$Y$2:$Y$20001,"Coverage",Data_Summary!$AA$2:$AA$20001,AJ281))</f>
        <v/>
      </c>
    </row>
    <row r="282" customFormat="false" ht="12.75" hidden="false" customHeight="true" outlineLevel="0" collapsed="false">
      <c r="AJ282" s="17" t="str">
        <f aca="false">IF(Data_Summary!Y283&lt;&gt;"Coverage","",IF(Data_Summary!AA283="","",IF(COUNTIFS(Data_Summary!$Y$2:$Y283,"Coverage",Data_Summary!$AA$2:$AA283,Data_Summary!AA283)=1,Data_Summary!AA283,"")))</f>
        <v/>
      </c>
      <c r="AK282" s="17" t="str">
        <f aca="false">IF(AJ282="","",COUNTIFS(Data_Summary!$Y$2:$Y$20001,"Coverage",Data_Summary!$AA$2:$AA$20001,AJ282))</f>
        <v/>
      </c>
    </row>
    <row r="283" customFormat="false" ht="12.75" hidden="false" customHeight="true" outlineLevel="0" collapsed="false">
      <c r="AJ283" s="17" t="str">
        <f aca="false">IF(Data_Summary!Y284&lt;&gt;"Coverage","",IF(Data_Summary!AA284="","",IF(COUNTIFS(Data_Summary!$Y$2:$Y284,"Coverage",Data_Summary!$AA$2:$AA284,Data_Summary!AA284)=1,Data_Summary!AA284,"")))</f>
        <v/>
      </c>
      <c r="AK283" s="17" t="str">
        <f aca="false">IF(AJ283="","",COUNTIFS(Data_Summary!$Y$2:$Y$20001,"Coverage",Data_Summary!$AA$2:$AA$20001,AJ283))</f>
        <v/>
      </c>
    </row>
    <row r="284" customFormat="false" ht="12.75" hidden="false" customHeight="true" outlineLevel="0" collapsed="false">
      <c r="AJ284" s="17" t="str">
        <f aca="false">IF(Data_Summary!Y285&lt;&gt;"Coverage","",IF(Data_Summary!AA285="","",IF(COUNTIFS(Data_Summary!$Y$2:$Y285,"Coverage",Data_Summary!$AA$2:$AA285,Data_Summary!AA285)=1,Data_Summary!AA285,"")))</f>
        <v/>
      </c>
      <c r="AK284" s="17" t="str">
        <f aca="false">IF(AJ284="","",COUNTIFS(Data_Summary!$Y$2:$Y$20001,"Coverage",Data_Summary!$AA$2:$AA$20001,AJ284))</f>
        <v/>
      </c>
    </row>
    <row r="285" customFormat="false" ht="12.75" hidden="false" customHeight="true" outlineLevel="0" collapsed="false">
      <c r="AJ285" s="17" t="str">
        <f aca="false">IF(Data_Summary!Y286&lt;&gt;"Coverage","",IF(Data_Summary!AA286="","",IF(COUNTIFS(Data_Summary!$Y$2:$Y286,"Coverage",Data_Summary!$AA$2:$AA286,Data_Summary!AA286)=1,Data_Summary!AA286,"")))</f>
        <v/>
      </c>
      <c r="AK285" s="17" t="str">
        <f aca="false">IF(AJ285="","",COUNTIFS(Data_Summary!$Y$2:$Y$20001,"Coverage",Data_Summary!$AA$2:$AA$20001,AJ285))</f>
        <v/>
      </c>
    </row>
    <row r="286" customFormat="false" ht="12.75" hidden="false" customHeight="true" outlineLevel="0" collapsed="false">
      <c r="AJ286" s="17" t="str">
        <f aca="false">IF(Data_Summary!Y287&lt;&gt;"Coverage","",IF(Data_Summary!AA287="","",IF(COUNTIFS(Data_Summary!$Y$2:$Y287,"Coverage",Data_Summary!$AA$2:$AA287,Data_Summary!AA287)=1,Data_Summary!AA287,"")))</f>
        <v/>
      </c>
      <c r="AK286" s="17" t="str">
        <f aca="false">IF(AJ286="","",COUNTIFS(Data_Summary!$Y$2:$Y$20001,"Coverage",Data_Summary!$AA$2:$AA$20001,AJ286))</f>
        <v/>
      </c>
    </row>
    <row r="287" customFormat="false" ht="12.75" hidden="false" customHeight="true" outlineLevel="0" collapsed="false">
      <c r="AJ287" s="17" t="str">
        <f aca="false">IF(Data_Summary!Y288&lt;&gt;"Coverage","",IF(Data_Summary!AA288="","",IF(COUNTIFS(Data_Summary!$Y$2:$Y288,"Coverage",Data_Summary!$AA$2:$AA288,Data_Summary!AA288)=1,Data_Summary!AA288,"")))</f>
        <v/>
      </c>
      <c r="AK287" s="17" t="str">
        <f aca="false">IF(AJ287="","",COUNTIFS(Data_Summary!$Y$2:$Y$20001,"Coverage",Data_Summary!$AA$2:$AA$20001,AJ287))</f>
        <v/>
      </c>
    </row>
    <row r="288" customFormat="false" ht="12.75" hidden="false" customHeight="true" outlineLevel="0" collapsed="false">
      <c r="AJ288" s="17" t="str">
        <f aca="false">IF(Data_Summary!Y289&lt;&gt;"Coverage","",IF(Data_Summary!AA289="","",IF(COUNTIFS(Data_Summary!$Y$2:$Y289,"Coverage",Data_Summary!$AA$2:$AA289,Data_Summary!AA289)=1,Data_Summary!AA289,"")))</f>
        <v/>
      </c>
      <c r="AK288" s="17" t="str">
        <f aca="false">IF(AJ288="","",COUNTIFS(Data_Summary!$Y$2:$Y$20001,"Coverage",Data_Summary!$AA$2:$AA$20001,AJ288))</f>
        <v/>
      </c>
    </row>
    <row r="289" customFormat="false" ht="12.75" hidden="false" customHeight="true" outlineLevel="0" collapsed="false">
      <c r="AJ289" s="17" t="str">
        <f aca="false">IF(Data_Summary!Y290&lt;&gt;"Coverage","",IF(Data_Summary!AA290="","",IF(COUNTIFS(Data_Summary!$Y$2:$Y290,"Coverage",Data_Summary!$AA$2:$AA290,Data_Summary!AA290)=1,Data_Summary!AA290,"")))</f>
        <v/>
      </c>
      <c r="AK289" s="17" t="str">
        <f aca="false">IF(AJ289="","",COUNTIFS(Data_Summary!$Y$2:$Y$20001,"Coverage",Data_Summary!$AA$2:$AA$20001,AJ289))</f>
        <v/>
      </c>
    </row>
    <row r="290" customFormat="false" ht="12.75" hidden="false" customHeight="true" outlineLevel="0" collapsed="false">
      <c r="AJ290" s="17" t="str">
        <f aca="false">IF(Data_Summary!Y291&lt;&gt;"Coverage","",IF(Data_Summary!AA291="","",IF(COUNTIFS(Data_Summary!$Y$2:$Y291,"Coverage",Data_Summary!$AA$2:$AA291,Data_Summary!AA291)=1,Data_Summary!AA291,"")))</f>
        <v/>
      </c>
      <c r="AK290" s="17" t="str">
        <f aca="false">IF(AJ290="","",COUNTIFS(Data_Summary!$Y$2:$Y$20001,"Coverage",Data_Summary!$AA$2:$AA$20001,AJ290))</f>
        <v/>
      </c>
    </row>
    <row r="291" customFormat="false" ht="12.75" hidden="false" customHeight="true" outlineLevel="0" collapsed="false">
      <c r="AJ291" s="17" t="str">
        <f aca="false">IF(Data_Summary!Y292&lt;&gt;"Coverage","",IF(Data_Summary!AA292="","",IF(COUNTIFS(Data_Summary!$Y$2:$Y292,"Coverage",Data_Summary!$AA$2:$AA292,Data_Summary!AA292)=1,Data_Summary!AA292,"")))</f>
        <v/>
      </c>
      <c r="AK291" s="17" t="str">
        <f aca="false">IF(AJ291="","",COUNTIFS(Data_Summary!$Y$2:$Y$20001,"Coverage",Data_Summary!$AA$2:$AA$20001,AJ291))</f>
        <v/>
      </c>
    </row>
    <row r="292" customFormat="false" ht="12.75" hidden="false" customHeight="true" outlineLevel="0" collapsed="false">
      <c r="AJ292" s="17" t="str">
        <f aca="false">IF(Data_Summary!Y293&lt;&gt;"Coverage","",IF(Data_Summary!AA293="","",IF(COUNTIFS(Data_Summary!$Y$2:$Y293,"Coverage",Data_Summary!$AA$2:$AA293,Data_Summary!AA293)=1,Data_Summary!AA293,"")))</f>
        <v/>
      </c>
      <c r="AK292" s="17" t="str">
        <f aca="false">IF(AJ292="","",COUNTIFS(Data_Summary!$Y$2:$Y$20001,"Coverage",Data_Summary!$AA$2:$AA$20001,AJ292))</f>
        <v/>
      </c>
    </row>
    <row r="293" customFormat="false" ht="12.75" hidden="false" customHeight="true" outlineLevel="0" collapsed="false">
      <c r="AJ293" s="17" t="str">
        <f aca="false">IF(Data_Summary!Y294&lt;&gt;"Coverage","",IF(Data_Summary!AA294="","",IF(COUNTIFS(Data_Summary!$Y$2:$Y294,"Coverage",Data_Summary!$AA$2:$AA294,Data_Summary!AA294)=1,Data_Summary!AA294,"")))</f>
        <v/>
      </c>
      <c r="AK293" s="17" t="str">
        <f aca="false">IF(AJ293="","",COUNTIFS(Data_Summary!$Y$2:$Y$20001,"Coverage",Data_Summary!$AA$2:$AA$20001,AJ293))</f>
        <v/>
      </c>
    </row>
    <row r="294" customFormat="false" ht="12.75" hidden="false" customHeight="true" outlineLevel="0" collapsed="false">
      <c r="AJ294" s="17" t="str">
        <f aca="false">IF(Data_Summary!Y295&lt;&gt;"Coverage","",IF(Data_Summary!AA295="","",IF(COUNTIFS(Data_Summary!$Y$2:$Y295,"Coverage",Data_Summary!$AA$2:$AA295,Data_Summary!AA295)=1,Data_Summary!AA295,"")))</f>
        <v/>
      </c>
      <c r="AK294" s="17" t="str">
        <f aca="false">IF(AJ294="","",COUNTIFS(Data_Summary!$Y$2:$Y$20001,"Coverage",Data_Summary!$AA$2:$AA$20001,AJ294))</f>
        <v/>
      </c>
    </row>
    <row r="295" customFormat="false" ht="12.75" hidden="false" customHeight="true" outlineLevel="0" collapsed="false">
      <c r="AJ295" s="17" t="str">
        <f aca="false">IF(Data_Summary!Y296&lt;&gt;"Coverage","",IF(Data_Summary!AA296="","",IF(COUNTIFS(Data_Summary!$Y$2:$Y296,"Coverage",Data_Summary!$AA$2:$AA296,Data_Summary!AA296)=1,Data_Summary!AA296,"")))</f>
        <v/>
      </c>
      <c r="AK295" s="17" t="str">
        <f aca="false">IF(AJ295="","",COUNTIFS(Data_Summary!$Y$2:$Y$20001,"Coverage",Data_Summary!$AA$2:$AA$20001,AJ295))</f>
        <v/>
      </c>
    </row>
    <row r="296" customFormat="false" ht="12.75" hidden="false" customHeight="true" outlineLevel="0" collapsed="false">
      <c r="AJ296" s="17" t="str">
        <f aca="false">IF(Data_Summary!Y297&lt;&gt;"Coverage","",IF(Data_Summary!AA297="","",IF(COUNTIFS(Data_Summary!$Y$2:$Y297,"Coverage",Data_Summary!$AA$2:$AA297,Data_Summary!AA297)=1,Data_Summary!AA297,"")))</f>
        <v/>
      </c>
      <c r="AK296" s="17" t="str">
        <f aca="false">IF(AJ296="","",COUNTIFS(Data_Summary!$Y$2:$Y$20001,"Coverage",Data_Summary!$AA$2:$AA$20001,AJ296))</f>
        <v/>
      </c>
    </row>
    <row r="297" customFormat="false" ht="12.75" hidden="false" customHeight="true" outlineLevel="0" collapsed="false">
      <c r="AJ297" s="17" t="str">
        <f aca="false">IF(Data_Summary!Y298&lt;&gt;"Coverage","",IF(Data_Summary!AA298="","",IF(COUNTIFS(Data_Summary!$Y$2:$Y298,"Coverage",Data_Summary!$AA$2:$AA298,Data_Summary!AA298)=1,Data_Summary!AA298,"")))</f>
        <v/>
      </c>
      <c r="AK297" s="17" t="str">
        <f aca="false">IF(AJ297="","",COUNTIFS(Data_Summary!$Y$2:$Y$20001,"Coverage",Data_Summary!$AA$2:$AA$20001,AJ297))</f>
        <v/>
      </c>
    </row>
    <row r="298" customFormat="false" ht="12.75" hidden="false" customHeight="true" outlineLevel="0" collapsed="false">
      <c r="AJ298" s="17" t="str">
        <f aca="false">IF(Data_Summary!Y299&lt;&gt;"Coverage","",IF(Data_Summary!AA299="","",IF(COUNTIFS(Data_Summary!$Y$2:$Y299,"Coverage",Data_Summary!$AA$2:$AA299,Data_Summary!AA299)=1,Data_Summary!AA299,"")))</f>
        <v/>
      </c>
      <c r="AK298" s="17" t="str">
        <f aca="false">IF(AJ298="","",COUNTIFS(Data_Summary!$Y$2:$Y$20001,"Coverage",Data_Summary!$AA$2:$AA$20001,AJ298))</f>
        <v/>
      </c>
    </row>
    <row r="299" customFormat="false" ht="12.75" hidden="false" customHeight="true" outlineLevel="0" collapsed="false">
      <c r="AJ299" s="17" t="str">
        <f aca="false">IF(Data_Summary!Y300&lt;&gt;"Coverage","",IF(Data_Summary!AA300="","",IF(COUNTIFS(Data_Summary!$Y$2:$Y300,"Coverage",Data_Summary!$AA$2:$AA300,Data_Summary!AA300)=1,Data_Summary!AA300,"")))</f>
        <v/>
      </c>
      <c r="AK299" s="17" t="str">
        <f aca="false">IF(AJ299="","",COUNTIFS(Data_Summary!$Y$2:$Y$20001,"Coverage",Data_Summary!$AA$2:$AA$20001,AJ299))</f>
        <v/>
      </c>
    </row>
    <row r="300" customFormat="false" ht="12.75" hidden="false" customHeight="true" outlineLevel="0" collapsed="false">
      <c r="AJ300" s="17" t="str">
        <f aca="false">IF(Data_Summary!Y301&lt;&gt;"Coverage","",IF(Data_Summary!AA301="","",IF(COUNTIFS(Data_Summary!$Y$2:$Y301,"Coverage",Data_Summary!$AA$2:$AA301,Data_Summary!AA301)=1,Data_Summary!AA301,"")))</f>
        <v/>
      </c>
      <c r="AK300" s="17" t="str">
        <f aca="false">IF(AJ300="","",COUNTIFS(Data_Summary!$Y$2:$Y$20001,"Coverage",Data_Summary!$AA$2:$AA$20001,AJ300))</f>
        <v/>
      </c>
    </row>
    <row r="301" customFormat="false" ht="12.75" hidden="false" customHeight="true" outlineLevel="0" collapsed="false">
      <c r="AJ301" s="17" t="str">
        <f aca="false">IF(Data_Summary!Y302&lt;&gt;"Coverage","",IF(Data_Summary!AA302="","",IF(COUNTIFS(Data_Summary!$Y$2:$Y302,"Coverage",Data_Summary!$AA$2:$AA302,Data_Summary!AA302)=1,Data_Summary!AA302,"")))</f>
        <v/>
      </c>
      <c r="AK301" s="17" t="str">
        <f aca="false">IF(AJ301="","",COUNTIFS(Data_Summary!$Y$2:$Y$20001,"Coverage",Data_Summary!$AA$2:$AA$20001,AJ301))</f>
        <v/>
      </c>
    </row>
    <row r="302" customFormat="false" ht="12.75" hidden="false" customHeight="true" outlineLevel="0" collapsed="false">
      <c r="AJ302" s="17" t="str">
        <f aca="false">IF(Data_Summary!Y303&lt;&gt;"Coverage","",IF(Data_Summary!AA303="","",IF(COUNTIFS(Data_Summary!$Y$2:$Y303,"Coverage",Data_Summary!$AA$2:$AA303,Data_Summary!AA303)=1,Data_Summary!AA303,"")))</f>
        <v/>
      </c>
      <c r="AK302" s="17" t="str">
        <f aca="false">IF(AJ302="","",COUNTIFS(Data_Summary!$Y$2:$Y$20001,"Coverage",Data_Summary!$AA$2:$AA$20001,AJ302))</f>
        <v/>
      </c>
    </row>
    <row r="303" customFormat="false" ht="12.75" hidden="false" customHeight="true" outlineLevel="0" collapsed="false">
      <c r="AJ303" s="17" t="str">
        <f aca="false">IF(Data_Summary!Y304&lt;&gt;"Coverage","",IF(Data_Summary!AA304="","",IF(COUNTIFS(Data_Summary!$Y$2:$Y304,"Coverage",Data_Summary!$AA$2:$AA304,Data_Summary!AA304)=1,Data_Summary!AA304,"")))</f>
        <v/>
      </c>
      <c r="AK303" s="17" t="str">
        <f aca="false">IF(AJ303="","",COUNTIFS(Data_Summary!$Y$2:$Y$20001,"Coverage",Data_Summary!$AA$2:$AA$20001,AJ303))</f>
        <v/>
      </c>
    </row>
    <row r="304" customFormat="false" ht="12.75" hidden="false" customHeight="true" outlineLevel="0" collapsed="false">
      <c r="AJ304" s="17" t="str">
        <f aca="false">IF(Data_Summary!Y305&lt;&gt;"Coverage","",IF(Data_Summary!AA305="","",IF(COUNTIFS(Data_Summary!$Y$2:$Y305,"Coverage",Data_Summary!$AA$2:$AA305,Data_Summary!AA305)=1,Data_Summary!AA305,"")))</f>
        <v/>
      </c>
      <c r="AK304" s="17" t="str">
        <f aca="false">IF(AJ304="","",COUNTIFS(Data_Summary!$Y$2:$Y$20001,"Coverage",Data_Summary!$AA$2:$AA$20001,AJ304))</f>
        <v/>
      </c>
    </row>
    <row r="305" customFormat="false" ht="12.75" hidden="false" customHeight="true" outlineLevel="0" collapsed="false">
      <c r="AJ305" s="17" t="str">
        <f aca="false">IF(Data_Summary!Y306&lt;&gt;"Coverage","",IF(Data_Summary!AA306="","",IF(COUNTIFS(Data_Summary!$Y$2:$Y306,"Coverage",Data_Summary!$AA$2:$AA306,Data_Summary!AA306)=1,Data_Summary!AA306,"")))</f>
        <v/>
      </c>
      <c r="AK305" s="17" t="str">
        <f aca="false">IF(AJ305="","",COUNTIFS(Data_Summary!$Y$2:$Y$20001,"Coverage",Data_Summary!$AA$2:$AA$20001,AJ305))</f>
        <v/>
      </c>
    </row>
    <row r="306" customFormat="false" ht="12.75" hidden="false" customHeight="true" outlineLevel="0" collapsed="false">
      <c r="AJ306" s="17" t="str">
        <f aca="false">IF(Data_Summary!Y307&lt;&gt;"Coverage","",IF(Data_Summary!AA307="","",IF(COUNTIFS(Data_Summary!$Y$2:$Y307,"Coverage",Data_Summary!$AA$2:$AA307,Data_Summary!AA307)=1,Data_Summary!AA307,"")))</f>
        <v/>
      </c>
      <c r="AK306" s="17" t="str">
        <f aca="false">IF(AJ306="","",COUNTIFS(Data_Summary!$Y$2:$Y$20001,"Coverage",Data_Summary!$AA$2:$AA$20001,AJ306))</f>
        <v/>
      </c>
    </row>
    <row r="307" customFormat="false" ht="12.75" hidden="false" customHeight="true" outlineLevel="0" collapsed="false">
      <c r="AJ307" s="17" t="str">
        <f aca="false">IF(Data_Summary!Y308&lt;&gt;"Coverage","",IF(Data_Summary!AA308="","",IF(COUNTIFS(Data_Summary!$Y$2:$Y308,"Coverage",Data_Summary!$AA$2:$AA308,Data_Summary!AA308)=1,Data_Summary!AA308,"")))</f>
        <v/>
      </c>
      <c r="AK307" s="17" t="str">
        <f aca="false">IF(AJ307="","",COUNTIFS(Data_Summary!$Y$2:$Y$20001,"Coverage",Data_Summary!$AA$2:$AA$20001,AJ307))</f>
        <v/>
      </c>
    </row>
    <row r="308" customFormat="false" ht="12.75" hidden="false" customHeight="true" outlineLevel="0" collapsed="false">
      <c r="AJ308" s="17" t="str">
        <f aca="false">IF(Data_Summary!Y309&lt;&gt;"Coverage","",IF(Data_Summary!AA309="","",IF(COUNTIFS(Data_Summary!$Y$2:$Y309,"Coverage",Data_Summary!$AA$2:$AA309,Data_Summary!AA309)=1,Data_Summary!AA309,"")))</f>
        <v/>
      </c>
      <c r="AK308" s="17" t="str">
        <f aca="false">IF(AJ308="","",COUNTIFS(Data_Summary!$Y$2:$Y$20001,"Coverage",Data_Summary!$AA$2:$AA$20001,AJ308))</f>
        <v/>
      </c>
    </row>
    <row r="309" customFormat="false" ht="12.75" hidden="false" customHeight="true" outlineLevel="0" collapsed="false">
      <c r="AJ309" s="17" t="str">
        <f aca="false">IF(Data_Summary!Y310&lt;&gt;"Coverage","",IF(Data_Summary!AA310="","",IF(COUNTIFS(Data_Summary!$Y$2:$Y310,"Coverage",Data_Summary!$AA$2:$AA310,Data_Summary!AA310)=1,Data_Summary!AA310,"")))</f>
        <v/>
      </c>
      <c r="AK309" s="17" t="str">
        <f aca="false">IF(AJ309="","",COUNTIFS(Data_Summary!$Y$2:$Y$20001,"Coverage",Data_Summary!$AA$2:$AA$20001,AJ309))</f>
        <v/>
      </c>
    </row>
    <row r="310" customFormat="false" ht="12.75" hidden="false" customHeight="true" outlineLevel="0" collapsed="false">
      <c r="AJ310" s="17" t="str">
        <f aca="false">IF(Data_Summary!Y311&lt;&gt;"Coverage","",IF(Data_Summary!AA311="","",IF(COUNTIFS(Data_Summary!$Y$2:$Y311,"Coverage",Data_Summary!$AA$2:$AA311,Data_Summary!AA311)=1,Data_Summary!AA311,"")))</f>
        <v/>
      </c>
      <c r="AK310" s="17" t="str">
        <f aca="false">IF(AJ310="","",COUNTIFS(Data_Summary!$Y$2:$Y$20001,"Coverage",Data_Summary!$AA$2:$AA$20001,AJ310))</f>
        <v/>
      </c>
    </row>
    <row r="311" customFormat="false" ht="12.75" hidden="false" customHeight="true" outlineLevel="0" collapsed="false">
      <c r="AJ311" s="17" t="str">
        <f aca="false">IF(Data_Summary!Y312&lt;&gt;"Coverage","",IF(Data_Summary!AA312="","",IF(COUNTIFS(Data_Summary!$Y$2:$Y312,"Coverage",Data_Summary!$AA$2:$AA312,Data_Summary!AA312)=1,Data_Summary!AA312,"")))</f>
        <v/>
      </c>
      <c r="AK311" s="17" t="str">
        <f aca="false">IF(AJ311="","",COUNTIFS(Data_Summary!$Y$2:$Y$20001,"Coverage",Data_Summary!$AA$2:$AA$20001,AJ311))</f>
        <v/>
      </c>
    </row>
    <row r="312" customFormat="false" ht="12.75" hidden="false" customHeight="true" outlineLevel="0" collapsed="false">
      <c r="AJ312" s="17" t="str">
        <f aca="false">IF(Data_Summary!Y313&lt;&gt;"Coverage","",IF(Data_Summary!AA313="","",IF(COUNTIFS(Data_Summary!$Y$2:$Y313,"Coverage",Data_Summary!$AA$2:$AA313,Data_Summary!AA313)=1,Data_Summary!AA313,"")))</f>
        <v/>
      </c>
      <c r="AK312" s="17" t="str">
        <f aca="false">IF(AJ312="","",COUNTIFS(Data_Summary!$Y$2:$Y$20001,"Coverage",Data_Summary!$AA$2:$AA$20001,AJ312))</f>
        <v/>
      </c>
    </row>
    <row r="313" customFormat="false" ht="12.75" hidden="false" customHeight="true" outlineLevel="0" collapsed="false">
      <c r="AJ313" s="17" t="str">
        <f aca="false">IF(Data_Summary!Y314&lt;&gt;"Coverage","",IF(Data_Summary!AA314="","",IF(COUNTIFS(Data_Summary!$Y$2:$Y314,"Coverage",Data_Summary!$AA$2:$AA314,Data_Summary!AA314)=1,Data_Summary!AA314,"")))</f>
        <v/>
      </c>
      <c r="AK313" s="17" t="str">
        <f aca="false">IF(AJ313="","",COUNTIFS(Data_Summary!$Y$2:$Y$20001,"Coverage",Data_Summary!$AA$2:$AA$20001,AJ313))</f>
        <v/>
      </c>
    </row>
    <row r="314" customFormat="false" ht="12.75" hidden="false" customHeight="true" outlineLevel="0" collapsed="false">
      <c r="AJ314" s="17" t="str">
        <f aca="false">IF(Data_Summary!Y315&lt;&gt;"Coverage","",IF(Data_Summary!AA315="","",IF(COUNTIFS(Data_Summary!$Y$2:$Y315,"Coverage",Data_Summary!$AA$2:$AA315,Data_Summary!AA315)=1,Data_Summary!AA315,"")))</f>
        <v/>
      </c>
      <c r="AK314" s="17" t="str">
        <f aca="false">IF(AJ314="","",COUNTIFS(Data_Summary!$Y$2:$Y$20001,"Coverage",Data_Summary!$AA$2:$AA$20001,AJ314))</f>
        <v/>
      </c>
    </row>
    <row r="315" customFormat="false" ht="12.75" hidden="false" customHeight="true" outlineLevel="0" collapsed="false">
      <c r="AJ315" s="17" t="str">
        <f aca="false">IF(Data_Summary!Y316&lt;&gt;"Coverage","",IF(Data_Summary!AA316="","",IF(COUNTIFS(Data_Summary!$Y$2:$Y316,"Coverage",Data_Summary!$AA$2:$AA316,Data_Summary!AA316)=1,Data_Summary!AA316,"")))</f>
        <v>BGV queries</v>
      </c>
      <c r="AK315" s="17" t="n">
        <f aca="false">IF(AJ315="","",COUNTIFS(Data_Summary!$Y$2:$Y$20001,"Coverage",Data_Summary!$AA$2:$AA$20001,AJ315))</f>
        <v>12</v>
      </c>
    </row>
    <row r="316" customFormat="false" ht="12.75" hidden="false" customHeight="true" outlineLevel="0" collapsed="false">
      <c r="AJ316" s="17" t="str">
        <f aca="false">IF(Data_Summary!Y317&lt;&gt;"Coverage","",IF(Data_Summary!AA317="","",IF(COUNTIFS(Data_Summary!$Y$2:$Y317,"Coverage",Data_Summary!$AA$2:$AA317,Data_Summary!AA317)=1,Data_Summary!AA317,"")))</f>
        <v/>
      </c>
      <c r="AK316" s="17" t="str">
        <f aca="false">IF(AJ316="","",COUNTIFS(Data_Summary!$Y$2:$Y$20001,"Coverage",Data_Summary!$AA$2:$AA$20001,AJ316))</f>
        <v/>
      </c>
    </row>
    <row r="317" customFormat="false" ht="12.75" hidden="false" customHeight="true" outlineLevel="0" collapsed="false">
      <c r="AJ317" s="17" t="str">
        <f aca="false">IF(Data_Summary!Y318&lt;&gt;"Coverage","",IF(Data_Summary!AA318="","",IF(COUNTIFS(Data_Summary!$Y$2:$Y318,"Coverage",Data_Summary!$AA$2:$AA318,Data_Summary!AA318)=1,Data_Summary!AA318,"")))</f>
        <v/>
      </c>
      <c r="AK317" s="17" t="str">
        <f aca="false">IF(AJ317="","",COUNTIFS(Data_Summary!$Y$2:$Y$20001,"Coverage",Data_Summary!$AA$2:$AA$20001,AJ317))</f>
        <v/>
      </c>
    </row>
    <row r="318" customFormat="false" ht="12.75" hidden="false" customHeight="true" outlineLevel="0" collapsed="false">
      <c r="AJ318" s="17" t="str">
        <f aca="false">IF(Data_Summary!Y319&lt;&gt;"Coverage","",IF(Data_Summary!AA319="","",IF(COUNTIFS(Data_Summary!$Y$2:$Y319,"Coverage",Data_Summary!$AA$2:$AA319,Data_Summary!AA319)=1,Data_Summary!AA319,"")))</f>
        <v/>
      </c>
      <c r="AK318" s="17" t="str">
        <f aca="false">IF(AJ318="","",COUNTIFS(Data_Summary!$Y$2:$Y$20001,"Coverage",Data_Summary!$AA$2:$AA$20001,AJ318))</f>
        <v/>
      </c>
    </row>
    <row r="319" customFormat="false" ht="12.75" hidden="false" customHeight="true" outlineLevel="0" collapsed="false">
      <c r="AJ319" s="17" t="str">
        <f aca="false">IF(Data_Summary!Y320&lt;&gt;"Coverage","",IF(Data_Summary!AA320="","",IF(COUNTIFS(Data_Summary!$Y$2:$Y320,"Coverage",Data_Summary!$AA$2:$AA320,Data_Summary!AA320)=1,Data_Summary!AA320,"")))</f>
        <v/>
      </c>
      <c r="AK319" s="17" t="str">
        <f aca="false">IF(AJ319="","",COUNTIFS(Data_Summary!$Y$2:$Y$20001,"Coverage",Data_Summary!$AA$2:$AA$20001,AJ319))</f>
        <v/>
      </c>
    </row>
    <row r="320" customFormat="false" ht="12.75" hidden="false" customHeight="true" outlineLevel="0" collapsed="false">
      <c r="AJ320" s="17" t="str">
        <f aca="false">IF(Data_Summary!Y321&lt;&gt;"Coverage","",IF(Data_Summary!AA321="","",IF(COUNTIFS(Data_Summary!$Y$2:$Y321,"Coverage",Data_Summary!$AA$2:$AA321,Data_Summary!AA321)=1,Data_Summary!AA321,"")))</f>
        <v/>
      </c>
      <c r="AK320" s="17" t="str">
        <f aca="false">IF(AJ320="","",COUNTIFS(Data_Summary!$Y$2:$Y$20001,"Coverage",Data_Summary!$AA$2:$AA$20001,AJ320))</f>
        <v/>
      </c>
    </row>
    <row r="321" customFormat="false" ht="12.75" hidden="false" customHeight="true" outlineLevel="0" collapsed="false">
      <c r="AJ321" s="17" t="str">
        <f aca="false">IF(Data_Summary!Y322&lt;&gt;"Coverage","",IF(Data_Summary!AA322="","",IF(COUNTIFS(Data_Summary!$Y$2:$Y322,"Coverage",Data_Summary!$AA$2:$AA322,Data_Summary!AA322)=1,Data_Summary!AA322,"")))</f>
        <v/>
      </c>
      <c r="AK321" s="17" t="str">
        <f aca="false">IF(AJ321="","",COUNTIFS(Data_Summary!$Y$2:$Y$20001,"Coverage",Data_Summary!$AA$2:$AA$20001,AJ321))</f>
        <v/>
      </c>
    </row>
    <row r="322" customFormat="false" ht="12.75" hidden="false" customHeight="true" outlineLevel="0" collapsed="false">
      <c r="AJ322" s="17" t="str">
        <f aca="false">IF(Data_Summary!Y323&lt;&gt;"Coverage","",IF(Data_Summary!AA323="","",IF(COUNTIFS(Data_Summary!$Y$2:$Y323,"Coverage",Data_Summary!$AA$2:$AA323,Data_Summary!AA323)=1,Data_Summary!AA323,"")))</f>
        <v/>
      </c>
      <c r="AK322" s="17" t="str">
        <f aca="false">IF(AJ322="","",COUNTIFS(Data_Summary!$Y$2:$Y$20001,"Coverage",Data_Summary!$AA$2:$AA$20001,AJ322))</f>
        <v/>
      </c>
    </row>
    <row r="323" customFormat="false" ht="12.75" hidden="false" customHeight="true" outlineLevel="0" collapsed="false">
      <c r="AJ323" s="17" t="str">
        <f aca="false">IF(Data_Summary!Y324&lt;&gt;"Coverage","",IF(Data_Summary!AA324="","",IF(COUNTIFS(Data_Summary!$Y$2:$Y324,"Coverage",Data_Summary!$AA$2:$AA324,Data_Summary!AA324)=1,Data_Summary!AA324,"")))</f>
        <v>Stress &amp; Burnout Management</v>
      </c>
      <c r="AK323" s="17" t="n">
        <f aca="false">IF(AJ323="","",COUNTIFS(Data_Summary!$Y$2:$Y$20001,"Coverage",Data_Summary!$AA$2:$AA$20001,AJ323))</f>
        <v>1</v>
      </c>
    </row>
    <row r="324" customFormat="false" ht="12.75" hidden="false" customHeight="true" outlineLevel="0" collapsed="false">
      <c r="AJ324" s="17" t="str">
        <f aca="false">IF(Data_Summary!Y325&lt;&gt;"Coverage","",IF(Data_Summary!AA325="","",IF(COUNTIFS(Data_Summary!$Y$2:$Y325,"Coverage",Data_Summary!$AA$2:$AA325,Data_Summary!AA325)=1,Data_Summary!AA325,"")))</f>
        <v/>
      </c>
      <c r="AK324" s="17" t="str">
        <f aca="false">IF(AJ324="","",COUNTIFS(Data_Summary!$Y$2:$Y$20001,"Coverage",Data_Summary!$AA$2:$AA$20001,AJ324))</f>
        <v/>
      </c>
    </row>
    <row r="325" customFormat="false" ht="12.75" hidden="false" customHeight="true" outlineLevel="0" collapsed="false">
      <c r="AJ325" s="17" t="str">
        <f aca="false">IF(Data_Summary!Y326&lt;&gt;"Coverage","",IF(Data_Summary!AA326="","",IF(COUNTIFS(Data_Summary!$Y$2:$Y326,"Coverage",Data_Summary!$AA$2:$AA326,Data_Summary!AA326)=1,Data_Summary!AA326,"")))</f>
        <v/>
      </c>
      <c r="AK325" s="17" t="str">
        <f aca="false">IF(AJ325="","",COUNTIFS(Data_Summary!$Y$2:$Y$20001,"Coverage",Data_Summary!$AA$2:$AA$20001,AJ325))</f>
        <v/>
      </c>
    </row>
    <row r="326" customFormat="false" ht="12.75" hidden="false" customHeight="true" outlineLevel="0" collapsed="false">
      <c r="AJ326" s="17" t="str">
        <f aca="false">IF(Data_Summary!Y327&lt;&gt;"Coverage","",IF(Data_Summary!AA327="","",IF(COUNTIFS(Data_Summary!$Y$2:$Y327,"Coverage",Data_Summary!$AA$2:$AA327,Data_Summary!AA327)=1,Data_Summary!AA327,"")))</f>
        <v/>
      </c>
      <c r="AK326" s="17" t="str">
        <f aca="false">IF(AJ326="","",COUNTIFS(Data_Summary!$Y$2:$Y$20001,"Coverage",Data_Summary!$AA$2:$AA$20001,AJ326))</f>
        <v/>
      </c>
    </row>
    <row r="327" customFormat="false" ht="12.75" hidden="false" customHeight="true" outlineLevel="0" collapsed="false">
      <c r="AJ327" s="17" t="str">
        <f aca="false">IF(Data_Summary!Y328&lt;&gt;"Coverage","",IF(Data_Summary!AA328="","",IF(COUNTIFS(Data_Summary!$Y$2:$Y328,"Coverage",Data_Summary!$AA$2:$AA328,Data_Summary!AA328)=1,Data_Summary!AA328,"")))</f>
        <v/>
      </c>
      <c r="AK327" s="17" t="str">
        <f aca="false">IF(AJ327="","",COUNTIFS(Data_Summary!$Y$2:$Y$20001,"Coverage",Data_Summary!$AA$2:$AA$20001,AJ327))</f>
        <v/>
      </c>
    </row>
    <row r="328" customFormat="false" ht="12.75" hidden="false" customHeight="true" outlineLevel="0" collapsed="false">
      <c r="AJ328" s="17" t="str">
        <f aca="false">IF(Data_Summary!Y329&lt;&gt;"Coverage","",IF(Data_Summary!AA329="","",IF(COUNTIFS(Data_Summary!$Y$2:$Y329,"Coverage",Data_Summary!$AA$2:$AA329,Data_Summary!AA329)=1,Data_Summary!AA329,"")))</f>
        <v/>
      </c>
      <c r="AK328" s="17" t="str">
        <f aca="false">IF(AJ328="","",COUNTIFS(Data_Summary!$Y$2:$Y$20001,"Coverage",Data_Summary!$AA$2:$AA$20001,AJ328))</f>
        <v/>
      </c>
    </row>
    <row r="329" customFormat="false" ht="12.75" hidden="false" customHeight="true" outlineLevel="0" collapsed="false">
      <c r="AJ329" s="17" t="str">
        <f aca="false">IF(Data_Summary!Y330&lt;&gt;"Coverage","",IF(Data_Summary!AA330="","",IF(COUNTIFS(Data_Summary!$Y$2:$Y330,"Coverage",Data_Summary!$AA$2:$AA330,Data_Summary!AA330)=1,Data_Summary!AA330,"")))</f>
        <v/>
      </c>
      <c r="AK329" s="17" t="str">
        <f aca="false">IF(AJ329="","",COUNTIFS(Data_Summary!$Y$2:$Y$20001,"Coverage",Data_Summary!$AA$2:$AA$20001,AJ329))</f>
        <v/>
      </c>
    </row>
    <row r="330" customFormat="false" ht="12.75" hidden="false" customHeight="true" outlineLevel="0" collapsed="false">
      <c r="AJ330" s="17" t="str">
        <f aca="false">IF(Data_Summary!Y331&lt;&gt;"Coverage","",IF(Data_Summary!AA331="","",IF(COUNTIFS(Data_Summary!$Y$2:$Y331,"Coverage",Data_Summary!$AA$2:$AA331,Data_Summary!AA331)=1,Data_Summary!AA331,"")))</f>
        <v/>
      </c>
      <c r="AK330" s="17" t="str">
        <f aca="false">IF(AJ330="","",COUNTIFS(Data_Summary!$Y$2:$Y$20001,"Coverage",Data_Summary!$AA$2:$AA$20001,AJ330))</f>
        <v/>
      </c>
    </row>
    <row r="331" customFormat="false" ht="12.75" hidden="false" customHeight="true" outlineLevel="0" collapsed="false">
      <c r="AJ331" s="17" t="str">
        <f aca="false">IF(Data_Summary!Y332&lt;&gt;"Coverage","",IF(Data_Summary!AA332="","",IF(COUNTIFS(Data_Summary!$Y$2:$Y332,"Coverage",Data_Summary!$AA$2:$AA332,Data_Summary!AA332)=1,Data_Summary!AA332,"")))</f>
        <v/>
      </c>
      <c r="AK331" s="17" t="str">
        <f aca="false">IF(AJ331="","",COUNTIFS(Data_Summary!$Y$2:$Y$20001,"Coverage",Data_Summary!$AA$2:$AA$20001,AJ331))</f>
        <v/>
      </c>
    </row>
    <row r="332" customFormat="false" ht="12.75" hidden="false" customHeight="true" outlineLevel="0" collapsed="false">
      <c r="AJ332" s="17" t="str">
        <f aca="false">IF(Data_Summary!Y333&lt;&gt;"Coverage","",IF(Data_Summary!AA333="","",IF(COUNTIFS(Data_Summary!$Y$2:$Y333,"Coverage",Data_Summary!$AA$2:$AA333,Data_Summary!AA333)=1,Data_Summary!AA333,"")))</f>
        <v/>
      </c>
      <c r="AK332" s="17" t="str">
        <f aca="false">IF(AJ332="","",COUNTIFS(Data_Summary!$Y$2:$Y$20001,"Coverage",Data_Summary!$AA$2:$AA$20001,AJ332))</f>
        <v/>
      </c>
    </row>
    <row r="333" customFormat="false" ht="12.75" hidden="false" customHeight="true" outlineLevel="0" collapsed="false">
      <c r="AJ333" s="17" t="str">
        <f aca="false">IF(Data_Summary!Y334&lt;&gt;"Coverage","",IF(Data_Summary!AA334="","",IF(COUNTIFS(Data_Summary!$Y$2:$Y334,"Coverage",Data_Summary!$AA$2:$AA334,Data_Summary!AA334)=1,Data_Summary!AA334,"")))</f>
        <v/>
      </c>
      <c r="AK333" s="17" t="str">
        <f aca="false">IF(AJ333="","",COUNTIFS(Data_Summary!$Y$2:$Y$20001,"Coverage",Data_Summary!$AA$2:$AA$20001,AJ333))</f>
        <v/>
      </c>
    </row>
    <row r="334" customFormat="false" ht="12.75" hidden="false" customHeight="true" outlineLevel="0" collapsed="false">
      <c r="AJ334" s="17" t="str">
        <f aca="false">IF(Data_Summary!Y335&lt;&gt;"Coverage","",IF(Data_Summary!AA335="","",IF(COUNTIFS(Data_Summary!$Y$2:$Y335,"Coverage",Data_Summary!$AA$2:$AA335,Data_Summary!AA335)=1,Data_Summary!AA335,"")))</f>
        <v/>
      </c>
      <c r="AK334" s="17" t="str">
        <f aca="false">IF(AJ334="","",COUNTIFS(Data_Summary!$Y$2:$Y$20001,"Coverage",Data_Summary!$AA$2:$AA$20001,AJ334))</f>
        <v/>
      </c>
    </row>
    <row r="335" customFormat="false" ht="12.75" hidden="false" customHeight="true" outlineLevel="0" collapsed="false">
      <c r="AJ335" s="17" t="str">
        <f aca="false">IF(Data_Summary!Y336&lt;&gt;"Coverage","",IF(Data_Summary!AA336="","",IF(COUNTIFS(Data_Summary!$Y$2:$Y336,"Coverage",Data_Summary!$AA$2:$AA336,Data_Summary!AA336)=1,Data_Summary!AA336,"")))</f>
        <v/>
      </c>
      <c r="AK335" s="17" t="str">
        <f aca="false">IF(AJ335="","",COUNTIFS(Data_Summary!$Y$2:$Y$20001,"Coverage",Data_Summary!$AA$2:$AA$20001,AJ335))</f>
        <v/>
      </c>
    </row>
    <row r="336" customFormat="false" ht="12.75" hidden="false" customHeight="true" outlineLevel="0" collapsed="false">
      <c r="AJ336" s="17" t="str">
        <f aca="false">IF(Data_Summary!Y337&lt;&gt;"Coverage","",IF(Data_Summary!AA337="","",IF(COUNTIFS(Data_Summary!$Y$2:$Y337,"Coverage",Data_Summary!$AA$2:$AA337,Data_Summary!AA337)=1,Data_Summary!AA337,"")))</f>
        <v/>
      </c>
      <c r="AK336" s="17" t="str">
        <f aca="false">IF(AJ336="","",COUNTIFS(Data_Summary!$Y$2:$Y$20001,"Coverage",Data_Summary!$AA$2:$AA$20001,AJ336))</f>
        <v/>
      </c>
    </row>
    <row r="337" customFormat="false" ht="12.75" hidden="false" customHeight="true" outlineLevel="0" collapsed="false">
      <c r="AJ337" s="17" t="str">
        <f aca="false">IF(Data_Summary!Y338&lt;&gt;"Coverage","",IF(Data_Summary!AA338="","",IF(COUNTIFS(Data_Summary!$Y$2:$Y338,"Coverage",Data_Summary!$AA$2:$AA338,Data_Summary!AA338)=1,Data_Summary!AA338,"")))</f>
        <v/>
      </c>
      <c r="AK337" s="17" t="str">
        <f aca="false">IF(AJ337="","",COUNTIFS(Data_Summary!$Y$2:$Y$20001,"Coverage",Data_Summary!$AA$2:$AA$20001,AJ337))</f>
        <v/>
      </c>
    </row>
    <row r="338" customFormat="false" ht="12.75" hidden="false" customHeight="true" outlineLevel="0" collapsed="false">
      <c r="AJ338" s="17" t="str">
        <f aca="false">IF(Data_Summary!Y339&lt;&gt;"Coverage","",IF(Data_Summary!AA339="","",IF(COUNTIFS(Data_Summary!$Y$2:$Y339,"Coverage",Data_Summary!$AA$2:$AA339,Data_Summary!AA339)=1,Data_Summary!AA339,"")))</f>
        <v/>
      </c>
      <c r="AK338" s="17" t="str">
        <f aca="false">IF(AJ338="","",COUNTIFS(Data_Summary!$Y$2:$Y$20001,"Coverage",Data_Summary!$AA$2:$AA$20001,AJ338))</f>
        <v/>
      </c>
    </row>
    <row r="339" customFormat="false" ht="12.75" hidden="false" customHeight="true" outlineLevel="0" collapsed="false">
      <c r="AJ339" s="17" t="str">
        <f aca="false">IF(Data_Summary!Y340&lt;&gt;"Coverage","",IF(Data_Summary!AA340="","",IF(COUNTIFS(Data_Summary!$Y$2:$Y340,"Coverage",Data_Summary!$AA$2:$AA340,Data_Summary!AA340)=1,Data_Summary!AA340,"")))</f>
        <v/>
      </c>
      <c r="AK339" s="17" t="str">
        <f aca="false">IF(AJ339="","",COUNTIFS(Data_Summary!$Y$2:$Y$20001,"Coverage",Data_Summary!$AA$2:$AA$20001,AJ339))</f>
        <v/>
      </c>
    </row>
    <row r="340" customFormat="false" ht="12.75" hidden="false" customHeight="true" outlineLevel="0" collapsed="false">
      <c r="AJ340" s="17" t="str">
        <f aca="false">IF(Data_Summary!Y341&lt;&gt;"Coverage","",IF(Data_Summary!AA341="","",IF(COUNTIFS(Data_Summary!$Y$2:$Y341,"Coverage",Data_Summary!$AA$2:$AA341,Data_Summary!AA341)=1,Data_Summary!AA341,"")))</f>
        <v/>
      </c>
      <c r="AK340" s="17" t="str">
        <f aca="false">IF(AJ340="","",COUNTIFS(Data_Summary!$Y$2:$Y$20001,"Coverage",Data_Summary!$AA$2:$AA$20001,AJ340))</f>
        <v/>
      </c>
    </row>
    <row r="341" customFormat="false" ht="12.75" hidden="false" customHeight="true" outlineLevel="0" collapsed="false">
      <c r="AJ341" s="17" t="str">
        <f aca="false">IF(Data_Summary!Y342&lt;&gt;"Coverage","",IF(Data_Summary!AA342="","",IF(COUNTIFS(Data_Summary!$Y$2:$Y342,"Coverage",Data_Summary!$AA$2:$AA342,Data_Summary!AA342)=1,Data_Summary!AA342,"")))</f>
        <v/>
      </c>
      <c r="AK341" s="17" t="str">
        <f aca="false">IF(AJ341="","",COUNTIFS(Data_Summary!$Y$2:$Y$20001,"Coverage",Data_Summary!$AA$2:$AA$20001,AJ341))</f>
        <v/>
      </c>
    </row>
    <row r="342" customFormat="false" ht="12.75" hidden="false" customHeight="true" outlineLevel="0" collapsed="false">
      <c r="AJ342" s="17" t="str">
        <f aca="false">IF(Data_Summary!Y343&lt;&gt;"Coverage","",IF(Data_Summary!AA343="","",IF(COUNTIFS(Data_Summary!$Y$2:$Y343,"Coverage",Data_Summary!$AA$2:$AA343,Data_Summary!AA343)=1,Data_Summary!AA343,"")))</f>
        <v>Tool &amp; System Access</v>
      </c>
      <c r="AK342" s="17" t="n">
        <f aca="false">IF(AJ342="","",COUNTIFS(Data_Summary!$Y$2:$Y$20001,"Coverage",Data_Summary!$AA$2:$AA$20001,AJ342))</f>
        <v>13</v>
      </c>
    </row>
    <row r="343" customFormat="false" ht="12.75" hidden="false" customHeight="true" outlineLevel="0" collapsed="false">
      <c r="AJ343" s="17" t="str">
        <f aca="false">IF(Data_Summary!Y344&lt;&gt;"Coverage","",IF(Data_Summary!AA344="","",IF(COUNTIFS(Data_Summary!$Y$2:$Y344,"Coverage",Data_Summary!$AA$2:$AA344,Data_Summary!AA344)=1,Data_Summary!AA344,"")))</f>
        <v>Initial Organization Understanding</v>
      </c>
      <c r="AK343" s="17" t="n">
        <f aca="false">IF(AJ343="","",COUNTIFS(Data_Summary!$Y$2:$Y$20001,"Coverage",Data_Summary!$AA$2:$AA$20001,AJ343))</f>
        <v>7</v>
      </c>
    </row>
    <row r="344" customFormat="false" ht="12.75" hidden="false" customHeight="true" outlineLevel="0" collapsed="false">
      <c r="AJ344" s="17" t="str">
        <f aca="false">IF(Data_Summary!Y345&lt;&gt;"Coverage","",IF(Data_Summary!AA345="","",IF(COUNTIFS(Data_Summary!$Y$2:$Y345,"Coverage",Data_Summary!$AA$2:$AA345,Data_Summary!AA345)=1,Data_Summary!AA345,"")))</f>
        <v/>
      </c>
      <c r="AK344" s="17" t="str">
        <f aca="false">IF(AJ344="","",COUNTIFS(Data_Summary!$Y$2:$Y$20001,"Coverage",Data_Summary!$AA$2:$AA$20001,AJ344))</f>
        <v/>
      </c>
    </row>
    <row r="345" customFormat="false" ht="12.75" hidden="false" customHeight="true" outlineLevel="0" collapsed="false">
      <c r="AJ345" s="17" t="str">
        <f aca="false">IF(Data_Summary!Y346&lt;&gt;"Coverage","",IF(Data_Summary!AA346="","",IF(COUNTIFS(Data_Summary!$Y$2:$Y346,"Coverage",Data_Summary!$AA$2:$AA346,Data_Summary!AA346)=1,Data_Summary!AA346,"")))</f>
        <v/>
      </c>
      <c r="AK345" s="17" t="str">
        <f aca="false">IF(AJ345="","",COUNTIFS(Data_Summary!$Y$2:$Y$20001,"Coverage",Data_Summary!$AA$2:$AA$20001,AJ345))</f>
        <v/>
      </c>
    </row>
    <row r="346" customFormat="false" ht="12.75" hidden="false" customHeight="true" outlineLevel="0" collapsed="false">
      <c r="AJ346" s="17" t="str">
        <f aca="false">IF(Data_Summary!Y347&lt;&gt;"Coverage","",IF(Data_Summary!AA347="","",IF(COUNTIFS(Data_Summary!$Y$2:$Y347,"Coverage",Data_Summary!$AA$2:$AA347,Data_Summary!AA347)=1,Data_Summary!AA347,"")))</f>
        <v/>
      </c>
      <c r="AK346" s="17" t="str">
        <f aca="false">IF(AJ346="","",COUNTIFS(Data_Summary!$Y$2:$Y$20001,"Coverage",Data_Summary!$AA$2:$AA$20001,AJ346))</f>
        <v/>
      </c>
    </row>
    <row r="347" customFormat="false" ht="12.75" hidden="false" customHeight="true" outlineLevel="0" collapsed="false">
      <c r="AJ347" s="17" t="str">
        <f aca="false">IF(Data_Summary!Y348&lt;&gt;"Coverage","",IF(Data_Summary!AA348="","",IF(COUNTIFS(Data_Summary!$Y$2:$Y348,"Coverage",Data_Summary!$AA$2:$AA348,Data_Summary!AA348)=1,Data_Summary!AA348,"")))</f>
        <v/>
      </c>
      <c r="AK347" s="17" t="str">
        <f aca="false">IF(AJ347="","",COUNTIFS(Data_Summary!$Y$2:$Y$20001,"Coverage",Data_Summary!$AA$2:$AA$20001,AJ347))</f>
        <v/>
      </c>
    </row>
    <row r="348" customFormat="false" ht="12.75" hidden="false" customHeight="true" outlineLevel="0" collapsed="false">
      <c r="AJ348" s="17" t="str">
        <f aca="false">IF(Data_Summary!Y349&lt;&gt;"Coverage","",IF(Data_Summary!AA349="","",IF(COUNTIFS(Data_Summary!$Y$2:$Y349,"Coverage",Data_Summary!$AA$2:$AA349,Data_Summary!AA349)=1,Data_Summary!AA349,"")))</f>
        <v>Learning Curve Support</v>
      </c>
      <c r="AK348" s="17" t="n">
        <f aca="false">IF(AJ348="","",COUNTIFS(Data_Summary!$Y$2:$Y$20001,"Coverage",Data_Summary!$AA$2:$AA$20001,AJ348))</f>
        <v>13</v>
      </c>
    </row>
    <row r="349" customFormat="false" ht="12.75" hidden="false" customHeight="true" outlineLevel="0" collapsed="false">
      <c r="AJ349" s="17" t="str">
        <f aca="false">IF(Data_Summary!Y350&lt;&gt;"Coverage","",IF(Data_Summary!AA350="","",IF(COUNTIFS(Data_Summary!$Y$2:$Y350,"Coverage",Data_Summary!$AA$2:$AA350,Data_Summary!AA350)=1,Data_Summary!AA350,"")))</f>
        <v/>
      </c>
      <c r="AK349" s="17" t="str">
        <f aca="false">IF(AJ349="","",COUNTIFS(Data_Summary!$Y$2:$Y$20001,"Coverage",Data_Summary!$AA$2:$AA$20001,AJ349))</f>
        <v/>
      </c>
    </row>
    <row r="350" customFormat="false" ht="12.75" hidden="false" customHeight="true" outlineLevel="0" collapsed="false">
      <c r="AJ350" s="17" t="str">
        <f aca="false">IF(Data_Summary!Y351&lt;&gt;"Coverage","",IF(Data_Summary!AA351="","",IF(COUNTIFS(Data_Summary!$Y$2:$Y351,"Coverage",Data_Summary!$AA$2:$AA351,Data_Summary!AA351)=1,Data_Summary!AA351,"")))</f>
        <v/>
      </c>
      <c r="AK350" s="17" t="str">
        <f aca="false">IF(AJ350="","",COUNTIFS(Data_Summary!$Y$2:$Y$20001,"Coverage",Data_Summary!$AA$2:$AA$20001,AJ350))</f>
        <v/>
      </c>
    </row>
    <row r="351" customFormat="false" ht="12.75" hidden="false" customHeight="true" outlineLevel="0" collapsed="false">
      <c r="AJ351" s="17" t="str">
        <f aca="false">IF(Data_Summary!Y352&lt;&gt;"Coverage","",IF(Data_Summary!AA352="","",IF(COUNTIFS(Data_Summary!$Y$2:$Y352,"Coverage",Data_Summary!$AA$2:$AA352,Data_Summary!AA352)=1,Data_Summary!AA352,"")))</f>
        <v/>
      </c>
      <c r="AK351" s="17" t="str">
        <f aca="false">IF(AJ351="","",COUNTIFS(Data_Summary!$Y$2:$Y$20001,"Coverage",Data_Summary!$AA$2:$AA$20001,AJ351))</f>
        <v/>
      </c>
    </row>
    <row r="352" customFormat="false" ht="12.75" hidden="false" customHeight="true" outlineLevel="0" collapsed="false">
      <c r="AJ352" s="17" t="str">
        <f aca="false">IF(Data_Summary!Y353&lt;&gt;"Coverage","",IF(Data_Summary!AA353="","",IF(COUNTIFS(Data_Summary!$Y$2:$Y353,"Coverage",Data_Summary!$AA$2:$AA353,Data_Summary!AA353)=1,Data_Summary!AA353,"")))</f>
        <v/>
      </c>
      <c r="AK352" s="17" t="str">
        <f aca="false">IF(AJ352="","",COUNTIFS(Data_Summary!$Y$2:$Y$20001,"Coverage",Data_Summary!$AA$2:$AA$20001,AJ352))</f>
        <v/>
      </c>
    </row>
    <row r="353" customFormat="false" ht="12.75" hidden="false" customHeight="true" outlineLevel="0" collapsed="false">
      <c r="AJ353" s="17" t="str">
        <f aca="false">IF(Data_Summary!Y354&lt;&gt;"Coverage","",IF(Data_Summary!AA354="","",IF(COUNTIFS(Data_Summary!$Y$2:$Y354,"Coverage",Data_Summary!$AA$2:$AA354,Data_Summary!AA354)=1,Data_Summary!AA354,"")))</f>
        <v/>
      </c>
      <c r="AK353" s="17" t="str">
        <f aca="false">IF(AJ353="","",COUNTIFS(Data_Summary!$Y$2:$Y$20001,"Coverage",Data_Summary!$AA$2:$AA$20001,AJ353))</f>
        <v/>
      </c>
    </row>
    <row r="354" customFormat="false" ht="12.75" hidden="false" customHeight="true" outlineLevel="0" collapsed="false">
      <c r="AJ354" s="17" t="str">
        <f aca="false">IF(Data_Summary!Y355&lt;&gt;"Coverage","",IF(Data_Summary!AA355="","",IF(COUNTIFS(Data_Summary!$Y$2:$Y355,"Coverage",Data_Summary!$AA$2:$AA355,Data_Summary!AA355)=1,Data_Summary!AA355,"")))</f>
        <v/>
      </c>
      <c r="AK354" s="17" t="str">
        <f aca="false">IF(AJ354="","",COUNTIFS(Data_Summary!$Y$2:$Y$20001,"Coverage",Data_Summary!$AA$2:$AA$20001,AJ354))</f>
        <v/>
      </c>
    </row>
    <row r="355" customFormat="false" ht="12.75" hidden="false" customHeight="true" outlineLevel="0" collapsed="false">
      <c r="AJ355" s="17" t="str">
        <f aca="false">IF(Data_Summary!Y356&lt;&gt;"Coverage","",IF(Data_Summary!AA356="","",IF(COUNTIFS(Data_Summary!$Y$2:$Y356,"Coverage",Data_Summary!$AA$2:$AA356,Data_Summary!AA356)=1,Data_Summary!AA356,"")))</f>
        <v/>
      </c>
      <c r="AK355" s="17" t="str">
        <f aca="false">IF(AJ355="","",COUNTIFS(Data_Summary!$Y$2:$Y$20001,"Coverage",Data_Summary!$AA$2:$AA$20001,AJ355))</f>
        <v/>
      </c>
    </row>
    <row r="356" customFormat="false" ht="12.75" hidden="false" customHeight="true" outlineLevel="0" collapsed="false">
      <c r="AJ356" s="17" t="str">
        <f aca="false">IF(Data_Summary!Y357&lt;&gt;"Coverage","",IF(Data_Summary!AA357="","",IF(COUNTIFS(Data_Summary!$Y$2:$Y357,"Coverage",Data_Summary!$AA$2:$AA357,Data_Summary!AA357)=1,Data_Summary!AA357,"")))</f>
        <v/>
      </c>
      <c r="AK356" s="17" t="str">
        <f aca="false">IF(AJ356="","",COUNTIFS(Data_Summary!$Y$2:$Y$20001,"Coverage",Data_Summary!$AA$2:$AA$20001,AJ356))</f>
        <v/>
      </c>
    </row>
    <row r="357" customFormat="false" ht="12.75" hidden="false" customHeight="true" outlineLevel="0" collapsed="false">
      <c r="AJ357" s="17" t="str">
        <f aca="false">IF(Data_Summary!Y358&lt;&gt;"Coverage","",IF(Data_Summary!AA358="","",IF(COUNTIFS(Data_Summary!$Y$2:$Y358,"Coverage",Data_Summary!$AA$2:$AA358,Data_Summary!AA358)=1,Data_Summary!AA358,"")))</f>
        <v>Long-Term Role Alignment</v>
      </c>
      <c r="AK357" s="17" t="n">
        <f aca="false">IF(AJ357="","",COUNTIFS(Data_Summary!$Y$2:$Y$20001,"Coverage",Data_Summary!$AA$2:$AA$20001,AJ357))</f>
        <v>16</v>
      </c>
    </row>
    <row r="358" customFormat="false" ht="12.75" hidden="false" customHeight="true" outlineLevel="0" collapsed="false">
      <c r="AJ358" s="17" t="str">
        <f aca="false">IF(Data_Summary!Y359&lt;&gt;"Coverage","",IF(Data_Summary!AA359="","",IF(COUNTIFS(Data_Summary!$Y$2:$Y359,"Coverage",Data_Summary!$AA$2:$AA359,Data_Summary!AA359)=1,Data_Summary!AA359,"")))</f>
        <v/>
      </c>
      <c r="AK358" s="17" t="str">
        <f aca="false">IF(AJ358="","",COUNTIFS(Data_Summary!$Y$2:$Y$20001,"Coverage",Data_Summary!$AA$2:$AA$20001,AJ358))</f>
        <v/>
      </c>
    </row>
    <row r="359" customFormat="false" ht="12.75" hidden="false" customHeight="true" outlineLevel="0" collapsed="false">
      <c r="AJ359" s="17" t="str">
        <f aca="false">IF(Data_Summary!Y360&lt;&gt;"Coverage","",IF(Data_Summary!AA360="","",IF(COUNTIFS(Data_Summary!$Y$2:$Y360,"Coverage",Data_Summary!$AA$2:$AA360,Data_Summary!AA360)=1,Data_Summary!AA360,"")))</f>
        <v/>
      </c>
      <c r="AK359" s="17" t="str">
        <f aca="false">IF(AJ359="","",COUNTIFS(Data_Summary!$Y$2:$Y$20001,"Coverage",Data_Summary!$AA$2:$AA$20001,AJ359))</f>
        <v/>
      </c>
    </row>
    <row r="360" customFormat="false" ht="12.75" hidden="false" customHeight="true" outlineLevel="0" collapsed="false">
      <c r="AJ360" s="17" t="str">
        <f aca="false">IF(Data_Summary!Y361&lt;&gt;"Coverage","",IF(Data_Summary!AA361="","",IF(COUNTIFS(Data_Summary!$Y$2:$Y361,"Coverage",Data_Summary!$AA$2:$AA361,Data_Summary!AA361)=1,Data_Summary!AA361,"")))</f>
        <v/>
      </c>
      <c r="AK360" s="17" t="str">
        <f aca="false">IF(AJ360="","",COUNTIFS(Data_Summary!$Y$2:$Y$20001,"Coverage",Data_Summary!$AA$2:$AA$20001,AJ360))</f>
        <v/>
      </c>
    </row>
    <row r="361" customFormat="false" ht="12.75" hidden="false" customHeight="true" outlineLevel="0" collapsed="false">
      <c r="AJ361" s="17" t="str">
        <f aca="false">IF(Data_Summary!Y362&lt;&gt;"Coverage","",IF(Data_Summary!AA362="","",IF(COUNTIFS(Data_Summary!$Y$2:$Y362,"Coverage",Data_Summary!$AA$2:$AA362,Data_Summary!AA362)=1,Data_Summary!AA362,"")))</f>
        <v/>
      </c>
      <c r="AK361" s="17" t="str">
        <f aca="false">IF(AJ361="","",COUNTIFS(Data_Summary!$Y$2:$Y$20001,"Coverage",Data_Summary!$AA$2:$AA$20001,AJ361))</f>
        <v/>
      </c>
    </row>
    <row r="362" customFormat="false" ht="12.75" hidden="false" customHeight="true" outlineLevel="0" collapsed="false">
      <c r="AJ362" s="17" t="str">
        <f aca="false">IF(Data_Summary!Y363&lt;&gt;"Coverage","",IF(Data_Summary!AA363="","",IF(COUNTIFS(Data_Summary!$Y$2:$Y363,"Coverage",Data_Summary!$AA$2:$AA363,Data_Summary!AA363)=1,Data_Summary!AA363,"")))</f>
        <v/>
      </c>
      <c r="AK362" s="17" t="str">
        <f aca="false">IF(AJ362="","",COUNTIFS(Data_Summary!$Y$2:$Y$20001,"Coverage",Data_Summary!$AA$2:$AA$20001,AJ362))</f>
        <v/>
      </c>
    </row>
    <row r="363" customFormat="false" ht="12.75" hidden="false" customHeight="true" outlineLevel="0" collapsed="false">
      <c r="AJ363" s="17" t="str">
        <f aca="false">IF(Data_Summary!Y364&lt;&gt;"Coverage","",IF(Data_Summary!AA364="","",IF(COUNTIFS(Data_Summary!$Y$2:$Y364,"Coverage",Data_Summary!$AA$2:$AA364,Data_Summary!AA364)=1,Data_Summary!AA364,"")))</f>
        <v/>
      </c>
      <c r="AK363" s="17" t="str">
        <f aca="false">IF(AJ363="","",COUNTIFS(Data_Summary!$Y$2:$Y$20001,"Coverage",Data_Summary!$AA$2:$AA$20001,AJ363))</f>
        <v/>
      </c>
    </row>
    <row r="364" customFormat="false" ht="12.75" hidden="false" customHeight="true" outlineLevel="0" collapsed="false">
      <c r="AJ364" s="17" t="str">
        <f aca="false">IF(Data_Summary!Y365&lt;&gt;"Coverage","",IF(Data_Summary!AA365="","",IF(COUNTIFS(Data_Summary!$Y$2:$Y365,"Coverage",Data_Summary!$AA$2:$AA365,Data_Summary!AA365)=1,Data_Summary!AA365,"")))</f>
        <v/>
      </c>
      <c r="AK364" s="17" t="str">
        <f aca="false">IF(AJ364="","",COUNTIFS(Data_Summary!$Y$2:$Y$20001,"Coverage",Data_Summary!$AA$2:$AA$20001,AJ364))</f>
        <v/>
      </c>
    </row>
    <row r="365" customFormat="false" ht="12.75" hidden="false" customHeight="true" outlineLevel="0" collapsed="false">
      <c r="AJ365" s="17" t="str">
        <f aca="false">IF(Data_Summary!Y366&lt;&gt;"Coverage","",IF(Data_Summary!AA366="","",IF(COUNTIFS(Data_Summary!$Y$2:$Y366,"Coverage",Data_Summary!$AA$2:$AA366,Data_Summary!AA366)=1,Data_Summary!AA366,"")))</f>
        <v/>
      </c>
      <c r="AK365" s="17" t="str">
        <f aca="false">IF(AJ365="","",COUNTIFS(Data_Summary!$Y$2:$Y$20001,"Coverage",Data_Summary!$AA$2:$AA$20001,AJ365))</f>
        <v/>
      </c>
    </row>
    <row r="366" customFormat="false" ht="12.75" hidden="false" customHeight="true" outlineLevel="0" collapsed="false">
      <c r="AJ366" s="17" t="str">
        <f aca="false">IF(Data_Summary!Y367&lt;&gt;"Coverage","",IF(Data_Summary!AA367="","",IF(COUNTIFS(Data_Summary!$Y$2:$Y367,"Coverage",Data_Summary!$AA$2:$AA367,Data_Summary!AA367)=1,Data_Summary!AA367,"")))</f>
        <v/>
      </c>
      <c r="AK366" s="17" t="str">
        <f aca="false">IF(AJ366="","",COUNTIFS(Data_Summary!$Y$2:$Y$20001,"Coverage",Data_Summary!$AA$2:$AA$20001,AJ366))</f>
        <v/>
      </c>
    </row>
    <row r="367" customFormat="false" ht="12.75" hidden="false" customHeight="true" outlineLevel="0" collapsed="false">
      <c r="AJ367" s="17" t="str">
        <f aca="false">IF(Data_Summary!Y368&lt;&gt;"Coverage","",IF(Data_Summary!AA368="","",IF(COUNTIFS(Data_Summary!$Y$2:$Y368,"Coverage",Data_Summary!$AA$2:$AA368,Data_Summary!AA368)=1,Data_Summary!AA368,"")))</f>
        <v/>
      </c>
      <c r="AK367" s="17" t="str">
        <f aca="false">IF(AJ367="","",COUNTIFS(Data_Summary!$Y$2:$Y$20001,"Coverage",Data_Summary!$AA$2:$AA$20001,AJ367))</f>
        <v/>
      </c>
    </row>
    <row r="368" customFormat="false" ht="12.75" hidden="false" customHeight="true" outlineLevel="0" collapsed="false">
      <c r="AJ368" s="17" t="str">
        <f aca="false">IF(Data_Summary!Y369&lt;&gt;"Coverage","",IF(Data_Summary!AA369="","",IF(COUNTIFS(Data_Summary!$Y$2:$Y369,"Coverage",Data_Summary!$AA$2:$AA369,Data_Summary!AA369)=1,Data_Summary!AA369,"")))</f>
        <v/>
      </c>
      <c r="AK368" s="17" t="str">
        <f aca="false">IF(AJ368="","",COUNTIFS(Data_Summary!$Y$2:$Y$20001,"Coverage",Data_Summary!$AA$2:$AA$20001,AJ368))</f>
        <v/>
      </c>
    </row>
    <row r="369" customFormat="false" ht="12.75" hidden="false" customHeight="true" outlineLevel="0" collapsed="false">
      <c r="AJ369" s="17" t="str">
        <f aca="false">IF(Data_Summary!Y370&lt;&gt;"Coverage","",IF(Data_Summary!AA370="","",IF(COUNTIFS(Data_Summary!$Y$2:$Y370,"Coverage",Data_Summary!$AA$2:$AA370,Data_Summary!AA370)=1,Data_Summary!AA370,"")))</f>
        <v/>
      </c>
      <c r="AK369" s="17" t="str">
        <f aca="false">IF(AJ369="","",COUNTIFS(Data_Summary!$Y$2:$Y$20001,"Coverage",Data_Summary!$AA$2:$AA$20001,AJ369))</f>
        <v/>
      </c>
    </row>
    <row r="370" customFormat="false" ht="12.75" hidden="false" customHeight="true" outlineLevel="0" collapsed="false">
      <c r="AJ370" s="17" t="str">
        <f aca="false">IF(Data_Summary!Y371&lt;&gt;"Coverage","",IF(Data_Summary!AA371="","",IF(COUNTIFS(Data_Summary!$Y$2:$Y371,"Coverage",Data_Summary!$AA$2:$AA371,Data_Summary!AA371)=1,Data_Summary!AA371,"")))</f>
        <v/>
      </c>
      <c r="AK370" s="17" t="str">
        <f aca="false">IF(AJ370="","",COUNTIFS(Data_Summary!$Y$2:$Y$20001,"Coverage",Data_Summary!$AA$2:$AA$20001,AJ370))</f>
        <v/>
      </c>
    </row>
    <row r="371" customFormat="false" ht="12.75" hidden="false" customHeight="true" outlineLevel="0" collapsed="false">
      <c r="AJ371" s="17" t="str">
        <f aca="false">IF(Data_Summary!Y372&lt;&gt;"Coverage","",IF(Data_Summary!AA372="","",IF(COUNTIFS(Data_Summary!$Y$2:$Y372,"Coverage",Data_Summary!$AA$2:$AA372,Data_Summary!AA372)=1,Data_Summary!AA372,"")))</f>
        <v/>
      </c>
      <c r="AK371" s="17" t="str">
        <f aca="false">IF(AJ371="","",COUNTIFS(Data_Summary!$Y$2:$Y$20001,"Coverage",Data_Summary!$AA$2:$AA$20001,AJ371))</f>
        <v/>
      </c>
    </row>
    <row r="372" customFormat="false" ht="12.75" hidden="false" customHeight="true" outlineLevel="0" collapsed="false">
      <c r="AJ372" s="17" t="str">
        <f aca="false">IF(Data_Summary!Y373&lt;&gt;"Coverage","",IF(Data_Summary!AA373="","",IF(COUNTIFS(Data_Summary!$Y$2:$Y373,"Coverage",Data_Summary!$AA$2:$AA373,Data_Summary!AA373)=1,Data_Summary!AA373,"")))</f>
        <v/>
      </c>
      <c r="AK372" s="17" t="str">
        <f aca="false">IF(AJ372="","",COUNTIFS(Data_Summary!$Y$2:$Y$20001,"Coverage",Data_Summary!$AA$2:$AA$20001,AJ372))</f>
        <v/>
      </c>
    </row>
    <row r="373" customFormat="false" ht="12.75" hidden="false" customHeight="true" outlineLevel="0" collapsed="false">
      <c r="AJ373" s="17" t="str">
        <f aca="false">IF(Data_Summary!Y374&lt;&gt;"Coverage","",IF(Data_Summary!AA374="","",IF(COUNTIFS(Data_Summary!$Y$2:$Y374,"Coverage",Data_Summary!$AA$2:$AA374,Data_Summary!AA374)=1,Data_Summary!AA374,"")))</f>
        <v>Infrastructure / Workplace Enablement</v>
      </c>
      <c r="AK373" s="17" t="n">
        <f aca="false">IF(AJ373="","",COUNTIFS(Data_Summary!$Y$2:$Y$20001,"Coverage",Data_Summary!$AA$2:$AA$20001,AJ373))</f>
        <v>7</v>
      </c>
    </row>
    <row r="374" customFormat="false" ht="12.75" hidden="false" customHeight="true" outlineLevel="0" collapsed="false">
      <c r="AJ374" s="17" t="str">
        <f aca="false">IF(Data_Summary!Y375&lt;&gt;"Coverage","",IF(Data_Summary!AA375="","",IF(COUNTIFS(Data_Summary!$Y$2:$Y375,"Coverage",Data_Summary!$AA$2:$AA375,Data_Summary!AA375)=1,Data_Summary!AA375,"")))</f>
        <v/>
      </c>
      <c r="AK374" s="17" t="str">
        <f aca="false">IF(AJ374="","",COUNTIFS(Data_Summary!$Y$2:$Y$20001,"Coverage",Data_Summary!$AA$2:$AA$20001,AJ374))</f>
        <v/>
      </c>
    </row>
    <row r="375" customFormat="false" ht="12.75" hidden="false" customHeight="true" outlineLevel="0" collapsed="false">
      <c r="AJ375" s="17" t="str">
        <f aca="false">IF(Data_Summary!Y376&lt;&gt;"Coverage","",IF(Data_Summary!AA376="","",IF(COUNTIFS(Data_Summary!$Y$2:$Y376,"Coverage",Data_Summary!$AA$2:$AA376,Data_Summary!AA376)=1,Data_Summary!AA376,"")))</f>
        <v/>
      </c>
      <c r="AK375" s="17" t="str">
        <f aca="false">IF(AJ375="","",COUNTIFS(Data_Summary!$Y$2:$Y$20001,"Coverage",Data_Summary!$AA$2:$AA$20001,AJ375))</f>
        <v/>
      </c>
    </row>
    <row r="376" customFormat="false" ht="12.75" hidden="false" customHeight="true" outlineLevel="0" collapsed="false">
      <c r="AJ376" s="17" t="str">
        <f aca="false">IF(Data_Summary!Y377&lt;&gt;"Coverage","",IF(Data_Summary!AA377="","",IF(COUNTIFS(Data_Summary!$Y$2:$Y377,"Coverage",Data_Summary!$AA$2:$AA377,Data_Summary!AA377)=1,Data_Summary!AA377,"")))</f>
        <v/>
      </c>
      <c r="AK376" s="17" t="str">
        <f aca="false">IF(AJ376="","",COUNTIFS(Data_Summary!$Y$2:$Y$20001,"Coverage",Data_Summary!$AA$2:$AA$20001,AJ376))</f>
        <v/>
      </c>
    </row>
    <row r="377" customFormat="false" ht="12.75" hidden="false" customHeight="true" outlineLevel="0" collapsed="false">
      <c r="AJ377" s="17" t="str">
        <f aca="false">IF(Data_Summary!Y378&lt;&gt;"Coverage","",IF(Data_Summary!AA378="","",IF(COUNTIFS(Data_Summary!$Y$2:$Y378,"Coverage",Data_Summary!$AA$2:$AA378,Data_Summary!AA378)=1,Data_Summary!AA378,"")))</f>
        <v/>
      </c>
      <c r="AK377" s="17" t="str">
        <f aca="false">IF(AJ377="","",COUNTIFS(Data_Summary!$Y$2:$Y$20001,"Coverage",Data_Summary!$AA$2:$AA$20001,AJ377))</f>
        <v/>
      </c>
    </row>
    <row r="378" customFormat="false" ht="12.75" hidden="false" customHeight="true" outlineLevel="0" collapsed="false">
      <c r="AJ378" s="17" t="str">
        <f aca="false">IF(Data_Summary!Y379&lt;&gt;"Coverage","",IF(Data_Summary!AA379="","",IF(COUNTIFS(Data_Summary!$Y$2:$Y379,"Coverage",Data_Summary!$AA$2:$AA379,Data_Summary!AA379)=1,Data_Summary!AA379,"")))</f>
        <v>Monthly Cadence IBU Head coverage on HC, Attrition, eltp and Bench</v>
      </c>
      <c r="AK378" s="17" t="n">
        <f aca="false">IF(AJ378="","",COUNTIFS(Data_Summary!$Y$2:$Y$20001,"Coverage",Data_Summary!$AA$2:$AA$20001,AJ378))</f>
        <v>7</v>
      </c>
    </row>
    <row r="379" customFormat="false" ht="12.75" hidden="false" customHeight="true" outlineLevel="0" collapsed="false">
      <c r="AJ379" s="17" t="str">
        <f aca="false">IF(Data_Summary!Y380&lt;&gt;"Coverage","",IF(Data_Summary!AA380="","",IF(COUNTIFS(Data_Summary!$Y$2:$Y380,"Coverage",Data_Summary!$AA$2:$AA380,Data_Summary!AA380)=1,Data_Summary!AA380,"")))</f>
        <v/>
      </c>
      <c r="AK379" s="17" t="str">
        <f aca="false">IF(AJ379="","",COUNTIFS(Data_Summary!$Y$2:$Y$20001,"Coverage",Data_Summary!$AA$2:$AA$20001,AJ379))</f>
        <v/>
      </c>
    </row>
    <row r="380" customFormat="false" ht="12.75" hidden="false" customHeight="true" outlineLevel="0" collapsed="false">
      <c r="AJ380" s="17" t="str">
        <f aca="false">IF(Data_Summary!Y381&lt;&gt;"Coverage","",IF(Data_Summary!AA381="","",IF(COUNTIFS(Data_Summary!$Y$2:$Y381,"Coverage",Data_Summary!$AA$2:$AA381,Data_Summary!AA381)=1,Data_Summary!AA381,"")))</f>
        <v/>
      </c>
      <c r="AK380" s="17" t="str">
        <f aca="false">IF(AJ380="","",COUNTIFS(Data_Summary!$Y$2:$Y$20001,"Coverage",Data_Summary!$AA$2:$AA$20001,AJ380))</f>
        <v/>
      </c>
    </row>
    <row r="381" customFormat="false" ht="12.75" hidden="false" customHeight="true" outlineLevel="0" collapsed="false">
      <c r="AJ381" s="17" t="str">
        <f aca="false">IF(Data_Summary!Y382&lt;&gt;"Coverage","",IF(Data_Summary!AA382="","",IF(COUNTIFS(Data_Summary!$Y$2:$Y382,"Coverage",Data_Summary!$AA$2:$AA382,Data_Summary!AA382)=1,Data_Summary!AA382,"")))</f>
        <v/>
      </c>
      <c r="AK381" s="17" t="str">
        <f aca="false">IF(AJ381="","",COUNTIFS(Data_Summary!$Y$2:$Y$20001,"Coverage",Data_Summary!$AA$2:$AA$20001,AJ381))</f>
        <v/>
      </c>
    </row>
    <row r="382" customFormat="false" ht="12.75" hidden="false" customHeight="true" outlineLevel="0" collapsed="false">
      <c r="AJ382" s="17" t="str">
        <f aca="false">IF(Data_Summary!Y383&lt;&gt;"Coverage","",IF(Data_Summary!AA383="","",IF(COUNTIFS(Data_Summary!$Y$2:$Y383,"Coverage",Data_Summary!$AA$2:$AA383,Data_Summary!AA383)=1,Data_Summary!AA383,"")))</f>
        <v/>
      </c>
      <c r="AK382" s="17" t="str">
        <f aca="false">IF(AJ382="","",COUNTIFS(Data_Summary!$Y$2:$Y$20001,"Coverage",Data_Summary!$AA$2:$AA$20001,AJ382))</f>
        <v/>
      </c>
    </row>
    <row r="383" customFormat="false" ht="12.75" hidden="false" customHeight="true" outlineLevel="0" collapsed="false">
      <c r="AJ383" s="17" t="str">
        <f aca="false">IF(Data_Summary!Y384&lt;&gt;"Coverage","",IF(Data_Summary!AA384="","",IF(COUNTIFS(Data_Summary!$Y$2:$Y384,"Coverage",Data_Summary!$AA$2:$AA384,Data_Summary!AA384)=1,Data_Summary!AA384,"")))</f>
        <v/>
      </c>
      <c r="AK383" s="17" t="str">
        <f aca="false">IF(AJ383="","",COUNTIFS(Data_Summary!$Y$2:$Y$20001,"Coverage",Data_Summary!$AA$2:$AA$20001,AJ383))</f>
        <v/>
      </c>
    </row>
    <row r="384" customFormat="false" ht="12.75" hidden="false" customHeight="true" outlineLevel="0" collapsed="false">
      <c r="AJ384" s="17" t="str">
        <f aca="false">IF(Data_Summary!Y385&lt;&gt;"Coverage","",IF(Data_Summary!AA385="","",IF(COUNTIFS(Data_Summary!$Y$2:$Y385,"Coverage",Data_Summary!$AA$2:$AA385,Data_Summary!AA385)=1,Data_Summary!AA385,"")))</f>
        <v/>
      </c>
      <c r="AK384" s="17" t="str">
        <f aca="false">IF(AJ384="","",COUNTIFS(Data_Summary!$Y$2:$Y$20001,"Coverage",Data_Summary!$AA$2:$AA$20001,AJ384))</f>
        <v/>
      </c>
    </row>
    <row r="385" customFormat="false" ht="12.75" hidden="false" customHeight="true" outlineLevel="0" collapsed="false">
      <c r="AJ385" s="17" t="str">
        <f aca="false">IF(Data_Summary!Y386&lt;&gt;"Coverage","",IF(Data_Summary!AA386="","",IF(COUNTIFS(Data_Summary!$Y$2:$Y386,"Coverage",Data_Summary!$AA$2:$AA386,Data_Summary!AA386)=1,Data_Summary!AA386,"")))</f>
        <v/>
      </c>
      <c r="AK385" s="17" t="str">
        <f aca="false">IF(AJ385="","",COUNTIFS(Data_Summary!$Y$2:$Y$20001,"Coverage",Data_Summary!$AA$2:$AA$20001,AJ385))</f>
        <v/>
      </c>
    </row>
    <row r="386" customFormat="false" ht="12.75" hidden="false" customHeight="true" outlineLevel="0" collapsed="false">
      <c r="AJ386" s="17" t="str">
        <f aca="false">IF(Data_Summary!Y387&lt;&gt;"Coverage","",IF(Data_Summary!AA387="","",IF(COUNTIFS(Data_Summary!$Y$2:$Y387,"Coverage",Data_Summary!$AA$2:$AA387,Data_Summary!AA387)=1,Data_Summary!AA387,"")))</f>
        <v/>
      </c>
      <c r="AK386" s="17" t="str">
        <f aca="false">IF(AJ386="","",COUNTIFS(Data_Summary!$Y$2:$Y$20001,"Coverage",Data_Summary!$AA$2:$AA$20001,AJ386))</f>
        <v/>
      </c>
    </row>
    <row r="387" customFormat="false" ht="12.75" hidden="false" customHeight="true" outlineLevel="0" collapsed="false">
      <c r="AJ387" s="17" t="str">
        <f aca="false">IF(Data_Summary!Y388&lt;&gt;"Coverage","",IF(Data_Summary!AA388="","",IF(COUNTIFS(Data_Summary!$Y$2:$Y388,"Coverage",Data_Summary!$AA$2:$AA388,Data_Summary!AA388)=1,Data_Summary!AA388,"")))</f>
        <v/>
      </c>
      <c r="AK387" s="17" t="str">
        <f aca="false">IF(AJ387="","",COUNTIFS(Data_Summary!$Y$2:$Y$20001,"Coverage",Data_Summary!$AA$2:$AA$20001,AJ387))</f>
        <v/>
      </c>
    </row>
    <row r="388" customFormat="false" ht="12.75" hidden="false" customHeight="true" outlineLevel="0" collapsed="false">
      <c r="AJ388" s="17" t="str">
        <f aca="false">IF(Data_Summary!Y389&lt;&gt;"Coverage","",IF(Data_Summary!AA389="","",IF(COUNTIFS(Data_Summary!$Y$2:$Y389,"Coverage",Data_Summary!$AA$2:$AA389,Data_Summary!AA389)=1,Data_Summary!AA389,"")))</f>
        <v/>
      </c>
      <c r="AK388" s="17" t="str">
        <f aca="false">IF(AJ388="","",COUNTIFS(Data_Summary!$Y$2:$Y$20001,"Coverage",Data_Summary!$AA$2:$AA$20001,AJ388))</f>
        <v/>
      </c>
    </row>
    <row r="389" customFormat="false" ht="12.75" hidden="false" customHeight="true" outlineLevel="0" collapsed="false">
      <c r="AJ389" s="17" t="str">
        <f aca="false">IF(Data_Summary!Y390&lt;&gt;"Coverage","",IF(Data_Summary!AA390="","",IF(COUNTIFS(Data_Summary!$Y$2:$Y390,"Coverage",Data_Summary!$AA$2:$AA390,Data_Summary!AA390)=1,Data_Summary!AA390,"")))</f>
        <v/>
      </c>
      <c r="AK389" s="17" t="str">
        <f aca="false">IF(AJ389="","",COUNTIFS(Data_Summary!$Y$2:$Y$20001,"Coverage",Data_Summary!$AA$2:$AA$20001,AJ389))</f>
        <v/>
      </c>
    </row>
    <row r="390" customFormat="false" ht="12.75" hidden="false" customHeight="true" outlineLevel="0" collapsed="false">
      <c r="AJ390" s="17" t="str">
        <f aca="false">IF(Data_Summary!Y391&lt;&gt;"Coverage","",IF(Data_Summary!AA391="","",IF(COUNTIFS(Data_Summary!$Y$2:$Y391,"Coverage",Data_Summary!$AA$2:$AA391,Data_Summary!AA391)=1,Data_Summary!AA391,"")))</f>
        <v/>
      </c>
      <c r="AK390" s="17" t="str">
        <f aca="false">IF(AJ390="","",COUNTIFS(Data_Summary!$Y$2:$Y$20001,"Coverage",Data_Summary!$AA$2:$AA$20001,AJ390))</f>
        <v/>
      </c>
    </row>
    <row r="391" customFormat="false" ht="12.75" hidden="false" customHeight="true" outlineLevel="0" collapsed="false">
      <c r="AJ391" s="17" t="str">
        <f aca="false">IF(Data_Summary!Y392&lt;&gt;"Coverage","",IF(Data_Summary!AA392="","",IF(COUNTIFS(Data_Summary!$Y$2:$Y392,"Coverage",Data_Summary!$AA$2:$AA392,Data_Summary!AA392)=1,Data_Summary!AA392,"")))</f>
        <v>Guidance On Leave, Travel, And Exception Approvals</v>
      </c>
      <c r="AK391" s="17" t="n">
        <f aca="false">IF(AJ391="","",COUNTIFS(Data_Summary!$Y$2:$Y$20001,"Coverage",Data_Summary!$AA$2:$AA$20001,AJ391))</f>
        <v>5</v>
      </c>
    </row>
    <row r="392" customFormat="false" ht="12.75" hidden="false" customHeight="true" outlineLevel="0" collapsed="false">
      <c r="AJ392" s="17" t="str">
        <f aca="false">IF(Data_Summary!Y393&lt;&gt;"Coverage","",IF(Data_Summary!AA393="","",IF(COUNTIFS(Data_Summary!$Y$2:$Y393,"Coverage",Data_Summary!$AA$2:$AA393,Data_Summary!AA393)=1,Data_Summary!AA393,"")))</f>
        <v/>
      </c>
      <c r="AK392" s="17" t="str">
        <f aca="false">IF(AJ392="","",COUNTIFS(Data_Summary!$Y$2:$Y$20001,"Coverage",Data_Summary!$AA$2:$AA$20001,AJ392))</f>
        <v/>
      </c>
    </row>
    <row r="393" customFormat="false" ht="12.75" hidden="false" customHeight="true" outlineLevel="0" collapsed="false">
      <c r="AJ393" s="17" t="str">
        <f aca="false">IF(Data_Summary!Y394&lt;&gt;"Coverage","",IF(Data_Summary!AA394="","",IF(COUNTIFS(Data_Summary!$Y$2:$Y394,"Coverage",Data_Summary!$AA$2:$AA394,Data_Summary!AA394)=1,Data_Summary!AA394,"")))</f>
        <v/>
      </c>
      <c r="AK393" s="17" t="str">
        <f aca="false">IF(AJ393="","",COUNTIFS(Data_Summary!$Y$2:$Y$20001,"Coverage",Data_Summary!$AA$2:$AA$20001,AJ393))</f>
        <v/>
      </c>
    </row>
    <row r="394" customFormat="false" ht="12.75" hidden="false" customHeight="true" outlineLevel="0" collapsed="false">
      <c r="AJ394" s="17" t="str">
        <f aca="false">IF(Data_Summary!Y395&lt;&gt;"Coverage","",IF(Data_Summary!AA395="","",IF(COUNTIFS(Data_Summary!$Y$2:$Y395,"Coverage",Data_Summary!$AA$2:$AA395,Data_Summary!AA395)=1,Data_Summary!AA395,"")))</f>
        <v/>
      </c>
      <c r="AK394" s="17" t="str">
        <f aca="false">IF(AJ394="","",COUNTIFS(Data_Summary!$Y$2:$Y$20001,"Coverage",Data_Summary!$AA$2:$AA$20001,AJ394))</f>
        <v/>
      </c>
    </row>
    <row r="395" customFormat="false" ht="12.75" hidden="false" customHeight="true" outlineLevel="0" collapsed="false">
      <c r="AJ395" s="17" t="str">
        <f aca="false">IF(Data_Summary!Y396&lt;&gt;"Coverage","",IF(Data_Summary!AA396="","",IF(COUNTIFS(Data_Summary!$Y$2:$Y396,"Coverage",Data_Summary!$AA$2:$AA396,Data_Summary!AA396)=1,Data_Summary!AA396,"")))</f>
        <v/>
      </c>
      <c r="AK395" s="17" t="str">
        <f aca="false">IF(AJ395="","",COUNTIFS(Data_Summary!$Y$2:$Y$20001,"Coverage",Data_Summary!$AA$2:$AA$20001,AJ395))</f>
        <v/>
      </c>
    </row>
    <row r="396" customFormat="false" ht="12.75" hidden="false" customHeight="true" outlineLevel="0" collapsed="false">
      <c r="AJ396" s="17" t="str">
        <f aca="false">IF(Data_Summary!Y397&lt;&gt;"Coverage","",IF(Data_Summary!AA397="","",IF(COUNTIFS(Data_Summary!$Y$2:$Y397,"Coverage",Data_Summary!$AA$2:$AA397,Data_Summary!AA397)=1,Data_Summary!AA397,"")))</f>
        <v/>
      </c>
      <c r="AK396" s="17" t="str">
        <f aca="false">IF(AJ396="","",COUNTIFS(Data_Summary!$Y$2:$Y$20001,"Coverage",Data_Summary!$AA$2:$AA$20001,AJ396))</f>
        <v/>
      </c>
    </row>
    <row r="397" customFormat="false" ht="12.75" hidden="false" customHeight="true" outlineLevel="0" collapsed="false">
      <c r="AJ397" s="17" t="str">
        <f aca="false">IF(Data_Summary!Y398&lt;&gt;"Coverage","",IF(Data_Summary!AA398="","",IF(COUNTIFS(Data_Summary!$Y$2:$Y398,"Coverage",Data_Summary!$AA$2:$AA398,Data_Summary!AA398)=1,Data_Summary!AA398,"")))</f>
        <v/>
      </c>
      <c r="AK397" s="17" t="str">
        <f aca="false">IF(AJ397="","",COUNTIFS(Data_Summary!$Y$2:$Y$20001,"Coverage",Data_Summary!$AA$2:$AA$20001,AJ397))</f>
        <v/>
      </c>
    </row>
    <row r="398" customFormat="false" ht="12.75" hidden="false" customHeight="true" outlineLevel="0" collapsed="false">
      <c r="AJ398" s="17" t="str">
        <f aca="false">IF(Data_Summary!Y399&lt;&gt;"Coverage","",IF(Data_Summary!AA399="","",IF(COUNTIFS(Data_Summary!$Y$2:$Y399,"Coverage",Data_Summary!$AA$2:$AA399,Data_Summary!AA399)=1,Data_Summary!AA399,"")))</f>
        <v/>
      </c>
      <c r="AK398" s="17" t="str">
        <f aca="false">IF(AJ398="","",COUNTIFS(Data_Summary!$Y$2:$Y$20001,"Coverage",Data_Summary!$AA$2:$AA$20001,AJ398))</f>
        <v/>
      </c>
    </row>
    <row r="399" customFormat="false" ht="12.75" hidden="false" customHeight="true" outlineLevel="0" collapsed="false">
      <c r="AJ399" s="17" t="str">
        <f aca="false">IF(Data_Summary!Y400&lt;&gt;"Coverage","",IF(Data_Summary!AA400="","",IF(COUNTIFS(Data_Summary!$Y$2:$Y400,"Coverage",Data_Summary!$AA$2:$AA400,Data_Summary!AA400)=1,Data_Summary!AA400,"")))</f>
        <v/>
      </c>
      <c r="AK399" s="17" t="str">
        <f aca="false">IF(AJ399="","",COUNTIFS(Data_Summary!$Y$2:$Y$20001,"Coverage",Data_Summary!$AA$2:$AA$20001,AJ399))</f>
        <v/>
      </c>
    </row>
    <row r="400" customFormat="false" ht="12.75" hidden="false" customHeight="true" outlineLevel="0" collapsed="false">
      <c r="AJ400" s="17" t="str">
        <f aca="false">IF(Data_Summary!Y401&lt;&gt;"Coverage","",IF(Data_Summary!AA401="","",IF(COUNTIFS(Data_Summary!$Y$2:$Y401,"Coverage",Data_Summary!$AA$2:$AA401,Data_Summary!AA401)=1,Data_Summary!AA401,"")))</f>
        <v/>
      </c>
      <c r="AK400" s="17" t="str">
        <f aca="false">IF(AJ400="","",COUNTIFS(Data_Summary!$Y$2:$Y$20001,"Coverage",Data_Summary!$AA$2:$AA$20001,AJ400))</f>
        <v/>
      </c>
    </row>
    <row r="401" customFormat="false" ht="12.75" hidden="false" customHeight="true" outlineLevel="0" collapsed="false">
      <c r="AJ401" s="17" t="str">
        <f aca="false">IF(Data_Summary!Y402&lt;&gt;"Coverage","",IF(Data_Summary!AA402="","",IF(COUNTIFS(Data_Summary!$Y$2:$Y402,"Coverage",Data_Summary!$AA$2:$AA402,Data_Summary!AA402)=1,Data_Summary!AA402,"")))</f>
        <v/>
      </c>
      <c r="AK401" s="17" t="str">
        <f aca="false">IF(AJ401="","",COUNTIFS(Data_Summary!$Y$2:$Y$20001,"Coverage",Data_Summary!$AA$2:$AA$20001,AJ401))</f>
        <v/>
      </c>
    </row>
    <row r="402" customFormat="false" ht="12.75" hidden="false" customHeight="true" outlineLevel="0" collapsed="false">
      <c r="AJ402" s="17" t="str">
        <f aca="false">IF(Data_Summary!Y403&lt;&gt;"Coverage","",IF(Data_Summary!AA403="","",IF(COUNTIFS(Data_Summary!$Y$2:$Y403,"Coverage",Data_Summary!$AA$2:$AA403,Data_Summary!AA403)=1,Data_Summary!AA403,"")))</f>
        <v/>
      </c>
      <c r="AK402" s="17" t="str">
        <f aca="false">IF(AJ402="","",COUNTIFS(Data_Summary!$Y$2:$Y$20001,"Coverage",Data_Summary!$AA$2:$AA$20001,AJ402))</f>
        <v/>
      </c>
    </row>
    <row r="403" customFormat="false" ht="12.75" hidden="false" customHeight="true" outlineLevel="0" collapsed="false">
      <c r="AJ403" s="17" t="str">
        <f aca="false">IF(Data_Summary!Y404&lt;&gt;"Coverage","",IF(Data_Summary!AA404="","",IF(COUNTIFS(Data_Summary!$Y$2:$Y404,"Coverage",Data_Summary!$AA$2:$AA404,Data_Summary!AA404)=1,Data_Summary!AA404,"")))</f>
        <v/>
      </c>
      <c r="AK403" s="17" t="str">
        <f aca="false">IF(AJ403="","",COUNTIFS(Data_Summary!$Y$2:$Y$20001,"Coverage",Data_Summary!$AA$2:$AA$20001,AJ403))</f>
        <v/>
      </c>
    </row>
    <row r="404" customFormat="false" ht="12.75" hidden="false" customHeight="true" outlineLevel="0" collapsed="false">
      <c r="AJ404" s="17" t="str">
        <f aca="false">IF(Data_Summary!Y405&lt;&gt;"Coverage","",IF(Data_Summary!AA405="","",IF(COUNTIFS(Data_Summary!$Y$2:$Y405,"Coverage",Data_Summary!$AA$2:$AA405,Data_Summary!AA405)=1,Data_Summary!AA405,"")))</f>
        <v/>
      </c>
      <c r="AK404" s="17" t="str">
        <f aca="false">IF(AJ404="","",COUNTIFS(Data_Summary!$Y$2:$Y$20001,"Coverage",Data_Summary!$AA$2:$AA$20001,AJ404))</f>
        <v/>
      </c>
    </row>
    <row r="405" customFormat="false" ht="12.75" hidden="false" customHeight="true" outlineLevel="0" collapsed="false">
      <c r="AJ405" s="17" t="str">
        <f aca="false">IF(Data_Summary!Y406&lt;&gt;"Coverage","",IF(Data_Summary!AA406="","",IF(COUNTIFS(Data_Summary!$Y$2:$Y406,"Coverage",Data_Summary!$AA$2:$AA406,Data_Summary!AA406)=1,Data_Summary!AA406,"")))</f>
        <v/>
      </c>
      <c r="AK405" s="17" t="str">
        <f aca="false">IF(AJ405="","",COUNTIFS(Data_Summary!$Y$2:$Y$20001,"Coverage",Data_Summary!$AA$2:$AA$20001,AJ405))</f>
        <v/>
      </c>
    </row>
    <row r="406" customFormat="false" ht="12.75" hidden="false" customHeight="true" outlineLevel="0" collapsed="false">
      <c r="AJ406" s="17" t="str">
        <f aca="false">IF(Data_Summary!Y407&lt;&gt;"Coverage","",IF(Data_Summary!AA407="","",IF(COUNTIFS(Data_Summary!$Y$2:$Y407,"Coverage",Data_Summary!$AA$2:$AA407,Data_Summary!AA407)=1,Data_Summary!AA407,"")))</f>
        <v>Engagement &amp; Belonging</v>
      </c>
      <c r="AK406" s="17" t="n">
        <f aca="false">IF(AJ406="","",COUNTIFS(Data_Summary!$Y$2:$Y$20001,"Coverage",Data_Summary!$AA$2:$AA$20001,AJ406))</f>
        <v>18</v>
      </c>
    </row>
    <row r="407" customFormat="false" ht="12.75" hidden="false" customHeight="true" outlineLevel="0" collapsed="false">
      <c r="AJ407" s="17" t="str">
        <f aca="false">IF(Data_Summary!Y408&lt;&gt;"Coverage","",IF(Data_Summary!AA408="","",IF(COUNTIFS(Data_Summary!$Y$2:$Y408,"Coverage",Data_Summary!$AA$2:$AA408,Data_Summary!AA408)=1,Data_Summary!AA408,"")))</f>
        <v/>
      </c>
      <c r="AK407" s="17" t="str">
        <f aca="false">IF(AJ407="","",COUNTIFS(Data_Summary!$Y$2:$Y$20001,"Coverage",Data_Summary!$AA$2:$AA$20001,AJ407))</f>
        <v/>
      </c>
    </row>
    <row r="408" customFormat="false" ht="12.75" hidden="false" customHeight="true" outlineLevel="0" collapsed="false">
      <c r="AJ408" s="17" t="str">
        <f aca="false">IF(Data_Summary!Y409&lt;&gt;"Coverage","",IF(Data_Summary!AA409="","",IF(COUNTIFS(Data_Summary!$Y$2:$Y409,"Coverage",Data_Summary!$AA$2:$AA409,Data_Summary!AA409)=1,Data_Summary!AA409,"")))</f>
        <v/>
      </c>
      <c r="AK408" s="17" t="str">
        <f aca="false">IF(AJ408="","",COUNTIFS(Data_Summary!$Y$2:$Y$20001,"Coverage",Data_Summary!$AA$2:$AA$20001,AJ408))</f>
        <v/>
      </c>
    </row>
    <row r="409" customFormat="false" ht="12.75" hidden="false" customHeight="true" outlineLevel="0" collapsed="false">
      <c r="AJ409" s="17" t="str">
        <f aca="false">IF(Data_Summary!Y410&lt;&gt;"Coverage","",IF(Data_Summary!AA410="","",IF(COUNTIFS(Data_Summary!$Y$2:$Y410,"Coverage",Data_Summary!$AA$2:$AA410,Data_Summary!AA410)=1,Data_Summary!AA410,"")))</f>
        <v/>
      </c>
      <c r="AK409" s="17" t="str">
        <f aca="false">IF(AJ409="","",COUNTIFS(Data_Summary!$Y$2:$Y$20001,"Coverage",Data_Summary!$AA$2:$AA$20001,AJ409))</f>
        <v/>
      </c>
    </row>
    <row r="410" customFormat="false" ht="12.75" hidden="false" customHeight="true" outlineLevel="0" collapsed="false">
      <c r="AJ410" s="17" t="str">
        <f aca="false">IF(Data_Summary!Y411&lt;&gt;"Coverage","",IF(Data_Summary!AA411="","",IF(COUNTIFS(Data_Summary!$Y$2:$Y411,"Coverage",Data_Summary!$AA$2:$AA411,Data_Summary!AA411)=1,Data_Summary!AA411,"")))</f>
        <v/>
      </c>
      <c r="AK410" s="17" t="str">
        <f aca="false">IF(AJ410="","",COUNTIFS(Data_Summary!$Y$2:$Y$20001,"Coverage",Data_Summary!$AA$2:$AA$20001,AJ410))</f>
        <v/>
      </c>
    </row>
    <row r="411" customFormat="false" ht="12.75" hidden="false" customHeight="true" outlineLevel="0" collapsed="false">
      <c r="AJ411" s="17" t="str">
        <f aca="false">IF(Data_Summary!Y412&lt;&gt;"Coverage","",IF(Data_Summary!AA412="","",IF(COUNTIFS(Data_Summary!$Y$2:$Y412,"Coverage",Data_Summary!$AA$2:$AA412,Data_Summary!AA412)=1,Data_Summary!AA412,"")))</f>
        <v/>
      </c>
      <c r="AK411" s="17" t="str">
        <f aca="false">IF(AJ411="","",COUNTIFS(Data_Summary!$Y$2:$Y$20001,"Coverage",Data_Summary!$AA$2:$AA$20001,AJ411))</f>
        <v/>
      </c>
    </row>
    <row r="412" customFormat="false" ht="12.75" hidden="false" customHeight="true" outlineLevel="0" collapsed="false">
      <c r="AJ412" s="17" t="str">
        <f aca="false">IF(Data_Summary!Y413&lt;&gt;"Coverage","",IF(Data_Summary!AA413="","",IF(COUNTIFS(Data_Summary!$Y$2:$Y413,"Coverage",Data_Summary!$AA$2:$AA413,Data_Summary!AA413)=1,Data_Summary!AA413,"")))</f>
        <v>Induction Effectiveness</v>
      </c>
      <c r="AK412" s="17" t="n">
        <f aca="false">IF(AJ412="","",COUNTIFS(Data_Summary!$Y$2:$Y$20001,"Coverage",Data_Summary!$AA$2:$AA$20001,AJ412))</f>
        <v>11</v>
      </c>
    </row>
    <row r="413" customFormat="false" ht="12.75" hidden="false" customHeight="true" outlineLevel="0" collapsed="false">
      <c r="AJ413" s="17" t="str">
        <f aca="false">IF(Data_Summary!Y414&lt;&gt;"Coverage","",IF(Data_Summary!AA414="","",IF(COUNTIFS(Data_Summary!$Y$2:$Y414,"Coverage",Data_Summary!$AA$2:$AA414,Data_Summary!AA414)=1,Data_Summary!AA414,"")))</f>
        <v>Buddy / Support System</v>
      </c>
      <c r="AK413" s="17" t="n">
        <f aca="false">IF(AJ413="","",COUNTIFS(Data_Summary!$Y$2:$Y$20001,"Coverage",Data_Summary!$AA$2:$AA$20001,AJ413))</f>
        <v>15</v>
      </c>
    </row>
    <row r="414" customFormat="false" ht="12.75" hidden="false" customHeight="true" outlineLevel="0" collapsed="false">
      <c r="AJ414" s="17" t="str">
        <f aca="false">IF(Data_Summary!Y415&lt;&gt;"Coverage","",IF(Data_Summary!AA415="","",IF(COUNTIFS(Data_Summary!$Y$2:$Y415,"Coverage",Data_Summary!$AA$2:$AA415,Data_Summary!AA415)=1,Data_Summary!AA415,"")))</f>
        <v/>
      </c>
      <c r="AK414" s="17" t="str">
        <f aca="false">IF(AJ414="","",COUNTIFS(Data_Summary!$Y$2:$Y$20001,"Coverage",Data_Summary!$AA$2:$AA$20001,AJ414))</f>
        <v/>
      </c>
    </row>
    <row r="415" customFormat="false" ht="12.75" hidden="false" customHeight="true" outlineLevel="0" collapsed="false">
      <c r="AJ415" s="17" t="str">
        <f aca="false">IF(Data_Summary!Y416&lt;&gt;"Coverage","",IF(Data_Summary!AA416="","",IF(COUNTIFS(Data_Summary!$Y$2:$Y416,"Coverage",Data_Summary!$AA$2:$AA416,Data_Summary!AA416)=1,Data_Summary!AA416,"")))</f>
        <v/>
      </c>
      <c r="AK415" s="17" t="str">
        <f aca="false">IF(AJ415="","",COUNTIFS(Data_Summary!$Y$2:$Y$20001,"Coverage",Data_Summary!$AA$2:$AA$20001,AJ415))</f>
        <v/>
      </c>
    </row>
    <row r="416" customFormat="false" ht="12.75" hidden="false" customHeight="true" outlineLevel="0" collapsed="false">
      <c r="AJ416" s="17" t="str">
        <f aca="false">IF(Data_Summary!Y417&lt;&gt;"Coverage","",IF(Data_Summary!AA417="","",IF(COUNTIFS(Data_Summary!$Y$2:$Y417,"Coverage",Data_Summary!$AA$2:$AA417,Data_Summary!AA417)=1,Data_Summary!AA417,"")))</f>
        <v/>
      </c>
      <c r="AK416" s="17" t="str">
        <f aca="false">IF(AJ416="","",COUNTIFS(Data_Summary!$Y$2:$Y$20001,"Coverage",Data_Summary!$AA$2:$AA$20001,AJ416))</f>
        <v/>
      </c>
    </row>
    <row r="417" customFormat="false" ht="12.75" hidden="false" customHeight="true" outlineLevel="0" collapsed="false">
      <c r="AJ417" s="17" t="str">
        <f aca="false">IF(Data_Summary!Y418&lt;&gt;"Coverage","",IF(Data_Summary!AA418="","",IF(COUNTIFS(Data_Summary!$Y$2:$Y418,"Coverage",Data_Summary!$AA$2:$AA418,Data_Summary!AA418)=1,Data_Summary!AA418,"")))</f>
        <v/>
      </c>
      <c r="AK417" s="17" t="str">
        <f aca="false">IF(AJ417="","",COUNTIFS(Data_Summary!$Y$2:$Y$20001,"Coverage",Data_Summary!$AA$2:$AA$20001,AJ417))</f>
        <v/>
      </c>
    </row>
    <row r="418" customFormat="false" ht="12.75" hidden="false" customHeight="true" outlineLevel="0" collapsed="false">
      <c r="AJ418" s="17" t="str">
        <f aca="false">IF(Data_Summary!Y419&lt;&gt;"Coverage","",IF(Data_Summary!AA419="","",IF(COUNTIFS(Data_Summary!$Y$2:$Y419,"Coverage",Data_Summary!$AA$2:$AA419,Data_Summary!AA419)=1,Data_Summary!AA419,"")))</f>
        <v/>
      </c>
      <c r="AK418" s="17" t="str">
        <f aca="false">IF(AJ418="","",COUNTIFS(Data_Summary!$Y$2:$Y$20001,"Coverage",Data_Summary!$AA$2:$AA$20001,AJ418))</f>
        <v/>
      </c>
    </row>
    <row r="419" customFormat="false" ht="12.75" hidden="false" customHeight="true" outlineLevel="0" collapsed="false">
      <c r="AJ419" s="17" t="str">
        <f aca="false">IF(Data_Summary!Y420&lt;&gt;"Coverage","",IF(Data_Summary!AA420="","",IF(COUNTIFS(Data_Summary!$Y$2:$Y420,"Coverage",Data_Summary!$AA$2:$AA420,Data_Summary!AA420)=1,Data_Summary!AA420,"")))</f>
        <v/>
      </c>
      <c r="AK419" s="17" t="str">
        <f aca="false">IF(AJ419="","",COUNTIFS(Data_Summary!$Y$2:$Y$20001,"Coverage",Data_Summary!$AA$2:$AA$20001,AJ419))</f>
        <v/>
      </c>
    </row>
    <row r="420" customFormat="false" ht="12.75" hidden="false" customHeight="true" outlineLevel="0" collapsed="false">
      <c r="AJ420" s="17" t="str">
        <f aca="false">IF(Data_Summary!Y421&lt;&gt;"Coverage","",IF(Data_Summary!AA421="","",IF(COUNTIFS(Data_Summary!$Y$2:$Y421,"Coverage",Data_Summary!$AA$2:$AA421,Data_Summary!AA421)=1,Data_Summary!AA421,"")))</f>
        <v/>
      </c>
      <c r="AK420" s="17" t="str">
        <f aca="false">IF(AJ420="","",COUNTIFS(Data_Summary!$Y$2:$Y$20001,"Coverage",Data_Summary!$AA$2:$AA$20001,AJ420))</f>
        <v/>
      </c>
    </row>
    <row r="421" customFormat="false" ht="12.75" hidden="false" customHeight="true" outlineLevel="0" collapsed="false">
      <c r="AJ421" s="17" t="str">
        <f aca="false">IF(Data_Summary!Y422&lt;&gt;"Coverage","",IF(Data_Summary!AA422="","",IF(COUNTIFS(Data_Summary!$Y$2:$Y422,"Coverage",Data_Summary!$AA$2:$AA422,Data_Summary!AA422)=1,Data_Summary!AA422,"")))</f>
        <v/>
      </c>
      <c r="AK421" s="17" t="str">
        <f aca="false">IF(AJ421="","",COUNTIFS(Data_Summary!$Y$2:$Y$20001,"Coverage",Data_Summary!$AA$2:$AA$20001,AJ421))</f>
        <v/>
      </c>
    </row>
    <row r="422" customFormat="false" ht="12.75" hidden="false" customHeight="true" outlineLevel="0" collapsed="false">
      <c r="AJ422" s="17" t="str">
        <f aca="false">IF(Data_Summary!Y423&lt;&gt;"Coverage","",IF(Data_Summary!AA423="","",IF(COUNTIFS(Data_Summary!$Y$2:$Y423,"Coverage",Data_Summary!$AA$2:$AA423,Data_Summary!AA423)=1,Data_Summary!AA423,"")))</f>
        <v/>
      </c>
      <c r="AK422" s="17" t="str">
        <f aca="false">IF(AJ422="","",COUNTIFS(Data_Summary!$Y$2:$Y$20001,"Coverage",Data_Summary!$AA$2:$AA$20001,AJ422))</f>
        <v/>
      </c>
    </row>
    <row r="423" customFormat="false" ht="12.75" hidden="false" customHeight="true" outlineLevel="0" collapsed="false">
      <c r="AJ423" s="17" t="str">
        <f aca="false">IF(Data_Summary!Y424&lt;&gt;"Coverage","",IF(Data_Summary!AA424="","",IF(COUNTIFS(Data_Summary!$Y$2:$Y424,"Coverage",Data_Summary!$AA$2:$AA424,Data_Summary!AA424)=1,Data_Summary!AA424,"")))</f>
        <v/>
      </c>
      <c r="AK423" s="17" t="str">
        <f aca="false">IF(AJ423="","",COUNTIFS(Data_Summary!$Y$2:$Y$20001,"Coverage",Data_Summary!$AA$2:$AA$20001,AJ423))</f>
        <v/>
      </c>
    </row>
    <row r="424" customFormat="false" ht="12.75" hidden="false" customHeight="true" outlineLevel="0" collapsed="false">
      <c r="AJ424" s="17" t="str">
        <f aca="false">IF(Data_Summary!Y425&lt;&gt;"Coverage","",IF(Data_Summary!AA425="","",IF(COUNTIFS(Data_Summary!$Y$2:$Y425,"Coverage",Data_Summary!$AA$2:$AA425,Data_Summary!AA425)=1,Data_Summary!AA425,"")))</f>
        <v/>
      </c>
      <c r="AK424" s="17" t="str">
        <f aca="false">IF(AJ424="","",COUNTIFS(Data_Summary!$Y$2:$Y$20001,"Coverage",Data_Summary!$AA$2:$AA$20001,AJ424))</f>
        <v/>
      </c>
    </row>
    <row r="425" customFormat="false" ht="12.75" hidden="false" customHeight="true" outlineLevel="0" collapsed="false">
      <c r="AJ425" s="17" t="str">
        <f aca="false">IF(Data_Summary!Y426&lt;&gt;"Coverage","",IF(Data_Summary!AA426="","",IF(COUNTIFS(Data_Summary!$Y$2:$Y426,"Coverage",Data_Summary!$AA$2:$AA426,Data_Summary!AA426)=1,Data_Summary!AA426,"")))</f>
        <v/>
      </c>
      <c r="AK425" s="17" t="str">
        <f aca="false">IF(AJ425="","",COUNTIFS(Data_Summary!$Y$2:$Y$20001,"Coverage",Data_Summary!$AA$2:$AA$20001,AJ425))</f>
        <v/>
      </c>
    </row>
    <row r="426" customFormat="false" ht="12.75" hidden="false" customHeight="true" outlineLevel="0" collapsed="false">
      <c r="AJ426" s="17" t="str">
        <f aca="false">IF(Data_Summary!Y427&lt;&gt;"Coverage","",IF(Data_Summary!AA427="","",IF(COUNTIFS(Data_Summary!$Y$2:$Y427,"Coverage",Data_Summary!$AA$2:$AA427,Data_Summary!AA427)=1,Data_Summary!AA427,"")))</f>
        <v>HR Process Clarity</v>
      </c>
      <c r="AK426" s="17" t="n">
        <f aca="false">IF(AJ426="","",COUNTIFS(Data_Summary!$Y$2:$Y$20001,"Coverage",Data_Summary!$AA$2:$AA$20001,AJ426))</f>
        <v>10</v>
      </c>
    </row>
    <row r="427" customFormat="false" ht="12.75" hidden="false" customHeight="true" outlineLevel="0" collapsed="false">
      <c r="AJ427" s="17" t="str">
        <f aca="false">IF(Data_Summary!Y428&lt;&gt;"Coverage","",IF(Data_Summary!AA428="","",IF(COUNTIFS(Data_Summary!$Y$2:$Y428,"Coverage",Data_Summary!$AA$2:$AA428,Data_Summary!AA428)=1,Data_Summary!AA428,"")))</f>
        <v/>
      </c>
      <c r="AK427" s="17" t="str">
        <f aca="false">IF(AJ427="","",COUNTIFS(Data_Summary!$Y$2:$Y$20001,"Coverage",Data_Summary!$AA$2:$AA$20001,AJ427))</f>
        <v/>
      </c>
    </row>
    <row r="428" customFormat="false" ht="12.75" hidden="false" customHeight="true" outlineLevel="0" collapsed="false">
      <c r="AJ428" s="17" t="str">
        <f aca="false">IF(Data_Summary!Y429&lt;&gt;"Coverage","",IF(Data_Summary!AA429="","",IF(COUNTIFS(Data_Summary!$Y$2:$Y429,"Coverage",Data_Summary!$AA$2:$AA429,Data_Summary!AA429)=1,Data_Summary!AA429,"")))</f>
        <v/>
      </c>
      <c r="AK428" s="17" t="str">
        <f aca="false">IF(AJ428="","",COUNTIFS(Data_Summary!$Y$2:$Y$20001,"Coverage",Data_Summary!$AA$2:$AA$20001,AJ428))</f>
        <v/>
      </c>
    </row>
    <row r="429" customFormat="false" ht="12.75" hidden="false" customHeight="true" outlineLevel="0" collapsed="false">
      <c r="AJ429" s="17" t="str">
        <f aca="false">IF(Data_Summary!Y430&lt;&gt;"Coverage","",IF(Data_Summary!AA430="","",IF(COUNTIFS(Data_Summary!$Y$2:$Y430,"Coverage",Data_Summary!$AA$2:$AA430,Data_Summary!AA430)=1,Data_Summary!AA430,"")))</f>
        <v/>
      </c>
      <c r="AK429" s="17" t="str">
        <f aca="false">IF(AJ429="","",COUNTIFS(Data_Summary!$Y$2:$Y$20001,"Coverage",Data_Summary!$AA$2:$AA$20001,AJ429))</f>
        <v/>
      </c>
    </row>
    <row r="430" customFormat="false" ht="12.75" hidden="false" customHeight="true" outlineLevel="0" collapsed="false">
      <c r="AJ430" s="17" t="str">
        <f aca="false">IF(Data_Summary!Y431&lt;&gt;"Coverage","",IF(Data_Summary!AA431="","",IF(COUNTIFS(Data_Summary!$Y$2:$Y431,"Coverage",Data_Summary!$AA$2:$AA431,Data_Summary!AA431)=1,Data_Summary!AA431,"")))</f>
        <v/>
      </c>
      <c r="AK430" s="17" t="str">
        <f aca="false">IF(AJ430="","",COUNTIFS(Data_Summary!$Y$2:$Y$20001,"Coverage",Data_Summary!$AA$2:$AA$20001,AJ430))</f>
        <v/>
      </c>
    </row>
    <row r="431" customFormat="false" ht="12.75" hidden="false" customHeight="true" outlineLevel="0" collapsed="false">
      <c r="AJ431" s="17" t="str">
        <f aca="false">IF(Data_Summary!Y432&lt;&gt;"Coverage","",IF(Data_Summary!AA432="","",IF(COUNTIFS(Data_Summary!$Y$2:$Y432,"Coverage",Data_Summary!$AA$2:$AA432,Data_Summary!AA432)=1,Data_Summary!AA432,"")))</f>
        <v/>
      </c>
      <c r="AK431" s="17" t="str">
        <f aca="false">IF(AJ431="","",COUNTIFS(Data_Summary!$Y$2:$Y$20001,"Coverage",Data_Summary!$AA$2:$AA$20001,AJ431))</f>
        <v/>
      </c>
    </row>
    <row r="432" customFormat="false" ht="12.75" hidden="false" customHeight="true" outlineLevel="0" collapsed="false">
      <c r="AJ432" s="17" t="str">
        <f aca="false">IF(Data_Summary!Y433&lt;&gt;"Coverage","",IF(Data_Summary!AA433="","",IF(COUNTIFS(Data_Summary!$Y$2:$Y433,"Coverage",Data_Summary!$AA$2:$AA433,Data_Summary!AA433)=1,Data_Summary!AA433,"")))</f>
        <v/>
      </c>
      <c r="AK432" s="17" t="str">
        <f aca="false">IF(AJ432="","",COUNTIFS(Data_Summary!$Y$2:$Y$20001,"Coverage",Data_Summary!$AA$2:$AA$20001,AJ432))</f>
        <v/>
      </c>
    </row>
    <row r="433" customFormat="false" ht="12.75" hidden="false" customHeight="true" outlineLevel="0" collapsed="false">
      <c r="AJ433" s="17" t="str">
        <f aca="false">IF(Data_Summary!Y434&lt;&gt;"Coverage","",IF(Data_Summary!AA434="","",IF(COUNTIFS(Data_Summary!$Y$2:$Y434,"Coverage",Data_Summary!$AA$2:$AA434,Data_Summary!AA434)=1,Data_Summary!AA434,"")))</f>
        <v/>
      </c>
      <c r="AK433" s="17" t="str">
        <f aca="false">IF(AJ433="","",COUNTIFS(Data_Summary!$Y$2:$Y$20001,"Coverage",Data_Summary!$AA$2:$AA$20001,AJ433))</f>
        <v/>
      </c>
    </row>
    <row r="434" customFormat="false" ht="12.75" hidden="false" customHeight="true" outlineLevel="0" collapsed="false">
      <c r="AJ434" s="17" t="str">
        <f aca="false">IF(Data_Summary!Y435&lt;&gt;"Coverage","",IF(Data_Summary!AA435="","",IF(COUNTIFS(Data_Summary!$Y$2:$Y435,"Coverage",Data_Summary!$AA$2:$AA435,Data_Summary!AA435)=1,Data_Summary!AA435,"")))</f>
        <v/>
      </c>
      <c r="AK434" s="17" t="str">
        <f aca="false">IF(AJ434="","",COUNTIFS(Data_Summary!$Y$2:$Y$20001,"Coverage",Data_Summary!$AA$2:$AA$20001,AJ434))</f>
        <v/>
      </c>
    </row>
    <row r="435" customFormat="false" ht="12.75" hidden="false" customHeight="true" outlineLevel="0" collapsed="false">
      <c r="AJ435" s="17" t="str">
        <f aca="false">IF(Data_Summary!Y436&lt;&gt;"Coverage","",IF(Data_Summary!AA436="","",IF(COUNTIFS(Data_Summary!$Y$2:$Y436,"Coverage",Data_Summary!$AA$2:$AA436,Data_Summary!AA436)=1,Data_Summary!AA436,"")))</f>
        <v/>
      </c>
      <c r="AK435" s="17" t="str">
        <f aca="false">IF(AJ435="","",COUNTIFS(Data_Summary!$Y$2:$Y$20001,"Coverage",Data_Summary!$AA$2:$AA$20001,AJ435))</f>
        <v/>
      </c>
    </row>
    <row r="436" customFormat="false" ht="12.75" hidden="false" customHeight="true" outlineLevel="0" collapsed="false">
      <c r="AJ436" s="17" t="str">
        <f aca="false">IF(Data_Summary!Y437&lt;&gt;"Coverage","",IF(Data_Summary!AA437="","",IF(COUNTIFS(Data_Summary!$Y$2:$Y437,"Coverage",Data_Summary!$AA$2:$AA437,Data_Summary!AA437)=1,Data_Summary!AA437,"")))</f>
        <v/>
      </c>
      <c r="AK436" s="17" t="str">
        <f aca="false">IF(AJ436="","",COUNTIFS(Data_Summary!$Y$2:$Y$20001,"Coverage",Data_Summary!$AA$2:$AA$20001,AJ436))</f>
        <v/>
      </c>
    </row>
    <row r="437" customFormat="false" ht="12.75" hidden="false" customHeight="true" outlineLevel="0" collapsed="false">
      <c r="AJ437" s="17" t="str">
        <f aca="false">IF(Data_Summary!Y438&lt;&gt;"Coverage","",IF(Data_Summary!AA438="","",IF(COUNTIFS(Data_Summary!$Y$2:$Y438,"Coverage",Data_Summary!$AA$2:$AA438,Data_Summary!AA438)=1,Data_Summary!AA438,"")))</f>
        <v/>
      </c>
      <c r="AK437" s="17" t="str">
        <f aca="false">IF(AJ437="","",COUNTIFS(Data_Summary!$Y$2:$Y$20001,"Coverage",Data_Summary!$AA$2:$AA$20001,AJ437))</f>
        <v/>
      </c>
    </row>
    <row r="438" customFormat="false" ht="12.75" hidden="false" customHeight="true" outlineLevel="0" collapsed="false">
      <c r="AJ438" s="17" t="str">
        <f aca="false">IF(Data_Summary!Y439&lt;&gt;"Coverage","",IF(Data_Summary!AA439="","",IF(COUNTIFS(Data_Summary!$Y$2:$Y439,"Coverage",Data_Summary!$AA$2:$AA439,Data_Summary!AA439)=1,Data_Summary!AA439,"")))</f>
        <v/>
      </c>
      <c r="AK438" s="17" t="str">
        <f aca="false">IF(AJ438="","",COUNTIFS(Data_Summary!$Y$2:$Y$20001,"Coverage",Data_Summary!$AA$2:$AA$20001,AJ438))</f>
        <v/>
      </c>
    </row>
    <row r="439" customFormat="false" ht="12.75" hidden="false" customHeight="true" outlineLevel="0" collapsed="false">
      <c r="AJ439" s="17" t="str">
        <f aca="false">IF(Data_Summary!Y440&lt;&gt;"Coverage","",IF(Data_Summary!AA440="","",IF(COUNTIFS(Data_Summary!$Y$2:$Y440,"Coverage",Data_Summary!$AA$2:$AA440,Data_Summary!AA440)=1,Data_Summary!AA440,"")))</f>
        <v/>
      </c>
      <c r="AK439" s="17" t="str">
        <f aca="false">IF(AJ439="","",COUNTIFS(Data_Summary!$Y$2:$Y$20001,"Coverage",Data_Summary!$AA$2:$AA$20001,AJ439))</f>
        <v/>
      </c>
    </row>
    <row r="440" customFormat="false" ht="12.75" hidden="false" customHeight="true" outlineLevel="0" collapsed="false">
      <c r="AJ440" s="17" t="str">
        <f aca="false">IF(Data_Summary!Y441&lt;&gt;"Coverage","",IF(Data_Summary!AA441="","",IF(COUNTIFS(Data_Summary!$Y$2:$Y441,"Coverage",Data_Summary!$AA$2:$AA441,Data_Summary!AA441)=1,Data_Summary!AA441,"")))</f>
        <v/>
      </c>
      <c r="AK440" s="17" t="str">
        <f aca="false">IF(AJ440="","",COUNTIFS(Data_Summary!$Y$2:$Y$20001,"Coverage",Data_Summary!$AA$2:$AA$20001,AJ440))</f>
        <v/>
      </c>
    </row>
    <row r="441" customFormat="false" ht="12.75" hidden="false" customHeight="true" outlineLevel="0" collapsed="false">
      <c r="AJ441" s="17" t="str">
        <f aca="false">IF(Data_Summary!Y442&lt;&gt;"Coverage","",IF(Data_Summary!AA442="","",IF(COUNTIFS(Data_Summary!$Y$2:$Y442,"Coverage",Data_Summary!$AA$2:$AA442,Data_Summary!AA442)=1,Data_Summary!AA442,"")))</f>
        <v/>
      </c>
      <c r="AK441" s="17" t="str">
        <f aca="false">IF(AJ441="","",COUNTIFS(Data_Summary!$Y$2:$Y$20001,"Coverage",Data_Summary!$AA$2:$AA$20001,AJ441))</f>
        <v/>
      </c>
    </row>
    <row r="442" customFormat="false" ht="12.75" hidden="false" customHeight="true" outlineLevel="0" collapsed="false">
      <c r="AJ442" s="17" t="str">
        <f aca="false">IF(Data_Summary!Y443&lt;&gt;"Coverage","",IF(Data_Summary!AA443="","",IF(COUNTIFS(Data_Summary!$Y$2:$Y443,"Coverage",Data_Summary!$AA$2:$AA443,Data_Summary!AA443)=1,Data_Summary!AA443,"")))</f>
        <v/>
      </c>
      <c r="AK442" s="17" t="str">
        <f aca="false">IF(AJ442="","",COUNTIFS(Data_Summary!$Y$2:$Y$20001,"Coverage",Data_Summary!$AA$2:$AA$20001,AJ442))</f>
        <v/>
      </c>
    </row>
    <row r="443" customFormat="false" ht="12.75" hidden="false" customHeight="true" outlineLevel="0" collapsed="false">
      <c r="AJ443" s="17" t="str">
        <f aca="false">IF(Data_Summary!Y444&lt;&gt;"Coverage","",IF(Data_Summary!AA444="","",IF(COUNTIFS(Data_Summary!$Y$2:$Y444,"Coverage",Data_Summary!$AA$2:$AA444,Data_Summary!AA444)=1,Data_Summary!AA444,"")))</f>
        <v/>
      </c>
      <c r="AK443" s="17" t="str">
        <f aca="false">IF(AJ443="","",COUNTIFS(Data_Summary!$Y$2:$Y$20001,"Coverage",Data_Summary!$AA$2:$AA$20001,AJ443))</f>
        <v/>
      </c>
    </row>
    <row r="444" customFormat="false" ht="12.75" hidden="false" customHeight="true" outlineLevel="0" collapsed="false">
      <c r="AJ444" s="17" t="str">
        <f aca="false">IF(Data_Summary!Y445&lt;&gt;"Coverage","",IF(Data_Summary!AA445="","",IF(COUNTIFS(Data_Summary!$Y$2:$Y445,"Coverage",Data_Summary!$AA$2:$AA445,Data_Summary!AA445)=1,Data_Summary!AA445,"")))</f>
        <v/>
      </c>
      <c r="AK444" s="17" t="str">
        <f aca="false">IF(AJ444="","",COUNTIFS(Data_Summary!$Y$2:$Y$20001,"Coverage",Data_Summary!$AA$2:$AA$20001,AJ444))</f>
        <v/>
      </c>
    </row>
    <row r="445" customFormat="false" ht="12.75" hidden="false" customHeight="true" outlineLevel="0" collapsed="false">
      <c r="AJ445" s="17" t="str">
        <f aca="false">IF(Data_Summary!Y446&lt;&gt;"Coverage","",IF(Data_Summary!AA446="","",IF(COUNTIFS(Data_Summary!$Y$2:$Y446,"Coverage",Data_Summary!$AA$2:$AA446,Data_Summary!AA446)=1,Data_Summary!AA446,"")))</f>
        <v/>
      </c>
      <c r="AK445" s="17" t="str">
        <f aca="false">IF(AJ445="","",COUNTIFS(Data_Summary!$Y$2:$Y$20001,"Coverage",Data_Summary!$AA$2:$AA$20001,AJ445))</f>
        <v/>
      </c>
    </row>
    <row r="446" customFormat="false" ht="12.75" hidden="false" customHeight="true" outlineLevel="0" collapsed="false">
      <c r="AJ446" s="17" t="str">
        <f aca="false">IF(Data_Summary!Y447&lt;&gt;"Coverage","",IF(Data_Summary!AA447="","",IF(COUNTIFS(Data_Summary!$Y$2:$Y447,"Coverage",Data_Summary!$AA$2:$AA447,Data_Summary!AA447)=1,Data_Summary!AA447,"")))</f>
        <v/>
      </c>
      <c r="AK446" s="17" t="str">
        <f aca="false">IF(AJ446="","",COUNTIFS(Data_Summary!$Y$2:$Y$20001,"Coverage",Data_Summary!$AA$2:$AA$20001,AJ446))</f>
        <v/>
      </c>
    </row>
    <row r="447" customFormat="false" ht="12.75" hidden="false" customHeight="true" outlineLevel="0" collapsed="false">
      <c r="AJ447" s="17" t="str">
        <f aca="false">IF(Data_Summary!Y448&lt;&gt;"Coverage","",IF(Data_Summary!AA448="","",IF(COUNTIFS(Data_Summary!$Y$2:$Y448,"Coverage",Data_Summary!$AA$2:$AA448,Data_Summary!AA448)=1,Data_Summary!AA448,"")))</f>
        <v>NA</v>
      </c>
      <c r="AK447" s="17" t="n">
        <f aca="false">IF(AJ447="","",COUNTIFS(Data_Summary!$Y$2:$Y$20001,"Coverage",Data_Summary!$AA$2:$AA$20001,AJ447))</f>
        <v>3</v>
      </c>
    </row>
    <row r="448" customFormat="false" ht="12.75" hidden="false" customHeight="true" outlineLevel="0" collapsed="false">
      <c r="AJ448" s="17" t="str">
        <f aca="false">IF(Data_Summary!Y449&lt;&gt;"Coverage","",IF(Data_Summary!AA449="","",IF(COUNTIFS(Data_Summary!$Y$2:$Y449,"Coverage",Data_Summary!$AA$2:$AA449,Data_Summary!AA449)=1,Data_Summary!AA449,"")))</f>
        <v>Action Closure Discipline</v>
      </c>
      <c r="AK448" s="17" t="n">
        <f aca="false">IF(AJ448="","",COUNTIFS(Data_Summary!$Y$2:$Y$20001,"Coverage",Data_Summary!$AA$2:$AA$20001,AJ448))</f>
        <v>6</v>
      </c>
    </row>
    <row r="449" customFormat="false" ht="12.75" hidden="false" customHeight="true" outlineLevel="0" collapsed="false">
      <c r="AJ449" s="17" t="str">
        <f aca="false">IF(Data_Summary!Y450&lt;&gt;"Coverage","",IF(Data_Summary!AA450="","",IF(COUNTIFS(Data_Summary!$Y$2:$Y450,"Coverage",Data_Summary!$AA$2:$AA450,Data_Summary!AA450)=1,Data_Summary!AA450,"")))</f>
        <v/>
      </c>
      <c r="AK449" s="17" t="str">
        <f aca="false">IF(AJ449="","",COUNTIFS(Data_Summary!$Y$2:$Y$20001,"Coverage",Data_Summary!$AA$2:$AA$20001,AJ449))</f>
        <v/>
      </c>
    </row>
    <row r="450" customFormat="false" ht="12.75" hidden="false" customHeight="true" outlineLevel="0" collapsed="false">
      <c r="AJ450" s="17" t="str">
        <f aca="false">IF(Data_Summary!Y451&lt;&gt;"Coverage","",IF(Data_Summary!AA451="","",IF(COUNTIFS(Data_Summary!$Y$2:$Y451,"Coverage",Data_Summary!$AA$2:$AA451,Data_Summary!AA451)=1,Data_Summary!AA451,"")))</f>
        <v/>
      </c>
      <c r="AK450" s="17" t="str">
        <f aca="false">IF(AJ450="","",COUNTIFS(Data_Summary!$Y$2:$Y$20001,"Coverage",Data_Summary!$AA$2:$AA$20001,AJ450))</f>
        <v/>
      </c>
    </row>
    <row r="451" customFormat="false" ht="12.75" hidden="false" customHeight="true" outlineLevel="0" collapsed="false">
      <c r="AJ451" s="17" t="str">
        <f aca="false">IF(Data_Summary!Y452&lt;&gt;"Coverage","",IF(Data_Summary!AA452="","",IF(COUNTIFS(Data_Summary!$Y$2:$Y452,"Coverage",Data_Summary!$AA$2:$AA452,Data_Summary!AA452)=1,Data_Summary!AA452,"")))</f>
        <v/>
      </c>
      <c r="AK451" s="17" t="str">
        <f aca="false">IF(AJ451="","",COUNTIFS(Data_Summary!$Y$2:$Y$20001,"Coverage",Data_Summary!$AA$2:$AA$20001,AJ451))</f>
        <v/>
      </c>
    </row>
    <row r="452" customFormat="false" ht="12.75" hidden="false" customHeight="true" outlineLevel="0" collapsed="false">
      <c r="AJ452" s="17" t="str">
        <f aca="false">IF(Data_Summary!Y453&lt;&gt;"Coverage","",IF(Data_Summary!AA453="","",IF(COUNTIFS(Data_Summary!$Y$2:$Y453,"Coverage",Data_Summary!$AA$2:$AA453,Data_Summary!AA453)=1,Data_Summary!AA453,"")))</f>
        <v/>
      </c>
      <c r="AK452" s="17" t="str">
        <f aca="false">IF(AJ452="","",COUNTIFS(Data_Summary!$Y$2:$Y$20001,"Coverage",Data_Summary!$AA$2:$AA$20001,AJ452))</f>
        <v/>
      </c>
    </row>
    <row r="453" customFormat="false" ht="12.75" hidden="false" customHeight="true" outlineLevel="0" collapsed="false">
      <c r="AJ453" s="17" t="str">
        <f aca="false">IF(Data_Summary!Y454&lt;&gt;"Coverage","",IF(Data_Summary!AA454="","",IF(COUNTIFS(Data_Summary!$Y$2:$Y454,"Coverage",Data_Summary!$AA$2:$AA454,Data_Summary!AA454)=1,Data_Summary!AA454,"")))</f>
        <v/>
      </c>
      <c r="AK453" s="17" t="str">
        <f aca="false">IF(AJ453="","",COUNTIFS(Data_Summary!$Y$2:$Y$20001,"Coverage",Data_Summary!$AA$2:$AA$20001,AJ453))</f>
        <v/>
      </c>
    </row>
    <row r="454" customFormat="false" ht="12.75" hidden="false" customHeight="true" outlineLevel="0" collapsed="false">
      <c r="AJ454" s="17" t="str">
        <f aca="false">IF(Data_Summary!Y455&lt;&gt;"Coverage","",IF(Data_Summary!AA455="","",IF(COUNTIFS(Data_Summary!$Y$2:$Y455,"Coverage",Data_Summary!$AA$2:$AA455,Data_Summary!AA455)=1,Data_Summary!AA455,"")))</f>
        <v/>
      </c>
      <c r="AK454" s="17" t="str">
        <f aca="false">IF(AJ454="","",COUNTIFS(Data_Summary!$Y$2:$Y$20001,"Coverage",Data_Summary!$AA$2:$AA$20001,AJ454))</f>
        <v/>
      </c>
    </row>
    <row r="455" customFormat="false" ht="12.75" hidden="false" customHeight="true" outlineLevel="0" collapsed="false">
      <c r="AJ455" s="17" t="str">
        <f aca="false">IF(Data_Summary!Y456&lt;&gt;"Coverage","",IF(Data_Summary!AA456="","",IF(COUNTIFS(Data_Summary!$Y$2:$Y456,"Coverage",Data_Summary!$AA$2:$AA456,Data_Summary!AA456)=1,Data_Summary!AA456,"")))</f>
        <v/>
      </c>
      <c r="AK455" s="17" t="str">
        <f aca="false">IF(AJ455="","",COUNTIFS(Data_Summary!$Y$2:$Y$20001,"Coverage",Data_Summary!$AA$2:$AA$20001,AJ455))</f>
        <v/>
      </c>
    </row>
    <row r="456" customFormat="false" ht="12.75" hidden="false" customHeight="true" outlineLevel="0" collapsed="false">
      <c r="AJ456" s="17" t="str">
        <f aca="false">IF(Data_Summary!Y457&lt;&gt;"Coverage","",IF(Data_Summary!AA457="","",IF(COUNTIFS(Data_Summary!$Y$2:$Y457,"Coverage",Data_Summary!$AA$2:$AA457,Data_Summary!AA457)=1,Data_Summary!AA457,"")))</f>
        <v/>
      </c>
      <c r="AK456" s="17" t="str">
        <f aca="false">IF(AJ456="","",COUNTIFS(Data_Summary!$Y$2:$Y$20001,"Coverage",Data_Summary!$AA$2:$AA$20001,AJ456))</f>
        <v/>
      </c>
    </row>
    <row r="457" customFormat="false" ht="12.75" hidden="false" customHeight="true" outlineLevel="0" collapsed="false">
      <c r="AJ457" s="17" t="str">
        <f aca="false">IF(Data_Summary!Y458&lt;&gt;"Coverage","",IF(Data_Summary!AA458="","",IF(COUNTIFS(Data_Summary!$Y$2:$Y458,"Coverage",Data_Summary!$AA$2:$AA458,Data_Summary!AA458)=1,Data_Summary!AA458,"")))</f>
        <v/>
      </c>
      <c r="AK457" s="17" t="str">
        <f aca="false">IF(AJ457="","",COUNTIFS(Data_Summary!$Y$2:$Y$20001,"Coverage",Data_Summary!$AA$2:$AA$20001,AJ457))</f>
        <v/>
      </c>
    </row>
    <row r="458" customFormat="false" ht="12.75" hidden="false" customHeight="true" outlineLevel="0" collapsed="false">
      <c r="AJ458" s="17" t="str">
        <f aca="false">IF(Data_Summary!Y459&lt;&gt;"Coverage","",IF(Data_Summary!AA459="","",IF(COUNTIFS(Data_Summary!$Y$2:$Y459,"Coverage",Data_Summary!$AA$2:$AA459,Data_Summary!AA459)=1,Data_Summary!AA459,"")))</f>
        <v/>
      </c>
      <c r="AK458" s="17" t="str">
        <f aca="false">IF(AJ458="","",COUNTIFS(Data_Summary!$Y$2:$Y$20001,"Coverage",Data_Summary!$AA$2:$AA$20001,AJ458))</f>
        <v/>
      </c>
    </row>
    <row r="459" customFormat="false" ht="12.75" hidden="false" customHeight="true" outlineLevel="0" collapsed="false">
      <c r="AJ459" s="17" t="str">
        <f aca="false">IF(Data_Summary!Y460&lt;&gt;"Coverage","",IF(Data_Summary!AA460="","",IF(COUNTIFS(Data_Summary!$Y$2:$Y460,"Coverage",Data_Summary!$AA$2:$AA460,Data_Summary!AA460)=1,Data_Summary!AA460,"")))</f>
        <v/>
      </c>
      <c r="AK459" s="17" t="str">
        <f aca="false">IF(AJ459="","",COUNTIFS(Data_Summary!$Y$2:$Y$20001,"Coverage",Data_Summary!$AA$2:$AA$20001,AJ459))</f>
        <v/>
      </c>
    </row>
    <row r="460" customFormat="false" ht="12.75" hidden="false" customHeight="true" outlineLevel="0" collapsed="false">
      <c r="AJ460" s="17" t="str">
        <f aca="false">IF(Data_Summary!Y461&lt;&gt;"Coverage","",IF(Data_Summary!AA461="","",IF(COUNTIFS(Data_Summary!$Y$2:$Y461,"Coverage",Data_Summary!$AA$2:$AA461,Data_Summary!AA461)=1,Data_Summary!AA461,"")))</f>
        <v/>
      </c>
      <c r="AK460" s="17" t="str">
        <f aca="false">IF(AJ460="","",COUNTIFS(Data_Summary!$Y$2:$Y$20001,"Coverage",Data_Summary!$AA$2:$AA$20001,AJ460))</f>
        <v/>
      </c>
    </row>
    <row r="461" customFormat="false" ht="12.75" hidden="false" customHeight="true" outlineLevel="0" collapsed="false">
      <c r="AJ461" s="17" t="str">
        <f aca="false">IF(Data_Summary!Y462&lt;&gt;"Coverage","",IF(Data_Summary!AA462="","",IF(COUNTIFS(Data_Summary!$Y$2:$Y462,"Coverage",Data_Summary!$AA$2:$AA462,Data_Summary!AA462)=1,Data_Summary!AA462,"")))</f>
        <v/>
      </c>
      <c r="AK461" s="17" t="str">
        <f aca="false">IF(AJ461="","",COUNTIFS(Data_Summary!$Y$2:$Y$20001,"Coverage",Data_Summary!$AA$2:$AA$20001,AJ461))</f>
        <v/>
      </c>
    </row>
    <row r="462" customFormat="false" ht="12.75" hidden="false" customHeight="true" outlineLevel="0" collapsed="false">
      <c r="AJ462" s="17" t="str">
        <f aca="false">IF(Data_Summary!Y463&lt;&gt;"Coverage","",IF(Data_Summary!AA463="","",IF(COUNTIFS(Data_Summary!$Y$2:$Y463,"Coverage",Data_Summary!$AA$2:$AA463,Data_Summary!AA463)=1,Data_Summary!AA463,"")))</f>
        <v/>
      </c>
      <c r="AK462" s="17" t="str">
        <f aca="false">IF(AJ462="","",COUNTIFS(Data_Summary!$Y$2:$Y$20001,"Coverage",Data_Summary!$AA$2:$AA$20001,AJ462))</f>
        <v/>
      </c>
    </row>
    <row r="463" customFormat="false" ht="12.75" hidden="false" customHeight="true" outlineLevel="0" collapsed="false">
      <c r="AJ463" s="17" t="str">
        <f aca="false">IF(Data_Summary!Y464&lt;&gt;"Coverage","",IF(Data_Summary!AA464="","",IF(COUNTIFS(Data_Summary!$Y$2:$Y464,"Coverage",Data_Summary!$AA$2:$AA464,Data_Summary!AA464)=1,Data_Summary!AA464,"")))</f>
        <v/>
      </c>
      <c r="AK463" s="17" t="str">
        <f aca="false">IF(AJ463="","",COUNTIFS(Data_Summary!$Y$2:$Y$20001,"Coverage",Data_Summary!$AA$2:$AA$20001,AJ463))</f>
        <v/>
      </c>
    </row>
    <row r="464" customFormat="false" ht="12.75" hidden="false" customHeight="true" outlineLevel="0" collapsed="false">
      <c r="AJ464" s="17" t="str">
        <f aca="false">IF(Data_Summary!Y465&lt;&gt;"Coverage","",IF(Data_Summary!AA465="","",IF(COUNTIFS(Data_Summary!$Y$2:$Y465,"Coverage",Data_Summary!$AA$2:$AA465,Data_Summary!AA465)=1,Data_Summary!AA465,"")))</f>
        <v/>
      </c>
      <c r="AK464" s="17" t="str">
        <f aca="false">IF(AJ464="","",COUNTIFS(Data_Summary!$Y$2:$Y$20001,"Coverage",Data_Summary!$AA$2:$AA$20001,AJ464))</f>
        <v/>
      </c>
    </row>
    <row r="465" customFormat="false" ht="12.75" hidden="false" customHeight="true" outlineLevel="0" collapsed="false">
      <c r="AJ465" s="17" t="str">
        <f aca="false">IF(Data_Summary!Y466&lt;&gt;"Coverage","",IF(Data_Summary!AA466="","",IF(COUNTIFS(Data_Summary!$Y$2:$Y466,"Coverage",Data_Summary!$AA$2:$AA466,Data_Summary!AA466)=1,Data_Summary!AA466,"")))</f>
        <v/>
      </c>
      <c r="AK465" s="17" t="str">
        <f aca="false">IF(AJ465="","",COUNTIFS(Data_Summary!$Y$2:$Y$20001,"Coverage",Data_Summary!$AA$2:$AA$20001,AJ465))</f>
        <v/>
      </c>
    </row>
    <row r="466" customFormat="false" ht="12.75" hidden="false" customHeight="true" outlineLevel="0" collapsed="false">
      <c r="AJ466" s="17" t="str">
        <f aca="false">IF(Data_Summary!Y467&lt;&gt;"Coverage","",IF(Data_Summary!AA467="","",IF(COUNTIFS(Data_Summary!$Y$2:$Y467,"Coverage",Data_Summary!$AA$2:$AA467,Data_Summary!AA467)=1,Data_Summary!AA467,"")))</f>
        <v/>
      </c>
      <c r="AK466" s="17" t="str">
        <f aca="false">IF(AJ466="","",COUNTIFS(Data_Summary!$Y$2:$Y$20001,"Coverage",Data_Summary!$AA$2:$AA$20001,AJ466))</f>
        <v/>
      </c>
    </row>
    <row r="467" customFormat="false" ht="12.75" hidden="false" customHeight="true" outlineLevel="0" collapsed="false">
      <c r="AJ467" s="17" t="str">
        <f aca="false">IF(Data_Summary!Y468&lt;&gt;"Coverage","",IF(Data_Summary!AA468="","",IF(COUNTIFS(Data_Summary!$Y$2:$Y468,"Coverage",Data_Summary!$AA$2:$AA468,Data_Summary!AA468)=1,Data_Summary!AA468,"")))</f>
        <v/>
      </c>
      <c r="AK467" s="17" t="str">
        <f aca="false">IF(AJ467="","",COUNTIFS(Data_Summary!$Y$2:$Y$20001,"Coverage",Data_Summary!$AA$2:$AA$20001,AJ467))</f>
        <v/>
      </c>
    </row>
    <row r="468" customFormat="false" ht="12.75" hidden="false" customHeight="true" outlineLevel="0" collapsed="false">
      <c r="AJ468" s="17" t="str">
        <f aca="false">IF(Data_Summary!Y469&lt;&gt;"Coverage","",IF(Data_Summary!AA469="","",IF(COUNTIFS(Data_Summary!$Y$2:$Y469,"Coverage",Data_Summary!$AA$2:$AA469,Data_Summary!AA469)=1,Data_Summary!AA469,"")))</f>
        <v/>
      </c>
      <c r="AK468" s="17" t="str">
        <f aca="false">IF(AJ468="","",COUNTIFS(Data_Summary!$Y$2:$Y$20001,"Coverage",Data_Summary!$AA$2:$AA$20001,AJ468))</f>
        <v/>
      </c>
    </row>
    <row r="469" customFormat="false" ht="12.75" hidden="false" customHeight="true" outlineLevel="0" collapsed="false">
      <c r="AJ469" s="17" t="str">
        <f aca="false">IF(Data_Summary!Y470&lt;&gt;"Coverage","",IF(Data_Summary!AA470="","",IF(COUNTIFS(Data_Summary!$Y$2:$Y470,"Coverage",Data_Summary!$AA$2:$AA470,Data_Summary!AA470)=1,Data_Summary!AA470,"")))</f>
        <v/>
      </c>
      <c r="AK469" s="17" t="str">
        <f aca="false">IF(AJ469="","",COUNTIFS(Data_Summary!$Y$2:$Y$20001,"Coverage",Data_Summary!$AA$2:$AA$20001,AJ469))</f>
        <v/>
      </c>
    </row>
    <row r="470" customFormat="false" ht="12.75" hidden="false" customHeight="true" outlineLevel="0" collapsed="false">
      <c r="AJ470" s="17" t="str">
        <f aca="false">IF(Data_Summary!Y471&lt;&gt;"Coverage","",IF(Data_Summary!AA471="","",IF(COUNTIFS(Data_Summary!$Y$2:$Y471,"Coverage",Data_Summary!$AA$2:$AA471,Data_Summary!AA471)=1,Data_Summary!AA471,"")))</f>
        <v/>
      </c>
      <c r="AK470" s="17" t="str">
        <f aca="false">IF(AJ470="","",COUNTIFS(Data_Summary!$Y$2:$Y$20001,"Coverage",Data_Summary!$AA$2:$AA$20001,AJ470))</f>
        <v/>
      </c>
    </row>
    <row r="471" customFormat="false" ht="12.75" hidden="false" customHeight="true" outlineLevel="0" collapsed="false">
      <c r="AJ471" s="17" t="str">
        <f aca="false">IF(Data_Summary!Y472&lt;&gt;"Coverage","",IF(Data_Summary!AA472="","",IF(COUNTIFS(Data_Summary!$Y$2:$Y472,"Coverage",Data_Summary!$AA$2:$AA472,Data_Summary!AA472)=1,Data_Summary!AA472,"")))</f>
        <v/>
      </c>
      <c r="AK471" s="17" t="str">
        <f aca="false">IF(AJ471="","",COUNTIFS(Data_Summary!$Y$2:$Y$20001,"Coverage",Data_Summary!$AA$2:$AA$20001,AJ471))</f>
        <v/>
      </c>
    </row>
    <row r="472" customFormat="false" ht="12.75" hidden="false" customHeight="true" outlineLevel="0" collapsed="false">
      <c r="AJ472" s="17" t="str">
        <f aca="false">IF(Data_Summary!Y473&lt;&gt;"Coverage","",IF(Data_Summary!AA473="","",IF(COUNTIFS(Data_Summary!$Y$2:$Y473,"Coverage",Data_Summary!$AA$2:$AA473,Data_Summary!AA473)=1,Data_Summary!AA473,"")))</f>
        <v/>
      </c>
      <c r="AK472" s="17" t="str">
        <f aca="false">IF(AJ472="","",COUNTIFS(Data_Summary!$Y$2:$Y$20001,"Coverage",Data_Summary!$AA$2:$AA$20001,AJ472))</f>
        <v/>
      </c>
    </row>
    <row r="473" customFormat="false" ht="12.75" hidden="false" customHeight="true" outlineLevel="0" collapsed="false">
      <c r="AJ473" s="17" t="str">
        <f aca="false">IF(Data_Summary!Y474&lt;&gt;"Coverage","",IF(Data_Summary!AA474="","",IF(COUNTIFS(Data_Summary!$Y$2:$Y474,"Coverage",Data_Summary!$AA$2:$AA474,Data_Summary!AA474)=1,Data_Summary!AA474,"")))</f>
        <v/>
      </c>
      <c r="AK473" s="17" t="str">
        <f aca="false">IF(AJ473="","",COUNTIFS(Data_Summary!$Y$2:$Y$20001,"Coverage",Data_Summary!$AA$2:$AA$20001,AJ473))</f>
        <v/>
      </c>
    </row>
    <row r="474" customFormat="false" ht="12.75" hidden="false" customHeight="true" outlineLevel="0" collapsed="false">
      <c r="AJ474" s="17" t="str">
        <f aca="false">IF(Data_Summary!Y475&lt;&gt;"Coverage","",IF(Data_Summary!AA475="","",IF(COUNTIFS(Data_Summary!$Y$2:$Y475,"Coverage",Data_Summary!$AA$2:$AA475,Data_Summary!AA475)=1,Data_Summary!AA475,"")))</f>
        <v/>
      </c>
      <c r="AK474" s="17" t="str">
        <f aca="false">IF(AJ474="","",COUNTIFS(Data_Summary!$Y$2:$Y$20001,"Coverage",Data_Summary!$AA$2:$AA$20001,AJ474))</f>
        <v/>
      </c>
    </row>
    <row r="475" customFormat="false" ht="12.75" hidden="false" customHeight="true" outlineLevel="0" collapsed="false">
      <c r="AJ475" s="17" t="str">
        <f aca="false">IF(Data_Summary!Y476&lt;&gt;"Coverage","",IF(Data_Summary!AA476="","",IF(COUNTIFS(Data_Summary!$Y$2:$Y476,"Coverage",Data_Summary!$AA$2:$AA476,Data_Summary!AA476)=1,Data_Summary!AA476,"")))</f>
        <v/>
      </c>
      <c r="AK475" s="17" t="str">
        <f aca="false">IF(AJ475="","",COUNTIFS(Data_Summary!$Y$2:$Y$20001,"Coverage",Data_Summary!$AA$2:$AA$20001,AJ475))</f>
        <v/>
      </c>
    </row>
    <row r="476" customFormat="false" ht="12.75" hidden="false" customHeight="true" outlineLevel="0" collapsed="false">
      <c r="AJ476" s="17" t="str">
        <f aca="false">IF(Data_Summary!Y477&lt;&gt;"Coverage","",IF(Data_Summary!AA477="","",IF(COUNTIFS(Data_Summary!$Y$2:$Y477,"Coverage",Data_Summary!$AA$2:$AA477,Data_Summary!AA477)=1,Data_Summary!AA477,"")))</f>
        <v/>
      </c>
      <c r="AK476" s="17" t="str">
        <f aca="false">IF(AJ476="","",COUNTIFS(Data_Summary!$Y$2:$Y$20001,"Coverage",Data_Summary!$AA$2:$AA$20001,AJ476))</f>
        <v/>
      </c>
    </row>
    <row r="477" customFormat="false" ht="12.75" hidden="false" customHeight="true" outlineLevel="0" collapsed="false">
      <c r="AJ477" s="17" t="str">
        <f aca="false">IF(Data_Summary!Y478&lt;&gt;"Coverage","",IF(Data_Summary!AA478="","",IF(COUNTIFS(Data_Summary!$Y$2:$Y478,"Coverage",Data_Summary!$AA$2:$AA478,Data_Summary!AA478)=1,Data_Summary!AA478,"")))</f>
        <v/>
      </c>
      <c r="AK477" s="17" t="str">
        <f aca="false">IF(AJ477="","",COUNTIFS(Data_Summary!$Y$2:$Y$20001,"Coverage",Data_Summary!$AA$2:$AA$20001,AJ477))</f>
        <v/>
      </c>
    </row>
    <row r="478" customFormat="false" ht="12.75" hidden="false" customHeight="true" outlineLevel="0" collapsed="false">
      <c r="AJ478" s="17" t="str">
        <f aca="false">IF(Data_Summary!Y479&lt;&gt;"Coverage","",IF(Data_Summary!AA479="","",IF(COUNTIFS(Data_Summary!$Y$2:$Y479,"Coverage",Data_Summary!$AA$2:$AA479,Data_Summary!AA479)=1,Data_Summary!AA479,"")))</f>
        <v/>
      </c>
      <c r="AK478" s="17" t="str">
        <f aca="false">IF(AJ478="","",COUNTIFS(Data_Summary!$Y$2:$Y$20001,"Coverage",Data_Summary!$AA$2:$AA$20001,AJ478))</f>
        <v/>
      </c>
    </row>
    <row r="479" customFormat="false" ht="12.75" hidden="false" customHeight="true" outlineLevel="0" collapsed="false">
      <c r="AJ479" s="17" t="str">
        <f aca="false">IF(Data_Summary!Y480&lt;&gt;"Coverage","",IF(Data_Summary!AA480="","",IF(COUNTIFS(Data_Summary!$Y$2:$Y480,"Coverage",Data_Summary!$AA$2:$AA480,Data_Summary!AA480)=1,Data_Summary!AA480,"")))</f>
        <v/>
      </c>
      <c r="AK479" s="17" t="str">
        <f aca="false">IF(AJ479="","",COUNTIFS(Data_Summary!$Y$2:$Y$20001,"Coverage",Data_Summary!$AA$2:$AA$20001,AJ479))</f>
        <v/>
      </c>
    </row>
    <row r="480" customFormat="false" ht="12.75" hidden="false" customHeight="true" outlineLevel="0" collapsed="false">
      <c r="AJ480" s="17" t="str">
        <f aca="false">IF(Data_Summary!Y481&lt;&gt;"Coverage","",IF(Data_Summary!AA481="","",IF(COUNTIFS(Data_Summary!$Y$2:$Y481,"Coverage",Data_Summary!$AA$2:$AA481,Data_Summary!AA481)=1,Data_Summary!AA481,"")))</f>
        <v/>
      </c>
      <c r="AK480" s="17" t="str">
        <f aca="false">IF(AJ480="","",COUNTIFS(Data_Summary!$Y$2:$Y$20001,"Coverage",Data_Summary!$AA$2:$AA$20001,AJ480))</f>
        <v/>
      </c>
    </row>
    <row r="481" customFormat="false" ht="12.75" hidden="false" customHeight="true" outlineLevel="0" collapsed="false">
      <c r="AJ481" s="17" t="str">
        <f aca="false">IF(Data_Summary!Y482&lt;&gt;"Coverage","",IF(Data_Summary!AA482="","",IF(COUNTIFS(Data_Summary!$Y$2:$Y482,"Coverage",Data_Summary!$AA$2:$AA482,Data_Summary!AA482)=1,Data_Summary!AA482,"")))</f>
        <v/>
      </c>
      <c r="AK481" s="17" t="str">
        <f aca="false">IF(AJ481="","",COUNTIFS(Data_Summary!$Y$2:$Y$20001,"Coverage",Data_Summary!$AA$2:$AA$20001,AJ481))</f>
        <v/>
      </c>
    </row>
    <row r="482" customFormat="false" ht="12.75" hidden="false" customHeight="true" outlineLevel="0" collapsed="false">
      <c r="AJ482" s="17" t="str">
        <f aca="false">IF(Data_Summary!Y483&lt;&gt;"Coverage","",IF(Data_Summary!AA483="","",IF(COUNTIFS(Data_Summary!$Y$2:$Y483,"Coverage",Data_Summary!$AA$2:$AA483,Data_Summary!AA483)=1,Data_Summary!AA483,"")))</f>
        <v/>
      </c>
      <c r="AK482" s="17" t="str">
        <f aca="false">IF(AJ482="","",COUNTIFS(Data_Summary!$Y$2:$Y$20001,"Coverage",Data_Summary!$AA$2:$AA$20001,AJ482))</f>
        <v/>
      </c>
    </row>
    <row r="483" customFormat="false" ht="12.75" hidden="false" customHeight="true" outlineLevel="0" collapsed="false">
      <c r="AJ483" s="17" t="str">
        <f aca="false">IF(Data_Summary!Y484&lt;&gt;"Coverage","",IF(Data_Summary!AA484="","",IF(COUNTIFS(Data_Summary!$Y$2:$Y484,"Coverage",Data_Summary!$AA$2:$AA484,Data_Summary!AA484)=1,Data_Summary!AA484,"")))</f>
        <v/>
      </c>
      <c r="AK483" s="17" t="str">
        <f aca="false">IF(AJ483="","",COUNTIFS(Data_Summary!$Y$2:$Y$20001,"Coverage",Data_Summary!$AA$2:$AA$20001,AJ483))</f>
        <v/>
      </c>
    </row>
    <row r="484" customFormat="false" ht="12.75" hidden="false" customHeight="true" outlineLevel="0" collapsed="false">
      <c r="AJ484" s="17" t="str">
        <f aca="false">IF(Data_Summary!Y485&lt;&gt;"Coverage","",IF(Data_Summary!AA485="","",IF(COUNTIFS(Data_Summary!$Y$2:$Y485,"Coverage",Data_Summary!$AA$2:$AA485,Data_Summary!AA485)=1,Data_Summary!AA485,"")))</f>
        <v/>
      </c>
      <c r="AK484" s="17" t="str">
        <f aca="false">IF(AJ484="","",COUNTIFS(Data_Summary!$Y$2:$Y$20001,"Coverage",Data_Summary!$AA$2:$AA$20001,AJ484))</f>
        <v/>
      </c>
    </row>
    <row r="485" customFormat="false" ht="12.75" hidden="false" customHeight="true" outlineLevel="0" collapsed="false">
      <c r="AJ485" s="17" t="str">
        <f aca="false">IF(Data_Summary!Y486&lt;&gt;"Coverage","",IF(Data_Summary!AA486="","",IF(COUNTIFS(Data_Summary!$Y$2:$Y486,"Coverage",Data_Summary!$AA$2:$AA486,Data_Summary!AA486)=1,Data_Summary!AA486,"")))</f>
        <v/>
      </c>
      <c r="AK485" s="17" t="str">
        <f aca="false">IF(AJ485="","",COUNTIFS(Data_Summary!$Y$2:$Y$20001,"Coverage",Data_Summary!$AA$2:$AA$20001,AJ485))</f>
        <v/>
      </c>
    </row>
    <row r="486" customFormat="false" ht="12.75" hidden="false" customHeight="true" outlineLevel="0" collapsed="false">
      <c r="AJ486" s="17" t="str">
        <f aca="false">IF(Data_Summary!Y487&lt;&gt;"Coverage","",IF(Data_Summary!AA487="","",IF(COUNTIFS(Data_Summary!$Y$2:$Y487,"Coverage",Data_Summary!$AA$2:$AA487,Data_Summary!AA487)=1,Data_Summary!AA487,"")))</f>
        <v/>
      </c>
      <c r="AK486" s="17" t="str">
        <f aca="false">IF(AJ486="","",COUNTIFS(Data_Summary!$Y$2:$Y$20001,"Coverage",Data_Summary!$AA$2:$AA$20001,AJ486))</f>
        <v/>
      </c>
    </row>
    <row r="487" customFormat="false" ht="12.75" hidden="false" customHeight="true" outlineLevel="0" collapsed="false">
      <c r="AJ487" s="17" t="str">
        <f aca="false">IF(Data_Summary!Y488&lt;&gt;"Coverage","",IF(Data_Summary!AA488="","",IF(COUNTIFS(Data_Summary!$Y$2:$Y488,"Coverage",Data_Summary!$AA$2:$AA488,Data_Summary!AA488)=1,Data_Summary!AA488,"")))</f>
        <v/>
      </c>
      <c r="AK487" s="17" t="str">
        <f aca="false">IF(AJ487="","",COUNTIFS(Data_Summary!$Y$2:$Y$20001,"Coverage",Data_Summary!$AA$2:$AA$20001,AJ487))</f>
        <v/>
      </c>
    </row>
    <row r="488" customFormat="false" ht="12.75" hidden="false" customHeight="true" outlineLevel="0" collapsed="false">
      <c r="AJ488" s="17" t="str">
        <f aca="false">IF(Data_Summary!Y489&lt;&gt;"Coverage","",IF(Data_Summary!AA489="","",IF(COUNTIFS(Data_Summary!$Y$2:$Y489,"Coverage",Data_Summary!$AA$2:$AA489,Data_Summary!AA489)=1,Data_Summary!AA489,"")))</f>
        <v/>
      </c>
      <c r="AK488" s="17" t="str">
        <f aca="false">IF(AJ488="","",COUNTIFS(Data_Summary!$Y$2:$Y$20001,"Coverage",Data_Summary!$AA$2:$AA$20001,AJ488))</f>
        <v/>
      </c>
    </row>
    <row r="489" customFormat="false" ht="12.75" hidden="false" customHeight="true" outlineLevel="0" collapsed="false">
      <c r="AJ489" s="17" t="str">
        <f aca="false">IF(Data_Summary!Y490&lt;&gt;"Coverage","",IF(Data_Summary!AA490="","",IF(COUNTIFS(Data_Summary!$Y$2:$Y490,"Coverage",Data_Summary!$AA$2:$AA490,Data_Summary!AA490)=1,Data_Summary!AA490,"")))</f>
        <v/>
      </c>
      <c r="AK489" s="17" t="str">
        <f aca="false">IF(AJ489="","",COUNTIFS(Data_Summary!$Y$2:$Y$20001,"Coverage",Data_Summary!$AA$2:$AA$20001,AJ489))</f>
        <v/>
      </c>
    </row>
    <row r="490" customFormat="false" ht="12.75" hidden="false" customHeight="true" outlineLevel="0" collapsed="false">
      <c r="AJ490" s="17" t="str">
        <f aca="false">IF(Data_Summary!Y491&lt;&gt;"Coverage","",IF(Data_Summary!AA491="","",IF(COUNTIFS(Data_Summary!$Y$2:$Y491,"Coverage",Data_Summary!$AA$2:$AA491,Data_Summary!AA491)=1,Data_Summary!AA491,"")))</f>
        <v/>
      </c>
      <c r="AK490" s="17" t="str">
        <f aca="false">IF(AJ490="","",COUNTIFS(Data_Summary!$Y$2:$Y$20001,"Coverage",Data_Summary!$AA$2:$AA$20001,AJ490))</f>
        <v/>
      </c>
    </row>
    <row r="491" customFormat="false" ht="12.75" hidden="false" customHeight="true" outlineLevel="0" collapsed="false">
      <c r="AJ491" s="17" t="str">
        <f aca="false">IF(Data_Summary!Y492&lt;&gt;"Coverage","",IF(Data_Summary!AA492="","",IF(COUNTIFS(Data_Summary!$Y$2:$Y492,"Coverage",Data_Summary!$AA$2:$AA492,Data_Summary!AA492)=1,Data_Summary!AA492,"")))</f>
        <v/>
      </c>
      <c r="AK491" s="17" t="str">
        <f aca="false">IF(AJ491="","",COUNTIFS(Data_Summary!$Y$2:$Y$20001,"Coverage",Data_Summary!$AA$2:$AA$20001,AJ491))</f>
        <v/>
      </c>
    </row>
    <row r="492" customFormat="false" ht="12.75" hidden="false" customHeight="true" outlineLevel="0" collapsed="false">
      <c r="AJ492" s="17" t="str">
        <f aca="false">IF(Data_Summary!Y493&lt;&gt;"Coverage","",IF(Data_Summary!AA493="","",IF(COUNTIFS(Data_Summary!$Y$2:$Y493,"Coverage",Data_Summary!$AA$2:$AA493,Data_Summary!AA493)=1,Data_Summary!AA493,"")))</f>
        <v/>
      </c>
      <c r="AK492" s="17" t="str">
        <f aca="false">IF(AJ492="","",COUNTIFS(Data_Summary!$Y$2:$Y$20001,"Coverage",Data_Summary!$AA$2:$AA$20001,AJ492))</f>
        <v/>
      </c>
    </row>
    <row r="493" customFormat="false" ht="12.75" hidden="false" customHeight="true" outlineLevel="0" collapsed="false">
      <c r="AJ493" s="17" t="str">
        <f aca="false">IF(Data_Summary!Y494&lt;&gt;"Coverage","",IF(Data_Summary!AA494="","",IF(COUNTIFS(Data_Summary!$Y$2:$Y494,"Coverage",Data_Summary!$AA$2:$AA494,Data_Summary!AA494)=1,Data_Summary!AA494,"")))</f>
        <v/>
      </c>
      <c r="AK493" s="17" t="str">
        <f aca="false">IF(AJ493="","",COUNTIFS(Data_Summary!$Y$2:$Y$20001,"Coverage",Data_Summary!$AA$2:$AA$20001,AJ493))</f>
        <v/>
      </c>
    </row>
    <row r="494" customFormat="false" ht="12.75" hidden="false" customHeight="true" outlineLevel="0" collapsed="false">
      <c r="AJ494" s="17" t="str">
        <f aca="false">IF(Data_Summary!Y495&lt;&gt;"Coverage","",IF(Data_Summary!AA495="","",IF(COUNTIFS(Data_Summary!$Y$2:$Y495,"Coverage",Data_Summary!$AA$2:$AA495,Data_Summary!AA495)=1,Data_Summary!AA495,"")))</f>
        <v/>
      </c>
      <c r="AK494" s="17" t="str">
        <f aca="false">IF(AJ494="","",COUNTIFS(Data_Summary!$Y$2:$Y$20001,"Coverage",Data_Summary!$AA$2:$AA$20001,AJ494))</f>
        <v/>
      </c>
    </row>
    <row r="495" customFormat="false" ht="12.75" hidden="false" customHeight="true" outlineLevel="0" collapsed="false">
      <c r="AJ495" s="17" t="str">
        <f aca="false">IF(Data_Summary!Y496&lt;&gt;"Coverage","",IF(Data_Summary!AA496="","",IF(COUNTIFS(Data_Summary!$Y$2:$Y496,"Coverage",Data_Summary!$AA$2:$AA496,Data_Summary!AA496)=1,Data_Summary!AA496,"")))</f>
        <v/>
      </c>
      <c r="AK495" s="17" t="str">
        <f aca="false">IF(AJ495="","",COUNTIFS(Data_Summary!$Y$2:$Y$20001,"Coverage",Data_Summary!$AA$2:$AA$20001,AJ495))</f>
        <v/>
      </c>
    </row>
    <row r="496" customFormat="false" ht="12.75" hidden="false" customHeight="true" outlineLevel="0" collapsed="false">
      <c r="AJ496" s="17" t="str">
        <f aca="false">IF(Data_Summary!Y497&lt;&gt;"Coverage","",IF(Data_Summary!AA497="","",IF(COUNTIFS(Data_Summary!$Y$2:$Y497,"Coverage",Data_Summary!$AA$2:$AA497,Data_Summary!AA497)=1,Data_Summary!AA497,"")))</f>
        <v/>
      </c>
      <c r="AK496" s="17" t="str">
        <f aca="false">IF(AJ496="","",COUNTIFS(Data_Summary!$Y$2:$Y$20001,"Coverage",Data_Summary!$AA$2:$AA$20001,AJ496))</f>
        <v/>
      </c>
    </row>
    <row r="497" customFormat="false" ht="12.75" hidden="false" customHeight="true" outlineLevel="0" collapsed="false">
      <c r="AJ497" s="17" t="str">
        <f aca="false">IF(Data_Summary!Y498&lt;&gt;"Coverage","",IF(Data_Summary!AA498="","",IF(COUNTIFS(Data_Summary!$Y$2:$Y498,"Coverage",Data_Summary!$AA$2:$AA498,Data_Summary!AA498)=1,Data_Summary!AA498,"")))</f>
        <v>Rating Calibration Call</v>
      </c>
      <c r="AK497" s="17" t="n">
        <f aca="false">IF(AJ497="","",COUNTIFS(Data_Summary!$Y$2:$Y$20001,"Coverage",Data_Summary!$AA$2:$AA$20001,AJ497))</f>
        <v>3</v>
      </c>
    </row>
    <row r="498" customFormat="false" ht="12.75" hidden="false" customHeight="true" outlineLevel="0" collapsed="false">
      <c r="AJ498" s="17" t="str">
        <f aca="false">IF(Data_Summary!Y499&lt;&gt;"Coverage","",IF(Data_Summary!AA499="","",IF(COUNTIFS(Data_Summary!$Y$2:$Y499,"Coverage",Data_Summary!$AA$2:$AA499,Data_Summary!AA499)=1,Data_Summary!AA499,"")))</f>
        <v>AI Workshop By Natesh</v>
      </c>
      <c r="AK498" s="17" t="n">
        <f aca="false">IF(AJ498="","",COUNTIFS(Data_Summary!$Y$2:$Y$20001,"Coverage",Data_Summary!$AA$2:$AA$20001,AJ498))</f>
        <v>9</v>
      </c>
    </row>
    <row r="499" customFormat="false" ht="12.75" hidden="false" customHeight="true" outlineLevel="0" collapsed="false">
      <c r="AJ499" s="17" t="str">
        <f aca="false">IF(Data_Summary!Y500&lt;&gt;"Coverage","",IF(Data_Summary!AA500="","",IF(COUNTIFS(Data_Summary!$Y$2:$Y500,"Coverage",Data_Summary!$AA$2:$AA500,Data_Summary!AA500)=1,Data_Summary!AA500,"")))</f>
        <v/>
      </c>
      <c r="AK499" s="17" t="str">
        <f aca="false">IF(AJ499="","",COUNTIFS(Data_Summary!$Y$2:$Y$20001,"Coverage",Data_Summary!$AA$2:$AA$20001,AJ499))</f>
        <v/>
      </c>
    </row>
    <row r="500" customFormat="false" ht="12.75" hidden="false" customHeight="true" outlineLevel="0" collapsed="false">
      <c r="AJ500" s="17" t="str">
        <f aca="false">IF(Data_Summary!Y501&lt;&gt;"Coverage","",IF(Data_Summary!AA501="","",IF(COUNTIFS(Data_Summary!$Y$2:$Y501,"Coverage",Data_Summary!$AA$2:$AA501,Data_Summary!AA501)=1,Data_Summary!AA501,"")))</f>
        <v/>
      </c>
      <c r="AK500" s="17" t="str">
        <f aca="false">IF(AJ500="","",COUNTIFS(Data_Summary!$Y$2:$Y$20001,"Coverage",Data_Summary!$AA$2:$AA$20001,AJ500))</f>
        <v/>
      </c>
    </row>
    <row r="501" customFormat="false" ht="12.75" hidden="false" customHeight="true" outlineLevel="0" collapsed="false">
      <c r="AJ501" s="17" t="str">
        <f aca="false">IF(Data_Summary!Y502&lt;&gt;"Coverage","",IF(Data_Summary!AA502="","",IF(COUNTIFS(Data_Summary!$Y$2:$Y502,"Coverage",Data_Summary!$AA$2:$AA502,Data_Summary!AA502)=1,Data_Summary!AA502,"")))</f>
        <v/>
      </c>
      <c r="AK501" s="17" t="str">
        <f aca="false">IF(AJ501="","",COUNTIFS(Data_Summary!$Y$2:$Y$20001,"Coverage",Data_Summary!$AA$2:$AA$20001,AJ501))</f>
        <v/>
      </c>
    </row>
    <row r="502" customFormat="false" ht="12.75" hidden="false" customHeight="true" outlineLevel="0" collapsed="false">
      <c r="AJ502" s="17" t="str">
        <f aca="false">IF(Data_Summary!Y503&lt;&gt;"Coverage","",IF(Data_Summary!AA503="","",IF(COUNTIFS(Data_Summary!$Y$2:$Y503,"Coverage",Data_Summary!$AA$2:$AA503,Data_Summary!AA503)=1,Data_Summary!AA503,"")))</f>
        <v/>
      </c>
      <c r="AK502" s="17" t="str">
        <f aca="false">IF(AJ502="","",COUNTIFS(Data_Summary!$Y$2:$Y$20001,"Coverage",Data_Summary!$AA$2:$AA$20001,AJ502))</f>
        <v/>
      </c>
    </row>
    <row r="503" customFormat="false" ht="12.75" hidden="false" customHeight="true" outlineLevel="0" collapsed="false">
      <c r="AJ503" s="17" t="str">
        <f aca="false">IF(Data_Summary!Y504&lt;&gt;"Coverage","",IF(Data_Summary!AA504="","",IF(COUNTIFS(Data_Summary!$Y$2:$Y504,"Coverage",Data_Summary!$AA$2:$AA504,Data_Summary!AA504)=1,Data_Summary!AA504,"")))</f>
        <v/>
      </c>
      <c r="AK503" s="17" t="str">
        <f aca="false">IF(AJ503="","",COUNTIFS(Data_Summary!$Y$2:$Y$20001,"Coverage",Data_Summary!$AA$2:$AA$20001,AJ503))</f>
        <v/>
      </c>
    </row>
    <row r="504" customFormat="false" ht="12.75" hidden="false" customHeight="true" outlineLevel="0" collapsed="false">
      <c r="AJ504" s="17" t="str">
        <f aca="false">IF(Data_Summary!Y505&lt;&gt;"Coverage","",IF(Data_Summary!AA505="","",IF(COUNTIFS(Data_Summary!$Y$2:$Y505,"Coverage",Data_Summary!$AA$2:$AA505,Data_Summary!AA505)=1,Data_Summary!AA505,"")))</f>
        <v/>
      </c>
      <c r="AK504" s="17" t="str">
        <f aca="false">IF(AJ504="","",COUNTIFS(Data_Summary!$Y$2:$Y$20001,"Coverage",Data_Summary!$AA$2:$AA$20001,AJ504))</f>
        <v/>
      </c>
    </row>
    <row r="505" customFormat="false" ht="12.75" hidden="false" customHeight="true" outlineLevel="0" collapsed="false">
      <c r="AJ505" s="17" t="str">
        <f aca="false">IF(Data_Summary!Y506&lt;&gt;"Coverage","",IF(Data_Summary!AA506="","",IF(COUNTIFS(Data_Summary!$Y$2:$Y506,"Coverage",Data_Summary!$AA$2:$AA506,Data_Summary!AA506)=1,Data_Summary!AA506,"")))</f>
        <v/>
      </c>
      <c r="AK505" s="17" t="str">
        <f aca="false">IF(AJ505="","",COUNTIFS(Data_Summary!$Y$2:$Y$20001,"Coverage",Data_Summary!$AA$2:$AA$20001,AJ505))</f>
        <v/>
      </c>
    </row>
    <row r="506" customFormat="false" ht="12.75" hidden="false" customHeight="true" outlineLevel="0" collapsed="false">
      <c r="AJ506" s="17" t="str">
        <f aca="false">IF(Data_Summary!Y507&lt;&gt;"Coverage","",IF(Data_Summary!AA507="","",IF(COUNTIFS(Data_Summary!$Y$2:$Y507,"Coverage",Data_Summary!$AA$2:$AA507,Data_Summary!AA507)=1,Data_Summary!AA507,"")))</f>
        <v/>
      </c>
      <c r="AK506" s="17" t="str">
        <f aca="false">IF(AJ506="","",COUNTIFS(Data_Summary!$Y$2:$Y$20001,"Coverage",Data_Summary!$AA$2:$AA$20001,AJ506))</f>
        <v/>
      </c>
    </row>
    <row r="507" customFormat="false" ht="12.75" hidden="false" customHeight="true" outlineLevel="0" collapsed="false">
      <c r="AJ507" s="17" t="str">
        <f aca="false">IF(Data_Summary!Y508&lt;&gt;"Coverage","",IF(Data_Summary!AA508="","",IF(COUNTIFS(Data_Summary!$Y$2:$Y508,"Coverage",Data_Summary!$AA$2:$AA508,Data_Summary!AA508)=1,Data_Summary!AA508,"")))</f>
        <v/>
      </c>
      <c r="AK507" s="17" t="str">
        <f aca="false">IF(AJ507="","",COUNTIFS(Data_Summary!$Y$2:$Y$20001,"Coverage",Data_Summary!$AA$2:$AA$20001,AJ507))</f>
        <v/>
      </c>
    </row>
    <row r="508" customFormat="false" ht="12.75" hidden="false" customHeight="true" outlineLevel="0" collapsed="false">
      <c r="AJ508" s="17" t="str">
        <f aca="false">IF(Data_Summary!Y509&lt;&gt;"Coverage","",IF(Data_Summary!AA509="","",IF(COUNTIFS(Data_Summary!$Y$2:$Y509,"Coverage",Data_Summary!$AA$2:$AA509,Data_Summary!AA509)=1,Data_Summary!AA509,"")))</f>
        <v/>
      </c>
      <c r="AK508" s="17" t="str">
        <f aca="false">IF(AJ508="","",COUNTIFS(Data_Summary!$Y$2:$Y$20001,"Coverage",Data_Summary!$AA$2:$AA$20001,AJ508))</f>
        <v/>
      </c>
    </row>
    <row r="509" customFormat="false" ht="12.75" hidden="false" customHeight="true" outlineLevel="0" collapsed="false">
      <c r="AJ509" s="17" t="str">
        <f aca="false">IF(Data_Summary!Y510&lt;&gt;"Coverage","",IF(Data_Summary!AA510="","",IF(COUNTIFS(Data_Summary!$Y$2:$Y510,"Coverage",Data_Summary!$AA$2:$AA510,Data_Summary!AA510)=1,Data_Summary!AA510,"")))</f>
        <v/>
      </c>
      <c r="AK509" s="17" t="str">
        <f aca="false">IF(AJ509="","",COUNTIFS(Data_Summary!$Y$2:$Y$20001,"Coverage",Data_Summary!$AA$2:$AA$20001,AJ509))</f>
        <v/>
      </c>
    </row>
    <row r="510" customFormat="false" ht="12.75" hidden="false" customHeight="true" outlineLevel="0" collapsed="false">
      <c r="AJ510" s="17" t="str">
        <f aca="false">IF(Data_Summary!Y511&lt;&gt;"Coverage","",IF(Data_Summary!AA511="","",IF(COUNTIFS(Data_Summary!$Y$2:$Y511,"Coverage",Data_Summary!$AA$2:$AA511,Data_Summary!AA511)=1,Data_Summary!AA511,"")))</f>
        <v/>
      </c>
      <c r="AK510" s="17" t="str">
        <f aca="false">IF(AJ510="","",COUNTIFS(Data_Summary!$Y$2:$Y$20001,"Coverage",Data_Summary!$AA$2:$AA$20001,AJ510))</f>
        <v/>
      </c>
    </row>
    <row r="511" customFormat="false" ht="12.75" hidden="false" customHeight="true" outlineLevel="0" collapsed="false">
      <c r="AJ511" s="17" t="str">
        <f aca="false">IF(Data_Summary!Y512&lt;&gt;"Coverage","",IF(Data_Summary!AA512="","",IF(COUNTIFS(Data_Summary!$Y$2:$Y512,"Coverage",Data_Summary!$AA$2:$AA512,Data_Summary!AA512)=1,Data_Summary!AA512,"")))</f>
        <v/>
      </c>
      <c r="AK511" s="17" t="str">
        <f aca="false">IF(AJ511="","",COUNTIFS(Data_Summary!$Y$2:$Y$20001,"Coverage",Data_Summary!$AA$2:$AA$20001,AJ511))</f>
        <v/>
      </c>
    </row>
    <row r="512" customFormat="false" ht="12.75" hidden="false" customHeight="true" outlineLevel="0" collapsed="false">
      <c r="AJ512" s="17" t="str">
        <f aca="false">IF(Data_Summary!Y513&lt;&gt;"Coverage","",IF(Data_Summary!AA513="","",IF(COUNTIFS(Data_Summary!$Y$2:$Y513,"Coverage",Data_Summary!$AA$2:$AA513,Data_Summary!AA513)=1,Data_Summary!AA513,"")))</f>
        <v/>
      </c>
      <c r="AK512" s="17" t="str">
        <f aca="false">IF(AJ512="","",COUNTIFS(Data_Summary!$Y$2:$Y$20001,"Coverage",Data_Summary!$AA$2:$AA$20001,AJ512))</f>
        <v/>
      </c>
    </row>
    <row r="513" customFormat="false" ht="12.75" hidden="false" customHeight="true" outlineLevel="0" collapsed="false">
      <c r="AJ513" s="17" t="str">
        <f aca="false">IF(Data_Summary!Y514&lt;&gt;"Coverage","",IF(Data_Summary!AA514="","",IF(COUNTIFS(Data_Summary!$Y$2:$Y514,"Coverage",Data_Summary!$AA$2:$AA514,Data_Summary!AA514)=1,Data_Summary!AA514,"")))</f>
        <v/>
      </c>
      <c r="AK513" s="17" t="str">
        <f aca="false">IF(AJ513="","",COUNTIFS(Data_Summary!$Y$2:$Y$20001,"Coverage",Data_Summary!$AA$2:$AA$20001,AJ513))</f>
        <v/>
      </c>
    </row>
    <row r="514" customFormat="false" ht="12.75" hidden="false" customHeight="true" outlineLevel="0" collapsed="false">
      <c r="AJ514" s="17" t="str">
        <f aca="false">IF(Data_Summary!Y515&lt;&gt;"Coverage","",IF(Data_Summary!AA515="","",IF(COUNTIFS(Data_Summary!$Y$2:$Y515,"Coverage",Data_Summary!$AA$2:$AA515,Data_Summary!AA515)=1,Data_Summary!AA515,"")))</f>
        <v/>
      </c>
      <c r="AK514" s="17" t="str">
        <f aca="false">IF(AJ514="","",COUNTIFS(Data_Summary!$Y$2:$Y$20001,"Coverage",Data_Summary!$AA$2:$AA$20001,AJ514))</f>
        <v/>
      </c>
    </row>
    <row r="515" customFormat="false" ht="12.75" hidden="false" customHeight="true" outlineLevel="0" collapsed="false">
      <c r="AJ515" s="17" t="str">
        <f aca="false">IF(Data_Summary!Y516&lt;&gt;"Coverage","",IF(Data_Summary!AA516="","",IF(COUNTIFS(Data_Summary!$Y$2:$Y516,"Coverage",Data_Summary!$AA$2:$AA516,Data_Summary!AA516)=1,Data_Summary!AA516,"")))</f>
        <v/>
      </c>
      <c r="AK515" s="17" t="str">
        <f aca="false">IF(AJ515="","",COUNTIFS(Data_Summary!$Y$2:$Y$20001,"Coverage",Data_Summary!$AA$2:$AA$20001,AJ515))</f>
        <v/>
      </c>
    </row>
    <row r="516" customFormat="false" ht="12.75" hidden="false" customHeight="true" outlineLevel="0" collapsed="false">
      <c r="AJ516" s="17" t="str">
        <f aca="false">IF(Data_Summary!Y517&lt;&gt;"Coverage","",IF(Data_Summary!AA517="","",IF(COUNTIFS(Data_Summary!$Y$2:$Y517,"Coverage",Data_Summary!$AA$2:$AA517,Data_Summary!AA517)=1,Data_Summary!AA517,"")))</f>
        <v/>
      </c>
      <c r="AK516" s="17" t="str">
        <f aca="false">IF(AJ516="","",COUNTIFS(Data_Summary!$Y$2:$Y$20001,"Coverage",Data_Summary!$AA$2:$AA$20001,AJ516))</f>
        <v/>
      </c>
    </row>
    <row r="517" customFormat="false" ht="12.75" hidden="false" customHeight="true" outlineLevel="0" collapsed="false">
      <c r="AJ517" s="17" t="str">
        <f aca="false">IF(Data_Summary!Y518&lt;&gt;"Coverage","",IF(Data_Summary!AA518="","",IF(COUNTIFS(Data_Summary!$Y$2:$Y518,"Coverage",Data_Summary!$AA$2:$AA518,Data_Summary!AA518)=1,Data_Summary!AA518,"")))</f>
        <v/>
      </c>
      <c r="AK517" s="17" t="str">
        <f aca="false">IF(AJ517="","",COUNTIFS(Data_Summary!$Y$2:$Y$20001,"Coverage",Data_Summary!$AA$2:$AA$20001,AJ517))</f>
        <v/>
      </c>
    </row>
    <row r="518" customFormat="false" ht="12.75" hidden="false" customHeight="true" outlineLevel="0" collapsed="false">
      <c r="AJ518" s="17" t="str">
        <f aca="false">IF(Data_Summary!Y519&lt;&gt;"Coverage","",IF(Data_Summary!AA519="","",IF(COUNTIFS(Data_Summary!$Y$2:$Y519,"Coverage",Data_Summary!$AA$2:$AA519,Data_Summary!AA519)=1,Data_Summary!AA519,"")))</f>
        <v/>
      </c>
      <c r="AK518" s="17" t="str">
        <f aca="false">IF(AJ518="","",COUNTIFS(Data_Summary!$Y$2:$Y$20001,"Coverage",Data_Summary!$AA$2:$AA$20001,AJ518))</f>
        <v/>
      </c>
    </row>
    <row r="519" customFormat="false" ht="12.75" hidden="false" customHeight="true" outlineLevel="0" collapsed="false">
      <c r="AJ519" s="17" t="str">
        <f aca="false">IF(Data_Summary!Y520&lt;&gt;"Coverage","",IF(Data_Summary!AA520="","",IF(COUNTIFS(Data_Summary!$Y$2:$Y520,"Coverage",Data_Summary!$AA$2:$AA520,Data_Summary!AA520)=1,Data_Summary!AA520,"")))</f>
        <v/>
      </c>
      <c r="AK519" s="17" t="str">
        <f aca="false">IF(AJ519="","",COUNTIFS(Data_Summary!$Y$2:$Y$20001,"Coverage",Data_Summary!$AA$2:$AA$20001,AJ519))</f>
        <v/>
      </c>
    </row>
    <row r="520" customFormat="false" ht="12.75" hidden="false" customHeight="true" outlineLevel="0" collapsed="false">
      <c r="AJ520" s="17" t="str">
        <f aca="false">IF(Data_Summary!Y521&lt;&gt;"Coverage","",IF(Data_Summary!AA521="","",IF(COUNTIFS(Data_Summary!$Y$2:$Y521,"Coverage",Data_Summary!$AA$2:$AA521,Data_Summary!AA521)=1,Data_Summary!AA521,"")))</f>
        <v/>
      </c>
      <c r="AK520" s="17" t="str">
        <f aca="false">IF(AJ520="","",COUNTIFS(Data_Summary!$Y$2:$Y$20001,"Coverage",Data_Summary!$AA$2:$AA$20001,AJ520))</f>
        <v/>
      </c>
    </row>
    <row r="521" customFormat="false" ht="12.75" hidden="false" customHeight="true" outlineLevel="0" collapsed="false">
      <c r="AJ521" s="17" t="str">
        <f aca="false">IF(Data_Summary!Y522&lt;&gt;"Coverage","",IF(Data_Summary!AA522="","",IF(COUNTIFS(Data_Summary!$Y$2:$Y522,"Coverage",Data_Summary!$AA$2:$AA522,Data_Summary!AA522)=1,Data_Summary!AA522,"")))</f>
        <v/>
      </c>
      <c r="AK521" s="17" t="str">
        <f aca="false">IF(AJ521="","",COUNTIFS(Data_Summary!$Y$2:$Y$20001,"Coverage",Data_Summary!$AA$2:$AA$20001,AJ521))</f>
        <v/>
      </c>
    </row>
    <row r="522" customFormat="false" ht="12.75" hidden="false" customHeight="true" outlineLevel="0" collapsed="false">
      <c r="AJ522" s="17" t="str">
        <f aca="false">IF(Data_Summary!Y523&lt;&gt;"Coverage","",IF(Data_Summary!AA523="","",IF(COUNTIFS(Data_Summary!$Y$2:$Y523,"Coverage",Data_Summary!$AA$2:$AA523,Data_Summary!AA523)=1,Data_Summary!AA523,"")))</f>
        <v/>
      </c>
      <c r="AK522" s="17" t="str">
        <f aca="false">IF(AJ522="","",COUNTIFS(Data_Summary!$Y$2:$Y$20001,"Coverage",Data_Summary!$AA$2:$AA$20001,AJ522))</f>
        <v/>
      </c>
    </row>
    <row r="523" customFormat="false" ht="12.75" hidden="false" customHeight="true" outlineLevel="0" collapsed="false">
      <c r="AJ523" s="17" t="str">
        <f aca="false">IF(Data_Summary!Y524&lt;&gt;"Coverage","",IF(Data_Summary!AA524="","",IF(COUNTIFS(Data_Summary!$Y$2:$Y524,"Coverage",Data_Summary!$AA$2:$AA524,Data_Summary!AA524)=1,Data_Summary!AA524,"")))</f>
        <v/>
      </c>
      <c r="AK523" s="17" t="str">
        <f aca="false">IF(AJ523="","",COUNTIFS(Data_Summary!$Y$2:$Y$20001,"Coverage",Data_Summary!$AA$2:$AA$20001,AJ523))</f>
        <v/>
      </c>
    </row>
    <row r="524" customFormat="false" ht="12.75" hidden="false" customHeight="true" outlineLevel="0" collapsed="false">
      <c r="AJ524" s="17" t="str">
        <f aca="false">IF(Data_Summary!Y525&lt;&gt;"Coverage","",IF(Data_Summary!AA525="","",IF(COUNTIFS(Data_Summary!$Y$2:$Y525,"Coverage",Data_Summary!$AA$2:$AA525,Data_Summary!AA525)=1,Data_Summary!AA525,"")))</f>
        <v/>
      </c>
      <c r="AK524" s="17" t="str">
        <f aca="false">IF(AJ524="","",COUNTIFS(Data_Summary!$Y$2:$Y$20001,"Coverage",Data_Summary!$AA$2:$AA$20001,AJ524))</f>
        <v/>
      </c>
    </row>
    <row r="525" customFormat="false" ht="12.75" hidden="false" customHeight="true" outlineLevel="0" collapsed="false">
      <c r="AJ525" s="17" t="str">
        <f aca="false">IF(Data_Summary!Y526&lt;&gt;"Coverage","",IF(Data_Summary!AA526="","",IF(COUNTIFS(Data_Summary!$Y$2:$Y526,"Coverage",Data_Summary!$AA$2:$AA526,Data_Summary!AA526)=1,Data_Summary!AA526,"")))</f>
        <v/>
      </c>
      <c r="AK525" s="17" t="str">
        <f aca="false">IF(AJ525="","",COUNTIFS(Data_Summary!$Y$2:$Y$20001,"Coverage",Data_Summary!$AA$2:$AA$20001,AJ525))</f>
        <v/>
      </c>
    </row>
    <row r="526" customFormat="false" ht="12.75" hidden="false" customHeight="true" outlineLevel="0" collapsed="false">
      <c r="AJ526" s="17" t="str">
        <f aca="false">IF(Data_Summary!Y527&lt;&gt;"Coverage","",IF(Data_Summary!AA527="","",IF(COUNTIFS(Data_Summary!$Y$2:$Y527,"Coverage",Data_Summary!$AA$2:$AA527,Data_Summary!AA527)=1,Data_Summary!AA527,"")))</f>
        <v/>
      </c>
      <c r="AK526" s="17" t="str">
        <f aca="false">IF(AJ526="","",COUNTIFS(Data_Summary!$Y$2:$Y$20001,"Coverage",Data_Summary!$AA$2:$AA$20001,AJ526))</f>
        <v/>
      </c>
    </row>
    <row r="527" customFormat="false" ht="12.75" hidden="false" customHeight="true" outlineLevel="0" collapsed="false">
      <c r="AJ527" s="17" t="str">
        <f aca="false">IF(Data_Summary!Y528&lt;&gt;"Coverage","",IF(Data_Summary!AA528="","",IF(COUNTIFS(Data_Summary!$Y$2:$Y528,"Coverage",Data_Summary!$AA$2:$AA528,Data_Summary!AA528)=1,Data_Summary!AA528,"")))</f>
        <v/>
      </c>
      <c r="AK527" s="17" t="str">
        <f aca="false">IF(AJ527="","",COUNTIFS(Data_Summary!$Y$2:$Y$20001,"Coverage",Data_Summary!$AA$2:$AA$20001,AJ527))</f>
        <v/>
      </c>
    </row>
    <row r="528" customFormat="false" ht="12.75" hidden="false" customHeight="true" outlineLevel="0" collapsed="false">
      <c r="AJ528" s="17" t="str">
        <f aca="false">IF(Data_Summary!Y529&lt;&gt;"Coverage","",IF(Data_Summary!AA529="","",IF(COUNTIFS(Data_Summary!$Y$2:$Y529,"Coverage",Data_Summary!$AA$2:$AA529,Data_Summary!AA529)=1,Data_Summary!AA529,"")))</f>
        <v/>
      </c>
      <c r="AK528" s="17" t="str">
        <f aca="false">IF(AJ528="","",COUNTIFS(Data_Summary!$Y$2:$Y$20001,"Coverage",Data_Summary!$AA$2:$AA$20001,AJ528))</f>
        <v/>
      </c>
    </row>
    <row r="529" customFormat="false" ht="12.75" hidden="false" customHeight="true" outlineLevel="0" collapsed="false">
      <c r="AJ529" s="17" t="str">
        <f aca="false">IF(Data_Summary!Y530&lt;&gt;"Coverage","",IF(Data_Summary!AA530="","",IF(COUNTIFS(Data_Summary!$Y$2:$Y530,"Coverage",Data_Summary!$AA$2:$AA530,Data_Summary!AA530)=1,Data_Summary!AA530,"")))</f>
        <v/>
      </c>
      <c r="AK529" s="17" t="str">
        <f aca="false">IF(AJ529="","",COUNTIFS(Data_Summary!$Y$2:$Y$20001,"Coverage",Data_Summary!$AA$2:$AA$20001,AJ529))</f>
        <v/>
      </c>
    </row>
    <row r="530" customFormat="false" ht="12.75" hidden="false" customHeight="true" outlineLevel="0" collapsed="false">
      <c r="AJ530" s="17" t="str">
        <f aca="false">IF(Data_Summary!Y531&lt;&gt;"Coverage","",IF(Data_Summary!AA531="","",IF(COUNTIFS(Data_Summary!$Y$2:$Y531,"Coverage",Data_Summary!$AA$2:$AA531,Data_Summary!AA531)=1,Data_Summary!AA531,"")))</f>
        <v/>
      </c>
      <c r="AK530" s="17" t="str">
        <f aca="false">IF(AJ530="","",COUNTIFS(Data_Summary!$Y$2:$Y$20001,"Coverage",Data_Summary!$AA$2:$AA$20001,AJ530))</f>
        <v/>
      </c>
    </row>
    <row r="531" customFormat="false" ht="12.75" hidden="false" customHeight="true" outlineLevel="0" collapsed="false">
      <c r="AJ531" s="17" t="str">
        <f aca="false">IF(Data_Summary!Y532&lt;&gt;"Coverage","",IF(Data_Summary!AA532="","",IF(COUNTIFS(Data_Summary!$Y$2:$Y532,"Coverage",Data_Summary!$AA$2:$AA532,Data_Summary!AA532)=1,Data_Summary!AA532,"")))</f>
        <v/>
      </c>
      <c r="AK531" s="17" t="str">
        <f aca="false">IF(AJ531="","",COUNTIFS(Data_Summary!$Y$2:$Y$20001,"Coverage",Data_Summary!$AA$2:$AA$20001,AJ531))</f>
        <v/>
      </c>
    </row>
    <row r="532" customFormat="false" ht="12.75" hidden="false" customHeight="true" outlineLevel="0" collapsed="false">
      <c r="AJ532" s="17" t="str">
        <f aca="false">IF(Data_Summary!Y533&lt;&gt;"Coverage","",IF(Data_Summary!AA533="","",IF(COUNTIFS(Data_Summary!$Y$2:$Y533,"Coverage",Data_Summary!$AA$2:$AA533,Data_Summary!AA533)=1,Data_Summary!AA533,"")))</f>
        <v>Learning &amp; Career Enablement</v>
      </c>
      <c r="AK532" s="17" t="n">
        <f aca="false">IF(AJ532="","",COUNTIFS(Data_Summary!$Y$2:$Y$20001,"Coverage",Data_Summary!$AA$2:$AA$20001,AJ532))</f>
        <v>6</v>
      </c>
    </row>
    <row r="533" customFormat="false" ht="12.75" hidden="false" customHeight="true" outlineLevel="0" collapsed="false">
      <c r="AJ533" s="17" t="str">
        <f aca="false">IF(Data_Summary!Y534&lt;&gt;"Coverage","",IF(Data_Summary!AA534="","",IF(COUNTIFS(Data_Summary!$Y$2:$Y534,"Coverage",Data_Summary!$AA$2:$AA534,Data_Summary!AA534)=1,Data_Summary!AA534,"")))</f>
        <v/>
      </c>
      <c r="AK533" s="17" t="str">
        <f aca="false">IF(AJ533="","",COUNTIFS(Data_Summary!$Y$2:$Y$20001,"Coverage",Data_Summary!$AA$2:$AA$20001,AJ533))</f>
        <v/>
      </c>
    </row>
    <row r="534" customFormat="false" ht="12.75" hidden="false" customHeight="true" outlineLevel="0" collapsed="false">
      <c r="AJ534" s="17" t="str">
        <f aca="false">IF(Data_Summary!Y535&lt;&gt;"Coverage","",IF(Data_Summary!AA535="","",IF(COUNTIFS(Data_Summary!$Y$2:$Y535,"Coverage",Data_Summary!$AA$2:$AA535,Data_Summary!AA535)=1,Data_Summary!AA535,"")))</f>
        <v/>
      </c>
      <c r="AK534" s="17" t="str">
        <f aca="false">IF(AJ534="","",COUNTIFS(Data_Summary!$Y$2:$Y$20001,"Coverage",Data_Summary!$AA$2:$AA$20001,AJ534))</f>
        <v/>
      </c>
    </row>
    <row r="535" customFormat="false" ht="12.75" hidden="false" customHeight="true" outlineLevel="0" collapsed="false">
      <c r="AJ535" s="17" t="str">
        <f aca="false">IF(Data_Summary!Y536&lt;&gt;"Coverage","",IF(Data_Summary!AA536="","",IF(COUNTIFS(Data_Summary!$Y$2:$Y536,"Coverage",Data_Summary!$AA$2:$AA536,Data_Summary!AA536)=1,Data_Summary!AA536,"")))</f>
        <v/>
      </c>
      <c r="AK535" s="17" t="str">
        <f aca="false">IF(AJ535="","",COUNTIFS(Data_Summary!$Y$2:$Y$20001,"Coverage",Data_Summary!$AA$2:$AA$20001,AJ535))</f>
        <v/>
      </c>
    </row>
    <row r="536" customFormat="false" ht="12.75" hidden="false" customHeight="true" outlineLevel="0" collapsed="false">
      <c r="AJ536" s="17" t="str">
        <f aca="false">IF(Data_Summary!Y537&lt;&gt;"Coverage","",IF(Data_Summary!AA537="","",IF(COUNTIFS(Data_Summary!$Y$2:$Y537,"Coverage",Data_Summary!$AA$2:$AA537,Data_Summary!AA537)=1,Data_Summary!AA537,"")))</f>
        <v/>
      </c>
      <c r="AK536" s="17" t="str">
        <f aca="false">IF(AJ536="","",COUNTIFS(Data_Summary!$Y$2:$Y$20001,"Coverage",Data_Summary!$AA$2:$AA$20001,AJ536))</f>
        <v/>
      </c>
    </row>
    <row r="537" customFormat="false" ht="12.75" hidden="false" customHeight="true" outlineLevel="0" collapsed="false">
      <c r="AJ537" s="17" t="str">
        <f aca="false">IF(Data_Summary!Y538&lt;&gt;"Coverage","",IF(Data_Summary!AA538="","",IF(COUNTIFS(Data_Summary!$Y$2:$Y538,"Coverage",Data_Summary!$AA$2:$AA538,Data_Summary!AA538)=1,Data_Summary!AA538,"")))</f>
        <v/>
      </c>
      <c r="AK537" s="17" t="str">
        <f aca="false">IF(AJ537="","",COUNTIFS(Data_Summary!$Y$2:$Y$20001,"Coverage",Data_Summary!$AA$2:$AA$20001,AJ537))</f>
        <v/>
      </c>
    </row>
    <row r="538" customFormat="false" ht="12.75" hidden="false" customHeight="true" outlineLevel="0" collapsed="false">
      <c r="AJ538" s="17" t="str">
        <f aca="false">IF(Data_Summary!Y539&lt;&gt;"Coverage","",IF(Data_Summary!AA539="","",IF(COUNTIFS(Data_Summary!$Y$2:$Y539,"Coverage",Data_Summary!$AA$2:$AA539,Data_Summary!AA539)=1,Data_Summary!AA539,"")))</f>
        <v/>
      </c>
      <c r="AK538" s="17" t="str">
        <f aca="false">IF(AJ538="","",COUNTIFS(Data_Summary!$Y$2:$Y$20001,"Coverage",Data_Summary!$AA$2:$AA$20001,AJ538))</f>
        <v/>
      </c>
    </row>
    <row r="539" customFormat="false" ht="12.75" hidden="false" customHeight="true" outlineLevel="0" collapsed="false">
      <c r="AJ539" s="17" t="str">
        <f aca="false">IF(Data_Summary!Y540&lt;&gt;"Coverage","",IF(Data_Summary!AA540="","",IF(COUNTIFS(Data_Summary!$Y$2:$Y540,"Coverage",Data_Summary!$AA$2:$AA540,Data_Summary!AA540)=1,Data_Summary!AA540,"")))</f>
        <v/>
      </c>
      <c r="AK539" s="17" t="str">
        <f aca="false">IF(AJ539="","",COUNTIFS(Data_Summary!$Y$2:$Y$20001,"Coverage",Data_Summary!$AA$2:$AA$20001,AJ539))</f>
        <v/>
      </c>
    </row>
    <row r="540" customFormat="false" ht="12.75" hidden="false" customHeight="true" outlineLevel="0" collapsed="false">
      <c r="AJ540" s="17" t="str">
        <f aca="false">IF(Data_Summary!Y541&lt;&gt;"Coverage","",IF(Data_Summary!AA541="","",IF(COUNTIFS(Data_Summary!$Y$2:$Y541,"Coverage",Data_Summary!$AA$2:$AA541,Data_Summary!AA541)=1,Data_Summary!AA541,"")))</f>
        <v/>
      </c>
      <c r="AK540" s="17" t="str">
        <f aca="false">IF(AJ540="","",COUNTIFS(Data_Summary!$Y$2:$Y$20001,"Coverage",Data_Summary!$AA$2:$AA$20001,AJ540))</f>
        <v/>
      </c>
    </row>
    <row r="541" customFormat="false" ht="12.75" hidden="false" customHeight="true" outlineLevel="0" collapsed="false">
      <c r="AJ541" s="17" t="str">
        <f aca="false">IF(Data_Summary!Y542&lt;&gt;"Coverage","",IF(Data_Summary!AA542="","",IF(COUNTIFS(Data_Summary!$Y$2:$Y542,"Coverage",Data_Summary!$AA$2:$AA542,Data_Summary!AA542)=1,Data_Summary!AA542,"")))</f>
        <v/>
      </c>
      <c r="AK541" s="17" t="str">
        <f aca="false">IF(AJ541="","",COUNTIFS(Data_Summary!$Y$2:$Y$20001,"Coverage",Data_Summary!$AA$2:$AA$20001,AJ541))</f>
        <v/>
      </c>
    </row>
    <row r="542" customFormat="false" ht="12.75" hidden="false" customHeight="true" outlineLevel="0" collapsed="false">
      <c r="AJ542" s="17" t="str">
        <f aca="false">IF(Data_Summary!Y543&lt;&gt;"Coverage","",IF(Data_Summary!AA543="","",IF(COUNTIFS(Data_Summary!$Y$2:$Y543,"Coverage",Data_Summary!$AA$2:$AA543,Data_Summary!AA543)=1,Data_Summary!AA543,"")))</f>
        <v/>
      </c>
      <c r="AK542" s="17" t="str">
        <f aca="false">IF(AJ542="","",COUNTIFS(Data_Summary!$Y$2:$Y$20001,"Coverage",Data_Summary!$AA$2:$AA$20001,AJ542))</f>
        <v/>
      </c>
    </row>
    <row r="543" customFormat="false" ht="12.75" hidden="false" customHeight="true" outlineLevel="0" collapsed="false">
      <c r="AJ543" s="17" t="str">
        <f aca="false">IF(Data_Summary!Y544&lt;&gt;"Coverage","",IF(Data_Summary!AA544="","",IF(COUNTIFS(Data_Summary!$Y$2:$Y544,"Coverage",Data_Summary!$AA$2:$AA544,Data_Summary!AA544)=1,Data_Summary!AA544,"")))</f>
        <v/>
      </c>
      <c r="AK543" s="17" t="str">
        <f aca="false">IF(AJ543="","",COUNTIFS(Data_Summary!$Y$2:$Y$20001,"Coverage",Data_Summary!$AA$2:$AA$20001,AJ543))</f>
        <v/>
      </c>
    </row>
    <row r="544" customFormat="false" ht="12.75" hidden="false" customHeight="true" outlineLevel="0" collapsed="false">
      <c r="AJ544" s="17" t="str">
        <f aca="false">IF(Data_Summary!Y545&lt;&gt;"Coverage","",IF(Data_Summary!AA545="","",IF(COUNTIFS(Data_Summary!$Y$2:$Y545,"Coverage",Data_Summary!$AA$2:$AA545,Data_Summary!AA545)=1,Data_Summary!AA545,"")))</f>
        <v/>
      </c>
      <c r="AK544" s="17" t="str">
        <f aca="false">IF(AJ544="","",COUNTIFS(Data_Summary!$Y$2:$Y$20001,"Coverage",Data_Summary!$AA$2:$AA$20001,AJ544))</f>
        <v/>
      </c>
    </row>
    <row r="545" customFormat="false" ht="12.75" hidden="false" customHeight="true" outlineLevel="0" collapsed="false">
      <c r="AJ545" s="17" t="str">
        <f aca="false">IF(Data_Summary!Y546&lt;&gt;"Coverage","",IF(Data_Summary!AA546="","",IF(COUNTIFS(Data_Summary!$Y$2:$Y546,"Coverage",Data_Summary!$AA$2:$AA546,Data_Summary!AA546)=1,Data_Summary!AA546,"")))</f>
        <v/>
      </c>
      <c r="AK545" s="17" t="str">
        <f aca="false">IF(AJ545="","",COUNTIFS(Data_Summary!$Y$2:$Y$20001,"Coverage",Data_Summary!$AA$2:$AA$20001,AJ545))</f>
        <v/>
      </c>
    </row>
    <row r="546" customFormat="false" ht="12.75" hidden="false" customHeight="true" outlineLevel="0" collapsed="false">
      <c r="AJ546" s="17" t="str">
        <f aca="false">IF(Data_Summary!Y547&lt;&gt;"Coverage","",IF(Data_Summary!AA547="","",IF(COUNTIFS(Data_Summary!$Y$2:$Y547,"Coverage",Data_Summary!$AA$2:$AA547,Data_Summary!AA547)=1,Data_Summary!AA547,"")))</f>
        <v/>
      </c>
      <c r="AK546" s="17" t="str">
        <f aca="false">IF(AJ546="","",COUNTIFS(Data_Summary!$Y$2:$Y$20001,"Coverage",Data_Summary!$AA$2:$AA$20001,AJ546))</f>
        <v/>
      </c>
    </row>
    <row r="547" customFormat="false" ht="12.75" hidden="false" customHeight="true" outlineLevel="0" collapsed="false">
      <c r="AJ547" s="17" t="str">
        <f aca="false">IF(Data_Summary!Y548&lt;&gt;"Coverage","",IF(Data_Summary!AA548="","",IF(COUNTIFS(Data_Summary!$Y$2:$Y548,"Coverage",Data_Summary!$AA$2:$AA548,Data_Summary!AA548)=1,Data_Summary!AA548,"")))</f>
        <v/>
      </c>
      <c r="AK547" s="17" t="str">
        <f aca="false">IF(AJ547="","",COUNTIFS(Data_Summary!$Y$2:$Y$20001,"Coverage",Data_Summary!$AA$2:$AA$20001,AJ547))</f>
        <v/>
      </c>
    </row>
    <row r="548" customFormat="false" ht="12.75" hidden="false" customHeight="true" outlineLevel="0" collapsed="false">
      <c r="AJ548" s="17" t="str">
        <f aca="false">IF(Data_Summary!Y549&lt;&gt;"Coverage","",IF(Data_Summary!AA549="","",IF(COUNTIFS(Data_Summary!$Y$2:$Y549,"Coverage",Data_Summary!$AA$2:$AA549,Data_Summary!AA549)=1,Data_Summary!AA549,"")))</f>
        <v/>
      </c>
      <c r="AK548" s="17" t="str">
        <f aca="false">IF(AJ548="","",COUNTIFS(Data_Summary!$Y$2:$Y$20001,"Coverage",Data_Summary!$AA$2:$AA$20001,AJ548))</f>
        <v/>
      </c>
    </row>
    <row r="549" customFormat="false" ht="12.75" hidden="false" customHeight="true" outlineLevel="0" collapsed="false">
      <c r="AJ549" s="17" t="str">
        <f aca="false">IF(Data_Summary!Y550&lt;&gt;"Coverage","",IF(Data_Summary!AA550="","",IF(COUNTIFS(Data_Summary!$Y$2:$Y550,"Coverage",Data_Summary!$AA$2:$AA550,Data_Summary!AA550)=1,Data_Summary!AA550,"")))</f>
        <v/>
      </c>
      <c r="AK549" s="17" t="str">
        <f aca="false">IF(AJ549="","",COUNTIFS(Data_Summary!$Y$2:$Y$20001,"Coverage",Data_Summary!$AA$2:$AA$20001,AJ549))</f>
        <v/>
      </c>
    </row>
    <row r="550" customFormat="false" ht="12.75" hidden="false" customHeight="true" outlineLevel="0" collapsed="false">
      <c r="AJ550" s="17" t="str">
        <f aca="false">IF(Data_Summary!Y551&lt;&gt;"Coverage","",IF(Data_Summary!AA551="","",IF(COUNTIFS(Data_Summary!$Y$2:$Y551,"Coverage",Data_Summary!$AA$2:$AA551,Data_Summary!AA551)=1,Data_Summary!AA551,"")))</f>
        <v/>
      </c>
      <c r="AK550" s="17" t="str">
        <f aca="false">IF(AJ550="","",COUNTIFS(Data_Summary!$Y$2:$Y$20001,"Coverage",Data_Summary!$AA$2:$AA$20001,AJ550))</f>
        <v/>
      </c>
    </row>
    <row r="551" customFormat="false" ht="12.75" hidden="false" customHeight="true" outlineLevel="0" collapsed="false">
      <c r="AJ551" s="17" t="str">
        <f aca="false">IF(Data_Summary!Y552&lt;&gt;"Coverage","",IF(Data_Summary!AA552="","",IF(COUNTIFS(Data_Summary!$Y$2:$Y552,"Coverage",Data_Summary!$AA$2:$AA552,Data_Summary!AA552)=1,Data_Summary!AA552,"")))</f>
        <v/>
      </c>
      <c r="AK551" s="17" t="str">
        <f aca="false">IF(AJ551="","",COUNTIFS(Data_Summary!$Y$2:$Y$20001,"Coverage",Data_Summary!$AA$2:$AA$20001,AJ551))</f>
        <v/>
      </c>
    </row>
    <row r="552" customFormat="false" ht="12.75" hidden="false" customHeight="true" outlineLevel="0" collapsed="false">
      <c r="AJ552" s="17" t="str">
        <f aca="false">IF(Data_Summary!Y553&lt;&gt;"Coverage","",IF(Data_Summary!AA553="","",IF(COUNTIFS(Data_Summary!$Y$2:$Y553,"Coverage",Data_Summary!$AA$2:$AA553,Data_Summary!AA553)=1,Data_Summary!AA553,"")))</f>
        <v/>
      </c>
      <c r="AK552" s="17" t="str">
        <f aca="false">IF(AJ552="","",COUNTIFS(Data_Summary!$Y$2:$Y$20001,"Coverage",Data_Summary!$AA$2:$AA$20001,AJ552))</f>
        <v/>
      </c>
    </row>
    <row r="553" customFormat="false" ht="12.75" hidden="false" customHeight="true" outlineLevel="0" collapsed="false">
      <c r="AJ553" s="17" t="str">
        <f aca="false">IF(Data_Summary!Y554&lt;&gt;"Coverage","",IF(Data_Summary!AA554="","",IF(COUNTIFS(Data_Summary!$Y$2:$Y554,"Coverage",Data_Summary!$AA$2:$AA554,Data_Summary!AA554)=1,Data_Summary!AA554,"")))</f>
        <v/>
      </c>
      <c r="AK553" s="17" t="str">
        <f aca="false">IF(AJ553="","",COUNTIFS(Data_Summary!$Y$2:$Y$20001,"Coverage",Data_Summary!$AA$2:$AA$20001,AJ553))</f>
        <v/>
      </c>
    </row>
    <row r="554" customFormat="false" ht="12.75" hidden="false" customHeight="true" outlineLevel="0" collapsed="false">
      <c r="AJ554" s="17" t="str">
        <f aca="false">IF(Data_Summary!Y555&lt;&gt;"Coverage","",IF(Data_Summary!AA555="","",IF(COUNTIFS(Data_Summary!$Y$2:$Y555,"Coverage",Data_Summary!$AA$2:$AA555,Data_Summary!AA555)=1,Data_Summary!AA555,"")))</f>
        <v/>
      </c>
      <c r="AK554" s="17" t="str">
        <f aca="false">IF(AJ554="","",COUNTIFS(Data_Summary!$Y$2:$Y$20001,"Coverage",Data_Summary!$AA$2:$AA$20001,AJ554))</f>
        <v/>
      </c>
    </row>
    <row r="555" customFormat="false" ht="12.75" hidden="false" customHeight="true" outlineLevel="0" collapsed="false">
      <c r="AJ555" s="17" t="str">
        <f aca="false">IF(Data_Summary!Y556&lt;&gt;"Coverage","",IF(Data_Summary!AA556="","",IF(COUNTIFS(Data_Summary!$Y$2:$Y556,"Coverage",Data_Summary!$AA$2:$AA556,Data_Summary!AA556)=1,Data_Summary!AA556,"")))</f>
        <v/>
      </c>
      <c r="AK555" s="17" t="str">
        <f aca="false">IF(AJ555="","",COUNTIFS(Data_Summary!$Y$2:$Y$20001,"Coverage",Data_Summary!$AA$2:$AA$20001,AJ555))</f>
        <v/>
      </c>
    </row>
    <row r="556" customFormat="false" ht="12.75" hidden="false" customHeight="true" outlineLevel="0" collapsed="false">
      <c r="AJ556" s="17" t="str">
        <f aca="false">IF(Data_Summary!Y557&lt;&gt;"Coverage","",IF(Data_Summary!AA557="","",IF(COUNTIFS(Data_Summary!$Y$2:$Y557,"Coverage",Data_Summary!$AA$2:$AA557,Data_Summary!AA557)=1,Data_Summary!AA557,"")))</f>
        <v/>
      </c>
      <c r="AK556" s="17" t="str">
        <f aca="false">IF(AJ556="","",COUNTIFS(Data_Summary!$Y$2:$Y$20001,"Coverage",Data_Summary!$AA$2:$AA$20001,AJ556))</f>
        <v/>
      </c>
    </row>
    <row r="557" customFormat="false" ht="12.75" hidden="false" customHeight="true" outlineLevel="0" collapsed="false">
      <c r="AJ557" s="17" t="str">
        <f aca="false">IF(Data_Summary!Y558&lt;&gt;"Coverage","",IF(Data_Summary!AA558="","",IF(COUNTIFS(Data_Summary!$Y$2:$Y558,"Coverage",Data_Summary!$AA$2:$AA558,Data_Summary!AA558)=1,Data_Summary!AA558,"")))</f>
        <v>Culture &amp; Engagement</v>
      </c>
      <c r="AK557" s="17" t="n">
        <f aca="false">IF(AJ557="","",COUNTIFS(Data_Summary!$Y$2:$Y$20001,"Coverage",Data_Summary!$AA$2:$AA$20001,AJ557))</f>
        <v>5</v>
      </c>
    </row>
    <row r="558" customFormat="false" ht="12.75" hidden="false" customHeight="true" outlineLevel="0" collapsed="false">
      <c r="AJ558" s="17" t="str">
        <f aca="false">IF(Data_Summary!Y559&lt;&gt;"Coverage","",IF(Data_Summary!AA559="","",IF(COUNTIFS(Data_Summary!$Y$2:$Y559,"Coverage",Data_Summary!$AA$2:$AA559,Data_Summary!AA559)=1,Data_Summary!AA559,"")))</f>
        <v/>
      </c>
      <c r="AK558" s="17" t="str">
        <f aca="false">IF(AJ558="","",COUNTIFS(Data_Summary!$Y$2:$Y$20001,"Coverage",Data_Summary!$AA$2:$AA$20001,AJ558))</f>
        <v/>
      </c>
    </row>
    <row r="559" customFormat="false" ht="12.75" hidden="false" customHeight="true" outlineLevel="0" collapsed="false">
      <c r="AJ559" s="17" t="str">
        <f aca="false">IF(Data_Summary!Y560&lt;&gt;"Coverage","",IF(Data_Summary!AA560="","",IF(COUNTIFS(Data_Summary!$Y$2:$Y560,"Coverage",Data_Summary!$AA$2:$AA560,Data_Summary!AA560)=1,Data_Summary!AA560,"")))</f>
        <v/>
      </c>
      <c r="AK559" s="17" t="str">
        <f aca="false">IF(AJ559="","",COUNTIFS(Data_Summary!$Y$2:$Y$20001,"Coverage",Data_Summary!$AA$2:$AA$20001,AJ559))</f>
        <v/>
      </c>
    </row>
    <row r="560" customFormat="false" ht="12.75" hidden="false" customHeight="true" outlineLevel="0" collapsed="false">
      <c r="AJ560" s="17" t="str">
        <f aca="false">IF(Data_Summary!Y561&lt;&gt;"Coverage","",IF(Data_Summary!AA561="","",IF(COUNTIFS(Data_Summary!$Y$2:$Y561,"Coverage",Data_Summary!$AA$2:$AA561,Data_Summary!AA561)=1,Data_Summary!AA561,"")))</f>
        <v/>
      </c>
      <c r="AK560" s="17" t="str">
        <f aca="false">IF(AJ560="","",COUNTIFS(Data_Summary!$Y$2:$Y$20001,"Coverage",Data_Summary!$AA$2:$AA$20001,AJ560))</f>
        <v/>
      </c>
    </row>
    <row r="561" customFormat="false" ht="12.75" hidden="false" customHeight="true" outlineLevel="0" collapsed="false">
      <c r="AJ561" s="17" t="str">
        <f aca="false">IF(Data_Summary!Y562&lt;&gt;"Coverage","",IF(Data_Summary!AA562="","",IF(COUNTIFS(Data_Summary!$Y$2:$Y562,"Coverage",Data_Summary!$AA$2:$AA562,Data_Summary!AA562)=1,Data_Summary!AA562,"")))</f>
        <v/>
      </c>
      <c r="AK561" s="17" t="str">
        <f aca="false">IF(AJ561="","",COUNTIFS(Data_Summary!$Y$2:$Y$20001,"Coverage",Data_Summary!$AA$2:$AA$20001,AJ561))</f>
        <v/>
      </c>
    </row>
    <row r="562" customFormat="false" ht="12.75" hidden="false" customHeight="true" outlineLevel="0" collapsed="false">
      <c r="AJ562" s="17" t="str">
        <f aca="false">IF(Data_Summary!Y563&lt;&gt;"Coverage","",IF(Data_Summary!AA563="","",IF(COUNTIFS(Data_Summary!$Y$2:$Y563,"Coverage",Data_Summary!$AA$2:$AA563,Data_Summary!AA563)=1,Data_Summary!AA563,"")))</f>
        <v/>
      </c>
      <c r="AK562" s="17" t="str">
        <f aca="false">IF(AJ562="","",COUNTIFS(Data_Summary!$Y$2:$Y$20001,"Coverage",Data_Summary!$AA$2:$AA$20001,AJ562))</f>
        <v/>
      </c>
    </row>
    <row r="563" customFormat="false" ht="12.75" hidden="false" customHeight="true" outlineLevel="0" collapsed="false">
      <c r="AJ563" s="17" t="str">
        <f aca="false">IF(Data_Summary!Y564&lt;&gt;"Coverage","",IF(Data_Summary!AA564="","",IF(COUNTIFS(Data_Summary!$Y$2:$Y564,"Coverage",Data_Summary!$AA$2:$AA564,Data_Summary!AA564)=1,Data_Summary!AA564,"")))</f>
        <v/>
      </c>
      <c r="AK563" s="17" t="str">
        <f aca="false">IF(AJ563="","",COUNTIFS(Data_Summary!$Y$2:$Y$20001,"Coverage",Data_Summary!$AA$2:$AA$20001,AJ563))</f>
        <v/>
      </c>
    </row>
    <row r="564" customFormat="false" ht="12.75" hidden="false" customHeight="true" outlineLevel="0" collapsed="false">
      <c r="AJ564" s="17" t="str">
        <f aca="false">IF(Data_Summary!Y565&lt;&gt;"Coverage","",IF(Data_Summary!AA565="","",IF(COUNTIFS(Data_Summary!$Y$2:$Y565,"Coverage",Data_Summary!$AA$2:$AA565,Data_Summary!AA565)=1,Data_Summary!AA565,"")))</f>
        <v/>
      </c>
      <c r="AK564" s="17" t="str">
        <f aca="false">IF(AJ564="","",COUNTIFS(Data_Summary!$Y$2:$Y$20001,"Coverage",Data_Summary!$AA$2:$AA$20001,AJ564))</f>
        <v/>
      </c>
    </row>
    <row r="565" customFormat="false" ht="12.75" hidden="false" customHeight="true" outlineLevel="0" collapsed="false">
      <c r="AJ565" s="17" t="str">
        <f aca="false">IF(Data_Summary!Y566&lt;&gt;"Coverage","",IF(Data_Summary!AA566="","",IF(COUNTIFS(Data_Summary!$Y$2:$Y566,"Coverage",Data_Summary!$AA$2:$AA566,Data_Summary!AA566)=1,Data_Summary!AA566,"")))</f>
        <v/>
      </c>
      <c r="AK565" s="17" t="str">
        <f aca="false">IF(AJ565="","",COUNTIFS(Data_Summary!$Y$2:$Y$20001,"Coverage",Data_Summary!$AA$2:$AA$20001,AJ565))</f>
        <v/>
      </c>
    </row>
    <row r="566" customFormat="false" ht="12.75" hidden="false" customHeight="true" outlineLevel="0" collapsed="false">
      <c r="AJ566" s="17" t="str">
        <f aca="false">IF(Data_Summary!Y567&lt;&gt;"Coverage","",IF(Data_Summary!AA567="","",IF(COUNTIFS(Data_Summary!$Y$2:$Y567,"Coverage",Data_Summary!$AA$2:$AA567,Data_Summary!AA567)=1,Data_Summary!AA567,"")))</f>
        <v/>
      </c>
      <c r="AK566" s="17" t="str">
        <f aca="false">IF(AJ566="","",COUNTIFS(Data_Summary!$Y$2:$Y$20001,"Coverage",Data_Summary!$AA$2:$AA$20001,AJ566))</f>
        <v/>
      </c>
    </row>
    <row r="567" customFormat="false" ht="12.75" hidden="false" customHeight="true" outlineLevel="0" collapsed="false">
      <c r="AJ567" s="17" t="str">
        <f aca="false">IF(Data_Summary!Y568&lt;&gt;"Coverage","",IF(Data_Summary!AA568="","",IF(COUNTIFS(Data_Summary!$Y$2:$Y568,"Coverage",Data_Summary!$AA$2:$AA568,Data_Summary!AA568)=1,Data_Summary!AA568,"")))</f>
        <v/>
      </c>
      <c r="AK567" s="17" t="str">
        <f aca="false">IF(AJ567="","",COUNTIFS(Data_Summary!$Y$2:$Y$20001,"Coverage",Data_Summary!$AA$2:$AA$20001,AJ567))</f>
        <v/>
      </c>
    </row>
    <row r="568" customFormat="false" ht="12.75" hidden="false" customHeight="true" outlineLevel="0" collapsed="false">
      <c r="AJ568" s="17" t="str">
        <f aca="false">IF(Data_Summary!Y569&lt;&gt;"Coverage","",IF(Data_Summary!AA569="","",IF(COUNTIFS(Data_Summary!$Y$2:$Y569,"Coverage",Data_Summary!$AA$2:$AA569,Data_Summary!AA569)=1,Data_Summary!AA569,"")))</f>
        <v/>
      </c>
      <c r="AK568" s="17" t="str">
        <f aca="false">IF(AJ568="","",COUNTIFS(Data_Summary!$Y$2:$Y$20001,"Coverage",Data_Summary!$AA$2:$AA$20001,AJ568))</f>
        <v/>
      </c>
    </row>
    <row r="569" customFormat="false" ht="12.75" hidden="false" customHeight="true" outlineLevel="0" collapsed="false">
      <c r="AJ569" s="17" t="str">
        <f aca="false">IF(Data_Summary!Y570&lt;&gt;"Coverage","",IF(Data_Summary!AA570="","",IF(COUNTIFS(Data_Summary!$Y$2:$Y570,"Coverage",Data_Summary!$AA$2:$AA570,Data_Summary!AA570)=1,Data_Summary!AA570,"")))</f>
        <v/>
      </c>
      <c r="AK569" s="17" t="str">
        <f aca="false">IF(AJ569="","",COUNTIFS(Data_Summary!$Y$2:$Y$20001,"Coverage",Data_Summary!$AA$2:$AA$20001,AJ569))</f>
        <v/>
      </c>
    </row>
    <row r="570" customFormat="false" ht="12.75" hidden="false" customHeight="true" outlineLevel="0" collapsed="false">
      <c r="AJ570" s="17" t="str">
        <f aca="false">IF(Data_Summary!Y571&lt;&gt;"Coverage","",IF(Data_Summary!AA571="","",IF(COUNTIFS(Data_Summary!$Y$2:$Y571,"Coverage",Data_Summary!$AA$2:$AA571,Data_Summary!AA571)=1,Data_Summary!AA571,"")))</f>
        <v/>
      </c>
      <c r="AK570" s="17" t="str">
        <f aca="false">IF(AJ570="","",COUNTIFS(Data_Summary!$Y$2:$Y$20001,"Coverage",Data_Summary!$AA$2:$AA$20001,AJ570))</f>
        <v/>
      </c>
    </row>
    <row r="571" customFormat="false" ht="12.75" hidden="false" customHeight="true" outlineLevel="0" collapsed="false">
      <c r="AJ571" s="17" t="str">
        <f aca="false">IF(Data_Summary!Y572&lt;&gt;"Coverage","",IF(Data_Summary!AA572="","",IF(COUNTIFS(Data_Summary!$Y$2:$Y572,"Coverage",Data_Summary!$AA$2:$AA572,Data_Summary!AA572)=1,Data_Summary!AA572,"")))</f>
        <v/>
      </c>
      <c r="AK571" s="17" t="str">
        <f aca="false">IF(AJ571="","",COUNTIFS(Data_Summary!$Y$2:$Y$20001,"Coverage",Data_Summary!$AA$2:$AA$20001,AJ571))</f>
        <v/>
      </c>
    </row>
    <row r="572" customFormat="false" ht="12.75" hidden="false" customHeight="true" outlineLevel="0" collapsed="false">
      <c r="AJ572" s="17" t="str">
        <f aca="false">IF(Data_Summary!Y573&lt;&gt;"Coverage","",IF(Data_Summary!AA573="","",IF(COUNTIFS(Data_Summary!$Y$2:$Y573,"Coverage",Data_Summary!$AA$2:$AA573,Data_Summary!AA573)=1,Data_Summary!AA573,"")))</f>
        <v/>
      </c>
      <c r="AK572" s="17" t="str">
        <f aca="false">IF(AJ572="","",COUNTIFS(Data_Summary!$Y$2:$Y$20001,"Coverage",Data_Summary!$AA$2:$AA$20001,AJ572))</f>
        <v/>
      </c>
    </row>
    <row r="573" customFormat="false" ht="12.75" hidden="false" customHeight="true" outlineLevel="0" collapsed="false">
      <c r="AJ573" s="17" t="str">
        <f aca="false">IF(Data_Summary!Y574&lt;&gt;"Coverage","",IF(Data_Summary!AA574="","",IF(COUNTIFS(Data_Summary!$Y$2:$Y574,"Coverage",Data_Summary!$AA$2:$AA574,Data_Summary!AA574)=1,Data_Summary!AA574,"")))</f>
        <v/>
      </c>
      <c r="AK573" s="17" t="str">
        <f aca="false">IF(AJ573="","",COUNTIFS(Data_Summary!$Y$2:$Y$20001,"Coverage",Data_Summary!$AA$2:$AA$20001,AJ573))</f>
        <v/>
      </c>
    </row>
    <row r="574" customFormat="false" ht="12.75" hidden="false" customHeight="true" outlineLevel="0" collapsed="false">
      <c r="AJ574" s="17" t="str">
        <f aca="false">IF(Data_Summary!Y575&lt;&gt;"Coverage","",IF(Data_Summary!AA575="","",IF(COUNTIFS(Data_Summary!$Y$2:$Y575,"Coverage",Data_Summary!$AA$2:$AA575,Data_Summary!AA575)=1,Data_Summary!AA575,"")))</f>
        <v/>
      </c>
      <c r="AK574" s="17" t="str">
        <f aca="false">IF(AJ574="","",COUNTIFS(Data_Summary!$Y$2:$Y$20001,"Coverage",Data_Summary!$AA$2:$AA$20001,AJ574))</f>
        <v/>
      </c>
    </row>
    <row r="575" customFormat="false" ht="12.75" hidden="false" customHeight="true" outlineLevel="0" collapsed="false">
      <c r="AJ575" s="17" t="str">
        <f aca="false">IF(Data_Summary!Y576&lt;&gt;"Coverage","",IF(Data_Summary!AA576="","",IF(COUNTIFS(Data_Summary!$Y$2:$Y576,"Coverage",Data_Summary!$AA$2:$AA576,Data_Summary!AA576)=1,Data_Summary!AA576,"")))</f>
        <v>Clarity On Appraisal/performance Timelines And Edge Cases</v>
      </c>
      <c r="AK575" s="17" t="n">
        <f aca="false">IF(AJ575="","",COUNTIFS(Data_Summary!$Y$2:$Y$20001,"Coverage",Data_Summary!$AA$2:$AA$20001,AJ575))</f>
        <v>4</v>
      </c>
    </row>
    <row r="576" customFormat="false" ht="12.75" hidden="false" customHeight="true" outlineLevel="0" collapsed="false">
      <c r="AJ576" s="17" t="str">
        <f aca="false">IF(Data_Summary!Y577&lt;&gt;"Coverage","",IF(Data_Summary!AA577="","",IF(COUNTIFS(Data_Summary!$Y$2:$Y577,"Coverage",Data_Summary!$AA$2:$AA577,Data_Summary!AA577)=1,Data_Summary!AA577,"")))</f>
        <v/>
      </c>
      <c r="AK576" s="17" t="str">
        <f aca="false">IF(AJ576="","",COUNTIFS(Data_Summary!$Y$2:$Y$20001,"Coverage",Data_Summary!$AA$2:$AA$20001,AJ576))</f>
        <v/>
      </c>
    </row>
    <row r="577" customFormat="false" ht="12.75" hidden="false" customHeight="true" outlineLevel="0" collapsed="false">
      <c r="AJ577" s="17" t="str">
        <f aca="false">IF(Data_Summary!Y578&lt;&gt;"Coverage","",IF(Data_Summary!AA578="","",IF(COUNTIFS(Data_Summary!$Y$2:$Y578,"Coverage",Data_Summary!$AA$2:$AA578,Data_Summary!AA578)=1,Data_Summary!AA578,"")))</f>
        <v/>
      </c>
      <c r="AK577" s="17" t="str">
        <f aca="false">IF(AJ577="","",COUNTIFS(Data_Summary!$Y$2:$Y$20001,"Coverage",Data_Summary!$AA$2:$AA$20001,AJ577))</f>
        <v/>
      </c>
    </row>
    <row r="578" customFormat="false" ht="12.75" hidden="false" customHeight="true" outlineLevel="0" collapsed="false">
      <c r="AJ578" s="17" t="str">
        <f aca="false">IF(Data_Summary!Y579&lt;&gt;"Coverage","",IF(Data_Summary!AA579="","",IF(COUNTIFS(Data_Summary!$Y$2:$Y579,"Coverage",Data_Summary!$AA$2:$AA579,Data_Summary!AA579)=1,Data_Summary!AA579,"")))</f>
        <v/>
      </c>
      <c r="AK578" s="17" t="str">
        <f aca="false">IF(AJ578="","",COUNTIFS(Data_Summary!$Y$2:$Y$20001,"Coverage",Data_Summary!$AA$2:$AA$20001,AJ578))</f>
        <v/>
      </c>
    </row>
    <row r="579" customFormat="false" ht="12.75" hidden="false" customHeight="true" outlineLevel="0" collapsed="false">
      <c r="AJ579" s="17" t="str">
        <f aca="false">IF(Data_Summary!Y580&lt;&gt;"Coverage","",IF(Data_Summary!AA580="","",IF(COUNTIFS(Data_Summary!$Y$2:$Y580,"Coverage",Data_Summary!$AA$2:$AA580,Data_Summary!AA580)=1,Data_Summary!AA580,"")))</f>
        <v/>
      </c>
      <c r="AK579" s="17" t="str">
        <f aca="false">IF(AJ579="","",COUNTIFS(Data_Summary!$Y$2:$Y$20001,"Coverage",Data_Summary!$AA$2:$AA$20001,AJ579))</f>
        <v/>
      </c>
    </row>
    <row r="580" customFormat="false" ht="12.75" hidden="false" customHeight="true" outlineLevel="0" collapsed="false">
      <c r="AJ580" s="17" t="str">
        <f aca="false">IF(Data_Summary!Y581&lt;&gt;"Coverage","",IF(Data_Summary!AA581="","",IF(COUNTIFS(Data_Summary!$Y$2:$Y581,"Coverage",Data_Summary!$AA$2:$AA581,Data_Summary!AA581)=1,Data_Summary!AA581,"")))</f>
        <v/>
      </c>
      <c r="AK580" s="17" t="str">
        <f aca="false">IF(AJ580="","",COUNTIFS(Data_Summary!$Y$2:$Y$20001,"Coverage",Data_Summary!$AA$2:$AA$20001,AJ580))</f>
        <v/>
      </c>
    </row>
    <row r="581" customFormat="false" ht="12.75" hidden="false" customHeight="true" outlineLevel="0" collapsed="false">
      <c r="AJ581" s="17" t="str">
        <f aca="false">IF(Data_Summary!Y582&lt;&gt;"Coverage","",IF(Data_Summary!AA582="","",IF(COUNTIFS(Data_Summary!$Y$2:$Y582,"Coverage",Data_Summary!$AA$2:$AA582,Data_Summary!AA582)=1,Data_Summary!AA582,"")))</f>
        <v/>
      </c>
      <c r="AK581" s="17" t="str">
        <f aca="false">IF(AJ581="","",COUNTIFS(Data_Summary!$Y$2:$Y$20001,"Coverage",Data_Summary!$AA$2:$AA$20001,AJ581))</f>
        <v/>
      </c>
    </row>
    <row r="582" customFormat="false" ht="12.75" hidden="false" customHeight="true" outlineLevel="0" collapsed="false">
      <c r="AJ582" s="17" t="str">
        <f aca="false">IF(Data_Summary!Y583&lt;&gt;"Coverage","",IF(Data_Summary!AA583="","",IF(COUNTIFS(Data_Summary!$Y$2:$Y583,"Coverage",Data_Summary!$AA$2:$AA583,Data_Summary!AA583)=1,Data_Summary!AA583,"")))</f>
        <v/>
      </c>
      <c r="AK582" s="17" t="str">
        <f aca="false">IF(AJ582="","",COUNTIFS(Data_Summary!$Y$2:$Y$20001,"Coverage",Data_Summary!$AA$2:$AA$20001,AJ582))</f>
        <v/>
      </c>
    </row>
    <row r="583" customFormat="false" ht="12.75" hidden="false" customHeight="true" outlineLevel="0" collapsed="false">
      <c r="AJ583" s="17" t="str">
        <f aca="false">IF(Data_Summary!Y584&lt;&gt;"Coverage","",IF(Data_Summary!AA584="","",IF(COUNTIFS(Data_Summary!$Y$2:$Y584,"Coverage",Data_Summary!$AA$2:$AA584,Data_Summary!AA584)=1,Data_Summary!AA584,"")))</f>
        <v/>
      </c>
      <c r="AK583" s="17" t="str">
        <f aca="false">IF(AJ583="","",COUNTIFS(Data_Summary!$Y$2:$Y$20001,"Coverage",Data_Summary!$AA$2:$AA$20001,AJ583))</f>
        <v/>
      </c>
    </row>
    <row r="584" customFormat="false" ht="12.75" hidden="false" customHeight="true" outlineLevel="0" collapsed="false">
      <c r="AJ584" s="17" t="str">
        <f aca="false">IF(Data_Summary!Y585&lt;&gt;"Coverage","",IF(Data_Summary!AA585="","",IF(COUNTIFS(Data_Summary!$Y$2:$Y585,"Coverage",Data_Summary!$AA$2:$AA585,Data_Summary!AA585)=1,Data_Summary!AA585,"")))</f>
        <v>Compensation &amp; Retention Risk</v>
      </c>
      <c r="AK584" s="17" t="n">
        <f aca="false">IF(AJ584="","",COUNTIFS(Data_Summary!$Y$2:$Y$20001,"Coverage",Data_Summary!$AA$2:$AA$20001,AJ584))</f>
        <v>5</v>
      </c>
    </row>
    <row r="585" customFormat="false" ht="12.75" hidden="false" customHeight="true" outlineLevel="0" collapsed="false">
      <c r="AJ585" s="17" t="str">
        <f aca="false">IF(Data_Summary!Y586&lt;&gt;"Coverage","",IF(Data_Summary!AA586="","",IF(COUNTIFS(Data_Summary!$Y$2:$Y586,"Coverage",Data_Summary!$AA$2:$AA586,Data_Summary!AA586)=1,Data_Summary!AA586,"")))</f>
        <v/>
      </c>
      <c r="AK585" s="17" t="str">
        <f aca="false">IF(AJ585="","",COUNTIFS(Data_Summary!$Y$2:$Y$20001,"Coverage",Data_Summary!$AA$2:$AA$20001,AJ585))</f>
        <v/>
      </c>
    </row>
    <row r="586" customFormat="false" ht="12.75" hidden="false" customHeight="true" outlineLevel="0" collapsed="false">
      <c r="AJ586" s="17" t="str">
        <f aca="false">IF(Data_Summary!Y587&lt;&gt;"Coverage","",IF(Data_Summary!AA587="","",IF(COUNTIFS(Data_Summary!$Y$2:$Y587,"Coverage",Data_Summary!$AA$2:$AA587,Data_Summary!AA587)=1,Data_Summary!AA587,"")))</f>
        <v/>
      </c>
      <c r="AK586" s="17" t="str">
        <f aca="false">IF(AJ586="","",COUNTIFS(Data_Summary!$Y$2:$Y$20001,"Coverage",Data_Summary!$AA$2:$AA$20001,AJ586))</f>
        <v/>
      </c>
    </row>
    <row r="587" customFormat="false" ht="12.75" hidden="false" customHeight="true" outlineLevel="0" collapsed="false">
      <c r="AJ587" s="17" t="str">
        <f aca="false">IF(Data_Summary!Y588&lt;&gt;"Coverage","",IF(Data_Summary!AA588="","",IF(COUNTIFS(Data_Summary!$Y$2:$Y588,"Coverage",Data_Summary!$AA$2:$AA588,Data_Summary!AA588)=1,Data_Summary!AA588,"")))</f>
        <v/>
      </c>
      <c r="AK587" s="17" t="str">
        <f aca="false">IF(AJ587="","",COUNTIFS(Data_Summary!$Y$2:$Y$20001,"Coverage",Data_Summary!$AA$2:$AA$20001,AJ587))</f>
        <v/>
      </c>
    </row>
    <row r="588" customFormat="false" ht="12.75" hidden="false" customHeight="true" outlineLevel="0" collapsed="false">
      <c r="AJ588" s="17" t="str">
        <f aca="false">IF(Data_Summary!Y589&lt;&gt;"Coverage","",IF(Data_Summary!AA589="","",IF(COUNTIFS(Data_Summary!$Y$2:$Y589,"Coverage",Data_Summary!$AA$2:$AA589,Data_Summary!AA589)=1,Data_Summary!AA589,"")))</f>
        <v/>
      </c>
      <c r="AK588" s="17" t="str">
        <f aca="false">IF(AJ588="","",COUNTIFS(Data_Summary!$Y$2:$Y$20001,"Coverage",Data_Summary!$AA$2:$AA$20001,AJ588))</f>
        <v/>
      </c>
    </row>
    <row r="589" customFormat="false" ht="12.75" hidden="false" customHeight="true" outlineLevel="0" collapsed="false">
      <c r="AJ589" s="17" t="str">
        <f aca="false">IF(Data_Summary!Y590&lt;&gt;"Coverage","",IF(Data_Summary!AA590="","",IF(COUNTIFS(Data_Summary!$Y$2:$Y590,"Coverage",Data_Summary!$AA$2:$AA590,Data_Summary!AA590)=1,Data_Summary!AA590,"")))</f>
        <v/>
      </c>
      <c r="AK589" s="17" t="str">
        <f aca="false">IF(AJ589="","",COUNTIFS(Data_Summary!$Y$2:$Y$20001,"Coverage",Data_Summary!$AA$2:$AA$20001,AJ589))</f>
        <v/>
      </c>
    </row>
    <row r="590" customFormat="false" ht="12.75" hidden="false" customHeight="true" outlineLevel="0" collapsed="false">
      <c r="AJ590" s="17" t="str">
        <f aca="false">IF(Data_Summary!Y591&lt;&gt;"Coverage","",IF(Data_Summary!AA591="","",IF(COUNTIFS(Data_Summary!$Y$2:$Y591,"Coverage",Data_Summary!$AA$2:$AA591,Data_Summary!AA591)=1,Data_Summary!AA591,"")))</f>
        <v/>
      </c>
      <c r="AK590" s="17" t="str">
        <f aca="false">IF(AJ590="","",COUNTIFS(Data_Summary!$Y$2:$Y$20001,"Coverage",Data_Summary!$AA$2:$AA$20001,AJ590))</f>
        <v/>
      </c>
    </row>
    <row r="591" customFormat="false" ht="12.75" hidden="false" customHeight="true" outlineLevel="0" collapsed="false">
      <c r="AJ591" s="17" t="str">
        <f aca="false">IF(Data_Summary!Y592&lt;&gt;"Coverage","",IF(Data_Summary!AA592="","",IF(COUNTIFS(Data_Summary!$Y$2:$Y592,"Coverage",Data_Summary!$AA$2:$AA592,Data_Summary!AA592)=1,Data_Summary!AA592,"")))</f>
        <v/>
      </c>
      <c r="AK591" s="17" t="str">
        <f aca="false">IF(AJ591="","",COUNTIFS(Data_Summary!$Y$2:$Y$20001,"Coverage",Data_Summary!$AA$2:$AA$20001,AJ591))</f>
        <v/>
      </c>
    </row>
    <row r="592" customFormat="false" ht="12.75" hidden="false" customHeight="true" outlineLevel="0" collapsed="false">
      <c r="AJ592" s="17" t="str">
        <f aca="false">IF(Data_Summary!Y593&lt;&gt;"Coverage","",IF(Data_Summary!AA593="","",IF(COUNTIFS(Data_Summary!$Y$2:$Y593,"Coverage",Data_Summary!$AA$2:$AA593,Data_Summary!AA593)=1,Data_Summary!AA593,"")))</f>
        <v/>
      </c>
      <c r="AK592" s="17" t="str">
        <f aca="false">IF(AJ592="","",COUNTIFS(Data_Summary!$Y$2:$Y$20001,"Coverage",Data_Summary!$AA$2:$AA$20001,AJ592))</f>
        <v/>
      </c>
    </row>
    <row r="593" customFormat="false" ht="12.75" hidden="false" customHeight="true" outlineLevel="0" collapsed="false">
      <c r="AJ593" s="17" t="str">
        <f aca="false">IF(Data_Summary!Y594&lt;&gt;"Coverage","",IF(Data_Summary!AA594="","",IF(COUNTIFS(Data_Summary!$Y$2:$Y594,"Coverage",Data_Summary!$AA$2:$AA594,Data_Summary!AA594)=1,Data_Summary!AA594,"")))</f>
        <v/>
      </c>
      <c r="AK593" s="17" t="str">
        <f aca="false">IF(AJ593="","",COUNTIFS(Data_Summary!$Y$2:$Y$20001,"Coverage",Data_Summary!$AA$2:$AA$20001,AJ593))</f>
        <v/>
      </c>
    </row>
    <row r="594" customFormat="false" ht="12.75" hidden="false" customHeight="true" outlineLevel="0" collapsed="false">
      <c r="AJ594" s="17" t="str">
        <f aca="false">IF(Data_Summary!Y595&lt;&gt;"Coverage","",IF(Data_Summary!AA595="","",IF(COUNTIFS(Data_Summary!$Y$2:$Y595,"Coverage",Data_Summary!$AA$2:$AA595,Data_Summary!AA595)=1,Data_Summary!AA595,"")))</f>
        <v/>
      </c>
      <c r="AK594" s="17" t="str">
        <f aca="false">IF(AJ594="","",COUNTIFS(Data_Summary!$Y$2:$Y$20001,"Coverage",Data_Summary!$AA$2:$AA$20001,AJ594))</f>
        <v/>
      </c>
    </row>
    <row r="595" customFormat="false" ht="12.75" hidden="false" customHeight="true" outlineLevel="0" collapsed="false">
      <c r="AJ595" s="17" t="str">
        <f aca="false">IF(Data_Summary!Y596&lt;&gt;"Coverage","",IF(Data_Summary!AA596="","",IF(COUNTIFS(Data_Summary!$Y$2:$Y596,"Coverage",Data_Summary!$AA$2:$AA596,Data_Summary!AA596)=1,Data_Summary!AA596,"")))</f>
        <v/>
      </c>
      <c r="AK595" s="17" t="str">
        <f aca="false">IF(AJ595="","",COUNTIFS(Data_Summary!$Y$2:$Y$20001,"Coverage",Data_Summary!$AA$2:$AA$20001,AJ595))</f>
        <v/>
      </c>
    </row>
    <row r="596" customFormat="false" ht="12.75" hidden="false" customHeight="true" outlineLevel="0" collapsed="false">
      <c r="AJ596" s="17" t="str">
        <f aca="false">IF(Data_Summary!Y597&lt;&gt;"Coverage","",IF(Data_Summary!AA597="","",IF(COUNTIFS(Data_Summary!$Y$2:$Y597,"Coverage",Data_Summary!$AA$2:$AA597,Data_Summary!AA597)=1,Data_Summary!AA597,"")))</f>
        <v/>
      </c>
      <c r="AK596" s="17" t="str">
        <f aca="false">IF(AJ596="","",COUNTIFS(Data_Summary!$Y$2:$Y$20001,"Coverage",Data_Summary!$AA$2:$AA$20001,AJ596))</f>
        <v/>
      </c>
    </row>
    <row r="597" customFormat="false" ht="12.75" hidden="false" customHeight="true" outlineLevel="0" collapsed="false">
      <c r="AJ597" s="17" t="str">
        <f aca="false">IF(Data_Summary!Y598&lt;&gt;"Coverage","",IF(Data_Summary!AA598="","",IF(COUNTIFS(Data_Summary!$Y$2:$Y598,"Coverage",Data_Summary!$AA$2:$AA598,Data_Summary!AA598)=1,Data_Summary!AA598,"")))</f>
        <v/>
      </c>
      <c r="AK597" s="17" t="str">
        <f aca="false">IF(AJ597="","",COUNTIFS(Data_Summary!$Y$2:$Y$20001,"Coverage",Data_Summary!$AA$2:$AA$20001,AJ597))</f>
        <v/>
      </c>
    </row>
    <row r="598" customFormat="false" ht="12.75" hidden="false" customHeight="true" outlineLevel="0" collapsed="false">
      <c r="AJ598" s="17" t="str">
        <f aca="false">IF(Data_Summary!Y599&lt;&gt;"Coverage","",IF(Data_Summary!AA599="","",IF(COUNTIFS(Data_Summary!$Y$2:$Y599,"Coverage",Data_Summary!$AA$2:$AA599,Data_Summary!AA599)=1,Data_Summary!AA599,"")))</f>
        <v/>
      </c>
      <c r="AK598" s="17" t="str">
        <f aca="false">IF(AJ598="","",COUNTIFS(Data_Summary!$Y$2:$Y$20001,"Coverage",Data_Summary!$AA$2:$AA$20001,AJ598))</f>
        <v/>
      </c>
    </row>
    <row r="599" customFormat="false" ht="12.75" hidden="false" customHeight="true" outlineLevel="0" collapsed="false">
      <c r="AJ599" s="17" t="str">
        <f aca="false">IF(Data_Summary!Y600&lt;&gt;"Coverage","",IF(Data_Summary!AA600="","",IF(COUNTIFS(Data_Summary!$Y$2:$Y600,"Coverage",Data_Summary!$AA$2:$AA600,Data_Summary!AA600)=1,Data_Summary!AA600,"")))</f>
        <v/>
      </c>
      <c r="AK599" s="17" t="str">
        <f aca="false">IF(AJ599="","",COUNTIFS(Data_Summary!$Y$2:$Y$20001,"Coverage",Data_Summary!$AA$2:$AA$20001,AJ599))</f>
        <v/>
      </c>
    </row>
  </sheetData>
  <mergeCells count="6">
    <mergeCell ref="J1:O1"/>
    <mergeCell ref="Q1:T1"/>
    <mergeCell ref="A48:D48"/>
    <mergeCell ref="A261:E261"/>
    <mergeCell ref="A268:H268"/>
    <mergeCell ref="A269:H2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70"/>
  <sheetViews>
    <sheetView showFormulas="false" showGridLines="false" showRowColHeaders="true" showZeros="true" rightToLeft="false" tabSelected="true" showOutlineSymbols="true" defaultGridColor="true" view="normal" topLeftCell="A1" colorId="64" zoomScale="94" zoomScaleNormal="94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B16" activeCellId="0" sqref="AB1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.14"/>
    <col collapsed="false" customWidth="true" hidden="false" outlineLevel="0" max="2" min="2" style="0" width="1.42"/>
    <col collapsed="false" customWidth="true" hidden="false" outlineLevel="0" max="3" min="3" style="0" width="28"/>
    <col collapsed="false" customWidth="true" hidden="false" outlineLevel="0" max="4" min="4" style="0" width="9.42"/>
    <col collapsed="false" customWidth="true" hidden="false" outlineLevel="0" max="5" min="5" style="0" width="10.71"/>
    <col collapsed="false" customWidth="true" hidden="false" outlineLevel="0" max="6" min="6" style="0" width="7.42"/>
    <col collapsed="false" customWidth="true" hidden="false" outlineLevel="0" max="7" min="7" style="0" width="8"/>
    <col collapsed="false" customWidth="true" hidden="false" outlineLevel="0" max="8" min="8" style="0" width="6.43"/>
    <col collapsed="false" customWidth="true" hidden="false" outlineLevel="0" max="16" min="9" style="0" width="6"/>
    <col collapsed="false" customWidth="true" hidden="false" outlineLevel="0" max="17" min="17" style="0" width="8.29"/>
    <col collapsed="false" customWidth="true" hidden="false" outlineLevel="0" max="18" min="18" style="0" width="6"/>
    <col collapsed="false" customWidth="true" hidden="false" outlineLevel="0" max="19" min="19" style="0" width="7.42"/>
    <col collapsed="false" customWidth="true" hidden="false" outlineLevel="0" max="20" min="20" style="0" width="7.71"/>
    <col collapsed="false" customWidth="true" hidden="false" outlineLevel="0" max="21" min="21" style="0" width="6"/>
    <col collapsed="false" customWidth="true" hidden="false" outlineLevel="0" max="22" min="22" style="0" width="8.15"/>
    <col collapsed="false" customWidth="true" hidden="false" outlineLevel="0" max="23" min="23" style="0" width="6"/>
    <col collapsed="false" customWidth="true" hidden="false" outlineLevel="0" max="24" min="24" style="0" width="12.15"/>
    <col collapsed="false" customWidth="true" hidden="false" outlineLevel="0" max="25" min="25" style="0" width="1.42"/>
  </cols>
  <sheetData>
    <row r="1" customFormat="false" ht="6" hidden="false" customHeight="true" outlineLevel="0" collapsed="false"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</row>
    <row r="2" customFormat="false" ht="36" hidden="false" customHeight="true" outlineLevel="0" collapsed="false">
      <c r="B2" s="78"/>
      <c r="C2" s="79" t="s">
        <v>3022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80" t="s">
        <v>3023</v>
      </c>
      <c r="T2" s="80"/>
      <c r="U2" s="80"/>
      <c r="V2" s="80"/>
      <c r="W2" s="80"/>
      <c r="X2" s="80"/>
      <c r="Y2" s="77"/>
      <c r="Z2" s="77"/>
      <c r="AA2" s="77"/>
      <c r="AB2" s="77"/>
    </row>
    <row r="3" customFormat="false" ht="21.75" hidden="false" customHeight="true" outlineLevel="0" collapsed="false">
      <c r="B3" s="78"/>
      <c r="C3" s="81" t="s">
        <v>3024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2"/>
      <c r="V3" s="82"/>
      <c r="W3" s="82"/>
      <c r="X3" s="82"/>
      <c r="Y3" s="77"/>
      <c r="Z3" s="77"/>
      <c r="AA3" s="77"/>
      <c r="AB3" s="77"/>
    </row>
    <row r="4" customFormat="false" ht="13.5" hidden="false" customHeight="true" outlineLevel="0" collapsed="false">
      <c r="B4" s="78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</row>
    <row r="5" customFormat="false" ht="6" hidden="false" customHeight="true" outlineLevel="0" collapsed="false"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</row>
    <row r="6" customFormat="false" ht="7.5" hidden="false" customHeight="true" outlineLevel="0" collapsed="false"/>
    <row r="7" customFormat="false" ht="3.75" hidden="false" customHeight="true" outlineLevel="0" collapsed="false">
      <c r="C7" s="83"/>
      <c r="D7" s="83"/>
      <c r="E7" s="83"/>
      <c r="F7" s="83"/>
      <c r="G7" s="83"/>
      <c r="H7" s="83"/>
      <c r="I7" s="84"/>
      <c r="J7" s="84"/>
      <c r="K7" s="84"/>
      <c r="L7" s="85"/>
      <c r="M7" s="85"/>
      <c r="N7" s="85"/>
      <c r="O7" s="86"/>
      <c r="P7" s="86"/>
      <c r="Q7" s="86"/>
      <c r="R7" s="87"/>
      <c r="S7" s="87"/>
      <c r="T7" s="87"/>
      <c r="U7" s="88"/>
      <c r="V7" s="88"/>
      <c r="W7" s="88"/>
      <c r="X7" s="88"/>
    </row>
    <row r="8" customFormat="false" ht="36" hidden="false" customHeight="true" outlineLevel="0" collapsed="false">
      <c r="C8" s="89" t="n">
        <f aca="false">Calc!B3</f>
        <v>500</v>
      </c>
      <c r="D8" s="89"/>
      <c r="E8" s="89"/>
      <c r="F8" s="90" t="n">
        <f aca="false">Calc!B4</f>
        <v>44</v>
      </c>
      <c r="G8" s="90"/>
      <c r="H8" s="90"/>
      <c r="I8" s="90" t="n">
        <f aca="false">Calc!B7</f>
        <v>108</v>
      </c>
      <c r="J8" s="90"/>
      <c r="K8" s="90"/>
      <c r="L8" s="91" t="n">
        <f aca="false">Calc!B5</f>
        <v>83</v>
      </c>
      <c r="M8" s="91"/>
      <c r="N8" s="91"/>
      <c r="O8" s="92" t="n">
        <f aca="false">Calc!B13</f>
        <v>74.6</v>
      </c>
      <c r="P8" s="92"/>
      <c r="Q8" s="92"/>
      <c r="R8" s="93" t="n">
        <f aca="false">Calc!B14</f>
        <v>79.4</v>
      </c>
      <c r="S8" s="93"/>
      <c r="T8" s="93"/>
      <c r="U8" s="89" t="n">
        <f aca="false">Calc!B15</f>
        <v>499</v>
      </c>
      <c r="V8" s="89"/>
      <c r="W8" s="89" t="n">
        <f aca="false">Calc!B16</f>
        <v>10</v>
      </c>
      <c r="X8" s="89"/>
    </row>
    <row r="9" customFormat="false" ht="18" hidden="false" customHeight="true" outlineLevel="0" collapsed="false">
      <c r="C9" s="94" t="s">
        <v>3025</v>
      </c>
      <c r="D9" s="94"/>
      <c r="E9" s="94"/>
      <c r="F9" s="94" t="s">
        <v>3026</v>
      </c>
      <c r="G9" s="94"/>
      <c r="H9" s="94"/>
      <c r="I9" s="94" t="s">
        <v>3027</v>
      </c>
      <c r="J9" s="94"/>
      <c r="K9" s="94"/>
      <c r="L9" s="94" t="s">
        <v>3028</v>
      </c>
      <c r="M9" s="94"/>
      <c r="N9" s="94"/>
      <c r="O9" s="94" t="s">
        <v>3029</v>
      </c>
      <c r="P9" s="94"/>
      <c r="Q9" s="94"/>
      <c r="R9" s="94" t="s">
        <v>3030</v>
      </c>
      <c r="S9" s="94"/>
      <c r="T9" s="94"/>
      <c r="U9" s="94" t="s">
        <v>3031</v>
      </c>
      <c r="V9" s="94"/>
      <c r="W9" s="94" t="s">
        <v>3032</v>
      </c>
      <c r="X9" s="94"/>
    </row>
    <row r="10" customFormat="false" ht="13.5" hidden="false" customHeight="true" outlineLevel="0" collapsed="false">
      <c r="C10" s="95"/>
      <c r="D10" s="95"/>
      <c r="E10" s="95"/>
      <c r="F10" s="95" t="s">
        <v>3033</v>
      </c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</row>
    <row r="11" customFormat="false" ht="6" hidden="false" customHeight="true" outlineLevel="0" collapsed="false"/>
    <row r="12" customFormat="false" ht="15.75" hidden="false" customHeight="true" outlineLevel="0" collapsed="false">
      <c r="C12" s="96" t="s">
        <v>3034</v>
      </c>
      <c r="D12" s="96"/>
      <c r="E12" s="96"/>
      <c r="F12" s="96"/>
      <c r="G12" s="96"/>
      <c r="H12" s="96"/>
      <c r="I12" s="96" t="s">
        <v>9</v>
      </c>
      <c r="J12" s="96"/>
      <c r="K12" s="96"/>
      <c r="L12" s="96"/>
      <c r="M12" s="96"/>
      <c r="N12" s="96"/>
      <c r="O12" s="96" t="s">
        <v>3035</v>
      </c>
      <c r="P12" s="96"/>
      <c r="Q12" s="96"/>
      <c r="R12" s="96"/>
      <c r="S12" s="96"/>
      <c r="T12" s="96"/>
      <c r="U12" s="96" t="s">
        <v>3036</v>
      </c>
      <c r="V12" s="96"/>
      <c r="W12" s="96"/>
      <c r="X12" s="96"/>
    </row>
    <row r="13" customFormat="false" ht="19.5" hidden="false" customHeight="true" outlineLevel="0" collapsed="false">
      <c r="C13" s="97" t="str">
        <f aca="false">Calc!B17</f>
        <v>DEA Service Line</v>
      </c>
      <c r="D13" s="97"/>
      <c r="E13" s="97"/>
      <c r="F13" s="97"/>
      <c r="G13" s="97"/>
      <c r="H13" s="97"/>
      <c r="I13" s="97" t="str">
        <f aca="false">Calc!B18</f>
        <v>IBU Specific Connect </v>
      </c>
      <c r="J13" s="97"/>
      <c r="K13" s="97"/>
      <c r="L13" s="97"/>
      <c r="M13" s="97"/>
      <c r="N13" s="97"/>
      <c r="O13" s="98" t="str">
        <f aca="false">Calc!B19</f>
        <v>Alignment</v>
      </c>
      <c r="P13" s="98"/>
      <c r="Q13" s="98"/>
      <c r="R13" s="98"/>
      <c r="S13" s="98"/>
      <c r="T13" s="98"/>
      <c r="U13" s="99" t="n">
        <f aca="false">Calc!B20</f>
        <v>127</v>
      </c>
      <c r="V13" s="99"/>
      <c r="W13" s="99"/>
      <c r="X13" s="99"/>
    </row>
    <row r="14" customFormat="false" ht="6" hidden="false" customHeight="true" outlineLevel="0" collapsed="false"/>
    <row r="15" customFormat="false" ht="19.5" hidden="false" customHeight="true" outlineLevel="0" collapsed="false">
      <c r="C15" s="100" t="s">
        <v>3037</v>
      </c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</row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6" hidden="false" customHeight="true" outlineLevel="0" collapsed="false"/>
    <row r="35" customFormat="false" ht="19.5" hidden="false" customHeight="true" outlineLevel="0" collapsed="false">
      <c r="C35" s="101" t="s">
        <v>3038</v>
      </c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</row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6" hidden="false" customHeight="true" outlineLevel="0" collapsed="false"/>
    <row r="55" customFormat="false" ht="6" hidden="false" customHeight="true" outlineLevel="0" collapsed="false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</row>
    <row r="56" customFormat="false" ht="19.5" hidden="false" customHeight="true" outlineLevel="0" collapsed="false">
      <c r="C56" s="103" t="s">
        <v>3039</v>
      </c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</row>
    <row r="57" s="104" customFormat="true" ht="19.5" hidden="false" customHeight="true" outlineLevel="0" collapsed="false"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</row>
    <row r="58" s="104" customFormat="true" ht="19.5" hidden="false" customHeight="true" outlineLevel="0" collapsed="false"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</row>
    <row r="59" s="104" customFormat="true" ht="19.5" hidden="false" customHeight="true" outlineLevel="0" collapsed="false"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</row>
    <row r="60" s="104" customFormat="true" ht="19.5" hidden="false" customHeight="true" outlineLevel="0" collapsed="false"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</row>
    <row r="61" s="104" customFormat="true" ht="19.5" hidden="false" customHeight="true" outlineLevel="0" collapsed="false"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</row>
    <row r="62" s="104" customFormat="true" ht="19.5" hidden="false" customHeight="true" outlineLevel="0" collapsed="false"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</row>
    <row r="63" s="104" customFormat="true" ht="19.5" hidden="false" customHeight="true" outlineLevel="0" collapsed="false"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</row>
    <row r="64" s="104" customFormat="true" ht="19.5" hidden="false" customHeight="true" outlineLevel="0" collapsed="false"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</row>
    <row r="65" s="104" customFormat="true" ht="19.5" hidden="false" customHeight="true" outlineLevel="0" collapsed="false"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</row>
    <row r="66" s="104" customFormat="true" ht="19.5" hidden="false" customHeight="true" outlineLevel="0" collapsed="false"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</row>
    <row r="67" s="104" customFormat="true" ht="19.5" hidden="false" customHeight="true" outlineLevel="0" collapsed="false"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</row>
    <row r="68" s="104" customFormat="true" ht="19.5" hidden="false" customHeight="true" outlineLevel="0" collapsed="false"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</row>
    <row r="69" s="104" customFormat="true" ht="19.5" hidden="false" customHeight="true" outlineLevel="0" collapsed="false"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</row>
    <row r="70" customFormat="false" ht="21.75" hidden="false" customHeight="true" outlineLevel="0" collapsed="false">
      <c r="A70" s="102"/>
      <c r="B70" s="102"/>
      <c r="C70" s="106" t="s">
        <v>3040</v>
      </c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2"/>
      <c r="Y70" s="102"/>
    </row>
    <row r="71" customFormat="false" ht="36.75" hidden="false" customHeight="true" outlineLevel="0" collapsed="false">
      <c r="A71" s="102"/>
      <c r="B71" s="102"/>
      <c r="C71" s="107"/>
      <c r="D71" s="107"/>
      <c r="E71" s="107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</row>
    <row r="72" customFormat="false" ht="15" hidden="false" customHeight="true" outlineLevel="0" collapsed="false">
      <c r="A72" s="102"/>
      <c r="B72" s="102"/>
      <c r="C72" s="108"/>
      <c r="D72" s="109"/>
      <c r="E72" s="110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</row>
    <row r="73" customFormat="false" ht="15" hidden="false" customHeight="true" outlineLevel="0" collapsed="false">
      <c r="A73" s="102"/>
      <c r="B73" s="102"/>
      <c r="C73" s="111"/>
      <c r="D73" s="112"/>
      <c r="E73" s="113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</row>
    <row r="74" customFormat="false" ht="15" hidden="false" customHeight="true" outlineLevel="0" collapsed="false">
      <c r="A74" s="102"/>
      <c r="B74" s="102"/>
      <c r="C74" s="108"/>
      <c r="D74" s="109"/>
      <c r="E74" s="114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</row>
    <row r="75" customFormat="false" ht="15" hidden="false" customHeight="true" outlineLevel="0" collapsed="false">
      <c r="A75" s="102"/>
      <c r="B75" s="102"/>
      <c r="C75" s="111"/>
      <c r="D75" s="112"/>
      <c r="E75" s="110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</row>
    <row r="76" customFormat="false" ht="15" hidden="false" customHeight="true" outlineLevel="0" collapsed="false">
      <c r="A76" s="102"/>
      <c r="B76" s="102"/>
      <c r="C76" s="108"/>
      <c r="D76" s="109"/>
      <c r="E76" s="114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</row>
    <row r="77" customFormat="false" ht="15" hidden="false" customHeight="true" outlineLevel="0" collapsed="false">
      <c r="A77" s="102"/>
      <c r="B77" s="102"/>
      <c r="C77" s="111"/>
      <c r="D77" s="112"/>
      <c r="E77" s="113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</row>
    <row r="78" customFormat="false" ht="15" hidden="false" customHeight="true" outlineLevel="0" collapsed="false">
      <c r="A78" s="102"/>
      <c r="B78" s="102"/>
      <c r="C78" s="108"/>
      <c r="D78" s="109"/>
      <c r="E78" s="114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</row>
    <row r="79" customFormat="false" ht="15" hidden="false" customHeight="true" outlineLevel="0" collapsed="false">
      <c r="A79" s="102"/>
      <c r="B79" s="102"/>
      <c r="C79" s="111"/>
      <c r="D79" s="112"/>
      <c r="E79" s="113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</row>
    <row r="80" customFormat="false" ht="15" hidden="false" customHeight="true" outlineLevel="0" collapsed="false">
      <c r="A80" s="102"/>
      <c r="B80" s="102"/>
      <c r="C80" s="108"/>
      <c r="D80" s="109"/>
      <c r="E80" s="114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</row>
    <row r="81" customFormat="false" ht="15" hidden="false" customHeight="true" outlineLevel="0" collapsed="false">
      <c r="A81" s="102"/>
      <c r="B81" s="102"/>
      <c r="C81" s="111"/>
      <c r="D81" s="112"/>
      <c r="E81" s="113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</row>
    <row r="82" customFormat="false" ht="15" hidden="false" customHeight="true" outlineLevel="0" collapsed="false">
      <c r="A82" s="102"/>
      <c r="B82" s="102"/>
      <c r="C82" s="108"/>
      <c r="D82" s="109"/>
      <c r="E82" s="114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</row>
    <row r="83" customFormat="false" ht="15" hidden="false" customHeight="true" outlineLevel="0" collapsed="false">
      <c r="A83" s="102"/>
      <c r="B83" s="102"/>
      <c r="C83" s="111"/>
      <c r="D83" s="112"/>
      <c r="E83" s="110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</row>
    <row r="84" customFormat="false" ht="15" hidden="false" customHeight="true" outlineLevel="0" collapsed="false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</row>
    <row r="85" customFormat="false" ht="39.75" hidden="false" customHeight="true" outlineLevel="0" collapsed="false">
      <c r="A85" s="102"/>
      <c r="B85" s="102"/>
      <c r="C85" s="107"/>
      <c r="D85" s="107"/>
      <c r="E85" s="107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</row>
    <row r="86" customFormat="false" ht="15" hidden="false" customHeight="true" outlineLevel="0" collapsed="false">
      <c r="A86" s="102"/>
      <c r="B86" s="102"/>
      <c r="C86" s="108"/>
      <c r="D86" s="109"/>
      <c r="E86" s="110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</row>
    <row r="87" customFormat="false" ht="15" hidden="false" customHeight="true" outlineLevel="0" collapsed="false">
      <c r="A87" s="102"/>
      <c r="B87" s="102"/>
      <c r="C87" s="111"/>
      <c r="D87" s="112"/>
      <c r="E87" s="110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</row>
    <row r="88" customFormat="false" ht="15" hidden="false" customHeight="true" outlineLevel="0" collapsed="false">
      <c r="A88" s="102"/>
      <c r="B88" s="102"/>
      <c r="C88" s="108"/>
      <c r="D88" s="109"/>
      <c r="E88" s="114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</row>
    <row r="89" customFormat="false" ht="15" hidden="false" customHeight="true" outlineLevel="0" collapsed="false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</row>
    <row r="90" customFormat="false" ht="15" hidden="false" customHeight="true" outlineLevel="0" collapsed="false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</row>
    <row r="91" customFormat="false" ht="21.75" hidden="false" customHeight="true" outlineLevel="0" collapsed="false">
      <c r="A91" s="102"/>
      <c r="B91" s="102"/>
      <c r="C91" s="115" t="s">
        <v>3041</v>
      </c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02"/>
      <c r="Y91" s="102"/>
    </row>
    <row r="92" customFormat="false" ht="30" hidden="false" customHeight="true" outlineLevel="0" collapsed="false">
      <c r="A92" s="102"/>
      <c r="B92" s="102"/>
      <c r="C92" s="116" t="s">
        <v>3019</v>
      </c>
      <c r="D92" s="116" t="s">
        <v>0</v>
      </c>
      <c r="E92" s="116" t="s">
        <v>5</v>
      </c>
      <c r="F92" s="116"/>
      <c r="G92" s="116" t="s">
        <v>14</v>
      </c>
      <c r="H92" s="116"/>
      <c r="I92" s="116" t="s">
        <v>3020</v>
      </c>
      <c r="J92" s="116"/>
      <c r="K92" s="116"/>
      <c r="L92" s="116" t="s">
        <v>98</v>
      </c>
      <c r="M92" s="116"/>
      <c r="N92" s="116" t="s">
        <v>99</v>
      </c>
      <c r="O92" s="116"/>
      <c r="P92" s="116" t="s">
        <v>3042</v>
      </c>
      <c r="Q92" s="116"/>
      <c r="R92" s="116"/>
      <c r="S92" s="116"/>
      <c r="T92" s="116"/>
      <c r="U92" s="116"/>
      <c r="V92" s="116"/>
      <c r="W92" s="116"/>
      <c r="X92" s="102"/>
      <c r="Y92" s="102"/>
    </row>
    <row r="93" customFormat="false" ht="27.75" hidden="false" customHeight="true" outlineLevel="0" collapsed="false">
      <c r="A93" s="102"/>
      <c r="B93" s="102"/>
      <c r="C93" s="117" t="n">
        <f aca="false">IFERROR(Calc!A271,"—")</f>
        <v>1</v>
      </c>
      <c r="D93" s="118" t="n">
        <f aca="false">IFERROR(Calc!B271,"—")</f>
        <v>25</v>
      </c>
      <c r="E93" s="119" t="str">
        <f aca="false">IFERROR(Calc!C271,"—")</f>
        <v>Aadi Naik</v>
      </c>
      <c r="F93" s="119"/>
      <c r="G93" s="119" t="str">
        <f aca="false">IFERROR(Calc!D271,"—")</f>
        <v>DIG Vertical</v>
      </c>
      <c r="H93" s="119"/>
      <c r="I93" s="119" t="str">
        <f aca="false">IFERROR(Calc!E271,"—")</f>
        <v>New Joiner Connect (90 Days)</v>
      </c>
      <c r="J93" s="119"/>
      <c r="K93" s="119"/>
      <c r="L93" s="120" t="str">
        <f aca="false">IFERROR(Calc!F271,"—")</f>
        <v>High</v>
      </c>
      <c r="M93" s="120"/>
      <c r="N93" s="121" t="str">
        <f aca="false">IFERROR(Calc!G271,"—")</f>
        <v>Open</v>
      </c>
      <c r="O93" s="121"/>
      <c r="P93" s="119" t="str">
        <f aca="false">IFERROR(Calc!H271,"—")</f>
        <v>aNA</v>
      </c>
      <c r="Q93" s="119"/>
      <c r="R93" s="119"/>
      <c r="S93" s="119"/>
      <c r="T93" s="119"/>
      <c r="U93" s="119"/>
      <c r="V93" s="119"/>
      <c r="W93" s="119"/>
      <c r="X93" s="102"/>
      <c r="Y93" s="102"/>
    </row>
    <row r="94" customFormat="false" ht="27.75" hidden="false" customHeight="true" outlineLevel="0" collapsed="false">
      <c r="A94" s="102"/>
      <c r="B94" s="102"/>
      <c r="C94" s="122" t="n">
        <f aca="false">IFERROR(Calc!A272,"—")</f>
        <v>2</v>
      </c>
      <c r="D94" s="123" t="n">
        <f aca="false">IFERROR(Calc!B272,"—")</f>
        <v>63</v>
      </c>
      <c r="E94" s="124" t="str">
        <f aca="false">IFERROR(Calc!C272,"—")</f>
        <v>Chaitanya Aggarwal</v>
      </c>
      <c r="F94" s="124"/>
      <c r="G94" s="124" t="str">
        <f aca="false">IFERROR(Calc!D272,"—")</f>
        <v>Network Services Service Line</v>
      </c>
      <c r="H94" s="124"/>
      <c r="I94" s="124" t="str">
        <f aca="false">IFERROR(Calc!E272,"—")</f>
        <v>SL Induction</v>
      </c>
      <c r="J94" s="124"/>
      <c r="K94" s="124"/>
      <c r="L94" s="125" t="str">
        <f aca="false">IFERROR(Calc!F272,"—")</f>
        <v>High</v>
      </c>
      <c r="M94" s="125"/>
      <c r="N94" s="126" t="str">
        <f aca="false">IFERROR(Calc!G272,"—")</f>
        <v>Open</v>
      </c>
      <c r="O94" s="126"/>
      <c r="P94" s="124" t="str">
        <f aca="false">IFERROR(Calc!H272,"—")</f>
        <v>NA</v>
      </c>
      <c r="Q94" s="124"/>
      <c r="R94" s="124"/>
      <c r="S94" s="124"/>
      <c r="T94" s="124"/>
      <c r="U94" s="124"/>
      <c r="V94" s="124"/>
      <c r="W94" s="124"/>
      <c r="X94" s="102"/>
      <c r="Y94" s="102"/>
    </row>
    <row r="95" customFormat="false" ht="27.75" hidden="false" customHeight="true" outlineLevel="0" collapsed="false">
      <c r="A95" s="102"/>
      <c r="B95" s="102"/>
      <c r="C95" s="117" t="n">
        <f aca="false">IFERROR(Calc!A273,"—")</f>
        <v>3</v>
      </c>
      <c r="D95" s="118" t="n">
        <f aca="false">IFERROR(Calc!B273,"—")</f>
        <v>166</v>
      </c>
      <c r="E95" s="119" t="str">
        <f aca="false">IFERROR(Calc!C273,"—")</f>
        <v>Harini Tripathi</v>
      </c>
      <c r="F95" s="119"/>
      <c r="G95" s="124" t="str">
        <f aca="false">IFERROR(Calc!D273,"—")</f>
        <v>DEA Service Line</v>
      </c>
      <c r="H95" s="124"/>
      <c r="I95" s="119" t="str">
        <f aca="false">IFERROR(Calc!E273,"—")</f>
        <v>Women Associate Connect</v>
      </c>
      <c r="J95" s="119"/>
      <c r="K95" s="119"/>
      <c r="L95" s="120" t="str">
        <f aca="false">IFERROR(Calc!F273,"—")</f>
        <v>High</v>
      </c>
      <c r="M95" s="120"/>
      <c r="N95" s="121" t="str">
        <f aca="false">IFERROR(Calc!G273,"—")</f>
        <v>Open</v>
      </c>
      <c r="O95" s="121"/>
      <c r="P95" s="119" t="str">
        <f aca="false">IFERROR(Calc!H273,"—")</f>
        <v>NA</v>
      </c>
      <c r="Q95" s="119"/>
      <c r="R95" s="119"/>
      <c r="S95" s="119"/>
      <c r="T95" s="119"/>
      <c r="U95" s="119"/>
      <c r="V95" s="119"/>
      <c r="W95" s="119"/>
      <c r="X95" s="102"/>
      <c r="Y95" s="102"/>
    </row>
    <row r="96" customFormat="false" ht="27.75" hidden="false" customHeight="true" outlineLevel="0" collapsed="false">
      <c r="A96" s="102"/>
      <c r="B96" s="102"/>
      <c r="C96" s="122" t="n">
        <f aca="false">IFERROR(Calc!A274,"—")</f>
        <v>4</v>
      </c>
      <c r="D96" s="123" t="n">
        <f aca="false">IFERROR(Calc!B274,"—")</f>
        <v>253</v>
      </c>
      <c r="E96" s="124" t="str">
        <f aca="false">IFERROR(Calc!C274,"—")</f>
        <v>Anvi Bhalla</v>
      </c>
      <c r="F96" s="124"/>
      <c r="G96" s="124" t="str">
        <f aca="false">IFERROR(Calc!D274,"—")</f>
        <v>DEA Service Line</v>
      </c>
      <c r="H96" s="124"/>
      <c r="I96" s="124" t="str">
        <f aca="false">IFERROR(Calc!E274,"—")</f>
        <v>ML Returnee Connect</v>
      </c>
      <c r="J96" s="124"/>
      <c r="K96" s="124"/>
      <c r="L96" s="125" t="str">
        <f aca="false">IFERROR(Calc!F274,"—")</f>
        <v>High</v>
      </c>
      <c r="M96" s="125"/>
      <c r="N96" s="126" t="str">
        <f aca="false">IFERROR(Calc!G274,"—")</f>
        <v>Open</v>
      </c>
      <c r="O96" s="126"/>
      <c r="P96" s="124" t="str">
        <f aca="false">IFERROR(Calc!H274,"—")</f>
        <v>NA</v>
      </c>
      <c r="Q96" s="124"/>
      <c r="R96" s="124"/>
      <c r="S96" s="124"/>
      <c r="T96" s="124"/>
      <c r="U96" s="124"/>
      <c r="V96" s="124"/>
      <c r="W96" s="124"/>
      <c r="X96" s="102"/>
      <c r="Y96" s="102"/>
    </row>
    <row r="97" customFormat="false" ht="27.75" hidden="false" customHeight="true" outlineLevel="0" collapsed="false">
      <c r="A97" s="102"/>
      <c r="B97" s="102"/>
      <c r="C97" s="117" t="n">
        <f aca="false">IFERROR(Calc!A275,"—")</f>
        <v>5</v>
      </c>
      <c r="D97" s="118" t="n">
        <f aca="false">IFERROR(Calc!B275,"—")</f>
        <v>304</v>
      </c>
      <c r="E97" s="119" t="str">
        <f aca="false">IFERROR(Calc!C275,"—")</f>
        <v>Chakrika Mohan</v>
      </c>
      <c r="F97" s="119"/>
      <c r="G97" s="124" t="str">
        <f aca="false">IFERROR(Calc!D275,"—")</f>
        <v>DEA Service Line</v>
      </c>
      <c r="H97" s="124"/>
      <c r="I97" s="124" t="str">
        <f aca="false">IFERROR(Calc!E275,"—")</f>
        <v>New Joiner Connect (60 Days)</v>
      </c>
      <c r="J97" s="124"/>
      <c r="K97" s="124"/>
      <c r="L97" s="120" t="str">
        <f aca="false">IFERROR(Calc!F275,"—")</f>
        <v>High</v>
      </c>
      <c r="M97" s="120"/>
      <c r="N97" s="121" t="str">
        <f aca="false">IFERROR(Calc!G275,"—")</f>
        <v>Open</v>
      </c>
      <c r="O97" s="121"/>
      <c r="P97" s="119" t="str">
        <f aca="false">IFERROR(Calc!H275,"—")</f>
        <v>NA</v>
      </c>
      <c r="Q97" s="119"/>
      <c r="R97" s="119"/>
      <c r="S97" s="119"/>
      <c r="T97" s="119"/>
      <c r="U97" s="119"/>
      <c r="V97" s="119"/>
      <c r="W97" s="119"/>
      <c r="X97" s="102"/>
      <c r="Y97" s="102"/>
    </row>
    <row r="98" customFormat="false" ht="27.75" hidden="false" customHeight="true" outlineLevel="0" collapsed="false">
      <c r="A98" s="102"/>
      <c r="B98" s="102"/>
      <c r="C98" s="122" t="n">
        <f aca="false">IFERROR(Calc!A276,"—")</f>
        <v>6</v>
      </c>
      <c r="D98" s="123" t="n">
        <f aca="false">IFERROR(Calc!B276,"—")</f>
        <v>348</v>
      </c>
      <c r="E98" s="124" t="str">
        <f aca="false">IFERROR(Calc!C276,"—")</f>
        <v>Urvi Venkataraman</v>
      </c>
      <c r="F98" s="124"/>
      <c r="G98" s="124" t="str">
        <f aca="false">IFERROR(Calc!D276,"—")</f>
        <v>DEA Service Line</v>
      </c>
      <c r="H98" s="124"/>
      <c r="I98" s="124" t="str">
        <f aca="false">IFERROR(Calc!E276,"—")</f>
        <v>Band Specific FGD Connect</v>
      </c>
      <c r="J98" s="124"/>
      <c r="K98" s="124"/>
      <c r="L98" s="125" t="str">
        <f aca="false">IFERROR(Calc!F276,"—")</f>
        <v>High</v>
      </c>
      <c r="M98" s="125"/>
      <c r="N98" s="126" t="str">
        <f aca="false">IFERROR(Calc!G276,"—")</f>
        <v>Open</v>
      </c>
      <c r="O98" s="126"/>
      <c r="P98" s="119" t="str">
        <f aca="false">IFERROR(Calc!H276,"—")</f>
        <v>Share update with relevant stakeholder</v>
      </c>
      <c r="Q98" s="119"/>
      <c r="R98" s="119"/>
      <c r="S98" s="119"/>
      <c r="T98" s="119"/>
      <c r="U98" s="119"/>
      <c r="V98" s="119"/>
      <c r="W98" s="119"/>
      <c r="X98" s="102"/>
      <c r="Y98" s="102"/>
    </row>
    <row r="99" customFormat="false" ht="27.75" hidden="false" customHeight="true" outlineLevel="0" collapsed="false">
      <c r="A99" s="102"/>
      <c r="B99" s="102"/>
      <c r="C99" s="117" t="n">
        <f aca="false">IFERROR(Calc!A277,"—")</f>
        <v>7</v>
      </c>
      <c r="D99" s="118" t="n">
        <f aca="false">IFERROR(Calc!B277,"—")</f>
        <v>415</v>
      </c>
      <c r="E99" s="119" t="str">
        <f aca="false">IFERROR(Calc!C277,"—")</f>
        <v>Shivani Prabhakar</v>
      </c>
      <c r="F99" s="119"/>
      <c r="G99" s="124" t="str">
        <f aca="false">IFERROR(Calc!D277,"—")</f>
        <v>DEA Service Line</v>
      </c>
      <c r="H99" s="124"/>
      <c r="I99" s="124" t="str">
        <f aca="false">IFERROR(Calc!E277,"—")</f>
        <v>Leadership Connect</v>
      </c>
      <c r="J99" s="124"/>
      <c r="K99" s="124"/>
      <c r="L99" s="120" t="str">
        <f aca="false">IFERROR(Calc!F277,"—")</f>
        <v>High</v>
      </c>
      <c r="M99" s="120"/>
      <c r="N99" s="121" t="str">
        <f aca="false">IFERROR(Calc!G277,"—")</f>
        <v>Open</v>
      </c>
      <c r="O99" s="121"/>
      <c r="P99" s="119" t="str">
        <f aca="false">IFERROR(Calc!H277,"—")</f>
        <v>Define capability targets</v>
      </c>
      <c r="Q99" s="119"/>
      <c r="R99" s="119"/>
      <c r="S99" s="119"/>
      <c r="T99" s="119"/>
      <c r="U99" s="119"/>
      <c r="V99" s="119"/>
      <c r="W99" s="119"/>
      <c r="X99" s="102"/>
      <c r="Y99" s="102"/>
    </row>
    <row r="100" customFormat="false" ht="27.75" hidden="false" customHeight="true" outlineLevel="0" collapsed="false">
      <c r="C100" s="122" t="n">
        <f aca="false">IFERROR(Calc!A278,"—")</f>
        <v>8</v>
      </c>
      <c r="D100" s="127" t="n">
        <f aca="false">IFERROR(Calc!B278,"—")</f>
        <v>494</v>
      </c>
      <c r="E100" s="119" t="str">
        <f aca="false">IFERROR(Calc!C278,"—")</f>
        <v>Thomas Master</v>
      </c>
      <c r="F100" s="119"/>
      <c r="G100" s="124" t="str">
        <f aca="false">IFERROR(Calc!D278,"—")</f>
        <v>DIG Vertical</v>
      </c>
      <c r="H100" s="124"/>
      <c r="I100" s="124" t="str">
        <f aca="false">IFERROR(Calc!E278,"—")</f>
        <v>Skip Meeting</v>
      </c>
      <c r="J100" s="124"/>
      <c r="K100" s="124"/>
      <c r="L100" s="125" t="str">
        <f aca="false">IFERROR(Calc!F278,"—")</f>
        <v>High</v>
      </c>
      <c r="M100" s="125"/>
      <c r="N100" s="126" t="str">
        <f aca="false">IFERROR(Calc!G278,"—")</f>
        <v>Open</v>
      </c>
      <c r="O100" s="126"/>
      <c r="P100" s="128" t="str">
        <f aca="false">IFERROR(Calc!H278,"—")</f>
        <v>No response on IJP applied on Rapid</v>
      </c>
      <c r="Q100" s="128"/>
      <c r="R100" s="128"/>
      <c r="S100" s="128"/>
      <c r="T100" s="128"/>
      <c r="U100" s="128"/>
      <c r="V100" s="128"/>
      <c r="W100" s="128"/>
    </row>
    <row r="101" customFormat="false" ht="27.75" hidden="false" customHeight="true" outlineLevel="0" collapsed="false">
      <c r="C101" s="117" t="n">
        <f aca="false">IFERROR(Calc!A279,"—")</f>
        <v>9</v>
      </c>
      <c r="D101" s="129" t="n">
        <f aca="false">IFERROR(Calc!B279,"—")</f>
        <v>4</v>
      </c>
      <c r="E101" s="130" t="str">
        <f aca="false">IFERROR(Calc!C279,"—")</f>
        <v>Abeer Dutta</v>
      </c>
      <c r="F101" s="130"/>
      <c r="G101" s="124" t="str">
        <f aca="false">IFERROR(Calc!D279,"—")</f>
        <v>DEA Service Line</v>
      </c>
      <c r="H101" s="124"/>
      <c r="I101" s="124" t="str">
        <f aca="false">IFERROR(Calc!E279,"—")</f>
        <v>ML Returnee Connect</v>
      </c>
      <c r="J101" s="124"/>
      <c r="K101" s="124"/>
      <c r="L101" s="120" t="str">
        <f aca="false">IFERROR(Calc!F279,"—")</f>
        <v>High</v>
      </c>
      <c r="M101" s="120"/>
      <c r="N101" s="121" t="str">
        <f aca="false">IFERROR(Calc!G279,"—")</f>
        <v>In-progress</v>
      </c>
      <c r="O101" s="121"/>
      <c r="P101" s="130" t="str">
        <f aca="false">IFERROR(Calc!H279,"—")</f>
        <v>No response on IJP applied on Rapid</v>
      </c>
      <c r="Q101" s="130"/>
      <c r="R101" s="130"/>
      <c r="S101" s="130"/>
      <c r="T101" s="130"/>
      <c r="U101" s="130"/>
      <c r="V101" s="130"/>
      <c r="W101" s="130"/>
    </row>
    <row r="102" customFormat="false" ht="27.75" hidden="false" customHeight="true" outlineLevel="0" collapsed="false">
      <c r="C102" s="122" t="n">
        <f aca="false">IFERROR(Calc!A280,"—")</f>
        <v>10</v>
      </c>
      <c r="D102" s="127" t="n">
        <f aca="false">IFERROR(Calc!B280,"—")</f>
        <v>26</v>
      </c>
      <c r="E102" s="128" t="str">
        <f aca="false">IFERROR(Calc!C280,"—")</f>
        <v>Janani Mohanty</v>
      </c>
      <c r="F102" s="128"/>
      <c r="G102" s="124" t="str">
        <f aca="false">IFERROR(Calc!D280,"—")</f>
        <v>DEA Service Line</v>
      </c>
      <c r="H102" s="124"/>
      <c r="I102" s="124" t="str">
        <f aca="false">IFERROR(Calc!E280,"—")</f>
        <v>Top Talent Connect</v>
      </c>
      <c r="J102" s="124"/>
      <c r="K102" s="124"/>
      <c r="L102" s="125" t="str">
        <f aca="false">IFERROR(Calc!F280,"—")</f>
        <v>High</v>
      </c>
      <c r="M102" s="125"/>
      <c r="N102" s="126" t="str">
        <f aca="false">IFERROR(Calc!G280,"—")</f>
        <v>In-progress</v>
      </c>
      <c r="O102" s="126"/>
      <c r="P102" s="128" t="str">
        <f aca="false">IFERROR(Calc!H280,"—")</f>
        <v>NA</v>
      </c>
      <c r="Q102" s="128"/>
      <c r="R102" s="128"/>
      <c r="S102" s="128"/>
      <c r="T102" s="128"/>
      <c r="U102" s="128"/>
      <c r="V102" s="128"/>
      <c r="W102" s="128"/>
    </row>
    <row r="105" customFormat="false" ht="21.75" hidden="false" customHeight="true" outlineLevel="0" collapsed="false">
      <c r="C105" s="131" t="s">
        <v>3043</v>
      </c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</row>
    <row r="107" s="132" customFormat="true" ht="33.75" hidden="false" customHeight="true" outlineLevel="0" collapsed="false">
      <c r="C107" s="133" t="s">
        <v>99</v>
      </c>
      <c r="D107" s="133" t="s">
        <v>3044</v>
      </c>
      <c r="E107" s="133" t="s">
        <v>3045</v>
      </c>
      <c r="F107" s="133" t="s">
        <v>3046</v>
      </c>
      <c r="G107" s="133" t="s">
        <v>2967</v>
      </c>
    </row>
    <row r="108" customFormat="false" ht="15" hidden="false" customHeight="true" outlineLevel="0" collapsed="false">
      <c r="C108" s="134" t="str">
        <f aca="false">Calc!A264</f>
        <v>Open</v>
      </c>
      <c r="D108" s="135" t="n">
        <f aca="false">Calc!B264</f>
        <v>8</v>
      </c>
      <c r="E108" s="135" t="n">
        <f aca="false">Calc!C264</f>
        <v>22</v>
      </c>
      <c r="F108" s="135" t="n">
        <f aca="false">Calc!D264</f>
        <v>14</v>
      </c>
      <c r="G108" s="135" t="n">
        <f aca="false">Calc!E264</f>
        <v>44</v>
      </c>
    </row>
    <row r="109" customFormat="false" ht="15" hidden="false" customHeight="true" outlineLevel="0" collapsed="false">
      <c r="C109" s="136" t="str">
        <f aca="false">Calc!A265</f>
        <v>In-progress</v>
      </c>
      <c r="D109" s="137" t="n">
        <f aca="false">Calc!B265</f>
        <v>19</v>
      </c>
      <c r="E109" s="137" t="n">
        <f aca="false">Calc!C265</f>
        <v>35</v>
      </c>
      <c r="F109" s="137" t="n">
        <f aca="false">Calc!D265</f>
        <v>29</v>
      </c>
      <c r="G109" s="137" t="n">
        <f aca="false">Calc!E265</f>
        <v>83</v>
      </c>
    </row>
    <row r="110" customFormat="false" ht="15" hidden="false" customHeight="true" outlineLevel="0" collapsed="false">
      <c r="C110" s="138" t="str">
        <f aca="false">Calc!A266</f>
        <v>Closed</v>
      </c>
      <c r="D110" s="139" t="n">
        <f aca="false">Calc!B266</f>
        <v>81</v>
      </c>
      <c r="E110" s="139" t="n">
        <f aca="false">Calc!C266</f>
        <v>161</v>
      </c>
      <c r="F110" s="139" t="n">
        <f aca="false">Calc!D266</f>
        <v>131</v>
      </c>
      <c r="G110" s="139" t="n">
        <f aca="false">Calc!E266</f>
        <v>373</v>
      </c>
    </row>
    <row r="121" customFormat="false" ht="21.75" hidden="false" customHeight="true" outlineLevel="0" collapsed="false">
      <c r="C121" s="140" t="s">
        <v>3047</v>
      </c>
      <c r="D121" s="140"/>
      <c r="E121" s="140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</row>
    <row r="122" customFormat="false" ht="34.5" hidden="false" customHeight="true" outlineLevel="0" collapsed="false">
      <c r="C122" s="141" t="s">
        <v>3019</v>
      </c>
      <c r="D122" s="142" t="s">
        <v>3048</v>
      </c>
      <c r="E122" s="142"/>
      <c r="F122" s="142"/>
      <c r="G122" s="142"/>
      <c r="H122" s="142"/>
      <c r="I122" s="142"/>
      <c r="J122" s="142"/>
      <c r="K122" s="142"/>
      <c r="L122" s="141" t="s">
        <v>2969</v>
      </c>
      <c r="M122" s="141"/>
      <c r="N122" s="141"/>
      <c r="O122" s="141" t="s">
        <v>2970</v>
      </c>
      <c r="P122" s="141"/>
      <c r="Q122" s="141"/>
      <c r="R122" s="141" t="s">
        <v>3049</v>
      </c>
      <c r="S122" s="141"/>
      <c r="T122" s="141"/>
      <c r="U122" s="141"/>
      <c r="V122" s="141"/>
      <c r="W122" s="141"/>
    </row>
    <row r="123" customFormat="false" ht="15.75" hidden="false" customHeight="true" outlineLevel="0" collapsed="false">
      <c r="C123" s="143" t="n">
        <v>1</v>
      </c>
      <c r="D123" s="144" t="str">
        <f aca="false">IFERROR(Calc!Q3,"")</f>
        <v>Feedback on recent processes</v>
      </c>
      <c r="E123" s="144"/>
      <c r="F123" s="144"/>
      <c r="G123" s="144"/>
      <c r="H123" s="144"/>
      <c r="I123" s="144"/>
      <c r="J123" s="144"/>
      <c r="K123" s="144"/>
      <c r="L123" s="145" t="n">
        <f aca="false">IFERROR(Calc!R3,"")</f>
        <v>36</v>
      </c>
      <c r="M123" s="145"/>
      <c r="N123" s="145"/>
      <c r="O123" s="146" t="n">
        <f aca="false">IFERROR(Calc!S3,"")</f>
        <v>0.072</v>
      </c>
      <c r="P123" s="146"/>
      <c r="Q123" s="146"/>
      <c r="R123" s="144" t="str">
        <f aca="false">IFERROR(Calc!T3,"")</f>
        <v>1:1</v>
      </c>
      <c r="S123" s="144"/>
      <c r="T123" s="144"/>
      <c r="U123" s="144"/>
      <c r="V123" s="144"/>
      <c r="W123" s="144"/>
    </row>
    <row r="124" customFormat="false" ht="15.75" hidden="false" customHeight="true" outlineLevel="0" collapsed="false">
      <c r="C124" s="147" t="n">
        <v>2</v>
      </c>
      <c r="D124" s="148" t="str">
        <f aca="false">IFERROR(Calc!Q4,"")</f>
        <v>Clarity on expectations</v>
      </c>
      <c r="E124" s="148"/>
      <c r="F124" s="148"/>
      <c r="G124" s="148"/>
      <c r="H124" s="148"/>
      <c r="I124" s="148"/>
      <c r="J124" s="148"/>
      <c r="K124" s="148"/>
      <c r="L124" s="149" t="n">
        <f aca="false">IFERROR(Calc!R4,"")</f>
        <v>33</v>
      </c>
      <c r="M124" s="149"/>
      <c r="N124" s="149"/>
      <c r="O124" s="150" t="n">
        <f aca="false">IFERROR(Calc!S4,"")</f>
        <v>0.066</v>
      </c>
      <c r="P124" s="150"/>
      <c r="Q124" s="150"/>
      <c r="R124" s="148" t="str">
        <f aca="false">IFERROR(Calc!T4,"")</f>
        <v>Large Connect</v>
      </c>
      <c r="S124" s="148"/>
      <c r="T124" s="148"/>
      <c r="U124" s="148"/>
      <c r="V124" s="148"/>
      <c r="W124" s="148"/>
    </row>
    <row r="125" customFormat="false" ht="15.75" hidden="false" customHeight="true" outlineLevel="0" collapsed="false">
      <c r="C125" s="143" t="n">
        <v>3</v>
      </c>
      <c r="D125" s="144" t="str">
        <f aca="false">IFERROR(Calc!Q5,"")</f>
        <v>General wellbeing check-in</v>
      </c>
      <c r="E125" s="144"/>
      <c r="F125" s="144"/>
      <c r="G125" s="144"/>
      <c r="H125" s="144"/>
      <c r="I125" s="144"/>
      <c r="J125" s="144"/>
      <c r="K125" s="144"/>
      <c r="L125" s="145" t="n">
        <f aca="false">IFERROR(Calc!R5,"")</f>
        <v>29</v>
      </c>
      <c r="M125" s="145"/>
      <c r="N125" s="145"/>
      <c r="O125" s="146" t="n">
        <f aca="false">IFERROR(Calc!S5,"")</f>
        <v>0.058</v>
      </c>
      <c r="P125" s="146"/>
      <c r="Q125" s="146"/>
      <c r="R125" s="144" t="str">
        <f aca="false">IFERROR(Calc!T5,"")</f>
        <v>Location-Offshore</v>
      </c>
      <c r="S125" s="144"/>
      <c r="T125" s="144"/>
      <c r="U125" s="144"/>
      <c r="V125" s="144"/>
      <c r="W125" s="144"/>
    </row>
    <row r="126" customFormat="false" ht="15.75" hidden="false" customHeight="true" outlineLevel="0" collapsed="false">
      <c r="C126" s="147" t="n">
        <v>4</v>
      </c>
      <c r="D126" s="148" t="str">
        <f aca="false">IFERROR(Calc!Q6,"")</f>
        <v>Discussion on team dynamics</v>
      </c>
      <c r="E126" s="148"/>
      <c r="F126" s="148"/>
      <c r="G126" s="148"/>
      <c r="H126" s="148"/>
      <c r="I126" s="148"/>
      <c r="J126" s="148"/>
      <c r="K126" s="148"/>
      <c r="L126" s="149" t="n">
        <f aca="false">IFERROR(Calc!R6,"")</f>
        <v>23</v>
      </c>
      <c r="M126" s="149"/>
      <c r="N126" s="149"/>
      <c r="O126" s="150" t="n">
        <f aca="false">IFERROR(Calc!S6,"")</f>
        <v>0.046</v>
      </c>
      <c r="P126" s="150"/>
      <c r="Q126" s="150"/>
      <c r="R126" s="148" t="str">
        <f aca="false">IFERROR(Calc!T6,"")</f>
        <v>1:1</v>
      </c>
      <c r="S126" s="148"/>
      <c r="T126" s="148"/>
      <c r="U126" s="148"/>
      <c r="V126" s="148"/>
      <c r="W126" s="148"/>
    </row>
    <row r="127" customFormat="false" ht="15.75" hidden="false" customHeight="true" outlineLevel="0" collapsed="false">
      <c r="C127" s="143" t="n">
        <v>5</v>
      </c>
      <c r="D127" s="144" t="str">
        <f aca="false">IFERROR(Calc!Q7,"")</f>
        <v>Engagement &amp; Belonging</v>
      </c>
      <c r="E127" s="144"/>
      <c r="F127" s="144"/>
      <c r="G127" s="144"/>
      <c r="H127" s="144"/>
      <c r="I127" s="144"/>
      <c r="J127" s="144"/>
      <c r="K127" s="144"/>
      <c r="L127" s="145" t="n">
        <f aca="false">IFERROR(Calc!R7,"")</f>
        <v>18</v>
      </c>
      <c r="M127" s="145"/>
      <c r="N127" s="145"/>
      <c r="O127" s="146" t="n">
        <f aca="false">IFERROR(Calc!S7,"")</f>
        <v>0.036</v>
      </c>
      <c r="P127" s="146"/>
      <c r="Q127" s="146"/>
      <c r="R127" s="144" t="str">
        <f aca="false">IFERROR(Calc!T7,"")</f>
        <v>FGD</v>
      </c>
      <c r="S127" s="144"/>
      <c r="T127" s="144"/>
      <c r="U127" s="144"/>
      <c r="V127" s="144"/>
      <c r="W127" s="144"/>
    </row>
    <row r="128" customFormat="false" ht="15.75" hidden="false" customHeight="true" outlineLevel="0" collapsed="false">
      <c r="C128" s="147" t="n">
        <v>6</v>
      </c>
      <c r="D128" s="148" t="str">
        <f aca="false">IFERROR(Calc!Q8,"")</f>
        <v>Internal Growth Opportunities</v>
      </c>
      <c r="E128" s="148"/>
      <c r="F128" s="148"/>
      <c r="G128" s="148"/>
      <c r="H128" s="148"/>
      <c r="I128" s="148"/>
      <c r="J128" s="148"/>
      <c r="K128" s="148"/>
      <c r="L128" s="149" t="n">
        <f aca="false">IFERROR(Calc!R8,"")</f>
        <v>17</v>
      </c>
      <c r="M128" s="149"/>
      <c r="N128" s="149"/>
      <c r="O128" s="150" t="n">
        <f aca="false">IFERROR(Calc!S8,"")</f>
        <v>0.034</v>
      </c>
      <c r="P128" s="150"/>
      <c r="Q128" s="150"/>
      <c r="R128" s="148" t="str">
        <f aca="false">IFERROR(Calc!T8,"")</f>
        <v>1:1</v>
      </c>
      <c r="S128" s="148"/>
      <c r="T128" s="148"/>
      <c r="U128" s="148"/>
      <c r="V128" s="148"/>
      <c r="W128" s="148"/>
    </row>
    <row r="129" customFormat="false" ht="15.75" hidden="false" customHeight="true" outlineLevel="0" collapsed="false">
      <c r="C129" s="143" t="n">
        <v>7</v>
      </c>
      <c r="D129" s="144" t="str">
        <f aca="false">IFERROR(Calc!Q9,"")</f>
        <v>Business &amp; Strategy Clarity</v>
      </c>
      <c r="E129" s="144"/>
      <c r="F129" s="144"/>
      <c r="G129" s="144"/>
      <c r="H129" s="144"/>
      <c r="I129" s="144"/>
      <c r="J129" s="144"/>
      <c r="K129" s="144"/>
      <c r="L129" s="145" t="n">
        <f aca="false">IFERROR(Calc!R9,"")</f>
        <v>16</v>
      </c>
      <c r="M129" s="145"/>
      <c r="N129" s="145"/>
      <c r="O129" s="146" t="n">
        <f aca="false">IFERROR(Calc!S9,"")</f>
        <v>0.032</v>
      </c>
      <c r="P129" s="146"/>
      <c r="Q129" s="146"/>
      <c r="R129" s="144" t="str">
        <f aca="false">IFERROR(Calc!T9,"")</f>
        <v>Large Connect</v>
      </c>
      <c r="S129" s="144"/>
      <c r="T129" s="144"/>
      <c r="U129" s="144"/>
      <c r="V129" s="144"/>
      <c r="W129" s="144"/>
    </row>
    <row r="130" customFormat="false" ht="15.75" hidden="false" customHeight="true" outlineLevel="0" collapsed="false">
      <c r="C130" s="147" t="n">
        <v>8</v>
      </c>
      <c r="D130" s="148" t="str">
        <f aca="false">IFERROR(Calc!Q10,"")</f>
        <v>HR / WFM / Training Communication Effectiveness</v>
      </c>
      <c r="E130" s="148"/>
      <c r="F130" s="148"/>
      <c r="G130" s="148"/>
      <c r="H130" s="148"/>
      <c r="I130" s="148"/>
      <c r="J130" s="148"/>
      <c r="K130" s="148"/>
      <c r="L130" s="149" t="n">
        <f aca="false">IFERROR(Calc!R10,"")</f>
        <v>16</v>
      </c>
      <c r="M130" s="149"/>
      <c r="N130" s="149"/>
      <c r="O130" s="150" t="n">
        <f aca="false">IFERROR(Calc!S10,"")</f>
        <v>0.032</v>
      </c>
      <c r="P130" s="150"/>
      <c r="Q130" s="150"/>
      <c r="R130" s="148" t="str">
        <f aca="false">IFERROR(Calc!T10,"")</f>
        <v>1:1</v>
      </c>
      <c r="S130" s="148"/>
      <c r="T130" s="148"/>
      <c r="U130" s="148"/>
      <c r="V130" s="148"/>
      <c r="W130" s="148"/>
    </row>
    <row r="131" customFormat="false" ht="15.75" hidden="false" customHeight="true" outlineLevel="0" collapsed="false">
      <c r="C131" s="143" t="n">
        <v>9</v>
      </c>
      <c r="D131" s="144" t="str">
        <f aca="false">IFERROR(Calc!Q11,"")</f>
        <v>Long-Term Role Alignment</v>
      </c>
      <c r="E131" s="144"/>
      <c r="F131" s="144"/>
      <c r="G131" s="144"/>
      <c r="H131" s="144"/>
      <c r="I131" s="144"/>
      <c r="J131" s="144"/>
      <c r="K131" s="144"/>
      <c r="L131" s="145" t="n">
        <f aca="false">IFERROR(Calc!R11,"")</f>
        <v>16</v>
      </c>
      <c r="M131" s="145"/>
      <c r="N131" s="145"/>
      <c r="O131" s="146" t="n">
        <f aca="false">IFERROR(Calc!S11,"")</f>
        <v>0.032</v>
      </c>
      <c r="P131" s="146"/>
      <c r="Q131" s="146"/>
      <c r="R131" s="144" t="str">
        <f aca="false">IFERROR(Calc!T11,"")</f>
        <v>1:1</v>
      </c>
      <c r="S131" s="144"/>
      <c r="T131" s="144"/>
      <c r="U131" s="144"/>
      <c r="V131" s="144"/>
      <c r="W131" s="144"/>
    </row>
    <row r="132" customFormat="false" ht="15.75" hidden="false" customHeight="true" outlineLevel="0" collapsed="false">
      <c r="C132" s="147" t="n">
        <v>10</v>
      </c>
      <c r="D132" s="148" t="str">
        <f aca="false">IFERROR(Calc!Q12,"")</f>
        <v>Buddy / Support System</v>
      </c>
      <c r="E132" s="148"/>
      <c r="F132" s="148"/>
      <c r="G132" s="148"/>
      <c r="H132" s="148"/>
      <c r="I132" s="148"/>
      <c r="J132" s="148"/>
      <c r="K132" s="148"/>
      <c r="L132" s="149" t="n">
        <f aca="false">IFERROR(Calc!R12,"")</f>
        <v>15</v>
      </c>
      <c r="M132" s="149"/>
      <c r="N132" s="149"/>
      <c r="O132" s="150" t="n">
        <f aca="false">IFERROR(Calc!S12,"")</f>
        <v>0.03</v>
      </c>
      <c r="P132" s="150"/>
      <c r="Q132" s="150"/>
      <c r="R132" s="148" t="str">
        <f aca="false">IFERROR(Calc!T12,"")</f>
        <v>FGD</v>
      </c>
      <c r="S132" s="148"/>
      <c r="T132" s="148"/>
      <c r="U132" s="148"/>
      <c r="V132" s="148"/>
      <c r="W132" s="148"/>
    </row>
    <row r="133" customFormat="false" ht="15.75" hidden="false" customHeight="true" outlineLevel="0" collapsed="false">
      <c r="C133" s="151"/>
      <c r="D133" s="152"/>
      <c r="E133" s="152"/>
      <c r="F133" s="152"/>
      <c r="G133" s="152"/>
      <c r="H133" s="152"/>
      <c r="I133" s="152"/>
      <c r="J133" s="152"/>
      <c r="K133" s="152"/>
      <c r="L133" s="151"/>
      <c r="M133" s="151"/>
      <c r="N133" s="151"/>
      <c r="O133" s="153"/>
      <c r="P133" s="153"/>
      <c r="Q133" s="153"/>
      <c r="R133" s="152"/>
      <c r="S133" s="152"/>
      <c r="T133" s="152"/>
      <c r="U133" s="152"/>
      <c r="V133" s="152"/>
      <c r="W133" s="152"/>
    </row>
    <row r="134" customFormat="false" ht="21.75" hidden="false" customHeight="true" outlineLevel="0" collapsed="false">
      <c r="C134" s="154" t="s">
        <v>3050</v>
      </c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</row>
    <row r="135" s="104" customFormat="true" ht="21.75" hidden="false" customHeight="true" outlineLevel="0" collapsed="false"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</row>
    <row r="136" s="104" customFormat="true" ht="21.75" hidden="false" customHeight="true" outlineLevel="0" collapsed="false"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</row>
    <row r="137" s="104" customFormat="true" ht="21.75" hidden="false" customHeight="true" outlineLevel="0" collapsed="false">
      <c r="C137" s="155"/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</row>
    <row r="138" s="104" customFormat="true" ht="21.75" hidden="false" customHeight="true" outlineLevel="0" collapsed="false">
      <c r="C138" s="155"/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  <c r="T138" s="155"/>
      <c r="U138" s="155"/>
      <c r="V138" s="155"/>
      <c r="W138" s="155"/>
    </row>
    <row r="139" s="104" customFormat="true" ht="21.75" hidden="false" customHeight="true" outlineLevel="0" collapsed="false">
      <c r="C139" s="155"/>
      <c r="D139" s="155"/>
      <c r="E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</row>
    <row r="140" s="104" customFormat="true" ht="21.75" hidden="false" customHeight="true" outlineLevel="0" collapsed="false">
      <c r="C140" s="155"/>
      <c r="D140" s="155"/>
      <c r="E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W140" s="155"/>
    </row>
    <row r="141" s="104" customFormat="true" ht="21.75" hidden="false" customHeight="true" outlineLevel="0" collapsed="false">
      <c r="C141" s="155"/>
      <c r="D141" s="155"/>
      <c r="E141" s="155"/>
      <c r="F141" s="155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</row>
    <row r="142" s="104" customFormat="true" ht="21.75" hidden="false" customHeight="true" outlineLevel="0" collapsed="false">
      <c r="C142" s="155"/>
      <c r="D142" s="155"/>
      <c r="E142" s="155"/>
      <c r="F142" s="155"/>
      <c r="G142" s="155"/>
      <c r="H142" s="155"/>
      <c r="I142" s="155"/>
      <c r="J142" s="155"/>
      <c r="K142" s="155"/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  <c r="V142" s="155"/>
      <c r="W142" s="155"/>
    </row>
    <row r="143" s="104" customFormat="true" ht="21.75" hidden="false" customHeight="true" outlineLevel="0" collapsed="false">
      <c r="C143" s="155"/>
      <c r="D143" s="155"/>
      <c r="E143" s="155"/>
      <c r="F143" s="155"/>
      <c r="G143" s="155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</row>
    <row r="144" s="104" customFormat="true" ht="21.75" hidden="false" customHeight="true" outlineLevel="0" collapsed="false">
      <c r="C144" s="155"/>
      <c r="D144" s="155"/>
      <c r="E144" s="155"/>
      <c r="F144" s="155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</row>
    <row r="145" s="104" customFormat="true" ht="21.75" hidden="false" customHeight="true" outlineLevel="0" collapsed="false"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</row>
    <row r="146" customFormat="false" ht="21.75" hidden="false" customHeight="true" outlineLevel="0" collapsed="false">
      <c r="C146" s="156" t="s">
        <v>3051</v>
      </c>
      <c r="D146" s="156"/>
      <c r="E146" s="156"/>
      <c r="F146" s="156"/>
      <c r="G146" s="156"/>
      <c r="H146" s="156"/>
      <c r="I146" s="156"/>
      <c r="J146" s="156"/>
      <c r="K146" s="156"/>
      <c r="L146" s="156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</row>
    <row r="148" customFormat="false" ht="31.5" hidden="false" customHeight="true" outlineLevel="0" collapsed="false">
      <c r="C148" s="157" t="s">
        <v>3052</v>
      </c>
      <c r="D148" s="157" t="s">
        <v>2975</v>
      </c>
      <c r="E148" s="157" t="s">
        <v>3053</v>
      </c>
      <c r="F148" s="157" t="s">
        <v>3054</v>
      </c>
      <c r="G148" s="157" t="s">
        <v>3055</v>
      </c>
      <c r="H148" s="157" t="s">
        <v>3056</v>
      </c>
    </row>
    <row r="149" customFormat="false" ht="21.75" hidden="false" customHeight="true" outlineLevel="0" collapsed="false">
      <c r="C149" s="158" t="str">
        <f aca="false">Calc!A42</f>
        <v>Alignment</v>
      </c>
      <c r="D149" s="159" t="n">
        <f aca="false">Calc!B42</f>
        <v>286</v>
      </c>
      <c r="E149" s="160" t="n">
        <f aca="false">COUNTIFS(RawData[CARES Framework],C149,RawData[Severity],"High")</f>
        <v>65</v>
      </c>
      <c r="F149" s="161" t="n">
        <f aca="false">COUNTIFS(RawData[CARES Framework],C149,RawData[Severity],"Moderate")</f>
        <v>128</v>
      </c>
      <c r="G149" s="162" t="n">
        <f aca="false">COUNTIFS(RawData[CARES Framework],C149,RawData[Severity],"Low")</f>
        <v>93</v>
      </c>
      <c r="H149" s="163" t="n">
        <f aca="false">IFERROR(D149/Calc!$B$3,0)</f>
        <v>0.572</v>
      </c>
    </row>
    <row r="150" customFormat="false" ht="21.75" hidden="false" customHeight="true" outlineLevel="0" collapsed="false">
      <c r="C150" s="164" t="str">
        <f aca="false">Calc!A43</f>
        <v>Career</v>
      </c>
      <c r="D150" s="165" t="n">
        <f aca="false">Calc!B43</f>
        <v>70</v>
      </c>
      <c r="E150" s="166" t="n">
        <f aca="false">COUNTIFS(RawData[CARES Framework],C150,RawData[Severity],"High")</f>
        <v>14</v>
      </c>
      <c r="F150" s="167" t="n">
        <f aca="false">COUNTIFS(RawData[CARES Framework],C150,RawData[Severity],"Moderate")</f>
        <v>29</v>
      </c>
      <c r="G150" s="168" t="n">
        <f aca="false">COUNTIFS(RawData[CARES Framework],C150,RawData[Severity],"Low")</f>
        <v>27</v>
      </c>
      <c r="H150" s="169" t="n">
        <f aca="false">IFERROR(D150/Calc!$B$3,0)</f>
        <v>0.14</v>
      </c>
    </row>
    <row r="151" customFormat="false" ht="21.75" hidden="false" customHeight="true" outlineLevel="0" collapsed="false">
      <c r="C151" s="170" t="str">
        <f aca="false">Calc!A44</f>
        <v>Empowerment</v>
      </c>
      <c r="D151" s="159" t="n">
        <f aca="false">Calc!B44</f>
        <v>97</v>
      </c>
      <c r="E151" s="160" t="n">
        <f aca="false">COUNTIFS(RawData[CARES Framework],C151,RawData[Severity],"High")</f>
        <v>19</v>
      </c>
      <c r="F151" s="161" t="n">
        <f aca="false">COUNTIFS(RawData[CARES Framework],C151,RawData[Severity],"Moderate")</f>
        <v>42</v>
      </c>
      <c r="G151" s="162" t="n">
        <f aca="false">COUNTIFS(RawData[CARES Framework],C151,RawData[Severity],"Low")</f>
        <v>36</v>
      </c>
      <c r="H151" s="163" t="n">
        <f aca="false">IFERROR(D151/Calc!$B$3,0)</f>
        <v>0.194</v>
      </c>
    </row>
    <row r="152" customFormat="false" ht="21.75" hidden="false" customHeight="true" outlineLevel="0" collapsed="false">
      <c r="C152" s="171" t="str">
        <f aca="false">Calc!A45</f>
        <v>Recognition</v>
      </c>
      <c r="D152" s="165" t="n">
        <f aca="false">Calc!B45</f>
        <v>27</v>
      </c>
      <c r="E152" s="166" t="n">
        <f aca="false">COUNTIFS(RawData[CARES Framework],C152,RawData[Severity],"High")</f>
        <v>3</v>
      </c>
      <c r="F152" s="167" t="n">
        <f aca="false">COUNTIFS(RawData[CARES Framework],C152,RawData[Severity],"Moderate")</f>
        <v>12</v>
      </c>
      <c r="G152" s="168" t="n">
        <f aca="false">COUNTIFS(RawData[CARES Framework],C152,RawData[Severity],"Low")</f>
        <v>12</v>
      </c>
      <c r="H152" s="169" t="n">
        <f aca="false">IFERROR(D152/Calc!$B$3,0)</f>
        <v>0.054</v>
      </c>
    </row>
    <row r="153" customFormat="false" ht="21.75" hidden="false" customHeight="true" outlineLevel="0" collapsed="false">
      <c r="C153" s="172" t="str">
        <f aca="false">Calc!A46</f>
        <v>Strive</v>
      </c>
      <c r="D153" s="159" t="n">
        <f aca="false">Calc!B46</f>
        <v>20</v>
      </c>
      <c r="E153" s="160" t="n">
        <f aca="false">COUNTIFS(RawData[CARES Framework],C153,RawData[Severity],"High")</f>
        <v>7</v>
      </c>
      <c r="F153" s="161" t="n">
        <f aca="false">COUNTIFS(RawData[CARES Framework],C153,RawData[Severity],"Moderate")</f>
        <v>7</v>
      </c>
      <c r="G153" s="162" t="n">
        <f aca="false">COUNTIFS(RawData[CARES Framework],C153,RawData[Severity],"Low")</f>
        <v>6</v>
      </c>
      <c r="H153" s="163" t="n">
        <f aca="false">IFERROR(D153/Calc!$B$3,0)</f>
        <v>0.04</v>
      </c>
    </row>
    <row r="155" customFormat="false" ht="21.75" hidden="false" customHeight="true" outlineLevel="0" collapsed="false">
      <c r="C155" s="173" t="s">
        <v>3057</v>
      </c>
      <c r="D155" s="173"/>
      <c r="E155" s="173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</row>
    <row r="158" customFormat="false" ht="21.75" hidden="false" customHeight="true" outlineLevel="0" collapsed="false">
      <c r="C158" s="174"/>
    </row>
    <row r="159" customFormat="false" ht="15" hidden="false" customHeight="true" outlineLevel="0" collapsed="false">
      <c r="C159" s="175"/>
    </row>
    <row r="160" customFormat="false" ht="34.5" hidden="false" customHeight="true" outlineLevel="0" collapsed="false">
      <c r="C160" s="176"/>
      <c r="D160" s="176"/>
      <c r="E160" s="177"/>
    </row>
    <row r="161" customFormat="false" ht="19.5" hidden="false" customHeight="true" outlineLevel="0" collapsed="false">
      <c r="C161" s="178"/>
      <c r="D161" s="179"/>
      <c r="E161" s="180"/>
    </row>
    <row r="162" customFormat="false" ht="19.5" hidden="false" customHeight="true" outlineLevel="0" collapsed="false">
      <c r="C162" s="181"/>
      <c r="D162" s="182"/>
      <c r="E162" s="183"/>
    </row>
    <row r="163" customFormat="false" ht="19.5" hidden="false" customHeight="true" outlineLevel="0" collapsed="false">
      <c r="C163" s="178"/>
      <c r="D163" s="179"/>
      <c r="E163" s="180"/>
    </row>
    <row r="164" customFormat="false" ht="19.5" hidden="false" customHeight="true" outlineLevel="0" collapsed="false">
      <c r="C164" s="181"/>
      <c r="D164" s="182"/>
      <c r="E164" s="183"/>
    </row>
    <row r="165" customFormat="false" ht="34.5" hidden="false" customHeight="true" outlineLevel="0" collapsed="false"/>
    <row r="166" customFormat="false" ht="39.75" hidden="false" customHeight="true" outlineLevel="0" collapsed="false"/>
    <row r="167" customFormat="false" ht="43.5" hidden="false" customHeight="true" outlineLevel="0" collapsed="false"/>
    <row r="168" customFormat="false" ht="29.25" hidden="false" customHeight="true" outlineLevel="0" collapsed="false"/>
    <row r="170" customFormat="false" ht="15" hidden="false" customHeight="true" outlineLevel="0" collapsed="false"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</row>
  </sheetData>
  <mergeCells count="157">
    <mergeCell ref="C2:R2"/>
    <mergeCell ref="S2:X2"/>
    <mergeCell ref="C3:T3"/>
    <mergeCell ref="U3:X3"/>
    <mergeCell ref="C8:E8"/>
    <mergeCell ref="F8:H8"/>
    <mergeCell ref="I8:K8"/>
    <mergeCell ref="L8:N8"/>
    <mergeCell ref="O8:Q8"/>
    <mergeCell ref="R8:T8"/>
    <mergeCell ref="U8:V8"/>
    <mergeCell ref="W8:X8"/>
    <mergeCell ref="C9:E9"/>
    <mergeCell ref="F9:H9"/>
    <mergeCell ref="I9:K9"/>
    <mergeCell ref="L9:N9"/>
    <mergeCell ref="O9:Q9"/>
    <mergeCell ref="R9:T9"/>
    <mergeCell ref="U9:V9"/>
    <mergeCell ref="W9:X9"/>
    <mergeCell ref="C10:E10"/>
    <mergeCell ref="F10:H10"/>
    <mergeCell ref="I10:K10"/>
    <mergeCell ref="L10:N10"/>
    <mergeCell ref="O10:Q10"/>
    <mergeCell ref="R10:T10"/>
    <mergeCell ref="U10:V10"/>
    <mergeCell ref="W10:X10"/>
    <mergeCell ref="C12:H12"/>
    <mergeCell ref="I12:N12"/>
    <mergeCell ref="O12:T12"/>
    <mergeCell ref="U12:X12"/>
    <mergeCell ref="C13:H13"/>
    <mergeCell ref="I13:N13"/>
    <mergeCell ref="O13:T13"/>
    <mergeCell ref="U13:X13"/>
    <mergeCell ref="C15:X15"/>
    <mergeCell ref="C35:AB35"/>
    <mergeCell ref="C56:X56"/>
    <mergeCell ref="C70:W70"/>
    <mergeCell ref="C91:W91"/>
    <mergeCell ref="E92:F92"/>
    <mergeCell ref="G92:H92"/>
    <mergeCell ref="I92:K92"/>
    <mergeCell ref="L92:M92"/>
    <mergeCell ref="N92:O92"/>
    <mergeCell ref="P92:W92"/>
    <mergeCell ref="E93:F93"/>
    <mergeCell ref="G93:H93"/>
    <mergeCell ref="I93:K93"/>
    <mergeCell ref="L93:M93"/>
    <mergeCell ref="N93:O93"/>
    <mergeCell ref="P93:W93"/>
    <mergeCell ref="E94:F94"/>
    <mergeCell ref="G94:H94"/>
    <mergeCell ref="I94:K94"/>
    <mergeCell ref="L94:M94"/>
    <mergeCell ref="N94:O94"/>
    <mergeCell ref="P94:W94"/>
    <mergeCell ref="E95:F95"/>
    <mergeCell ref="G95:H95"/>
    <mergeCell ref="I95:K95"/>
    <mergeCell ref="L95:M95"/>
    <mergeCell ref="N95:O95"/>
    <mergeCell ref="P95:W95"/>
    <mergeCell ref="E96:F96"/>
    <mergeCell ref="G96:H96"/>
    <mergeCell ref="I96:K96"/>
    <mergeCell ref="L96:M96"/>
    <mergeCell ref="N96:O96"/>
    <mergeCell ref="P96:W96"/>
    <mergeCell ref="E97:F97"/>
    <mergeCell ref="G97:H97"/>
    <mergeCell ref="I97:K97"/>
    <mergeCell ref="L97:M97"/>
    <mergeCell ref="N97:O97"/>
    <mergeCell ref="P97:W97"/>
    <mergeCell ref="E98:F98"/>
    <mergeCell ref="G98:H98"/>
    <mergeCell ref="I98:K98"/>
    <mergeCell ref="L98:M98"/>
    <mergeCell ref="N98:O98"/>
    <mergeCell ref="P98:W98"/>
    <mergeCell ref="E99:F99"/>
    <mergeCell ref="G99:H99"/>
    <mergeCell ref="I99:K99"/>
    <mergeCell ref="L99:M99"/>
    <mergeCell ref="N99:O99"/>
    <mergeCell ref="P99:W99"/>
    <mergeCell ref="E100:F100"/>
    <mergeCell ref="G100:H100"/>
    <mergeCell ref="I100:K100"/>
    <mergeCell ref="L100:M100"/>
    <mergeCell ref="N100:O100"/>
    <mergeCell ref="P100:W100"/>
    <mergeCell ref="E101:F101"/>
    <mergeCell ref="G101:H101"/>
    <mergeCell ref="I101:K101"/>
    <mergeCell ref="L101:M101"/>
    <mergeCell ref="N101:O101"/>
    <mergeCell ref="P101:W101"/>
    <mergeCell ref="E102:F102"/>
    <mergeCell ref="G102:H102"/>
    <mergeCell ref="I102:K102"/>
    <mergeCell ref="L102:M102"/>
    <mergeCell ref="N102:O102"/>
    <mergeCell ref="P102:W102"/>
    <mergeCell ref="C105:W105"/>
    <mergeCell ref="C121:W121"/>
    <mergeCell ref="D122:K122"/>
    <mergeCell ref="L122:N122"/>
    <mergeCell ref="O122:Q122"/>
    <mergeCell ref="R122:W122"/>
    <mergeCell ref="D123:K123"/>
    <mergeCell ref="L123:N123"/>
    <mergeCell ref="O123:Q123"/>
    <mergeCell ref="R123:W123"/>
    <mergeCell ref="D124:K124"/>
    <mergeCell ref="L124:N124"/>
    <mergeCell ref="O124:Q124"/>
    <mergeCell ref="R124:W124"/>
    <mergeCell ref="D125:K125"/>
    <mergeCell ref="L125:N125"/>
    <mergeCell ref="O125:Q125"/>
    <mergeCell ref="R125:W125"/>
    <mergeCell ref="D126:K126"/>
    <mergeCell ref="L126:N126"/>
    <mergeCell ref="O126:Q126"/>
    <mergeCell ref="R126:W126"/>
    <mergeCell ref="D127:K127"/>
    <mergeCell ref="L127:N127"/>
    <mergeCell ref="O127:Q127"/>
    <mergeCell ref="R127:W127"/>
    <mergeCell ref="D128:K128"/>
    <mergeCell ref="L128:N128"/>
    <mergeCell ref="O128:Q128"/>
    <mergeCell ref="R128:W128"/>
    <mergeCell ref="D129:K129"/>
    <mergeCell ref="L129:N129"/>
    <mergeCell ref="O129:Q129"/>
    <mergeCell ref="R129:W129"/>
    <mergeCell ref="D130:K130"/>
    <mergeCell ref="L130:N130"/>
    <mergeCell ref="O130:Q130"/>
    <mergeCell ref="R130:W130"/>
    <mergeCell ref="D131:K131"/>
    <mergeCell ref="L131:N131"/>
    <mergeCell ref="O131:Q131"/>
    <mergeCell ref="R131:W131"/>
    <mergeCell ref="D132:K132"/>
    <mergeCell ref="L132:N132"/>
    <mergeCell ref="O132:Q132"/>
    <mergeCell ref="R132:W132"/>
    <mergeCell ref="C134:W134"/>
    <mergeCell ref="C146:W146"/>
    <mergeCell ref="C155:W155"/>
    <mergeCell ref="C170:W1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992"/>
  <sheetViews>
    <sheetView showFormulas="false" showGridLines="true" showRowColHeaders="true" showZeros="true" rightToLeft="false" tabSelected="false" showOutlineSymbols="true" defaultGridColor="true" view="normal" topLeftCell="A768" colorId="64" zoomScale="91" zoomScaleNormal="91" zoomScalePageLayoutView="100" workbookViewId="0">
      <selection pane="topLeft" activeCell="A2" activeCellId="0" sqref="A2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185" width="19.42"/>
    <col collapsed="false" customWidth="true" hidden="false" outlineLevel="0" max="3" min="3" style="185" width="20.85"/>
    <col collapsed="false" customWidth="true" hidden="false" outlineLevel="0" max="4" min="4" style="0" width="30"/>
    <col collapsed="false" customWidth="true" hidden="false" outlineLevel="0" max="6" min="5" style="0" width="25"/>
    <col collapsed="false" customWidth="true" hidden="false" outlineLevel="0" max="7" min="7" style="0" width="13"/>
    <col collapsed="false" customWidth="true" hidden="false" outlineLevel="0" max="8" min="8" style="185" width="21"/>
    <col collapsed="false" customWidth="true" hidden="false" outlineLevel="0" max="9" min="9" style="0" width="31"/>
    <col collapsed="false" customWidth="true" hidden="false" outlineLevel="0" max="10" min="10" style="0" width="40"/>
    <col collapsed="false" customWidth="true" hidden="false" outlineLevel="0" max="11" min="11" style="0" width="20"/>
    <col collapsed="false" customWidth="true" hidden="false" outlineLevel="0" max="12" min="12" style="0" width="37"/>
    <col collapsed="false" customWidth="true" hidden="false" outlineLevel="0" max="13" min="13" style="0" width="25"/>
    <col collapsed="false" customWidth="true" hidden="false" outlineLevel="0" max="14" min="14" style="0" width="45"/>
    <col collapsed="false" customWidth="true" hidden="false" outlineLevel="0" max="15" min="15" style="0" width="31"/>
    <col collapsed="false" customWidth="true" hidden="false" outlineLevel="0" max="16" min="16" style="0" width="12"/>
    <col collapsed="false" customWidth="true" hidden="false" outlineLevel="0" max="17" min="17" style="0" width="27"/>
    <col collapsed="false" customWidth="true" hidden="false" outlineLevel="0" max="18" min="18" style="0" width="17"/>
    <col collapsed="false" customWidth="true" hidden="false" outlineLevel="0" max="19" min="19" style="0" width="19"/>
    <col collapsed="false" customWidth="true" hidden="false" outlineLevel="0" max="21" min="20" style="0" width="45"/>
    <col collapsed="false" customWidth="true" hidden="false" outlineLevel="0" max="22" min="22" style="0" width="12"/>
    <col collapsed="false" customWidth="true" hidden="false" outlineLevel="0" max="23" min="23" style="0" width="13"/>
    <col collapsed="false" customWidth="true" hidden="false" outlineLevel="0" max="24" min="24" style="0" width="30"/>
    <col collapsed="false" customWidth="true" hidden="false" outlineLevel="0" max="25" min="25" style="0" width="13"/>
    <col collapsed="false" customWidth="true" hidden="false" outlineLevel="0" max="26" min="26" style="0" width="17"/>
    <col collapsed="false" customWidth="true" hidden="false" outlineLevel="0" max="27" min="27" style="0" width="117.14"/>
  </cols>
  <sheetData>
    <row r="1" customFormat="false" ht="30" hidden="false" customHeight="true" outlineLevel="0" collapsed="false">
      <c r="A1" s="186" t="s">
        <v>0</v>
      </c>
      <c r="B1" s="187" t="s">
        <v>1</v>
      </c>
      <c r="C1" s="187" t="s">
        <v>2</v>
      </c>
      <c r="D1" s="186" t="s">
        <v>3</v>
      </c>
      <c r="E1" s="186" t="s">
        <v>4</v>
      </c>
      <c r="F1" s="186" t="s">
        <v>5</v>
      </c>
      <c r="G1" s="186" t="s">
        <v>6</v>
      </c>
      <c r="H1" s="187" t="s">
        <v>7</v>
      </c>
      <c r="I1" s="186" t="s">
        <v>14</v>
      </c>
      <c r="J1" s="186" t="s">
        <v>9</v>
      </c>
      <c r="K1" s="186" t="s">
        <v>3058</v>
      </c>
      <c r="L1" s="186" t="s">
        <v>3059</v>
      </c>
      <c r="M1" s="186" t="s">
        <v>3060</v>
      </c>
      <c r="N1" s="186" t="s">
        <v>3061</v>
      </c>
      <c r="O1" s="186" t="s">
        <v>8</v>
      </c>
      <c r="P1" s="186" t="s">
        <v>12</v>
      </c>
      <c r="Q1" s="186" t="s">
        <v>13</v>
      </c>
      <c r="R1" s="186" t="s">
        <v>20</v>
      </c>
      <c r="S1" s="186" t="s">
        <v>95</v>
      </c>
      <c r="T1" s="186" t="s">
        <v>96</v>
      </c>
      <c r="U1" s="186" t="s">
        <v>97</v>
      </c>
      <c r="V1" s="186" t="s">
        <v>98</v>
      </c>
      <c r="W1" s="186" t="s">
        <v>99</v>
      </c>
      <c r="X1" s="186" t="s">
        <v>3020</v>
      </c>
      <c r="Y1" s="186" t="s">
        <v>3062</v>
      </c>
      <c r="Z1" s="186" t="s">
        <v>3063</v>
      </c>
      <c r="AA1" s="186" t="s">
        <v>2978</v>
      </c>
    </row>
    <row r="2" customFormat="false" ht="15" hidden="false" customHeight="true" outlineLevel="0" collapsed="false">
      <c r="A2" s="0" t="n">
        <v>1</v>
      </c>
      <c r="B2" s="188" t="n">
        <v>46150.5170681434</v>
      </c>
      <c r="C2" s="188" t="n">
        <v>46150.5336074953</v>
      </c>
      <c r="D2" s="189" t="s">
        <v>103</v>
      </c>
      <c r="E2" s="189" t="s">
        <v>104</v>
      </c>
      <c r="F2" s="189" t="s">
        <v>105</v>
      </c>
      <c r="G2" s="189" t="s">
        <v>106</v>
      </c>
      <c r="H2" s="188" t="n">
        <v>46142</v>
      </c>
      <c r="I2" s="189" t="s">
        <v>113</v>
      </c>
      <c r="J2" s="189" t="s">
        <v>108</v>
      </c>
      <c r="K2" s="189" t="s">
        <v>109</v>
      </c>
      <c r="L2" s="189" t="s">
        <v>110</v>
      </c>
      <c r="M2" s="189" t="s">
        <v>114</v>
      </c>
      <c r="N2" s="189" t="s">
        <v>115</v>
      </c>
      <c r="O2" s="189" t="s">
        <v>107</v>
      </c>
      <c r="P2" s="189" t="s">
        <v>111</v>
      </c>
      <c r="Q2" s="189" t="s">
        <v>112</v>
      </c>
      <c r="R2" s="189" t="s">
        <v>22</v>
      </c>
      <c r="S2" s="189" t="s">
        <v>120</v>
      </c>
      <c r="T2" s="189" t="s">
        <v>121</v>
      </c>
      <c r="U2" s="189" t="s">
        <v>122</v>
      </c>
      <c r="V2" s="189" t="s">
        <v>123</v>
      </c>
      <c r="W2" s="189" t="s">
        <v>124</v>
      </c>
      <c r="X2" s="189" t="s">
        <v>116</v>
      </c>
      <c r="Y2" s="189" t="s">
        <v>3064</v>
      </c>
      <c r="Z2" s="0" t="n">
        <v>1</v>
      </c>
      <c r="AA2" s="189" t="s">
        <v>3065</v>
      </c>
    </row>
    <row r="3" customFormat="false" ht="15" hidden="false" customHeight="true" outlineLevel="0" collapsed="false">
      <c r="A3" s="0" t="n">
        <v>1</v>
      </c>
      <c r="B3" s="188" t="n">
        <v>46150.5170681434</v>
      </c>
      <c r="C3" s="188" t="n">
        <v>46150.5336074953</v>
      </c>
      <c r="D3" s="189" t="s">
        <v>103</v>
      </c>
      <c r="E3" s="189" t="s">
        <v>104</v>
      </c>
      <c r="F3" s="189" t="s">
        <v>105</v>
      </c>
      <c r="G3" s="189" t="s">
        <v>106</v>
      </c>
      <c r="H3" s="188" t="n">
        <v>46142</v>
      </c>
      <c r="I3" s="189" t="s">
        <v>113</v>
      </c>
      <c r="J3" s="189" t="s">
        <v>108</v>
      </c>
      <c r="K3" s="189" t="s">
        <v>109</v>
      </c>
      <c r="L3" s="189" t="s">
        <v>110</v>
      </c>
      <c r="M3" s="189" t="s">
        <v>114</v>
      </c>
      <c r="N3" s="189" t="s">
        <v>115</v>
      </c>
      <c r="O3" s="189" t="s">
        <v>107</v>
      </c>
      <c r="P3" s="189" t="s">
        <v>111</v>
      </c>
      <c r="Q3" s="189" t="s">
        <v>112</v>
      </c>
      <c r="R3" s="189" t="s">
        <v>22</v>
      </c>
      <c r="S3" s="189" t="s">
        <v>120</v>
      </c>
      <c r="T3" s="189" t="s">
        <v>121</v>
      </c>
      <c r="U3" s="189" t="s">
        <v>122</v>
      </c>
      <c r="V3" s="189" t="s">
        <v>123</v>
      </c>
      <c r="W3" s="189" t="s">
        <v>124</v>
      </c>
      <c r="X3" s="189" t="s">
        <v>116</v>
      </c>
      <c r="Y3" s="189" t="s">
        <v>3066</v>
      </c>
      <c r="Z3" s="0" t="n">
        <v>1</v>
      </c>
      <c r="AA3" s="189" t="s">
        <v>3067</v>
      </c>
    </row>
    <row r="4" customFormat="false" ht="15" hidden="false" customHeight="true" outlineLevel="0" collapsed="false">
      <c r="A4" s="0" t="n">
        <v>1</v>
      </c>
      <c r="B4" s="188" t="n">
        <v>46150.5170681434</v>
      </c>
      <c r="C4" s="188" t="n">
        <v>46150.5336074953</v>
      </c>
      <c r="D4" s="189" t="s">
        <v>103</v>
      </c>
      <c r="E4" s="189" t="s">
        <v>104</v>
      </c>
      <c r="F4" s="189" t="s">
        <v>105</v>
      </c>
      <c r="G4" s="189" t="s">
        <v>106</v>
      </c>
      <c r="H4" s="188" t="n">
        <v>46142</v>
      </c>
      <c r="I4" s="189" t="s">
        <v>113</v>
      </c>
      <c r="J4" s="189" t="s">
        <v>108</v>
      </c>
      <c r="K4" s="189" t="s">
        <v>109</v>
      </c>
      <c r="L4" s="189" t="s">
        <v>110</v>
      </c>
      <c r="M4" s="189" t="s">
        <v>114</v>
      </c>
      <c r="N4" s="189" t="s">
        <v>115</v>
      </c>
      <c r="O4" s="189" t="s">
        <v>107</v>
      </c>
      <c r="P4" s="189" t="s">
        <v>111</v>
      </c>
      <c r="Q4" s="189" t="s">
        <v>112</v>
      </c>
      <c r="R4" s="189" t="s">
        <v>22</v>
      </c>
      <c r="S4" s="189" t="s">
        <v>120</v>
      </c>
      <c r="T4" s="189" t="s">
        <v>121</v>
      </c>
      <c r="U4" s="189" t="s">
        <v>122</v>
      </c>
      <c r="V4" s="189" t="s">
        <v>123</v>
      </c>
      <c r="W4" s="189" t="s">
        <v>124</v>
      </c>
      <c r="X4" s="189" t="s">
        <v>116</v>
      </c>
      <c r="Y4" s="189" t="s">
        <v>3066</v>
      </c>
      <c r="Z4" s="0" t="n">
        <v>2</v>
      </c>
      <c r="AA4" s="189" t="s">
        <v>3068</v>
      </c>
    </row>
    <row r="5" customFormat="false" ht="15" hidden="false" customHeight="true" outlineLevel="0" collapsed="false">
      <c r="A5" s="0" t="n">
        <v>1</v>
      </c>
      <c r="B5" s="188" t="n">
        <v>46150.5170681434</v>
      </c>
      <c r="C5" s="188" t="n">
        <v>46150.5336074953</v>
      </c>
      <c r="D5" s="189" t="s">
        <v>103</v>
      </c>
      <c r="E5" s="189" t="s">
        <v>104</v>
      </c>
      <c r="F5" s="189" t="s">
        <v>105</v>
      </c>
      <c r="G5" s="189" t="s">
        <v>106</v>
      </c>
      <c r="H5" s="188" t="n">
        <v>46142</v>
      </c>
      <c r="I5" s="189" t="s">
        <v>113</v>
      </c>
      <c r="J5" s="189" t="s">
        <v>108</v>
      </c>
      <c r="K5" s="189" t="s">
        <v>109</v>
      </c>
      <c r="L5" s="189" t="s">
        <v>110</v>
      </c>
      <c r="M5" s="189" t="s">
        <v>114</v>
      </c>
      <c r="N5" s="189" t="s">
        <v>115</v>
      </c>
      <c r="O5" s="189" t="s">
        <v>107</v>
      </c>
      <c r="P5" s="189" t="s">
        <v>111</v>
      </c>
      <c r="Q5" s="189" t="s">
        <v>112</v>
      </c>
      <c r="R5" s="189" t="s">
        <v>22</v>
      </c>
      <c r="S5" s="189" t="s">
        <v>120</v>
      </c>
      <c r="T5" s="189" t="s">
        <v>121</v>
      </c>
      <c r="U5" s="189" t="s">
        <v>122</v>
      </c>
      <c r="V5" s="189" t="s">
        <v>123</v>
      </c>
      <c r="W5" s="189" t="s">
        <v>124</v>
      </c>
      <c r="X5" s="189" t="s">
        <v>116</v>
      </c>
      <c r="Y5" s="189" t="s">
        <v>3069</v>
      </c>
      <c r="Z5" s="0" t="n">
        <v>1</v>
      </c>
      <c r="AA5" s="189" t="s">
        <v>122</v>
      </c>
    </row>
    <row r="6" customFormat="false" ht="15" hidden="false" customHeight="true" outlineLevel="0" collapsed="false">
      <c r="A6" s="0" t="n">
        <v>1</v>
      </c>
      <c r="B6" s="188" t="n">
        <v>46150.5170681434</v>
      </c>
      <c r="C6" s="188" t="n">
        <v>46150.5336074953</v>
      </c>
      <c r="D6" s="189" t="s">
        <v>103</v>
      </c>
      <c r="E6" s="189" t="s">
        <v>104</v>
      </c>
      <c r="F6" s="189" t="s">
        <v>105</v>
      </c>
      <c r="G6" s="189" t="s">
        <v>106</v>
      </c>
      <c r="H6" s="188" t="n">
        <v>46142</v>
      </c>
      <c r="I6" s="189" t="s">
        <v>113</v>
      </c>
      <c r="J6" s="189" t="s">
        <v>108</v>
      </c>
      <c r="K6" s="189" t="s">
        <v>109</v>
      </c>
      <c r="L6" s="189" t="s">
        <v>110</v>
      </c>
      <c r="M6" s="189" t="s">
        <v>114</v>
      </c>
      <c r="N6" s="189" t="s">
        <v>115</v>
      </c>
      <c r="O6" s="189" t="s">
        <v>107</v>
      </c>
      <c r="P6" s="189" t="s">
        <v>111</v>
      </c>
      <c r="Q6" s="189" t="s">
        <v>112</v>
      </c>
      <c r="R6" s="189" t="s">
        <v>22</v>
      </c>
      <c r="S6" s="189" t="s">
        <v>120</v>
      </c>
      <c r="T6" s="189" t="s">
        <v>121</v>
      </c>
      <c r="U6" s="189" t="s">
        <v>122</v>
      </c>
      <c r="V6" s="189" t="s">
        <v>123</v>
      </c>
      <c r="W6" s="189" t="s">
        <v>124</v>
      </c>
      <c r="X6" s="189" t="s">
        <v>116</v>
      </c>
      <c r="Y6" s="189" t="s">
        <v>3069</v>
      </c>
      <c r="Z6" s="0" t="n">
        <v>2</v>
      </c>
      <c r="AA6" s="189" t="s">
        <v>3070</v>
      </c>
    </row>
    <row r="7" customFormat="false" ht="15" hidden="false" customHeight="true" outlineLevel="0" collapsed="false">
      <c r="A7" s="0" t="n">
        <v>2</v>
      </c>
      <c r="B7" s="188" t="n">
        <v>46110.8180594179</v>
      </c>
      <c r="C7" s="188" t="n">
        <v>46110.8385686771</v>
      </c>
      <c r="D7" s="189" t="s">
        <v>125</v>
      </c>
      <c r="E7" s="189" t="s">
        <v>126</v>
      </c>
      <c r="F7" s="189" t="s">
        <v>126</v>
      </c>
      <c r="G7" s="189" t="s">
        <v>127</v>
      </c>
      <c r="H7" s="188" t="n">
        <v>46093</v>
      </c>
      <c r="I7" s="189" t="s">
        <v>132</v>
      </c>
      <c r="J7" s="189" t="s">
        <v>128</v>
      </c>
      <c r="K7" s="189" t="s">
        <v>129</v>
      </c>
      <c r="L7" s="189" t="s">
        <v>130</v>
      </c>
      <c r="M7" s="189" t="s">
        <v>133</v>
      </c>
      <c r="N7" s="189" t="s">
        <v>134</v>
      </c>
      <c r="O7" s="189" t="s">
        <v>107</v>
      </c>
      <c r="P7" s="189" t="s">
        <v>131</v>
      </c>
      <c r="Q7" s="189" t="s">
        <v>112</v>
      </c>
      <c r="R7" s="189" t="s">
        <v>22</v>
      </c>
      <c r="S7" s="189" t="s">
        <v>120</v>
      </c>
      <c r="T7" s="189" t="s">
        <v>121</v>
      </c>
      <c r="V7" s="189" t="s">
        <v>123</v>
      </c>
      <c r="W7" s="189" t="s">
        <v>139</v>
      </c>
      <c r="X7" s="189" t="s">
        <v>135</v>
      </c>
      <c r="Y7" s="189" t="s">
        <v>3064</v>
      </c>
      <c r="Z7" s="0" t="n">
        <v>1</v>
      </c>
      <c r="AA7" s="189" t="s">
        <v>3071</v>
      </c>
    </row>
    <row r="8" customFormat="false" ht="15" hidden="false" customHeight="true" outlineLevel="0" collapsed="false">
      <c r="A8" s="0" t="n">
        <v>2</v>
      </c>
      <c r="B8" s="188" t="n">
        <v>46110.8180594179</v>
      </c>
      <c r="C8" s="188" t="n">
        <v>46110.8385686771</v>
      </c>
      <c r="D8" s="189" t="s">
        <v>125</v>
      </c>
      <c r="E8" s="189" t="s">
        <v>126</v>
      </c>
      <c r="F8" s="189" t="s">
        <v>126</v>
      </c>
      <c r="G8" s="189" t="s">
        <v>127</v>
      </c>
      <c r="H8" s="188" t="n">
        <v>46093</v>
      </c>
      <c r="I8" s="189" t="s">
        <v>132</v>
      </c>
      <c r="J8" s="189" t="s">
        <v>128</v>
      </c>
      <c r="K8" s="189" t="s">
        <v>129</v>
      </c>
      <c r="L8" s="189" t="s">
        <v>130</v>
      </c>
      <c r="M8" s="189" t="s">
        <v>133</v>
      </c>
      <c r="N8" s="189" t="s">
        <v>134</v>
      </c>
      <c r="O8" s="189" t="s">
        <v>107</v>
      </c>
      <c r="P8" s="189" t="s">
        <v>131</v>
      </c>
      <c r="Q8" s="189" t="s">
        <v>112</v>
      </c>
      <c r="R8" s="189" t="s">
        <v>22</v>
      </c>
      <c r="S8" s="189" t="s">
        <v>120</v>
      </c>
      <c r="T8" s="189" t="s">
        <v>121</v>
      </c>
      <c r="V8" s="189" t="s">
        <v>123</v>
      </c>
      <c r="W8" s="189" t="s">
        <v>139</v>
      </c>
      <c r="X8" s="189" t="s">
        <v>135</v>
      </c>
      <c r="Y8" s="189" t="s">
        <v>3064</v>
      </c>
      <c r="Z8" s="0" t="n">
        <v>2</v>
      </c>
      <c r="AA8" s="189" t="s">
        <v>3072</v>
      </c>
    </row>
    <row r="9" customFormat="false" ht="15" hidden="false" customHeight="true" outlineLevel="0" collapsed="false">
      <c r="A9" s="0" t="n">
        <v>2</v>
      </c>
      <c r="B9" s="188" t="n">
        <v>46110.8180594179</v>
      </c>
      <c r="C9" s="188" t="n">
        <v>46110.8385686771</v>
      </c>
      <c r="D9" s="189" t="s">
        <v>125</v>
      </c>
      <c r="E9" s="189" t="s">
        <v>126</v>
      </c>
      <c r="F9" s="189" t="s">
        <v>126</v>
      </c>
      <c r="G9" s="189" t="s">
        <v>127</v>
      </c>
      <c r="H9" s="188" t="n">
        <v>46093</v>
      </c>
      <c r="I9" s="189" t="s">
        <v>132</v>
      </c>
      <c r="J9" s="189" t="s">
        <v>128</v>
      </c>
      <c r="K9" s="189" t="s">
        <v>129</v>
      </c>
      <c r="L9" s="189" t="s">
        <v>130</v>
      </c>
      <c r="M9" s="189" t="s">
        <v>133</v>
      </c>
      <c r="N9" s="189" t="s">
        <v>134</v>
      </c>
      <c r="O9" s="189" t="s">
        <v>107</v>
      </c>
      <c r="P9" s="189" t="s">
        <v>131</v>
      </c>
      <c r="Q9" s="189" t="s">
        <v>112</v>
      </c>
      <c r="R9" s="189" t="s">
        <v>22</v>
      </c>
      <c r="S9" s="189" t="s">
        <v>120</v>
      </c>
      <c r="T9" s="189" t="s">
        <v>121</v>
      </c>
      <c r="V9" s="189" t="s">
        <v>123</v>
      </c>
      <c r="W9" s="189" t="s">
        <v>139</v>
      </c>
      <c r="X9" s="189" t="s">
        <v>135</v>
      </c>
      <c r="Y9" s="189" t="s">
        <v>3064</v>
      </c>
      <c r="Z9" s="0" t="n">
        <v>3</v>
      </c>
      <c r="AA9" s="189" t="s">
        <v>3073</v>
      </c>
    </row>
    <row r="10" customFormat="false" ht="14.25" hidden="false" customHeight="true" outlineLevel="0" collapsed="false">
      <c r="A10" s="0" t="n">
        <v>2</v>
      </c>
      <c r="B10" s="188" t="n">
        <v>46110.8180594179</v>
      </c>
      <c r="C10" s="188" t="n">
        <v>46110.8385686771</v>
      </c>
      <c r="D10" s="189" t="s">
        <v>125</v>
      </c>
      <c r="E10" s="189" t="s">
        <v>126</v>
      </c>
      <c r="F10" s="189" t="s">
        <v>126</v>
      </c>
      <c r="G10" s="189" t="s">
        <v>127</v>
      </c>
      <c r="H10" s="188" t="n">
        <v>46093</v>
      </c>
      <c r="I10" s="189" t="s">
        <v>132</v>
      </c>
      <c r="J10" s="189" t="s">
        <v>128</v>
      </c>
      <c r="K10" s="189" t="s">
        <v>129</v>
      </c>
      <c r="L10" s="189" t="s">
        <v>130</v>
      </c>
      <c r="M10" s="189" t="s">
        <v>133</v>
      </c>
      <c r="N10" s="189" t="s">
        <v>134</v>
      </c>
      <c r="O10" s="189" t="s">
        <v>107</v>
      </c>
      <c r="P10" s="189" t="s">
        <v>131</v>
      </c>
      <c r="Q10" s="189" t="s">
        <v>112</v>
      </c>
      <c r="R10" s="189" t="s">
        <v>22</v>
      </c>
      <c r="S10" s="189" t="s">
        <v>120</v>
      </c>
      <c r="T10" s="189" t="s">
        <v>121</v>
      </c>
      <c r="V10" s="189" t="s">
        <v>123</v>
      </c>
      <c r="W10" s="189" t="s">
        <v>139</v>
      </c>
      <c r="X10" s="189" t="s">
        <v>135</v>
      </c>
      <c r="Y10" s="189" t="s">
        <v>3066</v>
      </c>
      <c r="Z10" s="0" t="n">
        <v>1</v>
      </c>
      <c r="AA10" s="189" t="s">
        <v>3074</v>
      </c>
    </row>
    <row r="11" customFormat="false" ht="15" hidden="false" customHeight="true" outlineLevel="0" collapsed="false">
      <c r="A11" s="0" t="n">
        <v>2</v>
      </c>
      <c r="B11" s="188" t="n">
        <v>46110.8180594179</v>
      </c>
      <c r="C11" s="188" t="n">
        <v>46110.8385686771</v>
      </c>
      <c r="D11" s="189" t="s">
        <v>125</v>
      </c>
      <c r="E11" s="189" t="s">
        <v>126</v>
      </c>
      <c r="F11" s="189" t="s">
        <v>126</v>
      </c>
      <c r="G11" s="189" t="s">
        <v>127</v>
      </c>
      <c r="H11" s="188" t="n">
        <v>46093</v>
      </c>
      <c r="I11" s="189" t="s">
        <v>132</v>
      </c>
      <c r="J11" s="189" t="s">
        <v>128</v>
      </c>
      <c r="K11" s="189" t="s">
        <v>129</v>
      </c>
      <c r="L11" s="189" t="s">
        <v>130</v>
      </c>
      <c r="M11" s="189" t="s">
        <v>133</v>
      </c>
      <c r="N11" s="189" t="s">
        <v>134</v>
      </c>
      <c r="O11" s="189" t="s">
        <v>107</v>
      </c>
      <c r="P11" s="189" t="s">
        <v>131</v>
      </c>
      <c r="Q11" s="189" t="s">
        <v>112</v>
      </c>
      <c r="R11" s="189" t="s">
        <v>22</v>
      </c>
      <c r="S11" s="189" t="s">
        <v>120</v>
      </c>
      <c r="T11" s="189" t="s">
        <v>121</v>
      </c>
      <c r="V11" s="189" t="s">
        <v>123</v>
      </c>
      <c r="W11" s="189" t="s">
        <v>139</v>
      </c>
      <c r="X11" s="189" t="s">
        <v>135</v>
      </c>
      <c r="Y11" s="189" t="s">
        <v>3069</v>
      </c>
      <c r="Z11" s="0" t="n">
        <v>1</v>
      </c>
      <c r="AA11" s="189" t="s">
        <v>3075</v>
      </c>
    </row>
    <row r="12" customFormat="false" ht="15" hidden="false" customHeight="true" outlineLevel="0" collapsed="false">
      <c r="A12" s="0" t="n">
        <v>2</v>
      </c>
      <c r="B12" s="188" t="n">
        <v>46110.8180594179</v>
      </c>
      <c r="C12" s="188" t="n">
        <v>46110.8385686771</v>
      </c>
      <c r="D12" s="189" t="s">
        <v>125</v>
      </c>
      <c r="E12" s="189" t="s">
        <v>126</v>
      </c>
      <c r="F12" s="189" t="s">
        <v>126</v>
      </c>
      <c r="G12" s="189" t="s">
        <v>127</v>
      </c>
      <c r="H12" s="188" t="n">
        <v>46093</v>
      </c>
      <c r="I12" s="189" t="s">
        <v>132</v>
      </c>
      <c r="J12" s="189" t="s">
        <v>128</v>
      </c>
      <c r="K12" s="189" t="s">
        <v>129</v>
      </c>
      <c r="L12" s="189" t="s">
        <v>130</v>
      </c>
      <c r="M12" s="189" t="s">
        <v>133</v>
      </c>
      <c r="N12" s="189" t="s">
        <v>134</v>
      </c>
      <c r="O12" s="189" t="s">
        <v>107</v>
      </c>
      <c r="P12" s="189" t="s">
        <v>131</v>
      </c>
      <c r="Q12" s="189" t="s">
        <v>112</v>
      </c>
      <c r="R12" s="189" t="s">
        <v>22</v>
      </c>
      <c r="S12" s="189" t="s">
        <v>120</v>
      </c>
      <c r="T12" s="189" t="s">
        <v>121</v>
      </c>
      <c r="V12" s="189" t="s">
        <v>123</v>
      </c>
      <c r="W12" s="189" t="s">
        <v>139</v>
      </c>
      <c r="X12" s="189" t="s">
        <v>135</v>
      </c>
      <c r="Y12" s="189" t="s">
        <v>3069</v>
      </c>
      <c r="Z12" s="0" t="n">
        <v>2</v>
      </c>
      <c r="AA12" s="189" t="s">
        <v>122</v>
      </c>
    </row>
    <row r="13" customFormat="false" ht="15" hidden="false" customHeight="true" outlineLevel="0" collapsed="false">
      <c r="A13" s="0" t="n">
        <v>3</v>
      </c>
      <c r="B13" s="188" t="n">
        <v>46143.6893473151</v>
      </c>
      <c r="C13" s="188" t="n">
        <v>46143.7080162966</v>
      </c>
      <c r="D13" s="189" t="s">
        <v>140</v>
      </c>
      <c r="E13" s="189" t="s">
        <v>141</v>
      </c>
      <c r="F13" s="189" t="s">
        <v>141</v>
      </c>
      <c r="G13" s="189" t="s">
        <v>142</v>
      </c>
      <c r="H13" s="188" t="n">
        <v>46131</v>
      </c>
      <c r="I13" s="189" t="s">
        <v>113</v>
      </c>
      <c r="J13" s="189" t="s">
        <v>128</v>
      </c>
      <c r="K13" s="189" t="s">
        <v>143</v>
      </c>
      <c r="L13" s="189" t="s">
        <v>144</v>
      </c>
      <c r="M13" s="189" t="s">
        <v>146</v>
      </c>
      <c r="N13" s="189" t="s">
        <v>147</v>
      </c>
      <c r="O13" s="189" t="s">
        <v>107</v>
      </c>
      <c r="P13" s="189" t="s">
        <v>131</v>
      </c>
      <c r="Q13" s="189" t="s">
        <v>145</v>
      </c>
      <c r="R13" s="189" t="s">
        <v>22</v>
      </c>
      <c r="S13" s="189" t="s">
        <v>152</v>
      </c>
      <c r="T13" s="189" t="s">
        <v>121</v>
      </c>
      <c r="U13" s="189" t="s">
        <v>153</v>
      </c>
      <c r="V13" s="189" t="s">
        <v>123</v>
      </c>
      <c r="W13" s="189" t="s">
        <v>124</v>
      </c>
      <c r="X13" s="189" t="s">
        <v>148</v>
      </c>
      <c r="Y13" s="189" t="s">
        <v>3064</v>
      </c>
      <c r="Z13" s="0" t="n">
        <v>1</v>
      </c>
      <c r="AA13" s="189" t="s">
        <v>3076</v>
      </c>
    </row>
    <row r="14" customFormat="false" ht="15" hidden="false" customHeight="true" outlineLevel="0" collapsed="false">
      <c r="A14" s="0" t="n">
        <v>3</v>
      </c>
      <c r="B14" s="188" t="n">
        <v>46143.6893473151</v>
      </c>
      <c r="C14" s="188" t="n">
        <v>46143.7080162966</v>
      </c>
      <c r="D14" s="189" t="s">
        <v>140</v>
      </c>
      <c r="E14" s="189" t="s">
        <v>141</v>
      </c>
      <c r="F14" s="189" t="s">
        <v>141</v>
      </c>
      <c r="G14" s="189" t="s">
        <v>142</v>
      </c>
      <c r="H14" s="188" t="n">
        <v>46131</v>
      </c>
      <c r="I14" s="189" t="s">
        <v>113</v>
      </c>
      <c r="J14" s="189" t="s">
        <v>128</v>
      </c>
      <c r="K14" s="189" t="s">
        <v>143</v>
      </c>
      <c r="L14" s="189" t="s">
        <v>144</v>
      </c>
      <c r="M14" s="189" t="s">
        <v>146</v>
      </c>
      <c r="N14" s="189" t="s">
        <v>147</v>
      </c>
      <c r="O14" s="189" t="s">
        <v>107</v>
      </c>
      <c r="P14" s="189" t="s">
        <v>131</v>
      </c>
      <c r="Q14" s="189" t="s">
        <v>145</v>
      </c>
      <c r="R14" s="189" t="s">
        <v>22</v>
      </c>
      <c r="S14" s="189" t="s">
        <v>152</v>
      </c>
      <c r="T14" s="189" t="s">
        <v>121</v>
      </c>
      <c r="U14" s="189" t="s">
        <v>153</v>
      </c>
      <c r="V14" s="189" t="s">
        <v>123</v>
      </c>
      <c r="W14" s="189" t="s">
        <v>124</v>
      </c>
      <c r="X14" s="189" t="s">
        <v>148</v>
      </c>
      <c r="Y14" s="189" t="s">
        <v>3066</v>
      </c>
      <c r="Z14" s="0" t="n">
        <v>1</v>
      </c>
      <c r="AA14" s="189" t="s">
        <v>3077</v>
      </c>
    </row>
    <row r="15" customFormat="false" ht="15" hidden="false" customHeight="true" outlineLevel="0" collapsed="false">
      <c r="A15" s="0" t="n">
        <v>3</v>
      </c>
      <c r="B15" s="188" t="n">
        <v>46143.6893473151</v>
      </c>
      <c r="C15" s="188" t="n">
        <v>46143.7080162966</v>
      </c>
      <c r="D15" s="189" t="s">
        <v>140</v>
      </c>
      <c r="E15" s="189" t="s">
        <v>141</v>
      </c>
      <c r="F15" s="189" t="s">
        <v>141</v>
      </c>
      <c r="G15" s="189" t="s">
        <v>142</v>
      </c>
      <c r="H15" s="188" t="n">
        <v>46131</v>
      </c>
      <c r="I15" s="189" t="s">
        <v>113</v>
      </c>
      <c r="J15" s="189" t="s">
        <v>128</v>
      </c>
      <c r="K15" s="189" t="s">
        <v>143</v>
      </c>
      <c r="L15" s="189" t="s">
        <v>144</v>
      </c>
      <c r="M15" s="189" t="s">
        <v>146</v>
      </c>
      <c r="N15" s="189" t="s">
        <v>147</v>
      </c>
      <c r="O15" s="189" t="s">
        <v>107</v>
      </c>
      <c r="P15" s="189" t="s">
        <v>131</v>
      </c>
      <c r="Q15" s="189" t="s">
        <v>145</v>
      </c>
      <c r="R15" s="189" t="s">
        <v>22</v>
      </c>
      <c r="S15" s="189" t="s">
        <v>152</v>
      </c>
      <c r="T15" s="189" t="s">
        <v>121</v>
      </c>
      <c r="U15" s="189" t="s">
        <v>153</v>
      </c>
      <c r="V15" s="189" t="s">
        <v>123</v>
      </c>
      <c r="W15" s="189" t="s">
        <v>124</v>
      </c>
      <c r="X15" s="189" t="s">
        <v>148</v>
      </c>
      <c r="Y15" s="189" t="s">
        <v>3066</v>
      </c>
      <c r="Z15" s="0" t="n">
        <v>2</v>
      </c>
      <c r="AA15" s="189" t="s">
        <v>3078</v>
      </c>
    </row>
    <row r="16" customFormat="false" ht="15" hidden="false" customHeight="true" outlineLevel="0" collapsed="false">
      <c r="A16" s="0" t="n">
        <v>3</v>
      </c>
      <c r="B16" s="188" t="n">
        <v>46143.6893473151</v>
      </c>
      <c r="C16" s="188" t="n">
        <v>46143.7080162966</v>
      </c>
      <c r="D16" s="189" t="s">
        <v>140</v>
      </c>
      <c r="E16" s="189" t="s">
        <v>141</v>
      </c>
      <c r="F16" s="189" t="s">
        <v>141</v>
      </c>
      <c r="G16" s="189" t="s">
        <v>142</v>
      </c>
      <c r="H16" s="188" t="n">
        <v>46131</v>
      </c>
      <c r="I16" s="189" t="s">
        <v>113</v>
      </c>
      <c r="J16" s="189" t="s">
        <v>128</v>
      </c>
      <c r="K16" s="189" t="s">
        <v>143</v>
      </c>
      <c r="L16" s="189" t="s">
        <v>144</v>
      </c>
      <c r="M16" s="189" t="s">
        <v>146</v>
      </c>
      <c r="N16" s="189" t="s">
        <v>147</v>
      </c>
      <c r="O16" s="189" t="s">
        <v>107</v>
      </c>
      <c r="P16" s="189" t="s">
        <v>131</v>
      </c>
      <c r="Q16" s="189" t="s">
        <v>145</v>
      </c>
      <c r="R16" s="189" t="s">
        <v>22</v>
      </c>
      <c r="S16" s="189" t="s">
        <v>152</v>
      </c>
      <c r="T16" s="189" t="s">
        <v>121</v>
      </c>
      <c r="U16" s="189" t="s">
        <v>153</v>
      </c>
      <c r="V16" s="189" t="s">
        <v>123</v>
      </c>
      <c r="W16" s="189" t="s">
        <v>124</v>
      </c>
      <c r="X16" s="189" t="s">
        <v>148</v>
      </c>
      <c r="Y16" s="189" t="s">
        <v>3069</v>
      </c>
      <c r="Z16" s="0" t="n">
        <v>1</v>
      </c>
      <c r="AA16" s="189" t="s">
        <v>3079</v>
      </c>
    </row>
    <row r="17" customFormat="false" ht="15" hidden="false" customHeight="true" outlineLevel="0" collapsed="false">
      <c r="A17" s="0" t="n">
        <v>3</v>
      </c>
      <c r="B17" s="188" t="n">
        <v>46143.6893473151</v>
      </c>
      <c r="C17" s="188" t="n">
        <v>46143.7080162966</v>
      </c>
      <c r="D17" s="189" t="s">
        <v>140</v>
      </c>
      <c r="E17" s="189" t="s">
        <v>141</v>
      </c>
      <c r="F17" s="189" t="s">
        <v>141</v>
      </c>
      <c r="G17" s="189" t="s">
        <v>142</v>
      </c>
      <c r="H17" s="188" t="n">
        <v>46131</v>
      </c>
      <c r="I17" s="189" t="s">
        <v>113</v>
      </c>
      <c r="J17" s="189" t="s">
        <v>128</v>
      </c>
      <c r="K17" s="189" t="s">
        <v>143</v>
      </c>
      <c r="L17" s="189" t="s">
        <v>144</v>
      </c>
      <c r="M17" s="189" t="s">
        <v>146</v>
      </c>
      <c r="N17" s="189" t="s">
        <v>147</v>
      </c>
      <c r="O17" s="189" t="s">
        <v>107</v>
      </c>
      <c r="P17" s="189" t="s">
        <v>131</v>
      </c>
      <c r="Q17" s="189" t="s">
        <v>145</v>
      </c>
      <c r="R17" s="189" t="s">
        <v>22</v>
      </c>
      <c r="S17" s="189" t="s">
        <v>152</v>
      </c>
      <c r="T17" s="189" t="s">
        <v>121</v>
      </c>
      <c r="U17" s="189" t="s">
        <v>153</v>
      </c>
      <c r="V17" s="189" t="s">
        <v>123</v>
      </c>
      <c r="W17" s="189" t="s">
        <v>124</v>
      </c>
      <c r="X17" s="189" t="s">
        <v>148</v>
      </c>
      <c r="Y17" s="189" t="s">
        <v>3069</v>
      </c>
      <c r="Z17" s="0" t="n">
        <v>2</v>
      </c>
      <c r="AA17" s="189" t="s">
        <v>3080</v>
      </c>
    </row>
    <row r="18" customFormat="false" ht="15" hidden="false" customHeight="true" outlineLevel="0" collapsed="false">
      <c r="A18" s="0" t="n">
        <v>4</v>
      </c>
      <c r="B18" s="188" t="n">
        <v>46115.7985240166</v>
      </c>
      <c r="C18" s="188" t="n">
        <v>46115.8031883685</v>
      </c>
      <c r="D18" s="189" t="s">
        <v>154</v>
      </c>
      <c r="E18" s="189" t="s">
        <v>155</v>
      </c>
      <c r="F18" s="189" t="s">
        <v>155</v>
      </c>
      <c r="G18" s="189" t="s">
        <v>156</v>
      </c>
      <c r="H18" s="188" t="n">
        <v>46114</v>
      </c>
      <c r="I18" s="189" t="s">
        <v>113</v>
      </c>
      <c r="J18" s="189" t="s">
        <v>108</v>
      </c>
      <c r="K18" s="189" t="s">
        <v>158</v>
      </c>
      <c r="L18" s="189" t="s">
        <v>159</v>
      </c>
      <c r="M18" s="189" t="s">
        <v>160</v>
      </c>
      <c r="N18" s="189" t="s">
        <v>161</v>
      </c>
      <c r="O18" s="189" t="s">
        <v>157</v>
      </c>
      <c r="P18" s="189" t="s">
        <v>111</v>
      </c>
      <c r="Q18" s="189" t="s">
        <v>112</v>
      </c>
      <c r="R18" s="189" t="s">
        <v>22</v>
      </c>
      <c r="S18" s="189" t="s">
        <v>152</v>
      </c>
      <c r="T18" s="189" t="s">
        <v>165</v>
      </c>
      <c r="U18" s="189" t="s">
        <v>166</v>
      </c>
      <c r="V18" s="189" t="s">
        <v>167</v>
      </c>
      <c r="W18" s="189" t="s">
        <v>168</v>
      </c>
      <c r="X18" s="189" t="s">
        <v>116</v>
      </c>
      <c r="Y18" s="189" t="s">
        <v>3064</v>
      </c>
      <c r="Z18" s="0" t="n">
        <v>1</v>
      </c>
      <c r="AA18" s="189" t="s">
        <v>3081</v>
      </c>
    </row>
    <row r="19" customFormat="false" ht="15" hidden="false" customHeight="true" outlineLevel="0" collapsed="false">
      <c r="A19" s="0" t="n">
        <v>4</v>
      </c>
      <c r="B19" s="188" t="n">
        <v>46115.7985240166</v>
      </c>
      <c r="C19" s="188" t="n">
        <v>46115.8031883685</v>
      </c>
      <c r="D19" s="189" t="s">
        <v>154</v>
      </c>
      <c r="E19" s="189" t="s">
        <v>155</v>
      </c>
      <c r="F19" s="189" t="s">
        <v>155</v>
      </c>
      <c r="G19" s="189" t="s">
        <v>156</v>
      </c>
      <c r="H19" s="188" t="n">
        <v>46114</v>
      </c>
      <c r="I19" s="189" t="s">
        <v>113</v>
      </c>
      <c r="J19" s="189" t="s">
        <v>108</v>
      </c>
      <c r="K19" s="189" t="s">
        <v>158</v>
      </c>
      <c r="L19" s="189" t="s">
        <v>159</v>
      </c>
      <c r="M19" s="189" t="s">
        <v>160</v>
      </c>
      <c r="N19" s="189" t="s">
        <v>161</v>
      </c>
      <c r="O19" s="189" t="s">
        <v>157</v>
      </c>
      <c r="P19" s="189" t="s">
        <v>111</v>
      </c>
      <c r="Q19" s="189" t="s">
        <v>112</v>
      </c>
      <c r="R19" s="189" t="s">
        <v>22</v>
      </c>
      <c r="S19" s="189" t="s">
        <v>152</v>
      </c>
      <c r="T19" s="189" t="s">
        <v>165</v>
      </c>
      <c r="U19" s="189" t="s">
        <v>166</v>
      </c>
      <c r="V19" s="189" t="s">
        <v>167</v>
      </c>
      <c r="W19" s="189" t="s">
        <v>168</v>
      </c>
      <c r="X19" s="189" t="s">
        <v>116</v>
      </c>
      <c r="Y19" s="189" t="s">
        <v>3066</v>
      </c>
      <c r="Z19" s="0" t="n">
        <v>1</v>
      </c>
      <c r="AA19" s="189" t="s">
        <v>3082</v>
      </c>
    </row>
    <row r="20" customFormat="false" ht="15" hidden="false" customHeight="true" outlineLevel="0" collapsed="false">
      <c r="A20" s="0" t="n">
        <v>4</v>
      </c>
      <c r="B20" s="188" t="n">
        <v>46115.7985240166</v>
      </c>
      <c r="C20" s="188" t="n">
        <v>46115.8031883685</v>
      </c>
      <c r="D20" s="189" t="s">
        <v>154</v>
      </c>
      <c r="E20" s="189" t="s">
        <v>155</v>
      </c>
      <c r="F20" s="189" t="s">
        <v>155</v>
      </c>
      <c r="G20" s="189" t="s">
        <v>156</v>
      </c>
      <c r="H20" s="188" t="n">
        <v>46114</v>
      </c>
      <c r="I20" s="189" t="s">
        <v>113</v>
      </c>
      <c r="J20" s="189" t="s">
        <v>108</v>
      </c>
      <c r="K20" s="189" t="s">
        <v>158</v>
      </c>
      <c r="L20" s="189" t="s">
        <v>159</v>
      </c>
      <c r="M20" s="189" t="s">
        <v>160</v>
      </c>
      <c r="N20" s="189" t="s">
        <v>161</v>
      </c>
      <c r="O20" s="189" t="s">
        <v>157</v>
      </c>
      <c r="P20" s="189" t="s">
        <v>111</v>
      </c>
      <c r="Q20" s="189" t="s">
        <v>112</v>
      </c>
      <c r="R20" s="189" t="s">
        <v>22</v>
      </c>
      <c r="S20" s="189" t="s">
        <v>152</v>
      </c>
      <c r="T20" s="189" t="s">
        <v>165</v>
      </c>
      <c r="U20" s="189" t="s">
        <v>166</v>
      </c>
      <c r="V20" s="189" t="s">
        <v>167</v>
      </c>
      <c r="W20" s="189" t="s">
        <v>168</v>
      </c>
      <c r="X20" s="189" t="s">
        <v>116</v>
      </c>
      <c r="Y20" s="189" t="s">
        <v>3066</v>
      </c>
      <c r="Z20" s="0" t="n">
        <v>2</v>
      </c>
      <c r="AA20" s="189" t="s">
        <v>122</v>
      </c>
    </row>
    <row r="21" customFormat="false" ht="15" hidden="false" customHeight="true" outlineLevel="0" collapsed="false">
      <c r="A21" s="0" t="n">
        <v>4</v>
      </c>
      <c r="B21" s="188" t="n">
        <v>46115.7985240166</v>
      </c>
      <c r="C21" s="188" t="n">
        <v>46115.8031883685</v>
      </c>
      <c r="D21" s="189" t="s">
        <v>154</v>
      </c>
      <c r="E21" s="189" t="s">
        <v>155</v>
      </c>
      <c r="F21" s="189" t="s">
        <v>155</v>
      </c>
      <c r="G21" s="189" t="s">
        <v>156</v>
      </c>
      <c r="H21" s="188" t="n">
        <v>46114</v>
      </c>
      <c r="I21" s="189" t="s">
        <v>113</v>
      </c>
      <c r="J21" s="189" t="s">
        <v>108</v>
      </c>
      <c r="K21" s="189" t="s">
        <v>158</v>
      </c>
      <c r="L21" s="189" t="s">
        <v>159</v>
      </c>
      <c r="M21" s="189" t="s">
        <v>160</v>
      </c>
      <c r="N21" s="189" t="s">
        <v>161</v>
      </c>
      <c r="O21" s="189" t="s">
        <v>157</v>
      </c>
      <c r="P21" s="189" t="s">
        <v>111</v>
      </c>
      <c r="Q21" s="189" t="s">
        <v>112</v>
      </c>
      <c r="R21" s="189" t="s">
        <v>22</v>
      </c>
      <c r="S21" s="189" t="s">
        <v>152</v>
      </c>
      <c r="T21" s="189" t="s">
        <v>165</v>
      </c>
      <c r="U21" s="189" t="s">
        <v>166</v>
      </c>
      <c r="V21" s="189" t="s">
        <v>167</v>
      </c>
      <c r="W21" s="189" t="s">
        <v>168</v>
      </c>
      <c r="X21" s="189" t="s">
        <v>116</v>
      </c>
      <c r="Y21" s="189" t="s">
        <v>3069</v>
      </c>
      <c r="Z21" s="0" t="n">
        <v>1</v>
      </c>
      <c r="AA21" s="189" t="s">
        <v>3083</v>
      </c>
    </row>
    <row r="22" customFormat="false" ht="15" hidden="false" customHeight="true" outlineLevel="0" collapsed="false">
      <c r="A22" s="0" t="n">
        <v>4</v>
      </c>
      <c r="B22" s="188" t="n">
        <v>46115.7985240166</v>
      </c>
      <c r="C22" s="188" t="n">
        <v>46115.8031883685</v>
      </c>
      <c r="D22" s="189" t="s">
        <v>154</v>
      </c>
      <c r="E22" s="189" t="s">
        <v>155</v>
      </c>
      <c r="F22" s="189" t="s">
        <v>155</v>
      </c>
      <c r="G22" s="189" t="s">
        <v>156</v>
      </c>
      <c r="H22" s="188" t="n">
        <v>46114</v>
      </c>
      <c r="I22" s="189" t="s">
        <v>113</v>
      </c>
      <c r="J22" s="189" t="s">
        <v>108</v>
      </c>
      <c r="K22" s="189" t="s">
        <v>158</v>
      </c>
      <c r="L22" s="189" t="s">
        <v>159</v>
      </c>
      <c r="M22" s="189" t="s">
        <v>160</v>
      </c>
      <c r="N22" s="189" t="s">
        <v>161</v>
      </c>
      <c r="O22" s="189" t="s">
        <v>157</v>
      </c>
      <c r="P22" s="189" t="s">
        <v>111</v>
      </c>
      <c r="Q22" s="189" t="s">
        <v>112</v>
      </c>
      <c r="R22" s="189" t="s">
        <v>22</v>
      </c>
      <c r="S22" s="189" t="s">
        <v>152</v>
      </c>
      <c r="T22" s="189" t="s">
        <v>165</v>
      </c>
      <c r="U22" s="189" t="s">
        <v>166</v>
      </c>
      <c r="V22" s="189" t="s">
        <v>167</v>
      </c>
      <c r="W22" s="189" t="s">
        <v>168</v>
      </c>
      <c r="X22" s="189" t="s">
        <v>116</v>
      </c>
      <c r="Y22" s="189" t="s">
        <v>3069</v>
      </c>
      <c r="Z22" s="0" t="n">
        <v>2</v>
      </c>
      <c r="AA22" s="189" t="s">
        <v>3070</v>
      </c>
    </row>
    <row r="23" customFormat="false" ht="15" hidden="false" customHeight="true" outlineLevel="0" collapsed="false">
      <c r="A23" s="0" t="n">
        <v>5</v>
      </c>
      <c r="B23" s="188" t="n">
        <v>46084.5259661708</v>
      </c>
      <c r="C23" s="188" t="n">
        <v>46084.5424939486</v>
      </c>
      <c r="D23" s="189" t="s">
        <v>169</v>
      </c>
      <c r="E23" s="189" t="s">
        <v>170</v>
      </c>
      <c r="F23" s="189" t="s">
        <v>170</v>
      </c>
      <c r="G23" s="189" t="s">
        <v>171</v>
      </c>
      <c r="H23" s="188" t="n">
        <v>46080</v>
      </c>
      <c r="I23" s="189" t="s">
        <v>113</v>
      </c>
      <c r="J23" s="189" t="s">
        <v>108</v>
      </c>
      <c r="K23" s="189" t="s">
        <v>173</v>
      </c>
      <c r="L23" s="189" t="s">
        <v>144</v>
      </c>
      <c r="M23" s="189" t="s">
        <v>174</v>
      </c>
      <c r="N23" s="189" t="s">
        <v>175</v>
      </c>
      <c r="O23" s="189" t="s">
        <v>172</v>
      </c>
      <c r="P23" s="189" t="s">
        <v>111</v>
      </c>
      <c r="Q23" s="189" t="s">
        <v>112</v>
      </c>
      <c r="R23" s="189" t="s">
        <v>22</v>
      </c>
      <c r="S23" s="189" t="s">
        <v>152</v>
      </c>
      <c r="T23" s="189" t="s">
        <v>180</v>
      </c>
      <c r="U23" s="189" t="s">
        <v>122</v>
      </c>
      <c r="V23" s="189" t="s">
        <v>123</v>
      </c>
      <c r="W23" s="189" t="s">
        <v>124</v>
      </c>
      <c r="X23" s="189" t="s">
        <v>176</v>
      </c>
      <c r="Y23" s="189" t="s">
        <v>3064</v>
      </c>
      <c r="Z23" s="0" t="n">
        <v>1</v>
      </c>
      <c r="AA23" s="189" t="s">
        <v>3084</v>
      </c>
    </row>
    <row r="24" customFormat="false" ht="31.5" hidden="false" customHeight="true" outlineLevel="0" collapsed="false">
      <c r="A24" s="0" t="n">
        <v>5</v>
      </c>
      <c r="B24" s="188" t="n">
        <v>46084.5259661708</v>
      </c>
      <c r="C24" s="188" t="n">
        <v>46084.5424939486</v>
      </c>
      <c r="D24" s="189" t="s">
        <v>169</v>
      </c>
      <c r="E24" s="189" t="s">
        <v>170</v>
      </c>
      <c r="F24" s="189" t="s">
        <v>170</v>
      </c>
      <c r="G24" s="189" t="s">
        <v>171</v>
      </c>
      <c r="H24" s="188" t="n">
        <v>46080</v>
      </c>
      <c r="I24" s="189" t="s">
        <v>113</v>
      </c>
      <c r="J24" s="189" t="s">
        <v>108</v>
      </c>
      <c r="K24" s="189" t="s">
        <v>173</v>
      </c>
      <c r="L24" s="189" t="s">
        <v>144</v>
      </c>
      <c r="M24" s="189" t="s">
        <v>174</v>
      </c>
      <c r="N24" s="189" t="s">
        <v>175</v>
      </c>
      <c r="O24" s="189" t="s">
        <v>172</v>
      </c>
      <c r="P24" s="189" t="s">
        <v>111</v>
      </c>
      <c r="Q24" s="189" t="s">
        <v>112</v>
      </c>
      <c r="R24" s="189" t="s">
        <v>22</v>
      </c>
      <c r="S24" s="189" t="s">
        <v>152</v>
      </c>
      <c r="T24" s="189" t="s">
        <v>180</v>
      </c>
      <c r="U24" s="189" t="s">
        <v>122</v>
      </c>
      <c r="V24" s="189" t="s">
        <v>123</v>
      </c>
      <c r="W24" s="189" t="s">
        <v>124</v>
      </c>
      <c r="X24" s="189" t="s">
        <v>176</v>
      </c>
      <c r="Y24" s="189" t="s">
        <v>3064</v>
      </c>
      <c r="Z24" s="0" t="n">
        <v>2</v>
      </c>
      <c r="AA24" s="189" t="s">
        <v>3085</v>
      </c>
    </row>
    <row r="25" customFormat="false" ht="15" hidden="false" customHeight="true" outlineLevel="0" collapsed="false">
      <c r="A25" s="0" t="n">
        <v>5</v>
      </c>
      <c r="B25" s="188" t="n">
        <v>46084.5259661708</v>
      </c>
      <c r="C25" s="188" t="n">
        <v>46084.5424939486</v>
      </c>
      <c r="D25" s="189" t="s">
        <v>169</v>
      </c>
      <c r="E25" s="189" t="s">
        <v>170</v>
      </c>
      <c r="F25" s="189" t="s">
        <v>170</v>
      </c>
      <c r="G25" s="189" t="s">
        <v>171</v>
      </c>
      <c r="H25" s="188" t="n">
        <v>46080</v>
      </c>
      <c r="I25" s="189" t="s">
        <v>113</v>
      </c>
      <c r="J25" s="189" t="s">
        <v>108</v>
      </c>
      <c r="K25" s="189" t="s">
        <v>173</v>
      </c>
      <c r="L25" s="189" t="s">
        <v>144</v>
      </c>
      <c r="M25" s="189" t="s">
        <v>174</v>
      </c>
      <c r="N25" s="189" t="s">
        <v>175</v>
      </c>
      <c r="O25" s="189" t="s">
        <v>172</v>
      </c>
      <c r="P25" s="189" t="s">
        <v>111</v>
      </c>
      <c r="Q25" s="189" t="s">
        <v>112</v>
      </c>
      <c r="R25" s="189" t="s">
        <v>22</v>
      </c>
      <c r="S25" s="189" t="s">
        <v>152</v>
      </c>
      <c r="T25" s="189" t="s">
        <v>180</v>
      </c>
      <c r="U25" s="189" t="s">
        <v>122</v>
      </c>
      <c r="V25" s="189" t="s">
        <v>123</v>
      </c>
      <c r="W25" s="189" t="s">
        <v>124</v>
      </c>
      <c r="X25" s="189" t="s">
        <v>176</v>
      </c>
      <c r="Y25" s="189" t="s">
        <v>3064</v>
      </c>
      <c r="Z25" s="0" t="n">
        <v>3</v>
      </c>
      <c r="AA25" s="189" t="s">
        <v>3086</v>
      </c>
    </row>
    <row r="26" customFormat="false" ht="15" hidden="false" customHeight="true" outlineLevel="0" collapsed="false">
      <c r="A26" s="0" t="n">
        <v>5</v>
      </c>
      <c r="B26" s="188" t="n">
        <v>46084.5259661708</v>
      </c>
      <c r="C26" s="188" t="n">
        <v>46084.5424939486</v>
      </c>
      <c r="D26" s="189" t="s">
        <v>169</v>
      </c>
      <c r="E26" s="189" t="s">
        <v>170</v>
      </c>
      <c r="F26" s="189" t="s">
        <v>170</v>
      </c>
      <c r="G26" s="189" t="s">
        <v>171</v>
      </c>
      <c r="H26" s="188" t="n">
        <v>46080</v>
      </c>
      <c r="I26" s="189" t="s">
        <v>113</v>
      </c>
      <c r="J26" s="189" t="s">
        <v>108</v>
      </c>
      <c r="K26" s="189" t="s">
        <v>173</v>
      </c>
      <c r="L26" s="189" t="s">
        <v>144</v>
      </c>
      <c r="M26" s="189" t="s">
        <v>174</v>
      </c>
      <c r="N26" s="189" t="s">
        <v>175</v>
      </c>
      <c r="O26" s="189" t="s">
        <v>172</v>
      </c>
      <c r="P26" s="189" t="s">
        <v>111</v>
      </c>
      <c r="Q26" s="189" t="s">
        <v>112</v>
      </c>
      <c r="R26" s="189" t="s">
        <v>22</v>
      </c>
      <c r="S26" s="189" t="s">
        <v>152</v>
      </c>
      <c r="T26" s="189" t="s">
        <v>180</v>
      </c>
      <c r="U26" s="189" t="s">
        <v>122</v>
      </c>
      <c r="V26" s="189" t="s">
        <v>123</v>
      </c>
      <c r="W26" s="189" t="s">
        <v>124</v>
      </c>
      <c r="X26" s="189" t="s">
        <v>176</v>
      </c>
      <c r="Y26" s="189" t="s">
        <v>3066</v>
      </c>
      <c r="Z26" s="0" t="n">
        <v>1</v>
      </c>
      <c r="AA26" s="189" t="s">
        <v>3087</v>
      </c>
    </row>
    <row r="27" customFormat="false" ht="15" hidden="false" customHeight="true" outlineLevel="0" collapsed="false">
      <c r="A27" s="0" t="n">
        <v>5</v>
      </c>
      <c r="B27" s="188" t="n">
        <v>46084.5259661708</v>
      </c>
      <c r="C27" s="188" t="n">
        <v>46084.5424939486</v>
      </c>
      <c r="D27" s="189" t="s">
        <v>169</v>
      </c>
      <c r="E27" s="189" t="s">
        <v>170</v>
      </c>
      <c r="F27" s="189" t="s">
        <v>170</v>
      </c>
      <c r="G27" s="189" t="s">
        <v>171</v>
      </c>
      <c r="H27" s="188" t="n">
        <v>46080</v>
      </c>
      <c r="I27" s="189" t="s">
        <v>113</v>
      </c>
      <c r="J27" s="189" t="s">
        <v>108</v>
      </c>
      <c r="K27" s="189" t="s">
        <v>173</v>
      </c>
      <c r="L27" s="189" t="s">
        <v>144</v>
      </c>
      <c r="M27" s="189" t="s">
        <v>174</v>
      </c>
      <c r="N27" s="189" t="s">
        <v>175</v>
      </c>
      <c r="O27" s="189" t="s">
        <v>172</v>
      </c>
      <c r="P27" s="189" t="s">
        <v>111</v>
      </c>
      <c r="Q27" s="189" t="s">
        <v>112</v>
      </c>
      <c r="R27" s="189" t="s">
        <v>22</v>
      </c>
      <c r="S27" s="189" t="s">
        <v>152</v>
      </c>
      <c r="T27" s="189" t="s">
        <v>180</v>
      </c>
      <c r="U27" s="189" t="s">
        <v>122</v>
      </c>
      <c r="V27" s="189" t="s">
        <v>123</v>
      </c>
      <c r="W27" s="189" t="s">
        <v>124</v>
      </c>
      <c r="X27" s="189" t="s">
        <v>176</v>
      </c>
      <c r="Y27" s="189" t="s">
        <v>3066</v>
      </c>
      <c r="Z27" s="0" t="n">
        <v>2</v>
      </c>
      <c r="AA27" s="189" t="s">
        <v>122</v>
      </c>
    </row>
    <row r="28" customFormat="false" ht="15" hidden="false" customHeight="true" outlineLevel="0" collapsed="false">
      <c r="A28" s="0" t="n">
        <v>5</v>
      </c>
      <c r="B28" s="188" t="n">
        <v>46084.5259661708</v>
      </c>
      <c r="C28" s="188" t="n">
        <v>46084.5424939486</v>
      </c>
      <c r="D28" s="189" t="s">
        <v>169</v>
      </c>
      <c r="E28" s="189" t="s">
        <v>170</v>
      </c>
      <c r="F28" s="189" t="s">
        <v>170</v>
      </c>
      <c r="G28" s="189" t="s">
        <v>171</v>
      </c>
      <c r="H28" s="188" t="n">
        <v>46080</v>
      </c>
      <c r="I28" s="189" t="s">
        <v>113</v>
      </c>
      <c r="J28" s="189" t="s">
        <v>108</v>
      </c>
      <c r="K28" s="189" t="s">
        <v>173</v>
      </c>
      <c r="L28" s="189" t="s">
        <v>144</v>
      </c>
      <c r="M28" s="189" t="s">
        <v>174</v>
      </c>
      <c r="N28" s="189" t="s">
        <v>175</v>
      </c>
      <c r="O28" s="189" t="s">
        <v>172</v>
      </c>
      <c r="P28" s="189" t="s">
        <v>111</v>
      </c>
      <c r="Q28" s="189" t="s">
        <v>112</v>
      </c>
      <c r="R28" s="189" t="s">
        <v>22</v>
      </c>
      <c r="S28" s="189" t="s">
        <v>152</v>
      </c>
      <c r="T28" s="189" t="s">
        <v>180</v>
      </c>
      <c r="U28" s="189" t="s">
        <v>122</v>
      </c>
      <c r="V28" s="189" t="s">
        <v>123</v>
      </c>
      <c r="W28" s="189" t="s">
        <v>124</v>
      </c>
      <c r="X28" s="189" t="s">
        <v>176</v>
      </c>
      <c r="Y28" s="189" t="s">
        <v>3069</v>
      </c>
      <c r="Z28" s="0" t="n">
        <v>1</v>
      </c>
      <c r="AA28" s="189" t="s">
        <v>3088</v>
      </c>
    </row>
    <row r="29" customFormat="false" ht="15" hidden="false" customHeight="true" outlineLevel="0" collapsed="false">
      <c r="A29" s="0" t="n">
        <v>6</v>
      </c>
      <c r="B29" s="188" t="n">
        <v>46050.7368602226</v>
      </c>
      <c r="C29" s="188" t="n">
        <v>46050.7456333708</v>
      </c>
      <c r="D29" s="189" t="s">
        <v>181</v>
      </c>
      <c r="E29" s="189" t="s">
        <v>182</v>
      </c>
      <c r="F29" s="189" t="s">
        <v>182</v>
      </c>
      <c r="G29" s="189" t="s">
        <v>183</v>
      </c>
      <c r="H29" s="188" t="n">
        <v>46030</v>
      </c>
      <c r="I29" s="189" t="s">
        <v>113</v>
      </c>
      <c r="J29" s="189" t="s">
        <v>128</v>
      </c>
      <c r="K29" s="189" t="s">
        <v>143</v>
      </c>
      <c r="L29" s="189" t="s">
        <v>184</v>
      </c>
      <c r="M29" s="189" t="s">
        <v>185</v>
      </c>
      <c r="N29" s="189" t="s">
        <v>186</v>
      </c>
      <c r="O29" s="189" t="s">
        <v>172</v>
      </c>
      <c r="P29" s="189" t="s">
        <v>111</v>
      </c>
      <c r="Q29" s="189" t="s">
        <v>112</v>
      </c>
      <c r="R29" s="189" t="s">
        <v>21</v>
      </c>
      <c r="S29" s="189" t="s">
        <v>152</v>
      </c>
      <c r="T29" s="189" t="s">
        <v>121</v>
      </c>
      <c r="U29" s="189" t="s">
        <v>191</v>
      </c>
      <c r="V29" s="189" t="s">
        <v>192</v>
      </c>
      <c r="W29" s="189" t="s">
        <v>124</v>
      </c>
      <c r="X29" s="189" t="s">
        <v>187</v>
      </c>
      <c r="Y29" s="189" t="s">
        <v>3064</v>
      </c>
      <c r="Z29" s="0" t="n">
        <v>1</v>
      </c>
      <c r="AA29" s="189" t="s">
        <v>3089</v>
      </c>
    </row>
    <row r="30" customFormat="false" ht="15" hidden="false" customHeight="true" outlineLevel="0" collapsed="false">
      <c r="A30" s="0" t="n">
        <v>6</v>
      </c>
      <c r="B30" s="188" t="n">
        <v>46050.7368602226</v>
      </c>
      <c r="C30" s="188" t="n">
        <v>46050.7456333708</v>
      </c>
      <c r="D30" s="189" t="s">
        <v>181</v>
      </c>
      <c r="E30" s="189" t="s">
        <v>182</v>
      </c>
      <c r="F30" s="189" t="s">
        <v>182</v>
      </c>
      <c r="G30" s="189" t="s">
        <v>183</v>
      </c>
      <c r="H30" s="188" t="n">
        <v>46030</v>
      </c>
      <c r="I30" s="189" t="s">
        <v>113</v>
      </c>
      <c r="J30" s="189" t="s">
        <v>128</v>
      </c>
      <c r="K30" s="189" t="s">
        <v>143</v>
      </c>
      <c r="L30" s="189" t="s">
        <v>184</v>
      </c>
      <c r="M30" s="189" t="s">
        <v>185</v>
      </c>
      <c r="N30" s="189" t="s">
        <v>186</v>
      </c>
      <c r="O30" s="189" t="s">
        <v>172</v>
      </c>
      <c r="P30" s="189" t="s">
        <v>111</v>
      </c>
      <c r="Q30" s="189" t="s">
        <v>112</v>
      </c>
      <c r="R30" s="189" t="s">
        <v>21</v>
      </c>
      <c r="S30" s="189" t="s">
        <v>152</v>
      </c>
      <c r="T30" s="189" t="s">
        <v>121</v>
      </c>
      <c r="U30" s="189" t="s">
        <v>191</v>
      </c>
      <c r="V30" s="189" t="s">
        <v>192</v>
      </c>
      <c r="W30" s="189" t="s">
        <v>124</v>
      </c>
      <c r="X30" s="189" t="s">
        <v>187</v>
      </c>
      <c r="Y30" s="189" t="s">
        <v>3066</v>
      </c>
      <c r="Z30" s="0" t="n">
        <v>1</v>
      </c>
      <c r="AA30" s="189" t="s">
        <v>3090</v>
      </c>
    </row>
    <row r="31" customFormat="false" ht="15" hidden="false" customHeight="true" outlineLevel="0" collapsed="false">
      <c r="A31" s="0" t="n">
        <v>6</v>
      </c>
      <c r="B31" s="188" t="n">
        <v>46050.7368602226</v>
      </c>
      <c r="C31" s="188" t="n">
        <v>46050.7456333708</v>
      </c>
      <c r="D31" s="189" t="s">
        <v>181</v>
      </c>
      <c r="E31" s="189" t="s">
        <v>182</v>
      </c>
      <c r="F31" s="189" t="s">
        <v>182</v>
      </c>
      <c r="G31" s="189" t="s">
        <v>183</v>
      </c>
      <c r="H31" s="188" t="n">
        <v>46030</v>
      </c>
      <c r="I31" s="189" t="s">
        <v>113</v>
      </c>
      <c r="J31" s="189" t="s">
        <v>128</v>
      </c>
      <c r="K31" s="189" t="s">
        <v>143</v>
      </c>
      <c r="L31" s="189" t="s">
        <v>184</v>
      </c>
      <c r="M31" s="189" t="s">
        <v>185</v>
      </c>
      <c r="N31" s="189" t="s">
        <v>186</v>
      </c>
      <c r="O31" s="189" t="s">
        <v>172</v>
      </c>
      <c r="P31" s="189" t="s">
        <v>111</v>
      </c>
      <c r="Q31" s="189" t="s">
        <v>112</v>
      </c>
      <c r="R31" s="189" t="s">
        <v>21</v>
      </c>
      <c r="S31" s="189" t="s">
        <v>152</v>
      </c>
      <c r="T31" s="189" t="s">
        <v>121</v>
      </c>
      <c r="U31" s="189" t="s">
        <v>191</v>
      </c>
      <c r="V31" s="189" t="s">
        <v>192</v>
      </c>
      <c r="W31" s="189" t="s">
        <v>124</v>
      </c>
      <c r="X31" s="189" t="s">
        <v>187</v>
      </c>
      <c r="Y31" s="189" t="s">
        <v>3069</v>
      </c>
      <c r="Z31" s="0" t="n">
        <v>1</v>
      </c>
      <c r="AA31" s="189" t="s">
        <v>3091</v>
      </c>
    </row>
    <row r="32" customFormat="false" ht="15" hidden="false" customHeight="true" outlineLevel="0" collapsed="false">
      <c r="A32" s="0" t="n">
        <v>7</v>
      </c>
      <c r="B32" s="188" t="n">
        <v>46144.000964134</v>
      </c>
      <c r="C32" s="188" t="n">
        <v>46144.0135567266</v>
      </c>
      <c r="D32" s="189" t="s">
        <v>193</v>
      </c>
      <c r="E32" s="189" t="s">
        <v>194</v>
      </c>
      <c r="F32" s="189" t="s">
        <v>194</v>
      </c>
      <c r="G32" s="189" t="s">
        <v>195</v>
      </c>
      <c r="H32" s="188" t="n">
        <v>46141</v>
      </c>
      <c r="I32" s="189" t="s">
        <v>113</v>
      </c>
      <c r="J32" s="189" t="s">
        <v>108</v>
      </c>
      <c r="K32" s="189" t="s">
        <v>196</v>
      </c>
      <c r="L32" s="189" t="s">
        <v>197</v>
      </c>
      <c r="M32" s="189" t="s">
        <v>199</v>
      </c>
      <c r="N32" s="189" t="s">
        <v>200</v>
      </c>
      <c r="O32" s="189" t="s">
        <v>107</v>
      </c>
      <c r="P32" s="189" t="s">
        <v>111</v>
      </c>
      <c r="Q32" s="189" t="s">
        <v>198</v>
      </c>
      <c r="R32" s="189" t="s">
        <v>22</v>
      </c>
      <c r="S32" s="189" t="s">
        <v>152</v>
      </c>
      <c r="T32" s="189" t="s">
        <v>121</v>
      </c>
      <c r="U32" s="189" t="s">
        <v>204</v>
      </c>
      <c r="V32" s="189" t="s">
        <v>123</v>
      </c>
      <c r="W32" s="189" t="s">
        <v>168</v>
      </c>
      <c r="X32" s="189" t="s">
        <v>148</v>
      </c>
      <c r="Y32" s="189" t="s">
        <v>3064</v>
      </c>
      <c r="Z32" s="0" t="n">
        <v>1</v>
      </c>
      <c r="AA32" s="189" t="s">
        <v>3092</v>
      </c>
    </row>
    <row r="33" customFormat="false" ht="15" hidden="false" customHeight="true" outlineLevel="0" collapsed="false">
      <c r="A33" s="0" t="n">
        <v>7</v>
      </c>
      <c r="B33" s="188" t="n">
        <v>46144.000964134</v>
      </c>
      <c r="C33" s="188" t="n">
        <v>46144.0135567266</v>
      </c>
      <c r="D33" s="189" t="s">
        <v>193</v>
      </c>
      <c r="E33" s="189" t="s">
        <v>194</v>
      </c>
      <c r="F33" s="189" t="s">
        <v>194</v>
      </c>
      <c r="G33" s="189" t="s">
        <v>195</v>
      </c>
      <c r="H33" s="188" t="n">
        <v>46141</v>
      </c>
      <c r="I33" s="189" t="s">
        <v>113</v>
      </c>
      <c r="J33" s="189" t="s">
        <v>108</v>
      </c>
      <c r="K33" s="189" t="s">
        <v>196</v>
      </c>
      <c r="L33" s="189" t="s">
        <v>197</v>
      </c>
      <c r="M33" s="189" t="s">
        <v>199</v>
      </c>
      <c r="N33" s="189" t="s">
        <v>200</v>
      </c>
      <c r="O33" s="189" t="s">
        <v>107</v>
      </c>
      <c r="P33" s="189" t="s">
        <v>111</v>
      </c>
      <c r="Q33" s="189" t="s">
        <v>198</v>
      </c>
      <c r="R33" s="189" t="s">
        <v>22</v>
      </c>
      <c r="S33" s="189" t="s">
        <v>152</v>
      </c>
      <c r="T33" s="189" t="s">
        <v>121</v>
      </c>
      <c r="U33" s="189" t="s">
        <v>204</v>
      </c>
      <c r="V33" s="189" t="s">
        <v>123</v>
      </c>
      <c r="W33" s="189" t="s">
        <v>168</v>
      </c>
      <c r="X33" s="189" t="s">
        <v>148</v>
      </c>
      <c r="Y33" s="189" t="s">
        <v>3066</v>
      </c>
      <c r="Z33" s="0" t="n">
        <v>1</v>
      </c>
      <c r="AA33" s="189" t="s">
        <v>3093</v>
      </c>
    </row>
    <row r="34" customFormat="false" ht="41.25" hidden="false" customHeight="true" outlineLevel="0" collapsed="false">
      <c r="A34" s="0" t="n">
        <v>7</v>
      </c>
      <c r="B34" s="188" t="n">
        <v>46144.000964134</v>
      </c>
      <c r="C34" s="188" t="n">
        <v>46144.0135567266</v>
      </c>
      <c r="D34" s="189" t="s">
        <v>193</v>
      </c>
      <c r="E34" s="189" t="s">
        <v>194</v>
      </c>
      <c r="F34" s="189" t="s">
        <v>194</v>
      </c>
      <c r="G34" s="189" t="s">
        <v>195</v>
      </c>
      <c r="H34" s="188" t="n">
        <v>46141</v>
      </c>
      <c r="I34" s="189" t="s">
        <v>113</v>
      </c>
      <c r="J34" s="189" t="s">
        <v>108</v>
      </c>
      <c r="K34" s="189" t="s">
        <v>196</v>
      </c>
      <c r="L34" s="189" t="s">
        <v>197</v>
      </c>
      <c r="M34" s="189" t="s">
        <v>199</v>
      </c>
      <c r="N34" s="189" t="s">
        <v>200</v>
      </c>
      <c r="O34" s="189" t="s">
        <v>107</v>
      </c>
      <c r="P34" s="189" t="s">
        <v>111</v>
      </c>
      <c r="Q34" s="189" t="s">
        <v>198</v>
      </c>
      <c r="R34" s="189" t="s">
        <v>22</v>
      </c>
      <c r="S34" s="189" t="s">
        <v>152</v>
      </c>
      <c r="T34" s="189" t="s">
        <v>121</v>
      </c>
      <c r="U34" s="189" t="s">
        <v>204</v>
      </c>
      <c r="V34" s="189" t="s">
        <v>123</v>
      </c>
      <c r="W34" s="189" t="s">
        <v>168</v>
      </c>
      <c r="X34" s="189" t="s">
        <v>148</v>
      </c>
      <c r="Y34" s="189" t="s">
        <v>3069</v>
      </c>
      <c r="Z34" s="0" t="n">
        <v>1</v>
      </c>
      <c r="AA34" s="189" t="s">
        <v>3094</v>
      </c>
    </row>
    <row r="35" customFormat="false" ht="41.25" hidden="false" customHeight="true" outlineLevel="0" collapsed="false">
      <c r="A35" s="0" t="n">
        <v>7</v>
      </c>
      <c r="B35" s="188" t="n">
        <v>46144.000964134</v>
      </c>
      <c r="C35" s="188" t="n">
        <v>46144.0135567266</v>
      </c>
      <c r="D35" s="189" t="s">
        <v>193</v>
      </c>
      <c r="E35" s="189" t="s">
        <v>194</v>
      </c>
      <c r="F35" s="189" t="s">
        <v>194</v>
      </c>
      <c r="G35" s="189" t="s">
        <v>195</v>
      </c>
      <c r="H35" s="188" t="n">
        <v>46141</v>
      </c>
      <c r="I35" s="189" t="s">
        <v>113</v>
      </c>
      <c r="J35" s="189" t="s">
        <v>108</v>
      </c>
      <c r="K35" s="189" t="s">
        <v>196</v>
      </c>
      <c r="L35" s="189" t="s">
        <v>197</v>
      </c>
      <c r="M35" s="189" t="s">
        <v>199</v>
      </c>
      <c r="N35" s="189" t="s">
        <v>200</v>
      </c>
      <c r="O35" s="189" t="s">
        <v>107</v>
      </c>
      <c r="P35" s="189" t="s">
        <v>111</v>
      </c>
      <c r="Q35" s="189" t="s">
        <v>198</v>
      </c>
      <c r="R35" s="189" t="s">
        <v>22</v>
      </c>
      <c r="S35" s="189" t="s">
        <v>152</v>
      </c>
      <c r="T35" s="189" t="s">
        <v>121</v>
      </c>
      <c r="U35" s="189" t="s">
        <v>204</v>
      </c>
      <c r="V35" s="189" t="s">
        <v>123</v>
      </c>
      <c r="W35" s="189" t="s">
        <v>168</v>
      </c>
      <c r="X35" s="189" t="s">
        <v>148</v>
      </c>
      <c r="Y35" s="189" t="s">
        <v>3069</v>
      </c>
      <c r="Z35" s="0" t="n">
        <v>2</v>
      </c>
      <c r="AA35" s="189" t="s">
        <v>3080</v>
      </c>
    </row>
    <row r="36" customFormat="false" ht="41.25" hidden="false" customHeight="true" outlineLevel="0" collapsed="false">
      <c r="A36" s="0" t="n">
        <v>8</v>
      </c>
      <c r="B36" s="188" t="n">
        <v>46056.5921601329</v>
      </c>
      <c r="C36" s="188" t="n">
        <v>46056.593896244</v>
      </c>
      <c r="D36" s="189" t="s">
        <v>206</v>
      </c>
      <c r="E36" s="189" t="s">
        <v>207</v>
      </c>
      <c r="F36" s="189" t="s">
        <v>207</v>
      </c>
      <c r="G36" s="189" t="s">
        <v>208</v>
      </c>
      <c r="H36" s="188" t="n">
        <v>46049</v>
      </c>
      <c r="I36" s="189" t="s">
        <v>113</v>
      </c>
      <c r="J36" s="189" t="s">
        <v>108</v>
      </c>
      <c r="K36" s="189" t="s">
        <v>209</v>
      </c>
      <c r="L36" s="189" t="s">
        <v>210</v>
      </c>
      <c r="M36" s="189" t="s">
        <v>212</v>
      </c>
      <c r="N36" s="189" t="s">
        <v>213</v>
      </c>
      <c r="O36" s="189" t="s">
        <v>107</v>
      </c>
      <c r="P36" s="189" t="s">
        <v>211</v>
      </c>
      <c r="Q36" s="189" t="s">
        <v>112</v>
      </c>
      <c r="R36" s="189" t="s">
        <v>24</v>
      </c>
      <c r="S36" s="189" t="s">
        <v>152</v>
      </c>
      <c r="T36" s="189" t="s">
        <v>121</v>
      </c>
      <c r="U36" s="189" t="s">
        <v>218</v>
      </c>
      <c r="V36" s="189" t="s">
        <v>123</v>
      </c>
      <c r="W36" s="189" t="s">
        <v>124</v>
      </c>
      <c r="X36" s="189" t="s">
        <v>214</v>
      </c>
      <c r="Y36" s="189" t="s">
        <v>3064</v>
      </c>
      <c r="Z36" s="0" t="n">
        <v>1</v>
      </c>
      <c r="AA36" s="189" t="s">
        <v>3095</v>
      </c>
    </row>
    <row r="37" customFormat="false" ht="41.25" hidden="false" customHeight="true" outlineLevel="0" collapsed="false">
      <c r="A37" s="0" t="n">
        <v>8</v>
      </c>
      <c r="B37" s="188" t="n">
        <v>46056.5921601329</v>
      </c>
      <c r="C37" s="188" t="n">
        <v>46056.593896244</v>
      </c>
      <c r="D37" s="189" t="s">
        <v>206</v>
      </c>
      <c r="E37" s="189" t="s">
        <v>207</v>
      </c>
      <c r="F37" s="189" t="s">
        <v>207</v>
      </c>
      <c r="G37" s="189" t="s">
        <v>208</v>
      </c>
      <c r="H37" s="188" t="n">
        <v>46049</v>
      </c>
      <c r="I37" s="189" t="s">
        <v>113</v>
      </c>
      <c r="J37" s="189" t="s">
        <v>108</v>
      </c>
      <c r="K37" s="189" t="s">
        <v>209</v>
      </c>
      <c r="L37" s="189" t="s">
        <v>210</v>
      </c>
      <c r="M37" s="189" t="s">
        <v>212</v>
      </c>
      <c r="N37" s="189" t="s">
        <v>213</v>
      </c>
      <c r="O37" s="189" t="s">
        <v>107</v>
      </c>
      <c r="P37" s="189" t="s">
        <v>211</v>
      </c>
      <c r="Q37" s="189" t="s">
        <v>112</v>
      </c>
      <c r="R37" s="189" t="s">
        <v>24</v>
      </c>
      <c r="S37" s="189" t="s">
        <v>152</v>
      </c>
      <c r="T37" s="189" t="s">
        <v>121</v>
      </c>
      <c r="U37" s="189" t="s">
        <v>218</v>
      </c>
      <c r="V37" s="189" t="s">
        <v>123</v>
      </c>
      <c r="W37" s="189" t="s">
        <v>124</v>
      </c>
      <c r="X37" s="189" t="s">
        <v>214</v>
      </c>
      <c r="Y37" s="189" t="s">
        <v>3064</v>
      </c>
      <c r="Z37" s="0" t="n">
        <v>2</v>
      </c>
      <c r="AA37" s="189" t="s">
        <v>3065</v>
      </c>
    </row>
    <row r="38" customFormat="false" ht="41.25" hidden="false" customHeight="true" outlineLevel="0" collapsed="false">
      <c r="A38" s="0" t="n">
        <v>8</v>
      </c>
      <c r="B38" s="188" t="n">
        <v>46056.5921601329</v>
      </c>
      <c r="C38" s="188" t="n">
        <v>46056.593896244</v>
      </c>
      <c r="D38" s="189" t="s">
        <v>206</v>
      </c>
      <c r="E38" s="189" t="s">
        <v>207</v>
      </c>
      <c r="F38" s="189" t="s">
        <v>207</v>
      </c>
      <c r="G38" s="189" t="s">
        <v>208</v>
      </c>
      <c r="H38" s="188" t="n">
        <v>46049</v>
      </c>
      <c r="I38" s="189" t="s">
        <v>113</v>
      </c>
      <c r="J38" s="189" t="s">
        <v>108</v>
      </c>
      <c r="K38" s="189" t="s">
        <v>209</v>
      </c>
      <c r="L38" s="189" t="s">
        <v>210</v>
      </c>
      <c r="M38" s="189" t="s">
        <v>212</v>
      </c>
      <c r="N38" s="189" t="s">
        <v>213</v>
      </c>
      <c r="O38" s="189" t="s">
        <v>107</v>
      </c>
      <c r="P38" s="189" t="s">
        <v>211</v>
      </c>
      <c r="Q38" s="189" t="s">
        <v>112</v>
      </c>
      <c r="R38" s="189" t="s">
        <v>24</v>
      </c>
      <c r="S38" s="189" t="s">
        <v>152</v>
      </c>
      <c r="T38" s="189" t="s">
        <v>121</v>
      </c>
      <c r="U38" s="189" t="s">
        <v>218</v>
      </c>
      <c r="V38" s="189" t="s">
        <v>123</v>
      </c>
      <c r="W38" s="189" t="s">
        <v>124</v>
      </c>
      <c r="X38" s="189" t="s">
        <v>214</v>
      </c>
      <c r="Y38" s="189" t="s">
        <v>3066</v>
      </c>
      <c r="Z38" s="0" t="n">
        <v>1</v>
      </c>
      <c r="AA38" s="189" t="s">
        <v>3067</v>
      </c>
    </row>
    <row r="39" customFormat="false" ht="15" hidden="false" customHeight="true" outlineLevel="0" collapsed="false">
      <c r="A39" s="0" t="n">
        <v>8</v>
      </c>
      <c r="B39" s="188" t="n">
        <v>46056.5921601329</v>
      </c>
      <c r="C39" s="188" t="n">
        <v>46056.593896244</v>
      </c>
      <c r="D39" s="189" t="s">
        <v>206</v>
      </c>
      <c r="E39" s="189" t="s">
        <v>207</v>
      </c>
      <c r="F39" s="189" t="s">
        <v>207</v>
      </c>
      <c r="G39" s="189" t="s">
        <v>208</v>
      </c>
      <c r="H39" s="188" t="n">
        <v>46049</v>
      </c>
      <c r="I39" s="189" t="s">
        <v>113</v>
      </c>
      <c r="J39" s="189" t="s">
        <v>108</v>
      </c>
      <c r="K39" s="189" t="s">
        <v>209</v>
      </c>
      <c r="L39" s="189" t="s">
        <v>210</v>
      </c>
      <c r="M39" s="189" t="s">
        <v>212</v>
      </c>
      <c r="N39" s="189" t="s">
        <v>213</v>
      </c>
      <c r="O39" s="189" t="s">
        <v>107</v>
      </c>
      <c r="P39" s="189" t="s">
        <v>211</v>
      </c>
      <c r="Q39" s="189" t="s">
        <v>112</v>
      </c>
      <c r="R39" s="189" t="s">
        <v>24</v>
      </c>
      <c r="S39" s="189" t="s">
        <v>152</v>
      </c>
      <c r="T39" s="189" t="s">
        <v>121</v>
      </c>
      <c r="U39" s="189" t="s">
        <v>218</v>
      </c>
      <c r="V39" s="189" t="s">
        <v>123</v>
      </c>
      <c r="W39" s="189" t="s">
        <v>124</v>
      </c>
      <c r="X39" s="189" t="s">
        <v>214</v>
      </c>
      <c r="Y39" s="189" t="s">
        <v>3069</v>
      </c>
      <c r="Z39" s="0" t="n">
        <v>1</v>
      </c>
      <c r="AA39" s="189" t="s">
        <v>3070</v>
      </c>
    </row>
    <row r="40" customFormat="false" ht="15" hidden="false" customHeight="true" outlineLevel="0" collapsed="false">
      <c r="A40" s="0" t="n">
        <v>8</v>
      </c>
      <c r="B40" s="188" t="n">
        <v>46056.5921601329</v>
      </c>
      <c r="C40" s="188" t="n">
        <v>46056.593896244</v>
      </c>
      <c r="D40" s="189" t="s">
        <v>206</v>
      </c>
      <c r="E40" s="189" t="s">
        <v>207</v>
      </c>
      <c r="F40" s="189" t="s">
        <v>207</v>
      </c>
      <c r="G40" s="189" t="s">
        <v>208</v>
      </c>
      <c r="H40" s="188" t="n">
        <v>46049</v>
      </c>
      <c r="I40" s="189" t="s">
        <v>113</v>
      </c>
      <c r="J40" s="189" t="s">
        <v>108</v>
      </c>
      <c r="K40" s="189" t="s">
        <v>209</v>
      </c>
      <c r="L40" s="189" t="s">
        <v>210</v>
      </c>
      <c r="M40" s="189" t="s">
        <v>212</v>
      </c>
      <c r="N40" s="189" t="s">
        <v>213</v>
      </c>
      <c r="O40" s="189" t="s">
        <v>107</v>
      </c>
      <c r="P40" s="189" t="s">
        <v>211</v>
      </c>
      <c r="Q40" s="189" t="s">
        <v>112</v>
      </c>
      <c r="R40" s="189" t="s">
        <v>24</v>
      </c>
      <c r="S40" s="189" t="s">
        <v>152</v>
      </c>
      <c r="T40" s="189" t="s">
        <v>121</v>
      </c>
      <c r="U40" s="189" t="s">
        <v>218</v>
      </c>
      <c r="V40" s="189" t="s">
        <v>123</v>
      </c>
      <c r="W40" s="189" t="s">
        <v>124</v>
      </c>
      <c r="X40" s="189" t="s">
        <v>214</v>
      </c>
      <c r="Y40" s="189" t="s">
        <v>3069</v>
      </c>
      <c r="Z40" s="0" t="n">
        <v>2</v>
      </c>
      <c r="AA40" s="189" t="s">
        <v>122</v>
      </c>
    </row>
    <row r="41" customFormat="false" ht="15" hidden="false" customHeight="true" outlineLevel="0" collapsed="false">
      <c r="A41" s="0" t="n">
        <v>9</v>
      </c>
      <c r="B41" s="188" t="n">
        <v>46068.9054023825</v>
      </c>
      <c r="C41" s="188" t="n">
        <v>46068.9086894196</v>
      </c>
      <c r="D41" s="189" t="s">
        <v>220</v>
      </c>
      <c r="E41" s="189" t="s">
        <v>221</v>
      </c>
      <c r="F41" s="189" t="s">
        <v>221</v>
      </c>
      <c r="G41" s="189" t="s">
        <v>222</v>
      </c>
      <c r="H41" s="188" t="n">
        <v>46049</v>
      </c>
      <c r="I41" s="189" t="s">
        <v>113</v>
      </c>
      <c r="J41" s="189" t="s">
        <v>128</v>
      </c>
      <c r="K41" s="189" t="s">
        <v>143</v>
      </c>
      <c r="L41" s="189" t="s">
        <v>197</v>
      </c>
      <c r="M41" s="189" t="s">
        <v>144</v>
      </c>
      <c r="N41" s="189" t="s">
        <v>147</v>
      </c>
      <c r="O41" s="189" t="s">
        <v>107</v>
      </c>
      <c r="P41" s="189" t="s">
        <v>111</v>
      </c>
      <c r="Q41" s="189" t="s">
        <v>112</v>
      </c>
      <c r="R41" s="189" t="s">
        <v>24</v>
      </c>
      <c r="S41" s="189" t="s">
        <v>227</v>
      </c>
      <c r="T41" s="189" t="s">
        <v>228</v>
      </c>
      <c r="U41" s="189" t="s">
        <v>122</v>
      </c>
      <c r="V41" s="189" t="s">
        <v>192</v>
      </c>
      <c r="W41" s="189" t="s">
        <v>124</v>
      </c>
      <c r="X41" s="189" t="s">
        <v>223</v>
      </c>
      <c r="Y41" s="189" t="s">
        <v>3064</v>
      </c>
      <c r="Z41" s="0" t="n">
        <v>1</v>
      </c>
      <c r="AA41" s="189" t="s">
        <v>3096</v>
      </c>
    </row>
    <row r="42" customFormat="false" ht="15" hidden="false" customHeight="true" outlineLevel="0" collapsed="false">
      <c r="A42" s="0" t="n">
        <v>9</v>
      </c>
      <c r="B42" s="188" t="n">
        <v>46068.9054023825</v>
      </c>
      <c r="C42" s="188" t="n">
        <v>46068.9086894196</v>
      </c>
      <c r="D42" s="189" t="s">
        <v>220</v>
      </c>
      <c r="E42" s="189" t="s">
        <v>221</v>
      </c>
      <c r="F42" s="189" t="s">
        <v>221</v>
      </c>
      <c r="G42" s="189" t="s">
        <v>222</v>
      </c>
      <c r="H42" s="188" t="n">
        <v>46049</v>
      </c>
      <c r="I42" s="189" t="s">
        <v>113</v>
      </c>
      <c r="J42" s="189" t="s">
        <v>128</v>
      </c>
      <c r="K42" s="189" t="s">
        <v>143</v>
      </c>
      <c r="L42" s="189" t="s">
        <v>197</v>
      </c>
      <c r="M42" s="189" t="s">
        <v>144</v>
      </c>
      <c r="N42" s="189" t="s">
        <v>147</v>
      </c>
      <c r="O42" s="189" t="s">
        <v>107</v>
      </c>
      <c r="P42" s="189" t="s">
        <v>111</v>
      </c>
      <c r="Q42" s="189" t="s">
        <v>112</v>
      </c>
      <c r="R42" s="189" t="s">
        <v>24</v>
      </c>
      <c r="S42" s="189" t="s">
        <v>227</v>
      </c>
      <c r="T42" s="189" t="s">
        <v>228</v>
      </c>
      <c r="U42" s="189" t="s">
        <v>122</v>
      </c>
      <c r="V42" s="189" t="s">
        <v>192</v>
      </c>
      <c r="W42" s="189" t="s">
        <v>124</v>
      </c>
      <c r="X42" s="189" t="s">
        <v>223</v>
      </c>
      <c r="Y42" s="189" t="s">
        <v>3064</v>
      </c>
      <c r="Z42" s="0" t="n">
        <v>2</v>
      </c>
      <c r="AA42" s="189" t="s">
        <v>3097</v>
      </c>
    </row>
    <row r="43" customFormat="false" ht="15" hidden="false" customHeight="true" outlineLevel="0" collapsed="false">
      <c r="A43" s="0" t="n">
        <v>9</v>
      </c>
      <c r="B43" s="188" t="n">
        <v>46068.9054023825</v>
      </c>
      <c r="C43" s="188" t="n">
        <v>46068.9086894196</v>
      </c>
      <c r="D43" s="189" t="s">
        <v>220</v>
      </c>
      <c r="E43" s="189" t="s">
        <v>221</v>
      </c>
      <c r="F43" s="189" t="s">
        <v>221</v>
      </c>
      <c r="G43" s="189" t="s">
        <v>222</v>
      </c>
      <c r="H43" s="188" t="n">
        <v>46049</v>
      </c>
      <c r="I43" s="189" t="s">
        <v>113</v>
      </c>
      <c r="J43" s="189" t="s">
        <v>128</v>
      </c>
      <c r="K43" s="189" t="s">
        <v>143</v>
      </c>
      <c r="L43" s="189" t="s">
        <v>197</v>
      </c>
      <c r="M43" s="189" t="s">
        <v>144</v>
      </c>
      <c r="N43" s="189" t="s">
        <v>147</v>
      </c>
      <c r="O43" s="189" t="s">
        <v>107</v>
      </c>
      <c r="P43" s="189" t="s">
        <v>111</v>
      </c>
      <c r="Q43" s="189" t="s">
        <v>112</v>
      </c>
      <c r="R43" s="189" t="s">
        <v>24</v>
      </c>
      <c r="S43" s="189" t="s">
        <v>227</v>
      </c>
      <c r="T43" s="189" t="s">
        <v>228</v>
      </c>
      <c r="U43" s="189" t="s">
        <v>122</v>
      </c>
      <c r="V43" s="189" t="s">
        <v>192</v>
      </c>
      <c r="W43" s="189" t="s">
        <v>124</v>
      </c>
      <c r="X43" s="189" t="s">
        <v>223</v>
      </c>
      <c r="Y43" s="189" t="s">
        <v>3064</v>
      </c>
      <c r="Z43" s="0" t="n">
        <v>3</v>
      </c>
      <c r="AA43" s="189" t="s">
        <v>3098</v>
      </c>
    </row>
    <row r="44" customFormat="false" ht="15" hidden="false" customHeight="true" outlineLevel="0" collapsed="false">
      <c r="A44" s="0" t="n">
        <v>9</v>
      </c>
      <c r="B44" s="188" t="n">
        <v>46068.9054023825</v>
      </c>
      <c r="C44" s="188" t="n">
        <v>46068.9086894196</v>
      </c>
      <c r="D44" s="189" t="s">
        <v>220</v>
      </c>
      <c r="E44" s="189" t="s">
        <v>221</v>
      </c>
      <c r="F44" s="189" t="s">
        <v>221</v>
      </c>
      <c r="G44" s="189" t="s">
        <v>222</v>
      </c>
      <c r="H44" s="188" t="n">
        <v>46049</v>
      </c>
      <c r="I44" s="189" t="s">
        <v>113</v>
      </c>
      <c r="J44" s="189" t="s">
        <v>128</v>
      </c>
      <c r="K44" s="189" t="s">
        <v>143</v>
      </c>
      <c r="L44" s="189" t="s">
        <v>197</v>
      </c>
      <c r="M44" s="189" t="s">
        <v>144</v>
      </c>
      <c r="N44" s="189" t="s">
        <v>147</v>
      </c>
      <c r="O44" s="189" t="s">
        <v>107</v>
      </c>
      <c r="P44" s="189" t="s">
        <v>111</v>
      </c>
      <c r="Q44" s="189" t="s">
        <v>112</v>
      </c>
      <c r="R44" s="189" t="s">
        <v>24</v>
      </c>
      <c r="S44" s="189" t="s">
        <v>227</v>
      </c>
      <c r="T44" s="189" t="s">
        <v>228</v>
      </c>
      <c r="U44" s="189" t="s">
        <v>122</v>
      </c>
      <c r="V44" s="189" t="s">
        <v>192</v>
      </c>
      <c r="W44" s="189" t="s">
        <v>124</v>
      </c>
      <c r="X44" s="189" t="s">
        <v>223</v>
      </c>
      <c r="Y44" s="189" t="s">
        <v>3066</v>
      </c>
      <c r="Z44" s="0" t="n">
        <v>1</v>
      </c>
      <c r="AA44" s="189" t="s">
        <v>3099</v>
      </c>
    </row>
    <row r="45" customFormat="false" ht="15" hidden="false" customHeight="true" outlineLevel="0" collapsed="false">
      <c r="A45" s="0" t="n">
        <v>9</v>
      </c>
      <c r="B45" s="188" t="n">
        <v>46068.9054023825</v>
      </c>
      <c r="C45" s="188" t="n">
        <v>46068.9086894196</v>
      </c>
      <c r="D45" s="189" t="s">
        <v>220</v>
      </c>
      <c r="E45" s="189" t="s">
        <v>221</v>
      </c>
      <c r="F45" s="189" t="s">
        <v>221</v>
      </c>
      <c r="G45" s="189" t="s">
        <v>222</v>
      </c>
      <c r="H45" s="188" t="n">
        <v>46049</v>
      </c>
      <c r="I45" s="189" t="s">
        <v>113</v>
      </c>
      <c r="J45" s="189" t="s">
        <v>128</v>
      </c>
      <c r="K45" s="189" t="s">
        <v>143</v>
      </c>
      <c r="L45" s="189" t="s">
        <v>197</v>
      </c>
      <c r="M45" s="189" t="s">
        <v>144</v>
      </c>
      <c r="N45" s="189" t="s">
        <v>147</v>
      </c>
      <c r="O45" s="189" t="s">
        <v>107</v>
      </c>
      <c r="P45" s="189" t="s">
        <v>111</v>
      </c>
      <c r="Q45" s="189" t="s">
        <v>112</v>
      </c>
      <c r="R45" s="189" t="s">
        <v>24</v>
      </c>
      <c r="S45" s="189" t="s">
        <v>227</v>
      </c>
      <c r="T45" s="189" t="s">
        <v>228</v>
      </c>
      <c r="U45" s="189" t="s">
        <v>122</v>
      </c>
      <c r="V45" s="189" t="s">
        <v>192</v>
      </c>
      <c r="W45" s="189" t="s">
        <v>124</v>
      </c>
      <c r="X45" s="189" t="s">
        <v>223</v>
      </c>
      <c r="Y45" s="189" t="s">
        <v>3066</v>
      </c>
      <c r="Z45" s="0" t="n">
        <v>2</v>
      </c>
      <c r="AA45" s="189" t="s">
        <v>3100</v>
      </c>
    </row>
    <row r="46" customFormat="false" ht="15" hidden="false" customHeight="true" outlineLevel="0" collapsed="false">
      <c r="A46" s="0" t="n">
        <v>9</v>
      </c>
      <c r="B46" s="188" t="n">
        <v>46068.9054023825</v>
      </c>
      <c r="C46" s="188" t="n">
        <v>46068.9086894196</v>
      </c>
      <c r="D46" s="189" t="s">
        <v>220</v>
      </c>
      <c r="E46" s="189" t="s">
        <v>221</v>
      </c>
      <c r="F46" s="189" t="s">
        <v>221</v>
      </c>
      <c r="G46" s="189" t="s">
        <v>222</v>
      </c>
      <c r="H46" s="188" t="n">
        <v>46049</v>
      </c>
      <c r="I46" s="189" t="s">
        <v>113</v>
      </c>
      <c r="J46" s="189" t="s">
        <v>128</v>
      </c>
      <c r="K46" s="189" t="s">
        <v>143</v>
      </c>
      <c r="L46" s="189" t="s">
        <v>197</v>
      </c>
      <c r="M46" s="189" t="s">
        <v>144</v>
      </c>
      <c r="N46" s="189" t="s">
        <v>147</v>
      </c>
      <c r="O46" s="189" t="s">
        <v>107</v>
      </c>
      <c r="P46" s="189" t="s">
        <v>111</v>
      </c>
      <c r="Q46" s="189" t="s">
        <v>112</v>
      </c>
      <c r="R46" s="189" t="s">
        <v>24</v>
      </c>
      <c r="S46" s="189" t="s">
        <v>227</v>
      </c>
      <c r="T46" s="189" t="s">
        <v>228</v>
      </c>
      <c r="U46" s="189" t="s">
        <v>122</v>
      </c>
      <c r="V46" s="189" t="s">
        <v>192</v>
      </c>
      <c r="W46" s="189" t="s">
        <v>124</v>
      </c>
      <c r="X46" s="189" t="s">
        <v>223</v>
      </c>
      <c r="Y46" s="189" t="s">
        <v>3069</v>
      </c>
      <c r="Z46" s="0" t="n">
        <v>1</v>
      </c>
      <c r="AA46" s="189" t="s">
        <v>3101</v>
      </c>
    </row>
    <row r="47" customFormat="false" ht="15" hidden="false" customHeight="true" outlineLevel="0" collapsed="false">
      <c r="A47" s="0" t="n">
        <v>9</v>
      </c>
      <c r="B47" s="188" t="n">
        <v>46068.9054023825</v>
      </c>
      <c r="C47" s="188" t="n">
        <v>46068.9086894196</v>
      </c>
      <c r="D47" s="189" t="s">
        <v>220</v>
      </c>
      <c r="E47" s="189" t="s">
        <v>221</v>
      </c>
      <c r="F47" s="189" t="s">
        <v>221</v>
      </c>
      <c r="G47" s="189" t="s">
        <v>222</v>
      </c>
      <c r="H47" s="188" t="n">
        <v>46049</v>
      </c>
      <c r="I47" s="189" t="s">
        <v>113</v>
      </c>
      <c r="J47" s="189" t="s">
        <v>128</v>
      </c>
      <c r="K47" s="189" t="s">
        <v>143</v>
      </c>
      <c r="L47" s="189" t="s">
        <v>197</v>
      </c>
      <c r="M47" s="189" t="s">
        <v>144</v>
      </c>
      <c r="N47" s="189" t="s">
        <v>147</v>
      </c>
      <c r="O47" s="189" t="s">
        <v>107</v>
      </c>
      <c r="P47" s="189" t="s">
        <v>111</v>
      </c>
      <c r="Q47" s="189" t="s">
        <v>112</v>
      </c>
      <c r="R47" s="189" t="s">
        <v>24</v>
      </c>
      <c r="S47" s="189" t="s">
        <v>227</v>
      </c>
      <c r="T47" s="189" t="s">
        <v>228</v>
      </c>
      <c r="U47" s="189" t="s">
        <v>122</v>
      </c>
      <c r="V47" s="189" t="s">
        <v>192</v>
      </c>
      <c r="W47" s="189" t="s">
        <v>124</v>
      </c>
      <c r="X47" s="189" t="s">
        <v>223</v>
      </c>
      <c r="Y47" s="189" t="s">
        <v>3069</v>
      </c>
      <c r="Z47" s="0" t="n">
        <v>2</v>
      </c>
      <c r="AA47" s="189" t="s">
        <v>3102</v>
      </c>
    </row>
    <row r="48" customFormat="false" ht="15" hidden="false" customHeight="true" outlineLevel="0" collapsed="false">
      <c r="A48" s="0" t="n">
        <v>10</v>
      </c>
      <c r="B48" s="188" t="n">
        <v>46174.9093224496</v>
      </c>
      <c r="C48" s="188" t="n">
        <v>46174.9189752274</v>
      </c>
      <c r="D48" s="189" t="s">
        <v>229</v>
      </c>
      <c r="E48" s="189" t="s">
        <v>230</v>
      </c>
      <c r="F48" s="189" t="s">
        <v>230</v>
      </c>
      <c r="G48" s="189" t="s">
        <v>231</v>
      </c>
      <c r="H48" s="188" t="n">
        <v>46163</v>
      </c>
      <c r="I48" s="189" t="s">
        <v>113</v>
      </c>
      <c r="J48" s="189" t="s">
        <v>108</v>
      </c>
      <c r="K48" s="189" t="s">
        <v>232</v>
      </c>
      <c r="L48" s="189" t="s">
        <v>233</v>
      </c>
      <c r="M48" s="189" t="s">
        <v>234</v>
      </c>
      <c r="N48" s="189" t="s">
        <v>235</v>
      </c>
      <c r="O48" s="189" t="s">
        <v>172</v>
      </c>
      <c r="P48" s="189" t="s">
        <v>111</v>
      </c>
      <c r="Q48" s="189" t="s">
        <v>145</v>
      </c>
      <c r="R48" s="189" t="s">
        <v>24</v>
      </c>
      <c r="S48" s="189" t="s">
        <v>152</v>
      </c>
      <c r="T48" s="189" t="s">
        <v>180</v>
      </c>
      <c r="U48" s="189" t="s">
        <v>239</v>
      </c>
      <c r="V48" s="189" t="s">
        <v>192</v>
      </c>
      <c r="W48" s="189" t="s">
        <v>168</v>
      </c>
      <c r="X48" s="189" t="s">
        <v>223</v>
      </c>
      <c r="Y48" s="189" t="s">
        <v>3064</v>
      </c>
      <c r="Z48" s="0" t="n">
        <v>1</v>
      </c>
      <c r="AA48" s="189" t="s">
        <v>3103</v>
      </c>
    </row>
    <row r="49" customFormat="false" ht="15" hidden="false" customHeight="true" outlineLevel="0" collapsed="false">
      <c r="A49" s="0" t="n">
        <v>10</v>
      </c>
      <c r="B49" s="188" t="n">
        <v>46174.9093224496</v>
      </c>
      <c r="C49" s="188" t="n">
        <v>46174.9189752274</v>
      </c>
      <c r="D49" s="189" t="s">
        <v>229</v>
      </c>
      <c r="E49" s="189" t="s">
        <v>230</v>
      </c>
      <c r="F49" s="189" t="s">
        <v>230</v>
      </c>
      <c r="G49" s="189" t="s">
        <v>231</v>
      </c>
      <c r="H49" s="188" t="n">
        <v>46163</v>
      </c>
      <c r="I49" s="189" t="s">
        <v>113</v>
      </c>
      <c r="J49" s="189" t="s">
        <v>108</v>
      </c>
      <c r="K49" s="189" t="s">
        <v>232</v>
      </c>
      <c r="L49" s="189" t="s">
        <v>233</v>
      </c>
      <c r="M49" s="189" t="s">
        <v>234</v>
      </c>
      <c r="N49" s="189" t="s">
        <v>235</v>
      </c>
      <c r="O49" s="189" t="s">
        <v>172</v>
      </c>
      <c r="P49" s="189" t="s">
        <v>111</v>
      </c>
      <c r="Q49" s="189" t="s">
        <v>145</v>
      </c>
      <c r="R49" s="189" t="s">
        <v>24</v>
      </c>
      <c r="S49" s="189" t="s">
        <v>152</v>
      </c>
      <c r="T49" s="189" t="s">
        <v>180</v>
      </c>
      <c r="U49" s="189" t="s">
        <v>239</v>
      </c>
      <c r="V49" s="189" t="s">
        <v>192</v>
      </c>
      <c r="W49" s="189" t="s">
        <v>168</v>
      </c>
      <c r="X49" s="189" t="s">
        <v>223</v>
      </c>
      <c r="Y49" s="189" t="s">
        <v>3064</v>
      </c>
      <c r="Z49" s="0" t="n">
        <v>2</v>
      </c>
      <c r="AA49" s="189" t="s">
        <v>3104</v>
      </c>
    </row>
    <row r="50" customFormat="false" ht="15" hidden="false" customHeight="true" outlineLevel="0" collapsed="false">
      <c r="A50" s="0" t="n">
        <v>10</v>
      </c>
      <c r="B50" s="188" t="n">
        <v>46174.9093224496</v>
      </c>
      <c r="C50" s="188" t="n">
        <v>46174.9189752274</v>
      </c>
      <c r="D50" s="189" t="s">
        <v>229</v>
      </c>
      <c r="E50" s="189" t="s">
        <v>230</v>
      </c>
      <c r="F50" s="189" t="s">
        <v>230</v>
      </c>
      <c r="G50" s="189" t="s">
        <v>231</v>
      </c>
      <c r="H50" s="188" t="n">
        <v>46163</v>
      </c>
      <c r="I50" s="189" t="s">
        <v>113</v>
      </c>
      <c r="J50" s="189" t="s">
        <v>108</v>
      </c>
      <c r="K50" s="189" t="s">
        <v>232</v>
      </c>
      <c r="L50" s="189" t="s">
        <v>233</v>
      </c>
      <c r="M50" s="189" t="s">
        <v>234</v>
      </c>
      <c r="N50" s="189" t="s">
        <v>235</v>
      </c>
      <c r="O50" s="189" t="s">
        <v>172</v>
      </c>
      <c r="P50" s="189" t="s">
        <v>111</v>
      </c>
      <c r="Q50" s="189" t="s">
        <v>145</v>
      </c>
      <c r="R50" s="189" t="s">
        <v>24</v>
      </c>
      <c r="S50" s="189" t="s">
        <v>152</v>
      </c>
      <c r="T50" s="189" t="s">
        <v>180</v>
      </c>
      <c r="U50" s="189" t="s">
        <v>239</v>
      </c>
      <c r="V50" s="189" t="s">
        <v>192</v>
      </c>
      <c r="W50" s="189" t="s">
        <v>168</v>
      </c>
      <c r="X50" s="189" t="s">
        <v>223</v>
      </c>
      <c r="Y50" s="189" t="s">
        <v>3066</v>
      </c>
      <c r="Z50" s="0" t="n">
        <v>1</v>
      </c>
      <c r="AA50" s="189" t="s">
        <v>3105</v>
      </c>
    </row>
    <row r="51" customFormat="false" ht="15" hidden="false" customHeight="true" outlineLevel="0" collapsed="false">
      <c r="A51" s="0" t="n">
        <v>10</v>
      </c>
      <c r="B51" s="188" t="n">
        <v>46174.9093224496</v>
      </c>
      <c r="C51" s="188" t="n">
        <v>46174.9189752274</v>
      </c>
      <c r="D51" s="189" t="s">
        <v>229</v>
      </c>
      <c r="E51" s="189" t="s">
        <v>230</v>
      </c>
      <c r="F51" s="189" t="s">
        <v>230</v>
      </c>
      <c r="G51" s="189" t="s">
        <v>231</v>
      </c>
      <c r="H51" s="188" t="n">
        <v>46163</v>
      </c>
      <c r="I51" s="189" t="s">
        <v>113</v>
      </c>
      <c r="J51" s="189" t="s">
        <v>108</v>
      </c>
      <c r="K51" s="189" t="s">
        <v>232</v>
      </c>
      <c r="L51" s="189" t="s">
        <v>233</v>
      </c>
      <c r="M51" s="189" t="s">
        <v>234</v>
      </c>
      <c r="N51" s="189" t="s">
        <v>235</v>
      </c>
      <c r="O51" s="189" t="s">
        <v>172</v>
      </c>
      <c r="P51" s="189" t="s">
        <v>111</v>
      </c>
      <c r="Q51" s="189" t="s">
        <v>145</v>
      </c>
      <c r="R51" s="189" t="s">
        <v>24</v>
      </c>
      <c r="S51" s="189" t="s">
        <v>152</v>
      </c>
      <c r="T51" s="189" t="s">
        <v>180</v>
      </c>
      <c r="U51" s="189" t="s">
        <v>239</v>
      </c>
      <c r="V51" s="189" t="s">
        <v>192</v>
      </c>
      <c r="W51" s="189" t="s">
        <v>168</v>
      </c>
      <c r="X51" s="189" t="s">
        <v>223</v>
      </c>
      <c r="Y51" s="189" t="s">
        <v>3069</v>
      </c>
      <c r="Z51" s="0" t="n">
        <v>1</v>
      </c>
      <c r="AA51" s="189" t="s">
        <v>3102</v>
      </c>
    </row>
    <row r="52" customFormat="false" ht="15" hidden="false" customHeight="true" outlineLevel="0" collapsed="false">
      <c r="A52" s="0" t="n">
        <v>10</v>
      </c>
      <c r="B52" s="188" t="n">
        <v>46174.9093224496</v>
      </c>
      <c r="C52" s="188" t="n">
        <v>46174.9189752274</v>
      </c>
      <c r="D52" s="189" t="s">
        <v>229</v>
      </c>
      <c r="E52" s="189" t="s">
        <v>230</v>
      </c>
      <c r="F52" s="189" t="s">
        <v>230</v>
      </c>
      <c r="G52" s="189" t="s">
        <v>231</v>
      </c>
      <c r="H52" s="188" t="n">
        <v>46163</v>
      </c>
      <c r="I52" s="189" t="s">
        <v>113</v>
      </c>
      <c r="J52" s="189" t="s">
        <v>108</v>
      </c>
      <c r="K52" s="189" t="s">
        <v>232</v>
      </c>
      <c r="L52" s="189" t="s">
        <v>233</v>
      </c>
      <c r="M52" s="189" t="s">
        <v>234</v>
      </c>
      <c r="N52" s="189" t="s">
        <v>235</v>
      </c>
      <c r="O52" s="189" t="s">
        <v>172</v>
      </c>
      <c r="P52" s="189" t="s">
        <v>111</v>
      </c>
      <c r="Q52" s="189" t="s">
        <v>145</v>
      </c>
      <c r="R52" s="189" t="s">
        <v>24</v>
      </c>
      <c r="S52" s="189" t="s">
        <v>152</v>
      </c>
      <c r="T52" s="189" t="s">
        <v>180</v>
      </c>
      <c r="U52" s="189" t="s">
        <v>239</v>
      </c>
      <c r="V52" s="189" t="s">
        <v>192</v>
      </c>
      <c r="W52" s="189" t="s">
        <v>168</v>
      </c>
      <c r="X52" s="189" t="s">
        <v>223</v>
      </c>
      <c r="Y52" s="189" t="s">
        <v>3069</v>
      </c>
      <c r="Z52" s="0" t="n">
        <v>2</v>
      </c>
      <c r="AA52" s="189" t="s">
        <v>3106</v>
      </c>
    </row>
    <row r="53" customFormat="false" ht="15" hidden="false" customHeight="true" outlineLevel="0" collapsed="false">
      <c r="A53" s="0" t="n">
        <v>11</v>
      </c>
      <c r="B53" s="188" t="n">
        <v>46103.189527483</v>
      </c>
      <c r="C53" s="188" t="n">
        <v>46103.1974672979</v>
      </c>
      <c r="D53" s="189" t="s">
        <v>240</v>
      </c>
      <c r="E53" s="189" t="s">
        <v>241</v>
      </c>
      <c r="F53" s="189" t="s">
        <v>242</v>
      </c>
      <c r="G53" s="189" t="s">
        <v>243</v>
      </c>
      <c r="H53" s="188" t="n">
        <v>46099</v>
      </c>
      <c r="I53" s="189" t="s">
        <v>113</v>
      </c>
      <c r="J53" s="189" t="s">
        <v>108</v>
      </c>
      <c r="K53" s="189" t="s">
        <v>245</v>
      </c>
      <c r="L53" s="189" t="s">
        <v>246</v>
      </c>
      <c r="M53" s="189" t="s">
        <v>248</v>
      </c>
      <c r="N53" s="189" t="s">
        <v>249</v>
      </c>
      <c r="O53" s="189" t="s">
        <v>244</v>
      </c>
      <c r="P53" s="189" t="s">
        <v>111</v>
      </c>
      <c r="Q53" s="189" t="s">
        <v>247</v>
      </c>
      <c r="R53" s="189" t="s">
        <v>21</v>
      </c>
      <c r="S53" s="189" t="s">
        <v>120</v>
      </c>
      <c r="T53" s="189" t="s">
        <v>121</v>
      </c>
      <c r="V53" s="189" t="s">
        <v>192</v>
      </c>
      <c r="W53" s="189" t="s">
        <v>168</v>
      </c>
      <c r="X53" s="189" t="s">
        <v>250</v>
      </c>
      <c r="Y53" s="189" t="s">
        <v>3064</v>
      </c>
      <c r="Z53" s="0" t="n">
        <v>1</v>
      </c>
      <c r="AA53" s="189" t="s">
        <v>3065</v>
      </c>
    </row>
    <row r="54" customFormat="false" ht="15" hidden="false" customHeight="true" outlineLevel="0" collapsed="false">
      <c r="A54" s="0" t="n">
        <v>11</v>
      </c>
      <c r="B54" s="188" t="n">
        <v>46103.189527483</v>
      </c>
      <c r="C54" s="188" t="n">
        <v>46103.1974672979</v>
      </c>
      <c r="D54" s="189" t="s">
        <v>240</v>
      </c>
      <c r="E54" s="189" t="s">
        <v>241</v>
      </c>
      <c r="F54" s="189" t="s">
        <v>242</v>
      </c>
      <c r="G54" s="189" t="s">
        <v>243</v>
      </c>
      <c r="H54" s="188" t="n">
        <v>46099</v>
      </c>
      <c r="I54" s="189" t="s">
        <v>113</v>
      </c>
      <c r="J54" s="189" t="s">
        <v>108</v>
      </c>
      <c r="K54" s="189" t="s">
        <v>245</v>
      </c>
      <c r="L54" s="189" t="s">
        <v>246</v>
      </c>
      <c r="M54" s="189" t="s">
        <v>248</v>
      </c>
      <c r="N54" s="189" t="s">
        <v>249</v>
      </c>
      <c r="O54" s="189" t="s">
        <v>244</v>
      </c>
      <c r="P54" s="189" t="s">
        <v>111</v>
      </c>
      <c r="Q54" s="189" t="s">
        <v>247</v>
      </c>
      <c r="R54" s="189" t="s">
        <v>21</v>
      </c>
      <c r="S54" s="189" t="s">
        <v>120</v>
      </c>
      <c r="T54" s="189" t="s">
        <v>121</v>
      </c>
      <c r="V54" s="189" t="s">
        <v>192</v>
      </c>
      <c r="W54" s="189" t="s">
        <v>168</v>
      </c>
      <c r="X54" s="189" t="s">
        <v>250</v>
      </c>
      <c r="Y54" s="189" t="s">
        <v>3064</v>
      </c>
      <c r="Z54" s="0" t="n">
        <v>2</v>
      </c>
      <c r="AA54" s="189" t="s">
        <v>3107</v>
      </c>
    </row>
    <row r="55" customFormat="false" ht="15" hidden="false" customHeight="true" outlineLevel="0" collapsed="false">
      <c r="A55" s="0" t="n">
        <v>11</v>
      </c>
      <c r="B55" s="188" t="n">
        <v>46103.189527483</v>
      </c>
      <c r="C55" s="188" t="n">
        <v>46103.1974672979</v>
      </c>
      <c r="D55" s="189" t="s">
        <v>240</v>
      </c>
      <c r="E55" s="189" t="s">
        <v>241</v>
      </c>
      <c r="F55" s="189" t="s">
        <v>242</v>
      </c>
      <c r="G55" s="189" t="s">
        <v>243</v>
      </c>
      <c r="H55" s="188" t="n">
        <v>46099</v>
      </c>
      <c r="I55" s="189" t="s">
        <v>113</v>
      </c>
      <c r="J55" s="189" t="s">
        <v>108</v>
      </c>
      <c r="K55" s="189" t="s">
        <v>245</v>
      </c>
      <c r="L55" s="189" t="s">
        <v>246</v>
      </c>
      <c r="M55" s="189" t="s">
        <v>248</v>
      </c>
      <c r="N55" s="189" t="s">
        <v>249</v>
      </c>
      <c r="O55" s="189" t="s">
        <v>244</v>
      </c>
      <c r="P55" s="189" t="s">
        <v>111</v>
      </c>
      <c r="Q55" s="189" t="s">
        <v>247</v>
      </c>
      <c r="R55" s="189" t="s">
        <v>21</v>
      </c>
      <c r="S55" s="189" t="s">
        <v>120</v>
      </c>
      <c r="T55" s="189" t="s">
        <v>121</v>
      </c>
      <c r="V55" s="189" t="s">
        <v>192</v>
      </c>
      <c r="W55" s="189" t="s">
        <v>168</v>
      </c>
      <c r="X55" s="189" t="s">
        <v>250</v>
      </c>
      <c r="Y55" s="189" t="s">
        <v>3064</v>
      </c>
      <c r="Z55" s="0" t="n">
        <v>3</v>
      </c>
      <c r="AA55" s="189" t="s">
        <v>3095</v>
      </c>
    </row>
    <row r="56" customFormat="false" ht="15" hidden="false" customHeight="true" outlineLevel="0" collapsed="false">
      <c r="A56" s="0" t="n">
        <v>11</v>
      </c>
      <c r="B56" s="188" t="n">
        <v>46103.189527483</v>
      </c>
      <c r="C56" s="188" t="n">
        <v>46103.1974672979</v>
      </c>
      <c r="D56" s="189" t="s">
        <v>240</v>
      </c>
      <c r="E56" s="189" t="s">
        <v>241</v>
      </c>
      <c r="F56" s="189" t="s">
        <v>242</v>
      </c>
      <c r="G56" s="189" t="s">
        <v>243</v>
      </c>
      <c r="H56" s="188" t="n">
        <v>46099</v>
      </c>
      <c r="I56" s="189" t="s">
        <v>113</v>
      </c>
      <c r="J56" s="189" t="s">
        <v>108</v>
      </c>
      <c r="K56" s="189" t="s">
        <v>245</v>
      </c>
      <c r="L56" s="189" t="s">
        <v>246</v>
      </c>
      <c r="M56" s="189" t="s">
        <v>248</v>
      </c>
      <c r="N56" s="189" t="s">
        <v>249</v>
      </c>
      <c r="O56" s="189" t="s">
        <v>244</v>
      </c>
      <c r="P56" s="189" t="s">
        <v>111</v>
      </c>
      <c r="Q56" s="189" t="s">
        <v>247</v>
      </c>
      <c r="R56" s="189" t="s">
        <v>21</v>
      </c>
      <c r="S56" s="189" t="s">
        <v>120</v>
      </c>
      <c r="T56" s="189" t="s">
        <v>121</v>
      </c>
      <c r="V56" s="189" t="s">
        <v>192</v>
      </c>
      <c r="W56" s="189" t="s">
        <v>168</v>
      </c>
      <c r="X56" s="189" t="s">
        <v>250</v>
      </c>
      <c r="Y56" s="189" t="s">
        <v>3066</v>
      </c>
      <c r="Z56" s="0" t="n">
        <v>1</v>
      </c>
      <c r="AA56" s="189" t="s">
        <v>122</v>
      </c>
    </row>
    <row r="57" customFormat="false" ht="15" hidden="false" customHeight="true" outlineLevel="0" collapsed="false">
      <c r="A57" s="0" t="n">
        <v>11</v>
      </c>
      <c r="B57" s="188" t="n">
        <v>46103.189527483</v>
      </c>
      <c r="C57" s="188" t="n">
        <v>46103.1974672979</v>
      </c>
      <c r="D57" s="189" t="s">
        <v>240</v>
      </c>
      <c r="E57" s="189" t="s">
        <v>241</v>
      </c>
      <c r="F57" s="189" t="s">
        <v>242</v>
      </c>
      <c r="G57" s="189" t="s">
        <v>243</v>
      </c>
      <c r="H57" s="188" t="n">
        <v>46099</v>
      </c>
      <c r="I57" s="189" t="s">
        <v>113</v>
      </c>
      <c r="J57" s="189" t="s">
        <v>108</v>
      </c>
      <c r="K57" s="189" t="s">
        <v>245</v>
      </c>
      <c r="L57" s="189" t="s">
        <v>246</v>
      </c>
      <c r="M57" s="189" t="s">
        <v>248</v>
      </c>
      <c r="N57" s="189" t="s">
        <v>249</v>
      </c>
      <c r="O57" s="189" t="s">
        <v>244</v>
      </c>
      <c r="P57" s="189" t="s">
        <v>111</v>
      </c>
      <c r="Q57" s="189" t="s">
        <v>247</v>
      </c>
      <c r="R57" s="189" t="s">
        <v>21</v>
      </c>
      <c r="S57" s="189" t="s">
        <v>120</v>
      </c>
      <c r="T57" s="189" t="s">
        <v>121</v>
      </c>
      <c r="V57" s="189" t="s">
        <v>192</v>
      </c>
      <c r="W57" s="189" t="s">
        <v>168</v>
      </c>
      <c r="X57" s="189" t="s">
        <v>250</v>
      </c>
      <c r="Y57" s="189" t="s">
        <v>3069</v>
      </c>
      <c r="Z57" s="0" t="n">
        <v>1</v>
      </c>
      <c r="AA57" s="189" t="s">
        <v>3108</v>
      </c>
    </row>
    <row r="58" customFormat="false" ht="15" hidden="false" customHeight="true" outlineLevel="0" collapsed="false">
      <c r="A58" s="0" t="n">
        <v>11</v>
      </c>
      <c r="B58" s="188" t="n">
        <v>46103.189527483</v>
      </c>
      <c r="C58" s="188" t="n">
        <v>46103.1974672979</v>
      </c>
      <c r="D58" s="189" t="s">
        <v>240</v>
      </c>
      <c r="E58" s="189" t="s">
        <v>241</v>
      </c>
      <c r="F58" s="189" t="s">
        <v>242</v>
      </c>
      <c r="G58" s="189" t="s">
        <v>243</v>
      </c>
      <c r="H58" s="188" t="n">
        <v>46099</v>
      </c>
      <c r="I58" s="189" t="s">
        <v>113</v>
      </c>
      <c r="J58" s="189" t="s">
        <v>108</v>
      </c>
      <c r="K58" s="189" t="s">
        <v>245</v>
      </c>
      <c r="L58" s="189" t="s">
        <v>246</v>
      </c>
      <c r="M58" s="189" t="s">
        <v>248</v>
      </c>
      <c r="N58" s="189" t="s">
        <v>249</v>
      </c>
      <c r="O58" s="189" t="s">
        <v>244</v>
      </c>
      <c r="P58" s="189" t="s">
        <v>111</v>
      </c>
      <c r="Q58" s="189" t="s">
        <v>247</v>
      </c>
      <c r="R58" s="189" t="s">
        <v>21</v>
      </c>
      <c r="S58" s="189" t="s">
        <v>120</v>
      </c>
      <c r="T58" s="189" t="s">
        <v>121</v>
      </c>
      <c r="V58" s="189" t="s">
        <v>192</v>
      </c>
      <c r="W58" s="189" t="s">
        <v>168</v>
      </c>
      <c r="X58" s="189" t="s">
        <v>250</v>
      </c>
      <c r="Y58" s="189" t="s">
        <v>3069</v>
      </c>
      <c r="Z58" s="0" t="n">
        <v>2</v>
      </c>
      <c r="AA58" s="189" t="s">
        <v>122</v>
      </c>
    </row>
    <row r="59" customFormat="false" ht="15" hidden="false" customHeight="true" outlineLevel="0" collapsed="false">
      <c r="A59" s="0" t="n">
        <v>12</v>
      </c>
      <c r="B59" s="188" t="n">
        <v>46156.1292617163</v>
      </c>
      <c r="C59" s="188" t="n">
        <v>46156.1362524571</v>
      </c>
      <c r="D59" s="189" t="s">
        <v>254</v>
      </c>
      <c r="E59" s="189" t="s">
        <v>255</v>
      </c>
      <c r="F59" s="189" t="s">
        <v>255</v>
      </c>
      <c r="G59" s="189" t="s">
        <v>256</v>
      </c>
      <c r="H59" s="188" t="n">
        <v>46151</v>
      </c>
      <c r="I59" s="189" t="s">
        <v>132</v>
      </c>
      <c r="J59" s="189" t="s">
        <v>108</v>
      </c>
      <c r="K59" s="189" t="s">
        <v>257</v>
      </c>
      <c r="L59" s="189" t="s">
        <v>159</v>
      </c>
      <c r="M59" s="189" t="s">
        <v>258</v>
      </c>
      <c r="N59" s="189" t="s">
        <v>259</v>
      </c>
      <c r="O59" s="189" t="s">
        <v>157</v>
      </c>
      <c r="P59" s="189" t="s">
        <v>131</v>
      </c>
      <c r="Q59" s="189" t="s">
        <v>145</v>
      </c>
      <c r="R59" s="189" t="s">
        <v>24</v>
      </c>
      <c r="S59" s="189" t="s">
        <v>120</v>
      </c>
      <c r="T59" s="189" t="s">
        <v>264</v>
      </c>
      <c r="U59" s="189" t="s">
        <v>122</v>
      </c>
      <c r="V59" s="189" t="s">
        <v>123</v>
      </c>
      <c r="W59" s="189" t="s">
        <v>124</v>
      </c>
      <c r="X59" s="189" t="s">
        <v>260</v>
      </c>
      <c r="Y59" s="189" t="s">
        <v>3064</v>
      </c>
      <c r="Z59" s="0" t="n">
        <v>1</v>
      </c>
      <c r="AA59" s="189" t="s">
        <v>3109</v>
      </c>
    </row>
    <row r="60" customFormat="false" ht="15" hidden="false" customHeight="true" outlineLevel="0" collapsed="false">
      <c r="A60" s="0" t="n">
        <v>12</v>
      </c>
      <c r="B60" s="188" t="n">
        <v>46156.1292617163</v>
      </c>
      <c r="C60" s="188" t="n">
        <v>46156.1362524571</v>
      </c>
      <c r="D60" s="189" t="s">
        <v>254</v>
      </c>
      <c r="E60" s="189" t="s">
        <v>255</v>
      </c>
      <c r="F60" s="189" t="s">
        <v>255</v>
      </c>
      <c r="G60" s="189" t="s">
        <v>256</v>
      </c>
      <c r="H60" s="188" t="n">
        <v>46151</v>
      </c>
      <c r="I60" s="189" t="s">
        <v>132</v>
      </c>
      <c r="J60" s="189" t="s">
        <v>108</v>
      </c>
      <c r="K60" s="189" t="s">
        <v>257</v>
      </c>
      <c r="L60" s="189" t="s">
        <v>159</v>
      </c>
      <c r="M60" s="189" t="s">
        <v>258</v>
      </c>
      <c r="N60" s="189" t="s">
        <v>259</v>
      </c>
      <c r="O60" s="189" t="s">
        <v>157</v>
      </c>
      <c r="P60" s="189" t="s">
        <v>131</v>
      </c>
      <c r="Q60" s="189" t="s">
        <v>145</v>
      </c>
      <c r="R60" s="189" t="s">
        <v>24</v>
      </c>
      <c r="S60" s="189" t="s">
        <v>120</v>
      </c>
      <c r="T60" s="189" t="s">
        <v>264</v>
      </c>
      <c r="U60" s="189" t="s">
        <v>122</v>
      </c>
      <c r="V60" s="189" t="s">
        <v>123</v>
      </c>
      <c r="W60" s="189" t="s">
        <v>124</v>
      </c>
      <c r="X60" s="189" t="s">
        <v>260</v>
      </c>
      <c r="Y60" s="189" t="s">
        <v>3064</v>
      </c>
      <c r="Z60" s="0" t="n">
        <v>2</v>
      </c>
      <c r="AA60" s="189" t="s">
        <v>3110</v>
      </c>
    </row>
    <row r="61" customFormat="false" ht="15" hidden="false" customHeight="true" outlineLevel="0" collapsed="false">
      <c r="A61" s="0" t="n">
        <v>12</v>
      </c>
      <c r="B61" s="188" t="n">
        <v>46156.1292617163</v>
      </c>
      <c r="C61" s="188" t="n">
        <v>46156.1362524571</v>
      </c>
      <c r="D61" s="189" t="s">
        <v>254</v>
      </c>
      <c r="E61" s="189" t="s">
        <v>255</v>
      </c>
      <c r="F61" s="189" t="s">
        <v>255</v>
      </c>
      <c r="G61" s="189" t="s">
        <v>256</v>
      </c>
      <c r="H61" s="188" t="n">
        <v>46151</v>
      </c>
      <c r="I61" s="189" t="s">
        <v>132</v>
      </c>
      <c r="J61" s="189" t="s">
        <v>108</v>
      </c>
      <c r="K61" s="189" t="s">
        <v>257</v>
      </c>
      <c r="L61" s="189" t="s">
        <v>159</v>
      </c>
      <c r="M61" s="189" t="s">
        <v>258</v>
      </c>
      <c r="N61" s="189" t="s">
        <v>259</v>
      </c>
      <c r="O61" s="189" t="s">
        <v>157</v>
      </c>
      <c r="P61" s="189" t="s">
        <v>131</v>
      </c>
      <c r="Q61" s="189" t="s">
        <v>145</v>
      </c>
      <c r="R61" s="189" t="s">
        <v>24</v>
      </c>
      <c r="S61" s="189" t="s">
        <v>120</v>
      </c>
      <c r="T61" s="189" t="s">
        <v>264</v>
      </c>
      <c r="U61" s="189" t="s">
        <v>122</v>
      </c>
      <c r="V61" s="189" t="s">
        <v>123</v>
      </c>
      <c r="W61" s="189" t="s">
        <v>124</v>
      </c>
      <c r="X61" s="189" t="s">
        <v>260</v>
      </c>
      <c r="Y61" s="189" t="s">
        <v>3066</v>
      </c>
      <c r="Z61" s="0" t="n">
        <v>1</v>
      </c>
      <c r="AA61" s="189" t="s">
        <v>3111</v>
      </c>
    </row>
    <row r="62" customFormat="false" ht="15" hidden="false" customHeight="true" outlineLevel="0" collapsed="false">
      <c r="A62" s="0" t="n">
        <v>12</v>
      </c>
      <c r="B62" s="188" t="n">
        <v>46156.1292617163</v>
      </c>
      <c r="C62" s="188" t="n">
        <v>46156.1362524571</v>
      </c>
      <c r="D62" s="189" t="s">
        <v>254</v>
      </c>
      <c r="E62" s="189" t="s">
        <v>255</v>
      </c>
      <c r="F62" s="189" t="s">
        <v>255</v>
      </c>
      <c r="G62" s="189" t="s">
        <v>256</v>
      </c>
      <c r="H62" s="188" t="n">
        <v>46151</v>
      </c>
      <c r="I62" s="189" t="s">
        <v>132</v>
      </c>
      <c r="J62" s="189" t="s">
        <v>108</v>
      </c>
      <c r="K62" s="189" t="s">
        <v>257</v>
      </c>
      <c r="L62" s="189" t="s">
        <v>159</v>
      </c>
      <c r="M62" s="189" t="s">
        <v>258</v>
      </c>
      <c r="N62" s="189" t="s">
        <v>259</v>
      </c>
      <c r="O62" s="189" t="s">
        <v>157</v>
      </c>
      <c r="P62" s="189" t="s">
        <v>131</v>
      </c>
      <c r="Q62" s="189" t="s">
        <v>145</v>
      </c>
      <c r="R62" s="189" t="s">
        <v>24</v>
      </c>
      <c r="S62" s="189" t="s">
        <v>120</v>
      </c>
      <c r="T62" s="189" t="s">
        <v>264</v>
      </c>
      <c r="U62" s="189" t="s">
        <v>122</v>
      </c>
      <c r="V62" s="189" t="s">
        <v>123</v>
      </c>
      <c r="W62" s="189" t="s">
        <v>124</v>
      </c>
      <c r="X62" s="189" t="s">
        <v>260</v>
      </c>
      <c r="Y62" s="189" t="s">
        <v>3069</v>
      </c>
      <c r="Z62" s="0" t="n">
        <v>1</v>
      </c>
      <c r="AA62" s="189" t="s">
        <v>3112</v>
      </c>
    </row>
    <row r="63" customFormat="false" ht="15" hidden="false" customHeight="true" outlineLevel="0" collapsed="false">
      <c r="A63" s="0" t="n">
        <v>12</v>
      </c>
      <c r="B63" s="188" t="n">
        <v>46156.1292617163</v>
      </c>
      <c r="C63" s="188" t="n">
        <v>46156.1362524571</v>
      </c>
      <c r="D63" s="189" t="s">
        <v>254</v>
      </c>
      <c r="E63" s="189" t="s">
        <v>255</v>
      </c>
      <c r="F63" s="189" t="s">
        <v>255</v>
      </c>
      <c r="G63" s="189" t="s">
        <v>256</v>
      </c>
      <c r="H63" s="188" t="n">
        <v>46151</v>
      </c>
      <c r="I63" s="189" t="s">
        <v>132</v>
      </c>
      <c r="J63" s="189" t="s">
        <v>108</v>
      </c>
      <c r="K63" s="189" t="s">
        <v>257</v>
      </c>
      <c r="L63" s="189" t="s">
        <v>159</v>
      </c>
      <c r="M63" s="189" t="s">
        <v>258</v>
      </c>
      <c r="N63" s="189" t="s">
        <v>259</v>
      </c>
      <c r="O63" s="189" t="s">
        <v>157</v>
      </c>
      <c r="P63" s="189" t="s">
        <v>131</v>
      </c>
      <c r="Q63" s="189" t="s">
        <v>145</v>
      </c>
      <c r="R63" s="189" t="s">
        <v>24</v>
      </c>
      <c r="S63" s="189" t="s">
        <v>120</v>
      </c>
      <c r="T63" s="189" t="s">
        <v>264</v>
      </c>
      <c r="U63" s="189" t="s">
        <v>122</v>
      </c>
      <c r="V63" s="189" t="s">
        <v>123</v>
      </c>
      <c r="W63" s="189" t="s">
        <v>124</v>
      </c>
      <c r="X63" s="189" t="s">
        <v>260</v>
      </c>
      <c r="Y63" s="189" t="s">
        <v>3069</v>
      </c>
      <c r="Z63" s="0" t="n">
        <v>2</v>
      </c>
      <c r="AA63" s="189" t="s">
        <v>3113</v>
      </c>
    </row>
    <row r="64" customFormat="false" ht="15" hidden="false" customHeight="true" outlineLevel="0" collapsed="false">
      <c r="A64" s="0" t="n">
        <v>13</v>
      </c>
      <c r="B64" s="188" t="n">
        <v>46166.8891120508</v>
      </c>
      <c r="C64" s="188" t="n">
        <v>46166.9025726989</v>
      </c>
      <c r="D64" s="189" t="s">
        <v>265</v>
      </c>
      <c r="E64" s="189" t="s">
        <v>266</v>
      </c>
      <c r="F64" s="189" t="s">
        <v>266</v>
      </c>
      <c r="G64" s="189" t="s">
        <v>267</v>
      </c>
      <c r="H64" s="188" t="n">
        <v>46149</v>
      </c>
      <c r="I64" s="189" t="s">
        <v>113</v>
      </c>
      <c r="J64" s="189" t="s">
        <v>108</v>
      </c>
      <c r="K64" s="189" t="s">
        <v>232</v>
      </c>
      <c r="L64" s="189" t="s">
        <v>268</v>
      </c>
      <c r="M64" s="189" t="s">
        <v>269</v>
      </c>
      <c r="N64" s="189" t="s">
        <v>270</v>
      </c>
      <c r="O64" s="189" t="s">
        <v>172</v>
      </c>
      <c r="P64" s="189" t="s">
        <v>111</v>
      </c>
      <c r="Q64" s="189" t="s">
        <v>198</v>
      </c>
      <c r="R64" s="189" t="s">
        <v>22</v>
      </c>
      <c r="S64" s="189" t="s">
        <v>152</v>
      </c>
      <c r="T64" s="189" t="s">
        <v>228</v>
      </c>
      <c r="U64" s="189" t="s">
        <v>122</v>
      </c>
      <c r="V64" s="189" t="s">
        <v>192</v>
      </c>
      <c r="W64" s="189" t="s">
        <v>124</v>
      </c>
      <c r="X64" s="189" t="s">
        <v>271</v>
      </c>
      <c r="Y64" s="189" t="s">
        <v>3064</v>
      </c>
      <c r="Z64" s="0" t="n">
        <v>1</v>
      </c>
      <c r="AA64" s="189" t="s">
        <v>3114</v>
      </c>
    </row>
    <row r="65" customFormat="false" ht="15" hidden="false" customHeight="true" outlineLevel="0" collapsed="false">
      <c r="A65" s="0" t="n">
        <v>13</v>
      </c>
      <c r="B65" s="188" t="n">
        <v>46166.8891120508</v>
      </c>
      <c r="C65" s="188" t="n">
        <v>46166.9025726989</v>
      </c>
      <c r="D65" s="189" t="s">
        <v>265</v>
      </c>
      <c r="E65" s="189" t="s">
        <v>266</v>
      </c>
      <c r="F65" s="189" t="s">
        <v>266</v>
      </c>
      <c r="G65" s="189" t="s">
        <v>267</v>
      </c>
      <c r="H65" s="188" t="n">
        <v>46149</v>
      </c>
      <c r="I65" s="189" t="s">
        <v>113</v>
      </c>
      <c r="J65" s="189" t="s">
        <v>108</v>
      </c>
      <c r="K65" s="189" t="s">
        <v>232</v>
      </c>
      <c r="L65" s="189" t="s">
        <v>268</v>
      </c>
      <c r="M65" s="189" t="s">
        <v>269</v>
      </c>
      <c r="N65" s="189" t="s">
        <v>270</v>
      </c>
      <c r="O65" s="189" t="s">
        <v>172</v>
      </c>
      <c r="P65" s="189" t="s">
        <v>111</v>
      </c>
      <c r="Q65" s="189" t="s">
        <v>198</v>
      </c>
      <c r="R65" s="189" t="s">
        <v>22</v>
      </c>
      <c r="S65" s="189" t="s">
        <v>152</v>
      </c>
      <c r="T65" s="189" t="s">
        <v>228</v>
      </c>
      <c r="U65" s="189" t="s">
        <v>122</v>
      </c>
      <c r="V65" s="189" t="s">
        <v>192</v>
      </c>
      <c r="W65" s="189" t="s">
        <v>124</v>
      </c>
      <c r="X65" s="189" t="s">
        <v>271</v>
      </c>
      <c r="Y65" s="189" t="s">
        <v>3064</v>
      </c>
      <c r="Z65" s="0" t="n">
        <v>2</v>
      </c>
      <c r="AA65" s="189" t="s">
        <v>3115</v>
      </c>
    </row>
    <row r="66" customFormat="false" ht="15" hidden="false" customHeight="true" outlineLevel="0" collapsed="false">
      <c r="A66" s="0" t="n">
        <v>13</v>
      </c>
      <c r="B66" s="188" t="n">
        <v>46166.8891120508</v>
      </c>
      <c r="C66" s="188" t="n">
        <v>46166.9025726989</v>
      </c>
      <c r="D66" s="189" t="s">
        <v>265</v>
      </c>
      <c r="E66" s="189" t="s">
        <v>266</v>
      </c>
      <c r="F66" s="189" t="s">
        <v>266</v>
      </c>
      <c r="G66" s="189" t="s">
        <v>267</v>
      </c>
      <c r="H66" s="188" t="n">
        <v>46149</v>
      </c>
      <c r="I66" s="189" t="s">
        <v>113</v>
      </c>
      <c r="J66" s="189" t="s">
        <v>108</v>
      </c>
      <c r="K66" s="189" t="s">
        <v>232</v>
      </c>
      <c r="L66" s="189" t="s">
        <v>268</v>
      </c>
      <c r="M66" s="189" t="s">
        <v>269</v>
      </c>
      <c r="N66" s="189" t="s">
        <v>270</v>
      </c>
      <c r="O66" s="189" t="s">
        <v>172</v>
      </c>
      <c r="P66" s="189" t="s">
        <v>111</v>
      </c>
      <c r="Q66" s="189" t="s">
        <v>198</v>
      </c>
      <c r="R66" s="189" t="s">
        <v>22</v>
      </c>
      <c r="S66" s="189" t="s">
        <v>152</v>
      </c>
      <c r="T66" s="189" t="s">
        <v>228</v>
      </c>
      <c r="U66" s="189" t="s">
        <v>122</v>
      </c>
      <c r="V66" s="189" t="s">
        <v>192</v>
      </c>
      <c r="W66" s="189" t="s">
        <v>124</v>
      </c>
      <c r="X66" s="189" t="s">
        <v>271</v>
      </c>
      <c r="Y66" s="189" t="s">
        <v>3066</v>
      </c>
      <c r="Z66" s="0" t="n">
        <v>1</v>
      </c>
      <c r="AA66" s="189" t="s">
        <v>3116</v>
      </c>
    </row>
    <row r="67" customFormat="false" ht="15" hidden="false" customHeight="true" outlineLevel="0" collapsed="false">
      <c r="A67" s="0" t="n">
        <v>13</v>
      </c>
      <c r="B67" s="188" t="n">
        <v>46166.8891120508</v>
      </c>
      <c r="C67" s="188" t="n">
        <v>46166.9025726989</v>
      </c>
      <c r="D67" s="189" t="s">
        <v>265</v>
      </c>
      <c r="E67" s="189" t="s">
        <v>266</v>
      </c>
      <c r="F67" s="189" t="s">
        <v>266</v>
      </c>
      <c r="G67" s="189" t="s">
        <v>267</v>
      </c>
      <c r="H67" s="188" t="n">
        <v>46149</v>
      </c>
      <c r="I67" s="189" t="s">
        <v>113</v>
      </c>
      <c r="J67" s="189" t="s">
        <v>108</v>
      </c>
      <c r="K67" s="189" t="s">
        <v>232</v>
      </c>
      <c r="L67" s="189" t="s">
        <v>268</v>
      </c>
      <c r="M67" s="189" t="s">
        <v>269</v>
      </c>
      <c r="N67" s="189" t="s">
        <v>270</v>
      </c>
      <c r="O67" s="189" t="s">
        <v>172</v>
      </c>
      <c r="P67" s="189" t="s">
        <v>111</v>
      </c>
      <c r="Q67" s="189" t="s">
        <v>198</v>
      </c>
      <c r="R67" s="189" t="s">
        <v>22</v>
      </c>
      <c r="S67" s="189" t="s">
        <v>152</v>
      </c>
      <c r="T67" s="189" t="s">
        <v>228</v>
      </c>
      <c r="U67" s="189" t="s">
        <v>122</v>
      </c>
      <c r="V67" s="189" t="s">
        <v>192</v>
      </c>
      <c r="W67" s="189" t="s">
        <v>124</v>
      </c>
      <c r="X67" s="189" t="s">
        <v>271</v>
      </c>
      <c r="Y67" s="189" t="s">
        <v>3066</v>
      </c>
      <c r="Z67" s="0" t="n">
        <v>2</v>
      </c>
      <c r="AA67" s="189" t="s">
        <v>3117</v>
      </c>
    </row>
    <row r="68" customFormat="false" ht="15" hidden="false" customHeight="true" outlineLevel="0" collapsed="false">
      <c r="A68" s="0" t="n">
        <v>13</v>
      </c>
      <c r="B68" s="188" t="n">
        <v>46166.8891120508</v>
      </c>
      <c r="C68" s="188" t="n">
        <v>46166.9025726989</v>
      </c>
      <c r="D68" s="189" t="s">
        <v>265</v>
      </c>
      <c r="E68" s="189" t="s">
        <v>266</v>
      </c>
      <c r="F68" s="189" t="s">
        <v>266</v>
      </c>
      <c r="G68" s="189" t="s">
        <v>267</v>
      </c>
      <c r="H68" s="188" t="n">
        <v>46149</v>
      </c>
      <c r="I68" s="189" t="s">
        <v>113</v>
      </c>
      <c r="J68" s="189" t="s">
        <v>108</v>
      </c>
      <c r="K68" s="189" t="s">
        <v>232</v>
      </c>
      <c r="L68" s="189" t="s">
        <v>268</v>
      </c>
      <c r="M68" s="189" t="s">
        <v>269</v>
      </c>
      <c r="N68" s="189" t="s">
        <v>270</v>
      </c>
      <c r="O68" s="189" t="s">
        <v>172</v>
      </c>
      <c r="P68" s="189" t="s">
        <v>111</v>
      </c>
      <c r="Q68" s="189" t="s">
        <v>198</v>
      </c>
      <c r="R68" s="189" t="s">
        <v>22</v>
      </c>
      <c r="S68" s="189" t="s">
        <v>152</v>
      </c>
      <c r="T68" s="189" t="s">
        <v>228</v>
      </c>
      <c r="U68" s="189" t="s">
        <v>122</v>
      </c>
      <c r="V68" s="189" t="s">
        <v>192</v>
      </c>
      <c r="W68" s="189" t="s">
        <v>124</v>
      </c>
      <c r="X68" s="189" t="s">
        <v>271</v>
      </c>
      <c r="Y68" s="189" t="s">
        <v>3069</v>
      </c>
      <c r="Z68" s="0" t="n">
        <v>1</v>
      </c>
      <c r="AA68" s="189" t="s">
        <v>3118</v>
      </c>
    </row>
    <row r="69" customFormat="false" ht="15" hidden="false" customHeight="true" outlineLevel="0" collapsed="false">
      <c r="A69" s="0" t="n">
        <v>13</v>
      </c>
      <c r="B69" s="188" t="n">
        <v>46166.8891120508</v>
      </c>
      <c r="C69" s="188" t="n">
        <v>46166.9025726989</v>
      </c>
      <c r="D69" s="189" t="s">
        <v>265</v>
      </c>
      <c r="E69" s="189" t="s">
        <v>266</v>
      </c>
      <c r="F69" s="189" t="s">
        <v>266</v>
      </c>
      <c r="G69" s="189" t="s">
        <v>267</v>
      </c>
      <c r="H69" s="188" t="n">
        <v>46149</v>
      </c>
      <c r="I69" s="189" t="s">
        <v>113</v>
      </c>
      <c r="J69" s="189" t="s">
        <v>108</v>
      </c>
      <c r="K69" s="189" t="s">
        <v>232</v>
      </c>
      <c r="L69" s="189" t="s">
        <v>268</v>
      </c>
      <c r="M69" s="189" t="s">
        <v>269</v>
      </c>
      <c r="N69" s="189" t="s">
        <v>270</v>
      </c>
      <c r="O69" s="189" t="s">
        <v>172</v>
      </c>
      <c r="P69" s="189" t="s">
        <v>111</v>
      </c>
      <c r="Q69" s="189" t="s">
        <v>198</v>
      </c>
      <c r="R69" s="189" t="s">
        <v>22</v>
      </c>
      <c r="S69" s="189" t="s">
        <v>152</v>
      </c>
      <c r="T69" s="189" t="s">
        <v>228</v>
      </c>
      <c r="U69" s="189" t="s">
        <v>122</v>
      </c>
      <c r="V69" s="189" t="s">
        <v>192</v>
      </c>
      <c r="W69" s="189" t="s">
        <v>124</v>
      </c>
      <c r="X69" s="189" t="s">
        <v>271</v>
      </c>
      <c r="Y69" s="189" t="s">
        <v>3069</v>
      </c>
      <c r="Z69" s="0" t="n">
        <v>2</v>
      </c>
      <c r="AA69" s="189" t="s">
        <v>3119</v>
      </c>
    </row>
    <row r="70" customFormat="false" ht="15" hidden="false" customHeight="true" outlineLevel="0" collapsed="false">
      <c r="A70" s="0" t="n">
        <v>14</v>
      </c>
      <c r="B70" s="188" t="n">
        <v>46083.0797662336</v>
      </c>
      <c r="C70" s="188" t="n">
        <v>46083.0889791965</v>
      </c>
      <c r="D70" s="189" t="s">
        <v>275</v>
      </c>
      <c r="E70" s="189" t="s">
        <v>276</v>
      </c>
      <c r="F70" s="189" t="s">
        <v>276</v>
      </c>
      <c r="G70" s="189" t="s">
        <v>277</v>
      </c>
      <c r="H70" s="188" t="n">
        <v>46080</v>
      </c>
      <c r="I70" s="189" t="s">
        <v>113</v>
      </c>
      <c r="J70" s="189" t="s">
        <v>108</v>
      </c>
      <c r="K70" s="189" t="s">
        <v>245</v>
      </c>
      <c r="L70" s="189" t="s">
        <v>144</v>
      </c>
      <c r="M70" s="189" t="s">
        <v>279</v>
      </c>
      <c r="N70" s="189" t="s">
        <v>280</v>
      </c>
      <c r="O70" s="189" t="s">
        <v>278</v>
      </c>
      <c r="P70" s="189" t="s">
        <v>111</v>
      </c>
      <c r="Q70" s="189" t="s">
        <v>112</v>
      </c>
      <c r="R70" s="189" t="s">
        <v>24</v>
      </c>
      <c r="S70" s="189" t="s">
        <v>120</v>
      </c>
      <c r="T70" s="189" t="s">
        <v>180</v>
      </c>
      <c r="V70" s="189" t="s">
        <v>192</v>
      </c>
      <c r="W70" s="189" t="s">
        <v>124</v>
      </c>
      <c r="X70" s="189" t="s">
        <v>223</v>
      </c>
      <c r="Y70" s="189" t="s">
        <v>3064</v>
      </c>
      <c r="Z70" s="0" t="n">
        <v>1</v>
      </c>
      <c r="AA70" s="189" t="s">
        <v>3120</v>
      </c>
    </row>
    <row r="71" customFormat="false" ht="15" hidden="false" customHeight="true" outlineLevel="0" collapsed="false">
      <c r="A71" s="0" t="n">
        <v>14</v>
      </c>
      <c r="B71" s="188" t="n">
        <v>46083.0797662336</v>
      </c>
      <c r="C71" s="188" t="n">
        <v>46083.0889791965</v>
      </c>
      <c r="D71" s="189" t="s">
        <v>275</v>
      </c>
      <c r="E71" s="189" t="s">
        <v>276</v>
      </c>
      <c r="F71" s="189" t="s">
        <v>276</v>
      </c>
      <c r="G71" s="189" t="s">
        <v>277</v>
      </c>
      <c r="H71" s="188" t="n">
        <v>46080</v>
      </c>
      <c r="I71" s="189" t="s">
        <v>113</v>
      </c>
      <c r="J71" s="189" t="s">
        <v>108</v>
      </c>
      <c r="K71" s="189" t="s">
        <v>245</v>
      </c>
      <c r="L71" s="189" t="s">
        <v>144</v>
      </c>
      <c r="M71" s="189" t="s">
        <v>279</v>
      </c>
      <c r="N71" s="189" t="s">
        <v>280</v>
      </c>
      <c r="O71" s="189" t="s">
        <v>278</v>
      </c>
      <c r="P71" s="189" t="s">
        <v>111</v>
      </c>
      <c r="Q71" s="189" t="s">
        <v>112</v>
      </c>
      <c r="R71" s="189" t="s">
        <v>24</v>
      </c>
      <c r="S71" s="189" t="s">
        <v>120</v>
      </c>
      <c r="T71" s="189" t="s">
        <v>180</v>
      </c>
      <c r="V71" s="189" t="s">
        <v>192</v>
      </c>
      <c r="W71" s="189" t="s">
        <v>124</v>
      </c>
      <c r="X71" s="189" t="s">
        <v>223</v>
      </c>
      <c r="Y71" s="189" t="s">
        <v>3064</v>
      </c>
      <c r="Z71" s="0" t="n">
        <v>2</v>
      </c>
      <c r="AA71" s="189" t="s">
        <v>3097</v>
      </c>
    </row>
    <row r="72" customFormat="false" ht="15" hidden="false" customHeight="true" outlineLevel="0" collapsed="false">
      <c r="A72" s="0" t="n">
        <v>14</v>
      </c>
      <c r="B72" s="188" t="n">
        <v>46083.0797662336</v>
      </c>
      <c r="C72" s="188" t="n">
        <v>46083.0889791965</v>
      </c>
      <c r="D72" s="189" t="s">
        <v>275</v>
      </c>
      <c r="E72" s="189" t="s">
        <v>276</v>
      </c>
      <c r="F72" s="189" t="s">
        <v>276</v>
      </c>
      <c r="G72" s="189" t="s">
        <v>277</v>
      </c>
      <c r="H72" s="188" t="n">
        <v>46080</v>
      </c>
      <c r="I72" s="189" t="s">
        <v>113</v>
      </c>
      <c r="J72" s="189" t="s">
        <v>108</v>
      </c>
      <c r="K72" s="189" t="s">
        <v>245</v>
      </c>
      <c r="L72" s="189" t="s">
        <v>144</v>
      </c>
      <c r="M72" s="189" t="s">
        <v>279</v>
      </c>
      <c r="N72" s="189" t="s">
        <v>280</v>
      </c>
      <c r="O72" s="189" t="s">
        <v>278</v>
      </c>
      <c r="P72" s="189" t="s">
        <v>111</v>
      </c>
      <c r="Q72" s="189" t="s">
        <v>112</v>
      </c>
      <c r="R72" s="189" t="s">
        <v>24</v>
      </c>
      <c r="S72" s="189" t="s">
        <v>120</v>
      </c>
      <c r="T72" s="189" t="s">
        <v>180</v>
      </c>
      <c r="V72" s="189" t="s">
        <v>192</v>
      </c>
      <c r="W72" s="189" t="s">
        <v>124</v>
      </c>
      <c r="X72" s="189" t="s">
        <v>223</v>
      </c>
      <c r="Y72" s="189" t="s">
        <v>3064</v>
      </c>
      <c r="Z72" s="0" t="n">
        <v>3</v>
      </c>
      <c r="AA72" s="189" t="s">
        <v>3121</v>
      </c>
    </row>
    <row r="73" customFormat="false" ht="15" hidden="false" customHeight="true" outlineLevel="0" collapsed="false">
      <c r="A73" s="0" t="n">
        <v>14</v>
      </c>
      <c r="B73" s="188" t="n">
        <v>46083.0797662336</v>
      </c>
      <c r="C73" s="188" t="n">
        <v>46083.0889791965</v>
      </c>
      <c r="D73" s="189" t="s">
        <v>275</v>
      </c>
      <c r="E73" s="189" t="s">
        <v>276</v>
      </c>
      <c r="F73" s="189" t="s">
        <v>276</v>
      </c>
      <c r="G73" s="189" t="s">
        <v>277</v>
      </c>
      <c r="H73" s="188" t="n">
        <v>46080</v>
      </c>
      <c r="I73" s="189" t="s">
        <v>113</v>
      </c>
      <c r="J73" s="189" t="s">
        <v>108</v>
      </c>
      <c r="K73" s="189" t="s">
        <v>245</v>
      </c>
      <c r="L73" s="189" t="s">
        <v>144</v>
      </c>
      <c r="M73" s="189" t="s">
        <v>279</v>
      </c>
      <c r="N73" s="189" t="s">
        <v>280</v>
      </c>
      <c r="O73" s="189" t="s">
        <v>278</v>
      </c>
      <c r="P73" s="189" t="s">
        <v>111</v>
      </c>
      <c r="Q73" s="189" t="s">
        <v>112</v>
      </c>
      <c r="R73" s="189" t="s">
        <v>24</v>
      </c>
      <c r="S73" s="189" t="s">
        <v>120</v>
      </c>
      <c r="T73" s="189" t="s">
        <v>180</v>
      </c>
      <c r="V73" s="189" t="s">
        <v>192</v>
      </c>
      <c r="W73" s="189" t="s">
        <v>124</v>
      </c>
      <c r="X73" s="189" t="s">
        <v>223</v>
      </c>
      <c r="Y73" s="189" t="s">
        <v>3066</v>
      </c>
      <c r="Z73" s="0" t="n">
        <v>1</v>
      </c>
      <c r="AA73" s="189" t="s">
        <v>3105</v>
      </c>
    </row>
    <row r="74" customFormat="false" ht="15" hidden="false" customHeight="true" outlineLevel="0" collapsed="false">
      <c r="A74" s="0" t="n">
        <v>14</v>
      </c>
      <c r="B74" s="188" t="n">
        <v>46083.0797662336</v>
      </c>
      <c r="C74" s="188" t="n">
        <v>46083.0889791965</v>
      </c>
      <c r="D74" s="189" t="s">
        <v>275</v>
      </c>
      <c r="E74" s="189" t="s">
        <v>276</v>
      </c>
      <c r="F74" s="189" t="s">
        <v>276</v>
      </c>
      <c r="G74" s="189" t="s">
        <v>277</v>
      </c>
      <c r="H74" s="188" t="n">
        <v>46080</v>
      </c>
      <c r="I74" s="189" t="s">
        <v>113</v>
      </c>
      <c r="J74" s="189" t="s">
        <v>108</v>
      </c>
      <c r="K74" s="189" t="s">
        <v>245</v>
      </c>
      <c r="L74" s="189" t="s">
        <v>144</v>
      </c>
      <c r="M74" s="189" t="s">
        <v>279</v>
      </c>
      <c r="N74" s="189" t="s">
        <v>280</v>
      </c>
      <c r="O74" s="189" t="s">
        <v>278</v>
      </c>
      <c r="P74" s="189" t="s">
        <v>111</v>
      </c>
      <c r="Q74" s="189" t="s">
        <v>112</v>
      </c>
      <c r="R74" s="189" t="s">
        <v>24</v>
      </c>
      <c r="S74" s="189" t="s">
        <v>120</v>
      </c>
      <c r="T74" s="189" t="s">
        <v>180</v>
      </c>
      <c r="V74" s="189" t="s">
        <v>192</v>
      </c>
      <c r="W74" s="189" t="s">
        <v>124</v>
      </c>
      <c r="X74" s="189" t="s">
        <v>223</v>
      </c>
      <c r="Y74" s="189" t="s">
        <v>3069</v>
      </c>
      <c r="Z74" s="0" t="n">
        <v>1</v>
      </c>
      <c r="AA74" s="189" t="s">
        <v>3102</v>
      </c>
    </row>
    <row r="75" customFormat="false" ht="15" hidden="false" customHeight="true" outlineLevel="0" collapsed="false">
      <c r="A75" s="0" t="n">
        <v>14</v>
      </c>
      <c r="B75" s="188" t="n">
        <v>46083.0797662336</v>
      </c>
      <c r="C75" s="188" t="n">
        <v>46083.0889791965</v>
      </c>
      <c r="D75" s="189" t="s">
        <v>275</v>
      </c>
      <c r="E75" s="189" t="s">
        <v>276</v>
      </c>
      <c r="F75" s="189" t="s">
        <v>276</v>
      </c>
      <c r="G75" s="189" t="s">
        <v>277</v>
      </c>
      <c r="H75" s="188" t="n">
        <v>46080</v>
      </c>
      <c r="I75" s="189" t="s">
        <v>113</v>
      </c>
      <c r="J75" s="189" t="s">
        <v>108</v>
      </c>
      <c r="K75" s="189" t="s">
        <v>245</v>
      </c>
      <c r="L75" s="189" t="s">
        <v>144</v>
      </c>
      <c r="M75" s="189" t="s">
        <v>279</v>
      </c>
      <c r="N75" s="189" t="s">
        <v>280</v>
      </c>
      <c r="O75" s="189" t="s">
        <v>278</v>
      </c>
      <c r="P75" s="189" t="s">
        <v>111</v>
      </c>
      <c r="Q75" s="189" t="s">
        <v>112</v>
      </c>
      <c r="R75" s="189" t="s">
        <v>24</v>
      </c>
      <c r="S75" s="189" t="s">
        <v>120</v>
      </c>
      <c r="T75" s="189" t="s">
        <v>180</v>
      </c>
      <c r="V75" s="189" t="s">
        <v>192</v>
      </c>
      <c r="W75" s="189" t="s">
        <v>124</v>
      </c>
      <c r="X75" s="189" t="s">
        <v>223</v>
      </c>
      <c r="Y75" s="189" t="s">
        <v>3069</v>
      </c>
      <c r="Z75" s="0" t="n">
        <v>2</v>
      </c>
      <c r="AA75" s="189" t="s">
        <v>3101</v>
      </c>
    </row>
    <row r="76" customFormat="false" ht="15" hidden="false" customHeight="true" outlineLevel="0" collapsed="false">
      <c r="A76" s="0" t="n">
        <v>15</v>
      </c>
      <c r="B76" s="188" t="n">
        <v>46075.6147429838</v>
      </c>
      <c r="C76" s="188" t="n">
        <v>46075.6317452986</v>
      </c>
      <c r="D76" s="189" t="s">
        <v>283</v>
      </c>
      <c r="E76" s="189" t="s">
        <v>284</v>
      </c>
      <c r="F76" s="189" t="s">
        <v>284</v>
      </c>
      <c r="G76" s="189" t="s">
        <v>285</v>
      </c>
      <c r="H76" s="188" t="n">
        <v>46055</v>
      </c>
      <c r="I76" s="189" t="s">
        <v>113</v>
      </c>
      <c r="J76" s="189" t="s">
        <v>108</v>
      </c>
      <c r="K76" s="189" t="s">
        <v>143</v>
      </c>
      <c r="L76" s="189" t="s">
        <v>130</v>
      </c>
      <c r="M76" s="189" t="s">
        <v>286</v>
      </c>
      <c r="N76" s="189" t="s">
        <v>287</v>
      </c>
      <c r="O76" s="189" t="s">
        <v>244</v>
      </c>
      <c r="P76" s="189" t="s">
        <v>111</v>
      </c>
      <c r="Q76" s="189" t="s">
        <v>112</v>
      </c>
      <c r="R76" s="189" t="s">
        <v>22</v>
      </c>
      <c r="S76" s="189" t="s">
        <v>120</v>
      </c>
      <c r="T76" s="189" t="s">
        <v>121</v>
      </c>
      <c r="U76" s="189" t="s">
        <v>291</v>
      </c>
      <c r="V76" s="189" t="s">
        <v>192</v>
      </c>
      <c r="W76" s="189" t="s">
        <v>124</v>
      </c>
      <c r="X76" s="189" t="s">
        <v>148</v>
      </c>
      <c r="Y76" s="189" t="s">
        <v>3064</v>
      </c>
      <c r="Z76" s="0" t="n">
        <v>1</v>
      </c>
      <c r="AA76" s="189" t="s">
        <v>3122</v>
      </c>
    </row>
    <row r="77" customFormat="false" ht="15" hidden="false" customHeight="true" outlineLevel="0" collapsed="false">
      <c r="A77" s="0" t="n">
        <v>15</v>
      </c>
      <c r="B77" s="188" t="n">
        <v>46075.6147429838</v>
      </c>
      <c r="C77" s="188" t="n">
        <v>46075.6317452986</v>
      </c>
      <c r="D77" s="189" t="s">
        <v>283</v>
      </c>
      <c r="E77" s="189" t="s">
        <v>284</v>
      </c>
      <c r="F77" s="189" t="s">
        <v>284</v>
      </c>
      <c r="G77" s="189" t="s">
        <v>285</v>
      </c>
      <c r="H77" s="188" t="n">
        <v>46055</v>
      </c>
      <c r="I77" s="189" t="s">
        <v>113</v>
      </c>
      <c r="J77" s="189" t="s">
        <v>108</v>
      </c>
      <c r="K77" s="189" t="s">
        <v>143</v>
      </c>
      <c r="L77" s="189" t="s">
        <v>130</v>
      </c>
      <c r="M77" s="189" t="s">
        <v>286</v>
      </c>
      <c r="N77" s="189" t="s">
        <v>287</v>
      </c>
      <c r="O77" s="189" t="s">
        <v>244</v>
      </c>
      <c r="P77" s="189" t="s">
        <v>111</v>
      </c>
      <c r="Q77" s="189" t="s">
        <v>112</v>
      </c>
      <c r="R77" s="189" t="s">
        <v>22</v>
      </c>
      <c r="S77" s="189" t="s">
        <v>120</v>
      </c>
      <c r="T77" s="189" t="s">
        <v>121</v>
      </c>
      <c r="U77" s="189" t="s">
        <v>291</v>
      </c>
      <c r="V77" s="189" t="s">
        <v>192</v>
      </c>
      <c r="W77" s="189" t="s">
        <v>124</v>
      </c>
      <c r="X77" s="189" t="s">
        <v>148</v>
      </c>
      <c r="Y77" s="189" t="s">
        <v>3064</v>
      </c>
      <c r="Z77" s="0" t="n">
        <v>2</v>
      </c>
      <c r="AA77" s="189" t="s">
        <v>3092</v>
      </c>
    </row>
    <row r="78" customFormat="false" ht="15" hidden="false" customHeight="true" outlineLevel="0" collapsed="false">
      <c r="A78" s="0" t="n">
        <v>15</v>
      </c>
      <c r="B78" s="188" t="n">
        <v>46075.6147429838</v>
      </c>
      <c r="C78" s="188" t="n">
        <v>46075.6317452986</v>
      </c>
      <c r="D78" s="189" t="s">
        <v>283</v>
      </c>
      <c r="E78" s="189" t="s">
        <v>284</v>
      </c>
      <c r="F78" s="189" t="s">
        <v>284</v>
      </c>
      <c r="G78" s="189" t="s">
        <v>285</v>
      </c>
      <c r="H78" s="188" t="n">
        <v>46055</v>
      </c>
      <c r="I78" s="189" t="s">
        <v>113</v>
      </c>
      <c r="J78" s="189" t="s">
        <v>108</v>
      </c>
      <c r="K78" s="189" t="s">
        <v>143</v>
      </c>
      <c r="L78" s="189" t="s">
        <v>130</v>
      </c>
      <c r="M78" s="189" t="s">
        <v>286</v>
      </c>
      <c r="N78" s="189" t="s">
        <v>287</v>
      </c>
      <c r="O78" s="189" t="s">
        <v>244</v>
      </c>
      <c r="P78" s="189" t="s">
        <v>111</v>
      </c>
      <c r="Q78" s="189" t="s">
        <v>112</v>
      </c>
      <c r="R78" s="189" t="s">
        <v>22</v>
      </c>
      <c r="S78" s="189" t="s">
        <v>120</v>
      </c>
      <c r="T78" s="189" t="s">
        <v>121</v>
      </c>
      <c r="U78" s="189" t="s">
        <v>291</v>
      </c>
      <c r="V78" s="189" t="s">
        <v>192</v>
      </c>
      <c r="W78" s="189" t="s">
        <v>124</v>
      </c>
      <c r="X78" s="189" t="s">
        <v>148</v>
      </c>
      <c r="Y78" s="189" t="s">
        <v>3066</v>
      </c>
      <c r="Z78" s="0" t="n">
        <v>1</v>
      </c>
      <c r="AA78" s="189" t="s">
        <v>3078</v>
      </c>
    </row>
    <row r="79" customFormat="false" ht="15" hidden="false" customHeight="true" outlineLevel="0" collapsed="false">
      <c r="A79" s="0" t="n">
        <v>15</v>
      </c>
      <c r="B79" s="188" t="n">
        <v>46075.6147429838</v>
      </c>
      <c r="C79" s="188" t="n">
        <v>46075.6317452986</v>
      </c>
      <c r="D79" s="189" t="s">
        <v>283</v>
      </c>
      <c r="E79" s="189" t="s">
        <v>284</v>
      </c>
      <c r="F79" s="189" t="s">
        <v>284</v>
      </c>
      <c r="G79" s="189" t="s">
        <v>285</v>
      </c>
      <c r="H79" s="188" t="n">
        <v>46055</v>
      </c>
      <c r="I79" s="189" t="s">
        <v>113</v>
      </c>
      <c r="J79" s="189" t="s">
        <v>108</v>
      </c>
      <c r="K79" s="189" t="s">
        <v>143</v>
      </c>
      <c r="L79" s="189" t="s">
        <v>130</v>
      </c>
      <c r="M79" s="189" t="s">
        <v>286</v>
      </c>
      <c r="N79" s="189" t="s">
        <v>287</v>
      </c>
      <c r="O79" s="189" t="s">
        <v>244</v>
      </c>
      <c r="P79" s="189" t="s">
        <v>111</v>
      </c>
      <c r="Q79" s="189" t="s">
        <v>112</v>
      </c>
      <c r="R79" s="189" t="s">
        <v>22</v>
      </c>
      <c r="S79" s="189" t="s">
        <v>120</v>
      </c>
      <c r="T79" s="189" t="s">
        <v>121</v>
      </c>
      <c r="U79" s="189" t="s">
        <v>291</v>
      </c>
      <c r="V79" s="189" t="s">
        <v>192</v>
      </c>
      <c r="W79" s="189" t="s">
        <v>124</v>
      </c>
      <c r="X79" s="189" t="s">
        <v>148</v>
      </c>
      <c r="Y79" s="189" t="s">
        <v>3066</v>
      </c>
      <c r="Z79" s="0" t="n">
        <v>2</v>
      </c>
      <c r="AA79" s="189" t="s">
        <v>122</v>
      </c>
    </row>
    <row r="80" customFormat="false" ht="15" hidden="false" customHeight="true" outlineLevel="0" collapsed="false">
      <c r="A80" s="0" t="n">
        <v>15</v>
      </c>
      <c r="B80" s="188" t="n">
        <v>46075.6147429838</v>
      </c>
      <c r="C80" s="188" t="n">
        <v>46075.6317452986</v>
      </c>
      <c r="D80" s="189" t="s">
        <v>283</v>
      </c>
      <c r="E80" s="189" t="s">
        <v>284</v>
      </c>
      <c r="F80" s="189" t="s">
        <v>284</v>
      </c>
      <c r="G80" s="189" t="s">
        <v>285</v>
      </c>
      <c r="H80" s="188" t="n">
        <v>46055</v>
      </c>
      <c r="I80" s="189" t="s">
        <v>113</v>
      </c>
      <c r="J80" s="189" t="s">
        <v>108</v>
      </c>
      <c r="K80" s="189" t="s">
        <v>143</v>
      </c>
      <c r="L80" s="189" t="s">
        <v>130</v>
      </c>
      <c r="M80" s="189" t="s">
        <v>286</v>
      </c>
      <c r="N80" s="189" t="s">
        <v>287</v>
      </c>
      <c r="O80" s="189" t="s">
        <v>244</v>
      </c>
      <c r="P80" s="189" t="s">
        <v>111</v>
      </c>
      <c r="Q80" s="189" t="s">
        <v>112</v>
      </c>
      <c r="R80" s="189" t="s">
        <v>22</v>
      </c>
      <c r="S80" s="189" t="s">
        <v>120</v>
      </c>
      <c r="T80" s="189" t="s">
        <v>121</v>
      </c>
      <c r="U80" s="189" t="s">
        <v>291</v>
      </c>
      <c r="V80" s="189" t="s">
        <v>192</v>
      </c>
      <c r="W80" s="189" t="s">
        <v>124</v>
      </c>
      <c r="X80" s="189" t="s">
        <v>148</v>
      </c>
      <c r="Y80" s="189" t="s">
        <v>3069</v>
      </c>
      <c r="Z80" s="0" t="n">
        <v>1</v>
      </c>
      <c r="AA80" s="189" t="s">
        <v>3094</v>
      </c>
    </row>
    <row r="81" customFormat="false" ht="15" hidden="false" customHeight="true" outlineLevel="0" collapsed="false">
      <c r="A81" s="0" t="n">
        <v>16</v>
      </c>
      <c r="B81" s="188" t="n">
        <v>46082.676953572</v>
      </c>
      <c r="C81" s="188" t="n">
        <v>46082.6915484794</v>
      </c>
      <c r="D81" s="189" t="s">
        <v>292</v>
      </c>
      <c r="E81" s="189" t="s">
        <v>293</v>
      </c>
      <c r="F81" s="189" t="s">
        <v>293</v>
      </c>
      <c r="G81" s="189" t="s">
        <v>294</v>
      </c>
      <c r="H81" s="188" t="n">
        <v>46079</v>
      </c>
      <c r="I81" s="189" t="s">
        <v>113</v>
      </c>
      <c r="J81" s="189" t="s">
        <v>295</v>
      </c>
      <c r="K81" s="189" t="s">
        <v>257</v>
      </c>
      <c r="L81" s="189" t="s">
        <v>296</v>
      </c>
      <c r="M81" s="189" t="s">
        <v>174</v>
      </c>
      <c r="N81" s="189" t="s">
        <v>297</v>
      </c>
      <c r="O81" s="189" t="s">
        <v>172</v>
      </c>
      <c r="P81" s="189" t="s">
        <v>111</v>
      </c>
      <c r="Q81" s="189" t="s">
        <v>145</v>
      </c>
      <c r="R81" s="189" t="s">
        <v>22</v>
      </c>
      <c r="S81" s="189" t="s">
        <v>152</v>
      </c>
      <c r="T81" s="189" t="s">
        <v>121</v>
      </c>
      <c r="U81" s="189" t="s">
        <v>122</v>
      </c>
      <c r="V81" s="189" t="s">
        <v>123</v>
      </c>
      <c r="W81" s="189" t="s">
        <v>124</v>
      </c>
      <c r="X81" s="189" t="s">
        <v>298</v>
      </c>
      <c r="Y81" s="189" t="s">
        <v>3064</v>
      </c>
      <c r="Z81" s="0" t="n">
        <v>1</v>
      </c>
      <c r="AA81" s="189" t="s">
        <v>3123</v>
      </c>
    </row>
    <row r="82" customFormat="false" ht="15" hidden="false" customHeight="true" outlineLevel="0" collapsed="false">
      <c r="A82" s="0" t="n">
        <v>16</v>
      </c>
      <c r="B82" s="188" t="n">
        <v>46082.676953572</v>
      </c>
      <c r="C82" s="188" t="n">
        <v>46082.6915484794</v>
      </c>
      <c r="D82" s="189" t="s">
        <v>292</v>
      </c>
      <c r="E82" s="189" t="s">
        <v>293</v>
      </c>
      <c r="F82" s="189" t="s">
        <v>293</v>
      </c>
      <c r="G82" s="189" t="s">
        <v>294</v>
      </c>
      <c r="H82" s="188" t="n">
        <v>46079</v>
      </c>
      <c r="I82" s="189" t="s">
        <v>113</v>
      </c>
      <c r="J82" s="189" t="s">
        <v>295</v>
      </c>
      <c r="K82" s="189" t="s">
        <v>257</v>
      </c>
      <c r="L82" s="189" t="s">
        <v>296</v>
      </c>
      <c r="M82" s="189" t="s">
        <v>174</v>
      </c>
      <c r="N82" s="189" t="s">
        <v>297</v>
      </c>
      <c r="O82" s="189" t="s">
        <v>172</v>
      </c>
      <c r="P82" s="189" t="s">
        <v>111</v>
      </c>
      <c r="Q82" s="189" t="s">
        <v>145</v>
      </c>
      <c r="R82" s="189" t="s">
        <v>22</v>
      </c>
      <c r="S82" s="189" t="s">
        <v>152</v>
      </c>
      <c r="T82" s="189" t="s">
        <v>121</v>
      </c>
      <c r="U82" s="189" t="s">
        <v>122</v>
      </c>
      <c r="V82" s="189" t="s">
        <v>123</v>
      </c>
      <c r="W82" s="189" t="s">
        <v>124</v>
      </c>
      <c r="X82" s="189" t="s">
        <v>298</v>
      </c>
      <c r="Y82" s="189" t="s">
        <v>3064</v>
      </c>
      <c r="Z82" s="0" t="n">
        <v>2</v>
      </c>
      <c r="AA82" s="189" t="s">
        <v>3124</v>
      </c>
    </row>
    <row r="83" customFormat="false" ht="15" hidden="false" customHeight="true" outlineLevel="0" collapsed="false">
      <c r="A83" s="0" t="n">
        <v>16</v>
      </c>
      <c r="B83" s="188" t="n">
        <v>46082.676953572</v>
      </c>
      <c r="C83" s="188" t="n">
        <v>46082.6915484794</v>
      </c>
      <c r="D83" s="189" t="s">
        <v>292</v>
      </c>
      <c r="E83" s="189" t="s">
        <v>293</v>
      </c>
      <c r="F83" s="189" t="s">
        <v>293</v>
      </c>
      <c r="G83" s="189" t="s">
        <v>294</v>
      </c>
      <c r="H83" s="188" t="n">
        <v>46079</v>
      </c>
      <c r="I83" s="189" t="s">
        <v>113</v>
      </c>
      <c r="J83" s="189" t="s">
        <v>295</v>
      </c>
      <c r="K83" s="189" t="s">
        <v>257</v>
      </c>
      <c r="L83" s="189" t="s">
        <v>296</v>
      </c>
      <c r="M83" s="189" t="s">
        <v>174</v>
      </c>
      <c r="N83" s="189" t="s">
        <v>297</v>
      </c>
      <c r="O83" s="189" t="s">
        <v>172</v>
      </c>
      <c r="P83" s="189" t="s">
        <v>111</v>
      </c>
      <c r="Q83" s="189" t="s">
        <v>145</v>
      </c>
      <c r="R83" s="189" t="s">
        <v>22</v>
      </c>
      <c r="S83" s="189" t="s">
        <v>152</v>
      </c>
      <c r="T83" s="189" t="s">
        <v>121</v>
      </c>
      <c r="U83" s="189" t="s">
        <v>122</v>
      </c>
      <c r="V83" s="189" t="s">
        <v>123</v>
      </c>
      <c r="W83" s="189" t="s">
        <v>124</v>
      </c>
      <c r="X83" s="189" t="s">
        <v>298</v>
      </c>
      <c r="Y83" s="189" t="s">
        <v>3064</v>
      </c>
      <c r="Z83" s="0" t="n">
        <v>3</v>
      </c>
      <c r="AA83" s="189" t="s">
        <v>3125</v>
      </c>
    </row>
    <row r="84" customFormat="false" ht="15" hidden="false" customHeight="true" outlineLevel="0" collapsed="false">
      <c r="A84" s="0" t="n">
        <v>16</v>
      </c>
      <c r="B84" s="188" t="n">
        <v>46082.676953572</v>
      </c>
      <c r="C84" s="188" t="n">
        <v>46082.6915484794</v>
      </c>
      <c r="D84" s="189" t="s">
        <v>292</v>
      </c>
      <c r="E84" s="189" t="s">
        <v>293</v>
      </c>
      <c r="F84" s="189" t="s">
        <v>293</v>
      </c>
      <c r="G84" s="189" t="s">
        <v>294</v>
      </c>
      <c r="H84" s="188" t="n">
        <v>46079</v>
      </c>
      <c r="I84" s="189" t="s">
        <v>113</v>
      </c>
      <c r="J84" s="189" t="s">
        <v>295</v>
      </c>
      <c r="K84" s="189" t="s">
        <v>257</v>
      </c>
      <c r="L84" s="189" t="s">
        <v>296</v>
      </c>
      <c r="M84" s="189" t="s">
        <v>174</v>
      </c>
      <c r="N84" s="189" t="s">
        <v>297</v>
      </c>
      <c r="O84" s="189" t="s">
        <v>172</v>
      </c>
      <c r="P84" s="189" t="s">
        <v>111</v>
      </c>
      <c r="Q84" s="189" t="s">
        <v>145</v>
      </c>
      <c r="R84" s="189" t="s">
        <v>22</v>
      </c>
      <c r="S84" s="189" t="s">
        <v>152</v>
      </c>
      <c r="T84" s="189" t="s">
        <v>121</v>
      </c>
      <c r="U84" s="189" t="s">
        <v>122</v>
      </c>
      <c r="V84" s="189" t="s">
        <v>123</v>
      </c>
      <c r="W84" s="189" t="s">
        <v>124</v>
      </c>
      <c r="X84" s="189" t="s">
        <v>298</v>
      </c>
      <c r="Y84" s="189" t="s">
        <v>3066</v>
      </c>
      <c r="Z84" s="0" t="n">
        <v>1</v>
      </c>
      <c r="AA84" s="189" t="s">
        <v>3126</v>
      </c>
    </row>
    <row r="85" customFormat="false" ht="15" hidden="false" customHeight="true" outlineLevel="0" collapsed="false">
      <c r="A85" s="0" t="n">
        <v>16</v>
      </c>
      <c r="B85" s="188" t="n">
        <v>46082.676953572</v>
      </c>
      <c r="C85" s="188" t="n">
        <v>46082.6915484794</v>
      </c>
      <c r="D85" s="189" t="s">
        <v>292</v>
      </c>
      <c r="E85" s="189" t="s">
        <v>293</v>
      </c>
      <c r="F85" s="189" t="s">
        <v>293</v>
      </c>
      <c r="G85" s="189" t="s">
        <v>294</v>
      </c>
      <c r="H85" s="188" t="n">
        <v>46079</v>
      </c>
      <c r="I85" s="189" t="s">
        <v>113</v>
      </c>
      <c r="J85" s="189" t="s">
        <v>295</v>
      </c>
      <c r="K85" s="189" t="s">
        <v>257</v>
      </c>
      <c r="L85" s="189" t="s">
        <v>296</v>
      </c>
      <c r="M85" s="189" t="s">
        <v>174</v>
      </c>
      <c r="N85" s="189" t="s">
        <v>297</v>
      </c>
      <c r="O85" s="189" t="s">
        <v>172</v>
      </c>
      <c r="P85" s="189" t="s">
        <v>111</v>
      </c>
      <c r="Q85" s="189" t="s">
        <v>145</v>
      </c>
      <c r="R85" s="189" t="s">
        <v>22</v>
      </c>
      <c r="S85" s="189" t="s">
        <v>152</v>
      </c>
      <c r="T85" s="189" t="s">
        <v>121</v>
      </c>
      <c r="U85" s="189" t="s">
        <v>122</v>
      </c>
      <c r="V85" s="189" t="s">
        <v>123</v>
      </c>
      <c r="W85" s="189" t="s">
        <v>124</v>
      </c>
      <c r="X85" s="189" t="s">
        <v>298</v>
      </c>
      <c r="Y85" s="189" t="s">
        <v>3069</v>
      </c>
      <c r="Z85" s="0" t="n">
        <v>1</v>
      </c>
      <c r="AA85" s="189" t="s">
        <v>3127</v>
      </c>
    </row>
    <row r="86" customFormat="false" ht="15" hidden="false" customHeight="true" outlineLevel="0" collapsed="false">
      <c r="A86" s="0" t="n">
        <v>16</v>
      </c>
      <c r="B86" s="188" t="n">
        <v>46082.676953572</v>
      </c>
      <c r="C86" s="188" t="n">
        <v>46082.6915484794</v>
      </c>
      <c r="D86" s="189" t="s">
        <v>292</v>
      </c>
      <c r="E86" s="189" t="s">
        <v>293</v>
      </c>
      <c r="F86" s="189" t="s">
        <v>293</v>
      </c>
      <c r="G86" s="189" t="s">
        <v>294</v>
      </c>
      <c r="H86" s="188" t="n">
        <v>46079</v>
      </c>
      <c r="I86" s="189" t="s">
        <v>113</v>
      </c>
      <c r="J86" s="189" t="s">
        <v>295</v>
      </c>
      <c r="K86" s="189" t="s">
        <v>257</v>
      </c>
      <c r="L86" s="189" t="s">
        <v>296</v>
      </c>
      <c r="M86" s="189" t="s">
        <v>174</v>
      </c>
      <c r="N86" s="189" t="s">
        <v>297</v>
      </c>
      <c r="O86" s="189" t="s">
        <v>172</v>
      </c>
      <c r="P86" s="189" t="s">
        <v>111</v>
      </c>
      <c r="Q86" s="189" t="s">
        <v>145</v>
      </c>
      <c r="R86" s="189" t="s">
        <v>22</v>
      </c>
      <c r="S86" s="189" t="s">
        <v>152</v>
      </c>
      <c r="T86" s="189" t="s">
        <v>121</v>
      </c>
      <c r="U86" s="189" t="s">
        <v>122</v>
      </c>
      <c r="V86" s="189" t="s">
        <v>123</v>
      </c>
      <c r="W86" s="189" t="s">
        <v>124</v>
      </c>
      <c r="X86" s="189" t="s">
        <v>298</v>
      </c>
      <c r="Y86" s="189" t="s">
        <v>3069</v>
      </c>
      <c r="Z86" s="0" t="n">
        <v>2</v>
      </c>
      <c r="AA86" s="189" t="s">
        <v>3128</v>
      </c>
    </row>
    <row r="87" customFormat="false" ht="15" hidden="false" customHeight="true" outlineLevel="0" collapsed="false">
      <c r="A87" s="0" t="n">
        <v>17</v>
      </c>
      <c r="B87" s="188" t="n">
        <v>46153.4395540785</v>
      </c>
      <c r="C87" s="188" t="n">
        <v>46153.4500170415</v>
      </c>
      <c r="D87" s="189" t="s">
        <v>302</v>
      </c>
      <c r="E87" s="189" t="s">
        <v>303</v>
      </c>
      <c r="F87" s="189" t="s">
        <v>303</v>
      </c>
      <c r="G87" s="189" t="s">
        <v>304</v>
      </c>
      <c r="H87" s="188" t="n">
        <v>46147</v>
      </c>
      <c r="I87" s="189" t="s">
        <v>305</v>
      </c>
      <c r="J87" s="189" t="s">
        <v>108</v>
      </c>
      <c r="K87" s="189" t="s">
        <v>245</v>
      </c>
      <c r="L87" s="189" t="s">
        <v>197</v>
      </c>
      <c r="M87" s="189" t="s">
        <v>185</v>
      </c>
      <c r="N87" s="189" t="s">
        <v>306</v>
      </c>
      <c r="O87" s="189" t="s">
        <v>107</v>
      </c>
      <c r="P87" s="189" t="s">
        <v>111</v>
      </c>
      <c r="Q87" s="189" t="s">
        <v>112</v>
      </c>
      <c r="R87" s="189" t="s">
        <v>21</v>
      </c>
      <c r="S87" s="189" t="s">
        <v>152</v>
      </c>
      <c r="T87" s="189" t="s">
        <v>121</v>
      </c>
      <c r="V87" s="189" t="s">
        <v>192</v>
      </c>
      <c r="W87" s="189" t="s">
        <v>124</v>
      </c>
      <c r="X87" s="189" t="s">
        <v>307</v>
      </c>
      <c r="Y87" s="189" t="s">
        <v>3064</v>
      </c>
      <c r="Z87" s="0" t="n">
        <v>1</v>
      </c>
      <c r="AA87" s="189" t="s">
        <v>3129</v>
      </c>
    </row>
    <row r="88" customFormat="false" ht="15" hidden="false" customHeight="true" outlineLevel="0" collapsed="false">
      <c r="A88" s="0" t="n">
        <v>17</v>
      </c>
      <c r="B88" s="188" t="n">
        <v>46153.4395540785</v>
      </c>
      <c r="C88" s="188" t="n">
        <v>46153.4500170415</v>
      </c>
      <c r="D88" s="189" t="s">
        <v>302</v>
      </c>
      <c r="E88" s="189" t="s">
        <v>303</v>
      </c>
      <c r="F88" s="189" t="s">
        <v>303</v>
      </c>
      <c r="G88" s="189" t="s">
        <v>304</v>
      </c>
      <c r="H88" s="188" t="n">
        <v>46147</v>
      </c>
      <c r="I88" s="189" t="s">
        <v>305</v>
      </c>
      <c r="J88" s="189" t="s">
        <v>108</v>
      </c>
      <c r="K88" s="189" t="s">
        <v>245</v>
      </c>
      <c r="L88" s="189" t="s">
        <v>197</v>
      </c>
      <c r="M88" s="189" t="s">
        <v>185</v>
      </c>
      <c r="N88" s="189" t="s">
        <v>306</v>
      </c>
      <c r="O88" s="189" t="s">
        <v>107</v>
      </c>
      <c r="P88" s="189" t="s">
        <v>111</v>
      </c>
      <c r="Q88" s="189" t="s">
        <v>112</v>
      </c>
      <c r="R88" s="189" t="s">
        <v>21</v>
      </c>
      <c r="S88" s="189" t="s">
        <v>152</v>
      </c>
      <c r="T88" s="189" t="s">
        <v>121</v>
      </c>
      <c r="V88" s="189" t="s">
        <v>192</v>
      </c>
      <c r="W88" s="189" t="s">
        <v>124</v>
      </c>
      <c r="X88" s="189" t="s">
        <v>307</v>
      </c>
      <c r="Y88" s="189" t="s">
        <v>3064</v>
      </c>
      <c r="Z88" s="0" t="n">
        <v>2</v>
      </c>
      <c r="AA88" s="189" t="s">
        <v>3130</v>
      </c>
    </row>
    <row r="89" customFormat="false" ht="15" hidden="false" customHeight="true" outlineLevel="0" collapsed="false">
      <c r="A89" s="0" t="n">
        <v>17</v>
      </c>
      <c r="B89" s="188" t="n">
        <v>46153.4395540785</v>
      </c>
      <c r="C89" s="188" t="n">
        <v>46153.4500170415</v>
      </c>
      <c r="D89" s="189" t="s">
        <v>302</v>
      </c>
      <c r="E89" s="189" t="s">
        <v>303</v>
      </c>
      <c r="F89" s="189" t="s">
        <v>303</v>
      </c>
      <c r="G89" s="189" t="s">
        <v>304</v>
      </c>
      <c r="H89" s="188" t="n">
        <v>46147</v>
      </c>
      <c r="I89" s="189" t="s">
        <v>305</v>
      </c>
      <c r="J89" s="189" t="s">
        <v>108</v>
      </c>
      <c r="K89" s="189" t="s">
        <v>245</v>
      </c>
      <c r="L89" s="189" t="s">
        <v>197</v>
      </c>
      <c r="M89" s="189" t="s">
        <v>185</v>
      </c>
      <c r="N89" s="189" t="s">
        <v>306</v>
      </c>
      <c r="O89" s="189" t="s">
        <v>107</v>
      </c>
      <c r="P89" s="189" t="s">
        <v>111</v>
      </c>
      <c r="Q89" s="189" t="s">
        <v>112</v>
      </c>
      <c r="R89" s="189" t="s">
        <v>21</v>
      </c>
      <c r="S89" s="189" t="s">
        <v>152</v>
      </c>
      <c r="T89" s="189" t="s">
        <v>121</v>
      </c>
      <c r="V89" s="189" t="s">
        <v>192</v>
      </c>
      <c r="W89" s="189" t="s">
        <v>124</v>
      </c>
      <c r="X89" s="189" t="s">
        <v>307</v>
      </c>
      <c r="Y89" s="189" t="s">
        <v>3064</v>
      </c>
      <c r="Z89" s="0" t="n">
        <v>3</v>
      </c>
      <c r="AA89" s="189" t="s">
        <v>3131</v>
      </c>
    </row>
    <row r="90" customFormat="false" ht="15" hidden="false" customHeight="true" outlineLevel="0" collapsed="false">
      <c r="A90" s="0" t="n">
        <v>17</v>
      </c>
      <c r="B90" s="188" t="n">
        <v>46153.4395540785</v>
      </c>
      <c r="C90" s="188" t="n">
        <v>46153.4500170415</v>
      </c>
      <c r="D90" s="189" t="s">
        <v>302</v>
      </c>
      <c r="E90" s="189" t="s">
        <v>303</v>
      </c>
      <c r="F90" s="189" t="s">
        <v>303</v>
      </c>
      <c r="G90" s="189" t="s">
        <v>304</v>
      </c>
      <c r="H90" s="188" t="n">
        <v>46147</v>
      </c>
      <c r="I90" s="189" t="s">
        <v>305</v>
      </c>
      <c r="J90" s="189" t="s">
        <v>108</v>
      </c>
      <c r="K90" s="189" t="s">
        <v>245</v>
      </c>
      <c r="L90" s="189" t="s">
        <v>197</v>
      </c>
      <c r="M90" s="189" t="s">
        <v>185</v>
      </c>
      <c r="N90" s="189" t="s">
        <v>306</v>
      </c>
      <c r="O90" s="189" t="s">
        <v>107</v>
      </c>
      <c r="P90" s="189" t="s">
        <v>111</v>
      </c>
      <c r="Q90" s="189" t="s">
        <v>112</v>
      </c>
      <c r="R90" s="189" t="s">
        <v>21</v>
      </c>
      <c r="S90" s="189" t="s">
        <v>152</v>
      </c>
      <c r="T90" s="189" t="s">
        <v>121</v>
      </c>
      <c r="V90" s="189" t="s">
        <v>192</v>
      </c>
      <c r="W90" s="189" t="s">
        <v>124</v>
      </c>
      <c r="X90" s="189" t="s">
        <v>307</v>
      </c>
      <c r="Y90" s="189" t="s">
        <v>3066</v>
      </c>
      <c r="Z90" s="0" t="n">
        <v>1</v>
      </c>
      <c r="AA90" s="189" t="s">
        <v>3132</v>
      </c>
    </row>
    <row r="91" customFormat="false" ht="15" hidden="false" customHeight="true" outlineLevel="0" collapsed="false">
      <c r="A91" s="0" t="n">
        <v>17</v>
      </c>
      <c r="B91" s="188" t="n">
        <v>46153.4395540785</v>
      </c>
      <c r="C91" s="188" t="n">
        <v>46153.4500170415</v>
      </c>
      <c r="D91" s="189" t="s">
        <v>302</v>
      </c>
      <c r="E91" s="189" t="s">
        <v>303</v>
      </c>
      <c r="F91" s="189" t="s">
        <v>303</v>
      </c>
      <c r="G91" s="189" t="s">
        <v>304</v>
      </c>
      <c r="H91" s="188" t="n">
        <v>46147</v>
      </c>
      <c r="I91" s="189" t="s">
        <v>305</v>
      </c>
      <c r="J91" s="189" t="s">
        <v>108</v>
      </c>
      <c r="K91" s="189" t="s">
        <v>245</v>
      </c>
      <c r="L91" s="189" t="s">
        <v>197</v>
      </c>
      <c r="M91" s="189" t="s">
        <v>185</v>
      </c>
      <c r="N91" s="189" t="s">
        <v>306</v>
      </c>
      <c r="O91" s="189" t="s">
        <v>107</v>
      </c>
      <c r="P91" s="189" t="s">
        <v>111</v>
      </c>
      <c r="Q91" s="189" t="s">
        <v>112</v>
      </c>
      <c r="R91" s="189" t="s">
        <v>21</v>
      </c>
      <c r="S91" s="189" t="s">
        <v>152</v>
      </c>
      <c r="T91" s="189" t="s">
        <v>121</v>
      </c>
      <c r="V91" s="189" t="s">
        <v>192</v>
      </c>
      <c r="W91" s="189" t="s">
        <v>124</v>
      </c>
      <c r="X91" s="189" t="s">
        <v>307</v>
      </c>
      <c r="Y91" s="189" t="s">
        <v>3066</v>
      </c>
      <c r="Z91" s="0" t="n">
        <v>2</v>
      </c>
      <c r="AA91" s="189" t="s">
        <v>1174</v>
      </c>
    </row>
    <row r="92" customFormat="false" ht="15" hidden="false" customHeight="true" outlineLevel="0" collapsed="false">
      <c r="A92" s="0" t="n">
        <v>17</v>
      </c>
      <c r="B92" s="188" t="n">
        <v>46153.4395540785</v>
      </c>
      <c r="C92" s="188" t="n">
        <v>46153.4500170415</v>
      </c>
      <c r="D92" s="189" t="s">
        <v>302</v>
      </c>
      <c r="E92" s="189" t="s">
        <v>303</v>
      </c>
      <c r="F92" s="189" t="s">
        <v>303</v>
      </c>
      <c r="G92" s="189" t="s">
        <v>304</v>
      </c>
      <c r="H92" s="188" t="n">
        <v>46147</v>
      </c>
      <c r="I92" s="189" t="s">
        <v>305</v>
      </c>
      <c r="J92" s="189" t="s">
        <v>108</v>
      </c>
      <c r="K92" s="189" t="s">
        <v>245</v>
      </c>
      <c r="L92" s="189" t="s">
        <v>197</v>
      </c>
      <c r="M92" s="189" t="s">
        <v>185</v>
      </c>
      <c r="N92" s="189" t="s">
        <v>306</v>
      </c>
      <c r="O92" s="189" t="s">
        <v>107</v>
      </c>
      <c r="P92" s="189" t="s">
        <v>111</v>
      </c>
      <c r="Q92" s="189" t="s">
        <v>112</v>
      </c>
      <c r="R92" s="189" t="s">
        <v>21</v>
      </c>
      <c r="S92" s="189" t="s">
        <v>152</v>
      </c>
      <c r="T92" s="189" t="s">
        <v>121</v>
      </c>
      <c r="V92" s="189" t="s">
        <v>192</v>
      </c>
      <c r="W92" s="189" t="s">
        <v>124</v>
      </c>
      <c r="X92" s="189" t="s">
        <v>307</v>
      </c>
      <c r="Y92" s="189" t="s">
        <v>3069</v>
      </c>
      <c r="Z92" s="0" t="n">
        <v>1</v>
      </c>
      <c r="AA92" s="189" t="s">
        <v>3133</v>
      </c>
    </row>
    <row r="93" customFormat="false" ht="15" hidden="false" customHeight="true" outlineLevel="0" collapsed="false">
      <c r="A93" s="0" t="n">
        <v>17</v>
      </c>
      <c r="B93" s="188" t="n">
        <v>46153.4395540785</v>
      </c>
      <c r="C93" s="188" t="n">
        <v>46153.4500170415</v>
      </c>
      <c r="D93" s="189" t="s">
        <v>302</v>
      </c>
      <c r="E93" s="189" t="s">
        <v>303</v>
      </c>
      <c r="F93" s="189" t="s">
        <v>303</v>
      </c>
      <c r="G93" s="189" t="s">
        <v>304</v>
      </c>
      <c r="H93" s="188" t="n">
        <v>46147</v>
      </c>
      <c r="I93" s="189" t="s">
        <v>305</v>
      </c>
      <c r="J93" s="189" t="s">
        <v>108</v>
      </c>
      <c r="K93" s="189" t="s">
        <v>245</v>
      </c>
      <c r="L93" s="189" t="s">
        <v>197</v>
      </c>
      <c r="M93" s="189" t="s">
        <v>185</v>
      </c>
      <c r="N93" s="189" t="s">
        <v>306</v>
      </c>
      <c r="O93" s="189" t="s">
        <v>107</v>
      </c>
      <c r="P93" s="189" t="s">
        <v>111</v>
      </c>
      <c r="Q93" s="189" t="s">
        <v>112</v>
      </c>
      <c r="R93" s="189" t="s">
        <v>21</v>
      </c>
      <c r="S93" s="189" t="s">
        <v>152</v>
      </c>
      <c r="T93" s="189" t="s">
        <v>121</v>
      </c>
      <c r="V93" s="189" t="s">
        <v>192</v>
      </c>
      <c r="W93" s="189" t="s">
        <v>124</v>
      </c>
      <c r="X93" s="189" t="s">
        <v>307</v>
      </c>
      <c r="Y93" s="189" t="s">
        <v>3069</v>
      </c>
      <c r="Z93" s="0" t="n">
        <v>2</v>
      </c>
      <c r="AA93" s="189" t="s">
        <v>3134</v>
      </c>
    </row>
    <row r="94" customFormat="false" ht="15" hidden="false" customHeight="true" outlineLevel="0" collapsed="false">
      <c r="A94" s="0" t="n">
        <v>18</v>
      </c>
      <c r="B94" s="188" t="n">
        <v>46082.1548168781</v>
      </c>
      <c r="C94" s="188" t="n">
        <v>46082.1709511374</v>
      </c>
      <c r="D94" s="189" t="s">
        <v>311</v>
      </c>
      <c r="E94" s="189" t="s">
        <v>312</v>
      </c>
      <c r="F94" s="189" t="s">
        <v>313</v>
      </c>
      <c r="G94" s="189" t="s">
        <v>314</v>
      </c>
      <c r="H94" s="188" t="n">
        <v>46070</v>
      </c>
      <c r="I94" s="189" t="s">
        <v>113</v>
      </c>
      <c r="J94" s="189" t="s">
        <v>295</v>
      </c>
      <c r="K94" s="189" t="s">
        <v>315</v>
      </c>
      <c r="L94" s="189" t="s">
        <v>159</v>
      </c>
      <c r="M94" s="189" t="s">
        <v>212</v>
      </c>
      <c r="N94" s="189" t="s">
        <v>316</v>
      </c>
      <c r="O94" s="189" t="s">
        <v>244</v>
      </c>
      <c r="P94" s="189" t="s">
        <v>111</v>
      </c>
      <c r="Q94" s="189" t="s">
        <v>112</v>
      </c>
      <c r="R94" s="189" t="s">
        <v>22</v>
      </c>
      <c r="S94" s="189" t="s">
        <v>320</v>
      </c>
      <c r="T94" s="189" t="s">
        <v>121</v>
      </c>
      <c r="U94" s="189" t="s">
        <v>321</v>
      </c>
      <c r="V94" s="189" t="s">
        <v>123</v>
      </c>
      <c r="W94" s="189" t="s">
        <v>124</v>
      </c>
      <c r="X94" s="189" t="s">
        <v>271</v>
      </c>
      <c r="Y94" s="189" t="s">
        <v>3064</v>
      </c>
      <c r="Z94" s="0" t="n">
        <v>1</v>
      </c>
      <c r="AA94" s="189" t="s">
        <v>3135</v>
      </c>
    </row>
    <row r="95" customFormat="false" ht="15" hidden="false" customHeight="true" outlineLevel="0" collapsed="false">
      <c r="A95" s="0" t="n">
        <v>18</v>
      </c>
      <c r="B95" s="188" t="n">
        <v>46082.1548168781</v>
      </c>
      <c r="C95" s="188" t="n">
        <v>46082.1709511374</v>
      </c>
      <c r="D95" s="189" t="s">
        <v>311</v>
      </c>
      <c r="E95" s="189" t="s">
        <v>312</v>
      </c>
      <c r="F95" s="189" t="s">
        <v>313</v>
      </c>
      <c r="G95" s="189" t="s">
        <v>314</v>
      </c>
      <c r="H95" s="188" t="n">
        <v>46070</v>
      </c>
      <c r="I95" s="189" t="s">
        <v>113</v>
      </c>
      <c r="J95" s="189" t="s">
        <v>295</v>
      </c>
      <c r="K95" s="189" t="s">
        <v>315</v>
      </c>
      <c r="L95" s="189" t="s">
        <v>159</v>
      </c>
      <c r="M95" s="189" t="s">
        <v>212</v>
      </c>
      <c r="N95" s="189" t="s">
        <v>316</v>
      </c>
      <c r="O95" s="189" t="s">
        <v>244</v>
      </c>
      <c r="P95" s="189" t="s">
        <v>111</v>
      </c>
      <c r="Q95" s="189" t="s">
        <v>112</v>
      </c>
      <c r="R95" s="189" t="s">
        <v>22</v>
      </c>
      <c r="S95" s="189" t="s">
        <v>320</v>
      </c>
      <c r="T95" s="189" t="s">
        <v>121</v>
      </c>
      <c r="U95" s="189" t="s">
        <v>321</v>
      </c>
      <c r="V95" s="189" t="s">
        <v>123</v>
      </c>
      <c r="W95" s="189" t="s">
        <v>124</v>
      </c>
      <c r="X95" s="189" t="s">
        <v>271</v>
      </c>
      <c r="Y95" s="189" t="s">
        <v>3064</v>
      </c>
      <c r="Z95" s="0" t="n">
        <v>2</v>
      </c>
      <c r="AA95" s="189" t="s">
        <v>3136</v>
      </c>
    </row>
    <row r="96" customFormat="false" ht="15" hidden="false" customHeight="true" outlineLevel="0" collapsed="false">
      <c r="A96" s="0" t="n">
        <v>18</v>
      </c>
      <c r="B96" s="188" t="n">
        <v>46082.1548168781</v>
      </c>
      <c r="C96" s="188" t="n">
        <v>46082.1709511374</v>
      </c>
      <c r="D96" s="189" t="s">
        <v>311</v>
      </c>
      <c r="E96" s="189" t="s">
        <v>312</v>
      </c>
      <c r="F96" s="189" t="s">
        <v>313</v>
      </c>
      <c r="G96" s="189" t="s">
        <v>314</v>
      </c>
      <c r="H96" s="188" t="n">
        <v>46070</v>
      </c>
      <c r="I96" s="189" t="s">
        <v>113</v>
      </c>
      <c r="J96" s="189" t="s">
        <v>295</v>
      </c>
      <c r="K96" s="189" t="s">
        <v>315</v>
      </c>
      <c r="L96" s="189" t="s">
        <v>159</v>
      </c>
      <c r="M96" s="189" t="s">
        <v>212</v>
      </c>
      <c r="N96" s="189" t="s">
        <v>316</v>
      </c>
      <c r="O96" s="189" t="s">
        <v>244</v>
      </c>
      <c r="P96" s="189" t="s">
        <v>111</v>
      </c>
      <c r="Q96" s="189" t="s">
        <v>112</v>
      </c>
      <c r="R96" s="189" t="s">
        <v>22</v>
      </c>
      <c r="S96" s="189" t="s">
        <v>320</v>
      </c>
      <c r="T96" s="189" t="s">
        <v>121</v>
      </c>
      <c r="U96" s="189" t="s">
        <v>321</v>
      </c>
      <c r="V96" s="189" t="s">
        <v>123</v>
      </c>
      <c r="W96" s="189" t="s">
        <v>124</v>
      </c>
      <c r="X96" s="189" t="s">
        <v>271</v>
      </c>
      <c r="Y96" s="189" t="s">
        <v>3066</v>
      </c>
      <c r="Z96" s="0" t="n">
        <v>1</v>
      </c>
      <c r="AA96" s="189" t="s">
        <v>3137</v>
      </c>
    </row>
    <row r="97" customFormat="false" ht="15" hidden="false" customHeight="true" outlineLevel="0" collapsed="false">
      <c r="A97" s="0" t="n">
        <v>18</v>
      </c>
      <c r="B97" s="188" t="n">
        <v>46082.1548168781</v>
      </c>
      <c r="C97" s="188" t="n">
        <v>46082.1709511374</v>
      </c>
      <c r="D97" s="189" t="s">
        <v>311</v>
      </c>
      <c r="E97" s="189" t="s">
        <v>312</v>
      </c>
      <c r="F97" s="189" t="s">
        <v>313</v>
      </c>
      <c r="G97" s="189" t="s">
        <v>314</v>
      </c>
      <c r="H97" s="188" t="n">
        <v>46070</v>
      </c>
      <c r="I97" s="189" t="s">
        <v>113</v>
      </c>
      <c r="J97" s="189" t="s">
        <v>295</v>
      </c>
      <c r="K97" s="189" t="s">
        <v>315</v>
      </c>
      <c r="L97" s="189" t="s">
        <v>159</v>
      </c>
      <c r="M97" s="189" t="s">
        <v>212</v>
      </c>
      <c r="N97" s="189" t="s">
        <v>316</v>
      </c>
      <c r="O97" s="189" t="s">
        <v>244</v>
      </c>
      <c r="P97" s="189" t="s">
        <v>111</v>
      </c>
      <c r="Q97" s="189" t="s">
        <v>112</v>
      </c>
      <c r="R97" s="189" t="s">
        <v>22</v>
      </c>
      <c r="S97" s="189" t="s">
        <v>320</v>
      </c>
      <c r="T97" s="189" t="s">
        <v>121</v>
      </c>
      <c r="U97" s="189" t="s">
        <v>321</v>
      </c>
      <c r="V97" s="189" t="s">
        <v>123</v>
      </c>
      <c r="W97" s="189" t="s">
        <v>124</v>
      </c>
      <c r="X97" s="189" t="s">
        <v>271</v>
      </c>
      <c r="Y97" s="189" t="s">
        <v>3066</v>
      </c>
      <c r="Z97" s="0" t="n">
        <v>2</v>
      </c>
      <c r="AA97" s="189" t="s">
        <v>3138</v>
      </c>
    </row>
    <row r="98" customFormat="false" ht="15" hidden="false" customHeight="true" outlineLevel="0" collapsed="false">
      <c r="A98" s="0" t="n">
        <v>18</v>
      </c>
      <c r="B98" s="188" t="n">
        <v>46082.1548168781</v>
      </c>
      <c r="C98" s="188" t="n">
        <v>46082.1709511374</v>
      </c>
      <c r="D98" s="189" t="s">
        <v>311</v>
      </c>
      <c r="E98" s="189" t="s">
        <v>312</v>
      </c>
      <c r="F98" s="189" t="s">
        <v>313</v>
      </c>
      <c r="G98" s="189" t="s">
        <v>314</v>
      </c>
      <c r="H98" s="188" t="n">
        <v>46070</v>
      </c>
      <c r="I98" s="189" t="s">
        <v>113</v>
      </c>
      <c r="J98" s="189" t="s">
        <v>295</v>
      </c>
      <c r="K98" s="189" t="s">
        <v>315</v>
      </c>
      <c r="L98" s="189" t="s">
        <v>159</v>
      </c>
      <c r="M98" s="189" t="s">
        <v>212</v>
      </c>
      <c r="N98" s="189" t="s">
        <v>316</v>
      </c>
      <c r="O98" s="189" t="s">
        <v>244</v>
      </c>
      <c r="P98" s="189" t="s">
        <v>111</v>
      </c>
      <c r="Q98" s="189" t="s">
        <v>112</v>
      </c>
      <c r="R98" s="189" t="s">
        <v>22</v>
      </c>
      <c r="S98" s="189" t="s">
        <v>320</v>
      </c>
      <c r="T98" s="189" t="s">
        <v>121</v>
      </c>
      <c r="U98" s="189" t="s">
        <v>321</v>
      </c>
      <c r="V98" s="189" t="s">
        <v>123</v>
      </c>
      <c r="W98" s="189" t="s">
        <v>124</v>
      </c>
      <c r="X98" s="189" t="s">
        <v>271</v>
      </c>
      <c r="Y98" s="189" t="s">
        <v>3069</v>
      </c>
      <c r="Z98" s="0" t="n">
        <v>1</v>
      </c>
      <c r="AA98" s="189" t="s">
        <v>3118</v>
      </c>
    </row>
    <row r="99" customFormat="false" ht="15" hidden="false" customHeight="true" outlineLevel="0" collapsed="false">
      <c r="A99" s="0" t="n">
        <v>18</v>
      </c>
      <c r="B99" s="188" t="n">
        <v>46082.1548168781</v>
      </c>
      <c r="C99" s="188" t="n">
        <v>46082.1709511374</v>
      </c>
      <c r="D99" s="189" t="s">
        <v>311</v>
      </c>
      <c r="E99" s="189" t="s">
        <v>312</v>
      </c>
      <c r="F99" s="189" t="s">
        <v>313</v>
      </c>
      <c r="G99" s="189" t="s">
        <v>314</v>
      </c>
      <c r="H99" s="188" t="n">
        <v>46070</v>
      </c>
      <c r="I99" s="189" t="s">
        <v>113</v>
      </c>
      <c r="J99" s="189" t="s">
        <v>295</v>
      </c>
      <c r="K99" s="189" t="s">
        <v>315</v>
      </c>
      <c r="L99" s="189" t="s">
        <v>159</v>
      </c>
      <c r="M99" s="189" t="s">
        <v>212</v>
      </c>
      <c r="N99" s="189" t="s">
        <v>316</v>
      </c>
      <c r="O99" s="189" t="s">
        <v>244</v>
      </c>
      <c r="P99" s="189" t="s">
        <v>111</v>
      </c>
      <c r="Q99" s="189" t="s">
        <v>112</v>
      </c>
      <c r="R99" s="189" t="s">
        <v>22</v>
      </c>
      <c r="S99" s="189" t="s">
        <v>320</v>
      </c>
      <c r="T99" s="189" t="s">
        <v>121</v>
      </c>
      <c r="U99" s="189" t="s">
        <v>321</v>
      </c>
      <c r="V99" s="189" t="s">
        <v>123</v>
      </c>
      <c r="W99" s="189" t="s">
        <v>124</v>
      </c>
      <c r="X99" s="189" t="s">
        <v>271</v>
      </c>
      <c r="Y99" s="189" t="s">
        <v>3069</v>
      </c>
      <c r="Z99" s="0" t="n">
        <v>2</v>
      </c>
      <c r="AA99" s="189" t="s">
        <v>122</v>
      </c>
    </row>
    <row r="100" customFormat="false" ht="15" hidden="false" customHeight="true" outlineLevel="0" collapsed="false">
      <c r="A100" s="0" t="n">
        <v>19</v>
      </c>
      <c r="B100" s="188" t="n">
        <v>46123.885399073</v>
      </c>
      <c r="C100" s="188" t="n">
        <v>46123.89243611</v>
      </c>
      <c r="D100" s="189" t="s">
        <v>322</v>
      </c>
      <c r="E100" s="189" t="s">
        <v>323</v>
      </c>
      <c r="F100" s="189" t="s">
        <v>323</v>
      </c>
      <c r="G100" s="189" t="s">
        <v>324</v>
      </c>
      <c r="H100" s="188" t="n">
        <v>46120</v>
      </c>
      <c r="I100" s="189" t="s">
        <v>325</v>
      </c>
      <c r="J100" s="189" t="s">
        <v>108</v>
      </c>
      <c r="K100" s="189" t="s">
        <v>257</v>
      </c>
      <c r="L100" s="189" t="s">
        <v>268</v>
      </c>
      <c r="M100" s="189" t="s">
        <v>326</v>
      </c>
      <c r="N100" s="189" t="s">
        <v>259</v>
      </c>
      <c r="O100" s="189" t="s">
        <v>244</v>
      </c>
      <c r="P100" s="189" t="s">
        <v>111</v>
      </c>
      <c r="Q100" s="189" t="s">
        <v>247</v>
      </c>
      <c r="R100" s="189" t="s">
        <v>25</v>
      </c>
      <c r="S100" s="189" t="s">
        <v>120</v>
      </c>
      <c r="T100" s="189" t="s">
        <v>180</v>
      </c>
      <c r="U100" s="189" t="s">
        <v>122</v>
      </c>
      <c r="V100" s="189" t="s">
        <v>167</v>
      </c>
      <c r="W100" s="189" t="s">
        <v>124</v>
      </c>
      <c r="X100" s="189" t="s">
        <v>327</v>
      </c>
      <c r="Y100" s="189" t="s">
        <v>3064</v>
      </c>
      <c r="Z100" s="0" t="n">
        <v>1</v>
      </c>
      <c r="AA100" s="189" t="s">
        <v>3081</v>
      </c>
    </row>
    <row r="101" customFormat="false" ht="15" hidden="false" customHeight="true" outlineLevel="0" collapsed="false">
      <c r="A101" s="0" t="n">
        <v>19</v>
      </c>
      <c r="B101" s="188" t="n">
        <v>46123.885399073</v>
      </c>
      <c r="C101" s="188" t="n">
        <v>46123.89243611</v>
      </c>
      <c r="D101" s="189" t="s">
        <v>322</v>
      </c>
      <c r="E101" s="189" t="s">
        <v>323</v>
      </c>
      <c r="F101" s="189" t="s">
        <v>323</v>
      </c>
      <c r="G101" s="189" t="s">
        <v>324</v>
      </c>
      <c r="H101" s="188" t="n">
        <v>46120</v>
      </c>
      <c r="I101" s="189" t="s">
        <v>325</v>
      </c>
      <c r="J101" s="189" t="s">
        <v>108</v>
      </c>
      <c r="K101" s="189" t="s">
        <v>257</v>
      </c>
      <c r="L101" s="189" t="s">
        <v>268</v>
      </c>
      <c r="M101" s="189" t="s">
        <v>326</v>
      </c>
      <c r="N101" s="189" t="s">
        <v>259</v>
      </c>
      <c r="O101" s="189" t="s">
        <v>244</v>
      </c>
      <c r="P101" s="189" t="s">
        <v>111</v>
      </c>
      <c r="Q101" s="189" t="s">
        <v>247</v>
      </c>
      <c r="R101" s="189" t="s">
        <v>25</v>
      </c>
      <c r="S101" s="189" t="s">
        <v>120</v>
      </c>
      <c r="T101" s="189" t="s">
        <v>180</v>
      </c>
      <c r="U101" s="189" t="s">
        <v>122</v>
      </c>
      <c r="V101" s="189" t="s">
        <v>167</v>
      </c>
      <c r="W101" s="189" t="s">
        <v>124</v>
      </c>
      <c r="X101" s="189" t="s">
        <v>327</v>
      </c>
      <c r="Y101" s="189" t="s">
        <v>3064</v>
      </c>
      <c r="Z101" s="0" t="n">
        <v>2</v>
      </c>
      <c r="AA101" s="189" t="s">
        <v>3139</v>
      </c>
    </row>
    <row r="102" customFormat="false" ht="15" hidden="false" customHeight="true" outlineLevel="0" collapsed="false">
      <c r="A102" s="0" t="n">
        <v>19</v>
      </c>
      <c r="B102" s="188" t="n">
        <v>46123.885399073</v>
      </c>
      <c r="C102" s="188" t="n">
        <v>46123.89243611</v>
      </c>
      <c r="D102" s="189" t="s">
        <v>322</v>
      </c>
      <c r="E102" s="189" t="s">
        <v>323</v>
      </c>
      <c r="F102" s="189" t="s">
        <v>323</v>
      </c>
      <c r="G102" s="189" t="s">
        <v>324</v>
      </c>
      <c r="H102" s="188" t="n">
        <v>46120</v>
      </c>
      <c r="I102" s="189" t="s">
        <v>325</v>
      </c>
      <c r="J102" s="189" t="s">
        <v>108</v>
      </c>
      <c r="K102" s="189" t="s">
        <v>257</v>
      </c>
      <c r="L102" s="189" t="s">
        <v>268</v>
      </c>
      <c r="M102" s="189" t="s">
        <v>326</v>
      </c>
      <c r="N102" s="189" t="s">
        <v>259</v>
      </c>
      <c r="O102" s="189" t="s">
        <v>244</v>
      </c>
      <c r="P102" s="189" t="s">
        <v>111</v>
      </c>
      <c r="Q102" s="189" t="s">
        <v>247</v>
      </c>
      <c r="R102" s="189" t="s">
        <v>25</v>
      </c>
      <c r="S102" s="189" t="s">
        <v>120</v>
      </c>
      <c r="T102" s="189" t="s">
        <v>180</v>
      </c>
      <c r="U102" s="189" t="s">
        <v>122</v>
      </c>
      <c r="V102" s="189" t="s">
        <v>167</v>
      </c>
      <c r="W102" s="189" t="s">
        <v>124</v>
      </c>
      <c r="X102" s="189" t="s">
        <v>327</v>
      </c>
      <c r="Y102" s="189" t="s">
        <v>3064</v>
      </c>
      <c r="Z102" s="0" t="n">
        <v>3</v>
      </c>
      <c r="AA102" s="189" t="s">
        <v>3095</v>
      </c>
    </row>
    <row r="103" customFormat="false" ht="15" hidden="false" customHeight="true" outlineLevel="0" collapsed="false">
      <c r="A103" s="0" t="n">
        <v>19</v>
      </c>
      <c r="B103" s="188" t="n">
        <v>46123.885399073</v>
      </c>
      <c r="C103" s="188" t="n">
        <v>46123.89243611</v>
      </c>
      <c r="D103" s="189" t="s">
        <v>322</v>
      </c>
      <c r="E103" s="189" t="s">
        <v>323</v>
      </c>
      <c r="F103" s="189" t="s">
        <v>323</v>
      </c>
      <c r="G103" s="189" t="s">
        <v>324</v>
      </c>
      <c r="H103" s="188" t="n">
        <v>46120</v>
      </c>
      <c r="I103" s="189" t="s">
        <v>325</v>
      </c>
      <c r="J103" s="189" t="s">
        <v>108</v>
      </c>
      <c r="K103" s="189" t="s">
        <v>257</v>
      </c>
      <c r="L103" s="189" t="s">
        <v>268</v>
      </c>
      <c r="M103" s="189" t="s">
        <v>326</v>
      </c>
      <c r="N103" s="189" t="s">
        <v>259</v>
      </c>
      <c r="O103" s="189" t="s">
        <v>244</v>
      </c>
      <c r="P103" s="189" t="s">
        <v>111</v>
      </c>
      <c r="Q103" s="189" t="s">
        <v>247</v>
      </c>
      <c r="R103" s="189" t="s">
        <v>25</v>
      </c>
      <c r="S103" s="189" t="s">
        <v>120</v>
      </c>
      <c r="T103" s="189" t="s">
        <v>180</v>
      </c>
      <c r="U103" s="189" t="s">
        <v>122</v>
      </c>
      <c r="V103" s="189" t="s">
        <v>167</v>
      </c>
      <c r="W103" s="189" t="s">
        <v>124</v>
      </c>
      <c r="X103" s="189" t="s">
        <v>327</v>
      </c>
      <c r="Y103" s="189" t="s">
        <v>3066</v>
      </c>
      <c r="Z103" s="0" t="n">
        <v>1</v>
      </c>
      <c r="AA103" s="189" t="s">
        <v>3068</v>
      </c>
    </row>
    <row r="104" customFormat="false" ht="15" hidden="false" customHeight="true" outlineLevel="0" collapsed="false">
      <c r="A104" s="0" t="n">
        <v>19</v>
      </c>
      <c r="B104" s="188" t="n">
        <v>46123.885399073</v>
      </c>
      <c r="C104" s="188" t="n">
        <v>46123.89243611</v>
      </c>
      <c r="D104" s="189" t="s">
        <v>322</v>
      </c>
      <c r="E104" s="189" t="s">
        <v>323</v>
      </c>
      <c r="F104" s="189" t="s">
        <v>323</v>
      </c>
      <c r="G104" s="189" t="s">
        <v>324</v>
      </c>
      <c r="H104" s="188" t="n">
        <v>46120</v>
      </c>
      <c r="I104" s="189" t="s">
        <v>325</v>
      </c>
      <c r="J104" s="189" t="s">
        <v>108</v>
      </c>
      <c r="K104" s="189" t="s">
        <v>257</v>
      </c>
      <c r="L104" s="189" t="s">
        <v>268</v>
      </c>
      <c r="M104" s="189" t="s">
        <v>326</v>
      </c>
      <c r="N104" s="189" t="s">
        <v>259</v>
      </c>
      <c r="O104" s="189" t="s">
        <v>244</v>
      </c>
      <c r="P104" s="189" t="s">
        <v>111</v>
      </c>
      <c r="Q104" s="189" t="s">
        <v>247</v>
      </c>
      <c r="R104" s="189" t="s">
        <v>25</v>
      </c>
      <c r="S104" s="189" t="s">
        <v>120</v>
      </c>
      <c r="T104" s="189" t="s">
        <v>180</v>
      </c>
      <c r="U104" s="189" t="s">
        <v>122</v>
      </c>
      <c r="V104" s="189" t="s">
        <v>167</v>
      </c>
      <c r="W104" s="189" t="s">
        <v>124</v>
      </c>
      <c r="X104" s="189" t="s">
        <v>327</v>
      </c>
      <c r="Y104" s="189" t="s">
        <v>3066</v>
      </c>
      <c r="Z104" s="0" t="n">
        <v>2</v>
      </c>
      <c r="AA104" s="189" t="s">
        <v>3067</v>
      </c>
    </row>
    <row r="105" customFormat="false" ht="15" hidden="false" customHeight="true" outlineLevel="0" collapsed="false">
      <c r="A105" s="0" t="n">
        <v>19</v>
      </c>
      <c r="B105" s="188" t="n">
        <v>46123.885399073</v>
      </c>
      <c r="C105" s="188" t="n">
        <v>46123.89243611</v>
      </c>
      <c r="D105" s="189" t="s">
        <v>322</v>
      </c>
      <c r="E105" s="189" t="s">
        <v>323</v>
      </c>
      <c r="F105" s="189" t="s">
        <v>323</v>
      </c>
      <c r="G105" s="189" t="s">
        <v>324</v>
      </c>
      <c r="H105" s="188" t="n">
        <v>46120</v>
      </c>
      <c r="I105" s="189" t="s">
        <v>325</v>
      </c>
      <c r="J105" s="189" t="s">
        <v>108</v>
      </c>
      <c r="K105" s="189" t="s">
        <v>257</v>
      </c>
      <c r="L105" s="189" t="s">
        <v>268</v>
      </c>
      <c r="M105" s="189" t="s">
        <v>326</v>
      </c>
      <c r="N105" s="189" t="s">
        <v>259</v>
      </c>
      <c r="O105" s="189" t="s">
        <v>244</v>
      </c>
      <c r="P105" s="189" t="s">
        <v>111</v>
      </c>
      <c r="Q105" s="189" t="s">
        <v>247</v>
      </c>
      <c r="R105" s="189" t="s">
        <v>25</v>
      </c>
      <c r="S105" s="189" t="s">
        <v>120</v>
      </c>
      <c r="T105" s="189" t="s">
        <v>180</v>
      </c>
      <c r="U105" s="189" t="s">
        <v>122</v>
      </c>
      <c r="V105" s="189" t="s">
        <v>167</v>
      </c>
      <c r="W105" s="189" t="s">
        <v>124</v>
      </c>
      <c r="X105" s="189" t="s">
        <v>327</v>
      </c>
      <c r="Y105" s="189" t="s">
        <v>3069</v>
      </c>
      <c r="Z105" s="0" t="n">
        <v>1</v>
      </c>
      <c r="AA105" s="189" t="s">
        <v>3140</v>
      </c>
    </row>
    <row r="106" customFormat="false" ht="15" hidden="false" customHeight="true" outlineLevel="0" collapsed="false">
      <c r="A106" s="0" t="n">
        <v>20</v>
      </c>
      <c r="B106" s="188" t="n">
        <v>46148.3303404205</v>
      </c>
      <c r="C106" s="188" t="n">
        <v>46148.3399584761</v>
      </c>
      <c r="D106" s="189" t="s">
        <v>332</v>
      </c>
      <c r="E106" s="189" t="s">
        <v>333</v>
      </c>
      <c r="F106" s="189" t="s">
        <v>333</v>
      </c>
      <c r="G106" s="189" t="s">
        <v>334</v>
      </c>
      <c r="H106" s="188" t="n">
        <v>46137</v>
      </c>
      <c r="I106" s="189" t="s">
        <v>336</v>
      </c>
      <c r="J106" s="189" t="s">
        <v>295</v>
      </c>
      <c r="K106" s="189" t="s">
        <v>335</v>
      </c>
      <c r="L106" s="189" t="s">
        <v>159</v>
      </c>
      <c r="M106" s="189" t="s">
        <v>337</v>
      </c>
      <c r="N106" s="189" t="s">
        <v>338</v>
      </c>
      <c r="O106" s="189" t="s">
        <v>107</v>
      </c>
      <c r="P106" s="189" t="s">
        <v>131</v>
      </c>
      <c r="Q106" s="189" t="s">
        <v>112</v>
      </c>
      <c r="R106" s="189" t="s">
        <v>22</v>
      </c>
      <c r="S106" s="189" t="s">
        <v>120</v>
      </c>
      <c r="T106" s="189" t="s">
        <v>180</v>
      </c>
      <c r="V106" s="189" t="s">
        <v>167</v>
      </c>
      <c r="W106" s="189" t="s">
        <v>124</v>
      </c>
      <c r="X106" s="189" t="s">
        <v>339</v>
      </c>
      <c r="Y106" s="189" t="s">
        <v>3064</v>
      </c>
      <c r="Z106" s="0" t="n">
        <v>1</v>
      </c>
      <c r="AA106" s="189" t="s">
        <v>3141</v>
      </c>
    </row>
    <row r="107" customFormat="false" ht="15" hidden="false" customHeight="true" outlineLevel="0" collapsed="false">
      <c r="A107" s="0" t="n">
        <v>20</v>
      </c>
      <c r="B107" s="188" t="n">
        <v>46148.3303404205</v>
      </c>
      <c r="C107" s="188" t="n">
        <v>46148.3399584761</v>
      </c>
      <c r="D107" s="189" t="s">
        <v>332</v>
      </c>
      <c r="E107" s="189" t="s">
        <v>333</v>
      </c>
      <c r="F107" s="189" t="s">
        <v>333</v>
      </c>
      <c r="G107" s="189" t="s">
        <v>334</v>
      </c>
      <c r="H107" s="188" t="n">
        <v>46137</v>
      </c>
      <c r="I107" s="189" t="s">
        <v>336</v>
      </c>
      <c r="J107" s="189" t="s">
        <v>295</v>
      </c>
      <c r="K107" s="189" t="s">
        <v>335</v>
      </c>
      <c r="L107" s="189" t="s">
        <v>159</v>
      </c>
      <c r="M107" s="189" t="s">
        <v>337</v>
      </c>
      <c r="N107" s="189" t="s">
        <v>338</v>
      </c>
      <c r="O107" s="189" t="s">
        <v>107</v>
      </c>
      <c r="P107" s="189" t="s">
        <v>131</v>
      </c>
      <c r="Q107" s="189" t="s">
        <v>112</v>
      </c>
      <c r="R107" s="189" t="s">
        <v>22</v>
      </c>
      <c r="S107" s="189" t="s">
        <v>120</v>
      </c>
      <c r="T107" s="189" t="s">
        <v>180</v>
      </c>
      <c r="V107" s="189" t="s">
        <v>167</v>
      </c>
      <c r="W107" s="189" t="s">
        <v>124</v>
      </c>
      <c r="X107" s="189" t="s">
        <v>339</v>
      </c>
      <c r="Y107" s="189" t="s">
        <v>3066</v>
      </c>
      <c r="Z107" s="0" t="n">
        <v>1</v>
      </c>
      <c r="AA107" s="189" t="s">
        <v>3142</v>
      </c>
    </row>
    <row r="108" customFormat="false" ht="27.75" hidden="false" customHeight="true" outlineLevel="0" collapsed="false">
      <c r="A108" s="0" t="n">
        <v>20</v>
      </c>
      <c r="B108" s="188" t="n">
        <v>46148.3303404205</v>
      </c>
      <c r="C108" s="188" t="n">
        <v>46148.3399584761</v>
      </c>
      <c r="D108" s="189" t="s">
        <v>332</v>
      </c>
      <c r="E108" s="189" t="s">
        <v>333</v>
      </c>
      <c r="F108" s="189" t="s">
        <v>333</v>
      </c>
      <c r="G108" s="189" t="s">
        <v>334</v>
      </c>
      <c r="H108" s="188" t="n">
        <v>46137</v>
      </c>
      <c r="I108" s="189" t="s">
        <v>336</v>
      </c>
      <c r="J108" s="189" t="s">
        <v>295</v>
      </c>
      <c r="K108" s="189" t="s">
        <v>335</v>
      </c>
      <c r="L108" s="189" t="s">
        <v>159</v>
      </c>
      <c r="M108" s="189" t="s">
        <v>337</v>
      </c>
      <c r="N108" s="189" t="s">
        <v>338</v>
      </c>
      <c r="O108" s="189" t="s">
        <v>107</v>
      </c>
      <c r="P108" s="189" t="s">
        <v>131</v>
      </c>
      <c r="Q108" s="189" t="s">
        <v>112</v>
      </c>
      <c r="R108" s="189" t="s">
        <v>22</v>
      </c>
      <c r="S108" s="189" t="s">
        <v>120</v>
      </c>
      <c r="T108" s="189" t="s">
        <v>180</v>
      </c>
      <c r="V108" s="189" t="s">
        <v>167</v>
      </c>
      <c r="W108" s="189" t="s">
        <v>124</v>
      </c>
      <c r="X108" s="189" t="s">
        <v>339</v>
      </c>
      <c r="Y108" s="189" t="s">
        <v>3066</v>
      </c>
      <c r="Z108" s="0" t="n">
        <v>2</v>
      </c>
      <c r="AA108" s="189" t="s">
        <v>3143</v>
      </c>
    </row>
    <row r="109" customFormat="false" ht="27.75" hidden="false" customHeight="true" outlineLevel="0" collapsed="false">
      <c r="A109" s="0" t="n">
        <v>20</v>
      </c>
      <c r="B109" s="188" t="n">
        <v>46148.3303404205</v>
      </c>
      <c r="C109" s="188" t="n">
        <v>46148.3399584761</v>
      </c>
      <c r="D109" s="189" t="s">
        <v>332</v>
      </c>
      <c r="E109" s="189" t="s">
        <v>333</v>
      </c>
      <c r="F109" s="189" t="s">
        <v>333</v>
      </c>
      <c r="G109" s="189" t="s">
        <v>334</v>
      </c>
      <c r="H109" s="188" t="n">
        <v>46137</v>
      </c>
      <c r="I109" s="189" t="s">
        <v>336</v>
      </c>
      <c r="J109" s="189" t="s">
        <v>295</v>
      </c>
      <c r="K109" s="189" t="s">
        <v>335</v>
      </c>
      <c r="L109" s="189" t="s">
        <v>159</v>
      </c>
      <c r="M109" s="189" t="s">
        <v>337</v>
      </c>
      <c r="N109" s="189" t="s">
        <v>338</v>
      </c>
      <c r="O109" s="189" t="s">
        <v>107</v>
      </c>
      <c r="P109" s="189" t="s">
        <v>131</v>
      </c>
      <c r="Q109" s="189" t="s">
        <v>112</v>
      </c>
      <c r="R109" s="189" t="s">
        <v>22</v>
      </c>
      <c r="S109" s="189" t="s">
        <v>120</v>
      </c>
      <c r="T109" s="189" t="s">
        <v>180</v>
      </c>
      <c r="V109" s="189" t="s">
        <v>167</v>
      </c>
      <c r="W109" s="189" t="s">
        <v>124</v>
      </c>
      <c r="X109" s="189" t="s">
        <v>339</v>
      </c>
      <c r="Y109" s="189" t="s">
        <v>3069</v>
      </c>
      <c r="Z109" s="0" t="n">
        <v>1</v>
      </c>
      <c r="AA109" s="189" t="s">
        <v>3144</v>
      </c>
    </row>
    <row r="110" customFormat="false" ht="27.75" hidden="false" customHeight="true" outlineLevel="0" collapsed="false">
      <c r="A110" s="0" t="n">
        <v>20</v>
      </c>
      <c r="B110" s="188" t="n">
        <v>46148.3303404205</v>
      </c>
      <c r="C110" s="188" t="n">
        <v>46148.3399584761</v>
      </c>
      <c r="D110" s="189" t="s">
        <v>332</v>
      </c>
      <c r="E110" s="189" t="s">
        <v>333</v>
      </c>
      <c r="F110" s="189" t="s">
        <v>333</v>
      </c>
      <c r="G110" s="189" t="s">
        <v>334</v>
      </c>
      <c r="H110" s="188" t="n">
        <v>46137</v>
      </c>
      <c r="I110" s="189" t="s">
        <v>336</v>
      </c>
      <c r="J110" s="189" t="s">
        <v>295</v>
      </c>
      <c r="K110" s="189" t="s">
        <v>335</v>
      </c>
      <c r="L110" s="189" t="s">
        <v>159</v>
      </c>
      <c r="M110" s="189" t="s">
        <v>337</v>
      </c>
      <c r="N110" s="189" t="s">
        <v>338</v>
      </c>
      <c r="O110" s="189" t="s">
        <v>107</v>
      </c>
      <c r="P110" s="189" t="s">
        <v>131</v>
      </c>
      <c r="Q110" s="189" t="s">
        <v>112</v>
      </c>
      <c r="R110" s="189" t="s">
        <v>22</v>
      </c>
      <c r="S110" s="189" t="s">
        <v>120</v>
      </c>
      <c r="T110" s="189" t="s">
        <v>180</v>
      </c>
      <c r="V110" s="189" t="s">
        <v>167</v>
      </c>
      <c r="W110" s="189" t="s">
        <v>124</v>
      </c>
      <c r="X110" s="189" t="s">
        <v>339</v>
      </c>
      <c r="Y110" s="189" t="s">
        <v>3069</v>
      </c>
      <c r="Z110" s="0" t="n">
        <v>2</v>
      </c>
      <c r="AA110" s="189" t="s">
        <v>3145</v>
      </c>
    </row>
    <row r="111" customFormat="false" ht="15" hidden="false" customHeight="true" outlineLevel="0" collapsed="false">
      <c r="A111" s="0" t="n">
        <v>21</v>
      </c>
      <c r="B111" s="188" t="n">
        <v>46215.6209632103</v>
      </c>
      <c r="C111" s="188" t="n">
        <v>46215.6381854325</v>
      </c>
      <c r="D111" s="189" t="s">
        <v>343</v>
      </c>
      <c r="E111" s="189" t="s">
        <v>344</v>
      </c>
      <c r="F111" s="189" t="s">
        <v>344</v>
      </c>
      <c r="G111" s="189" t="s">
        <v>345</v>
      </c>
      <c r="H111" s="188" t="n">
        <v>46200</v>
      </c>
      <c r="I111" s="189" t="s">
        <v>325</v>
      </c>
      <c r="J111" s="189" t="s">
        <v>108</v>
      </c>
      <c r="K111" s="189" t="s">
        <v>158</v>
      </c>
      <c r="L111" s="189" t="s">
        <v>346</v>
      </c>
      <c r="M111" s="189" t="s">
        <v>258</v>
      </c>
      <c r="N111" s="189" t="s">
        <v>347</v>
      </c>
      <c r="O111" s="189" t="s">
        <v>157</v>
      </c>
      <c r="P111" s="189" t="s">
        <v>111</v>
      </c>
      <c r="Q111" s="189" t="s">
        <v>145</v>
      </c>
      <c r="R111" s="189" t="s">
        <v>21</v>
      </c>
      <c r="S111" s="189" t="s">
        <v>152</v>
      </c>
      <c r="T111" s="189" t="s">
        <v>352</v>
      </c>
      <c r="V111" s="189" t="s">
        <v>123</v>
      </c>
      <c r="W111" s="189" t="s">
        <v>124</v>
      </c>
      <c r="X111" s="189" t="s">
        <v>348</v>
      </c>
      <c r="Y111" s="189" t="s">
        <v>3064</v>
      </c>
      <c r="Z111" s="0" t="n">
        <v>1</v>
      </c>
      <c r="AA111" s="189" t="s">
        <v>3146</v>
      </c>
    </row>
    <row r="112" customFormat="false" ht="15" hidden="false" customHeight="true" outlineLevel="0" collapsed="false">
      <c r="A112" s="0" t="n">
        <v>21</v>
      </c>
      <c r="B112" s="188" t="n">
        <v>46215.6209632103</v>
      </c>
      <c r="C112" s="188" t="n">
        <v>46215.6381854325</v>
      </c>
      <c r="D112" s="189" t="s">
        <v>343</v>
      </c>
      <c r="E112" s="189" t="s">
        <v>344</v>
      </c>
      <c r="F112" s="189" t="s">
        <v>344</v>
      </c>
      <c r="G112" s="189" t="s">
        <v>345</v>
      </c>
      <c r="H112" s="188" t="n">
        <v>46200</v>
      </c>
      <c r="I112" s="189" t="s">
        <v>325</v>
      </c>
      <c r="J112" s="189" t="s">
        <v>108</v>
      </c>
      <c r="K112" s="189" t="s">
        <v>158</v>
      </c>
      <c r="L112" s="189" t="s">
        <v>346</v>
      </c>
      <c r="M112" s="189" t="s">
        <v>258</v>
      </c>
      <c r="N112" s="189" t="s">
        <v>347</v>
      </c>
      <c r="O112" s="189" t="s">
        <v>157</v>
      </c>
      <c r="P112" s="189" t="s">
        <v>111</v>
      </c>
      <c r="Q112" s="189" t="s">
        <v>145</v>
      </c>
      <c r="R112" s="189" t="s">
        <v>21</v>
      </c>
      <c r="S112" s="189" t="s">
        <v>152</v>
      </c>
      <c r="T112" s="189" t="s">
        <v>352</v>
      </c>
      <c r="V112" s="189" t="s">
        <v>123</v>
      </c>
      <c r="W112" s="189" t="s">
        <v>124</v>
      </c>
      <c r="X112" s="189" t="s">
        <v>348</v>
      </c>
      <c r="Y112" s="189" t="s">
        <v>3066</v>
      </c>
      <c r="Z112" s="0" t="n">
        <v>1</v>
      </c>
      <c r="AA112" s="189" t="s">
        <v>3147</v>
      </c>
    </row>
    <row r="113" customFormat="false" ht="15" hidden="false" customHeight="true" outlineLevel="0" collapsed="false">
      <c r="A113" s="0" t="n">
        <v>21</v>
      </c>
      <c r="B113" s="188" t="n">
        <v>46215.6209632103</v>
      </c>
      <c r="C113" s="188" t="n">
        <v>46215.6381854325</v>
      </c>
      <c r="D113" s="189" t="s">
        <v>343</v>
      </c>
      <c r="E113" s="189" t="s">
        <v>344</v>
      </c>
      <c r="F113" s="189" t="s">
        <v>344</v>
      </c>
      <c r="G113" s="189" t="s">
        <v>345</v>
      </c>
      <c r="H113" s="188" t="n">
        <v>46200</v>
      </c>
      <c r="I113" s="189" t="s">
        <v>325</v>
      </c>
      <c r="J113" s="189" t="s">
        <v>108</v>
      </c>
      <c r="K113" s="189" t="s">
        <v>158</v>
      </c>
      <c r="L113" s="189" t="s">
        <v>346</v>
      </c>
      <c r="M113" s="189" t="s">
        <v>258</v>
      </c>
      <c r="N113" s="189" t="s">
        <v>347</v>
      </c>
      <c r="O113" s="189" t="s">
        <v>157</v>
      </c>
      <c r="P113" s="189" t="s">
        <v>111</v>
      </c>
      <c r="Q113" s="189" t="s">
        <v>145</v>
      </c>
      <c r="R113" s="189" t="s">
        <v>21</v>
      </c>
      <c r="S113" s="189" t="s">
        <v>152</v>
      </c>
      <c r="T113" s="189" t="s">
        <v>352</v>
      </c>
      <c r="V113" s="189" t="s">
        <v>123</v>
      </c>
      <c r="W113" s="189" t="s">
        <v>124</v>
      </c>
      <c r="X113" s="189" t="s">
        <v>348</v>
      </c>
      <c r="Y113" s="189" t="s">
        <v>3069</v>
      </c>
      <c r="Z113" s="0" t="n">
        <v>1</v>
      </c>
      <c r="AA113" s="189" t="s">
        <v>3148</v>
      </c>
    </row>
    <row r="114" customFormat="false" ht="15" hidden="false" customHeight="true" outlineLevel="0" collapsed="false">
      <c r="A114" s="0" t="n">
        <v>22</v>
      </c>
      <c r="B114" s="188" t="n">
        <v>46054.1693916136</v>
      </c>
      <c r="C114" s="188" t="n">
        <v>46054.1838939284</v>
      </c>
      <c r="D114" s="189" t="s">
        <v>353</v>
      </c>
      <c r="E114" s="189" t="s">
        <v>354</v>
      </c>
      <c r="F114" s="189" t="s">
        <v>354</v>
      </c>
      <c r="G114" s="189" t="s">
        <v>355</v>
      </c>
      <c r="H114" s="188" t="n">
        <v>46037</v>
      </c>
      <c r="I114" s="189" t="s">
        <v>113</v>
      </c>
      <c r="J114" s="189" t="s">
        <v>295</v>
      </c>
      <c r="K114" s="189" t="s">
        <v>356</v>
      </c>
      <c r="L114" s="189" t="s">
        <v>346</v>
      </c>
      <c r="M114" s="189" t="s">
        <v>357</v>
      </c>
      <c r="N114" s="189" t="s">
        <v>219</v>
      </c>
      <c r="O114" s="189" t="s">
        <v>172</v>
      </c>
      <c r="P114" s="189" t="s">
        <v>111</v>
      </c>
      <c r="Q114" s="189" t="s">
        <v>145</v>
      </c>
      <c r="R114" s="189" t="s">
        <v>24</v>
      </c>
      <c r="S114" s="189" t="s">
        <v>152</v>
      </c>
      <c r="T114" s="189" t="s">
        <v>121</v>
      </c>
      <c r="U114" s="189" t="s">
        <v>122</v>
      </c>
      <c r="V114" s="189" t="s">
        <v>123</v>
      </c>
      <c r="W114" s="189" t="s">
        <v>124</v>
      </c>
      <c r="X114" s="189" t="s">
        <v>223</v>
      </c>
      <c r="Y114" s="189" t="s">
        <v>3064</v>
      </c>
      <c r="Z114" s="0" t="n">
        <v>1</v>
      </c>
      <c r="AA114" s="189" t="s">
        <v>3098</v>
      </c>
    </row>
    <row r="115" customFormat="false" ht="15" hidden="false" customHeight="true" outlineLevel="0" collapsed="false">
      <c r="A115" s="0" t="n">
        <v>22</v>
      </c>
      <c r="B115" s="188" t="n">
        <v>46054.1693916136</v>
      </c>
      <c r="C115" s="188" t="n">
        <v>46054.1838939284</v>
      </c>
      <c r="D115" s="189" t="s">
        <v>353</v>
      </c>
      <c r="E115" s="189" t="s">
        <v>354</v>
      </c>
      <c r="F115" s="189" t="s">
        <v>354</v>
      </c>
      <c r="G115" s="189" t="s">
        <v>355</v>
      </c>
      <c r="H115" s="188" t="n">
        <v>46037</v>
      </c>
      <c r="I115" s="189" t="s">
        <v>113</v>
      </c>
      <c r="J115" s="189" t="s">
        <v>295</v>
      </c>
      <c r="K115" s="189" t="s">
        <v>356</v>
      </c>
      <c r="L115" s="189" t="s">
        <v>346</v>
      </c>
      <c r="M115" s="189" t="s">
        <v>357</v>
      </c>
      <c r="N115" s="189" t="s">
        <v>219</v>
      </c>
      <c r="O115" s="189" t="s">
        <v>172</v>
      </c>
      <c r="P115" s="189" t="s">
        <v>111</v>
      </c>
      <c r="Q115" s="189" t="s">
        <v>145</v>
      </c>
      <c r="R115" s="189" t="s">
        <v>24</v>
      </c>
      <c r="S115" s="189" t="s">
        <v>152</v>
      </c>
      <c r="T115" s="189" t="s">
        <v>121</v>
      </c>
      <c r="U115" s="189" t="s">
        <v>122</v>
      </c>
      <c r="V115" s="189" t="s">
        <v>123</v>
      </c>
      <c r="W115" s="189" t="s">
        <v>124</v>
      </c>
      <c r="X115" s="189" t="s">
        <v>223</v>
      </c>
      <c r="Y115" s="189" t="s">
        <v>3066</v>
      </c>
      <c r="Z115" s="0" t="n">
        <v>1</v>
      </c>
      <c r="AA115" s="189" t="s">
        <v>3105</v>
      </c>
    </row>
    <row r="116" customFormat="false" ht="15" hidden="false" customHeight="true" outlineLevel="0" collapsed="false">
      <c r="A116" s="0" t="n">
        <v>22</v>
      </c>
      <c r="B116" s="188" t="n">
        <v>46054.1693916136</v>
      </c>
      <c r="C116" s="188" t="n">
        <v>46054.1838939284</v>
      </c>
      <c r="D116" s="189" t="s">
        <v>353</v>
      </c>
      <c r="E116" s="189" t="s">
        <v>354</v>
      </c>
      <c r="F116" s="189" t="s">
        <v>354</v>
      </c>
      <c r="G116" s="189" t="s">
        <v>355</v>
      </c>
      <c r="H116" s="188" t="n">
        <v>46037</v>
      </c>
      <c r="I116" s="189" t="s">
        <v>113</v>
      </c>
      <c r="J116" s="189" t="s">
        <v>295</v>
      </c>
      <c r="K116" s="189" t="s">
        <v>356</v>
      </c>
      <c r="L116" s="189" t="s">
        <v>346</v>
      </c>
      <c r="M116" s="189" t="s">
        <v>357</v>
      </c>
      <c r="N116" s="189" t="s">
        <v>219</v>
      </c>
      <c r="O116" s="189" t="s">
        <v>172</v>
      </c>
      <c r="P116" s="189" t="s">
        <v>111</v>
      </c>
      <c r="Q116" s="189" t="s">
        <v>145</v>
      </c>
      <c r="R116" s="189" t="s">
        <v>24</v>
      </c>
      <c r="S116" s="189" t="s">
        <v>152</v>
      </c>
      <c r="T116" s="189" t="s">
        <v>121</v>
      </c>
      <c r="U116" s="189" t="s">
        <v>122</v>
      </c>
      <c r="V116" s="189" t="s">
        <v>123</v>
      </c>
      <c r="W116" s="189" t="s">
        <v>124</v>
      </c>
      <c r="X116" s="189" t="s">
        <v>223</v>
      </c>
      <c r="Y116" s="189" t="s">
        <v>3066</v>
      </c>
      <c r="Z116" s="0" t="n">
        <v>2</v>
      </c>
      <c r="AA116" s="189" t="s">
        <v>3149</v>
      </c>
    </row>
    <row r="117" customFormat="false" ht="15" hidden="false" customHeight="true" outlineLevel="0" collapsed="false">
      <c r="A117" s="0" t="n">
        <v>22</v>
      </c>
      <c r="B117" s="188" t="n">
        <v>46054.1693916136</v>
      </c>
      <c r="C117" s="188" t="n">
        <v>46054.1838939284</v>
      </c>
      <c r="D117" s="189" t="s">
        <v>353</v>
      </c>
      <c r="E117" s="189" t="s">
        <v>354</v>
      </c>
      <c r="F117" s="189" t="s">
        <v>354</v>
      </c>
      <c r="G117" s="189" t="s">
        <v>355</v>
      </c>
      <c r="H117" s="188" t="n">
        <v>46037</v>
      </c>
      <c r="I117" s="189" t="s">
        <v>113</v>
      </c>
      <c r="J117" s="189" t="s">
        <v>295</v>
      </c>
      <c r="K117" s="189" t="s">
        <v>356</v>
      </c>
      <c r="L117" s="189" t="s">
        <v>346</v>
      </c>
      <c r="M117" s="189" t="s">
        <v>357</v>
      </c>
      <c r="N117" s="189" t="s">
        <v>219</v>
      </c>
      <c r="O117" s="189" t="s">
        <v>172</v>
      </c>
      <c r="P117" s="189" t="s">
        <v>111</v>
      </c>
      <c r="Q117" s="189" t="s">
        <v>145</v>
      </c>
      <c r="R117" s="189" t="s">
        <v>24</v>
      </c>
      <c r="S117" s="189" t="s">
        <v>152</v>
      </c>
      <c r="T117" s="189" t="s">
        <v>121</v>
      </c>
      <c r="U117" s="189" t="s">
        <v>122</v>
      </c>
      <c r="V117" s="189" t="s">
        <v>123</v>
      </c>
      <c r="W117" s="189" t="s">
        <v>124</v>
      </c>
      <c r="X117" s="189" t="s">
        <v>223</v>
      </c>
      <c r="Y117" s="189" t="s">
        <v>3069</v>
      </c>
      <c r="Z117" s="0" t="n">
        <v>1</v>
      </c>
      <c r="AA117" s="189" t="s">
        <v>3150</v>
      </c>
    </row>
    <row r="118" customFormat="false" ht="15" hidden="false" customHeight="true" outlineLevel="0" collapsed="false">
      <c r="A118" s="0" t="n">
        <v>22</v>
      </c>
      <c r="B118" s="188" t="n">
        <v>46054.1693916136</v>
      </c>
      <c r="C118" s="188" t="n">
        <v>46054.1838939284</v>
      </c>
      <c r="D118" s="189" t="s">
        <v>353</v>
      </c>
      <c r="E118" s="189" t="s">
        <v>354</v>
      </c>
      <c r="F118" s="189" t="s">
        <v>354</v>
      </c>
      <c r="G118" s="189" t="s">
        <v>355</v>
      </c>
      <c r="H118" s="188" t="n">
        <v>46037</v>
      </c>
      <c r="I118" s="189" t="s">
        <v>113</v>
      </c>
      <c r="J118" s="189" t="s">
        <v>295</v>
      </c>
      <c r="K118" s="189" t="s">
        <v>356</v>
      </c>
      <c r="L118" s="189" t="s">
        <v>346</v>
      </c>
      <c r="M118" s="189" t="s">
        <v>357</v>
      </c>
      <c r="N118" s="189" t="s">
        <v>219</v>
      </c>
      <c r="O118" s="189" t="s">
        <v>172</v>
      </c>
      <c r="P118" s="189" t="s">
        <v>111</v>
      </c>
      <c r="Q118" s="189" t="s">
        <v>145</v>
      </c>
      <c r="R118" s="189" t="s">
        <v>24</v>
      </c>
      <c r="S118" s="189" t="s">
        <v>152</v>
      </c>
      <c r="T118" s="189" t="s">
        <v>121</v>
      </c>
      <c r="U118" s="189" t="s">
        <v>122</v>
      </c>
      <c r="V118" s="189" t="s">
        <v>123</v>
      </c>
      <c r="W118" s="189" t="s">
        <v>124</v>
      </c>
      <c r="X118" s="189" t="s">
        <v>223</v>
      </c>
      <c r="Y118" s="189" t="s">
        <v>3069</v>
      </c>
      <c r="Z118" s="0" t="n">
        <v>2</v>
      </c>
      <c r="AA118" s="189" t="s">
        <v>3101</v>
      </c>
    </row>
    <row r="119" customFormat="false" ht="15" hidden="false" customHeight="true" outlineLevel="0" collapsed="false">
      <c r="A119" s="0" t="n">
        <v>23</v>
      </c>
      <c r="B119" s="188" t="n">
        <v>46211.1979046947</v>
      </c>
      <c r="C119" s="188" t="n">
        <v>46211.2144093243</v>
      </c>
      <c r="D119" s="189" t="s">
        <v>361</v>
      </c>
      <c r="E119" s="189" t="s">
        <v>362</v>
      </c>
      <c r="F119" s="189" t="s">
        <v>362</v>
      </c>
      <c r="G119" s="189" t="s">
        <v>363</v>
      </c>
      <c r="H119" s="188" t="n">
        <v>46211</v>
      </c>
      <c r="I119" s="189" t="s">
        <v>113</v>
      </c>
      <c r="J119" s="189" t="s">
        <v>108</v>
      </c>
      <c r="K119" s="189" t="s">
        <v>364</v>
      </c>
      <c r="L119" s="189" t="s">
        <v>197</v>
      </c>
      <c r="M119" s="189" t="s">
        <v>365</v>
      </c>
      <c r="N119" s="189" t="s">
        <v>174</v>
      </c>
      <c r="O119" s="189" t="s">
        <v>244</v>
      </c>
      <c r="P119" s="189" t="s">
        <v>111</v>
      </c>
      <c r="Q119" s="189" t="s">
        <v>145</v>
      </c>
      <c r="R119" s="189" t="s">
        <v>22</v>
      </c>
      <c r="S119" s="189" t="s">
        <v>120</v>
      </c>
      <c r="T119" s="189" t="s">
        <v>180</v>
      </c>
      <c r="U119" s="189" t="s">
        <v>369</v>
      </c>
      <c r="V119" s="189" t="s">
        <v>192</v>
      </c>
      <c r="W119" s="189" t="s">
        <v>124</v>
      </c>
      <c r="X119" s="189" t="s">
        <v>135</v>
      </c>
      <c r="Y119" s="189" t="s">
        <v>3064</v>
      </c>
      <c r="Z119" s="0" t="n">
        <v>1</v>
      </c>
      <c r="AA119" s="189" t="s">
        <v>3071</v>
      </c>
    </row>
    <row r="120" customFormat="false" ht="15" hidden="false" customHeight="true" outlineLevel="0" collapsed="false">
      <c r="A120" s="0" t="n">
        <v>23</v>
      </c>
      <c r="B120" s="188" t="n">
        <v>46211.1979046947</v>
      </c>
      <c r="C120" s="188" t="n">
        <v>46211.2144093243</v>
      </c>
      <c r="D120" s="189" t="s">
        <v>361</v>
      </c>
      <c r="E120" s="189" t="s">
        <v>362</v>
      </c>
      <c r="F120" s="189" t="s">
        <v>362</v>
      </c>
      <c r="G120" s="189" t="s">
        <v>363</v>
      </c>
      <c r="H120" s="188" t="n">
        <v>46211</v>
      </c>
      <c r="I120" s="189" t="s">
        <v>113</v>
      </c>
      <c r="J120" s="189" t="s">
        <v>108</v>
      </c>
      <c r="K120" s="189" t="s">
        <v>364</v>
      </c>
      <c r="L120" s="189" t="s">
        <v>197</v>
      </c>
      <c r="M120" s="189" t="s">
        <v>365</v>
      </c>
      <c r="N120" s="189" t="s">
        <v>174</v>
      </c>
      <c r="O120" s="189" t="s">
        <v>244</v>
      </c>
      <c r="P120" s="189" t="s">
        <v>111</v>
      </c>
      <c r="Q120" s="189" t="s">
        <v>145</v>
      </c>
      <c r="R120" s="189" t="s">
        <v>22</v>
      </c>
      <c r="S120" s="189" t="s">
        <v>120</v>
      </c>
      <c r="T120" s="189" t="s">
        <v>180</v>
      </c>
      <c r="U120" s="189" t="s">
        <v>369</v>
      </c>
      <c r="V120" s="189" t="s">
        <v>192</v>
      </c>
      <c r="W120" s="189" t="s">
        <v>124</v>
      </c>
      <c r="X120" s="189" t="s">
        <v>135</v>
      </c>
      <c r="Y120" s="189" t="s">
        <v>3066</v>
      </c>
      <c r="Z120" s="0" t="n">
        <v>1</v>
      </c>
      <c r="AA120" s="189" t="s">
        <v>3074</v>
      </c>
    </row>
    <row r="121" customFormat="false" ht="15" hidden="false" customHeight="true" outlineLevel="0" collapsed="false">
      <c r="A121" s="0" t="n">
        <v>23</v>
      </c>
      <c r="B121" s="188" t="n">
        <v>46211.1979046947</v>
      </c>
      <c r="C121" s="188" t="n">
        <v>46211.2144093243</v>
      </c>
      <c r="D121" s="189" t="s">
        <v>361</v>
      </c>
      <c r="E121" s="189" t="s">
        <v>362</v>
      </c>
      <c r="F121" s="189" t="s">
        <v>362</v>
      </c>
      <c r="G121" s="189" t="s">
        <v>363</v>
      </c>
      <c r="H121" s="188" t="n">
        <v>46211</v>
      </c>
      <c r="I121" s="189" t="s">
        <v>113</v>
      </c>
      <c r="J121" s="189" t="s">
        <v>108</v>
      </c>
      <c r="K121" s="189" t="s">
        <v>364</v>
      </c>
      <c r="L121" s="189" t="s">
        <v>197</v>
      </c>
      <c r="M121" s="189" t="s">
        <v>365</v>
      </c>
      <c r="N121" s="189" t="s">
        <v>174</v>
      </c>
      <c r="O121" s="189" t="s">
        <v>244</v>
      </c>
      <c r="P121" s="189" t="s">
        <v>111</v>
      </c>
      <c r="Q121" s="189" t="s">
        <v>145</v>
      </c>
      <c r="R121" s="189" t="s">
        <v>22</v>
      </c>
      <c r="S121" s="189" t="s">
        <v>120</v>
      </c>
      <c r="T121" s="189" t="s">
        <v>180</v>
      </c>
      <c r="U121" s="189" t="s">
        <v>369</v>
      </c>
      <c r="V121" s="189" t="s">
        <v>192</v>
      </c>
      <c r="W121" s="189" t="s">
        <v>124</v>
      </c>
      <c r="X121" s="189" t="s">
        <v>135</v>
      </c>
      <c r="Y121" s="189" t="s">
        <v>3066</v>
      </c>
      <c r="Z121" s="0" t="n">
        <v>2</v>
      </c>
      <c r="AA121" s="189" t="s">
        <v>3151</v>
      </c>
    </row>
    <row r="122" customFormat="false" ht="15" hidden="false" customHeight="true" outlineLevel="0" collapsed="false">
      <c r="A122" s="0" t="n">
        <v>23</v>
      </c>
      <c r="B122" s="188" t="n">
        <v>46211.1979046947</v>
      </c>
      <c r="C122" s="188" t="n">
        <v>46211.2144093243</v>
      </c>
      <c r="D122" s="189" t="s">
        <v>361</v>
      </c>
      <c r="E122" s="189" t="s">
        <v>362</v>
      </c>
      <c r="F122" s="189" t="s">
        <v>362</v>
      </c>
      <c r="G122" s="189" t="s">
        <v>363</v>
      </c>
      <c r="H122" s="188" t="n">
        <v>46211</v>
      </c>
      <c r="I122" s="189" t="s">
        <v>113</v>
      </c>
      <c r="J122" s="189" t="s">
        <v>108</v>
      </c>
      <c r="K122" s="189" t="s">
        <v>364</v>
      </c>
      <c r="L122" s="189" t="s">
        <v>197</v>
      </c>
      <c r="M122" s="189" t="s">
        <v>365</v>
      </c>
      <c r="N122" s="189" t="s">
        <v>174</v>
      </c>
      <c r="O122" s="189" t="s">
        <v>244</v>
      </c>
      <c r="P122" s="189" t="s">
        <v>111</v>
      </c>
      <c r="Q122" s="189" t="s">
        <v>145</v>
      </c>
      <c r="R122" s="189" t="s">
        <v>22</v>
      </c>
      <c r="S122" s="189" t="s">
        <v>120</v>
      </c>
      <c r="T122" s="189" t="s">
        <v>180</v>
      </c>
      <c r="U122" s="189" t="s">
        <v>369</v>
      </c>
      <c r="V122" s="189" t="s">
        <v>192</v>
      </c>
      <c r="W122" s="189" t="s">
        <v>124</v>
      </c>
      <c r="X122" s="189" t="s">
        <v>135</v>
      </c>
      <c r="Y122" s="189" t="s">
        <v>3069</v>
      </c>
      <c r="Z122" s="0" t="n">
        <v>1</v>
      </c>
      <c r="AA122" s="189" t="s">
        <v>3152</v>
      </c>
    </row>
    <row r="123" customFormat="false" ht="15" hidden="false" customHeight="true" outlineLevel="0" collapsed="false">
      <c r="A123" s="0" t="n">
        <v>24</v>
      </c>
      <c r="B123" s="188" t="n">
        <v>46192.6959382555</v>
      </c>
      <c r="C123" s="188" t="n">
        <v>46192.7045609407</v>
      </c>
      <c r="D123" s="189" t="s">
        <v>371</v>
      </c>
      <c r="E123" s="189" t="s">
        <v>372</v>
      </c>
      <c r="F123" s="189" t="s">
        <v>372</v>
      </c>
      <c r="G123" s="189" t="s">
        <v>373</v>
      </c>
      <c r="H123" s="188" t="n">
        <v>46173</v>
      </c>
      <c r="I123" s="189" t="s">
        <v>113</v>
      </c>
      <c r="J123" s="189" t="s">
        <v>108</v>
      </c>
      <c r="K123" s="189" t="s">
        <v>143</v>
      </c>
      <c r="L123" s="189" t="s">
        <v>346</v>
      </c>
      <c r="M123" s="189" t="s">
        <v>365</v>
      </c>
      <c r="N123" s="189" t="s">
        <v>259</v>
      </c>
      <c r="O123" s="189" t="s">
        <v>260</v>
      </c>
      <c r="P123" s="189" t="s">
        <v>111</v>
      </c>
      <c r="Q123" s="189" t="s">
        <v>112</v>
      </c>
      <c r="R123" s="189" t="s">
        <v>21</v>
      </c>
      <c r="S123" s="189" t="s">
        <v>152</v>
      </c>
      <c r="T123" s="189" t="s">
        <v>121</v>
      </c>
      <c r="U123" s="189" t="s">
        <v>122</v>
      </c>
      <c r="V123" s="189" t="s">
        <v>192</v>
      </c>
      <c r="W123" s="189" t="s">
        <v>168</v>
      </c>
      <c r="X123" s="189" t="s">
        <v>374</v>
      </c>
      <c r="Y123" s="189" t="s">
        <v>3064</v>
      </c>
      <c r="Z123" s="0" t="n">
        <v>1</v>
      </c>
      <c r="AA123" s="189" t="s">
        <v>3153</v>
      </c>
    </row>
    <row r="124" customFormat="false" ht="15" hidden="false" customHeight="true" outlineLevel="0" collapsed="false">
      <c r="A124" s="0" t="n">
        <v>24</v>
      </c>
      <c r="B124" s="188" t="n">
        <v>46192.6959382555</v>
      </c>
      <c r="C124" s="188" t="n">
        <v>46192.7045609407</v>
      </c>
      <c r="D124" s="189" t="s">
        <v>371</v>
      </c>
      <c r="E124" s="189" t="s">
        <v>372</v>
      </c>
      <c r="F124" s="189" t="s">
        <v>372</v>
      </c>
      <c r="G124" s="189" t="s">
        <v>373</v>
      </c>
      <c r="H124" s="188" t="n">
        <v>46173</v>
      </c>
      <c r="I124" s="189" t="s">
        <v>113</v>
      </c>
      <c r="J124" s="189" t="s">
        <v>108</v>
      </c>
      <c r="K124" s="189" t="s">
        <v>143</v>
      </c>
      <c r="L124" s="189" t="s">
        <v>346</v>
      </c>
      <c r="M124" s="189" t="s">
        <v>365</v>
      </c>
      <c r="N124" s="189" t="s">
        <v>259</v>
      </c>
      <c r="O124" s="189" t="s">
        <v>260</v>
      </c>
      <c r="P124" s="189" t="s">
        <v>111</v>
      </c>
      <c r="Q124" s="189" t="s">
        <v>112</v>
      </c>
      <c r="R124" s="189" t="s">
        <v>21</v>
      </c>
      <c r="S124" s="189" t="s">
        <v>152</v>
      </c>
      <c r="T124" s="189" t="s">
        <v>121</v>
      </c>
      <c r="U124" s="189" t="s">
        <v>122</v>
      </c>
      <c r="V124" s="189" t="s">
        <v>192</v>
      </c>
      <c r="W124" s="189" t="s">
        <v>168</v>
      </c>
      <c r="X124" s="189" t="s">
        <v>374</v>
      </c>
      <c r="Y124" s="189" t="s">
        <v>3064</v>
      </c>
      <c r="Z124" s="0" t="n">
        <v>2</v>
      </c>
      <c r="AA124" s="189" t="s">
        <v>3154</v>
      </c>
    </row>
    <row r="125" customFormat="false" ht="15" hidden="false" customHeight="true" outlineLevel="0" collapsed="false">
      <c r="A125" s="0" t="n">
        <v>24</v>
      </c>
      <c r="B125" s="188" t="n">
        <v>46192.6959382555</v>
      </c>
      <c r="C125" s="188" t="n">
        <v>46192.7045609407</v>
      </c>
      <c r="D125" s="189" t="s">
        <v>371</v>
      </c>
      <c r="E125" s="189" t="s">
        <v>372</v>
      </c>
      <c r="F125" s="189" t="s">
        <v>372</v>
      </c>
      <c r="G125" s="189" t="s">
        <v>373</v>
      </c>
      <c r="H125" s="188" t="n">
        <v>46173</v>
      </c>
      <c r="I125" s="189" t="s">
        <v>113</v>
      </c>
      <c r="J125" s="189" t="s">
        <v>108</v>
      </c>
      <c r="K125" s="189" t="s">
        <v>143</v>
      </c>
      <c r="L125" s="189" t="s">
        <v>346</v>
      </c>
      <c r="M125" s="189" t="s">
        <v>365</v>
      </c>
      <c r="N125" s="189" t="s">
        <v>259</v>
      </c>
      <c r="O125" s="189" t="s">
        <v>260</v>
      </c>
      <c r="P125" s="189" t="s">
        <v>111</v>
      </c>
      <c r="Q125" s="189" t="s">
        <v>112</v>
      </c>
      <c r="R125" s="189" t="s">
        <v>21</v>
      </c>
      <c r="S125" s="189" t="s">
        <v>152</v>
      </c>
      <c r="T125" s="189" t="s">
        <v>121</v>
      </c>
      <c r="U125" s="189" t="s">
        <v>122</v>
      </c>
      <c r="V125" s="189" t="s">
        <v>192</v>
      </c>
      <c r="W125" s="189" t="s">
        <v>168</v>
      </c>
      <c r="X125" s="189" t="s">
        <v>374</v>
      </c>
      <c r="Y125" s="189" t="s">
        <v>3064</v>
      </c>
      <c r="Z125" s="0" t="n">
        <v>3</v>
      </c>
      <c r="AA125" s="189" t="s">
        <v>3155</v>
      </c>
    </row>
    <row r="126" customFormat="false" ht="15" hidden="false" customHeight="true" outlineLevel="0" collapsed="false">
      <c r="A126" s="0" t="n">
        <v>24</v>
      </c>
      <c r="B126" s="188" t="n">
        <v>46192.6959382555</v>
      </c>
      <c r="C126" s="188" t="n">
        <v>46192.7045609407</v>
      </c>
      <c r="D126" s="189" t="s">
        <v>371</v>
      </c>
      <c r="E126" s="189" t="s">
        <v>372</v>
      </c>
      <c r="F126" s="189" t="s">
        <v>372</v>
      </c>
      <c r="G126" s="189" t="s">
        <v>373</v>
      </c>
      <c r="H126" s="188" t="n">
        <v>46173</v>
      </c>
      <c r="I126" s="189" t="s">
        <v>113</v>
      </c>
      <c r="J126" s="189" t="s">
        <v>108</v>
      </c>
      <c r="K126" s="189" t="s">
        <v>143</v>
      </c>
      <c r="L126" s="189" t="s">
        <v>346</v>
      </c>
      <c r="M126" s="189" t="s">
        <v>365</v>
      </c>
      <c r="N126" s="189" t="s">
        <v>259</v>
      </c>
      <c r="O126" s="189" t="s">
        <v>260</v>
      </c>
      <c r="P126" s="189" t="s">
        <v>111</v>
      </c>
      <c r="Q126" s="189" t="s">
        <v>112</v>
      </c>
      <c r="R126" s="189" t="s">
        <v>21</v>
      </c>
      <c r="S126" s="189" t="s">
        <v>152</v>
      </c>
      <c r="T126" s="189" t="s">
        <v>121</v>
      </c>
      <c r="U126" s="189" t="s">
        <v>122</v>
      </c>
      <c r="V126" s="189" t="s">
        <v>192</v>
      </c>
      <c r="W126" s="189" t="s">
        <v>168</v>
      </c>
      <c r="X126" s="189" t="s">
        <v>374</v>
      </c>
      <c r="Y126" s="189" t="s">
        <v>3066</v>
      </c>
      <c r="Z126" s="0" t="n">
        <v>1</v>
      </c>
      <c r="AA126" s="189" t="s">
        <v>3156</v>
      </c>
    </row>
    <row r="127" customFormat="false" ht="15" hidden="false" customHeight="true" outlineLevel="0" collapsed="false">
      <c r="A127" s="0" t="n">
        <v>24</v>
      </c>
      <c r="B127" s="188" t="n">
        <v>46192.6959382555</v>
      </c>
      <c r="C127" s="188" t="n">
        <v>46192.7045609407</v>
      </c>
      <c r="D127" s="189" t="s">
        <v>371</v>
      </c>
      <c r="E127" s="189" t="s">
        <v>372</v>
      </c>
      <c r="F127" s="189" t="s">
        <v>372</v>
      </c>
      <c r="G127" s="189" t="s">
        <v>373</v>
      </c>
      <c r="H127" s="188" t="n">
        <v>46173</v>
      </c>
      <c r="I127" s="189" t="s">
        <v>113</v>
      </c>
      <c r="J127" s="189" t="s">
        <v>108</v>
      </c>
      <c r="K127" s="189" t="s">
        <v>143</v>
      </c>
      <c r="L127" s="189" t="s">
        <v>346</v>
      </c>
      <c r="M127" s="189" t="s">
        <v>365</v>
      </c>
      <c r="N127" s="189" t="s">
        <v>259</v>
      </c>
      <c r="O127" s="189" t="s">
        <v>260</v>
      </c>
      <c r="P127" s="189" t="s">
        <v>111</v>
      </c>
      <c r="Q127" s="189" t="s">
        <v>112</v>
      </c>
      <c r="R127" s="189" t="s">
        <v>21</v>
      </c>
      <c r="S127" s="189" t="s">
        <v>152</v>
      </c>
      <c r="T127" s="189" t="s">
        <v>121</v>
      </c>
      <c r="U127" s="189" t="s">
        <v>122</v>
      </c>
      <c r="V127" s="189" t="s">
        <v>192</v>
      </c>
      <c r="W127" s="189" t="s">
        <v>168</v>
      </c>
      <c r="X127" s="189" t="s">
        <v>374</v>
      </c>
      <c r="Y127" s="189" t="s">
        <v>3069</v>
      </c>
      <c r="Z127" s="0" t="n">
        <v>1</v>
      </c>
      <c r="AA127" s="189" t="s">
        <v>3157</v>
      </c>
    </row>
    <row r="128" customFormat="false" ht="15" hidden="false" customHeight="true" outlineLevel="0" collapsed="false">
      <c r="A128" s="0" t="n">
        <v>24</v>
      </c>
      <c r="B128" s="188" t="n">
        <v>46192.6959382555</v>
      </c>
      <c r="C128" s="188" t="n">
        <v>46192.7045609407</v>
      </c>
      <c r="D128" s="189" t="s">
        <v>371</v>
      </c>
      <c r="E128" s="189" t="s">
        <v>372</v>
      </c>
      <c r="F128" s="189" t="s">
        <v>372</v>
      </c>
      <c r="G128" s="189" t="s">
        <v>373</v>
      </c>
      <c r="H128" s="188" t="n">
        <v>46173</v>
      </c>
      <c r="I128" s="189" t="s">
        <v>113</v>
      </c>
      <c r="J128" s="189" t="s">
        <v>108</v>
      </c>
      <c r="K128" s="189" t="s">
        <v>143</v>
      </c>
      <c r="L128" s="189" t="s">
        <v>346</v>
      </c>
      <c r="M128" s="189" t="s">
        <v>365</v>
      </c>
      <c r="N128" s="189" t="s">
        <v>259</v>
      </c>
      <c r="O128" s="189" t="s">
        <v>260</v>
      </c>
      <c r="P128" s="189" t="s">
        <v>111</v>
      </c>
      <c r="Q128" s="189" t="s">
        <v>112</v>
      </c>
      <c r="R128" s="189" t="s">
        <v>21</v>
      </c>
      <c r="S128" s="189" t="s">
        <v>152</v>
      </c>
      <c r="T128" s="189" t="s">
        <v>121</v>
      </c>
      <c r="U128" s="189" t="s">
        <v>122</v>
      </c>
      <c r="V128" s="189" t="s">
        <v>192</v>
      </c>
      <c r="W128" s="189" t="s">
        <v>168</v>
      </c>
      <c r="X128" s="189" t="s">
        <v>374</v>
      </c>
      <c r="Y128" s="189" t="s">
        <v>3069</v>
      </c>
      <c r="Z128" s="0" t="n">
        <v>2</v>
      </c>
      <c r="AA128" s="189" t="s">
        <v>3158</v>
      </c>
    </row>
    <row r="129" customFormat="false" ht="15" hidden="false" customHeight="true" outlineLevel="0" collapsed="false">
      <c r="A129" s="0" t="n">
        <v>25</v>
      </c>
      <c r="B129" s="188" t="n">
        <v>46061.7051121846</v>
      </c>
      <c r="C129" s="188" t="n">
        <v>46061.7100311661</v>
      </c>
      <c r="D129" s="189" t="s">
        <v>378</v>
      </c>
      <c r="E129" s="189" t="s">
        <v>379</v>
      </c>
      <c r="F129" s="189" t="s">
        <v>379</v>
      </c>
      <c r="G129" s="189" t="s">
        <v>380</v>
      </c>
      <c r="H129" s="188" t="n">
        <v>46059</v>
      </c>
      <c r="I129" s="189" t="s">
        <v>325</v>
      </c>
      <c r="J129" s="189" t="s">
        <v>295</v>
      </c>
      <c r="K129" s="189" t="s">
        <v>232</v>
      </c>
      <c r="L129" s="189" t="s">
        <v>296</v>
      </c>
      <c r="M129" s="189" t="s">
        <v>258</v>
      </c>
      <c r="N129" s="189" t="s">
        <v>115</v>
      </c>
      <c r="O129" s="189" t="s">
        <v>107</v>
      </c>
      <c r="P129" s="189" t="s">
        <v>111</v>
      </c>
      <c r="Q129" s="189" t="s">
        <v>145</v>
      </c>
      <c r="R129" s="189" t="s">
        <v>22</v>
      </c>
      <c r="S129" s="189" t="s">
        <v>152</v>
      </c>
      <c r="T129" s="189" t="s">
        <v>180</v>
      </c>
      <c r="U129" s="189" t="s">
        <v>385</v>
      </c>
      <c r="V129" s="189" t="s">
        <v>167</v>
      </c>
      <c r="W129" s="189" t="s">
        <v>139</v>
      </c>
      <c r="X129" s="189" t="s">
        <v>381</v>
      </c>
      <c r="Y129" s="189" t="s">
        <v>3064</v>
      </c>
      <c r="Z129" s="0" t="n">
        <v>1</v>
      </c>
      <c r="AA129" s="189" t="s">
        <v>3159</v>
      </c>
    </row>
    <row r="130" customFormat="false" ht="15" hidden="false" customHeight="true" outlineLevel="0" collapsed="false">
      <c r="A130" s="0" t="n">
        <v>25</v>
      </c>
      <c r="B130" s="188" t="n">
        <v>46061.7051121846</v>
      </c>
      <c r="C130" s="188" t="n">
        <v>46061.7100311661</v>
      </c>
      <c r="D130" s="189" t="s">
        <v>378</v>
      </c>
      <c r="E130" s="189" t="s">
        <v>379</v>
      </c>
      <c r="F130" s="189" t="s">
        <v>379</v>
      </c>
      <c r="G130" s="189" t="s">
        <v>380</v>
      </c>
      <c r="H130" s="188" t="n">
        <v>46059</v>
      </c>
      <c r="I130" s="189" t="s">
        <v>325</v>
      </c>
      <c r="J130" s="189" t="s">
        <v>295</v>
      </c>
      <c r="K130" s="189" t="s">
        <v>232</v>
      </c>
      <c r="L130" s="189" t="s">
        <v>296</v>
      </c>
      <c r="M130" s="189" t="s">
        <v>258</v>
      </c>
      <c r="N130" s="189" t="s">
        <v>115</v>
      </c>
      <c r="O130" s="189" t="s">
        <v>107</v>
      </c>
      <c r="P130" s="189" t="s">
        <v>111</v>
      </c>
      <c r="Q130" s="189" t="s">
        <v>145</v>
      </c>
      <c r="R130" s="189" t="s">
        <v>22</v>
      </c>
      <c r="S130" s="189" t="s">
        <v>152</v>
      </c>
      <c r="T130" s="189" t="s">
        <v>180</v>
      </c>
      <c r="U130" s="189" t="s">
        <v>385</v>
      </c>
      <c r="V130" s="189" t="s">
        <v>167</v>
      </c>
      <c r="W130" s="189" t="s">
        <v>139</v>
      </c>
      <c r="X130" s="189" t="s">
        <v>381</v>
      </c>
      <c r="Y130" s="189" t="s">
        <v>3066</v>
      </c>
      <c r="Z130" s="0" t="n">
        <v>1</v>
      </c>
      <c r="AA130" s="189" t="s">
        <v>3160</v>
      </c>
    </row>
    <row r="131" customFormat="false" ht="15" hidden="false" customHeight="true" outlineLevel="0" collapsed="false">
      <c r="A131" s="0" t="n">
        <v>25</v>
      </c>
      <c r="B131" s="188" t="n">
        <v>46061.7051121846</v>
      </c>
      <c r="C131" s="188" t="n">
        <v>46061.7100311661</v>
      </c>
      <c r="D131" s="189" t="s">
        <v>378</v>
      </c>
      <c r="E131" s="189" t="s">
        <v>379</v>
      </c>
      <c r="F131" s="189" t="s">
        <v>379</v>
      </c>
      <c r="G131" s="189" t="s">
        <v>380</v>
      </c>
      <c r="H131" s="188" t="n">
        <v>46059</v>
      </c>
      <c r="I131" s="189" t="s">
        <v>325</v>
      </c>
      <c r="J131" s="189" t="s">
        <v>295</v>
      </c>
      <c r="K131" s="189" t="s">
        <v>232</v>
      </c>
      <c r="L131" s="189" t="s">
        <v>296</v>
      </c>
      <c r="M131" s="189" t="s">
        <v>258</v>
      </c>
      <c r="N131" s="189" t="s">
        <v>115</v>
      </c>
      <c r="O131" s="189" t="s">
        <v>107</v>
      </c>
      <c r="P131" s="189" t="s">
        <v>111</v>
      </c>
      <c r="Q131" s="189" t="s">
        <v>145</v>
      </c>
      <c r="R131" s="189" t="s">
        <v>22</v>
      </c>
      <c r="S131" s="189" t="s">
        <v>152</v>
      </c>
      <c r="T131" s="189" t="s">
        <v>180</v>
      </c>
      <c r="U131" s="189" t="s">
        <v>385</v>
      </c>
      <c r="V131" s="189" t="s">
        <v>167</v>
      </c>
      <c r="W131" s="189" t="s">
        <v>139</v>
      </c>
      <c r="X131" s="189" t="s">
        <v>381</v>
      </c>
      <c r="Y131" s="189" t="s">
        <v>3066</v>
      </c>
      <c r="Z131" s="0" t="n">
        <v>2</v>
      </c>
      <c r="AA131" s="189" t="s">
        <v>3161</v>
      </c>
    </row>
    <row r="132" customFormat="false" ht="15" hidden="false" customHeight="true" outlineLevel="0" collapsed="false">
      <c r="A132" s="0" t="n">
        <v>25</v>
      </c>
      <c r="B132" s="188" t="n">
        <v>46061.7051121846</v>
      </c>
      <c r="C132" s="188" t="n">
        <v>46061.7100311661</v>
      </c>
      <c r="D132" s="189" t="s">
        <v>378</v>
      </c>
      <c r="E132" s="189" t="s">
        <v>379</v>
      </c>
      <c r="F132" s="189" t="s">
        <v>379</v>
      </c>
      <c r="G132" s="189" t="s">
        <v>380</v>
      </c>
      <c r="H132" s="188" t="n">
        <v>46059</v>
      </c>
      <c r="I132" s="189" t="s">
        <v>325</v>
      </c>
      <c r="J132" s="189" t="s">
        <v>295</v>
      </c>
      <c r="K132" s="189" t="s">
        <v>232</v>
      </c>
      <c r="L132" s="189" t="s">
        <v>296</v>
      </c>
      <c r="M132" s="189" t="s">
        <v>258</v>
      </c>
      <c r="N132" s="189" t="s">
        <v>115</v>
      </c>
      <c r="O132" s="189" t="s">
        <v>107</v>
      </c>
      <c r="P132" s="189" t="s">
        <v>111</v>
      </c>
      <c r="Q132" s="189" t="s">
        <v>145</v>
      </c>
      <c r="R132" s="189" t="s">
        <v>22</v>
      </c>
      <c r="S132" s="189" t="s">
        <v>152</v>
      </c>
      <c r="T132" s="189" t="s">
        <v>180</v>
      </c>
      <c r="U132" s="189" t="s">
        <v>385</v>
      </c>
      <c r="V132" s="189" t="s">
        <v>167</v>
      </c>
      <c r="W132" s="189" t="s">
        <v>139</v>
      </c>
      <c r="X132" s="189" t="s">
        <v>381</v>
      </c>
      <c r="Y132" s="189" t="s">
        <v>3069</v>
      </c>
      <c r="Z132" s="0" t="n">
        <v>1</v>
      </c>
      <c r="AA132" s="189" t="s">
        <v>3162</v>
      </c>
    </row>
    <row r="133" customFormat="false" ht="15" hidden="false" customHeight="true" outlineLevel="0" collapsed="false">
      <c r="A133" s="0" t="n">
        <v>25</v>
      </c>
      <c r="B133" s="188" t="n">
        <v>46061.7051121846</v>
      </c>
      <c r="C133" s="188" t="n">
        <v>46061.7100311661</v>
      </c>
      <c r="D133" s="189" t="s">
        <v>378</v>
      </c>
      <c r="E133" s="189" t="s">
        <v>379</v>
      </c>
      <c r="F133" s="189" t="s">
        <v>379</v>
      </c>
      <c r="G133" s="189" t="s">
        <v>380</v>
      </c>
      <c r="H133" s="188" t="n">
        <v>46059</v>
      </c>
      <c r="I133" s="189" t="s">
        <v>325</v>
      </c>
      <c r="J133" s="189" t="s">
        <v>295</v>
      </c>
      <c r="K133" s="189" t="s">
        <v>232</v>
      </c>
      <c r="L133" s="189" t="s">
        <v>296</v>
      </c>
      <c r="M133" s="189" t="s">
        <v>258</v>
      </c>
      <c r="N133" s="189" t="s">
        <v>115</v>
      </c>
      <c r="O133" s="189" t="s">
        <v>107</v>
      </c>
      <c r="P133" s="189" t="s">
        <v>111</v>
      </c>
      <c r="Q133" s="189" t="s">
        <v>145</v>
      </c>
      <c r="R133" s="189" t="s">
        <v>22</v>
      </c>
      <c r="S133" s="189" t="s">
        <v>152</v>
      </c>
      <c r="T133" s="189" t="s">
        <v>180</v>
      </c>
      <c r="U133" s="189" t="s">
        <v>385</v>
      </c>
      <c r="V133" s="189" t="s">
        <v>167</v>
      </c>
      <c r="W133" s="189" t="s">
        <v>139</v>
      </c>
      <c r="X133" s="189" t="s">
        <v>381</v>
      </c>
      <c r="Y133" s="189" t="s">
        <v>3069</v>
      </c>
      <c r="Z133" s="0" t="n">
        <v>2</v>
      </c>
      <c r="AA133" s="189" t="s">
        <v>3163</v>
      </c>
    </row>
    <row r="134" customFormat="false" ht="15" hidden="false" customHeight="true" outlineLevel="0" collapsed="false">
      <c r="A134" s="0" t="n">
        <v>26</v>
      </c>
      <c r="B134" s="188" t="n">
        <v>46122.9892027183</v>
      </c>
      <c r="C134" s="188" t="n">
        <v>46123.0085082739</v>
      </c>
      <c r="D134" s="189" t="s">
        <v>386</v>
      </c>
      <c r="E134" s="189" t="s">
        <v>387</v>
      </c>
      <c r="F134" s="189" t="s">
        <v>387</v>
      </c>
      <c r="G134" s="189" t="s">
        <v>388</v>
      </c>
      <c r="H134" s="188" t="n">
        <v>46102</v>
      </c>
      <c r="I134" s="189" t="s">
        <v>113</v>
      </c>
      <c r="J134" s="189" t="s">
        <v>108</v>
      </c>
      <c r="K134" s="189" t="s">
        <v>245</v>
      </c>
      <c r="L134" s="189" t="s">
        <v>389</v>
      </c>
      <c r="M134" s="189" t="s">
        <v>391</v>
      </c>
      <c r="N134" s="189" t="s">
        <v>280</v>
      </c>
      <c r="O134" s="189" t="s">
        <v>172</v>
      </c>
      <c r="P134" s="189" t="s">
        <v>390</v>
      </c>
      <c r="Q134" s="189" t="s">
        <v>112</v>
      </c>
      <c r="R134" s="189" t="s">
        <v>21</v>
      </c>
      <c r="S134" s="189" t="s">
        <v>152</v>
      </c>
      <c r="T134" s="189" t="s">
        <v>121</v>
      </c>
      <c r="U134" s="189" t="s">
        <v>122</v>
      </c>
      <c r="V134" s="189" t="s">
        <v>167</v>
      </c>
      <c r="W134" s="189" t="s">
        <v>168</v>
      </c>
      <c r="X134" s="189" t="s">
        <v>348</v>
      </c>
      <c r="Y134" s="189" t="s">
        <v>3064</v>
      </c>
      <c r="Z134" s="0" t="n">
        <v>1</v>
      </c>
      <c r="AA134" s="189" t="s">
        <v>3164</v>
      </c>
    </row>
    <row r="135" customFormat="false" ht="15" hidden="false" customHeight="true" outlineLevel="0" collapsed="false">
      <c r="A135" s="0" t="n">
        <v>26</v>
      </c>
      <c r="B135" s="188" t="n">
        <v>46122.9892027183</v>
      </c>
      <c r="C135" s="188" t="n">
        <v>46123.0085082739</v>
      </c>
      <c r="D135" s="189" t="s">
        <v>386</v>
      </c>
      <c r="E135" s="189" t="s">
        <v>387</v>
      </c>
      <c r="F135" s="189" t="s">
        <v>387</v>
      </c>
      <c r="G135" s="189" t="s">
        <v>388</v>
      </c>
      <c r="H135" s="188" t="n">
        <v>46102</v>
      </c>
      <c r="I135" s="189" t="s">
        <v>113</v>
      </c>
      <c r="J135" s="189" t="s">
        <v>108</v>
      </c>
      <c r="K135" s="189" t="s">
        <v>245</v>
      </c>
      <c r="L135" s="189" t="s">
        <v>389</v>
      </c>
      <c r="M135" s="189" t="s">
        <v>391</v>
      </c>
      <c r="N135" s="189" t="s">
        <v>280</v>
      </c>
      <c r="O135" s="189" t="s">
        <v>172</v>
      </c>
      <c r="P135" s="189" t="s">
        <v>390</v>
      </c>
      <c r="Q135" s="189" t="s">
        <v>112</v>
      </c>
      <c r="R135" s="189" t="s">
        <v>21</v>
      </c>
      <c r="S135" s="189" t="s">
        <v>152</v>
      </c>
      <c r="T135" s="189" t="s">
        <v>121</v>
      </c>
      <c r="U135" s="189" t="s">
        <v>122</v>
      </c>
      <c r="V135" s="189" t="s">
        <v>167</v>
      </c>
      <c r="W135" s="189" t="s">
        <v>168</v>
      </c>
      <c r="X135" s="189" t="s">
        <v>348</v>
      </c>
      <c r="Y135" s="189" t="s">
        <v>3064</v>
      </c>
      <c r="Z135" s="0" t="n">
        <v>2</v>
      </c>
      <c r="AA135" s="189" t="s">
        <v>3165</v>
      </c>
    </row>
    <row r="136" customFormat="false" ht="15" hidden="false" customHeight="true" outlineLevel="0" collapsed="false">
      <c r="A136" s="0" t="n">
        <v>26</v>
      </c>
      <c r="B136" s="188" t="n">
        <v>46122.9892027183</v>
      </c>
      <c r="C136" s="188" t="n">
        <v>46123.0085082739</v>
      </c>
      <c r="D136" s="189" t="s">
        <v>386</v>
      </c>
      <c r="E136" s="189" t="s">
        <v>387</v>
      </c>
      <c r="F136" s="189" t="s">
        <v>387</v>
      </c>
      <c r="G136" s="189" t="s">
        <v>388</v>
      </c>
      <c r="H136" s="188" t="n">
        <v>46102</v>
      </c>
      <c r="I136" s="189" t="s">
        <v>113</v>
      </c>
      <c r="J136" s="189" t="s">
        <v>108</v>
      </c>
      <c r="K136" s="189" t="s">
        <v>245</v>
      </c>
      <c r="L136" s="189" t="s">
        <v>389</v>
      </c>
      <c r="M136" s="189" t="s">
        <v>391</v>
      </c>
      <c r="N136" s="189" t="s">
        <v>280</v>
      </c>
      <c r="O136" s="189" t="s">
        <v>172</v>
      </c>
      <c r="P136" s="189" t="s">
        <v>390</v>
      </c>
      <c r="Q136" s="189" t="s">
        <v>112</v>
      </c>
      <c r="R136" s="189" t="s">
        <v>21</v>
      </c>
      <c r="S136" s="189" t="s">
        <v>152</v>
      </c>
      <c r="T136" s="189" t="s">
        <v>121</v>
      </c>
      <c r="U136" s="189" t="s">
        <v>122</v>
      </c>
      <c r="V136" s="189" t="s">
        <v>167</v>
      </c>
      <c r="W136" s="189" t="s">
        <v>168</v>
      </c>
      <c r="X136" s="189" t="s">
        <v>348</v>
      </c>
      <c r="Y136" s="189" t="s">
        <v>3066</v>
      </c>
      <c r="Z136" s="0" t="n">
        <v>1</v>
      </c>
      <c r="AA136" s="189" t="s">
        <v>3147</v>
      </c>
    </row>
    <row r="137" customFormat="false" ht="15" hidden="false" customHeight="true" outlineLevel="0" collapsed="false">
      <c r="A137" s="0" t="n">
        <v>26</v>
      </c>
      <c r="B137" s="188" t="n">
        <v>46122.9892027183</v>
      </c>
      <c r="C137" s="188" t="n">
        <v>46123.0085082739</v>
      </c>
      <c r="D137" s="189" t="s">
        <v>386</v>
      </c>
      <c r="E137" s="189" t="s">
        <v>387</v>
      </c>
      <c r="F137" s="189" t="s">
        <v>387</v>
      </c>
      <c r="G137" s="189" t="s">
        <v>388</v>
      </c>
      <c r="H137" s="188" t="n">
        <v>46102</v>
      </c>
      <c r="I137" s="189" t="s">
        <v>113</v>
      </c>
      <c r="J137" s="189" t="s">
        <v>108</v>
      </c>
      <c r="K137" s="189" t="s">
        <v>245</v>
      </c>
      <c r="L137" s="189" t="s">
        <v>389</v>
      </c>
      <c r="M137" s="189" t="s">
        <v>391</v>
      </c>
      <c r="N137" s="189" t="s">
        <v>280</v>
      </c>
      <c r="O137" s="189" t="s">
        <v>172</v>
      </c>
      <c r="P137" s="189" t="s">
        <v>390</v>
      </c>
      <c r="Q137" s="189" t="s">
        <v>112</v>
      </c>
      <c r="R137" s="189" t="s">
        <v>21</v>
      </c>
      <c r="S137" s="189" t="s">
        <v>152</v>
      </c>
      <c r="T137" s="189" t="s">
        <v>121</v>
      </c>
      <c r="U137" s="189" t="s">
        <v>122</v>
      </c>
      <c r="V137" s="189" t="s">
        <v>167</v>
      </c>
      <c r="W137" s="189" t="s">
        <v>168</v>
      </c>
      <c r="X137" s="189" t="s">
        <v>348</v>
      </c>
      <c r="Y137" s="189" t="s">
        <v>3069</v>
      </c>
      <c r="Z137" s="0" t="n">
        <v>1</v>
      </c>
      <c r="AA137" s="189" t="s">
        <v>3166</v>
      </c>
    </row>
    <row r="138" customFormat="false" ht="15" hidden="false" customHeight="true" outlineLevel="0" collapsed="false">
      <c r="A138" s="0" t="n">
        <v>27</v>
      </c>
      <c r="B138" s="188" t="n">
        <v>46077.5137245718</v>
      </c>
      <c r="C138" s="188" t="n">
        <v>46077.5163981829</v>
      </c>
      <c r="D138" s="189" t="s">
        <v>394</v>
      </c>
      <c r="E138" s="189" t="s">
        <v>395</v>
      </c>
      <c r="F138" s="189" t="s">
        <v>395</v>
      </c>
      <c r="G138" s="189" t="s">
        <v>396</v>
      </c>
      <c r="H138" s="188" t="n">
        <v>46058</v>
      </c>
      <c r="I138" s="189" t="s">
        <v>113</v>
      </c>
      <c r="J138" s="189" t="s">
        <v>108</v>
      </c>
      <c r="K138" s="189" t="s">
        <v>143</v>
      </c>
      <c r="L138" s="189" t="s">
        <v>346</v>
      </c>
      <c r="M138" s="189" t="s">
        <v>397</v>
      </c>
      <c r="N138" s="189" t="s">
        <v>398</v>
      </c>
      <c r="O138" s="189" t="s">
        <v>278</v>
      </c>
      <c r="P138" s="189" t="s">
        <v>111</v>
      </c>
      <c r="Q138" s="189" t="s">
        <v>247</v>
      </c>
      <c r="R138" s="189" t="s">
        <v>21</v>
      </c>
      <c r="S138" s="189" t="s">
        <v>152</v>
      </c>
      <c r="T138" s="189" t="s">
        <v>400</v>
      </c>
      <c r="U138" s="189" t="s">
        <v>401</v>
      </c>
      <c r="V138" s="189" t="s">
        <v>167</v>
      </c>
      <c r="W138" s="189" t="s">
        <v>124</v>
      </c>
      <c r="X138" s="189" t="s">
        <v>187</v>
      </c>
      <c r="Y138" s="189" t="s">
        <v>3064</v>
      </c>
      <c r="Z138" s="0" t="n">
        <v>1</v>
      </c>
      <c r="AA138" s="189" t="s">
        <v>3089</v>
      </c>
    </row>
    <row r="139" customFormat="false" ht="15" hidden="false" customHeight="true" outlineLevel="0" collapsed="false">
      <c r="A139" s="0" t="n">
        <v>27</v>
      </c>
      <c r="B139" s="188" t="n">
        <v>46077.5137245718</v>
      </c>
      <c r="C139" s="188" t="n">
        <v>46077.5163981829</v>
      </c>
      <c r="D139" s="189" t="s">
        <v>394</v>
      </c>
      <c r="E139" s="189" t="s">
        <v>395</v>
      </c>
      <c r="F139" s="189" t="s">
        <v>395</v>
      </c>
      <c r="G139" s="189" t="s">
        <v>396</v>
      </c>
      <c r="H139" s="188" t="n">
        <v>46058</v>
      </c>
      <c r="I139" s="189" t="s">
        <v>113</v>
      </c>
      <c r="J139" s="189" t="s">
        <v>108</v>
      </c>
      <c r="K139" s="189" t="s">
        <v>143</v>
      </c>
      <c r="L139" s="189" t="s">
        <v>346</v>
      </c>
      <c r="M139" s="189" t="s">
        <v>397</v>
      </c>
      <c r="N139" s="189" t="s">
        <v>398</v>
      </c>
      <c r="O139" s="189" t="s">
        <v>278</v>
      </c>
      <c r="P139" s="189" t="s">
        <v>111</v>
      </c>
      <c r="Q139" s="189" t="s">
        <v>247</v>
      </c>
      <c r="R139" s="189" t="s">
        <v>21</v>
      </c>
      <c r="S139" s="189" t="s">
        <v>152</v>
      </c>
      <c r="T139" s="189" t="s">
        <v>400</v>
      </c>
      <c r="U139" s="189" t="s">
        <v>401</v>
      </c>
      <c r="V139" s="189" t="s">
        <v>167</v>
      </c>
      <c r="W139" s="189" t="s">
        <v>124</v>
      </c>
      <c r="X139" s="189" t="s">
        <v>187</v>
      </c>
      <c r="Y139" s="189" t="s">
        <v>3066</v>
      </c>
      <c r="Z139" s="0" t="n">
        <v>1</v>
      </c>
      <c r="AA139" s="189" t="s">
        <v>3167</v>
      </c>
    </row>
    <row r="140" s="190" customFormat="true" ht="15" hidden="false" customHeight="true" outlineLevel="0" collapsed="false">
      <c r="A140" s="190" t="n">
        <v>27</v>
      </c>
      <c r="B140" s="188" t="n">
        <v>46077.5137245718</v>
      </c>
      <c r="C140" s="188" t="n">
        <v>46077.5163981829</v>
      </c>
      <c r="D140" s="190" t="s">
        <v>394</v>
      </c>
      <c r="E140" s="190" t="s">
        <v>395</v>
      </c>
      <c r="F140" s="190" t="s">
        <v>395</v>
      </c>
      <c r="G140" s="190" t="s">
        <v>396</v>
      </c>
      <c r="H140" s="188" t="n">
        <v>46058</v>
      </c>
      <c r="I140" s="190" t="s">
        <v>113</v>
      </c>
      <c r="J140" s="190" t="s">
        <v>108</v>
      </c>
      <c r="K140" s="190" t="s">
        <v>143</v>
      </c>
      <c r="L140" s="190" t="s">
        <v>346</v>
      </c>
      <c r="M140" s="190" t="s">
        <v>397</v>
      </c>
      <c r="N140" s="190" t="s">
        <v>398</v>
      </c>
      <c r="O140" s="190" t="s">
        <v>278</v>
      </c>
      <c r="P140" s="190" t="s">
        <v>111</v>
      </c>
      <c r="Q140" s="190" t="s">
        <v>247</v>
      </c>
      <c r="R140" s="190" t="s">
        <v>21</v>
      </c>
      <c r="S140" s="190" t="s">
        <v>152</v>
      </c>
      <c r="T140" s="190" t="s">
        <v>400</v>
      </c>
      <c r="U140" s="190" t="s">
        <v>401</v>
      </c>
      <c r="V140" s="190" t="s">
        <v>167</v>
      </c>
      <c r="W140" s="190" t="s">
        <v>124</v>
      </c>
      <c r="X140" s="190" t="s">
        <v>187</v>
      </c>
      <c r="Y140" s="190" t="s">
        <v>3069</v>
      </c>
      <c r="Z140" s="190" t="n">
        <v>1</v>
      </c>
      <c r="AA140" s="190" t="s">
        <v>3091</v>
      </c>
    </row>
    <row r="141" s="190" customFormat="true" ht="15" hidden="false" customHeight="true" outlineLevel="0" collapsed="false">
      <c r="A141" s="190" t="n">
        <v>28</v>
      </c>
      <c r="B141" s="188" t="n">
        <v>46167.3966630999</v>
      </c>
      <c r="C141" s="188" t="n">
        <v>46167.4147649518</v>
      </c>
      <c r="D141" s="190" t="s">
        <v>402</v>
      </c>
      <c r="E141" s="190" t="s">
        <v>403</v>
      </c>
      <c r="F141" s="190" t="s">
        <v>403</v>
      </c>
      <c r="G141" s="190" t="s">
        <v>404</v>
      </c>
      <c r="H141" s="188" t="n">
        <v>46152</v>
      </c>
      <c r="I141" s="190" t="s">
        <v>305</v>
      </c>
      <c r="J141" s="190" t="s">
        <v>108</v>
      </c>
      <c r="K141" s="190" t="s">
        <v>245</v>
      </c>
      <c r="L141" s="190" t="s">
        <v>286</v>
      </c>
      <c r="M141" s="190" t="s">
        <v>406</v>
      </c>
      <c r="N141" s="190" t="s">
        <v>407</v>
      </c>
      <c r="O141" s="190" t="s">
        <v>405</v>
      </c>
      <c r="P141" s="190" t="s">
        <v>211</v>
      </c>
      <c r="Q141" s="190" t="s">
        <v>112</v>
      </c>
      <c r="R141" s="190" t="s">
        <v>22</v>
      </c>
      <c r="S141" s="190" t="s">
        <v>320</v>
      </c>
      <c r="T141" s="190" t="s">
        <v>121</v>
      </c>
      <c r="U141" s="190" t="s">
        <v>122</v>
      </c>
      <c r="V141" s="190" t="s">
        <v>123</v>
      </c>
      <c r="W141" s="190" t="s">
        <v>124</v>
      </c>
      <c r="X141" s="190" t="s">
        <v>339</v>
      </c>
      <c r="Y141" s="190" t="s">
        <v>3064</v>
      </c>
      <c r="Z141" s="190" t="n">
        <v>1</v>
      </c>
      <c r="AA141" s="190" t="s">
        <v>3168</v>
      </c>
    </row>
    <row r="142" s="190" customFormat="true" ht="15" hidden="false" customHeight="true" outlineLevel="0" collapsed="false">
      <c r="A142" s="190" t="n">
        <v>28</v>
      </c>
      <c r="B142" s="188" t="n">
        <v>46167.3966630999</v>
      </c>
      <c r="C142" s="188" t="n">
        <v>46167.4147649518</v>
      </c>
      <c r="D142" s="190" t="s">
        <v>402</v>
      </c>
      <c r="E142" s="190" t="s">
        <v>403</v>
      </c>
      <c r="F142" s="190" t="s">
        <v>403</v>
      </c>
      <c r="G142" s="190" t="s">
        <v>404</v>
      </c>
      <c r="H142" s="188" t="n">
        <v>46152</v>
      </c>
      <c r="I142" s="190" t="s">
        <v>305</v>
      </c>
      <c r="J142" s="190" t="s">
        <v>108</v>
      </c>
      <c r="K142" s="190" t="s">
        <v>245</v>
      </c>
      <c r="L142" s="190" t="s">
        <v>286</v>
      </c>
      <c r="M142" s="190" t="s">
        <v>406</v>
      </c>
      <c r="N142" s="190" t="s">
        <v>407</v>
      </c>
      <c r="O142" s="190" t="s">
        <v>405</v>
      </c>
      <c r="P142" s="190" t="s">
        <v>211</v>
      </c>
      <c r="Q142" s="190" t="s">
        <v>112</v>
      </c>
      <c r="R142" s="190" t="s">
        <v>22</v>
      </c>
      <c r="S142" s="190" t="s">
        <v>320</v>
      </c>
      <c r="T142" s="190" t="s">
        <v>121</v>
      </c>
      <c r="U142" s="190" t="s">
        <v>122</v>
      </c>
      <c r="V142" s="190" t="s">
        <v>123</v>
      </c>
      <c r="W142" s="190" t="s">
        <v>124</v>
      </c>
      <c r="X142" s="190" t="s">
        <v>339</v>
      </c>
      <c r="Y142" s="190" t="s">
        <v>3064</v>
      </c>
      <c r="Z142" s="190" t="n">
        <v>2</v>
      </c>
      <c r="AA142" s="190" t="s">
        <v>3169</v>
      </c>
    </row>
    <row r="143" s="190" customFormat="true" ht="15" hidden="false" customHeight="true" outlineLevel="0" collapsed="false">
      <c r="A143" s="190" t="n">
        <v>28</v>
      </c>
      <c r="B143" s="188" t="n">
        <v>46167.3966630999</v>
      </c>
      <c r="C143" s="188" t="n">
        <v>46167.4147649518</v>
      </c>
      <c r="D143" s="190" t="s">
        <v>402</v>
      </c>
      <c r="E143" s="190" t="s">
        <v>403</v>
      </c>
      <c r="F143" s="190" t="s">
        <v>403</v>
      </c>
      <c r="G143" s="190" t="s">
        <v>404</v>
      </c>
      <c r="H143" s="188" t="n">
        <v>46152</v>
      </c>
      <c r="I143" s="190" t="s">
        <v>305</v>
      </c>
      <c r="J143" s="190" t="s">
        <v>108</v>
      </c>
      <c r="K143" s="190" t="s">
        <v>245</v>
      </c>
      <c r="L143" s="190" t="s">
        <v>286</v>
      </c>
      <c r="M143" s="190" t="s">
        <v>406</v>
      </c>
      <c r="N143" s="190" t="s">
        <v>407</v>
      </c>
      <c r="O143" s="190" t="s">
        <v>405</v>
      </c>
      <c r="P143" s="190" t="s">
        <v>211</v>
      </c>
      <c r="Q143" s="190" t="s">
        <v>112</v>
      </c>
      <c r="R143" s="190" t="s">
        <v>22</v>
      </c>
      <c r="S143" s="190" t="s">
        <v>320</v>
      </c>
      <c r="T143" s="190" t="s">
        <v>121</v>
      </c>
      <c r="U143" s="190" t="s">
        <v>122</v>
      </c>
      <c r="V143" s="190" t="s">
        <v>123</v>
      </c>
      <c r="W143" s="190" t="s">
        <v>124</v>
      </c>
      <c r="X143" s="190" t="s">
        <v>339</v>
      </c>
      <c r="Y143" s="190" t="s">
        <v>3066</v>
      </c>
      <c r="Z143" s="190" t="n">
        <v>1</v>
      </c>
      <c r="AA143" s="190" t="s">
        <v>122</v>
      </c>
    </row>
    <row r="144" s="190" customFormat="true" ht="15" hidden="false" customHeight="true" outlineLevel="0" collapsed="false">
      <c r="A144" s="190" t="n">
        <v>28</v>
      </c>
      <c r="B144" s="188" t="n">
        <v>46167.3966630999</v>
      </c>
      <c r="C144" s="188" t="n">
        <v>46167.4147649518</v>
      </c>
      <c r="D144" s="190" t="s">
        <v>402</v>
      </c>
      <c r="E144" s="190" t="s">
        <v>403</v>
      </c>
      <c r="F144" s="190" t="s">
        <v>403</v>
      </c>
      <c r="G144" s="190" t="s">
        <v>404</v>
      </c>
      <c r="H144" s="188" t="n">
        <v>46152</v>
      </c>
      <c r="I144" s="190" t="s">
        <v>305</v>
      </c>
      <c r="J144" s="190" t="s">
        <v>108</v>
      </c>
      <c r="K144" s="190" t="s">
        <v>245</v>
      </c>
      <c r="L144" s="190" t="s">
        <v>286</v>
      </c>
      <c r="M144" s="190" t="s">
        <v>406</v>
      </c>
      <c r="N144" s="190" t="s">
        <v>407</v>
      </c>
      <c r="O144" s="190" t="s">
        <v>405</v>
      </c>
      <c r="P144" s="190" t="s">
        <v>211</v>
      </c>
      <c r="Q144" s="190" t="s">
        <v>112</v>
      </c>
      <c r="R144" s="190" t="s">
        <v>22</v>
      </c>
      <c r="S144" s="190" t="s">
        <v>320</v>
      </c>
      <c r="T144" s="190" t="s">
        <v>121</v>
      </c>
      <c r="U144" s="190" t="s">
        <v>122</v>
      </c>
      <c r="V144" s="190" t="s">
        <v>123</v>
      </c>
      <c r="W144" s="190" t="s">
        <v>124</v>
      </c>
      <c r="X144" s="190" t="s">
        <v>339</v>
      </c>
      <c r="Y144" s="190" t="s">
        <v>3069</v>
      </c>
      <c r="Z144" s="190" t="n">
        <v>1</v>
      </c>
      <c r="AA144" s="190" t="s">
        <v>122</v>
      </c>
    </row>
    <row r="145" s="190" customFormat="true" ht="15" hidden="false" customHeight="true" outlineLevel="0" collapsed="false">
      <c r="A145" s="190" t="n">
        <v>28</v>
      </c>
      <c r="B145" s="188" t="n">
        <v>46167.3966630999</v>
      </c>
      <c r="C145" s="188" t="n">
        <v>46167.4147649518</v>
      </c>
      <c r="D145" s="190" t="s">
        <v>402</v>
      </c>
      <c r="E145" s="190" t="s">
        <v>403</v>
      </c>
      <c r="F145" s="190" t="s">
        <v>403</v>
      </c>
      <c r="G145" s="190" t="s">
        <v>404</v>
      </c>
      <c r="H145" s="188" t="n">
        <v>46152</v>
      </c>
      <c r="I145" s="190" t="s">
        <v>305</v>
      </c>
      <c r="J145" s="190" t="s">
        <v>108</v>
      </c>
      <c r="K145" s="190" t="s">
        <v>245</v>
      </c>
      <c r="L145" s="190" t="s">
        <v>286</v>
      </c>
      <c r="M145" s="190" t="s">
        <v>406</v>
      </c>
      <c r="N145" s="190" t="s">
        <v>407</v>
      </c>
      <c r="O145" s="190" t="s">
        <v>405</v>
      </c>
      <c r="P145" s="190" t="s">
        <v>211</v>
      </c>
      <c r="Q145" s="190" t="s">
        <v>112</v>
      </c>
      <c r="R145" s="190" t="s">
        <v>22</v>
      </c>
      <c r="S145" s="190" t="s">
        <v>320</v>
      </c>
      <c r="T145" s="190" t="s">
        <v>121</v>
      </c>
      <c r="U145" s="190" t="s">
        <v>122</v>
      </c>
      <c r="V145" s="190" t="s">
        <v>123</v>
      </c>
      <c r="W145" s="190" t="s">
        <v>124</v>
      </c>
      <c r="X145" s="190" t="s">
        <v>339</v>
      </c>
      <c r="Y145" s="190" t="s">
        <v>3069</v>
      </c>
      <c r="Z145" s="190" t="n">
        <v>2</v>
      </c>
      <c r="AA145" s="190" t="s">
        <v>3145</v>
      </c>
    </row>
    <row r="146" s="190" customFormat="true" ht="15" hidden="false" customHeight="true" outlineLevel="0" collapsed="false">
      <c r="A146" s="190" t="n">
        <v>29</v>
      </c>
      <c r="B146" s="188" t="n">
        <v>46154.2266090567</v>
      </c>
      <c r="C146" s="188" t="n">
        <v>46154.2324655382</v>
      </c>
      <c r="D146" s="190" t="s">
        <v>410</v>
      </c>
      <c r="E146" s="190" t="s">
        <v>411</v>
      </c>
      <c r="F146" s="190" t="s">
        <v>411</v>
      </c>
      <c r="G146" s="190" t="s">
        <v>412</v>
      </c>
      <c r="H146" s="188" t="n">
        <v>46142</v>
      </c>
      <c r="I146" s="190" t="s">
        <v>113</v>
      </c>
      <c r="J146" s="190" t="s">
        <v>295</v>
      </c>
      <c r="K146" s="190" t="s">
        <v>413</v>
      </c>
      <c r="L146" s="190" t="s">
        <v>389</v>
      </c>
      <c r="M146" s="190" t="s">
        <v>234</v>
      </c>
      <c r="N146" s="190" t="s">
        <v>414</v>
      </c>
      <c r="O146" s="190" t="s">
        <v>107</v>
      </c>
      <c r="P146" s="190" t="s">
        <v>111</v>
      </c>
      <c r="Q146" s="190" t="s">
        <v>145</v>
      </c>
      <c r="R146" s="190" t="s">
        <v>24</v>
      </c>
      <c r="S146" s="190" t="s">
        <v>120</v>
      </c>
      <c r="T146" s="190" t="s">
        <v>121</v>
      </c>
      <c r="U146" s="190" t="s">
        <v>122</v>
      </c>
      <c r="V146" s="190" t="s">
        <v>167</v>
      </c>
      <c r="W146" s="190" t="s">
        <v>124</v>
      </c>
      <c r="X146" s="190" t="s">
        <v>223</v>
      </c>
      <c r="Y146" s="190" t="s">
        <v>3064</v>
      </c>
      <c r="Z146" s="190" t="n">
        <v>1</v>
      </c>
      <c r="AA146" s="190" t="s">
        <v>3103</v>
      </c>
    </row>
    <row r="147" s="190" customFormat="true" ht="15" hidden="false" customHeight="true" outlineLevel="0" collapsed="false">
      <c r="A147" s="190" t="n">
        <v>29</v>
      </c>
      <c r="B147" s="188" t="n">
        <v>46154.2266090567</v>
      </c>
      <c r="C147" s="188" t="n">
        <v>46154.2324655382</v>
      </c>
      <c r="D147" s="190" t="s">
        <v>410</v>
      </c>
      <c r="E147" s="190" t="s">
        <v>411</v>
      </c>
      <c r="F147" s="190" t="s">
        <v>411</v>
      </c>
      <c r="G147" s="190" t="s">
        <v>412</v>
      </c>
      <c r="H147" s="188" t="n">
        <v>46142</v>
      </c>
      <c r="I147" s="190" t="s">
        <v>113</v>
      </c>
      <c r="J147" s="190" t="s">
        <v>295</v>
      </c>
      <c r="K147" s="190" t="s">
        <v>413</v>
      </c>
      <c r="L147" s="190" t="s">
        <v>389</v>
      </c>
      <c r="M147" s="190" t="s">
        <v>234</v>
      </c>
      <c r="N147" s="190" t="s">
        <v>414</v>
      </c>
      <c r="O147" s="190" t="s">
        <v>107</v>
      </c>
      <c r="P147" s="190" t="s">
        <v>111</v>
      </c>
      <c r="Q147" s="190" t="s">
        <v>145</v>
      </c>
      <c r="R147" s="190" t="s">
        <v>24</v>
      </c>
      <c r="S147" s="190" t="s">
        <v>120</v>
      </c>
      <c r="T147" s="190" t="s">
        <v>121</v>
      </c>
      <c r="U147" s="190" t="s">
        <v>122</v>
      </c>
      <c r="V147" s="190" t="s">
        <v>167</v>
      </c>
      <c r="W147" s="190" t="s">
        <v>124</v>
      </c>
      <c r="X147" s="190" t="s">
        <v>223</v>
      </c>
      <c r="Y147" s="190" t="s">
        <v>3064</v>
      </c>
      <c r="Z147" s="190" t="n">
        <v>2</v>
      </c>
      <c r="AA147" s="190" t="s">
        <v>3098</v>
      </c>
    </row>
    <row r="148" s="190" customFormat="true" ht="15" hidden="false" customHeight="true" outlineLevel="0" collapsed="false">
      <c r="A148" s="190" t="n">
        <v>29</v>
      </c>
      <c r="B148" s="188" t="n">
        <v>46154.2266090567</v>
      </c>
      <c r="C148" s="188" t="n">
        <v>46154.2324655382</v>
      </c>
      <c r="D148" s="190" t="s">
        <v>410</v>
      </c>
      <c r="E148" s="190" t="s">
        <v>411</v>
      </c>
      <c r="F148" s="190" t="s">
        <v>411</v>
      </c>
      <c r="G148" s="190" t="s">
        <v>412</v>
      </c>
      <c r="H148" s="188" t="n">
        <v>46142</v>
      </c>
      <c r="I148" s="190" t="s">
        <v>113</v>
      </c>
      <c r="J148" s="190" t="s">
        <v>295</v>
      </c>
      <c r="K148" s="190" t="s">
        <v>413</v>
      </c>
      <c r="L148" s="190" t="s">
        <v>389</v>
      </c>
      <c r="M148" s="190" t="s">
        <v>234</v>
      </c>
      <c r="N148" s="190" t="s">
        <v>414</v>
      </c>
      <c r="O148" s="190" t="s">
        <v>107</v>
      </c>
      <c r="P148" s="190" t="s">
        <v>111</v>
      </c>
      <c r="Q148" s="190" t="s">
        <v>145</v>
      </c>
      <c r="R148" s="190" t="s">
        <v>24</v>
      </c>
      <c r="S148" s="190" t="s">
        <v>120</v>
      </c>
      <c r="T148" s="190" t="s">
        <v>121</v>
      </c>
      <c r="U148" s="190" t="s">
        <v>122</v>
      </c>
      <c r="V148" s="190" t="s">
        <v>167</v>
      </c>
      <c r="W148" s="190" t="s">
        <v>124</v>
      </c>
      <c r="X148" s="190" t="s">
        <v>223</v>
      </c>
      <c r="Y148" s="190" t="s">
        <v>3066</v>
      </c>
      <c r="Z148" s="190" t="n">
        <v>1</v>
      </c>
      <c r="AA148" s="190" t="s">
        <v>3170</v>
      </c>
    </row>
    <row r="149" s="190" customFormat="true" ht="15" hidden="false" customHeight="true" outlineLevel="0" collapsed="false">
      <c r="A149" s="190" t="n">
        <v>29</v>
      </c>
      <c r="B149" s="188" t="n">
        <v>46154.2266090567</v>
      </c>
      <c r="C149" s="188" t="n">
        <v>46154.2324655382</v>
      </c>
      <c r="D149" s="190" t="s">
        <v>410</v>
      </c>
      <c r="E149" s="190" t="s">
        <v>411</v>
      </c>
      <c r="F149" s="190" t="s">
        <v>411</v>
      </c>
      <c r="G149" s="190" t="s">
        <v>412</v>
      </c>
      <c r="H149" s="188" t="n">
        <v>46142</v>
      </c>
      <c r="I149" s="190" t="s">
        <v>113</v>
      </c>
      <c r="J149" s="190" t="s">
        <v>295</v>
      </c>
      <c r="K149" s="190" t="s">
        <v>413</v>
      </c>
      <c r="L149" s="190" t="s">
        <v>389</v>
      </c>
      <c r="M149" s="190" t="s">
        <v>234</v>
      </c>
      <c r="N149" s="190" t="s">
        <v>414</v>
      </c>
      <c r="O149" s="190" t="s">
        <v>107</v>
      </c>
      <c r="P149" s="190" t="s">
        <v>111</v>
      </c>
      <c r="Q149" s="190" t="s">
        <v>145</v>
      </c>
      <c r="R149" s="190" t="s">
        <v>24</v>
      </c>
      <c r="S149" s="190" t="s">
        <v>120</v>
      </c>
      <c r="T149" s="190" t="s">
        <v>121</v>
      </c>
      <c r="U149" s="190" t="s">
        <v>122</v>
      </c>
      <c r="V149" s="190" t="s">
        <v>167</v>
      </c>
      <c r="W149" s="190" t="s">
        <v>124</v>
      </c>
      <c r="X149" s="190" t="s">
        <v>223</v>
      </c>
      <c r="Y149" s="190" t="s">
        <v>3066</v>
      </c>
      <c r="Z149" s="190" t="n">
        <v>2</v>
      </c>
      <c r="AA149" s="190" t="s">
        <v>3171</v>
      </c>
    </row>
    <row r="150" s="190" customFormat="true" ht="15" hidden="false" customHeight="true" outlineLevel="0" collapsed="false">
      <c r="A150" s="190" t="n">
        <v>29</v>
      </c>
      <c r="B150" s="188" t="n">
        <v>46154.2266090567</v>
      </c>
      <c r="C150" s="188" t="n">
        <v>46154.2324655382</v>
      </c>
      <c r="D150" s="190" t="s">
        <v>410</v>
      </c>
      <c r="E150" s="190" t="s">
        <v>411</v>
      </c>
      <c r="F150" s="190" t="s">
        <v>411</v>
      </c>
      <c r="G150" s="190" t="s">
        <v>412</v>
      </c>
      <c r="H150" s="188" t="n">
        <v>46142</v>
      </c>
      <c r="I150" s="190" t="s">
        <v>113</v>
      </c>
      <c r="J150" s="190" t="s">
        <v>295</v>
      </c>
      <c r="K150" s="190" t="s">
        <v>413</v>
      </c>
      <c r="L150" s="190" t="s">
        <v>389</v>
      </c>
      <c r="M150" s="190" t="s">
        <v>234</v>
      </c>
      <c r="N150" s="190" t="s">
        <v>414</v>
      </c>
      <c r="O150" s="190" t="s">
        <v>107</v>
      </c>
      <c r="P150" s="190" t="s">
        <v>111</v>
      </c>
      <c r="Q150" s="190" t="s">
        <v>145</v>
      </c>
      <c r="R150" s="190" t="s">
        <v>24</v>
      </c>
      <c r="S150" s="190" t="s">
        <v>120</v>
      </c>
      <c r="T150" s="190" t="s">
        <v>121</v>
      </c>
      <c r="U150" s="190" t="s">
        <v>122</v>
      </c>
      <c r="V150" s="190" t="s">
        <v>167</v>
      </c>
      <c r="W150" s="190" t="s">
        <v>124</v>
      </c>
      <c r="X150" s="190" t="s">
        <v>223</v>
      </c>
      <c r="Y150" s="190" t="s">
        <v>3069</v>
      </c>
      <c r="Z150" s="190" t="n">
        <v>1</v>
      </c>
      <c r="AA150" s="190" t="s">
        <v>3150</v>
      </c>
    </row>
    <row r="151" s="190" customFormat="true" ht="15" hidden="false" customHeight="true" outlineLevel="0" collapsed="false">
      <c r="A151" s="190" t="n">
        <v>29</v>
      </c>
      <c r="B151" s="188" t="n">
        <v>46154.2266090567</v>
      </c>
      <c r="C151" s="188" t="n">
        <v>46154.2324655382</v>
      </c>
      <c r="D151" s="190" t="s">
        <v>410</v>
      </c>
      <c r="E151" s="190" t="s">
        <v>411</v>
      </c>
      <c r="F151" s="190" t="s">
        <v>411</v>
      </c>
      <c r="G151" s="190" t="s">
        <v>412</v>
      </c>
      <c r="H151" s="188" t="n">
        <v>46142</v>
      </c>
      <c r="I151" s="190" t="s">
        <v>113</v>
      </c>
      <c r="J151" s="190" t="s">
        <v>295</v>
      </c>
      <c r="K151" s="190" t="s">
        <v>413</v>
      </c>
      <c r="L151" s="190" t="s">
        <v>389</v>
      </c>
      <c r="M151" s="190" t="s">
        <v>234</v>
      </c>
      <c r="N151" s="190" t="s">
        <v>414</v>
      </c>
      <c r="O151" s="190" t="s">
        <v>107</v>
      </c>
      <c r="P151" s="190" t="s">
        <v>111</v>
      </c>
      <c r="Q151" s="190" t="s">
        <v>145</v>
      </c>
      <c r="R151" s="190" t="s">
        <v>24</v>
      </c>
      <c r="S151" s="190" t="s">
        <v>120</v>
      </c>
      <c r="T151" s="190" t="s">
        <v>121</v>
      </c>
      <c r="U151" s="190" t="s">
        <v>122</v>
      </c>
      <c r="V151" s="190" t="s">
        <v>167</v>
      </c>
      <c r="W151" s="190" t="s">
        <v>124</v>
      </c>
      <c r="X151" s="190" t="s">
        <v>223</v>
      </c>
      <c r="Y151" s="190" t="s">
        <v>3069</v>
      </c>
      <c r="Z151" s="190" t="n">
        <v>2</v>
      </c>
      <c r="AA151" s="190" t="s">
        <v>3106</v>
      </c>
    </row>
    <row r="152" s="190" customFormat="true" ht="15" hidden="false" customHeight="true" outlineLevel="0" collapsed="false">
      <c r="A152" s="190" t="n">
        <v>30</v>
      </c>
      <c r="B152" s="188" t="n">
        <v>46203.3541796316</v>
      </c>
      <c r="C152" s="188" t="n">
        <v>46203.3649898168</v>
      </c>
      <c r="D152" s="190" t="s">
        <v>418</v>
      </c>
      <c r="E152" s="190" t="s">
        <v>419</v>
      </c>
      <c r="F152" s="190" t="s">
        <v>420</v>
      </c>
      <c r="G152" s="190" t="s">
        <v>421</v>
      </c>
      <c r="H152" s="188" t="n">
        <v>46193</v>
      </c>
      <c r="I152" s="190" t="s">
        <v>113</v>
      </c>
      <c r="J152" s="190" t="s">
        <v>128</v>
      </c>
      <c r="K152" s="190" t="s">
        <v>257</v>
      </c>
      <c r="L152" s="190" t="s">
        <v>389</v>
      </c>
      <c r="M152" s="190" t="s">
        <v>337</v>
      </c>
      <c r="N152" s="190" t="s">
        <v>422</v>
      </c>
      <c r="O152" s="190" t="s">
        <v>157</v>
      </c>
      <c r="P152" s="190" t="s">
        <v>131</v>
      </c>
      <c r="Q152" s="190" t="s">
        <v>112</v>
      </c>
      <c r="R152" s="190" t="s">
        <v>24</v>
      </c>
      <c r="S152" s="190" t="s">
        <v>120</v>
      </c>
      <c r="T152" s="190" t="s">
        <v>121</v>
      </c>
      <c r="U152" s="190" t="s">
        <v>426</v>
      </c>
      <c r="V152" s="190" t="s">
        <v>123</v>
      </c>
      <c r="W152" s="190" t="s">
        <v>124</v>
      </c>
      <c r="X152" s="190" t="s">
        <v>223</v>
      </c>
      <c r="Y152" s="190" t="s">
        <v>3064</v>
      </c>
      <c r="Z152" s="190" t="n">
        <v>1</v>
      </c>
      <c r="AA152" s="190" t="s">
        <v>3103</v>
      </c>
    </row>
    <row r="153" s="190" customFormat="true" ht="15" hidden="false" customHeight="true" outlineLevel="0" collapsed="false">
      <c r="A153" s="190" t="n">
        <v>30</v>
      </c>
      <c r="B153" s="188" t="n">
        <v>46203.3541796316</v>
      </c>
      <c r="C153" s="188" t="n">
        <v>46203.3649898168</v>
      </c>
      <c r="D153" s="190" t="s">
        <v>418</v>
      </c>
      <c r="E153" s="190" t="s">
        <v>419</v>
      </c>
      <c r="F153" s="190" t="s">
        <v>420</v>
      </c>
      <c r="G153" s="190" t="s">
        <v>421</v>
      </c>
      <c r="H153" s="188" t="n">
        <v>46193</v>
      </c>
      <c r="I153" s="190" t="s">
        <v>113</v>
      </c>
      <c r="J153" s="190" t="s">
        <v>128</v>
      </c>
      <c r="K153" s="190" t="s">
        <v>257</v>
      </c>
      <c r="L153" s="190" t="s">
        <v>389</v>
      </c>
      <c r="M153" s="190" t="s">
        <v>337</v>
      </c>
      <c r="N153" s="190" t="s">
        <v>422</v>
      </c>
      <c r="O153" s="190" t="s">
        <v>157</v>
      </c>
      <c r="P153" s="190" t="s">
        <v>131</v>
      </c>
      <c r="Q153" s="190" t="s">
        <v>112</v>
      </c>
      <c r="R153" s="190" t="s">
        <v>24</v>
      </c>
      <c r="S153" s="190" t="s">
        <v>120</v>
      </c>
      <c r="T153" s="190" t="s">
        <v>121</v>
      </c>
      <c r="U153" s="190" t="s">
        <v>426</v>
      </c>
      <c r="V153" s="190" t="s">
        <v>123</v>
      </c>
      <c r="W153" s="190" t="s">
        <v>124</v>
      </c>
      <c r="X153" s="190" t="s">
        <v>223</v>
      </c>
      <c r="Y153" s="190" t="s">
        <v>3064</v>
      </c>
      <c r="Z153" s="190" t="n">
        <v>2</v>
      </c>
      <c r="AA153" s="190" t="s">
        <v>3121</v>
      </c>
    </row>
    <row r="154" s="190" customFormat="true" ht="15" hidden="false" customHeight="true" outlineLevel="0" collapsed="false">
      <c r="A154" s="190" t="n">
        <v>30</v>
      </c>
      <c r="B154" s="188" t="n">
        <v>46203.3541796316</v>
      </c>
      <c r="C154" s="188" t="n">
        <v>46203.3649898168</v>
      </c>
      <c r="D154" s="190" t="s">
        <v>418</v>
      </c>
      <c r="E154" s="190" t="s">
        <v>419</v>
      </c>
      <c r="F154" s="190" t="s">
        <v>420</v>
      </c>
      <c r="G154" s="190" t="s">
        <v>421</v>
      </c>
      <c r="H154" s="188" t="n">
        <v>46193</v>
      </c>
      <c r="I154" s="190" t="s">
        <v>113</v>
      </c>
      <c r="J154" s="190" t="s">
        <v>128</v>
      </c>
      <c r="K154" s="190" t="s">
        <v>257</v>
      </c>
      <c r="L154" s="190" t="s">
        <v>389</v>
      </c>
      <c r="M154" s="190" t="s">
        <v>337</v>
      </c>
      <c r="N154" s="190" t="s">
        <v>422</v>
      </c>
      <c r="O154" s="190" t="s">
        <v>157</v>
      </c>
      <c r="P154" s="190" t="s">
        <v>131</v>
      </c>
      <c r="Q154" s="190" t="s">
        <v>112</v>
      </c>
      <c r="R154" s="190" t="s">
        <v>24</v>
      </c>
      <c r="S154" s="190" t="s">
        <v>120</v>
      </c>
      <c r="T154" s="190" t="s">
        <v>121</v>
      </c>
      <c r="U154" s="190" t="s">
        <v>426</v>
      </c>
      <c r="V154" s="190" t="s">
        <v>123</v>
      </c>
      <c r="W154" s="190" t="s">
        <v>124</v>
      </c>
      <c r="X154" s="190" t="s">
        <v>223</v>
      </c>
      <c r="Y154" s="190" t="s">
        <v>3064</v>
      </c>
      <c r="Z154" s="190" t="n">
        <v>3</v>
      </c>
      <c r="AA154" s="190" t="s">
        <v>3104</v>
      </c>
    </row>
    <row r="155" s="190" customFormat="true" ht="54.75" hidden="false" customHeight="true" outlineLevel="0" collapsed="false">
      <c r="A155" s="190" t="n">
        <v>30</v>
      </c>
      <c r="B155" s="188" t="n">
        <v>46203.3541796316</v>
      </c>
      <c r="C155" s="188" t="n">
        <v>46203.3649898168</v>
      </c>
      <c r="D155" s="190" t="s">
        <v>418</v>
      </c>
      <c r="E155" s="190" t="s">
        <v>419</v>
      </c>
      <c r="F155" s="190" t="s">
        <v>420</v>
      </c>
      <c r="G155" s="190" t="s">
        <v>421</v>
      </c>
      <c r="H155" s="188" t="n">
        <v>46193</v>
      </c>
      <c r="I155" s="190" t="s">
        <v>113</v>
      </c>
      <c r="J155" s="190" t="s">
        <v>128</v>
      </c>
      <c r="K155" s="190" t="s">
        <v>257</v>
      </c>
      <c r="L155" s="190" t="s">
        <v>389</v>
      </c>
      <c r="M155" s="190" t="s">
        <v>337</v>
      </c>
      <c r="N155" s="190" t="s">
        <v>422</v>
      </c>
      <c r="O155" s="190" t="s">
        <v>157</v>
      </c>
      <c r="P155" s="190" t="s">
        <v>131</v>
      </c>
      <c r="Q155" s="190" t="s">
        <v>112</v>
      </c>
      <c r="R155" s="190" t="s">
        <v>24</v>
      </c>
      <c r="S155" s="190" t="s">
        <v>120</v>
      </c>
      <c r="T155" s="190" t="s">
        <v>121</v>
      </c>
      <c r="U155" s="190" t="s">
        <v>426</v>
      </c>
      <c r="V155" s="190" t="s">
        <v>123</v>
      </c>
      <c r="W155" s="190" t="s">
        <v>124</v>
      </c>
      <c r="X155" s="190" t="s">
        <v>223</v>
      </c>
      <c r="Y155" s="190" t="s">
        <v>3066</v>
      </c>
      <c r="Z155" s="190" t="n">
        <v>1</v>
      </c>
      <c r="AA155" s="190" t="s">
        <v>3099</v>
      </c>
    </row>
    <row r="156" s="190" customFormat="true" ht="54.75" hidden="false" customHeight="true" outlineLevel="0" collapsed="false">
      <c r="A156" s="190" t="n">
        <v>30</v>
      </c>
      <c r="B156" s="188" t="n">
        <v>46203.3541796316</v>
      </c>
      <c r="C156" s="188" t="n">
        <v>46203.3649898168</v>
      </c>
      <c r="D156" s="190" t="s">
        <v>418</v>
      </c>
      <c r="E156" s="190" t="s">
        <v>419</v>
      </c>
      <c r="F156" s="190" t="s">
        <v>420</v>
      </c>
      <c r="G156" s="190" t="s">
        <v>421</v>
      </c>
      <c r="H156" s="188" t="n">
        <v>46193</v>
      </c>
      <c r="I156" s="190" t="s">
        <v>113</v>
      </c>
      <c r="J156" s="190" t="s">
        <v>128</v>
      </c>
      <c r="K156" s="190" t="s">
        <v>257</v>
      </c>
      <c r="L156" s="190" t="s">
        <v>389</v>
      </c>
      <c r="M156" s="190" t="s">
        <v>337</v>
      </c>
      <c r="N156" s="190" t="s">
        <v>422</v>
      </c>
      <c r="O156" s="190" t="s">
        <v>157</v>
      </c>
      <c r="P156" s="190" t="s">
        <v>131</v>
      </c>
      <c r="Q156" s="190" t="s">
        <v>112</v>
      </c>
      <c r="R156" s="190" t="s">
        <v>24</v>
      </c>
      <c r="S156" s="190" t="s">
        <v>120</v>
      </c>
      <c r="T156" s="190" t="s">
        <v>121</v>
      </c>
      <c r="U156" s="190" t="s">
        <v>426</v>
      </c>
      <c r="V156" s="190" t="s">
        <v>123</v>
      </c>
      <c r="W156" s="190" t="s">
        <v>124</v>
      </c>
      <c r="X156" s="190" t="s">
        <v>223</v>
      </c>
      <c r="Y156" s="190" t="s">
        <v>3069</v>
      </c>
      <c r="Z156" s="190" t="n">
        <v>1</v>
      </c>
      <c r="AA156" s="190" t="s">
        <v>3106</v>
      </c>
    </row>
    <row r="157" s="190" customFormat="true" ht="54.75" hidden="false" customHeight="true" outlineLevel="0" collapsed="false">
      <c r="A157" s="190" t="n">
        <v>31</v>
      </c>
      <c r="B157" s="188" t="n">
        <v>46116.2141394156</v>
      </c>
      <c r="C157" s="188" t="n">
        <v>46116.2197875638</v>
      </c>
      <c r="D157" s="190" t="s">
        <v>427</v>
      </c>
      <c r="E157" s="190" t="s">
        <v>428</v>
      </c>
      <c r="F157" s="190" t="s">
        <v>428</v>
      </c>
      <c r="G157" s="190" t="s">
        <v>429</v>
      </c>
      <c r="H157" s="188" t="n">
        <v>46097</v>
      </c>
      <c r="I157" s="190" t="s">
        <v>113</v>
      </c>
      <c r="J157" s="190" t="s">
        <v>108</v>
      </c>
      <c r="K157" s="190" t="s">
        <v>430</v>
      </c>
      <c r="L157" s="190" t="s">
        <v>431</v>
      </c>
      <c r="M157" s="190" t="s">
        <v>234</v>
      </c>
      <c r="N157" s="190" t="s">
        <v>432</v>
      </c>
      <c r="O157" s="190" t="s">
        <v>157</v>
      </c>
      <c r="P157" s="190" t="s">
        <v>111</v>
      </c>
      <c r="Q157" s="190" t="s">
        <v>112</v>
      </c>
      <c r="R157" s="190" t="s">
        <v>24</v>
      </c>
      <c r="S157" s="190" t="s">
        <v>120</v>
      </c>
      <c r="T157" s="190" t="s">
        <v>121</v>
      </c>
      <c r="U157" s="190" t="s">
        <v>122</v>
      </c>
      <c r="V157" s="190" t="s">
        <v>123</v>
      </c>
      <c r="W157" s="190" t="s">
        <v>124</v>
      </c>
      <c r="X157" s="190" t="s">
        <v>214</v>
      </c>
      <c r="Y157" s="190" t="s">
        <v>3064</v>
      </c>
      <c r="Z157" s="190" t="n">
        <v>1</v>
      </c>
      <c r="AA157" s="190" t="s">
        <v>3065</v>
      </c>
    </row>
    <row r="158" s="190" customFormat="true" ht="15" hidden="false" customHeight="true" outlineLevel="0" collapsed="false">
      <c r="A158" s="190" t="n">
        <v>31</v>
      </c>
      <c r="B158" s="188" t="n">
        <v>46116.2141394156</v>
      </c>
      <c r="C158" s="188" t="n">
        <v>46116.2197875638</v>
      </c>
      <c r="D158" s="190" t="s">
        <v>427</v>
      </c>
      <c r="E158" s="190" t="s">
        <v>428</v>
      </c>
      <c r="F158" s="190" t="s">
        <v>428</v>
      </c>
      <c r="G158" s="190" t="s">
        <v>429</v>
      </c>
      <c r="H158" s="188" t="n">
        <v>46097</v>
      </c>
      <c r="I158" s="190" t="s">
        <v>113</v>
      </c>
      <c r="J158" s="190" t="s">
        <v>108</v>
      </c>
      <c r="K158" s="190" t="s">
        <v>430</v>
      </c>
      <c r="L158" s="190" t="s">
        <v>431</v>
      </c>
      <c r="M158" s="190" t="s">
        <v>234</v>
      </c>
      <c r="N158" s="190" t="s">
        <v>432</v>
      </c>
      <c r="O158" s="190" t="s">
        <v>157</v>
      </c>
      <c r="P158" s="190" t="s">
        <v>111</v>
      </c>
      <c r="Q158" s="190" t="s">
        <v>112</v>
      </c>
      <c r="R158" s="190" t="s">
        <v>24</v>
      </c>
      <c r="S158" s="190" t="s">
        <v>120</v>
      </c>
      <c r="T158" s="190" t="s">
        <v>121</v>
      </c>
      <c r="U158" s="190" t="s">
        <v>122</v>
      </c>
      <c r="V158" s="190" t="s">
        <v>123</v>
      </c>
      <c r="W158" s="190" t="s">
        <v>124</v>
      </c>
      <c r="X158" s="190" t="s">
        <v>214</v>
      </c>
      <c r="Y158" s="190" t="s">
        <v>3064</v>
      </c>
      <c r="Z158" s="190" t="n">
        <v>2</v>
      </c>
      <c r="AA158" s="190" t="s">
        <v>3107</v>
      </c>
    </row>
    <row r="159" s="190" customFormat="true" ht="15" hidden="false" customHeight="true" outlineLevel="0" collapsed="false">
      <c r="A159" s="190" t="n">
        <v>31</v>
      </c>
      <c r="B159" s="188" t="n">
        <v>46116.2141394156</v>
      </c>
      <c r="C159" s="188" t="n">
        <v>46116.2197875638</v>
      </c>
      <c r="D159" s="190" t="s">
        <v>427</v>
      </c>
      <c r="E159" s="190" t="s">
        <v>428</v>
      </c>
      <c r="F159" s="190" t="s">
        <v>428</v>
      </c>
      <c r="G159" s="190" t="s">
        <v>429</v>
      </c>
      <c r="H159" s="188" t="n">
        <v>46097</v>
      </c>
      <c r="I159" s="190" t="s">
        <v>113</v>
      </c>
      <c r="J159" s="190" t="s">
        <v>108</v>
      </c>
      <c r="K159" s="190" t="s">
        <v>430</v>
      </c>
      <c r="L159" s="190" t="s">
        <v>431</v>
      </c>
      <c r="M159" s="190" t="s">
        <v>234</v>
      </c>
      <c r="N159" s="190" t="s">
        <v>432</v>
      </c>
      <c r="O159" s="190" t="s">
        <v>157</v>
      </c>
      <c r="P159" s="190" t="s">
        <v>111</v>
      </c>
      <c r="Q159" s="190" t="s">
        <v>112</v>
      </c>
      <c r="R159" s="190" t="s">
        <v>24</v>
      </c>
      <c r="S159" s="190" t="s">
        <v>120</v>
      </c>
      <c r="T159" s="190" t="s">
        <v>121</v>
      </c>
      <c r="U159" s="190" t="s">
        <v>122</v>
      </c>
      <c r="V159" s="190" t="s">
        <v>123</v>
      </c>
      <c r="W159" s="190" t="s">
        <v>124</v>
      </c>
      <c r="X159" s="190" t="s">
        <v>214</v>
      </c>
      <c r="Y159" s="190" t="s">
        <v>3066</v>
      </c>
      <c r="Z159" s="190" t="n">
        <v>1</v>
      </c>
      <c r="AA159" s="190" t="s">
        <v>3068</v>
      </c>
    </row>
    <row r="160" s="190" customFormat="true" ht="15" hidden="false" customHeight="true" outlineLevel="0" collapsed="false">
      <c r="A160" s="190" t="n">
        <v>31</v>
      </c>
      <c r="B160" s="188" t="n">
        <v>46116.2141394156</v>
      </c>
      <c r="C160" s="188" t="n">
        <v>46116.2197875638</v>
      </c>
      <c r="D160" s="190" t="s">
        <v>427</v>
      </c>
      <c r="E160" s="190" t="s">
        <v>428</v>
      </c>
      <c r="F160" s="190" t="s">
        <v>428</v>
      </c>
      <c r="G160" s="190" t="s">
        <v>429</v>
      </c>
      <c r="H160" s="188" t="n">
        <v>46097</v>
      </c>
      <c r="I160" s="190" t="s">
        <v>113</v>
      </c>
      <c r="J160" s="190" t="s">
        <v>108</v>
      </c>
      <c r="K160" s="190" t="s">
        <v>430</v>
      </c>
      <c r="L160" s="190" t="s">
        <v>431</v>
      </c>
      <c r="M160" s="190" t="s">
        <v>234</v>
      </c>
      <c r="N160" s="190" t="s">
        <v>432</v>
      </c>
      <c r="O160" s="190" t="s">
        <v>157</v>
      </c>
      <c r="P160" s="190" t="s">
        <v>111</v>
      </c>
      <c r="Q160" s="190" t="s">
        <v>112</v>
      </c>
      <c r="R160" s="190" t="s">
        <v>24</v>
      </c>
      <c r="S160" s="190" t="s">
        <v>120</v>
      </c>
      <c r="T160" s="190" t="s">
        <v>121</v>
      </c>
      <c r="U160" s="190" t="s">
        <v>122</v>
      </c>
      <c r="V160" s="190" t="s">
        <v>123</v>
      </c>
      <c r="W160" s="190" t="s">
        <v>124</v>
      </c>
      <c r="X160" s="190" t="s">
        <v>214</v>
      </c>
      <c r="Y160" s="190" t="s">
        <v>3069</v>
      </c>
      <c r="Z160" s="190" t="n">
        <v>1</v>
      </c>
      <c r="AA160" s="190" t="s">
        <v>3140</v>
      </c>
    </row>
    <row r="161" s="190" customFormat="true" ht="81.75" hidden="false" customHeight="true" outlineLevel="0" collapsed="false">
      <c r="A161" s="190" t="n">
        <v>31</v>
      </c>
      <c r="B161" s="188" t="n">
        <v>46116.2141394156</v>
      </c>
      <c r="C161" s="188" t="n">
        <v>46116.2197875638</v>
      </c>
      <c r="D161" s="190" t="s">
        <v>427</v>
      </c>
      <c r="E161" s="190" t="s">
        <v>428</v>
      </c>
      <c r="F161" s="190" t="s">
        <v>428</v>
      </c>
      <c r="G161" s="190" t="s">
        <v>429</v>
      </c>
      <c r="H161" s="188" t="n">
        <v>46097</v>
      </c>
      <c r="I161" s="190" t="s">
        <v>113</v>
      </c>
      <c r="J161" s="190" t="s">
        <v>108</v>
      </c>
      <c r="K161" s="190" t="s">
        <v>430</v>
      </c>
      <c r="L161" s="190" t="s">
        <v>431</v>
      </c>
      <c r="M161" s="190" t="s">
        <v>234</v>
      </c>
      <c r="N161" s="190" t="s">
        <v>432</v>
      </c>
      <c r="O161" s="190" t="s">
        <v>157</v>
      </c>
      <c r="P161" s="190" t="s">
        <v>111</v>
      </c>
      <c r="Q161" s="190" t="s">
        <v>112</v>
      </c>
      <c r="R161" s="190" t="s">
        <v>24</v>
      </c>
      <c r="S161" s="190" t="s">
        <v>120</v>
      </c>
      <c r="T161" s="190" t="s">
        <v>121</v>
      </c>
      <c r="U161" s="190" t="s">
        <v>122</v>
      </c>
      <c r="V161" s="190" t="s">
        <v>123</v>
      </c>
      <c r="W161" s="190" t="s">
        <v>124</v>
      </c>
      <c r="X161" s="190" t="s">
        <v>214</v>
      </c>
      <c r="Y161" s="190" t="s">
        <v>3069</v>
      </c>
      <c r="Z161" s="190" t="n">
        <v>2</v>
      </c>
      <c r="AA161" s="190" t="s">
        <v>3108</v>
      </c>
    </row>
    <row r="162" s="190" customFormat="true" ht="15" hidden="false" customHeight="true" outlineLevel="0" collapsed="false">
      <c r="A162" s="190" t="n">
        <v>32</v>
      </c>
      <c r="B162" s="188" t="n">
        <v>46141.1869961817</v>
      </c>
      <c r="C162" s="188" t="n">
        <v>46141.2020077558</v>
      </c>
      <c r="D162" s="190" t="s">
        <v>436</v>
      </c>
      <c r="E162" s="190" t="s">
        <v>437</v>
      </c>
      <c r="F162" s="190" t="s">
        <v>437</v>
      </c>
      <c r="G162" s="190" t="s">
        <v>438</v>
      </c>
      <c r="H162" s="188" t="n">
        <v>46132</v>
      </c>
      <c r="I162" s="190" t="s">
        <v>132</v>
      </c>
      <c r="J162" s="190" t="s">
        <v>295</v>
      </c>
      <c r="K162" s="190" t="s">
        <v>173</v>
      </c>
      <c r="L162" s="190" t="s">
        <v>197</v>
      </c>
      <c r="M162" s="190" t="s">
        <v>439</v>
      </c>
      <c r="N162" s="190" t="s">
        <v>440</v>
      </c>
      <c r="O162" s="190" t="s">
        <v>107</v>
      </c>
      <c r="P162" s="190" t="s">
        <v>211</v>
      </c>
      <c r="Q162" s="190" t="s">
        <v>145</v>
      </c>
      <c r="R162" s="190" t="s">
        <v>23</v>
      </c>
      <c r="S162" s="190" t="s">
        <v>152</v>
      </c>
      <c r="T162" s="190" t="s">
        <v>121</v>
      </c>
      <c r="U162" s="190" t="s">
        <v>122</v>
      </c>
      <c r="V162" s="190" t="s">
        <v>192</v>
      </c>
      <c r="W162" s="190" t="s">
        <v>124</v>
      </c>
      <c r="X162" s="190" t="s">
        <v>442</v>
      </c>
      <c r="Y162" s="190" t="s">
        <v>3172</v>
      </c>
      <c r="Z162" s="190" t="n">
        <v>1</v>
      </c>
      <c r="AA162" s="190" t="s">
        <v>441</v>
      </c>
    </row>
    <row r="163" s="190" customFormat="true" ht="15" hidden="false" customHeight="true" outlineLevel="0" collapsed="false">
      <c r="A163" s="190" t="n">
        <v>33</v>
      </c>
      <c r="B163" s="188" t="n">
        <v>46046.7665469473</v>
      </c>
      <c r="C163" s="188" t="n">
        <v>46046.7688617621</v>
      </c>
      <c r="D163" s="190" t="s">
        <v>443</v>
      </c>
      <c r="E163" s="190" t="s">
        <v>444</v>
      </c>
      <c r="F163" s="190" t="s">
        <v>444</v>
      </c>
      <c r="G163" s="190" t="s">
        <v>445</v>
      </c>
      <c r="H163" s="188" t="n">
        <v>46045</v>
      </c>
      <c r="I163" s="190" t="s">
        <v>113</v>
      </c>
      <c r="J163" s="190" t="s">
        <v>295</v>
      </c>
      <c r="K163" s="190" t="s">
        <v>446</v>
      </c>
      <c r="L163" s="190" t="s">
        <v>130</v>
      </c>
      <c r="M163" s="190" t="s">
        <v>447</v>
      </c>
      <c r="N163" s="190" t="s">
        <v>249</v>
      </c>
      <c r="O163" s="190" t="s">
        <v>244</v>
      </c>
      <c r="P163" s="190" t="s">
        <v>111</v>
      </c>
      <c r="Q163" s="190" t="s">
        <v>112</v>
      </c>
      <c r="R163" s="190" t="s">
        <v>24</v>
      </c>
      <c r="S163" s="190" t="s">
        <v>227</v>
      </c>
      <c r="T163" s="190" t="s">
        <v>121</v>
      </c>
      <c r="U163" s="190" t="s">
        <v>452</v>
      </c>
      <c r="V163" s="190" t="s">
        <v>192</v>
      </c>
      <c r="W163" s="190" t="s">
        <v>139</v>
      </c>
      <c r="X163" s="190" t="s">
        <v>448</v>
      </c>
      <c r="Y163" s="190" t="s">
        <v>3064</v>
      </c>
      <c r="Z163" s="190" t="n">
        <v>1</v>
      </c>
      <c r="AA163" s="190" t="s">
        <v>3173</v>
      </c>
    </row>
    <row r="164" s="190" customFormat="true" ht="15" hidden="false" customHeight="true" outlineLevel="0" collapsed="false">
      <c r="A164" s="190" t="n">
        <v>33</v>
      </c>
      <c r="B164" s="188" t="n">
        <v>46046.7665469473</v>
      </c>
      <c r="C164" s="188" t="n">
        <v>46046.7688617621</v>
      </c>
      <c r="D164" s="190" t="s">
        <v>443</v>
      </c>
      <c r="E164" s="190" t="s">
        <v>444</v>
      </c>
      <c r="F164" s="190" t="s">
        <v>444</v>
      </c>
      <c r="G164" s="190" t="s">
        <v>445</v>
      </c>
      <c r="H164" s="188" t="n">
        <v>46045</v>
      </c>
      <c r="I164" s="190" t="s">
        <v>113</v>
      </c>
      <c r="J164" s="190" t="s">
        <v>295</v>
      </c>
      <c r="K164" s="190" t="s">
        <v>446</v>
      </c>
      <c r="L164" s="190" t="s">
        <v>130</v>
      </c>
      <c r="M164" s="190" t="s">
        <v>447</v>
      </c>
      <c r="N164" s="190" t="s">
        <v>249</v>
      </c>
      <c r="O164" s="190" t="s">
        <v>244</v>
      </c>
      <c r="P164" s="190" t="s">
        <v>111</v>
      </c>
      <c r="Q164" s="190" t="s">
        <v>112</v>
      </c>
      <c r="R164" s="190" t="s">
        <v>24</v>
      </c>
      <c r="S164" s="190" t="s">
        <v>227</v>
      </c>
      <c r="T164" s="190" t="s">
        <v>121</v>
      </c>
      <c r="U164" s="190" t="s">
        <v>452</v>
      </c>
      <c r="V164" s="190" t="s">
        <v>192</v>
      </c>
      <c r="W164" s="190" t="s">
        <v>139</v>
      </c>
      <c r="X164" s="190" t="s">
        <v>448</v>
      </c>
      <c r="Y164" s="190" t="s">
        <v>3064</v>
      </c>
      <c r="Z164" s="190" t="n">
        <v>2</v>
      </c>
      <c r="AA164" s="190" t="s">
        <v>3174</v>
      </c>
    </row>
    <row r="165" customFormat="false" ht="15" hidden="false" customHeight="true" outlineLevel="0" collapsed="false">
      <c r="A165" s="0" t="n">
        <v>33</v>
      </c>
      <c r="B165" s="188" t="n">
        <v>46046.7665469473</v>
      </c>
      <c r="C165" s="188" t="n">
        <v>46046.7688617621</v>
      </c>
      <c r="D165" s="189" t="s">
        <v>443</v>
      </c>
      <c r="E165" s="189" t="s">
        <v>444</v>
      </c>
      <c r="F165" s="189" t="s">
        <v>444</v>
      </c>
      <c r="G165" s="189" t="s">
        <v>445</v>
      </c>
      <c r="H165" s="188" t="n">
        <v>46045</v>
      </c>
      <c r="I165" s="189" t="s">
        <v>113</v>
      </c>
      <c r="J165" s="189" t="s">
        <v>295</v>
      </c>
      <c r="K165" s="189" t="s">
        <v>446</v>
      </c>
      <c r="L165" s="189" t="s">
        <v>130</v>
      </c>
      <c r="M165" s="189" t="s">
        <v>447</v>
      </c>
      <c r="N165" s="189" t="s">
        <v>249</v>
      </c>
      <c r="O165" s="189" t="s">
        <v>244</v>
      </c>
      <c r="P165" s="189" t="s">
        <v>111</v>
      </c>
      <c r="Q165" s="189" t="s">
        <v>112</v>
      </c>
      <c r="R165" s="189" t="s">
        <v>24</v>
      </c>
      <c r="S165" s="189" t="s">
        <v>227</v>
      </c>
      <c r="T165" s="189" t="s">
        <v>121</v>
      </c>
      <c r="U165" s="189" t="s">
        <v>452</v>
      </c>
      <c r="V165" s="189" t="s">
        <v>192</v>
      </c>
      <c r="W165" s="189" t="s">
        <v>139</v>
      </c>
      <c r="X165" s="189" t="s">
        <v>448</v>
      </c>
      <c r="Y165" s="189" t="s">
        <v>3064</v>
      </c>
      <c r="Z165" s="0" t="n">
        <v>3</v>
      </c>
      <c r="AA165" s="189" t="s">
        <v>3175</v>
      </c>
    </row>
    <row r="166" customFormat="false" ht="15" hidden="false" customHeight="true" outlineLevel="0" collapsed="false">
      <c r="A166" s="0" t="n">
        <v>33</v>
      </c>
      <c r="B166" s="188" t="n">
        <v>46046.7665469473</v>
      </c>
      <c r="C166" s="188" t="n">
        <v>46046.7688617621</v>
      </c>
      <c r="D166" s="189" t="s">
        <v>443</v>
      </c>
      <c r="E166" s="189" t="s">
        <v>444</v>
      </c>
      <c r="F166" s="189" t="s">
        <v>444</v>
      </c>
      <c r="G166" s="189" t="s">
        <v>445</v>
      </c>
      <c r="H166" s="188" t="n">
        <v>46045</v>
      </c>
      <c r="I166" s="189" t="s">
        <v>113</v>
      </c>
      <c r="J166" s="189" t="s">
        <v>295</v>
      </c>
      <c r="K166" s="189" t="s">
        <v>446</v>
      </c>
      <c r="L166" s="189" t="s">
        <v>130</v>
      </c>
      <c r="M166" s="189" t="s">
        <v>447</v>
      </c>
      <c r="N166" s="189" t="s">
        <v>249</v>
      </c>
      <c r="O166" s="189" t="s">
        <v>244</v>
      </c>
      <c r="P166" s="189" t="s">
        <v>111</v>
      </c>
      <c r="Q166" s="189" t="s">
        <v>112</v>
      </c>
      <c r="R166" s="189" t="s">
        <v>24</v>
      </c>
      <c r="S166" s="189" t="s">
        <v>227</v>
      </c>
      <c r="T166" s="189" t="s">
        <v>121</v>
      </c>
      <c r="U166" s="189" t="s">
        <v>452</v>
      </c>
      <c r="V166" s="189" t="s">
        <v>192</v>
      </c>
      <c r="W166" s="189" t="s">
        <v>139</v>
      </c>
      <c r="X166" s="189" t="s">
        <v>448</v>
      </c>
      <c r="Y166" s="189" t="s">
        <v>3066</v>
      </c>
      <c r="Z166" s="0" t="n">
        <v>1</v>
      </c>
      <c r="AA166" s="189" t="s">
        <v>3176</v>
      </c>
    </row>
    <row r="167" customFormat="false" ht="15" hidden="false" customHeight="true" outlineLevel="0" collapsed="false">
      <c r="A167" s="0" t="n">
        <v>33</v>
      </c>
      <c r="B167" s="188" t="n">
        <v>46046.7665469473</v>
      </c>
      <c r="C167" s="188" t="n">
        <v>46046.7688617621</v>
      </c>
      <c r="D167" s="189" t="s">
        <v>443</v>
      </c>
      <c r="E167" s="189" t="s">
        <v>444</v>
      </c>
      <c r="F167" s="189" t="s">
        <v>444</v>
      </c>
      <c r="G167" s="189" t="s">
        <v>445</v>
      </c>
      <c r="H167" s="188" t="n">
        <v>46045</v>
      </c>
      <c r="I167" s="189" t="s">
        <v>113</v>
      </c>
      <c r="J167" s="189" t="s">
        <v>295</v>
      </c>
      <c r="K167" s="189" t="s">
        <v>446</v>
      </c>
      <c r="L167" s="189" t="s">
        <v>130</v>
      </c>
      <c r="M167" s="189" t="s">
        <v>447</v>
      </c>
      <c r="N167" s="189" t="s">
        <v>249</v>
      </c>
      <c r="O167" s="189" t="s">
        <v>244</v>
      </c>
      <c r="P167" s="189" t="s">
        <v>111</v>
      </c>
      <c r="Q167" s="189" t="s">
        <v>112</v>
      </c>
      <c r="R167" s="189" t="s">
        <v>24</v>
      </c>
      <c r="S167" s="189" t="s">
        <v>227</v>
      </c>
      <c r="T167" s="189" t="s">
        <v>121</v>
      </c>
      <c r="U167" s="189" t="s">
        <v>452</v>
      </c>
      <c r="V167" s="189" t="s">
        <v>192</v>
      </c>
      <c r="W167" s="189" t="s">
        <v>139</v>
      </c>
      <c r="X167" s="189" t="s">
        <v>448</v>
      </c>
      <c r="Y167" s="189" t="s">
        <v>3066</v>
      </c>
      <c r="Z167" s="0" t="n">
        <v>2</v>
      </c>
      <c r="AA167" s="189" t="s">
        <v>3177</v>
      </c>
    </row>
    <row r="168" customFormat="false" ht="15" hidden="false" customHeight="true" outlineLevel="0" collapsed="false">
      <c r="A168" s="0" t="n">
        <v>33</v>
      </c>
      <c r="B168" s="188" t="n">
        <v>46046.7665469473</v>
      </c>
      <c r="C168" s="188" t="n">
        <v>46046.7688617621</v>
      </c>
      <c r="D168" s="189" t="s">
        <v>443</v>
      </c>
      <c r="E168" s="189" t="s">
        <v>444</v>
      </c>
      <c r="F168" s="189" t="s">
        <v>444</v>
      </c>
      <c r="G168" s="189" t="s">
        <v>445</v>
      </c>
      <c r="H168" s="188" t="n">
        <v>46045</v>
      </c>
      <c r="I168" s="189" t="s">
        <v>113</v>
      </c>
      <c r="J168" s="189" t="s">
        <v>295</v>
      </c>
      <c r="K168" s="189" t="s">
        <v>446</v>
      </c>
      <c r="L168" s="189" t="s">
        <v>130</v>
      </c>
      <c r="M168" s="189" t="s">
        <v>447</v>
      </c>
      <c r="N168" s="189" t="s">
        <v>249</v>
      </c>
      <c r="O168" s="189" t="s">
        <v>244</v>
      </c>
      <c r="P168" s="189" t="s">
        <v>111</v>
      </c>
      <c r="Q168" s="189" t="s">
        <v>112</v>
      </c>
      <c r="R168" s="189" t="s">
        <v>24</v>
      </c>
      <c r="S168" s="189" t="s">
        <v>227</v>
      </c>
      <c r="T168" s="189" t="s">
        <v>121</v>
      </c>
      <c r="U168" s="189" t="s">
        <v>452</v>
      </c>
      <c r="V168" s="189" t="s">
        <v>192</v>
      </c>
      <c r="W168" s="189" t="s">
        <v>139</v>
      </c>
      <c r="X168" s="189" t="s">
        <v>448</v>
      </c>
      <c r="Y168" s="189" t="s">
        <v>3069</v>
      </c>
      <c r="Z168" s="0" t="n">
        <v>1</v>
      </c>
      <c r="AA168" s="189" t="s">
        <v>3178</v>
      </c>
    </row>
    <row r="169" customFormat="false" ht="15" hidden="false" customHeight="true" outlineLevel="0" collapsed="false">
      <c r="A169" s="0" t="n">
        <v>33</v>
      </c>
      <c r="B169" s="188" t="n">
        <v>46046.7665469473</v>
      </c>
      <c r="C169" s="188" t="n">
        <v>46046.7688617621</v>
      </c>
      <c r="D169" s="189" t="s">
        <v>443</v>
      </c>
      <c r="E169" s="189" t="s">
        <v>444</v>
      </c>
      <c r="F169" s="189" t="s">
        <v>444</v>
      </c>
      <c r="G169" s="189" t="s">
        <v>445</v>
      </c>
      <c r="H169" s="188" t="n">
        <v>46045</v>
      </c>
      <c r="I169" s="189" t="s">
        <v>113</v>
      </c>
      <c r="J169" s="189" t="s">
        <v>295</v>
      </c>
      <c r="K169" s="189" t="s">
        <v>446</v>
      </c>
      <c r="L169" s="189" t="s">
        <v>130</v>
      </c>
      <c r="M169" s="189" t="s">
        <v>447</v>
      </c>
      <c r="N169" s="189" t="s">
        <v>249</v>
      </c>
      <c r="O169" s="189" t="s">
        <v>244</v>
      </c>
      <c r="P169" s="189" t="s">
        <v>111</v>
      </c>
      <c r="Q169" s="189" t="s">
        <v>112</v>
      </c>
      <c r="R169" s="189" t="s">
        <v>24</v>
      </c>
      <c r="S169" s="189" t="s">
        <v>227</v>
      </c>
      <c r="T169" s="189" t="s">
        <v>121</v>
      </c>
      <c r="U169" s="189" t="s">
        <v>452</v>
      </c>
      <c r="V169" s="189" t="s">
        <v>192</v>
      </c>
      <c r="W169" s="189" t="s">
        <v>139</v>
      </c>
      <c r="X169" s="189" t="s">
        <v>448</v>
      </c>
      <c r="Y169" s="189" t="s">
        <v>3069</v>
      </c>
      <c r="Z169" s="0" t="n">
        <v>2</v>
      </c>
      <c r="AA169" s="189" t="s">
        <v>3179</v>
      </c>
    </row>
    <row r="170" customFormat="false" ht="15" hidden="false" customHeight="true" outlineLevel="0" collapsed="false">
      <c r="A170" s="0" t="n">
        <v>34</v>
      </c>
      <c r="B170" s="188" t="n">
        <v>46046.7417723906</v>
      </c>
      <c r="C170" s="188" t="n">
        <v>46046.7434853535</v>
      </c>
      <c r="D170" s="189" t="s">
        <v>453</v>
      </c>
      <c r="E170" s="189" t="s">
        <v>454</v>
      </c>
      <c r="F170" s="189" t="s">
        <v>454</v>
      </c>
      <c r="G170" s="189" t="s">
        <v>455</v>
      </c>
      <c r="H170" s="188" t="n">
        <v>46032</v>
      </c>
      <c r="I170" s="189" t="s">
        <v>113</v>
      </c>
      <c r="J170" s="189" t="s">
        <v>295</v>
      </c>
      <c r="K170" s="189" t="s">
        <v>456</v>
      </c>
      <c r="L170" s="189" t="s">
        <v>210</v>
      </c>
      <c r="M170" s="189" t="s">
        <v>114</v>
      </c>
      <c r="N170" s="189" t="s">
        <v>287</v>
      </c>
      <c r="O170" s="189" t="s">
        <v>172</v>
      </c>
      <c r="P170" s="189" t="s">
        <v>131</v>
      </c>
      <c r="Q170" s="189" t="s">
        <v>247</v>
      </c>
      <c r="R170" s="189" t="s">
        <v>21</v>
      </c>
      <c r="S170" s="189" t="s">
        <v>152</v>
      </c>
      <c r="T170" s="189" t="s">
        <v>228</v>
      </c>
      <c r="V170" s="189" t="s">
        <v>123</v>
      </c>
      <c r="W170" s="189" t="s">
        <v>168</v>
      </c>
      <c r="X170" s="189" t="s">
        <v>457</v>
      </c>
      <c r="Y170" s="189" t="s">
        <v>3064</v>
      </c>
      <c r="Z170" s="0" t="n">
        <v>1</v>
      </c>
      <c r="AA170" s="189" t="s">
        <v>3065</v>
      </c>
    </row>
    <row r="171" customFormat="false" ht="15" hidden="false" customHeight="true" outlineLevel="0" collapsed="false">
      <c r="A171" s="0" t="n">
        <v>34</v>
      </c>
      <c r="B171" s="188" t="n">
        <v>46046.7417723906</v>
      </c>
      <c r="C171" s="188" t="n">
        <v>46046.7434853535</v>
      </c>
      <c r="D171" s="189" t="s">
        <v>453</v>
      </c>
      <c r="E171" s="189" t="s">
        <v>454</v>
      </c>
      <c r="F171" s="189" t="s">
        <v>454</v>
      </c>
      <c r="G171" s="189" t="s">
        <v>455</v>
      </c>
      <c r="H171" s="188" t="n">
        <v>46032</v>
      </c>
      <c r="I171" s="189" t="s">
        <v>113</v>
      </c>
      <c r="J171" s="189" t="s">
        <v>295</v>
      </c>
      <c r="K171" s="189" t="s">
        <v>456</v>
      </c>
      <c r="L171" s="189" t="s">
        <v>210</v>
      </c>
      <c r="M171" s="189" t="s">
        <v>114</v>
      </c>
      <c r="N171" s="189" t="s">
        <v>287</v>
      </c>
      <c r="O171" s="189" t="s">
        <v>172</v>
      </c>
      <c r="P171" s="189" t="s">
        <v>131</v>
      </c>
      <c r="Q171" s="189" t="s">
        <v>247</v>
      </c>
      <c r="R171" s="189" t="s">
        <v>21</v>
      </c>
      <c r="S171" s="189" t="s">
        <v>152</v>
      </c>
      <c r="T171" s="189" t="s">
        <v>228</v>
      </c>
      <c r="V171" s="189" t="s">
        <v>123</v>
      </c>
      <c r="W171" s="189" t="s">
        <v>168</v>
      </c>
      <c r="X171" s="189" t="s">
        <v>457</v>
      </c>
      <c r="Y171" s="189" t="s">
        <v>3064</v>
      </c>
      <c r="Z171" s="0" t="n">
        <v>2</v>
      </c>
      <c r="AA171" s="189" t="s">
        <v>3107</v>
      </c>
    </row>
    <row r="172" customFormat="false" ht="15" hidden="false" customHeight="true" outlineLevel="0" collapsed="false">
      <c r="A172" s="0" t="n">
        <v>34</v>
      </c>
      <c r="B172" s="188" t="n">
        <v>46046.7417723906</v>
      </c>
      <c r="C172" s="188" t="n">
        <v>46046.7434853535</v>
      </c>
      <c r="D172" s="189" t="s">
        <v>453</v>
      </c>
      <c r="E172" s="189" t="s">
        <v>454</v>
      </c>
      <c r="F172" s="189" t="s">
        <v>454</v>
      </c>
      <c r="G172" s="189" t="s">
        <v>455</v>
      </c>
      <c r="H172" s="188" t="n">
        <v>46032</v>
      </c>
      <c r="I172" s="189" t="s">
        <v>113</v>
      </c>
      <c r="J172" s="189" t="s">
        <v>295</v>
      </c>
      <c r="K172" s="189" t="s">
        <v>456</v>
      </c>
      <c r="L172" s="189" t="s">
        <v>210</v>
      </c>
      <c r="M172" s="189" t="s">
        <v>114</v>
      </c>
      <c r="N172" s="189" t="s">
        <v>287</v>
      </c>
      <c r="O172" s="189" t="s">
        <v>172</v>
      </c>
      <c r="P172" s="189" t="s">
        <v>131</v>
      </c>
      <c r="Q172" s="189" t="s">
        <v>247</v>
      </c>
      <c r="R172" s="189" t="s">
        <v>21</v>
      </c>
      <c r="S172" s="189" t="s">
        <v>152</v>
      </c>
      <c r="T172" s="189" t="s">
        <v>228</v>
      </c>
      <c r="V172" s="189" t="s">
        <v>123</v>
      </c>
      <c r="W172" s="189" t="s">
        <v>168</v>
      </c>
      <c r="X172" s="189" t="s">
        <v>457</v>
      </c>
      <c r="Y172" s="189" t="s">
        <v>3066</v>
      </c>
      <c r="Z172" s="0" t="n">
        <v>1</v>
      </c>
      <c r="AA172" s="189" t="s">
        <v>3068</v>
      </c>
    </row>
    <row r="173" customFormat="false" ht="15" hidden="false" customHeight="true" outlineLevel="0" collapsed="false">
      <c r="A173" s="0" t="n">
        <v>34</v>
      </c>
      <c r="B173" s="188" t="n">
        <v>46046.7417723906</v>
      </c>
      <c r="C173" s="188" t="n">
        <v>46046.7434853535</v>
      </c>
      <c r="D173" s="189" t="s">
        <v>453</v>
      </c>
      <c r="E173" s="189" t="s">
        <v>454</v>
      </c>
      <c r="F173" s="189" t="s">
        <v>454</v>
      </c>
      <c r="G173" s="189" t="s">
        <v>455</v>
      </c>
      <c r="H173" s="188" t="n">
        <v>46032</v>
      </c>
      <c r="I173" s="189" t="s">
        <v>113</v>
      </c>
      <c r="J173" s="189" t="s">
        <v>295</v>
      </c>
      <c r="K173" s="189" t="s">
        <v>456</v>
      </c>
      <c r="L173" s="189" t="s">
        <v>210</v>
      </c>
      <c r="M173" s="189" t="s">
        <v>114</v>
      </c>
      <c r="N173" s="189" t="s">
        <v>287</v>
      </c>
      <c r="O173" s="189" t="s">
        <v>172</v>
      </c>
      <c r="P173" s="189" t="s">
        <v>131</v>
      </c>
      <c r="Q173" s="189" t="s">
        <v>247</v>
      </c>
      <c r="R173" s="189" t="s">
        <v>21</v>
      </c>
      <c r="S173" s="189" t="s">
        <v>152</v>
      </c>
      <c r="T173" s="189" t="s">
        <v>228</v>
      </c>
      <c r="V173" s="189" t="s">
        <v>123</v>
      </c>
      <c r="W173" s="189" t="s">
        <v>168</v>
      </c>
      <c r="X173" s="189" t="s">
        <v>457</v>
      </c>
      <c r="Y173" s="189" t="s">
        <v>3069</v>
      </c>
      <c r="Z173" s="0" t="n">
        <v>1</v>
      </c>
      <c r="AA173" s="189" t="s">
        <v>3083</v>
      </c>
    </row>
    <row r="174" customFormat="false" ht="15" hidden="false" customHeight="true" outlineLevel="0" collapsed="false">
      <c r="A174" s="0" t="n">
        <v>34</v>
      </c>
      <c r="B174" s="188" t="n">
        <v>46046.7417723906</v>
      </c>
      <c r="C174" s="188" t="n">
        <v>46046.7434853535</v>
      </c>
      <c r="D174" s="189" t="s">
        <v>453</v>
      </c>
      <c r="E174" s="189" t="s">
        <v>454</v>
      </c>
      <c r="F174" s="189" t="s">
        <v>454</v>
      </c>
      <c r="G174" s="189" t="s">
        <v>455</v>
      </c>
      <c r="H174" s="188" t="n">
        <v>46032</v>
      </c>
      <c r="I174" s="189" t="s">
        <v>113</v>
      </c>
      <c r="J174" s="189" t="s">
        <v>295</v>
      </c>
      <c r="K174" s="189" t="s">
        <v>456</v>
      </c>
      <c r="L174" s="189" t="s">
        <v>210</v>
      </c>
      <c r="M174" s="189" t="s">
        <v>114</v>
      </c>
      <c r="N174" s="189" t="s">
        <v>287</v>
      </c>
      <c r="O174" s="189" t="s">
        <v>172</v>
      </c>
      <c r="P174" s="189" t="s">
        <v>131</v>
      </c>
      <c r="Q174" s="189" t="s">
        <v>247</v>
      </c>
      <c r="R174" s="189" t="s">
        <v>21</v>
      </c>
      <c r="S174" s="189" t="s">
        <v>152</v>
      </c>
      <c r="T174" s="189" t="s">
        <v>228</v>
      </c>
      <c r="V174" s="189" t="s">
        <v>123</v>
      </c>
      <c r="W174" s="189" t="s">
        <v>168</v>
      </c>
      <c r="X174" s="189" t="s">
        <v>457</v>
      </c>
      <c r="Y174" s="189" t="s">
        <v>3069</v>
      </c>
      <c r="Z174" s="0" t="n">
        <v>2</v>
      </c>
      <c r="AA174" s="189" t="s">
        <v>122</v>
      </c>
    </row>
    <row r="175" s="190" customFormat="true" ht="15" hidden="false" customHeight="true" outlineLevel="0" collapsed="false">
      <c r="A175" s="190" t="n">
        <v>35</v>
      </c>
      <c r="B175" s="188" t="n">
        <v>46057.9584475182</v>
      </c>
      <c r="C175" s="188" t="n">
        <v>46057.9774405737</v>
      </c>
      <c r="D175" s="190" t="s">
        <v>459</v>
      </c>
      <c r="E175" s="190" t="s">
        <v>460</v>
      </c>
      <c r="F175" s="190" t="s">
        <v>460</v>
      </c>
      <c r="G175" s="190" t="s">
        <v>461</v>
      </c>
      <c r="H175" s="188" t="n">
        <v>46044</v>
      </c>
      <c r="I175" s="190" t="s">
        <v>113</v>
      </c>
      <c r="J175" s="190" t="s">
        <v>295</v>
      </c>
      <c r="K175" s="190" t="s">
        <v>462</v>
      </c>
      <c r="L175" s="190" t="s">
        <v>389</v>
      </c>
      <c r="M175" s="190" t="s">
        <v>397</v>
      </c>
      <c r="N175" s="190" t="s">
        <v>227</v>
      </c>
      <c r="O175" s="190" t="s">
        <v>244</v>
      </c>
      <c r="P175" s="190" t="s">
        <v>111</v>
      </c>
      <c r="Q175" s="190" t="s">
        <v>247</v>
      </c>
      <c r="R175" s="190" t="s">
        <v>22</v>
      </c>
      <c r="S175" s="190" t="s">
        <v>152</v>
      </c>
      <c r="T175" s="190" t="s">
        <v>121</v>
      </c>
      <c r="U175" s="190" t="s">
        <v>122</v>
      </c>
      <c r="V175" s="190" t="s">
        <v>192</v>
      </c>
      <c r="W175" s="190" t="s">
        <v>124</v>
      </c>
      <c r="X175" s="190" t="s">
        <v>381</v>
      </c>
      <c r="Y175" s="190" t="s">
        <v>3064</v>
      </c>
      <c r="Z175" s="190" t="n">
        <v>1</v>
      </c>
      <c r="AA175" s="190" t="s">
        <v>3180</v>
      </c>
    </row>
    <row r="176" s="190" customFormat="true" ht="95.25" hidden="false" customHeight="true" outlineLevel="0" collapsed="false">
      <c r="A176" s="190" t="n">
        <v>35</v>
      </c>
      <c r="B176" s="188" t="n">
        <v>46057.9584475182</v>
      </c>
      <c r="C176" s="188" t="n">
        <v>46057.9774405737</v>
      </c>
      <c r="D176" s="190" t="s">
        <v>459</v>
      </c>
      <c r="E176" s="190" t="s">
        <v>460</v>
      </c>
      <c r="F176" s="190" t="s">
        <v>460</v>
      </c>
      <c r="G176" s="190" t="s">
        <v>461</v>
      </c>
      <c r="H176" s="188" t="n">
        <v>46044</v>
      </c>
      <c r="I176" s="190" t="s">
        <v>113</v>
      </c>
      <c r="J176" s="190" t="s">
        <v>295</v>
      </c>
      <c r="K176" s="190" t="s">
        <v>462</v>
      </c>
      <c r="L176" s="190" t="s">
        <v>389</v>
      </c>
      <c r="M176" s="190" t="s">
        <v>397</v>
      </c>
      <c r="N176" s="190" t="s">
        <v>227</v>
      </c>
      <c r="O176" s="190" t="s">
        <v>244</v>
      </c>
      <c r="P176" s="190" t="s">
        <v>111</v>
      </c>
      <c r="Q176" s="190" t="s">
        <v>247</v>
      </c>
      <c r="R176" s="190" t="s">
        <v>22</v>
      </c>
      <c r="S176" s="190" t="s">
        <v>152</v>
      </c>
      <c r="T176" s="190" t="s">
        <v>121</v>
      </c>
      <c r="U176" s="190" t="s">
        <v>122</v>
      </c>
      <c r="V176" s="190" t="s">
        <v>192</v>
      </c>
      <c r="W176" s="190" t="s">
        <v>124</v>
      </c>
      <c r="X176" s="190" t="s">
        <v>381</v>
      </c>
      <c r="Y176" s="190" t="s">
        <v>3066</v>
      </c>
      <c r="Z176" s="190" t="n">
        <v>1</v>
      </c>
      <c r="AA176" s="190" t="s">
        <v>3160</v>
      </c>
    </row>
    <row r="177" s="190" customFormat="true" ht="15" hidden="false" customHeight="true" outlineLevel="0" collapsed="false">
      <c r="A177" s="190" t="n">
        <v>35</v>
      </c>
      <c r="B177" s="188" t="n">
        <v>46057.9584475182</v>
      </c>
      <c r="C177" s="188" t="n">
        <v>46057.9774405737</v>
      </c>
      <c r="D177" s="190" t="s">
        <v>459</v>
      </c>
      <c r="E177" s="190" t="s">
        <v>460</v>
      </c>
      <c r="F177" s="190" t="s">
        <v>460</v>
      </c>
      <c r="G177" s="190" t="s">
        <v>461</v>
      </c>
      <c r="H177" s="188" t="n">
        <v>46044</v>
      </c>
      <c r="I177" s="190" t="s">
        <v>113</v>
      </c>
      <c r="J177" s="190" t="s">
        <v>295</v>
      </c>
      <c r="K177" s="190" t="s">
        <v>462</v>
      </c>
      <c r="L177" s="190" t="s">
        <v>389</v>
      </c>
      <c r="M177" s="190" t="s">
        <v>397</v>
      </c>
      <c r="N177" s="190" t="s">
        <v>227</v>
      </c>
      <c r="O177" s="190" t="s">
        <v>244</v>
      </c>
      <c r="P177" s="190" t="s">
        <v>111</v>
      </c>
      <c r="Q177" s="190" t="s">
        <v>247</v>
      </c>
      <c r="R177" s="190" t="s">
        <v>22</v>
      </c>
      <c r="S177" s="190" t="s">
        <v>152</v>
      </c>
      <c r="T177" s="190" t="s">
        <v>121</v>
      </c>
      <c r="U177" s="190" t="s">
        <v>122</v>
      </c>
      <c r="V177" s="190" t="s">
        <v>192</v>
      </c>
      <c r="W177" s="190" t="s">
        <v>124</v>
      </c>
      <c r="X177" s="190" t="s">
        <v>381</v>
      </c>
      <c r="Y177" s="190" t="s">
        <v>3069</v>
      </c>
      <c r="Z177" s="190" t="n">
        <v>1</v>
      </c>
      <c r="AA177" s="190" t="s">
        <v>3181</v>
      </c>
    </row>
    <row r="178" s="190" customFormat="true" ht="15" hidden="false" customHeight="true" outlineLevel="0" collapsed="false">
      <c r="A178" s="190" t="n">
        <v>35</v>
      </c>
      <c r="B178" s="188" t="n">
        <v>46057.9584475182</v>
      </c>
      <c r="C178" s="188" t="n">
        <v>46057.9774405737</v>
      </c>
      <c r="D178" s="190" t="s">
        <v>459</v>
      </c>
      <c r="E178" s="190" t="s">
        <v>460</v>
      </c>
      <c r="F178" s="190" t="s">
        <v>460</v>
      </c>
      <c r="G178" s="190" t="s">
        <v>461</v>
      </c>
      <c r="H178" s="188" t="n">
        <v>46044</v>
      </c>
      <c r="I178" s="190" t="s">
        <v>113</v>
      </c>
      <c r="J178" s="190" t="s">
        <v>295</v>
      </c>
      <c r="K178" s="190" t="s">
        <v>462</v>
      </c>
      <c r="L178" s="190" t="s">
        <v>389</v>
      </c>
      <c r="M178" s="190" t="s">
        <v>397</v>
      </c>
      <c r="N178" s="190" t="s">
        <v>227</v>
      </c>
      <c r="O178" s="190" t="s">
        <v>244</v>
      </c>
      <c r="P178" s="190" t="s">
        <v>111</v>
      </c>
      <c r="Q178" s="190" t="s">
        <v>247</v>
      </c>
      <c r="R178" s="190" t="s">
        <v>22</v>
      </c>
      <c r="S178" s="190" t="s">
        <v>152</v>
      </c>
      <c r="T178" s="190" t="s">
        <v>121</v>
      </c>
      <c r="U178" s="190" t="s">
        <v>122</v>
      </c>
      <c r="V178" s="190" t="s">
        <v>192</v>
      </c>
      <c r="W178" s="190" t="s">
        <v>124</v>
      </c>
      <c r="X178" s="190" t="s">
        <v>381</v>
      </c>
      <c r="Y178" s="190" t="s">
        <v>3069</v>
      </c>
      <c r="Z178" s="190" t="n">
        <v>2</v>
      </c>
      <c r="AA178" s="190" t="s">
        <v>3162</v>
      </c>
    </row>
    <row r="179" s="190" customFormat="true" ht="15" hidden="false" customHeight="true" outlineLevel="0" collapsed="false">
      <c r="A179" s="190" t="n">
        <v>36</v>
      </c>
      <c r="B179" s="188" t="n">
        <v>46181.1932409213</v>
      </c>
      <c r="C179" s="188" t="n">
        <v>46181.2132756435</v>
      </c>
      <c r="D179" s="190" t="s">
        <v>466</v>
      </c>
      <c r="E179" s="190" t="s">
        <v>467</v>
      </c>
      <c r="F179" s="190" t="s">
        <v>467</v>
      </c>
      <c r="G179" s="190" t="s">
        <v>468</v>
      </c>
      <c r="H179" s="188" t="n">
        <v>46177</v>
      </c>
      <c r="I179" s="190" t="s">
        <v>325</v>
      </c>
      <c r="J179" s="190" t="s">
        <v>108</v>
      </c>
      <c r="K179" s="190" t="s">
        <v>143</v>
      </c>
      <c r="L179" s="190" t="s">
        <v>286</v>
      </c>
      <c r="M179" s="190" t="s">
        <v>447</v>
      </c>
      <c r="N179" s="190" t="s">
        <v>469</v>
      </c>
      <c r="O179" s="190" t="s">
        <v>278</v>
      </c>
      <c r="P179" s="190" t="s">
        <v>131</v>
      </c>
      <c r="Q179" s="190" t="s">
        <v>112</v>
      </c>
      <c r="R179" s="190" t="s">
        <v>21</v>
      </c>
      <c r="S179" s="190" t="s">
        <v>152</v>
      </c>
      <c r="T179" s="190" t="s">
        <v>352</v>
      </c>
      <c r="V179" s="190" t="s">
        <v>123</v>
      </c>
      <c r="W179" s="190" t="s">
        <v>124</v>
      </c>
      <c r="X179" s="190" t="s">
        <v>307</v>
      </c>
      <c r="Y179" s="190" t="s">
        <v>3064</v>
      </c>
      <c r="Z179" s="190" t="n">
        <v>1</v>
      </c>
      <c r="AA179" s="190" t="s">
        <v>3131</v>
      </c>
    </row>
    <row r="180" s="190" customFormat="true" ht="95.25" hidden="false" customHeight="true" outlineLevel="0" collapsed="false">
      <c r="A180" s="190" t="n">
        <v>36</v>
      </c>
      <c r="B180" s="188" t="n">
        <v>46181.1932409213</v>
      </c>
      <c r="C180" s="188" t="n">
        <v>46181.2132756435</v>
      </c>
      <c r="D180" s="190" t="s">
        <v>466</v>
      </c>
      <c r="E180" s="190" t="s">
        <v>467</v>
      </c>
      <c r="F180" s="190" t="s">
        <v>467</v>
      </c>
      <c r="G180" s="190" t="s">
        <v>468</v>
      </c>
      <c r="H180" s="188" t="n">
        <v>46177</v>
      </c>
      <c r="I180" s="190" t="s">
        <v>325</v>
      </c>
      <c r="J180" s="190" t="s">
        <v>108</v>
      </c>
      <c r="K180" s="190" t="s">
        <v>143</v>
      </c>
      <c r="L180" s="190" t="s">
        <v>286</v>
      </c>
      <c r="M180" s="190" t="s">
        <v>447</v>
      </c>
      <c r="N180" s="190" t="s">
        <v>469</v>
      </c>
      <c r="O180" s="190" t="s">
        <v>278</v>
      </c>
      <c r="P180" s="190" t="s">
        <v>131</v>
      </c>
      <c r="Q180" s="190" t="s">
        <v>112</v>
      </c>
      <c r="R180" s="190" t="s">
        <v>21</v>
      </c>
      <c r="S180" s="190" t="s">
        <v>152</v>
      </c>
      <c r="T180" s="190" t="s">
        <v>352</v>
      </c>
      <c r="V180" s="190" t="s">
        <v>123</v>
      </c>
      <c r="W180" s="190" t="s">
        <v>124</v>
      </c>
      <c r="X180" s="190" t="s">
        <v>307</v>
      </c>
      <c r="Y180" s="190" t="s">
        <v>3066</v>
      </c>
      <c r="Z180" s="190" t="n">
        <v>1</v>
      </c>
      <c r="AA180" s="190" t="s">
        <v>3182</v>
      </c>
    </row>
    <row r="181" s="190" customFormat="true" ht="15" hidden="false" customHeight="true" outlineLevel="0" collapsed="false">
      <c r="A181" s="190" t="n">
        <v>36</v>
      </c>
      <c r="B181" s="188" t="n">
        <v>46181.1932409213</v>
      </c>
      <c r="C181" s="188" t="n">
        <v>46181.2132756435</v>
      </c>
      <c r="D181" s="190" t="s">
        <v>466</v>
      </c>
      <c r="E181" s="190" t="s">
        <v>467</v>
      </c>
      <c r="F181" s="190" t="s">
        <v>467</v>
      </c>
      <c r="G181" s="190" t="s">
        <v>468</v>
      </c>
      <c r="H181" s="188" t="n">
        <v>46177</v>
      </c>
      <c r="I181" s="190" t="s">
        <v>325</v>
      </c>
      <c r="J181" s="190" t="s">
        <v>108</v>
      </c>
      <c r="K181" s="190" t="s">
        <v>143</v>
      </c>
      <c r="L181" s="190" t="s">
        <v>286</v>
      </c>
      <c r="M181" s="190" t="s">
        <v>447</v>
      </c>
      <c r="N181" s="190" t="s">
        <v>469</v>
      </c>
      <c r="O181" s="190" t="s">
        <v>278</v>
      </c>
      <c r="P181" s="190" t="s">
        <v>131</v>
      </c>
      <c r="Q181" s="190" t="s">
        <v>112</v>
      </c>
      <c r="R181" s="190" t="s">
        <v>21</v>
      </c>
      <c r="S181" s="190" t="s">
        <v>152</v>
      </c>
      <c r="T181" s="190" t="s">
        <v>352</v>
      </c>
      <c r="V181" s="190" t="s">
        <v>123</v>
      </c>
      <c r="W181" s="190" t="s">
        <v>124</v>
      </c>
      <c r="X181" s="190" t="s">
        <v>307</v>
      </c>
      <c r="Y181" s="190" t="s">
        <v>3066</v>
      </c>
      <c r="Z181" s="190" t="n">
        <v>2</v>
      </c>
      <c r="AA181" s="190" t="s">
        <v>1174</v>
      </c>
    </row>
    <row r="182" customFormat="false" ht="15" hidden="false" customHeight="true" outlineLevel="0" collapsed="false">
      <c r="A182" s="0" t="n">
        <v>36</v>
      </c>
      <c r="B182" s="188" t="n">
        <v>46181.1932409213</v>
      </c>
      <c r="C182" s="188" t="n">
        <v>46181.2132756435</v>
      </c>
      <c r="D182" s="189" t="s">
        <v>466</v>
      </c>
      <c r="E182" s="189" t="s">
        <v>467</v>
      </c>
      <c r="F182" s="189" t="s">
        <v>467</v>
      </c>
      <c r="G182" s="189" t="s">
        <v>468</v>
      </c>
      <c r="H182" s="188" t="n">
        <v>46177</v>
      </c>
      <c r="I182" s="189" t="s">
        <v>325</v>
      </c>
      <c r="J182" s="189" t="s">
        <v>108</v>
      </c>
      <c r="K182" s="189" t="s">
        <v>143</v>
      </c>
      <c r="L182" s="189" t="s">
        <v>286</v>
      </c>
      <c r="M182" s="189" t="s">
        <v>447</v>
      </c>
      <c r="N182" s="189" t="s">
        <v>469</v>
      </c>
      <c r="O182" s="189" t="s">
        <v>278</v>
      </c>
      <c r="P182" s="189" t="s">
        <v>131</v>
      </c>
      <c r="Q182" s="189" t="s">
        <v>112</v>
      </c>
      <c r="R182" s="189" t="s">
        <v>21</v>
      </c>
      <c r="S182" s="189" t="s">
        <v>152</v>
      </c>
      <c r="T182" s="189" t="s">
        <v>352</v>
      </c>
      <c r="V182" s="189" t="s">
        <v>123</v>
      </c>
      <c r="W182" s="189" t="s">
        <v>124</v>
      </c>
      <c r="X182" s="189" t="s">
        <v>307</v>
      </c>
      <c r="Y182" s="189" t="s">
        <v>3069</v>
      </c>
      <c r="Z182" s="0" t="n">
        <v>1</v>
      </c>
      <c r="AA182" s="189" t="s">
        <v>3133</v>
      </c>
    </row>
    <row r="183" customFormat="false" ht="15" hidden="false" customHeight="true" outlineLevel="0" collapsed="false">
      <c r="A183" s="0" t="n">
        <v>37</v>
      </c>
      <c r="B183" s="188" t="n">
        <v>46154.0864203303</v>
      </c>
      <c r="C183" s="188" t="n">
        <v>46154.0990939414</v>
      </c>
      <c r="D183" s="189" t="s">
        <v>473</v>
      </c>
      <c r="E183" s="189" t="s">
        <v>474</v>
      </c>
      <c r="F183" s="189" t="s">
        <v>474</v>
      </c>
      <c r="G183" s="189" t="s">
        <v>475</v>
      </c>
      <c r="H183" s="188" t="n">
        <v>46138</v>
      </c>
      <c r="I183" s="189" t="s">
        <v>113</v>
      </c>
      <c r="J183" s="189" t="s">
        <v>108</v>
      </c>
      <c r="K183" s="189" t="s">
        <v>476</v>
      </c>
      <c r="L183" s="189" t="s">
        <v>197</v>
      </c>
      <c r="M183" s="189" t="s">
        <v>477</v>
      </c>
      <c r="N183" s="189" t="s">
        <v>338</v>
      </c>
      <c r="O183" s="189" t="s">
        <v>244</v>
      </c>
      <c r="P183" s="189" t="s">
        <v>111</v>
      </c>
      <c r="Q183" s="189" t="s">
        <v>145</v>
      </c>
      <c r="R183" s="189" t="s">
        <v>22</v>
      </c>
      <c r="S183" s="189" t="s">
        <v>120</v>
      </c>
      <c r="T183" s="189" t="s">
        <v>121</v>
      </c>
      <c r="U183" s="189" t="s">
        <v>480</v>
      </c>
      <c r="V183" s="189" t="s">
        <v>192</v>
      </c>
      <c r="W183" s="189" t="s">
        <v>124</v>
      </c>
      <c r="X183" s="189" t="s">
        <v>135</v>
      </c>
      <c r="Y183" s="189" t="s">
        <v>3064</v>
      </c>
      <c r="Z183" s="0" t="n">
        <v>1</v>
      </c>
      <c r="AA183" s="189" t="s">
        <v>3183</v>
      </c>
    </row>
    <row r="184" customFormat="false" ht="15" hidden="false" customHeight="true" outlineLevel="0" collapsed="false">
      <c r="A184" s="0" t="n">
        <v>37</v>
      </c>
      <c r="B184" s="188" t="n">
        <v>46154.0864203303</v>
      </c>
      <c r="C184" s="188" t="n">
        <v>46154.0990939414</v>
      </c>
      <c r="D184" s="189" t="s">
        <v>473</v>
      </c>
      <c r="E184" s="189" t="s">
        <v>474</v>
      </c>
      <c r="F184" s="189" t="s">
        <v>474</v>
      </c>
      <c r="G184" s="189" t="s">
        <v>475</v>
      </c>
      <c r="H184" s="188" t="n">
        <v>46138</v>
      </c>
      <c r="I184" s="189" t="s">
        <v>113</v>
      </c>
      <c r="J184" s="189" t="s">
        <v>108</v>
      </c>
      <c r="K184" s="189" t="s">
        <v>476</v>
      </c>
      <c r="L184" s="189" t="s">
        <v>197</v>
      </c>
      <c r="M184" s="189" t="s">
        <v>477</v>
      </c>
      <c r="N184" s="189" t="s">
        <v>338</v>
      </c>
      <c r="O184" s="189" t="s">
        <v>244</v>
      </c>
      <c r="P184" s="189" t="s">
        <v>111</v>
      </c>
      <c r="Q184" s="189" t="s">
        <v>145</v>
      </c>
      <c r="R184" s="189" t="s">
        <v>22</v>
      </c>
      <c r="S184" s="189" t="s">
        <v>120</v>
      </c>
      <c r="T184" s="189" t="s">
        <v>121</v>
      </c>
      <c r="U184" s="189" t="s">
        <v>480</v>
      </c>
      <c r="V184" s="189" t="s">
        <v>192</v>
      </c>
      <c r="W184" s="189" t="s">
        <v>124</v>
      </c>
      <c r="X184" s="189" t="s">
        <v>135</v>
      </c>
      <c r="Y184" s="189" t="s">
        <v>3066</v>
      </c>
      <c r="Z184" s="0" t="n">
        <v>1</v>
      </c>
      <c r="AA184" s="189" t="s">
        <v>3184</v>
      </c>
    </row>
    <row r="185" customFormat="false" ht="15" hidden="false" customHeight="true" outlineLevel="0" collapsed="false">
      <c r="A185" s="0" t="n">
        <v>37</v>
      </c>
      <c r="B185" s="188" t="n">
        <v>46154.0864203303</v>
      </c>
      <c r="C185" s="188" t="n">
        <v>46154.0990939414</v>
      </c>
      <c r="D185" s="189" t="s">
        <v>473</v>
      </c>
      <c r="E185" s="189" t="s">
        <v>474</v>
      </c>
      <c r="F185" s="189" t="s">
        <v>474</v>
      </c>
      <c r="G185" s="189" t="s">
        <v>475</v>
      </c>
      <c r="H185" s="188" t="n">
        <v>46138</v>
      </c>
      <c r="I185" s="189" t="s">
        <v>113</v>
      </c>
      <c r="J185" s="189" t="s">
        <v>108</v>
      </c>
      <c r="K185" s="189" t="s">
        <v>476</v>
      </c>
      <c r="L185" s="189" t="s">
        <v>197</v>
      </c>
      <c r="M185" s="189" t="s">
        <v>477</v>
      </c>
      <c r="N185" s="189" t="s">
        <v>338</v>
      </c>
      <c r="O185" s="189" t="s">
        <v>244</v>
      </c>
      <c r="P185" s="189" t="s">
        <v>111</v>
      </c>
      <c r="Q185" s="189" t="s">
        <v>145</v>
      </c>
      <c r="R185" s="189" t="s">
        <v>22</v>
      </c>
      <c r="S185" s="189" t="s">
        <v>120</v>
      </c>
      <c r="T185" s="189" t="s">
        <v>121</v>
      </c>
      <c r="U185" s="189" t="s">
        <v>480</v>
      </c>
      <c r="V185" s="189" t="s">
        <v>192</v>
      </c>
      <c r="W185" s="189" t="s">
        <v>124</v>
      </c>
      <c r="X185" s="189" t="s">
        <v>135</v>
      </c>
      <c r="Y185" s="189" t="s">
        <v>3066</v>
      </c>
      <c r="Z185" s="0" t="n">
        <v>2</v>
      </c>
      <c r="AA185" s="189" t="s">
        <v>3185</v>
      </c>
    </row>
    <row r="186" customFormat="false" ht="15" hidden="false" customHeight="true" outlineLevel="0" collapsed="false">
      <c r="A186" s="0" t="n">
        <v>37</v>
      </c>
      <c r="B186" s="188" t="n">
        <v>46154.0864203303</v>
      </c>
      <c r="C186" s="188" t="n">
        <v>46154.0990939414</v>
      </c>
      <c r="D186" s="189" t="s">
        <v>473</v>
      </c>
      <c r="E186" s="189" t="s">
        <v>474</v>
      </c>
      <c r="F186" s="189" t="s">
        <v>474</v>
      </c>
      <c r="G186" s="189" t="s">
        <v>475</v>
      </c>
      <c r="H186" s="188" t="n">
        <v>46138</v>
      </c>
      <c r="I186" s="189" t="s">
        <v>113</v>
      </c>
      <c r="J186" s="189" t="s">
        <v>108</v>
      </c>
      <c r="K186" s="189" t="s">
        <v>476</v>
      </c>
      <c r="L186" s="189" t="s">
        <v>197</v>
      </c>
      <c r="M186" s="189" t="s">
        <v>477</v>
      </c>
      <c r="N186" s="189" t="s">
        <v>338</v>
      </c>
      <c r="O186" s="189" t="s">
        <v>244</v>
      </c>
      <c r="P186" s="189" t="s">
        <v>111</v>
      </c>
      <c r="Q186" s="189" t="s">
        <v>145</v>
      </c>
      <c r="R186" s="189" t="s">
        <v>22</v>
      </c>
      <c r="S186" s="189" t="s">
        <v>120</v>
      </c>
      <c r="T186" s="189" t="s">
        <v>121</v>
      </c>
      <c r="U186" s="189" t="s">
        <v>480</v>
      </c>
      <c r="V186" s="189" t="s">
        <v>192</v>
      </c>
      <c r="W186" s="189" t="s">
        <v>124</v>
      </c>
      <c r="X186" s="189" t="s">
        <v>135</v>
      </c>
      <c r="Y186" s="189" t="s">
        <v>3069</v>
      </c>
      <c r="Z186" s="0" t="n">
        <v>1</v>
      </c>
      <c r="AA186" s="189" t="s">
        <v>122</v>
      </c>
    </row>
    <row r="187" customFormat="false" ht="15" hidden="false" customHeight="true" outlineLevel="0" collapsed="false">
      <c r="A187" s="0" t="n">
        <v>38</v>
      </c>
      <c r="B187" s="188" t="n">
        <v>46156.7113860609</v>
      </c>
      <c r="C187" s="188" t="n">
        <v>46156.720471709</v>
      </c>
      <c r="D187" s="189" t="s">
        <v>481</v>
      </c>
      <c r="E187" s="189" t="s">
        <v>482</v>
      </c>
      <c r="F187" s="189" t="s">
        <v>482</v>
      </c>
      <c r="G187" s="189" t="s">
        <v>483</v>
      </c>
      <c r="H187" s="188" t="n">
        <v>46140</v>
      </c>
      <c r="I187" s="189" t="s">
        <v>113</v>
      </c>
      <c r="J187" s="189" t="s">
        <v>108</v>
      </c>
      <c r="K187" s="189" t="s">
        <v>462</v>
      </c>
      <c r="L187" s="189" t="s">
        <v>286</v>
      </c>
      <c r="M187" s="189" t="s">
        <v>484</v>
      </c>
      <c r="N187" s="189" t="s">
        <v>338</v>
      </c>
      <c r="O187" s="189" t="s">
        <v>172</v>
      </c>
      <c r="P187" s="189" t="s">
        <v>111</v>
      </c>
      <c r="Q187" s="189" t="s">
        <v>145</v>
      </c>
      <c r="R187" s="189" t="s">
        <v>22</v>
      </c>
      <c r="S187" s="189" t="s">
        <v>120</v>
      </c>
      <c r="T187" s="189" t="s">
        <v>121</v>
      </c>
      <c r="U187" s="189" t="s">
        <v>122</v>
      </c>
      <c r="V187" s="189" t="s">
        <v>167</v>
      </c>
      <c r="W187" s="189" t="s">
        <v>124</v>
      </c>
      <c r="X187" s="189" t="s">
        <v>148</v>
      </c>
      <c r="Y187" s="189" t="s">
        <v>3064</v>
      </c>
      <c r="Z187" s="0" t="n">
        <v>1</v>
      </c>
      <c r="AA187" s="189" t="s">
        <v>3122</v>
      </c>
    </row>
    <row r="188" customFormat="false" ht="15" hidden="false" customHeight="true" outlineLevel="0" collapsed="false">
      <c r="A188" s="0" t="n">
        <v>38</v>
      </c>
      <c r="B188" s="188" t="n">
        <v>46156.7113860609</v>
      </c>
      <c r="C188" s="188" t="n">
        <v>46156.720471709</v>
      </c>
      <c r="D188" s="189" t="s">
        <v>481</v>
      </c>
      <c r="E188" s="189" t="s">
        <v>482</v>
      </c>
      <c r="F188" s="189" t="s">
        <v>482</v>
      </c>
      <c r="G188" s="189" t="s">
        <v>483</v>
      </c>
      <c r="H188" s="188" t="n">
        <v>46140</v>
      </c>
      <c r="I188" s="189" t="s">
        <v>113</v>
      </c>
      <c r="J188" s="189" t="s">
        <v>108</v>
      </c>
      <c r="K188" s="189" t="s">
        <v>462</v>
      </c>
      <c r="L188" s="189" t="s">
        <v>286</v>
      </c>
      <c r="M188" s="189" t="s">
        <v>484</v>
      </c>
      <c r="N188" s="189" t="s">
        <v>338</v>
      </c>
      <c r="O188" s="189" t="s">
        <v>172</v>
      </c>
      <c r="P188" s="189" t="s">
        <v>111</v>
      </c>
      <c r="Q188" s="189" t="s">
        <v>145</v>
      </c>
      <c r="R188" s="189" t="s">
        <v>22</v>
      </c>
      <c r="S188" s="189" t="s">
        <v>120</v>
      </c>
      <c r="T188" s="189" t="s">
        <v>121</v>
      </c>
      <c r="U188" s="189" t="s">
        <v>122</v>
      </c>
      <c r="V188" s="189" t="s">
        <v>167</v>
      </c>
      <c r="W188" s="189" t="s">
        <v>124</v>
      </c>
      <c r="X188" s="189" t="s">
        <v>148</v>
      </c>
      <c r="Y188" s="189" t="s">
        <v>3064</v>
      </c>
      <c r="Z188" s="0" t="n">
        <v>2</v>
      </c>
      <c r="AA188" s="189" t="s">
        <v>3186</v>
      </c>
    </row>
    <row r="189" customFormat="false" ht="15" hidden="false" customHeight="true" outlineLevel="0" collapsed="false">
      <c r="A189" s="0" t="n">
        <v>38</v>
      </c>
      <c r="B189" s="188" t="n">
        <v>46156.7113860609</v>
      </c>
      <c r="C189" s="188" t="n">
        <v>46156.720471709</v>
      </c>
      <c r="D189" s="189" t="s">
        <v>481</v>
      </c>
      <c r="E189" s="189" t="s">
        <v>482</v>
      </c>
      <c r="F189" s="189" t="s">
        <v>482</v>
      </c>
      <c r="G189" s="189" t="s">
        <v>483</v>
      </c>
      <c r="H189" s="188" t="n">
        <v>46140</v>
      </c>
      <c r="I189" s="189" t="s">
        <v>113</v>
      </c>
      <c r="J189" s="189" t="s">
        <v>108</v>
      </c>
      <c r="K189" s="189" t="s">
        <v>462</v>
      </c>
      <c r="L189" s="189" t="s">
        <v>286</v>
      </c>
      <c r="M189" s="189" t="s">
        <v>484</v>
      </c>
      <c r="N189" s="189" t="s">
        <v>338</v>
      </c>
      <c r="O189" s="189" t="s">
        <v>172</v>
      </c>
      <c r="P189" s="189" t="s">
        <v>111</v>
      </c>
      <c r="Q189" s="189" t="s">
        <v>145</v>
      </c>
      <c r="R189" s="189" t="s">
        <v>22</v>
      </c>
      <c r="S189" s="189" t="s">
        <v>120</v>
      </c>
      <c r="T189" s="189" t="s">
        <v>121</v>
      </c>
      <c r="U189" s="189" t="s">
        <v>122</v>
      </c>
      <c r="V189" s="189" t="s">
        <v>167</v>
      </c>
      <c r="W189" s="189" t="s">
        <v>124</v>
      </c>
      <c r="X189" s="189" t="s">
        <v>148</v>
      </c>
      <c r="Y189" s="189" t="s">
        <v>3066</v>
      </c>
      <c r="Z189" s="0" t="n">
        <v>1</v>
      </c>
      <c r="AA189" s="189" t="s">
        <v>3187</v>
      </c>
    </row>
    <row r="190" customFormat="false" ht="15" hidden="false" customHeight="true" outlineLevel="0" collapsed="false">
      <c r="A190" s="0" t="n">
        <v>38</v>
      </c>
      <c r="B190" s="188" t="n">
        <v>46156.7113860609</v>
      </c>
      <c r="C190" s="188" t="n">
        <v>46156.720471709</v>
      </c>
      <c r="D190" s="189" t="s">
        <v>481</v>
      </c>
      <c r="E190" s="189" t="s">
        <v>482</v>
      </c>
      <c r="F190" s="189" t="s">
        <v>482</v>
      </c>
      <c r="G190" s="189" t="s">
        <v>483</v>
      </c>
      <c r="H190" s="188" t="n">
        <v>46140</v>
      </c>
      <c r="I190" s="189" t="s">
        <v>113</v>
      </c>
      <c r="J190" s="189" t="s">
        <v>108</v>
      </c>
      <c r="K190" s="189" t="s">
        <v>462</v>
      </c>
      <c r="L190" s="189" t="s">
        <v>286</v>
      </c>
      <c r="M190" s="189" t="s">
        <v>484</v>
      </c>
      <c r="N190" s="189" t="s">
        <v>338</v>
      </c>
      <c r="O190" s="189" t="s">
        <v>172</v>
      </c>
      <c r="P190" s="189" t="s">
        <v>111</v>
      </c>
      <c r="Q190" s="189" t="s">
        <v>145</v>
      </c>
      <c r="R190" s="189" t="s">
        <v>22</v>
      </c>
      <c r="S190" s="189" t="s">
        <v>120</v>
      </c>
      <c r="T190" s="189" t="s">
        <v>121</v>
      </c>
      <c r="U190" s="189" t="s">
        <v>122</v>
      </c>
      <c r="V190" s="189" t="s">
        <v>167</v>
      </c>
      <c r="W190" s="189" t="s">
        <v>124</v>
      </c>
      <c r="X190" s="189" t="s">
        <v>148</v>
      </c>
      <c r="Y190" s="189" t="s">
        <v>3066</v>
      </c>
      <c r="Z190" s="0" t="n">
        <v>2</v>
      </c>
      <c r="AA190" s="189" t="s">
        <v>3077</v>
      </c>
    </row>
    <row r="191" customFormat="false" ht="15" hidden="false" customHeight="true" outlineLevel="0" collapsed="false">
      <c r="A191" s="0" t="n">
        <v>38</v>
      </c>
      <c r="B191" s="188" t="n">
        <v>46156.7113860609</v>
      </c>
      <c r="C191" s="188" t="n">
        <v>46156.720471709</v>
      </c>
      <c r="D191" s="189" t="s">
        <v>481</v>
      </c>
      <c r="E191" s="189" t="s">
        <v>482</v>
      </c>
      <c r="F191" s="189" t="s">
        <v>482</v>
      </c>
      <c r="G191" s="189" t="s">
        <v>483</v>
      </c>
      <c r="H191" s="188" t="n">
        <v>46140</v>
      </c>
      <c r="I191" s="189" t="s">
        <v>113</v>
      </c>
      <c r="J191" s="189" t="s">
        <v>108</v>
      </c>
      <c r="K191" s="189" t="s">
        <v>462</v>
      </c>
      <c r="L191" s="189" t="s">
        <v>286</v>
      </c>
      <c r="M191" s="189" t="s">
        <v>484</v>
      </c>
      <c r="N191" s="189" t="s">
        <v>338</v>
      </c>
      <c r="O191" s="189" t="s">
        <v>172</v>
      </c>
      <c r="P191" s="189" t="s">
        <v>111</v>
      </c>
      <c r="Q191" s="189" t="s">
        <v>145</v>
      </c>
      <c r="R191" s="189" t="s">
        <v>22</v>
      </c>
      <c r="S191" s="189" t="s">
        <v>120</v>
      </c>
      <c r="T191" s="189" t="s">
        <v>121</v>
      </c>
      <c r="U191" s="189" t="s">
        <v>122</v>
      </c>
      <c r="V191" s="189" t="s">
        <v>167</v>
      </c>
      <c r="W191" s="189" t="s">
        <v>124</v>
      </c>
      <c r="X191" s="189" t="s">
        <v>148</v>
      </c>
      <c r="Y191" s="189" t="s">
        <v>3069</v>
      </c>
      <c r="Z191" s="0" t="n">
        <v>1</v>
      </c>
      <c r="AA191" s="189" t="s">
        <v>3188</v>
      </c>
    </row>
    <row r="192" customFormat="false" ht="15" hidden="false" customHeight="true" outlineLevel="0" collapsed="false">
      <c r="A192" s="0" t="n">
        <v>38</v>
      </c>
      <c r="B192" s="188" t="n">
        <v>46156.7113860609</v>
      </c>
      <c r="C192" s="188" t="n">
        <v>46156.720471709</v>
      </c>
      <c r="D192" s="189" t="s">
        <v>481</v>
      </c>
      <c r="E192" s="189" t="s">
        <v>482</v>
      </c>
      <c r="F192" s="189" t="s">
        <v>482</v>
      </c>
      <c r="G192" s="189" t="s">
        <v>483</v>
      </c>
      <c r="H192" s="188" t="n">
        <v>46140</v>
      </c>
      <c r="I192" s="189" t="s">
        <v>113</v>
      </c>
      <c r="J192" s="189" t="s">
        <v>108</v>
      </c>
      <c r="K192" s="189" t="s">
        <v>462</v>
      </c>
      <c r="L192" s="189" t="s">
        <v>286</v>
      </c>
      <c r="M192" s="189" t="s">
        <v>484</v>
      </c>
      <c r="N192" s="189" t="s">
        <v>338</v>
      </c>
      <c r="O192" s="189" t="s">
        <v>172</v>
      </c>
      <c r="P192" s="189" t="s">
        <v>111</v>
      </c>
      <c r="Q192" s="189" t="s">
        <v>145</v>
      </c>
      <c r="R192" s="189" t="s">
        <v>22</v>
      </c>
      <c r="S192" s="189" t="s">
        <v>120</v>
      </c>
      <c r="T192" s="189" t="s">
        <v>121</v>
      </c>
      <c r="U192" s="189" t="s">
        <v>122</v>
      </c>
      <c r="V192" s="189" t="s">
        <v>167</v>
      </c>
      <c r="W192" s="189" t="s">
        <v>124</v>
      </c>
      <c r="X192" s="189" t="s">
        <v>148</v>
      </c>
      <c r="Y192" s="189" t="s">
        <v>3069</v>
      </c>
      <c r="Z192" s="0" t="n">
        <v>2</v>
      </c>
      <c r="AA192" s="189" t="s">
        <v>3079</v>
      </c>
    </row>
    <row r="193" customFormat="false" ht="15" hidden="false" customHeight="true" outlineLevel="0" collapsed="false">
      <c r="A193" s="0" t="n">
        <v>39</v>
      </c>
      <c r="B193" s="188" t="n">
        <v>46166.7224330512</v>
      </c>
      <c r="C193" s="188" t="n">
        <v>46166.7267154586</v>
      </c>
      <c r="D193" s="189" t="s">
        <v>488</v>
      </c>
      <c r="E193" s="189" t="s">
        <v>489</v>
      </c>
      <c r="F193" s="189" t="s">
        <v>489</v>
      </c>
      <c r="G193" s="189" t="s">
        <v>490</v>
      </c>
      <c r="H193" s="188" t="n">
        <v>46153</v>
      </c>
      <c r="I193" s="189" t="s">
        <v>113</v>
      </c>
      <c r="J193" s="189" t="s">
        <v>295</v>
      </c>
      <c r="K193" s="189" t="s">
        <v>232</v>
      </c>
      <c r="L193" s="189" t="s">
        <v>491</v>
      </c>
      <c r="M193" s="189" t="s">
        <v>492</v>
      </c>
      <c r="N193" s="189" t="s">
        <v>186</v>
      </c>
      <c r="O193" s="189" t="s">
        <v>157</v>
      </c>
      <c r="P193" s="189" t="s">
        <v>111</v>
      </c>
      <c r="Q193" s="189" t="s">
        <v>112</v>
      </c>
      <c r="R193" s="189" t="s">
        <v>24</v>
      </c>
      <c r="S193" s="189" t="s">
        <v>227</v>
      </c>
      <c r="T193" s="189" t="s">
        <v>496</v>
      </c>
      <c r="V193" s="189" t="s">
        <v>192</v>
      </c>
      <c r="W193" s="189" t="s">
        <v>124</v>
      </c>
      <c r="X193" s="189" t="s">
        <v>448</v>
      </c>
      <c r="Y193" s="189" t="s">
        <v>3064</v>
      </c>
      <c r="Z193" s="0" t="n">
        <v>1</v>
      </c>
      <c r="AA193" s="189" t="s">
        <v>3174</v>
      </c>
    </row>
    <row r="194" customFormat="false" ht="15" hidden="false" customHeight="true" outlineLevel="0" collapsed="false">
      <c r="A194" s="0" t="n">
        <v>39</v>
      </c>
      <c r="B194" s="188" t="n">
        <v>46166.7224330512</v>
      </c>
      <c r="C194" s="188" t="n">
        <v>46166.7267154586</v>
      </c>
      <c r="D194" s="189" t="s">
        <v>488</v>
      </c>
      <c r="E194" s="189" t="s">
        <v>489</v>
      </c>
      <c r="F194" s="189" t="s">
        <v>489</v>
      </c>
      <c r="G194" s="189" t="s">
        <v>490</v>
      </c>
      <c r="H194" s="188" t="n">
        <v>46153</v>
      </c>
      <c r="I194" s="189" t="s">
        <v>113</v>
      </c>
      <c r="J194" s="189" t="s">
        <v>295</v>
      </c>
      <c r="K194" s="189" t="s">
        <v>232</v>
      </c>
      <c r="L194" s="189" t="s">
        <v>491</v>
      </c>
      <c r="M194" s="189" t="s">
        <v>492</v>
      </c>
      <c r="N194" s="189" t="s">
        <v>186</v>
      </c>
      <c r="O194" s="189" t="s">
        <v>157</v>
      </c>
      <c r="P194" s="189" t="s">
        <v>111</v>
      </c>
      <c r="Q194" s="189" t="s">
        <v>112</v>
      </c>
      <c r="R194" s="189" t="s">
        <v>24</v>
      </c>
      <c r="S194" s="189" t="s">
        <v>227</v>
      </c>
      <c r="T194" s="189" t="s">
        <v>496</v>
      </c>
      <c r="V194" s="189" t="s">
        <v>192</v>
      </c>
      <c r="W194" s="189" t="s">
        <v>124</v>
      </c>
      <c r="X194" s="189" t="s">
        <v>448</v>
      </c>
      <c r="Y194" s="189" t="s">
        <v>3064</v>
      </c>
      <c r="Z194" s="0" t="n">
        <v>2</v>
      </c>
      <c r="AA194" s="189" t="s">
        <v>3175</v>
      </c>
    </row>
    <row r="195" customFormat="false" ht="15" hidden="false" customHeight="true" outlineLevel="0" collapsed="false">
      <c r="A195" s="0" t="n">
        <v>39</v>
      </c>
      <c r="B195" s="188" t="n">
        <v>46166.7224330512</v>
      </c>
      <c r="C195" s="188" t="n">
        <v>46166.7267154586</v>
      </c>
      <c r="D195" s="189" t="s">
        <v>488</v>
      </c>
      <c r="E195" s="189" t="s">
        <v>489</v>
      </c>
      <c r="F195" s="189" t="s">
        <v>489</v>
      </c>
      <c r="G195" s="189" t="s">
        <v>490</v>
      </c>
      <c r="H195" s="188" t="n">
        <v>46153</v>
      </c>
      <c r="I195" s="189" t="s">
        <v>113</v>
      </c>
      <c r="J195" s="189" t="s">
        <v>295</v>
      </c>
      <c r="K195" s="189" t="s">
        <v>232</v>
      </c>
      <c r="L195" s="189" t="s">
        <v>491</v>
      </c>
      <c r="M195" s="189" t="s">
        <v>492</v>
      </c>
      <c r="N195" s="189" t="s">
        <v>186</v>
      </c>
      <c r="O195" s="189" t="s">
        <v>157</v>
      </c>
      <c r="P195" s="189" t="s">
        <v>111</v>
      </c>
      <c r="Q195" s="189" t="s">
        <v>112</v>
      </c>
      <c r="R195" s="189" t="s">
        <v>24</v>
      </c>
      <c r="S195" s="189" t="s">
        <v>227</v>
      </c>
      <c r="T195" s="189" t="s">
        <v>496</v>
      </c>
      <c r="V195" s="189" t="s">
        <v>192</v>
      </c>
      <c r="W195" s="189" t="s">
        <v>124</v>
      </c>
      <c r="X195" s="189" t="s">
        <v>448</v>
      </c>
      <c r="Y195" s="189" t="s">
        <v>3064</v>
      </c>
      <c r="Z195" s="0" t="n">
        <v>3</v>
      </c>
      <c r="AA195" s="189" t="s">
        <v>3189</v>
      </c>
    </row>
    <row r="196" customFormat="false" ht="15" hidden="false" customHeight="true" outlineLevel="0" collapsed="false">
      <c r="A196" s="0" t="n">
        <v>39</v>
      </c>
      <c r="B196" s="188" t="n">
        <v>46166.7224330512</v>
      </c>
      <c r="C196" s="188" t="n">
        <v>46166.7267154586</v>
      </c>
      <c r="D196" s="189" t="s">
        <v>488</v>
      </c>
      <c r="E196" s="189" t="s">
        <v>489</v>
      </c>
      <c r="F196" s="189" t="s">
        <v>489</v>
      </c>
      <c r="G196" s="189" t="s">
        <v>490</v>
      </c>
      <c r="H196" s="188" t="n">
        <v>46153</v>
      </c>
      <c r="I196" s="189" t="s">
        <v>113</v>
      </c>
      <c r="J196" s="189" t="s">
        <v>295</v>
      </c>
      <c r="K196" s="189" t="s">
        <v>232</v>
      </c>
      <c r="L196" s="189" t="s">
        <v>491</v>
      </c>
      <c r="M196" s="189" t="s">
        <v>492</v>
      </c>
      <c r="N196" s="189" t="s">
        <v>186</v>
      </c>
      <c r="O196" s="189" t="s">
        <v>157</v>
      </c>
      <c r="P196" s="189" t="s">
        <v>111</v>
      </c>
      <c r="Q196" s="189" t="s">
        <v>112</v>
      </c>
      <c r="R196" s="189" t="s">
        <v>24</v>
      </c>
      <c r="S196" s="189" t="s">
        <v>227</v>
      </c>
      <c r="T196" s="189" t="s">
        <v>496</v>
      </c>
      <c r="V196" s="189" t="s">
        <v>192</v>
      </c>
      <c r="W196" s="189" t="s">
        <v>124</v>
      </c>
      <c r="X196" s="189" t="s">
        <v>448</v>
      </c>
      <c r="Y196" s="189" t="s">
        <v>3066</v>
      </c>
      <c r="Z196" s="0" t="n">
        <v>1</v>
      </c>
      <c r="AA196" s="189" t="s">
        <v>3176</v>
      </c>
    </row>
    <row r="197" customFormat="false" ht="15" hidden="false" customHeight="true" outlineLevel="0" collapsed="false">
      <c r="A197" s="0" t="n">
        <v>39</v>
      </c>
      <c r="B197" s="188" t="n">
        <v>46166.7224330512</v>
      </c>
      <c r="C197" s="188" t="n">
        <v>46166.7267154586</v>
      </c>
      <c r="D197" s="189" t="s">
        <v>488</v>
      </c>
      <c r="E197" s="189" t="s">
        <v>489</v>
      </c>
      <c r="F197" s="189" t="s">
        <v>489</v>
      </c>
      <c r="G197" s="189" t="s">
        <v>490</v>
      </c>
      <c r="H197" s="188" t="n">
        <v>46153</v>
      </c>
      <c r="I197" s="189" t="s">
        <v>113</v>
      </c>
      <c r="J197" s="189" t="s">
        <v>295</v>
      </c>
      <c r="K197" s="189" t="s">
        <v>232</v>
      </c>
      <c r="L197" s="189" t="s">
        <v>491</v>
      </c>
      <c r="M197" s="189" t="s">
        <v>492</v>
      </c>
      <c r="N197" s="189" t="s">
        <v>186</v>
      </c>
      <c r="O197" s="189" t="s">
        <v>157</v>
      </c>
      <c r="P197" s="189" t="s">
        <v>111</v>
      </c>
      <c r="Q197" s="189" t="s">
        <v>112</v>
      </c>
      <c r="R197" s="189" t="s">
        <v>24</v>
      </c>
      <c r="S197" s="189" t="s">
        <v>227</v>
      </c>
      <c r="T197" s="189" t="s">
        <v>496</v>
      </c>
      <c r="V197" s="189" t="s">
        <v>192</v>
      </c>
      <c r="W197" s="189" t="s">
        <v>124</v>
      </c>
      <c r="X197" s="189" t="s">
        <v>448</v>
      </c>
      <c r="Y197" s="189" t="s">
        <v>3069</v>
      </c>
      <c r="Z197" s="0" t="n">
        <v>1</v>
      </c>
      <c r="AA197" s="189" t="s">
        <v>3190</v>
      </c>
    </row>
    <row r="198" customFormat="false" ht="15" hidden="false" customHeight="true" outlineLevel="0" collapsed="false">
      <c r="A198" s="0" t="n">
        <v>40</v>
      </c>
      <c r="B198" s="188" t="n">
        <v>46068.5258188575</v>
      </c>
      <c r="C198" s="188" t="n">
        <v>46068.5406220983</v>
      </c>
      <c r="D198" s="189" t="s">
        <v>497</v>
      </c>
      <c r="E198" s="189" t="s">
        <v>498</v>
      </c>
      <c r="F198" s="189" t="s">
        <v>498</v>
      </c>
      <c r="G198" s="189" t="s">
        <v>499</v>
      </c>
      <c r="H198" s="188" t="n">
        <v>46064</v>
      </c>
      <c r="I198" s="189" t="s">
        <v>113</v>
      </c>
      <c r="J198" s="189" t="s">
        <v>128</v>
      </c>
      <c r="K198" s="189" t="s">
        <v>500</v>
      </c>
      <c r="L198" s="189" t="s">
        <v>233</v>
      </c>
      <c r="M198" s="189" t="s">
        <v>501</v>
      </c>
      <c r="N198" s="189" t="s">
        <v>175</v>
      </c>
      <c r="O198" s="189" t="s">
        <v>278</v>
      </c>
      <c r="P198" s="189" t="s">
        <v>111</v>
      </c>
      <c r="Q198" s="189" t="s">
        <v>112</v>
      </c>
      <c r="R198" s="189" t="s">
        <v>23</v>
      </c>
      <c r="S198" s="189" t="s">
        <v>152</v>
      </c>
      <c r="T198" s="189" t="s">
        <v>352</v>
      </c>
      <c r="V198" s="189" t="s">
        <v>123</v>
      </c>
      <c r="W198" s="189" t="s">
        <v>124</v>
      </c>
      <c r="X198" s="189" t="s">
        <v>503</v>
      </c>
      <c r="Y198" s="189" t="s">
        <v>3172</v>
      </c>
      <c r="Z198" s="0" t="n">
        <v>1</v>
      </c>
      <c r="AA198" s="189" t="s">
        <v>502</v>
      </c>
    </row>
    <row r="199" customFormat="false" ht="15" hidden="false" customHeight="true" outlineLevel="0" collapsed="false">
      <c r="A199" s="0" t="n">
        <v>41</v>
      </c>
      <c r="B199" s="188" t="n">
        <v>46118.2477639334</v>
      </c>
      <c r="C199" s="188" t="n">
        <v>46118.261294026</v>
      </c>
      <c r="D199" s="189" t="s">
        <v>504</v>
      </c>
      <c r="E199" s="189" t="s">
        <v>505</v>
      </c>
      <c r="F199" s="189" t="s">
        <v>505</v>
      </c>
      <c r="G199" s="189" t="s">
        <v>506</v>
      </c>
      <c r="H199" s="188" t="n">
        <v>46115</v>
      </c>
      <c r="I199" s="189" t="s">
        <v>113</v>
      </c>
      <c r="J199" s="189" t="s">
        <v>295</v>
      </c>
      <c r="K199" s="189" t="s">
        <v>232</v>
      </c>
      <c r="L199" s="189" t="s">
        <v>197</v>
      </c>
      <c r="M199" s="189" t="s">
        <v>507</v>
      </c>
      <c r="N199" s="189" t="s">
        <v>508</v>
      </c>
      <c r="O199" s="189" t="s">
        <v>107</v>
      </c>
      <c r="P199" s="189" t="s">
        <v>111</v>
      </c>
      <c r="Q199" s="189" t="s">
        <v>198</v>
      </c>
      <c r="R199" s="189" t="s">
        <v>24</v>
      </c>
      <c r="S199" s="189" t="s">
        <v>152</v>
      </c>
      <c r="T199" s="189" t="s">
        <v>121</v>
      </c>
      <c r="U199" s="189" t="s">
        <v>122</v>
      </c>
      <c r="V199" s="189" t="s">
        <v>192</v>
      </c>
      <c r="W199" s="189" t="s">
        <v>124</v>
      </c>
      <c r="X199" s="189" t="s">
        <v>223</v>
      </c>
      <c r="Y199" s="189" t="s">
        <v>3064</v>
      </c>
      <c r="Z199" s="0" t="n">
        <v>1</v>
      </c>
      <c r="AA199" s="189" t="s">
        <v>3097</v>
      </c>
    </row>
    <row r="200" customFormat="false" ht="15" hidden="false" customHeight="true" outlineLevel="0" collapsed="false">
      <c r="A200" s="0" t="n">
        <v>41</v>
      </c>
      <c r="B200" s="188" t="n">
        <v>46118.2477639334</v>
      </c>
      <c r="C200" s="188" t="n">
        <v>46118.261294026</v>
      </c>
      <c r="D200" s="189" t="s">
        <v>504</v>
      </c>
      <c r="E200" s="189" t="s">
        <v>505</v>
      </c>
      <c r="F200" s="189" t="s">
        <v>505</v>
      </c>
      <c r="G200" s="189" t="s">
        <v>506</v>
      </c>
      <c r="H200" s="188" t="n">
        <v>46115</v>
      </c>
      <c r="I200" s="189" t="s">
        <v>113</v>
      </c>
      <c r="J200" s="189" t="s">
        <v>295</v>
      </c>
      <c r="K200" s="189" t="s">
        <v>232</v>
      </c>
      <c r="L200" s="189" t="s">
        <v>197</v>
      </c>
      <c r="M200" s="189" t="s">
        <v>507</v>
      </c>
      <c r="N200" s="189" t="s">
        <v>508</v>
      </c>
      <c r="O200" s="189" t="s">
        <v>107</v>
      </c>
      <c r="P200" s="189" t="s">
        <v>111</v>
      </c>
      <c r="Q200" s="189" t="s">
        <v>198</v>
      </c>
      <c r="R200" s="189" t="s">
        <v>24</v>
      </c>
      <c r="S200" s="189" t="s">
        <v>152</v>
      </c>
      <c r="T200" s="189" t="s">
        <v>121</v>
      </c>
      <c r="U200" s="189" t="s">
        <v>122</v>
      </c>
      <c r="V200" s="189" t="s">
        <v>192</v>
      </c>
      <c r="W200" s="189" t="s">
        <v>124</v>
      </c>
      <c r="X200" s="189" t="s">
        <v>223</v>
      </c>
      <c r="Y200" s="189" t="s">
        <v>3064</v>
      </c>
      <c r="Z200" s="0" t="n">
        <v>2</v>
      </c>
      <c r="AA200" s="189" t="s">
        <v>3104</v>
      </c>
    </row>
    <row r="201" customFormat="false" ht="15" hidden="false" customHeight="true" outlineLevel="0" collapsed="false">
      <c r="A201" s="0" t="n">
        <v>41</v>
      </c>
      <c r="B201" s="188" t="n">
        <v>46118.2477639334</v>
      </c>
      <c r="C201" s="188" t="n">
        <v>46118.261294026</v>
      </c>
      <c r="D201" s="189" t="s">
        <v>504</v>
      </c>
      <c r="E201" s="189" t="s">
        <v>505</v>
      </c>
      <c r="F201" s="189" t="s">
        <v>505</v>
      </c>
      <c r="G201" s="189" t="s">
        <v>506</v>
      </c>
      <c r="H201" s="188" t="n">
        <v>46115</v>
      </c>
      <c r="I201" s="189" t="s">
        <v>113</v>
      </c>
      <c r="J201" s="189" t="s">
        <v>295</v>
      </c>
      <c r="K201" s="189" t="s">
        <v>232</v>
      </c>
      <c r="L201" s="189" t="s">
        <v>197</v>
      </c>
      <c r="M201" s="189" t="s">
        <v>507</v>
      </c>
      <c r="N201" s="189" t="s">
        <v>508</v>
      </c>
      <c r="O201" s="189" t="s">
        <v>107</v>
      </c>
      <c r="P201" s="189" t="s">
        <v>111</v>
      </c>
      <c r="Q201" s="189" t="s">
        <v>198</v>
      </c>
      <c r="R201" s="189" t="s">
        <v>24</v>
      </c>
      <c r="S201" s="189" t="s">
        <v>152</v>
      </c>
      <c r="T201" s="189" t="s">
        <v>121</v>
      </c>
      <c r="U201" s="189" t="s">
        <v>122</v>
      </c>
      <c r="V201" s="189" t="s">
        <v>192</v>
      </c>
      <c r="W201" s="189" t="s">
        <v>124</v>
      </c>
      <c r="X201" s="189" t="s">
        <v>223</v>
      </c>
      <c r="Y201" s="189" t="s">
        <v>3066</v>
      </c>
      <c r="Z201" s="0" t="n">
        <v>1</v>
      </c>
      <c r="AA201" s="189" t="s">
        <v>3171</v>
      </c>
    </row>
    <row r="202" customFormat="false" ht="15" hidden="false" customHeight="true" outlineLevel="0" collapsed="false">
      <c r="A202" s="0" t="n">
        <v>41</v>
      </c>
      <c r="B202" s="188" t="n">
        <v>46118.2477639334</v>
      </c>
      <c r="C202" s="188" t="n">
        <v>46118.261294026</v>
      </c>
      <c r="D202" s="189" t="s">
        <v>504</v>
      </c>
      <c r="E202" s="189" t="s">
        <v>505</v>
      </c>
      <c r="F202" s="189" t="s">
        <v>505</v>
      </c>
      <c r="G202" s="189" t="s">
        <v>506</v>
      </c>
      <c r="H202" s="188" t="n">
        <v>46115</v>
      </c>
      <c r="I202" s="189" t="s">
        <v>113</v>
      </c>
      <c r="J202" s="189" t="s">
        <v>295</v>
      </c>
      <c r="K202" s="189" t="s">
        <v>232</v>
      </c>
      <c r="L202" s="189" t="s">
        <v>197</v>
      </c>
      <c r="M202" s="189" t="s">
        <v>507</v>
      </c>
      <c r="N202" s="189" t="s">
        <v>508</v>
      </c>
      <c r="O202" s="189" t="s">
        <v>107</v>
      </c>
      <c r="P202" s="189" t="s">
        <v>111</v>
      </c>
      <c r="Q202" s="189" t="s">
        <v>198</v>
      </c>
      <c r="R202" s="189" t="s">
        <v>24</v>
      </c>
      <c r="S202" s="189" t="s">
        <v>152</v>
      </c>
      <c r="T202" s="189" t="s">
        <v>121</v>
      </c>
      <c r="U202" s="189" t="s">
        <v>122</v>
      </c>
      <c r="V202" s="189" t="s">
        <v>192</v>
      </c>
      <c r="W202" s="189" t="s">
        <v>124</v>
      </c>
      <c r="X202" s="189" t="s">
        <v>223</v>
      </c>
      <c r="Y202" s="189" t="s">
        <v>3069</v>
      </c>
      <c r="Z202" s="0" t="n">
        <v>1</v>
      </c>
      <c r="AA202" s="189" t="s">
        <v>3101</v>
      </c>
    </row>
    <row r="203" customFormat="false" ht="15" hidden="false" customHeight="true" outlineLevel="0" collapsed="false">
      <c r="A203" s="0" t="n">
        <v>41</v>
      </c>
      <c r="B203" s="188" t="n">
        <v>46118.2477639334</v>
      </c>
      <c r="C203" s="188" t="n">
        <v>46118.261294026</v>
      </c>
      <c r="D203" s="189" t="s">
        <v>504</v>
      </c>
      <c r="E203" s="189" t="s">
        <v>505</v>
      </c>
      <c r="F203" s="189" t="s">
        <v>505</v>
      </c>
      <c r="G203" s="189" t="s">
        <v>506</v>
      </c>
      <c r="H203" s="188" t="n">
        <v>46115</v>
      </c>
      <c r="I203" s="189" t="s">
        <v>113</v>
      </c>
      <c r="J203" s="189" t="s">
        <v>295</v>
      </c>
      <c r="K203" s="189" t="s">
        <v>232</v>
      </c>
      <c r="L203" s="189" t="s">
        <v>197</v>
      </c>
      <c r="M203" s="189" t="s">
        <v>507</v>
      </c>
      <c r="N203" s="189" t="s">
        <v>508</v>
      </c>
      <c r="O203" s="189" t="s">
        <v>107</v>
      </c>
      <c r="P203" s="189" t="s">
        <v>111</v>
      </c>
      <c r="Q203" s="189" t="s">
        <v>198</v>
      </c>
      <c r="R203" s="189" t="s">
        <v>24</v>
      </c>
      <c r="S203" s="189" t="s">
        <v>152</v>
      </c>
      <c r="T203" s="189" t="s">
        <v>121</v>
      </c>
      <c r="U203" s="189" t="s">
        <v>122</v>
      </c>
      <c r="V203" s="189" t="s">
        <v>192</v>
      </c>
      <c r="W203" s="189" t="s">
        <v>124</v>
      </c>
      <c r="X203" s="189" t="s">
        <v>223</v>
      </c>
      <c r="Y203" s="189" t="s">
        <v>3069</v>
      </c>
      <c r="Z203" s="0" t="n">
        <v>2</v>
      </c>
      <c r="AA203" s="189" t="s">
        <v>3150</v>
      </c>
    </row>
    <row r="204" customFormat="false" ht="15" hidden="false" customHeight="true" outlineLevel="0" collapsed="false">
      <c r="A204" s="0" t="n">
        <v>42</v>
      </c>
      <c r="B204" s="188" t="n">
        <v>46043.0422707938</v>
      </c>
      <c r="C204" s="188" t="n">
        <v>46043.0545508864</v>
      </c>
      <c r="D204" s="189" t="s">
        <v>512</v>
      </c>
      <c r="E204" s="189" t="s">
        <v>513</v>
      </c>
      <c r="F204" s="189" t="s">
        <v>513</v>
      </c>
      <c r="G204" s="189" t="s">
        <v>514</v>
      </c>
      <c r="H204" s="188" t="n">
        <v>46025</v>
      </c>
      <c r="I204" s="189" t="s">
        <v>113</v>
      </c>
      <c r="J204" s="189" t="s">
        <v>108</v>
      </c>
      <c r="K204" s="189" t="s">
        <v>232</v>
      </c>
      <c r="L204" s="189" t="s">
        <v>114</v>
      </c>
      <c r="M204" s="189" t="s">
        <v>515</v>
      </c>
      <c r="N204" s="189" t="s">
        <v>338</v>
      </c>
      <c r="O204" s="189" t="s">
        <v>172</v>
      </c>
      <c r="P204" s="189" t="s">
        <v>111</v>
      </c>
      <c r="Q204" s="189" t="s">
        <v>247</v>
      </c>
      <c r="R204" s="189" t="s">
        <v>24</v>
      </c>
      <c r="S204" s="189" t="s">
        <v>152</v>
      </c>
      <c r="T204" s="189" t="s">
        <v>121</v>
      </c>
      <c r="V204" s="189" t="s">
        <v>123</v>
      </c>
      <c r="W204" s="189" t="s">
        <v>124</v>
      </c>
      <c r="X204" s="189" t="s">
        <v>448</v>
      </c>
      <c r="Y204" s="189" t="s">
        <v>3064</v>
      </c>
      <c r="Z204" s="0" t="n">
        <v>1</v>
      </c>
      <c r="AA204" s="189" t="s">
        <v>3191</v>
      </c>
    </row>
    <row r="205" customFormat="false" ht="15" hidden="false" customHeight="true" outlineLevel="0" collapsed="false">
      <c r="A205" s="0" t="n">
        <v>42</v>
      </c>
      <c r="B205" s="188" t="n">
        <v>46043.0422707938</v>
      </c>
      <c r="C205" s="188" t="n">
        <v>46043.0545508864</v>
      </c>
      <c r="D205" s="189" t="s">
        <v>512</v>
      </c>
      <c r="E205" s="189" t="s">
        <v>513</v>
      </c>
      <c r="F205" s="189" t="s">
        <v>513</v>
      </c>
      <c r="G205" s="189" t="s">
        <v>514</v>
      </c>
      <c r="H205" s="188" t="n">
        <v>46025</v>
      </c>
      <c r="I205" s="189" t="s">
        <v>113</v>
      </c>
      <c r="J205" s="189" t="s">
        <v>108</v>
      </c>
      <c r="K205" s="189" t="s">
        <v>232</v>
      </c>
      <c r="L205" s="189" t="s">
        <v>114</v>
      </c>
      <c r="M205" s="189" t="s">
        <v>515</v>
      </c>
      <c r="N205" s="189" t="s">
        <v>338</v>
      </c>
      <c r="O205" s="189" t="s">
        <v>172</v>
      </c>
      <c r="P205" s="189" t="s">
        <v>111</v>
      </c>
      <c r="Q205" s="189" t="s">
        <v>247</v>
      </c>
      <c r="R205" s="189" t="s">
        <v>24</v>
      </c>
      <c r="S205" s="189" t="s">
        <v>152</v>
      </c>
      <c r="T205" s="189" t="s">
        <v>121</v>
      </c>
      <c r="V205" s="189" t="s">
        <v>123</v>
      </c>
      <c r="W205" s="189" t="s">
        <v>124</v>
      </c>
      <c r="X205" s="189" t="s">
        <v>448</v>
      </c>
      <c r="Y205" s="189" t="s">
        <v>3066</v>
      </c>
      <c r="Z205" s="0" t="n">
        <v>1</v>
      </c>
      <c r="AA205" s="189" t="s">
        <v>3177</v>
      </c>
    </row>
    <row r="206" customFormat="false" ht="15" hidden="false" customHeight="true" outlineLevel="0" collapsed="false">
      <c r="A206" s="0" t="n">
        <v>42</v>
      </c>
      <c r="B206" s="188" t="n">
        <v>46043.0422707938</v>
      </c>
      <c r="C206" s="188" t="n">
        <v>46043.0545508864</v>
      </c>
      <c r="D206" s="189" t="s">
        <v>512</v>
      </c>
      <c r="E206" s="189" t="s">
        <v>513</v>
      </c>
      <c r="F206" s="189" t="s">
        <v>513</v>
      </c>
      <c r="G206" s="189" t="s">
        <v>514</v>
      </c>
      <c r="H206" s="188" t="n">
        <v>46025</v>
      </c>
      <c r="I206" s="189" t="s">
        <v>113</v>
      </c>
      <c r="J206" s="189" t="s">
        <v>108</v>
      </c>
      <c r="K206" s="189" t="s">
        <v>232</v>
      </c>
      <c r="L206" s="189" t="s">
        <v>114</v>
      </c>
      <c r="M206" s="189" t="s">
        <v>515</v>
      </c>
      <c r="N206" s="189" t="s">
        <v>338</v>
      </c>
      <c r="O206" s="189" t="s">
        <v>172</v>
      </c>
      <c r="P206" s="189" t="s">
        <v>111</v>
      </c>
      <c r="Q206" s="189" t="s">
        <v>247</v>
      </c>
      <c r="R206" s="189" t="s">
        <v>24</v>
      </c>
      <c r="S206" s="189" t="s">
        <v>152</v>
      </c>
      <c r="T206" s="189" t="s">
        <v>121</v>
      </c>
      <c r="V206" s="189" t="s">
        <v>123</v>
      </c>
      <c r="W206" s="189" t="s">
        <v>124</v>
      </c>
      <c r="X206" s="189" t="s">
        <v>448</v>
      </c>
      <c r="Y206" s="189" t="s">
        <v>3069</v>
      </c>
      <c r="Z206" s="0" t="n">
        <v>1</v>
      </c>
      <c r="AA206" s="189" t="s">
        <v>3190</v>
      </c>
    </row>
    <row r="207" customFormat="false" ht="15" hidden="false" customHeight="true" outlineLevel="0" collapsed="false">
      <c r="A207" s="0" t="n">
        <v>42</v>
      </c>
      <c r="B207" s="188" t="n">
        <v>46043.0422707938</v>
      </c>
      <c r="C207" s="188" t="n">
        <v>46043.0545508864</v>
      </c>
      <c r="D207" s="189" t="s">
        <v>512</v>
      </c>
      <c r="E207" s="189" t="s">
        <v>513</v>
      </c>
      <c r="F207" s="189" t="s">
        <v>513</v>
      </c>
      <c r="G207" s="189" t="s">
        <v>514</v>
      </c>
      <c r="H207" s="188" t="n">
        <v>46025</v>
      </c>
      <c r="I207" s="189" t="s">
        <v>113</v>
      </c>
      <c r="J207" s="189" t="s">
        <v>108</v>
      </c>
      <c r="K207" s="189" t="s">
        <v>232</v>
      </c>
      <c r="L207" s="189" t="s">
        <v>114</v>
      </c>
      <c r="M207" s="189" t="s">
        <v>515</v>
      </c>
      <c r="N207" s="189" t="s">
        <v>338</v>
      </c>
      <c r="O207" s="189" t="s">
        <v>172</v>
      </c>
      <c r="P207" s="189" t="s">
        <v>111</v>
      </c>
      <c r="Q207" s="189" t="s">
        <v>247</v>
      </c>
      <c r="R207" s="189" t="s">
        <v>24</v>
      </c>
      <c r="S207" s="189" t="s">
        <v>152</v>
      </c>
      <c r="T207" s="189" t="s">
        <v>121</v>
      </c>
      <c r="V207" s="189" t="s">
        <v>123</v>
      </c>
      <c r="W207" s="189" t="s">
        <v>124</v>
      </c>
      <c r="X207" s="189" t="s">
        <v>448</v>
      </c>
      <c r="Y207" s="189" t="s">
        <v>3069</v>
      </c>
      <c r="Z207" s="0" t="n">
        <v>2</v>
      </c>
      <c r="AA207" s="189" t="s">
        <v>3179</v>
      </c>
    </row>
    <row r="208" customFormat="false" ht="15" hidden="false" customHeight="true" outlineLevel="0" collapsed="false">
      <c r="A208" s="0" t="n">
        <v>43</v>
      </c>
      <c r="B208" s="188" t="n">
        <v>46064.1639927963</v>
      </c>
      <c r="C208" s="188" t="n">
        <v>46064.1837728889</v>
      </c>
      <c r="D208" s="189" t="s">
        <v>519</v>
      </c>
      <c r="E208" s="189" t="s">
        <v>520</v>
      </c>
      <c r="F208" s="189" t="s">
        <v>520</v>
      </c>
      <c r="G208" s="189" t="s">
        <v>521</v>
      </c>
      <c r="H208" s="188" t="n">
        <v>46044</v>
      </c>
      <c r="I208" s="189" t="s">
        <v>325</v>
      </c>
      <c r="J208" s="189" t="s">
        <v>108</v>
      </c>
      <c r="K208" s="189" t="s">
        <v>522</v>
      </c>
      <c r="L208" s="189" t="s">
        <v>286</v>
      </c>
      <c r="M208" s="189" t="s">
        <v>365</v>
      </c>
      <c r="N208" s="189" t="s">
        <v>523</v>
      </c>
      <c r="O208" s="189" t="s">
        <v>278</v>
      </c>
      <c r="P208" s="189" t="s">
        <v>111</v>
      </c>
      <c r="Q208" s="189" t="s">
        <v>112</v>
      </c>
      <c r="R208" s="189" t="s">
        <v>24</v>
      </c>
      <c r="S208" s="189" t="s">
        <v>152</v>
      </c>
      <c r="T208" s="189" t="s">
        <v>121</v>
      </c>
      <c r="V208" s="189" t="s">
        <v>192</v>
      </c>
      <c r="W208" s="189" t="s">
        <v>124</v>
      </c>
      <c r="X208" s="189" t="s">
        <v>214</v>
      </c>
      <c r="Y208" s="189" t="s">
        <v>3064</v>
      </c>
      <c r="Z208" s="0" t="n">
        <v>1</v>
      </c>
      <c r="AA208" s="189" t="s">
        <v>3065</v>
      </c>
    </row>
    <row r="209" customFormat="false" ht="15" hidden="false" customHeight="true" outlineLevel="0" collapsed="false">
      <c r="A209" s="0" t="n">
        <v>43</v>
      </c>
      <c r="B209" s="188" t="n">
        <v>46064.1639927963</v>
      </c>
      <c r="C209" s="188" t="n">
        <v>46064.1837728889</v>
      </c>
      <c r="D209" s="189" t="s">
        <v>519</v>
      </c>
      <c r="E209" s="189" t="s">
        <v>520</v>
      </c>
      <c r="F209" s="189" t="s">
        <v>520</v>
      </c>
      <c r="G209" s="189" t="s">
        <v>521</v>
      </c>
      <c r="H209" s="188" t="n">
        <v>46044</v>
      </c>
      <c r="I209" s="189" t="s">
        <v>325</v>
      </c>
      <c r="J209" s="189" t="s">
        <v>108</v>
      </c>
      <c r="K209" s="189" t="s">
        <v>522</v>
      </c>
      <c r="L209" s="189" t="s">
        <v>286</v>
      </c>
      <c r="M209" s="189" t="s">
        <v>365</v>
      </c>
      <c r="N209" s="189" t="s">
        <v>523</v>
      </c>
      <c r="O209" s="189" t="s">
        <v>278</v>
      </c>
      <c r="P209" s="189" t="s">
        <v>111</v>
      </c>
      <c r="Q209" s="189" t="s">
        <v>112</v>
      </c>
      <c r="R209" s="189" t="s">
        <v>24</v>
      </c>
      <c r="S209" s="189" t="s">
        <v>152</v>
      </c>
      <c r="T209" s="189" t="s">
        <v>121</v>
      </c>
      <c r="V209" s="189" t="s">
        <v>192</v>
      </c>
      <c r="W209" s="189" t="s">
        <v>124</v>
      </c>
      <c r="X209" s="189" t="s">
        <v>214</v>
      </c>
      <c r="Y209" s="189" t="s">
        <v>3064</v>
      </c>
      <c r="Z209" s="0" t="n">
        <v>2</v>
      </c>
      <c r="AA209" s="189" t="s">
        <v>3095</v>
      </c>
    </row>
    <row r="210" customFormat="false" ht="15" hidden="false" customHeight="true" outlineLevel="0" collapsed="false">
      <c r="A210" s="0" t="n">
        <v>43</v>
      </c>
      <c r="B210" s="188" t="n">
        <v>46064.1639927963</v>
      </c>
      <c r="C210" s="188" t="n">
        <v>46064.1837728889</v>
      </c>
      <c r="D210" s="189" t="s">
        <v>519</v>
      </c>
      <c r="E210" s="189" t="s">
        <v>520</v>
      </c>
      <c r="F210" s="189" t="s">
        <v>520</v>
      </c>
      <c r="G210" s="189" t="s">
        <v>521</v>
      </c>
      <c r="H210" s="188" t="n">
        <v>46044</v>
      </c>
      <c r="I210" s="189" t="s">
        <v>325</v>
      </c>
      <c r="J210" s="189" t="s">
        <v>108</v>
      </c>
      <c r="K210" s="189" t="s">
        <v>522</v>
      </c>
      <c r="L210" s="189" t="s">
        <v>286</v>
      </c>
      <c r="M210" s="189" t="s">
        <v>365</v>
      </c>
      <c r="N210" s="189" t="s">
        <v>523</v>
      </c>
      <c r="O210" s="189" t="s">
        <v>278</v>
      </c>
      <c r="P210" s="189" t="s">
        <v>111</v>
      </c>
      <c r="Q210" s="189" t="s">
        <v>112</v>
      </c>
      <c r="R210" s="189" t="s">
        <v>24</v>
      </c>
      <c r="S210" s="189" t="s">
        <v>152</v>
      </c>
      <c r="T210" s="189" t="s">
        <v>121</v>
      </c>
      <c r="V210" s="189" t="s">
        <v>192</v>
      </c>
      <c r="W210" s="189" t="s">
        <v>124</v>
      </c>
      <c r="X210" s="189" t="s">
        <v>214</v>
      </c>
      <c r="Y210" s="189" t="s">
        <v>3066</v>
      </c>
      <c r="Z210" s="0" t="n">
        <v>1</v>
      </c>
      <c r="AA210" s="189" t="s">
        <v>3082</v>
      </c>
    </row>
    <row r="211" customFormat="false" ht="15" hidden="false" customHeight="true" outlineLevel="0" collapsed="false">
      <c r="A211" s="0" t="n">
        <v>43</v>
      </c>
      <c r="B211" s="188" t="n">
        <v>46064.1639927963</v>
      </c>
      <c r="C211" s="188" t="n">
        <v>46064.1837728889</v>
      </c>
      <c r="D211" s="189" t="s">
        <v>519</v>
      </c>
      <c r="E211" s="189" t="s">
        <v>520</v>
      </c>
      <c r="F211" s="189" t="s">
        <v>520</v>
      </c>
      <c r="G211" s="189" t="s">
        <v>521</v>
      </c>
      <c r="H211" s="188" t="n">
        <v>46044</v>
      </c>
      <c r="I211" s="189" t="s">
        <v>325</v>
      </c>
      <c r="J211" s="189" t="s">
        <v>108</v>
      </c>
      <c r="K211" s="189" t="s">
        <v>522</v>
      </c>
      <c r="L211" s="189" t="s">
        <v>286</v>
      </c>
      <c r="M211" s="189" t="s">
        <v>365</v>
      </c>
      <c r="N211" s="189" t="s">
        <v>523</v>
      </c>
      <c r="O211" s="189" t="s">
        <v>278</v>
      </c>
      <c r="P211" s="189" t="s">
        <v>111</v>
      </c>
      <c r="Q211" s="189" t="s">
        <v>112</v>
      </c>
      <c r="R211" s="189" t="s">
        <v>24</v>
      </c>
      <c r="S211" s="189" t="s">
        <v>152</v>
      </c>
      <c r="T211" s="189" t="s">
        <v>121</v>
      </c>
      <c r="V211" s="189" t="s">
        <v>192</v>
      </c>
      <c r="W211" s="189" t="s">
        <v>124</v>
      </c>
      <c r="X211" s="189" t="s">
        <v>214</v>
      </c>
      <c r="Y211" s="189" t="s">
        <v>3066</v>
      </c>
      <c r="Z211" s="0" t="n">
        <v>2</v>
      </c>
      <c r="AA211" s="189" t="s">
        <v>3067</v>
      </c>
    </row>
    <row r="212" customFormat="false" ht="15" hidden="false" customHeight="true" outlineLevel="0" collapsed="false">
      <c r="A212" s="0" t="n">
        <v>43</v>
      </c>
      <c r="B212" s="188" t="n">
        <v>46064.1639927963</v>
      </c>
      <c r="C212" s="188" t="n">
        <v>46064.1837728889</v>
      </c>
      <c r="D212" s="189" t="s">
        <v>519</v>
      </c>
      <c r="E212" s="189" t="s">
        <v>520</v>
      </c>
      <c r="F212" s="189" t="s">
        <v>520</v>
      </c>
      <c r="G212" s="189" t="s">
        <v>521</v>
      </c>
      <c r="H212" s="188" t="n">
        <v>46044</v>
      </c>
      <c r="I212" s="189" t="s">
        <v>325</v>
      </c>
      <c r="J212" s="189" t="s">
        <v>108</v>
      </c>
      <c r="K212" s="189" t="s">
        <v>522</v>
      </c>
      <c r="L212" s="189" t="s">
        <v>286</v>
      </c>
      <c r="M212" s="189" t="s">
        <v>365</v>
      </c>
      <c r="N212" s="189" t="s">
        <v>523</v>
      </c>
      <c r="O212" s="189" t="s">
        <v>278</v>
      </c>
      <c r="P212" s="189" t="s">
        <v>111</v>
      </c>
      <c r="Q212" s="189" t="s">
        <v>112</v>
      </c>
      <c r="R212" s="189" t="s">
        <v>24</v>
      </c>
      <c r="S212" s="189" t="s">
        <v>152</v>
      </c>
      <c r="T212" s="189" t="s">
        <v>121</v>
      </c>
      <c r="V212" s="189" t="s">
        <v>192</v>
      </c>
      <c r="W212" s="189" t="s">
        <v>124</v>
      </c>
      <c r="X212" s="189" t="s">
        <v>214</v>
      </c>
      <c r="Y212" s="189" t="s">
        <v>3069</v>
      </c>
      <c r="Z212" s="0" t="n">
        <v>1</v>
      </c>
      <c r="AA212" s="189" t="s">
        <v>122</v>
      </c>
    </row>
    <row r="213" customFormat="false" ht="15" hidden="false" customHeight="true" outlineLevel="0" collapsed="false">
      <c r="A213" s="0" t="n">
        <v>43</v>
      </c>
      <c r="B213" s="188" t="n">
        <v>46064.1639927963</v>
      </c>
      <c r="C213" s="188" t="n">
        <v>46064.1837728889</v>
      </c>
      <c r="D213" s="189" t="s">
        <v>519</v>
      </c>
      <c r="E213" s="189" t="s">
        <v>520</v>
      </c>
      <c r="F213" s="189" t="s">
        <v>520</v>
      </c>
      <c r="G213" s="189" t="s">
        <v>521</v>
      </c>
      <c r="H213" s="188" t="n">
        <v>46044</v>
      </c>
      <c r="I213" s="189" t="s">
        <v>325</v>
      </c>
      <c r="J213" s="189" t="s">
        <v>108</v>
      </c>
      <c r="K213" s="189" t="s">
        <v>522</v>
      </c>
      <c r="L213" s="189" t="s">
        <v>286</v>
      </c>
      <c r="M213" s="189" t="s">
        <v>365</v>
      </c>
      <c r="N213" s="189" t="s">
        <v>523</v>
      </c>
      <c r="O213" s="189" t="s">
        <v>278</v>
      </c>
      <c r="P213" s="189" t="s">
        <v>111</v>
      </c>
      <c r="Q213" s="189" t="s">
        <v>112</v>
      </c>
      <c r="R213" s="189" t="s">
        <v>24</v>
      </c>
      <c r="S213" s="189" t="s">
        <v>152</v>
      </c>
      <c r="T213" s="189" t="s">
        <v>121</v>
      </c>
      <c r="V213" s="189" t="s">
        <v>192</v>
      </c>
      <c r="W213" s="189" t="s">
        <v>124</v>
      </c>
      <c r="X213" s="189" t="s">
        <v>214</v>
      </c>
      <c r="Y213" s="189" t="s">
        <v>3069</v>
      </c>
      <c r="Z213" s="0" t="n">
        <v>2</v>
      </c>
      <c r="AA213" s="189" t="s">
        <v>3083</v>
      </c>
    </row>
    <row r="214" customFormat="false" ht="15" hidden="false" customHeight="true" outlineLevel="0" collapsed="false">
      <c r="A214" s="0" t="n">
        <v>44</v>
      </c>
      <c r="B214" s="188" t="n">
        <v>46063.8584562871</v>
      </c>
      <c r="C214" s="188" t="n">
        <v>46063.8616623056</v>
      </c>
      <c r="D214" s="189" t="s">
        <v>527</v>
      </c>
      <c r="E214" s="189" t="s">
        <v>528</v>
      </c>
      <c r="F214" s="189" t="s">
        <v>528</v>
      </c>
      <c r="G214" s="189" t="s">
        <v>529</v>
      </c>
      <c r="H214" s="188" t="n">
        <v>46061</v>
      </c>
      <c r="I214" s="189" t="s">
        <v>113</v>
      </c>
      <c r="J214" s="189" t="s">
        <v>108</v>
      </c>
      <c r="K214" s="189" t="s">
        <v>173</v>
      </c>
      <c r="L214" s="189" t="s">
        <v>296</v>
      </c>
      <c r="M214" s="189" t="s">
        <v>269</v>
      </c>
      <c r="N214" s="189" t="s">
        <v>287</v>
      </c>
      <c r="O214" s="189" t="s">
        <v>244</v>
      </c>
      <c r="P214" s="189" t="s">
        <v>211</v>
      </c>
      <c r="Q214" s="189" t="s">
        <v>112</v>
      </c>
      <c r="R214" s="189" t="s">
        <v>22</v>
      </c>
      <c r="S214" s="189" t="s">
        <v>120</v>
      </c>
      <c r="T214" s="189" t="s">
        <v>400</v>
      </c>
      <c r="U214" s="189" t="s">
        <v>122</v>
      </c>
      <c r="V214" s="189" t="s">
        <v>123</v>
      </c>
      <c r="W214" s="189" t="s">
        <v>139</v>
      </c>
      <c r="X214" s="189" t="s">
        <v>135</v>
      </c>
      <c r="Y214" s="189" t="s">
        <v>3064</v>
      </c>
      <c r="Z214" s="0" t="n">
        <v>1</v>
      </c>
      <c r="AA214" s="189" t="s">
        <v>3073</v>
      </c>
    </row>
    <row r="215" customFormat="false" ht="15" hidden="false" customHeight="true" outlineLevel="0" collapsed="false">
      <c r="A215" s="0" t="n">
        <v>44</v>
      </c>
      <c r="B215" s="188" t="n">
        <v>46063.8584562871</v>
      </c>
      <c r="C215" s="188" t="n">
        <v>46063.8616623056</v>
      </c>
      <c r="D215" s="189" t="s">
        <v>527</v>
      </c>
      <c r="E215" s="189" t="s">
        <v>528</v>
      </c>
      <c r="F215" s="189" t="s">
        <v>528</v>
      </c>
      <c r="G215" s="189" t="s">
        <v>529</v>
      </c>
      <c r="H215" s="188" t="n">
        <v>46061</v>
      </c>
      <c r="I215" s="189" t="s">
        <v>113</v>
      </c>
      <c r="J215" s="189" t="s">
        <v>108</v>
      </c>
      <c r="K215" s="189" t="s">
        <v>173</v>
      </c>
      <c r="L215" s="189" t="s">
        <v>296</v>
      </c>
      <c r="M215" s="189" t="s">
        <v>269</v>
      </c>
      <c r="N215" s="189" t="s">
        <v>287</v>
      </c>
      <c r="O215" s="189" t="s">
        <v>244</v>
      </c>
      <c r="P215" s="189" t="s">
        <v>211</v>
      </c>
      <c r="Q215" s="189" t="s">
        <v>112</v>
      </c>
      <c r="R215" s="189" t="s">
        <v>22</v>
      </c>
      <c r="S215" s="189" t="s">
        <v>120</v>
      </c>
      <c r="T215" s="189" t="s">
        <v>400</v>
      </c>
      <c r="U215" s="189" t="s">
        <v>122</v>
      </c>
      <c r="V215" s="189" t="s">
        <v>123</v>
      </c>
      <c r="W215" s="189" t="s">
        <v>139</v>
      </c>
      <c r="X215" s="189" t="s">
        <v>135</v>
      </c>
      <c r="Y215" s="189" t="s">
        <v>3064</v>
      </c>
      <c r="Z215" s="0" t="n">
        <v>2</v>
      </c>
      <c r="AA215" s="189" t="s">
        <v>3072</v>
      </c>
    </row>
    <row r="216" customFormat="false" ht="15" hidden="false" customHeight="true" outlineLevel="0" collapsed="false">
      <c r="A216" s="0" t="n">
        <v>44</v>
      </c>
      <c r="B216" s="188" t="n">
        <v>46063.8584562871</v>
      </c>
      <c r="C216" s="188" t="n">
        <v>46063.8616623056</v>
      </c>
      <c r="D216" s="189" t="s">
        <v>527</v>
      </c>
      <c r="E216" s="189" t="s">
        <v>528</v>
      </c>
      <c r="F216" s="189" t="s">
        <v>528</v>
      </c>
      <c r="G216" s="189" t="s">
        <v>529</v>
      </c>
      <c r="H216" s="188" t="n">
        <v>46061</v>
      </c>
      <c r="I216" s="189" t="s">
        <v>113</v>
      </c>
      <c r="J216" s="189" t="s">
        <v>108</v>
      </c>
      <c r="K216" s="189" t="s">
        <v>173</v>
      </c>
      <c r="L216" s="189" t="s">
        <v>296</v>
      </c>
      <c r="M216" s="189" t="s">
        <v>269</v>
      </c>
      <c r="N216" s="189" t="s">
        <v>287</v>
      </c>
      <c r="O216" s="189" t="s">
        <v>244</v>
      </c>
      <c r="P216" s="189" t="s">
        <v>211</v>
      </c>
      <c r="Q216" s="189" t="s">
        <v>112</v>
      </c>
      <c r="R216" s="189" t="s">
        <v>22</v>
      </c>
      <c r="S216" s="189" t="s">
        <v>120</v>
      </c>
      <c r="T216" s="189" t="s">
        <v>400</v>
      </c>
      <c r="U216" s="189" t="s">
        <v>122</v>
      </c>
      <c r="V216" s="189" t="s">
        <v>123</v>
      </c>
      <c r="W216" s="189" t="s">
        <v>139</v>
      </c>
      <c r="X216" s="189" t="s">
        <v>135</v>
      </c>
      <c r="Y216" s="189" t="s">
        <v>3066</v>
      </c>
      <c r="Z216" s="0" t="n">
        <v>1</v>
      </c>
      <c r="AA216" s="189" t="s">
        <v>3192</v>
      </c>
    </row>
    <row r="217" customFormat="false" ht="15" hidden="false" customHeight="true" outlineLevel="0" collapsed="false">
      <c r="A217" s="0" t="n">
        <v>44</v>
      </c>
      <c r="B217" s="188" t="n">
        <v>46063.8584562871</v>
      </c>
      <c r="C217" s="188" t="n">
        <v>46063.8616623056</v>
      </c>
      <c r="D217" s="189" t="s">
        <v>527</v>
      </c>
      <c r="E217" s="189" t="s">
        <v>528</v>
      </c>
      <c r="F217" s="189" t="s">
        <v>528</v>
      </c>
      <c r="G217" s="189" t="s">
        <v>529</v>
      </c>
      <c r="H217" s="188" t="n">
        <v>46061</v>
      </c>
      <c r="I217" s="189" t="s">
        <v>113</v>
      </c>
      <c r="J217" s="189" t="s">
        <v>108</v>
      </c>
      <c r="K217" s="189" t="s">
        <v>173</v>
      </c>
      <c r="L217" s="189" t="s">
        <v>296</v>
      </c>
      <c r="M217" s="189" t="s">
        <v>269</v>
      </c>
      <c r="N217" s="189" t="s">
        <v>287</v>
      </c>
      <c r="O217" s="189" t="s">
        <v>244</v>
      </c>
      <c r="P217" s="189" t="s">
        <v>211</v>
      </c>
      <c r="Q217" s="189" t="s">
        <v>112</v>
      </c>
      <c r="R217" s="189" t="s">
        <v>22</v>
      </c>
      <c r="S217" s="189" t="s">
        <v>120</v>
      </c>
      <c r="T217" s="189" t="s">
        <v>400</v>
      </c>
      <c r="U217" s="189" t="s">
        <v>122</v>
      </c>
      <c r="V217" s="189" t="s">
        <v>123</v>
      </c>
      <c r="W217" s="189" t="s">
        <v>139</v>
      </c>
      <c r="X217" s="189" t="s">
        <v>135</v>
      </c>
      <c r="Y217" s="189" t="s">
        <v>3069</v>
      </c>
      <c r="Z217" s="0" t="n">
        <v>1</v>
      </c>
      <c r="AA217" s="189" t="s">
        <v>3193</v>
      </c>
    </row>
    <row r="218" customFormat="false" ht="15" hidden="false" customHeight="true" outlineLevel="0" collapsed="false">
      <c r="A218" s="0" t="n">
        <v>45</v>
      </c>
      <c r="B218" s="188" t="n">
        <v>46202.9169676749</v>
      </c>
      <c r="C218" s="188" t="n">
        <v>46202.9195949898</v>
      </c>
      <c r="D218" s="189" t="s">
        <v>533</v>
      </c>
      <c r="E218" s="189" t="s">
        <v>534</v>
      </c>
      <c r="F218" s="189" t="s">
        <v>534</v>
      </c>
      <c r="G218" s="189" t="s">
        <v>535</v>
      </c>
      <c r="H218" s="188" t="n">
        <v>46192</v>
      </c>
      <c r="I218" s="189" t="s">
        <v>305</v>
      </c>
      <c r="J218" s="189" t="s">
        <v>108</v>
      </c>
      <c r="K218" s="189" t="s">
        <v>232</v>
      </c>
      <c r="L218" s="189" t="s">
        <v>346</v>
      </c>
      <c r="M218" s="189" t="s">
        <v>406</v>
      </c>
      <c r="N218" s="189" t="s">
        <v>234</v>
      </c>
      <c r="O218" s="189" t="s">
        <v>107</v>
      </c>
      <c r="P218" s="189" t="s">
        <v>111</v>
      </c>
      <c r="Q218" s="189" t="s">
        <v>112</v>
      </c>
      <c r="R218" s="189" t="s">
        <v>22</v>
      </c>
      <c r="S218" s="189" t="s">
        <v>152</v>
      </c>
      <c r="T218" s="189" t="s">
        <v>180</v>
      </c>
      <c r="V218" s="189" t="s">
        <v>192</v>
      </c>
      <c r="W218" s="189" t="s">
        <v>139</v>
      </c>
      <c r="X218" s="189" t="s">
        <v>298</v>
      </c>
      <c r="Y218" s="189" t="s">
        <v>3064</v>
      </c>
      <c r="Z218" s="0" t="n">
        <v>1</v>
      </c>
      <c r="AA218" s="189" t="s">
        <v>3194</v>
      </c>
    </row>
    <row r="219" customFormat="false" ht="15" hidden="false" customHeight="true" outlineLevel="0" collapsed="false">
      <c r="A219" s="0" t="n">
        <v>45</v>
      </c>
      <c r="B219" s="188" t="n">
        <v>46202.9169676749</v>
      </c>
      <c r="C219" s="188" t="n">
        <v>46202.9195949898</v>
      </c>
      <c r="D219" s="189" t="s">
        <v>533</v>
      </c>
      <c r="E219" s="189" t="s">
        <v>534</v>
      </c>
      <c r="F219" s="189" t="s">
        <v>534</v>
      </c>
      <c r="G219" s="189" t="s">
        <v>535</v>
      </c>
      <c r="H219" s="188" t="n">
        <v>46192</v>
      </c>
      <c r="I219" s="189" t="s">
        <v>305</v>
      </c>
      <c r="J219" s="189" t="s">
        <v>108</v>
      </c>
      <c r="K219" s="189" t="s">
        <v>232</v>
      </c>
      <c r="L219" s="189" t="s">
        <v>346</v>
      </c>
      <c r="M219" s="189" t="s">
        <v>406</v>
      </c>
      <c r="N219" s="189" t="s">
        <v>234</v>
      </c>
      <c r="O219" s="189" t="s">
        <v>107</v>
      </c>
      <c r="P219" s="189" t="s">
        <v>111</v>
      </c>
      <c r="Q219" s="189" t="s">
        <v>112</v>
      </c>
      <c r="R219" s="189" t="s">
        <v>22</v>
      </c>
      <c r="S219" s="189" t="s">
        <v>152</v>
      </c>
      <c r="T219" s="189" t="s">
        <v>180</v>
      </c>
      <c r="V219" s="189" t="s">
        <v>192</v>
      </c>
      <c r="W219" s="189" t="s">
        <v>139</v>
      </c>
      <c r="X219" s="189" t="s">
        <v>298</v>
      </c>
      <c r="Y219" s="189" t="s">
        <v>3064</v>
      </c>
      <c r="Z219" s="0" t="n">
        <v>2</v>
      </c>
      <c r="AA219" s="189" t="s">
        <v>3195</v>
      </c>
    </row>
    <row r="220" customFormat="false" ht="15" hidden="false" customHeight="true" outlineLevel="0" collapsed="false">
      <c r="A220" s="0" t="n">
        <v>45</v>
      </c>
      <c r="B220" s="188" t="n">
        <v>46202.9169676749</v>
      </c>
      <c r="C220" s="188" t="n">
        <v>46202.9195949898</v>
      </c>
      <c r="D220" s="189" t="s">
        <v>533</v>
      </c>
      <c r="E220" s="189" t="s">
        <v>534</v>
      </c>
      <c r="F220" s="189" t="s">
        <v>534</v>
      </c>
      <c r="G220" s="189" t="s">
        <v>535</v>
      </c>
      <c r="H220" s="188" t="n">
        <v>46192</v>
      </c>
      <c r="I220" s="189" t="s">
        <v>305</v>
      </c>
      <c r="J220" s="189" t="s">
        <v>108</v>
      </c>
      <c r="K220" s="189" t="s">
        <v>232</v>
      </c>
      <c r="L220" s="189" t="s">
        <v>346</v>
      </c>
      <c r="M220" s="189" t="s">
        <v>406</v>
      </c>
      <c r="N220" s="189" t="s">
        <v>234</v>
      </c>
      <c r="O220" s="189" t="s">
        <v>107</v>
      </c>
      <c r="P220" s="189" t="s">
        <v>111</v>
      </c>
      <c r="Q220" s="189" t="s">
        <v>112</v>
      </c>
      <c r="R220" s="189" t="s">
        <v>22</v>
      </c>
      <c r="S220" s="189" t="s">
        <v>152</v>
      </c>
      <c r="T220" s="189" t="s">
        <v>180</v>
      </c>
      <c r="V220" s="189" t="s">
        <v>192</v>
      </c>
      <c r="W220" s="189" t="s">
        <v>139</v>
      </c>
      <c r="X220" s="189" t="s">
        <v>298</v>
      </c>
      <c r="Y220" s="189" t="s">
        <v>3066</v>
      </c>
      <c r="Z220" s="0" t="n">
        <v>1</v>
      </c>
      <c r="AA220" s="189" t="s">
        <v>3196</v>
      </c>
    </row>
    <row r="221" customFormat="false" ht="15" hidden="false" customHeight="true" outlineLevel="0" collapsed="false">
      <c r="A221" s="0" t="n">
        <v>45</v>
      </c>
      <c r="B221" s="188" t="n">
        <v>46202.9169676749</v>
      </c>
      <c r="C221" s="188" t="n">
        <v>46202.9195949898</v>
      </c>
      <c r="D221" s="189" t="s">
        <v>533</v>
      </c>
      <c r="E221" s="189" t="s">
        <v>534</v>
      </c>
      <c r="F221" s="189" t="s">
        <v>534</v>
      </c>
      <c r="G221" s="189" t="s">
        <v>535</v>
      </c>
      <c r="H221" s="188" t="n">
        <v>46192</v>
      </c>
      <c r="I221" s="189" t="s">
        <v>305</v>
      </c>
      <c r="J221" s="189" t="s">
        <v>108</v>
      </c>
      <c r="K221" s="189" t="s">
        <v>232</v>
      </c>
      <c r="L221" s="189" t="s">
        <v>346</v>
      </c>
      <c r="M221" s="189" t="s">
        <v>406</v>
      </c>
      <c r="N221" s="189" t="s">
        <v>234</v>
      </c>
      <c r="O221" s="189" t="s">
        <v>107</v>
      </c>
      <c r="P221" s="189" t="s">
        <v>111</v>
      </c>
      <c r="Q221" s="189" t="s">
        <v>112</v>
      </c>
      <c r="R221" s="189" t="s">
        <v>22</v>
      </c>
      <c r="S221" s="189" t="s">
        <v>152</v>
      </c>
      <c r="T221" s="189" t="s">
        <v>180</v>
      </c>
      <c r="V221" s="189" t="s">
        <v>192</v>
      </c>
      <c r="W221" s="189" t="s">
        <v>139</v>
      </c>
      <c r="X221" s="189" t="s">
        <v>298</v>
      </c>
      <c r="Y221" s="189" t="s">
        <v>3069</v>
      </c>
      <c r="Z221" s="0" t="n">
        <v>1</v>
      </c>
      <c r="AA221" s="189" t="s">
        <v>3197</v>
      </c>
    </row>
    <row r="222" customFormat="false" ht="15" hidden="false" customHeight="true" outlineLevel="0" collapsed="false">
      <c r="A222" s="0" t="n">
        <v>46</v>
      </c>
      <c r="B222" s="188" t="n">
        <v>46160.950770126</v>
      </c>
      <c r="C222" s="188" t="n">
        <v>46160.964207626</v>
      </c>
      <c r="D222" s="189" t="s">
        <v>539</v>
      </c>
      <c r="E222" s="189" t="s">
        <v>540</v>
      </c>
      <c r="F222" s="189" t="s">
        <v>541</v>
      </c>
      <c r="G222" s="189" t="s">
        <v>542</v>
      </c>
      <c r="H222" s="188" t="n">
        <v>46151</v>
      </c>
      <c r="I222" s="189" t="s">
        <v>113</v>
      </c>
      <c r="J222" s="189" t="s">
        <v>108</v>
      </c>
      <c r="K222" s="189" t="s">
        <v>196</v>
      </c>
      <c r="L222" s="189" t="s">
        <v>286</v>
      </c>
      <c r="M222" s="189" t="s">
        <v>543</v>
      </c>
      <c r="N222" s="189" t="s">
        <v>544</v>
      </c>
      <c r="O222" s="189" t="s">
        <v>107</v>
      </c>
      <c r="P222" s="189" t="s">
        <v>111</v>
      </c>
      <c r="Q222" s="189" t="s">
        <v>112</v>
      </c>
      <c r="R222" s="189" t="s">
        <v>21</v>
      </c>
      <c r="S222" s="189" t="s">
        <v>152</v>
      </c>
      <c r="T222" s="189" t="s">
        <v>180</v>
      </c>
      <c r="U222" s="189" t="s">
        <v>547</v>
      </c>
      <c r="V222" s="189" t="s">
        <v>192</v>
      </c>
      <c r="W222" s="189" t="s">
        <v>124</v>
      </c>
      <c r="X222" s="189" t="s">
        <v>307</v>
      </c>
      <c r="Y222" s="189" t="s">
        <v>3064</v>
      </c>
      <c r="Z222" s="0" t="n">
        <v>1</v>
      </c>
      <c r="AA222" s="189" t="s">
        <v>3130</v>
      </c>
    </row>
    <row r="223" customFormat="false" ht="15" hidden="false" customHeight="true" outlineLevel="0" collapsed="false">
      <c r="A223" s="0" t="n">
        <v>46</v>
      </c>
      <c r="B223" s="188" t="n">
        <v>46160.950770126</v>
      </c>
      <c r="C223" s="188" t="n">
        <v>46160.964207626</v>
      </c>
      <c r="D223" s="189" t="s">
        <v>539</v>
      </c>
      <c r="E223" s="189" t="s">
        <v>540</v>
      </c>
      <c r="F223" s="189" t="s">
        <v>541</v>
      </c>
      <c r="G223" s="189" t="s">
        <v>542</v>
      </c>
      <c r="H223" s="188" t="n">
        <v>46151</v>
      </c>
      <c r="I223" s="189" t="s">
        <v>113</v>
      </c>
      <c r="J223" s="189" t="s">
        <v>108</v>
      </c>
      <c r="K223" s="189" t="s">
        <v>196</v>
      </c>
      <c r="L223" s="189" t="s">
        <v>286</v>
      </c>
      <c r="M223" s="189" t="s">
        <v>543</v>
      </c>
      <c r="N223" s="189" t="s">
        <v>544</v>
      </c>
      <c r="O223" s="189" t="s">
        <v>107</v>
      </c>
      <c r="P223" s="189" t="s">
        <v>111</v>
      </c>
      <c r="Q223" s="189" t="s">
        <v>112</v>
      </c>
      <c r="R223" s="189" t="s">
        <v>21</v>
      </c>
      <c r="S223" s="189" t="s">
        <v>152</v>
      </c>
      <c r="T223" s="189" t="s">
        <v>180</v>
      </c>
      <c r="U223" s="189" t="s">
        <v>547</v>
      </c>
      <c r="V223" s="189" t="s">
        <v>192</v>
      </c>
      <c r="W223" s="189" t="s">
        <v>124</v>
      </c>
      <c r="X223" s="189" t="s">
        <v>307</v>
      </c>
      <c r="Y223" s="189" t="s">
        <v>3064</v>
      </c>
      <c r="Z223" s="0" t="n">
        <v>2</v>
      </c>
      <c r="AA223" s="189" t="s">
        <v>3131</v>
      </c>
    </row>
    <row r="224" customFormat="false" ht="15" hidden="false" customHeight="true" outlineLevel="0" collapsed="false">
      <c r="A224" s="0" t="n">
        <v>46</v>
      </c>
      <c r="B224" s="188" t="n">
        <v>46160.950770126</v>
      </c>
      <c r="C224" s="188" t="n">
        <v>46160.964207626</v>
      </c>
      <c r="D224" s="189" t="s">
        <v>539</v>
      </c>
      <c r="E224" s="189" t="s">
        <v>540</v>
      </c>
      <c r="F224" s="189" t="s">
        <v>541</v>
      </c>
      <c r="G224" s="189" t="s">
        <v>542</v>
      </c>
      <c r="H224" s="188" t="n">
        <v>46151</v>
      </c>
      <c r="I224" s="189" t="s">
        <v>113</v>
      </c>
      <c r="J224" s="189" t="s">
        <v>108</v>
      </c>
      <c r="K224" s="189" t="s">
        <v>196</v>
      </c>
      <c r="L224" s="189" t="s">
        <v>286</v>
      </c>
      <c r="M224" s="189" t="s">
        <v>543</v>
      </c>
      <c r="N224" s="189" t="s">
        <v>544</v>
      </c>
      <c r="O224" s="189" t="s">
        <v>107</v>
      </c>
      <c r="P224" s="189" t="s">
        <v>111</v>
      </c>
      <c r="Q224" s="189" t="s">
        <v>112</v>
      </c>
      <c r="R224" s="189" t="s">
        <v>21</v>
      </c>
      <c r="S224" s="189" t="s">
        <v>152</v>
      </c>
      <c r="T224" s="189" t="s">
        <v>180</v>
      </c>
      <c r="U224" s="189" t="s">
        <v>547</v>
      </c>
      <c r="V224" s="189" t="s">
        <v>192</v>
      </c>
      <c r="W224" s="189" t="s">
        <v>124</v>
      </c>
      <c r="X224" s="189" t="s">
        <v>307</v>
      </c>
      <c r="Y224" s="189" t="s">
        <v>3064</v>
      </c>
      <c r="Z224" s="0" t="n">
        <v>3</v>
      </c>
      <c r="AA224" s="189" t="s">
        <v>3129</v>
      </c>
    </row>
    <row r="225" customFormat="false" ht="15" hidden="false" customHeight="true" outlineLevel="0" collapsed="false">
      <c r="A225" s="0" t="n">
        <v>46</v>
      </c>
      <c r="B225" s="188" t="n">
        <v>46160.950770126</v>
      </c>
      <c r="C225" s="188" t="n">
        <v>46160.964207626</v>
      </c>
      <c r="D225" s="189" t="s">
        <v>539</v>
      </c>
      <c r="E225" s="189" t="s">
        <v>540</v>
      </c>
      <c r="F225" s="189" t="s">
        <v>541</v>
      </c>
      <c r="G225" s="189" t="s">
        <v>542</v>
      </c>
      <c r="H225" s="188" t="n">
        <v>46151</v>
      </c>
      <c r="I225" s="189" t="s">
        <v>113</v>
      </c>
      <c r="J225" s="189" t="s">
        <v>108</v>
      </c>
      <c r="K225" s="189" t="s">
        <v>196</v>
      </c>
      <c r="L225" s="189" t="s">
        <v>286</v>
      </c>
      <c r="M225" s="189" t="s">
        <v>543</v>
      </c>
      <c r="N225" s="189" t="s">
        <v>544</v>
      </c>
      <c r="O225" s="189" t="s">
        <v>107</v>
      </c>
      <c r="P225" s="189" t="s">
        <v>111</v>
      </c>
      <c r="Q225" s="189" t="s">
        <v>112</v>
      </c>
      <c r="R225" s="189" t="s">
        <v>21</v>
      </c>
      <c r="S225" s="189" t="s">
        <v>152</v>
      </c>
      <c r="T225" s="189" t="s">
        <v>180</v>
      </c>
      <c r="U225" s="189" t="s">
        <v>547</v>
      </c>
      <c r="V225" s="189" t="s">
        <v>192</v>
      </c>
      <c r="W225" s="189" t="s">
        <v>124</v>
      </c>
      <c r="X225" s="189" t="s">
        <v>307</v>
      </c>
      <c r="Y225" s="189" t="s">
        <v>3066</v>
      </c>
      <c r="Z225" s="0" t="n">
        <v>1</v>
      </c>
      <c r="AA225" s="189" t="s">
        <v>1174</v>
      </c>
    </row>
    <row r="226" customFormat="false" ht="15" hidden="false" customHeight="true" outlineLevel="0" collapsed="false">
      <c r="A226" s="0" t="n">
        <v>46</v>
      </c>
      <c r="B226" s="188" t="n">
        <v>46160.950770126</v>
      </c>
      <c r="C226" s="188" t="n">
        <v>46160.964207626</v>
      </c>
      <c r="D226" s="189" t="s">
        <v>539</v>
      </c>
      <c r="E226" s="189" t="s">
        <v>540</v>
      </c>
      <c r="F226" s="189" t="s">
        <v>541</v>
      </c>
      <c r="G226" s="189" t="s">
        <v>542</v>
      </c>
      <c r="H226" s="188" t="n">
        <v>46151</v>
      </c>
      <c r="I226" s="189" t="s">
        <v>113</v>
      </c>
      <c r="J226" s="189" t="s">
        <v>108</v>
      </c>
      <c r="K226" s="189" t="s">
        <v>196</v>
      </c>
      <c r="L226" s="189" t="s">
        <v>286</v>
      </c>
      <c r="M226" s="189" t="s">
        <v>543</v>
      </c>
      <c r="N226" s="189" t="s">
        <v>544</v>
      </c>
      <c r="O226" s="189" t="s">
        <v>107</v>
      </c>
      <c r="P226" s="189" t="s">
        <v>111</v>
      </c>
      <c r="Q226" s="189" t="s">
        <v>112</v>
      </c>
      <c r="R226" s="189" t="s">
        <v>21</v>
      </c>
      <c r="S226" s="189" t="s">
        <v>152</v>
      </c>
      <c r="T226" s="189" t="s">
        <v>180</v>
      </c>
      <c r="U226" s="189" t="s">
        <v>547</v>
      </c>
      <c r="V226" s="189" t="s">
        <v>192</v>
      </c>
      <c r="W226" s="189" t="s">
        <v>124</v>
      </c>
      <c r="X226" s="189" t="s">
        <v>307</v>
      </c>
      <c r="Y226" s="189" t="s">
        <v>3069</v>
      </c>
      <c r="Z226" s="0" t="n">
        <v>1</v>
      </c>
      <c r="AA226" s="189" t="s">
        <v>3133</v>
      </c>
    </row>
    <row r="227" customFormat="false" ht="15" hidden="false" customHeight="true" outlineLevel="0" collapsed="false">
      <c r="A227" s="0" t="n">
        <v>46</v>
      </c>
      <c r="B227" s="188" t="n">
        <v>46160.950770126</v>
      </c>
      <c r="C227" s="188" t="n">
        <v>46160.964207626</v>
      </c>
      <c r="D227" s="189" t="s">
        <v>539</v>
      </c>
      <c r="E227" s="189" t="s">
        <v>540</v>
      </c>
      <c r="F227" s="189" t="s">
        <v>541</v>
      </c>
      <c r="G227" s="189" t="s">
        <v>542</v>
      </c>
      <c r="H227" s="188" t="n">
        <v>46151</v>
      </c>
      <c r="I227" s="189" t="s">
        <v>113</v>
      </c>
      <c r="J227" s="189" t="s">
        <v>108</v>
      </c>
      <c r="K227" s="189" t="s">
        <v>196</v>
      </c>
      <c r="L227" s="189" t="s">
        <v>286</v>
      </c>
      <c r="M227" s="189" t="s">
        <v>543</v>
      </c>
      <c r="N227" s="189" t="s">
        <v>544</v>
      </c>
      <c r="O227" s="189" t="s">
        <v>107</v>
      </c>
      <c r="P227" s="189" t="s">
        <v>111</v>
      </c>
      <c r="Q227" s="189" t="s">
        <v>112</v>
      </c>
      <c r="R227" s="189" t="s">
        <v>21</v>
      </c>
      <c r="S227" s="189" t="s">
        <v>152</v>
      </c>
      <c r="T227" s="189" t="s">
        <v>180</v>
      </c>
      <c r="U227" s="189" t="s">
        <v>547</v>
      </c>
      <c r="V227" s="189" t="s">
        <v>192</v>
      </c>
      <c r="W227" s="189" t="s">
        <v>124</v>
      </c>
      <c r="X227" s="189" t="s">
        <v>307</v>
      </c>
      <c r="Y227" s="189" t="s">
        <v>3069</v>
      </c>
      <c r="Z227" s="0" t="n">
        <v>2</v>
      </c>
      <c r="AA227" s="189" t="s">
        <v>3134</v>
      </c>
    </row>
    <row r="228" customFormat="false" ht="15" hidden="false" customHeight="true" outlineLevel="0" collapsed="false">
      <c r="A228" s="0" t="n">
        <v>47</v>
      </c>
      <c r="B228" s="188" t="n">
        <v>46139.5208755687</v>
      </c>
      <c r="C228" s="188" t="n">
        <v>46139.5367320502</v>
      </c>
      <c r="D228" s="189" t="s">
        <v>548</v>
      </c>
      <c r="E228" s="189" t="s">
        <v>549</v>
      </c>
      <c r="F228" s="189" t="s">
        <v>549</v>
      </c>
      <c r="G228" s="189" t="s">
        <v>550</v>
      </c>
      <c r="H228" s="188" t="n">
        <v>46125</v>
      </c>
      <c r="I228" s="189" t="s">
        <v>551</v>
      </c>
      <c r="J228" s="189" t="s">
        <v>108</v>
      </c>
      <c r="K228" s="189" t="s">
        <v>196</v>
      </c>
      <c r="L228" s="189" t="s">
        <v>286</v>
      </c>
      <c r="M228" s="189" t="s">
        <v>160</v>
      </c>
      <c r="N228" s="189" t="s">
        <v>552</v>
      </c>
      <c r="O228" s="189" t="s">
        <v>107</v>
      </c>
      <c r="P228" s="189" t="s">
        <v>111</v>
      </c>
      <c r="Q228" s="189" t="s">
        <v>247</v>
      </c>
      <c r="R228" s="189" t="s">
        <v>22</v>
      </c>
      <c r="S228" s="189" t="s">
        <v>152</v>
      </c>
      <c r="T228" s="189" t="s">
        <v>121</v>
      </c>
      <c r="U228" s="189" t="s">
        <v>122</v>
      </c>
      <c r="V228" s="189" t="s">
        <v>192</v>
      </c>
      <c r="W228" s="189" t="s">
        <v>124</v>
      </c>
      <c r="X228" s="189" t="s">
        <v>339</v>
      </c>
      <c r="Y228" s="189" t="s">
        <v>3064</v>
      </c>
      <c r="Z228" s="0" t="n">
        <v>1</v>
      </c>
      <c r="AA228" s="189" t="s">
        <v>3168</v>
      </c>
    </row>
    <row r="229" customFormat="false" ht="15" hidden="false" customHeight="true" outlineLevel="0" collapsed="false">
      <c r="A229" s="0" t="n">
        <v>47</v>
      </c>
      <c r="B229" s="188" t="n">
        <v>46139.5208755687</v>
      </c>
      <c r="C229" s="188" t="n">
        <v>46139.5367320502</v>
      </c>
      <c r="D229" s="189" t="s">
        <v>548</v>
      </c>
      <c r="E229" s="189" t="s">
        <v>549</v>
      </c>
      <c r="F229" s="189" t="s">
        <v>549</v>
      </c>
      <c r="G229" s="189" t="s">
        <v>550</v>
      </c>
      <c r="H229" s="188" t="n">
        <v>46125</v>
      </c>
      <c r="I229" s="189" t="s">
        <v>551</v>
      </c>
      <c r="J229" s="189" t="s">
        <v>108</v>
      </c>
      <c r="K229" s="189" t="s">
        <v>196</v>
      </c>
      <c r="L229" s="189" t="s">
        <v>286</v>
      </c>
      <c r="M229" s="189" t="s">
        <v>160</v>
      </c>
      <c r="N229" s="189" t="s">
        <v>552</v>
      </c>
      <c r="O229" s="189" t="s">
        <v>107</v>
      </c>
      <c r="P229" s="189" t="s">
        <v>111</v>
      </c>
      <c r="Q229" s="189" t="s">
        <v>247</v>
      </c>
      <c r="R229" s="189" t="s">
        <v>22</v>
      </c>
      <c r="S229" s="189" t="s">
        <v>152</v>
      </c>
      <c r="T229" s="189" t="s">
        <v>121</v>
      </c>
      <c r="U229" s="189" t="s">
        <v>122</v>
      </c>
      <c r="V229" s="189" t="s">
        <v>192</v>
      </c>
      <c r="W229" s="189" t="s">
        <v>124</v>
      </c>
      <c r="X229" s="189" t="s">
        <v>339</v>
      </c>
      <c r="Y229" s="189" t="s">
        <v>3064</v>
      </c>
      <c r="Z229" s="0" t="n">
        <v>2</v>
      </c>
      <c r="AA229" s="189" t="s">
        <v>3198</v>
      </c>
    </row>
    <row r="230" customFormat="false" ht="15" hidden="false" customHeight="true" outlineLevel="0" collapsed="false">
      <c r="A230" s="0" t="n">
        <v>47</v>
      </c>
      <c r="B230" s="188" t="n">
        <v>46139.5208755687</v>
      </c>
      <c r="C230" s="188" t="n">
        <v>46139.5367320502</v>
      </c>
      <c r="D230" s="189" t="s">
        <v>548</v>
      </c>
      <c r="E230" s="189" t="s">
        <v>549</v>
      </c>
      <c r="F230" s="189" t="s">
        <v>549</v>
      </c>
      <c r="G230" s="189" t="s">
        <v>550</v>
      </c>
      <c r="H230" s="188" t="n">
        <v>46125</v>
      </c>
      <c r="I230" s="189" t="s">
        <v>551</v>
      </c>
      <c r="J230" s="189" t="s">
        <v>108</v>
      </c>
      <c r="K230" s="189" t="s">
        <v>196</v>
      </c>
      <c r="L230" s="189" t="s">
        <v>286</v>
      </c>
      <c r="M230" s="189" t="s">
        <v>160</v>
      </c>
      <c r="N230" s="189" t="s">
        <v>552</v>
      </c>
      <c r="O230" s="189" t="s">
        <v>107</v>
      </c>
      <c r="P230" s="189" t="s">
        <v>111</v>
      </c>
      <c r="Q230" s="189" t="s">
        <v>247</v>
      </c>
      <c r="R230" s="189" t="s">
        <v>22</v>
      </c>
      <c r="S230" s="189" t="s">
        <v>152</v>
      </c>
      <c r="T230" s="189" t="s">
        <v>121</v>
      </c>
      <c r="U230" s="189" t="s">
        <v>122</v>
      </c>
      <c r="V230" s="189" t="s">
        <v>192</v>
      </c>
      <c r="W230" s="189" t="s">
        <v>124</v>
      </c>
      <c r="X230" s="189" t="s">
        <v>339</v>
      </c>
      <c r="Y230" s="189" t="s">
        <v>3064</v>
      </c>
      <c r="Z230" s="0" t="n">
        <v>3</v>
      </c>
      <c r="AA230" s="189" t="s">
        <v>3199</v>
      </c>
    </row>
    <row r="231" customFormat="false" ht="15" hidden="false" customHeight="true" outlineLevel="0" collapsed="false">
      <c r="A231" s="0" t="n">
        <v>47</v>
      </c>
      <c r="B231" s="188" t="n">
        <v>46139.5208755687</v>
      </c>
      <c r="C231" s="188" t="n">
        <v>46139.5367320502</v>
      </c>
      <c r="D231" s="189" t="s">
        <v>548</v>
      </c>
      <c r="E231" s="189" t="s">
        <v>549</v>
      </c>
      <c r="F231" s="189" t="s">
        <v>549</v>
      </c>
      <c r="G231" s="189" t="s">
        <v>550</v>
      </c>
      <c r="H231" s="188" t="n">
        <v>46125</v>
      </c>
      <c r="I231" s="189" t="s">
        <v>551</v>
      </c>
      <c r="J231" s="189" t="s">
        <v>108</v>
      </c>
      <c r="K231" s="189" t="s">
        <v>196</v>
      </c>
      <c r="L231" s="189" t="s">
        <v>286</v>
      </c>
      <c r="M231" s="189" t="s">
        <v>160</v>
      </c>
      <c r="N231" s="189" t="s">
        <v>552</v>
      </c>
      <c r="O231" s="189" t="s">
        <v>107</v>
      </c>
      <c r="P231" s="189" t="s">
        <v>111</v>
      </c>
      <c r="Q231" s="189" t="s">
        <v>247</v>
      </c>
      <c r="R231" s="189" t="s">
        <v>22</v>
      </c>
      <c r="S231" s="189" t="s">
        <v>152</v>
      </c>
      <c r="T231" s="189" t="s">
        <v>121</v>
      </c>
      <c r="U231" s="189" t="s">
        <v>122</v>
      </c>
      <c r="V231" s="189" t="s">
        <v>192</v>
      </c>
      <c r="W231" s="189" t="s">
        <v>124</v>
      </c>
      <c r="X231" s="189" t="s">
        <v>339</v>
      </c>
      <c r="Y231" s="189" t="s">
        <v>3066</v>
      </c>
      <c r="Z231" s="0" t="n">
        <v>1</v>
      </c>
      <c r="AA231" s="189" t="s">
        <v>3142</v>
      </c>
    </row>
    <row r="232" customFormat="false" ht="15" hidden="false" customHeight="true" outlineLevel="0" collapsed="false">
      <c r="A232" s="0" t="n">
        <v>47</v>
      </c>
      <c r="B232" s="188" t="n">
        <v>46139.5208755687</v>
      </c>
      <c r="C232" s="188" t="n">
        <v>46139.5367320502</v>
      </c>
      <c r="D232" s="189" t="s">
        <v>548</v>
      </c>
      <c r="E232" s="189" t="s">
        <v>549</v>
      </c>
      <c r="F232" s="189" t="s">
        <v>549</v>
      </c>
      <c r="G232" s="189" t="s">
        <v>550</v>
      </c>
      <c r="H232" s="188" t="n">
        <v>46125</v>
      </c>
      <c r="I232" s="189" t="s">
        <v>551</v>
      </c>
      <c r="J232" s="189" t="s">
        <v>108</v>
      </c>
      <c r="K232" s="189" t="s">
        <v>196</v>
      </c>
      <c r="L232" s="189" t="s">
        <v>286</v>
      </c>
      <c r="M232" s="189" t="s">
        <v>160</v>
      </c>
      <c r="N232" s="189" t="s">
        <v>552</v>
      </c>
      <c r="O232" s="189" t="s">
        <v>107</v>
      </c>
      <c r="P232" s="189" t="s">
        <v>111</v>
      </c>
      <c r="Q232" s="189" t="s">
        <v>247</v>
      </c>
      <c r="R232" s="189" t="s">
        <v>22</v>
      </c>
      <c r="S232" s="189" t="s">
        <v>152</v>
      </c>
      <c r="T232" s="189" t="s">
        <v>121</v>
      </c>
      <c r="U232" s="189" t="s">
        <v>122</v>
      </c>
      <c r="V232" s="189" t="s">
        <v>192</v>
      </c>
      <c r="W232" s="189" t="s">
        <v>124</v>
      </c>
      <c r="X232" s="189" t="s">
        <v>339</v>
      </c>
      <c r="Y232" s="189" t="s">
        <v>3069</v>
      </c>
      <c r="Z232" s="0" t="n">
        <v>1</v>
      </c>
      <c r="AA232" s="189" t="s">
        <v>3200</v>
      </c>
    </row>
    <row r="233" customFormat="false" ht="15" hidden="false" customHeight="true" outlineLevel="0" collapsed="false">
      <c r="A233" s="0" t="n">
        <v>48</v>
      </c>
      <c r="B233" s="188" t="n">
        <v>46042.9608682863</v>
      </c>
      <c r="C233" s="188" t="n">
        <v>46042.9729053234</v>
      </c>
      <c r="D233" s="189" t="s">
        <v>556</v>
      </c>
      <c r="E233" s="189" t="s">
        <v>557</v>
      </c>
      <c r="F233" s="189" t="s">
        <v>558</v>
      </c>
      <c r="G233" s="189" t="s">
        <v>559</v>
      </c>
      <c r="H233" s="188" t="n">
        <v>46029</v>
      </c>
      <c r="I233" s="189" t="s">
        <v>113</v>
      </c>
      <c r="J233" s="189" t="s">
        <v>128</v>
      </c>
      <c r="K233" s="189" t="s">
        <v>257</v>
      </c>
      <c r="L233" s="189" t="s">
        <v>246</v>
      </c>
      <c r="M233" s="189" t="s">
        <v>212</v>
      </c>
      <c r="N233" s="189" t="s">
        <v>560</v>
      </c>
      <c r="O233" s="189" t="s">
        <v>107</v>
      </c>
      <c r="P233" s="189" t="s">
        <v>111</v>
      </c>
      <c r="Q233" s="189" t="s">
        <v>112</v>
      </c>
      <c r="R233" s="189" t="s">
        <v>22</v>
      </c>
      <c r="S233" s="189" t="s">
        <v>120</v>
      </c>
      <c r="T233" s="189" t="s">
        <v>121</v>
      </c>
      <c r="U233" s="189" t="s">
        <v>562</v>
      </c>
      <c r="V233" s="189" t="s">
        <v>192</v>
      </c>
      <c r="W233" s="189" t="s">
        <v>124</v>
      </c>
      <c r="X233" s="189" t="s">
        <v>135</v>
      </c>
      <c r="Y233" s="189" t="s">
        <v>3064</v>
      </c>
      <c r="Z233" s="0" t="n">
        <v>1</v>
      </c>
      <c r="AA233" s="189" t="s">
        <v>3073</v>
      </c>
    </row>
    <row r="234" customFormat="false" ht="15" hidden="false" customHeight="true" outlineLevel="0" collapsed="false">
      <c r="A234" s="0" t="n">
        <v>48</v>
      </c>
      <c r="B234" s="188" t="n">
        <v>46042.9608682863</v>
      </c>
      <c r="C234" s="188" t="n">
        <v>46042.9729053234</v>
      </c>
      <c r="D234" s="189" t="s">
        <v>556</v>
      </c>
      <c r="E234" s="189" t="s">
        <v>557</v>
      </c>
      <c r="F234" s="189" t="s">
        <v>558</v>
      </c>
      <c r="G234" s="189" t="s">
        <v>559</v>
      </c>
      <c r="H234" s="188" t="n">
        <v>46029</v>
      </c>
      <c r="I234" s="189" t="s">
        <v>113</v>
      </c>
      <c r="J234" s="189" t="s">
        <v>128</v>
      </c>
      <c r="K234" s="189" t="s">
        <v>257</v>
      </c>
      <c r="L234" s="189" t="s">
        <v>246</v>
      </c>
      <c r="M234" s="189" t="s">
        <v>212</v>
      </c>
      <c r="N234" s="189" t="s">
        <v>560</v>
      </c>
      <c r="O234" s="189" t="s">
        <v>107</v>
      </c>
      <c r="P234" s="189" t="s">
        <v>111</v>
      </c>
      <c r="Q234" s="189" t="s">
        <v>112</v>
      </c>
      <c r="R234" s="189" t="s">
        <v>22</v>
      </c>
      <c r="S234" s="189" t="s">
        <v>120</v>
      </c>
      <c r="T234" s="189" t="s">
        <v>121</v>
      </c>
      <c r="U234" s="189" t="s">
        <v>562</v>
      </c>
      <c r="V234" s="189" t="s">
        <v>192</v>
      </c>
      <c r="W234" s="189" t="s">
        <v>124</v>
      </c>
      <c r="X234" s="189" t="s">
        <v>135</v>
      </c>
      <c r="Y234" s="189" t="s">
        <v>3064</v>
      </c>
      <c r="Z234" s="0" t="n">
        <v>2</v>
      </c>
      <c r="AA234" s="189" t="s">
        <v>3072</v>
      </c>
    </row>
    <row r="235" customFormat="false" ht="15" hidden="false" customHeight="true" outlineLevel="0" collapsed="false">
      <c r="A235" s="0" t="n">
        <v>48</v>
      </c>
      <c r="B235" s="188" t="n">
        <v>46042.9608682863</v>
      </c>
      <c r="C235" s="188" t="n">
        <v>46042.9729053234</v>
      </c>
      <c r="D235" s="189" t="s">
        <v>556</v>
      </c>
      <c r="E235" s="189" t="s">
        <v>557</v>
      </c>
      <c r="F235" s="189" t="s">
        <v>558</v>
      </c>
      <c r="G235" s="189" t="s">
        <v>559</v>
      </c>
      <c r="H235" s="188" t="n">
        <v>46029</v>
      </c>
      <c r="I235" s="189" t="s">
        <v>113</v>
      </c>
      <c r="J235" s="189" t="s">
        <v>128</v>
      </c>
      <c r="K235" s="189" t="s">
        <v>257</v>
      </c>
      <c r="L235" s="189" t="s">
        <v>246</v>
      </c>
      <c r="M235" s="189" t="s">
        <v>212</v>
      </c>
      <c r="N235" s="189" t="s">
        <v>560</v>
      </c>
      <c r="O235" s="189" t="s">
        <v>107</v>
      </c>
      <c r="P235" s="189" t="s">
        <v>111</v>
      </c>
      <c r="Q235" s="189" t="s">
        <v>112</v>
      </c>
      <c r="R235" s="189" t="s">
        <v>22</v>
      </c>
      <c r="S235" s="189" t="s">
        <v>120</v>
      </c>
      <c r="T235" s="189" t="s">
        <v>121</v>
      </c>
      <c r="U235" s="189" t="s">
        <v>562</v>
      </c>
      <c r="V235" s="189" t="s">
        <v>192</v>
      </c>
      <c r="W235" s="189" t="s">
        <v>124</v>
      </c>
      <c r="X235" s="189" t="s">
        <v>135</v>
      </c>
      <c r="Y235" s="189" t="s">
        <v>3066</v>
      </c>
      <c r="Z235" s="0" t="n">
        <v>1</v>
      </c>
      <c r="AA235" s="189" t="s">
        <v>3192</v>
      </c>
    </row>
    <row r="236" customFormat="false" ht="15" hidden="false" customHeight="true" outlineLevel="0" collapsed="false">
      <c r="A236" s="0" t="n">
        <v>48</v>
      </c>
      <c r="B236" s="188" t="n">
        <v>46042.9608682863</v>
      </c>
      <c r="C236" s="188" t="n">
        <v>46042.9729053234</v>
      </c>
      <c r="D236" s="189" t="s">
        <v>556</v>
      </c>
      <c r="E236" s="189" t="s">
        <v>557</v>
      </c>
      <c r="F236" s="189" t="s">
        <v>558</v>
      </c>
      <c r="G236" s="189" t="s">
        <v>559</v>
      </c>
      <c r="H236" s="188" t="n">
        <v>46029</v>
      </c>
      <c r="I236" s="189" t="s">
        <v>113</v>
      </c>
      <c r="J236" s="189" t="s">
        <v>128</v>
      </c>
      <c r="K236" s="189" t="s">
        <v>257</v>
      </c>
      <c r="L236" s="189" t="s">
        <v>246</v>
      </c>
      <c r="M236" s="189" t="s">
        <v>212</v>
      </c>
      <c r="N236" s="189" t="s">
        <v>560</v>
      </c>
      <c r="O236" s="189" t="s">
        <v>107</v>
      </c>
      <c r="P236" s="189" t="s">
        <v>111</v>
      </c>
      <c r="Q236" s="189" t="s">
        <v>112</v>
      </c>
      <c r="R236" s="189" t="s">
        <v>22</v>
      </c>
      <c r="S236" s="189" t="s">
        <v>120</v>
      </c>
      <c r="T236" s="189" t="s">
        <v>121</v>
      </c>
      <c r="U236" s="189" t="s">
        <v>562</v>
      </c>
      <c r="V236" s="189" t="s">
        <v>192</v>
      </c>
      <c r="W236" s="189" t="s">
        <v>124</v>
      </c>
      <c r="X236" s="189" t="s">
        <v>135</v>
      </c>
      <c r="Y236" s="189" t="s">
        <v>3069</v>
      </c>
      <c r="Z236" s="0" t="n">
        <v>1</v>
      </c>
      <c r="AA236" s="189" t="s">
        <v>3075</v>
      </c>
    </row>
    <row r="237" customFormat="false" ht="15" hidden="false" customHeight="true" outlineLevel="0" collapsed="false">
      <c r="A237" s="0" t="n">
        <v>49</v>
      </c>
      <c r="B237" s="188" t="n">
        <v>46048.4308335246</v>
      </c>
      <c r="C237" s="188" t="n">
        <v>46048.4452200987</v>
      </c>
      <c r="D237" s="189" t="s">
        <v>563</v>
      </c>
      <c r="E237" s="189" t="s">
        <v>564</v>
      </c>
      <c r="F237" s="189" t="s">
        <v>564</v>
      </c>
      <c r="G237" s="189" t="s">
        <v>565</v>
      </c>
      <c r="H237" s="188" t="n">
        <v>46035</v>
      </c>
      <c r="I237" s="189" t="s">
        <v>113</v>
      </c>
      <c r="J237" s="189" t="s">
        <v>108</v>
      </c>
      <c r="K237" s="189" t="s">
        <v>173</v>
      </c>
      <c r="L237" s="189" t="s">
        <v>184</v>
      </c>
      <c r="M237" s="189" t="s">
        <v>566</v>
      </c>
      <c r="N237" s="189" t="s">
        <v>567</v>
      </c>
      <c r="O237" s="189" t="s">
        <v>107</v>
      </c>
      <c r="P237" s="189" t="s">
        <v>111</v>
      </c>
      <c r="Q237" s="189" t="s">
        <v>145</v>
      </c>
      <c r="R237" s="189" t="s">
        <v>22</v>
      </c>
      <c r="S237" s="189" t="s">
        <v>152</v>
      </c>
      <c r="T237" s="189" t="s">
        <v>180</v>
      </c>
      <c r="U237" s="189" t="s">
        <v>122</v>
      </c>
      <c r="V237" s="189" t="s">
        <v>192</v>
      </c>
      <c r="W237" s="189" t="s">
        <v>124</v>
      </c>
      <c r="X237" s="189" t="s">
        <v>135</v>
      </c>
      <c r="Y237" s="189" t="s">
        <v>3064</v>
      </c>
      <c r="Z237" s="0" t="n">
        <v>1</v>
      </c>
      <c r="AA237" s="189" t="s">
        <v>3201</v>
      </c>
    </row>
    <row r="238" customFormat="false" ht="15" hidden="false" customHeight="true" outlineLevel="0" collapsed="false">
      <c r="A238" s="0" t="n">
        <v>49</v>
      </c>
      <c r="B238" s="188" t="n">
        <v>46048.4308335246</v>
      </c>
      <c r="C238" s="188" t="n">
        <v>46048.4452200987</v>
      </c>
      <c r="D238" s="189" t="s">
        <v>563</v>
      </c>
      <c r="E238" s="189" t="s">
        <v>564</v>
      </c>
      <c r="F238" s="189" t="s">
        <v>564</v>
      </c>
      <c r="G238" s="189" t="s">
        <v>565</v>
      </c>
      <c r="H238" s="188" t="n">
        <v>46035</v>
      </c>
      <c r="I238" s="189" t="s">
        <v>113</v>
      </c>
      <c r="J238" s="189" t="s">
        <v>108</v>
      </c>
      <c r="K238" s="189" t="s">
        <v>173</v>
      </c>
      <c r="L238" s="189" t="s">
        <v>184</v>
      </c>
      <c r="M238" s="189" t="s">
        <v>566</v>
      </c>
      <c r="N238" s="189" t="s">
        <v>567</v>
      </c>
      <c r="O238" s="189" t="s">
        <v>107</v>
      </c>
      <c r="P238" s="189" t="s">
        <v>111</v>
      </c>
      <c r="Q238" s="189" t="s">
        <v>145</v>
      </c>
      <c r="R238" s="189" t="s">
        <v>22</v>
      </c>
      <c r="S238" s="189" t="s">
        <v>152</v>
      </c>
      <c r="T238" s="189" t="s">
        <v>180</v>
      </c>
      <c r="U238" s="189" t="s">
        <v>122</v>
      </c>
      <c r="V238" s="189" t="s">
        <v>192</v>
      </c>
      <c r="W238" s="189" t="s">
        <v>124</v>
      </c>
      <c r="X238" s="189" t="s">
        <v>135</v>
      </c>
      <c r="Y238" s="189" t="s">
        <v>3064</v>
      </c>
      <c r="Z238" s="0" t="n">
        <v>2</v>
      </c>
      <c r="AA238" s="189" t="s">
        <v>3202</v>
      </c>
    </row>
    <row r="239" customFormat="false" ht="15" hidden="false" customHeight="true" outlineLevel="0" collapsed="false">
      <c r="A239" s="0" t="n">
        <v>49</v>
      </c>
      <c r="B239" s="188" t="n">
        <v>46048.4308335246</v>
      </c>
      <c r="C239" s="188" t="n">
        <v>46048.4452200987</v>
      </c>
      <c r="D239" s="189" t="s">
        <v>563</v>
      </c>
      <c r="E239" s="189" t="s">
        <v>564</v>
      </c>
      <c r="F239" s="189" t="s">
        <v>564</v>
      </c>
      <c r="G239" s="189" t="s">
        <v>565</v>
      </c>
      <c r="H239" s="188" t="n">
        <v>46035</v>
      </c>
      <c r="I239" s="189" t="s">
        <v>113</v>
      </c>
      <c r="J239" s="189" t="s">
        <v>108</v>
      </c>
      <c r="K239" s="189" t="s">
        <v>173</v>
      </c>
      <c r="L239" s="189" t="s">
        <v>184</v>
      </c>
      <c r="M239" s="189" t="s">
        <v>566</v>
      </c>
      <c r="N239" s="189" t="s">
        <v>567</v>
      </c>
      <c r="O239" s="189" t="s">
        <v>107</v>
      </c>
      <c r="P239" s="189" t="s">
        <v>111</v>
      </c>
      <c r="Q239" s="189" t="s">
        <v>145</v>
      </c>
      <c r="R239" s="189" t="s">
        <v>22</v>
      </c>
      <c r="S239" s="189" t="s">
        <v>152</v>
      </c>
      <c r="T239" s="189" t="s">
        <v>180</v>
      </c>
      <c r="U239" s="189" t="s">
        <v>122</v>
      </c>
      <c r="V239" s="189" t="s">
        <v>192</v>
      </c>
      <c r="W239" s="189" t="s">
        <v>124</v>
      </c>
      <c r="X239" s="189" t="s">
        <v>135</v>
      </c>
      <c r="Y239" s="189" t="s">
        <v>3064</v>
      </c>
      <c r="Z239" s="0" t="n">
        <v>3</v>
      </c>
      <c r="AA239" s="189" t="s">
        <v>3071</v>
      </c>
    </row>
    <row r="240" customFormat="false" ht="15" hidden="false" customHeight="true" outlineLevel="0" collapsed="false">
      <c r="A240" s="0" t="n">
        <v>49</v>
      </c>
      <c r="B240" s="188" t="n">
        <v>46048.4308335246</v>
      </c>
      <c r="C240" s="188" t="n">
        <v>46048.4452200987</v>
      </c>
      <c r="D240" s="189" t="s">
        <v>563</v>
      </c>
      <c r="E240" s="189" t="s">
        <v>564</v>
      </c>
      <c r="F240" s="189" t="s">
        <v>564</v>
      </c>
      <c r="G240" s="189" t="s">
        <v>565</v>
      </c>
      <c r="H240" s="188" t="n">
        <v>46035</v>
      </c>
      <c r="I240" s="189" t="s">
        <v>113</v>
      </c>
      <c r="J240" s="189" t="s">
        <v>108</v>
      </c>
      <c r="K240" s="189" t="s">
        <v>173</v>
      </c>
      <c r="L240" s="189" t="s">
        <v>184</v>
      </c>
      <c r="M240" s="189" t="s">
        <v>566</v>
      </c>
      <c r="N240" s="189" t="s">
        <v>567</v>
      </c>
      <c r="O240" s="189" t="s">
        <v>107</v>
      </c>
      <c r="P240" s="189" t="s">
        <v>111</v>
      </c>
      <c r="Q240" s="189" t="s">
        <v>145</v>
      </c>
      <c r="R240" s="189" t="s">
        <v>22</v>
      </c>
      <c r="S240" s="189" t="s">
        <v>152</v>
      </c>
      <c r="T240" s="189" t="s">
        <v>180</v>
      </c>
      <c r="U240" s="189" t="s">
        <v>122</v>
      </c>
      <c r="V240" s="189" t="s">
        <v>192</v>
      </c>
      <c r="W240" s="189" t="s">
        <v>124</v>
      </c>
      <c r="X240" s="189" t="s">
        <v>135</v>
      </c>
      <c r="Y240" s="189" t="s">
        <v>3066</v>
      </c>
      <c r="Z240" s="0" t="n">
        <v>1</v>
      </c>
      <c r="AA240" s="189" t="s">
        <v>122</v>
      </c>
    </row>
    <row r="241" customFormat="false" ht="15" hidden="false" customHeight="true" outlineLevel="0" collapsed="false">
      <c r="A241" s="0" t="n">
        <v>49</v>
      </c>
      <c r="B241" s="188" t="n">
        <v>46048.4308335246</v>
      </c>
      <c r="C241" s="188" t="n">
        <v>46048.4452200987</v>
      </c>
      <c r="D241" s="189" t="s">
        <v>563</v>
      </c>
      <c r="E241" s="189" t="s">
        <v>564</v>
      </c>
      <c r="F241" s="189" t="s">
        <v>564</v>
      </c>
      <c r="G241" s="189" t="s">
        <v>565</v>
      </c>
      <c r="H241" s="188" t="n">
        <v>46035</v>
      </c>
      <c r="I241" s="189" t="s">
        <v>113</v>
      </c>
      <c r="J241" s="189" t="s">
        <v>108</v>
      </c>
      <c r="K241" s="189" t="s">
        <v>173</v>
      </c>
      <c r="L241" s="189" t="s">
        <v>184</v>
      </c>
      <c r="M241" s="189" t="s">
        <v>566</v>
      </c>
      <c r="N241" s="189" t="s">
        <v>567</v>
      </c>
      <c r="O241" s="189" t="s">
        <v>107</v>
      </c>
      <c r="P241" s="189" t="s">
        <v>111</v>
      </c>
      <c r="Q241" s="189" t="s">
        <v>145</v>
      </c>
      <c r="R241" s="189" t="s">
        <v>22</v>
      </c>
      <c r="S241" s="189" t="s">
        <v>152</v>
      </c>
      <c r="T241" s="189" t="s">
        <v>180</v>
      </c>
      <c r="U241" s="189" t="s">
        <v>122</v>
      </c>
      <c r="V241" s="189" t="s">
        <v>192</v>
      </c>
      <c r="W241" s="189" t="s">
        <v>124</v>
      </c>
      <c r="X241" s="189" t="s">
        <v>135</v>
      </c>
      <c r="Y241" s="189" t="s">
        <v>3069</v>
      </c>
      <c r="Z241" s="0" t="n">
        <v>1</v>
      </c>
      <c r="AA241" s="189" t="s">
        <v>3203</v>
      </c>
    </row>
    <row r="242" customFormat="false" ht="15" hidden="false" customHeight="true" outlineLevel="0" collapsed="false">
      <c r="A242" s="0" t="n">
        <v>49</v>
      </c>
      <c r="B242" s="188" t="n">
        <v>46048.4308335246</v>
      </c>
      <c r="C242" s="188" t="n">
        <v>46048.4452200987</v>
      </c>
      <c r="D242" s="189" t="s">
        <v>563</v>
      </c>
      <c r="E242" s="189" t="s">
        <v>564</v>
      </c>
      <c r="F242" s="189" t="s">
        <v>564</v>
      </c>
      <c r="G242" s="189" t="s">
        <v>565</v>
      </c>
      <c r="H242" s="188" t="n">
        <v>46035</v>
      </c>
      <c r="I242" s="189" t="s">
        <v>113</v>
      </c>
      <c r="J242" s="189" t="s">
        <v>108</v>
      </c>
      <c r="K242" s="189" t="s">
        <v>173</v>
      </c>
      <c r="L242" s="189" t="s">
        <v>184</v>
      </c>
      <c r="M242" s="189" t="s">
        <v>566</v>
      </c>
      <c r="N242" s="189" t="s">
        <v>567</v>
      </c>
      <c r="O242" s="189" t="s">
        <v>107</v>
      </c>
      <c r="P242" s="189" t="s">
        <v>111</v>
      </c>
      <c r="Q242" s="189" t="s">
        <v>145</v>
      </c>
      <c r="R242" s="189" t="s">
        <v>22</v>
      </c>
      <c r="S242" s="189" t="s">
        <v>152</v>
      </c>
      <c r="T242" s="189" t="s">
        <v>180</v>
      </c>
      <c r="U242" s="189" t="s">
        <v>122</v>
      </c>
      <c r="V242" s="189" t="s">
        <v>192</v>
      </c>
      <c r="W242" s="189" t="s">
        <v>124</v>
      </c>
      <c r="X242" s="189" t="s">
        <v>135</v>
      </c>
      <c r="Y242" s="189" t="s">
        <v>3069</v>
      </c>
      <c r="Z242" s="0" t="n">
        <v>2</v>
      </c>
      <c r="AA242" s="189" t="s">
        <v>3152</v>
      </c>
    </row>
    <row r="243" customFormat="false" ht="15" hidden="false" customHeight="true" outlineLevel="0" collapsed="false">
      <c r="A243" s="0" t="n">
        <v>51</v>
      </c>
      <c r="B243" s="188" t="n">
        <v>46205.6690140307</v>
      </c>
      <c r="C243" s="188" t="n">
        <v>46205.6718959752</v>
      </c>
      <c r="D243" s="189" t="s">
        <v>574</v>
      </c>
      <c r="E243" s="189" t="s">
        <v>575</v>
      </c>
      <c r="F243" s="189" t="s">
        <v>575</v>
      </c>
      <c r="G243" s="189" t="s">
        <v>576</v>
      </c>
      <c r="H243" s="188" t="n">
        <v>46191</v>
      </c>
      <c r="I243" s="189" t="s">
        <v>577</v>
      </c>
      <c r="J243" s="189" t="s">
        <v>108</v>
      </c>
      <c r="K243" s="189" t="s">
        <v>173</v>
      </c>
      <c r="L243" s="189" t="s">
        <v>144</v>
      </c>
      <c r="M243" s="189" t="s">
        <v>578</v>
      </c>
      <c r="N243" s="189" t="s">
        <v>287</v>
      </c>
      <c r="O243" s="189" t="s">
        <v>107</v>
      </c>
      <c r="P243" s="189" t="s">
        <v>211</v>
      </c>
      <c r="Q243" s="189" t="s">
        <v>112</v>
      </c>
      <c r="R243" s="189" t="s">
        <v>22</v>
      </c>
      <c r="S243" s="189" t="s">
        <v>152</v>
      </c>
      <c r="T243" s="189" t="s">
        <v>121</v>
      </c>
      <c r="U243" s="189" t="s">
        <v>122</v>
      </c>
      <c r="V243" s="189" t="s">
        <v>123</v>
      </c>
      <c r="W243" s="189" t="s">
        <v>124</v>
      </c>
      <c r="X243" s="189" t="s">
        <v>176</v>
      </c>
      <c r="Y243" s="189" t="s">
        <v>3064</v>
      </c>
      <c r="Z243" s="0" t="n">
        <v>1</v>
      </c>
      <c r="AA243" s="189" t="s">
        <v>3086</v>
      </c>
    </row>
    <row r="244" customFormat="false" ht="15" hidden="false" customHeight="true" outlineLevel="0" collapsed="false">
      <c r="A244" s="0" t="n">
        <v>51</v>
      </c>
      <c r="B244" s="188" t="n">
        <v>46205.6690140307</v>
      </c>
      <c r="C244" s="188" t="n">
        <v>46205.6718959752</v>
      </c>
      <c r="D244" s="189" t="s">
        <v>574</v>
      </c>
      <c r="E244" s="189" t="s">
        <v>575</v>
      </c>
      <c r="F244" s="189" t="s">
        <v>575</v>
      </c>
      <c r="G244" s="189" t="s">
        <v>576</v>
      </c>
      <c r="H244" s="188" t="n">
        <v>46191</v>
      </c>
      <c r="I244" s="189" t="s">
        <v>577</v>
      </c>
      <c r="J244" s="189" t="s">
        <v>108</v>
      </c>
      <c r="K244" s="189" t="s">
        <v>173</v>
      </c>
      <c r="L244" s="189" t="s">
        <v>144</v>
      </c>
      <c r="M244" s="189" t="s">
        <v>578</v>
      </c>
      <c r="N244" s="189" t="s">
        <v>287</v>
      </c>
      <c r="O244" s="189" t="s">
        <v>107</v>
      </c>
      <c r="P244" s="189" t="s">
        <v>211</v>
      </c>
      <c r="Q244" s="189" t="s">
        <v>112</v>
      </c>
      <c r="R244" s="189" t="s">
        <v>22</v>
      </c>
      <c r="S244" s="189" t="s">
        <v>152</v>
      </c>
      <c r="T244" s="189" t="s">
        <v>121</v>
      </c>
      <c r="U244" s="189" t="s">
        <v>122</v>
      </c>
      <c r="V244" s="189" t="s">
        <v>123</v>
      </c>
      <c r="W244" s="189" t="s">
        <v>124</v>
      </c>
      <c r="X244" s="189" t="s">
        <v>176</v>
      </c>
      <c r="Y244" s="189" t="s">
        <v>3064</v>
      </c>
      <c r="Z244" s="0" t="n">
        <v>2</v>
      </c>
      <c r="AA244" s="189" t="s">
        <v>3204</v>
      </c>
    </row>
    <row r="245" customFormat="false" ht="15" hidden="false" customHeight="true" outlineLevel="0" collapsed="false">
      <c r="A245" s="0" t="n">
        <v>51</v>
      </c>
      <c r="B245" s="188" t="n">
        <v>46205.6690140307</v>
      </c>
      <c r="C245" s="188" t="n">
        <v>46205.6718959752</v>
      </c>
      <c r="D245" s="189" t="s">
        <v>574</v>
      </c>
      <c r="E245" s="189" t="s">
        <v>575</v>
      </c>
      <c r="F245" s="189" t="s">
        <v>575</v>
      </c>
      <c r="G245" s="189" t="s">
        <v>576</v>
      </c>
      <c r="H245" s="188" t="n">
        <v>46191</v>
      </c>
      <c r="I245" s="189" t="s">
        <v>577</v>
      </c>
      <c r="J245" s="189" t="s">
        <v>108</v>
      </c>
      <c r="K245" s="189" t="s">
        <v>173</v>
      </c>
      <c r="L245" s="189" t="s">
        <v>144</v>
      </c>
      <c r="M245" s="189" t="s">
        <v>578</v>
      </c>
      <c r="N245" s="189" t="s">
        <v>287</v>
      </c>
      <c r="O245" s="189" t="s">
        <v>107</v>
      </c>
      <c r="P245" s="189" t="s">
        <v>211</v>
      </c>
      <c r="Q245" s="189" t="s">
        <v>112</v>
      </c>
      <c r="R245" s="189" t="s">
        <v>22</v>
      </c>
      <c r="S245" s="189" t="s">
        <v>152</v>
      </c>
      <c r="T245" s="189" t="s">
        <v>121</v>
      </c>
      <c r="U245" s="189" t="s">
        <v>122</v>
      </c>
      <c r="V245" s="189" t="s">
        <v>123</v>
      </c>
      <c r="W245" s="189" t="s">
        <v>124</v>
      </c>
      <c r="X245" s="189" t="s">
        <v>176</v>
      </c>
      <c r="Y245" s="189" t="s">
        <v>3066</v>
      </c>
      <c r="Z245" s="0" t="n">
        <v>1</v>
      </c>
      <c r="AA245" s="189" t="s">
        <v>3205</v>
      </c>
    </row>
    <row r="246" customFormat="false" ht="15" hidden="false" customHeight="true" outlineLevel="0" collapsed="false">
      <c r="A246" s="0" t="n">
        <v>51</v>
      </c>
      <c r="B246" s="188" t="n">
        <v>46205.6690140307</v>
      </c>
      <c r="C246" s="188" t="n">
        <v>46205.6718959752</v>
      </c>
      <c r="D246" s="189" t="s">
        <v>574</v>
      </c>
      <c r="E246" s="189" t="s">
        <v>575</v>
      </c>
      <c r="F246" s="189" t="s">
        <v>575</v>
      </c>
      <c r="G246" s="189" t="s">
        <v>576</v>
      </c>
      <c r="H246" s="188" t="n">
        <v>46191</v>
      </c>
      <c r="I246" s="189" t="s">
        <v>577</v>
      </c>
      <c r="J246" s="189" t="s">
        <v>108</v>
      </c>
      <c r="K246" s="189" t="s">
        <v>173</v>
      </c>
      <c r="L246" s="189" t="s">
        <v>144</v>
      </c>
      <c r="M246" s="189" t="s">
        <v>578</v>
      </c>
      <c r="N246" s="189" t="s">
        <v>287</v>
      </c>
      <c r="O246" s="189" t="s">
        <v>107</v>
      </c>
      <c r="P246" s="189" t="s">
        <v>211</v>
      </c>
      <c r="Q246" s="189" t="s">
        <v>112</v>
      </c>
      <c r="R246" s="189" t="s">
        <v>22</v>
      </c>
      <c r="S246" s="189" t="s">
        <v>152</v>
      </c>
      <c r="T246" s="189" t="s">
        <v>121</v>
      </c>
      <c r="U246" s="189" t="s">
        <v>122</v>
      </c>
      <c r="V246" s="189" t="s">
        <v>123</v>
      </c>
      <c r="W246" s="189" t="s">
        <v>124</v>
      </c>
      <c r="X246" s="189" t="s">
        <v>176</v>
      </c>
      <c r="Y246" s="189" t="s">
        <v>3069</v>
      </c>
      <c r="Z246" s="0" t="n">
        <v>1</v>
      </c>
      <c r="AA246" s="189" t="s">
        <v>3206</v>
      </c>
    </row>
    <row r="247" customFormat="false" ht="15" hidden="false" customHeight="true" outlineLevel="0" collapsed="false">
      <c r="A247" s="0" t="n">
        <v>51</v>
      </c>
      <c r="B247" s="188" t="n">
        <v>46205.6690140307</v>
      </c>
      <c r="C247" s="188" t="n">
        <v>46205.6718959752</v>
      </c>
      <c r="D247" s="189" t="s">
        <v>574</v>
      </c>
      <c r="E247" s="189" t="s">
        <v>575</v>
      </c>
      <c r="F247" s="189" t="s">
        <v>575</v>
      </c>
      <c r="G247" s="189" t="s">
        <v>576</v>
      </c>
      <c r="H247" s="188" t="n">
        <v>46191</v>
      </c>
      <c r="I247" s="189" t="s">
        <v>577</v>
      </c>
      <c r="J247" s="189" t="s">
        <v>108</v>
      </c>
      <c r="K247" s="189" t="s">
        <v>173</v>
      </c>
      <c r="L247" s="189" t="s">
        <v>144</v>
      </c>
      <c r="M247" s="189" t="s">
        <v>578</v>
      </c>
      <c r="N247" s="189" t="s">
        <v>287</v>
      </c>
      <c r="O247" s="189" t="s">
        <v>107</v>
      </c>
      <c r="P247" s="189" t="s">
        <v>211</v>
      </c>
      <c r="Q247" s="189" t="s">
        <v>112</v>
      </c>
      <c r="R247" s="189" t="s">
        <v>22</v>
      </c>
      <c r="S247" s="189" t="s">
        <v>152</v>
      </c>
      <c r="T247" s="189" t="s">
        <v>121</v>
      </c>
      <c r="U247" s="189" t="s">
        <v>122</v>
      </c>
      <c r="V247" s="189" t="s">
        <v>123</v>
      </c>
      <c r="W247" s="189" t="s">
        <v>124</v>
      </c>
      <c r="X247" s="189" t="s">
        <v>176</v>
      </c>
      <c r="Y247" s="189" t="s">
        <v>3069</v>
      </c>
      <c r="Z247" s="0" t="n">
        <v>2</v>
      </c>
      <c r="AA247" s="189" t="s">
        <v>122</v>
      </c>
    </row>
    <row r="248" customFormat="false" ht="15" hidden="false" customHeight="true" outlineLevel="0" collapsed="false">
      <c r="A248" s="0" t="n">
        <v>52</v>
      </c>
      <c r="B248" s="188" t="n">
        <v>46110.325820436</v>
      </c>
      <c r="C248" s="188" t="n">
        <v>46110.3335287693</v>
      </c>
      <c r="D248" s="189" t="s">
        <v>582</v>
      </c>
      <c r="E248" s="189" t="s">
        <v>583</v>
      </c>
      <c r="F248" s="189" t="s">
        <v>584</v>
      </c>
      <c r="G248" s="189" t="s">
        <v>585</v>
      </c>
      <c r="H248" s="188" t="n">
        <v>46097</v>
      </c>
      <c r="I248" s="189" t="s">
        <v>113</v>
      </c>
      <c r="J248" s="189" t="s">
        <v>108</v>
      </c>
      <c r="K248" s="189" t="s">
        <v>232</v>
      </c>
      <c r="L248" s="189" t="s">
        <v>144</v>
      </c>
      <c r="M248" s="189" t="s">
        <v>130</v>
      </c>
      <c r="N248" s="189" t="s">
        <v>586</v>
      </c>
      <c r="O248" s="189" t="s">
        <v>107</v>
      </c>
      <c r="P248" s="189" t="s">
        <v>111</v>
      </c>
      <c r="Q248" s="189" t="s">
        <v>112</v>
      </c>
      <c r="R248" s="189" t="s">
        <v>22</v>
      </c>
      <c r="S248" s="189" t="s">
        <v>152</v>
      </c>
      <c r="T248" s="189" t="s">
        <v>590</v>
      </c>
      <c r="U248" s="189" t="s">
        <v>204</v>
      </c>
      <c r="V248" s="189" t="s">
        <v>192</v>
      </c>
      <c r="W248" s="189" t="s">
        <v>124</v>
      </c>
      <c r="X248" s="189" t="s">
        <v>298</v>
      </c>
      <c r="Y248" s="189" t="s">
        <v>3064</v>
      </c>
      <c r="Z248" s="0" t="n">
        <v>1</v>
      </c>
      <c r="AA248" s="189" t="s">
        <v>3123</v>
      </c>
    </row>
    <row r="249" customFormat="false" ht="15" hidden="false" customHeight="true" outlineLevel="0" collapsed="false">
      <c r="A249" s="0" t="n">
        <v>52</v>
      </c>
      <c r="B249" s="188" t="n">
        <v>46110.325820436</v>
      </c>
      <c r="C249" s="188" t="n">
        <v>46110.3335287693</v>
      </c>
      <c r="D249" s="189" t="s">
        <v>582</v>
      </c>
      <c r="E249" s="189" t="s">
        <v>583</v>
      </c>
      <c r="F249" s="189" t="s">
        <v>584</v>
      </c>
      <c r="G249" s="189" t="s">
        <v>585</v>
      </c>
      <c r="H249" s="188" t="n">
        <v>46097</v>
      </c>
      <c r="I249" s="189" t="s">
        <v>113</v>
      </c>
      <c r="J249" s="189" t="s">
        <v>108</v>
      </c>
      <c r="K249" s="189" t="s">
        <v>232</v>
      </c>
      <c r="L249" s="189" t="s">
        <v>144</v>
      </c>
      <c r="M249" s="189" t="s">
        <v>130</v>
      </c>
      <c r="N249" s="189" t="s">
        <v>586</v>
      </c>
      <c r="O249" s="189" t="s">
        <v>107</v>
      </c>
      <c r="P249" s="189" t="s">
        <v>111</v>
      </c>
      <c r="Q249" s="189" t="s">
        <v>112</v>
      </c>
      <c r="R249" s="189" t="s">
        <v>22</v>
      </c>
      <c r="S249" s="189" t="s">
        <v>152</v>
      </c>
      <c r="T249" s="189" t="s">
        <v>590</v>
      </c>
      <c r="U249" s="189" t="s">
        <v>204</v>
      </c>
      <c r="V249" s="189" t="s">
        <v>192</v>
      </c>
      <c r="W249" s="189" t="s">
        <v>124</v>
      </c>
      <c r="X249" s="189" t="s">
        <v>298</v>
      </c>
      <c r="Y249" s="189" t="s">
        <v>3064</v>
      </c>
      <c r="Z249" s="0" t="n">
        <v>2</v>
      </c>
      <c r="AA249" s="189" t="s">
        <v>3207</v>
      </c>
    </row>
    <row r="250" customFormat="false" ht="15" hidden="false" customHeight="true" outlineLevel="0" collapsed="false">
      <c r="A250" s="0" t="n">
        <v>52</v>
      </c>
      <c r="B250" s="188" t="n">
        <v>46110.325820436</v>
      </c>
      <c r="C250" s="188" t="n">
        <v>46110.3335287693</v>
      </c>
      <c r="D250" s="189" t="s">
        <v>582</v>
      </c>
      <c r="E250" s="189" t="s">
        <v>583</v>
      </c>
      <c r="F250" s="189" t="s">
        <v>584</v>
      </c>
      <c r="G250" s="189" t="s">
        <v>585</v>
      </c>
      <c r="H250" s="188" t="n">
        <v>46097</v>
      </c>
      <c r="I250" s="189" t="s">
        <v>113</v>
      </c>
      <c r="J250" s="189" t="s">
        <v>108</v>
      </c>
      <c r="K250" s="189" t="s">
        <v>232</v>
      </c>
      <c r="L250" s="189" t="s">
        <v>144</v>
      </c>
      <c r="M250" s="189" t="s">
        <v>130</v>
      </c>
      <c r="N250" s="189" t="s">
        <v>586</v>
      </c>
      <c r="O250" s="189" t="s">
        <v>107</v>
      </c>
      <c r="P250" s="189" t="s">
        <v>111</v>
      </c>
      <c r="Q250" s="189" t="s">
        <v>112</v>
      </c>
      <c r="R250" s="189" t="s">
        <v>22</v>
      </c>
      <c r="S250" s="189" t="s">
        <v>152</v>
      </c>
      <c r="T250" s="189" t="s">
        <v>590</v>
      </c>
      <c r="U250" s="189" t="s">
        <v>204</v>
      </c>
      <c r="V250" s="189" t="s">
        <v>192</v>
      </c>
      <c r="W250" s="189" t="s">
        <v>124</v>
      </c>
      <c r="X250" s="189" t="s">
        <v>298</v>
      </c>
      <c r="Y250" s="189" t="s">
        <v>3064</v>
      </c>
      <c r="Z250" s="0" t="n">
        <v>3</v>
      </c>
      <c r="AA250" s="189" t="s">
        <v>3208</v>
      </c>
    </row>
    <row r="251" customFormat="false" ht="15" hidden="false" customHeight="true" outlineLevel="0" collapsed="false">
      <c r="A251" s="0" t="n">
        <v>52</v>
      </c>
      <c r="B251" s="188" t="n">
        <v>46110.325820436</v>
      </c>
      <c r="C251" s="188" t="n">
        <v>46110.3335287693</v>
      </c>
      <c r="D251" s="189" t="s">
        <v>582</v>
      </c>
      <c r="E251" s="189" t="s">
        <v>583</v>
      </c>
      <c r="F251" s="189" t="s">
        <v>584</v>
      </c>
      <c r="G251" s="189" t="s">
        <v>585</v>
      </c>
      <c r="H251" s="188" t="n">
        <v>46097</v>
      </c>
      <c r="I251" s="189" t="s">
        <v>113</v>
      </c>
      <c r="J251" s="189" t="s">
        <v>108</v>
      </c>
      <c r="K251" s="189" t="s">
        <v>232</v>
      </c>
      <c r="L251" s="189" t="s">
        <v>144</v>
      </c>
      <c r="M251" s="189" t="s">
        <v>130</v>
      </c>
      <c r="N251" s="189" t="s">
        <v>586</v>
      </c>
      <c r="O251" s="189" t="s">
        <v>107</v>
      </c>
      <c r="P251" s="189" t="s">
        <v>111</v>
      </c>
      <c r="Q251" s="189" t="s">
        <v>112</v>
      </c>
      <c r="R251" s="189" t="s">
        <v>22</v>
      </c>
      <c r="S251" s="189" t="s">
        <v>152</v>
      </c>
      <c r="T251" s="189" t="s">
        <v>590</v>
      </c>
      <c r="U251" s="189" t="s">
        <v>204</v>
      </c>
      <c r="V251" s="189" t="s">
        <v>192</v>
      </c>
      <c r="W251" s="189" t="s">
        <v>124</v>
      </c>
      <c r="X251" s="189" t="s">
        <v>298</v>
      </c>
      <c r="Y251" s="189" t="s">
        <v>3066</v>
      </c>
      <c r="Z251" s="0" t="n">
        <v>1</v>
      </c>
      <c r="AA251" s="189" t="s">
        <v>3209</v>
      </c>
    </row>
    <row r="252" customFormat="false" ht="15" hidden="false" customHeight="true" outlineLevel="0" collapsed="false">
      <c r="A252" s="0" t="n">
        <v>52</v>
      </c>
      <c r="B252" s="188" t="n">
        <v>46110.325820436</v>
      </c>
      <c r="C252" s="188" t="n">
        <v>46110.3335287693</v>
      </c>
      <c r="D252" s="189" t="s">
        <v>582</v>
      </c>
      <c r="E252" s="189" t="s">
        <v>583</v>
      </c>
      <c r="F252" s="189" t="s">
        <v>584</v>
      </c>
      <c r="G252" s="189" t="s">
        <v>585</v>
      </c>
      <c r="H252" s="188" t="n">
        <v>46097</v>
      </c>
      <c r="I252" s="189" t="s">
        <v>113</v>
      </c>
      <c r="J252" s="189" t="s">
        <v>108</v>
      </c>
      <c r="K252" s="189" t="s">
        <v>232</v>
      </c>
      <c r="L252" s="189" t="s">
        <v>144</v>
      </c>
      <c r="M252" s="189" t="s">
        <v>130</v>
      </c>
      <c r="N252" s="189" t="s">
        <v>586</v>
      </c>
      <c r="O252" s="189" t="s">
        <v>107</v>
      </c>
      <c r="P252" s="189" t="s">
        <v>111</v>
      </c>
      <c r="Q252" s="189" t="s">
        <v>112</v>
      </c>
      <c r="R252" s="189" t="s">
        <v>22</v>
      </c>
      <c r="S252" s="189" t="s">
        <v>152</v>
      </c>
      <c r="T252" s="189" t="s">
        <v>590</v>
      </c>
      <c r="U252" s="189" t="s">
        <v>204</v>
      </c>
      <c r="V252" s="189" t="s">
        <v>192</v>
      </c>
      <c r="W252" s="189" t="s">
        <v>124</v>
      </c>
      <c r="X252" s="189" t="s">
        <v>298</v>
      </c>
      <c r="Y252" s="189" t="s">
        <v>3069</v>
      </c>
      <c r="Z252" s="0" t="n">
        <v>1</v>
      </c>
      <c r="AA252" s="189" t="s">
        <v>122</v>
      </c>
    </row>
    <row r="253" customFormat="false" ht="15" hidden="false" customHeight="true" outlineLevel="0" collapsed="false">
      <c r="A253" s="0" t="n">
        <v>52</v>
      </c>
      <c r="B253" s="188" t="n">
        <v>46110.325820436</v>
      </c>
      <c r="C253" s="188" t="n">
        <v>46110.3335287693</v>
      </c>
      <c r="D253" s="189" t="s">
        <v>582</v>
      </c>
      <c r="E253" s="189" t="s">
        <v>583</v>
      </c>
      <c r="F253" s="189" t="s">
        <v>584</v>
      </c>
      <c r="G253" s="189" t="s">
        <v>585</v>
      </c>
      <c r="H253" s="188" t="n">
        <v>46097</v>
      </c>
      <c r="I253" s="189" t="s">
        <v>113</v>
      </c>
      <c r="J253" s="189" t="s">
        <v>108</v>
      </c>
      <c r="K253" s="189" t="s">
        <v>232</v>
      </c>
      <c r="L253" s="189" t="s">
        <v>144</v>
      </c>
      <c r="M253" s="189" t="s">
        <v>130</v>
      </c>
      <c r="N253" s="189" t="s">
        <v>586</v>
      </c>
      <c r="O253" s="189" t="s">
        <v>107</v>
      </c>
      <c r="P253" s="189" t="s">
        <v>111</v>
      </c>
      <c r="Q253" s="189" t="s">
        <v>112</v>
      </c>
      <c r="R253" s="189" t="s">
        <v>22</v>
      </c>
      <c r="S253" s="189" t="s">
        <v>152</v>
      </c>
      <c r="T253" s="189" t="s">
        <v>590</v>
      </c>
      <c r="U253" s="189" t="s">
        <v>204</v>
      </c>
      <c r="V253" s="189" t="s">
        <v>192</v>
      </c>
      <c r="W253" s="189" t="s">
        <v>124</v>
      </c>
      <c r="X253" s="189" t="s">
        <v>298</v>
      </c>
      <c r="Y253" s="189" t="s">
        <v>3069</v>
      </c>
      <c r="Z253" s="0" t="n">
        <v>2</v>
      </c>
      <c r="AA253" s="189" t="s">
        <v>3210</v>
      </c>
    </row>
    <row r="254" customFormat="false" ht="15" hidden="false" customHeight="true" outlineLevel="0" collapsed="false">
      <c r="A254" s="0" t="n">
        <v>53</v>
      </c>
      <c r="B254" s="188" t="n">
        <v>46106.0477216452</v>
      </c>
      <c r="C254" s="188" t="n">
        <v>46106.0498397008</v>
      </c>
      <c r="D254" s="189" t="s">
        <v>591</v>
      </c>
      <c r="E254" s="189" t="s">
        <v>592</v>
      </c>
      <c r="F254" s="189" t="s">
        <v>592</v>
      </c>
      <c r="G254" s="189" t="s">
        <v>593</v>
      </c>
      <c r="H254" s="188" t="n">
        <v>46092</v>
      </c>
      <c r="I254" s="189" t="s">
        <v>113</v>
      </c>
      <c r="J254" s="189" t="s">
        <v>108</v>
      </c>
      <c r="K254" s="189" t="s">
        <v>257</v>
      </c>
      <c r="L254" s="189" t="s">
        <v>491</v>
      </c>
      <c r="M254" s="189" t="s">
        <v>594</v>
      </c>
      <c r="N254" s="189" t="s">
        <v>595</v>
      </c>
      <c r="O254" s="189" t="s">
        <v>107</v>
      </c>
      <c r="P254" s="189" t="s">
        <v>111</v>
      </c>
      <c r="Q254" s="189" t="s">
        <v>112</v>
      </c>
      <c r="R254" s="189" t="s">
        <v>24</v>
      </c>
      <c r="S254" s="189" t="s">
        <v>152</v>
      </c>
      <c r="T254" s="189" t="s">
        <v>121</v>
      </c>
      <c r="U254" s="189" t="s">
        <v>122</v>
      </c>
      <c r="V254" s="189" t="s">
        <v>123</v>
      </c>
      <c r="W254" s="189" t="s">
        <v>168</v>
      </c>
      <c r="X254" s="189" t="s">
        <v>448</v>
      </c>
      <c r="Y254" s="189" t="s">
        <v>3064</v>
      </c>
      <c r="Z254" s="0" t="n">
        <v>1</v>
      </c>
      <c r="AA254" s="189" t="s">
        <v>3175</v>
      </c>
    </row>
    <row r="255" customFormat="false" ht="15" hidden="false" customHeight="true" outlineLevel="0" collapsed="false">
      <c r="A255" s="0" t="n">
        <v>53</v>
      </c>
      <c r="B255" s="188" t="n">
        <v>46106.0477216452</v>
      </c>
      <c r="C255" s="188" t="n">
        <v>46106.0498397008</v>
      </c>
      <c r="D255" s="189" t="s">
        <v>591</v>
      </c>
      <c r="E255" s="189" t="s">
        <v>592</v>
      </c>
      <c r="F255" s="189" t="s">
        <v>592</v>
      </c>
      <c r="G255" s="189" t="s">
        <v>593</v>
      </c>
      <c r="H255" s="188" t="n">
        <v>46092</v>
      </c>
      <c r="I255" s="189" t="s">
        <v>113</v>
      </c>
      <c r="J255" s="189" t="s">
        <v>108</v>
      </c>
      <c r="K255" s="189" t="s">
        <v>257</v>
      </c>
      <c r="L255" s="189" t="s">
        <v>491</v>
      </c>
      <c r="M255" s="189" t="s">
        <v>594</v>
      </c>
      <c r="N255" s="189" t="s">
        <v>595</v>
      </c>
      <c r="O255" s="189" t="s">
        <v>107</v>
      </c>
      <c r="P255" s="189" t="s">
        <v>111</v>
      </c>
      <c r="Q255" s="189" t="s">
        <v>112</v>
      </c>
      <c r="R255" s="189" t="s">
        <v>24</v>
      </c>
      <c r="S255" s="189" t="s">
        <v>152</v>
      </c>
      <c r="T255" s="189" t="s">
        <v>121</v>
      </c>
      <c r="U255" s="189" t="s">
        <v>122</v>
      </c>
      <c r="V255" s="189" t="s">
        <v>123</v>
      </c>
      <c r="W255" s="189" t="s">
        <v>168</v>
      </c>
      <c r="X255" s="189" t="s">
        <v>448</v>
      </c>
      <c r="Y255" s="189" t="s">
        <v>3064</v>
      </c>
      <c r="Z255" s="0" t="n">
        <v>2</v>
      </c>
      <c r="AA255" s="189" t="s">
        <v>3189</v>
      </c>
    </row>
    <row r="256" customFormat="false" ht="15" hidden="false" customHeight="true" outlineLevel="0" collapsed="false">
      <c r="A256" s="0" t="n">
        <v>53</v>
      </c>
      <c r="B256" s="188" t="n">
        <v>46106.0477216452</v>
      </c>
      <c r="C256" s="188" t="n">
        <v>46106.0498397008</v>
      </c>
      <c r="D256" s="189" t="s">
        <v>591</v>
      </c>
      <c r="E256" s="189" t="s">
        <v>592</v>
      </c>
      <c r="F256" s="189" t="s">
        <v>592</v>
      </c>
      <c r="G256" s="189" t="s">
        <v>593</v>
      </c>
      <c r="H256" s="188" t="n">
        <v>46092</v>
      </c>
      <c r="I256" s="189" t="s">
        <v>113</v>
      </c>
      <c r="J256" s="189" t="s">
        <v>108</v>
      </c>
      <c r="K256" s="189" t="s">
        <v>257</v>
      </c>
      <c r="L256" s="189" t="s">
        <v>491</v>
      </c>
      <c r="M256" s="189" t="s">
        <v>594</v>
      </c>
      <c r="N256" s="189" t="s">
        <v>595</v>
      </c>
      <c r="O256" s="189" t="s">
        <v>107</v>
      </c>
      <c r="P256" s="189" t="s">
        <v>111</v>
      </c>
      <c r="Q256" s="189" t="s">
        <v>112</v>
      </c>
      <c r="R256" s="189" t="s">
        <v>24</v>
      </c>
      <c r="S256" s="189" t="s">
        <v>152</v>
      </c>
      <c r="T256" s="189" t="s">
        <v>121</v>
      </c>
      <c r="U256" s="189" t="s">
        <v>122</v>
      </c>
      <c r="V256" s="189" t="s">
        <v>123</v>
      </c>
      <c r="W256" s="189" t="s">
        <v>168</v>
      </c>
      <c r="X256" s="189" t="s">
        <v>448</v>
      </c>
      <c r="Y256" s="189" t="s">
        <v>3066</v>
      </c>
      <c r="Z256" s="0" t="n">
        <v>1</v>
      </c>
      <c r="AA256" s="189" t="s">
        <v>3176</v>
      </c>
    </row>
    <row r="257" customFormat="false" ht="15" hidden="false" customHeight="true" outlineLevel="0" collapsed="false">
      <c r="A257" s="0" t="n">
        <v>53</v>
      </c>
      <c r="B257" s="188" t="n">
        <v>46106.0477216452</v>
      </c>
      <c r="C257" s="188" t="n">
        <v>46106.0498397008</v>
      </c>
      <c r="D257" s="189" t="s">
        <v>591</v>
      </c>
      <c r="E257" s="189" t="s">
        <v>592</v>
      </c>
      <c r="F257" s="189" t="s">
        <v>592</v>
      </c>
      <c r="G257" s="189" t="s">
        <v>593</v>
      </c>
      <c r="H257" s="188" t="n">
        <v>46092</v>
      </c>
      <c r="I257" s="189" t="s">
        <v>113</v>
      </c>
      <c r="J257" s="189" t="s">
        <v>108</v>
      </c>
      <c r="K257" s="189" t="s">
        <v>257</v>
      </c>
      <c r="L257" s="189" t="s">
        <v>491</v>
      </c>
      <c r="M257" s="189" t="s">
        <v>594</v>
      </c>
      <c r="N257" s="189" t="s">
        <v>595</v>
      </c>
      <c r="O257" s="189" t="s">
        <v>107</v>
      </c>
      <c r="P257" s="189" t="s">
        <v>111</v>
      </c>
      <c r="Q257" s="189" t="s">
        <v>112</v>
      </c>
      <c r="R257" s="189" t="s">
        <v>24</v>
      </c>
      <c r="S257" s="189" t="s">
        <v>152</v>
      </c>
      <c r="T257" s="189" t="s">
        <v>121</v>
      </c>
      <c r="U257" s="189" t="s">
        <v>122</v>
      </c>
      <c r="V257" s="189" t="s">
        <v>123</v>
      </c>
      <c r="W257" s="189" t="s">
        <v>168</v>
      </c>
      <c r="X257" s="189" t="s">
        <v>448</v>
      </c>
      <c r="Y257" s="189" t="s">
        <v>3066</v>
      </c>
      <c r="Z257" s="0" t="n">
        <v>2</v>
      </c>
      <c r="AA257" s="189" t="s">
        <v>3177</v>
      </c>
    </row>
    <row r="258" customFormat="false" ht="15" hidden="false" customHeight="true" outlineLevel="0" collapsed="false">
      <c r="A258" s="0" t="n">
        <v>53</v>
      </c>
      <c r="B258" s="188" t="n">
        <v>46106.0477216452</v>
      </c>
      <c r="C258" s="188" t="n">
        <v>46106.0498397008</v>
      </c>
      <c r="D258" s="189" t="s">
        <v>591</v>
      </c>
      <c r="E258" s="189" t="s">
        <v>592</v>
      </c>
      <c r="F258" s="189" t="s">
        <v>592</v>
      </c>
      <c r="G258" s="189" t="s">
        <v>593</v>
      </c>
      <c r="H258" s="188" t="n">
        <v>46092</v>
      </c>
      <c r="I258" s="189" t="s">
        <v>113</v>
      </c>
      <c r="J258" s="189" t="s">
        <v>108</v>
      </c>
      <c r="K258" s="189" t="s">
        <v>257</v>
      </c>
      <c r="L258" s="189" t="s">
        <v>491</v>
      </c>
      <c r="M258" s="189" t="s">
        <v>594</v>
      </c>
      <c r="N258" s="189" t="s">
        <v>595</v>
      </c>
      <c r="O258" s="189" t="s">
        <v>107</v>
      </c>
      <c r="P258" s="189" t="s">
        <v>111</v>
      </c>
      <c r="Q258" s="189" t="s">
        <v>112</v>
      </c>
      <c r="R258" s="189" t="s">
        <v>24</v>
      </c>
      <c r="S258" s="189" t="s">
        <v>152</v>
      </c>
      <c r="T258" s="189" t="s">
        <v>121</v>
      </c>
      <c r="U258" s="189" t="s">
        <v>122</v>
      </c>
      <c r="V258" s="189" t="s">
        <v>123</v>
      </c>
      <c r="W258" s="189" t="s">
        <v>168</v>
      </c>
      <c r="X258" s="189" t="s">
        <v>448</v>
      </c>
      <c r="Y258" s="189" t="s">
        <v>3069</v>
      </c>
      <c r="Z258" s="0" t="n">
        <v>1</v>
      </c>
      <c r="AA258" s="189" t="s">
        <v>3178</v>
      </c>
    </row>
    <row r="259" customFormat="false" ht="15" hidden="false" customHeight="true" outlineLevel="0" collapsed="false">
      <c r="A259" s="0" t="n">
        <v>53</v>
      </c>
      <c r="B259" s="188" t="n">
        <v>46106.0477216452</v>
      </c>
      <c r="C259" s="188" t="n">
        <v>46106.0498397008</v>
      </c>
      <c r="D259" s="189" t="s">
        <v>591</v>
      </c>
      <c r="E259" s="189" t="s">
        <v>592</v>
      </c>
      <c r="F259" s="189" t="s">
        <v>592</v>
      </c>
      <c r="G259" s="189" t="s">
        <v>593</v>
      </c>
      <c r="H259" s="188" t="n">
        <v>46092</v>
      </c>
      <c r="I259" s="189" t="s">
        <v>113</v>
      </c>
      <c r="J259" s="189" t="s">
        <v>108</v>
      </c>
      <c r="K259" s="189" t="s">
        <v>257</v>
      </c>
      <c r="L259" s="189" t="s">
        <v>491</v>
      </c>
      <c r="M259" s="189" t="s">
        <v>594</v>
      </c>
      <c r="N259" s="189" t="s">
        <v>595</v>
      </c>
      <c r="O259" s="189" t="s">
        <v>107</v>
      </c>
      <c r="P259" s="189" t="s">
        <v>111</v>
      </c>
      <c r="Q259" s="189" t="s">
        <v>112</v>
      </c>
      <c r="R259" s="189" t="s">
        <v>24</v>
      </c>
      <c r="S259" s="189" t="s">
        <v>152</v>
      </c>
      <c r="T259" s="189" t="s">
        <v>121</v>
      </c>
      <c r="U259" s="189" t="s">
        <v>122</v>
      </c>
      <c r="V259" s="189" t="s">
        <v>123</v>
      </c>
      <c r="W259" s="189" t="s">
        <v>168</v>
      </c>
      <c r="X259" s="189" t="s">
        <v>448</v>
      </c>
      <c r="Y259" s="189" t="s">
        <v>3069</v>
      </c>
      <c r="Z259" s="0" t="n">
        <v>2</v>
      </c>
      <c r="AA259" s="189" t="s">
        <v>3190</v>
      </c>
    </row>
    <row r="260" customFormat="false" ht="15" hidden="false" customHeight="true" outlineLevel="0" collapsed="false">
      <c r="A260" s="0" t="n">
        <v>54</v>
      </c>
      <c r="B260" s="188" t="n">
        <v>46203.3733147918</v>
      </c>
      <c r="C260" s="188" t="n">
        <v>46203.3911504399</v>
      </c>
      <c r="D260" s="189" t="s">
        <v>598</v>
      </c>
      <c r="E260" s="189" t="s">
        <v>599</v>
      </c>
      <c r="F260" s="189" t="s">
        <v>599</v>
      </c>
      <c r="G260" s="189" t="s">
        <v>600</v>
      </c>
      <c r="H260" s="188" t="n">
        <v>46199</v>
      </c>
      <c r="I260" s="189" t="s">
        <v>551</v>
      </c>
      <c r="J260" s="189" t="s">
        <v>108</v>
      </c>
      <c r="K260" s="189" t="s">
        <v>196</v>
      </c>
      <c r="L260" s="189" t="s">
        <v>110</v>
      </c>
      <c r="M260" s="189" t="s">
        <v>234</v>
      </c>
      <c r="N260" s="189" t="s">
        <v>111</v>
      </c>
      <c r="O260" s="189" t="s">
        <v>157</v>
      </c>
      <c r="P260" s="189" t="s">
        <v>131</v>
      </c>
      <c r="Q260" s="189" t="s">
        <v>247</v>
      </c>
      <c r="R260" s="189" t="s">
        <v>22</v>
      </c>
      <c r="S260" s="189" t="s">
        <v>227</v>
      </c>
      <c r="T260" s="189" t="s">
        <v>352</v>
      </c>
      <c r="V260" s="189" t="s">
        <v>123</v>
      </c>
      <c r="W260" s="189" t="s">
        <v>124</v>
      </c>
      <c r="X260" s="189" t="s">
        <v>116</v>
      </c>
      <c r="Y260" s="189" t="s">
        <v>3064</v>
      </c>
      <c r="Z260" s="0" t="n">
        <v>1</v>
      </c>
      <c r="AA260" s="189" t="s">
        <v>3139</v>
      </c>
    </row>
    <row r="261" customFormat="false" ht="15" hidden="false" customHeight="true" outlineLevel="0" collapsed="false">
      <c r="A261" s="0" t="n">
        <v>54</v>
      </c>
      <c r="B261" s="188" t="n">
        <v>46203.3733147918</v>
      </c>
      <c r="C261" s="188" t="n">
        <v>46203.3911504399</v>
      </c>
      <c r="D261" s="189" t="s">
        <v>598</v>
      </c>
      <c r="E261" s="189" t="s">
        <v>599</v>
      </c>
      <c r="F261" s="189" t="s">
        <v>599</v>
      </c>
      <c r="G261" s="189" t="s">
        <v>600</v>
      </c>
      <c r="H261" s="188" t="n">
        <v>46199</v>
      </c>
      <c r="I261" s="189" t="s">
        <v>551</v>
      </c>
      <c r="J261" s="189" t="s">
        <v>108</v>
      </c>
      <c r="K261" s="189" t="s">
        <v>196</v>
      </c>
      <c r="L261" s="189" t="s">
        <v>110</v>
      </c>
      <c r="M261" s="189" t="s">
        <v>234</v>
      </c>
      <c r="N261" s="189" t="s">
        <v>111</v>
      </c>
      <c r="O261" s="189" t="s">
        <v>157</v>
      </c>
      <c r="P261" s="189" t="s">
        <v>131</v>
      </c>
      <c r="Q261" s="189" t="s">
        <v>247</v>
      </c>
      <c r="R261" s="189" t="s">
        <v>22</v>
      </c>
      <c r="S261" s="189" t="s">
        <v>227</v>
      </c>
      <c r="T261" s="189" t="s">
        <v>352</v>
      </c>
      <c r="V261" s="189" t="s">
        <v>123</v>
      </c>
      <c r="W261" s="189" t="s">
        <v>124</v>
      </c>
      <c r="X261" s="189" t="s">
        <v>116</v>
      </c>
      <c r="Y261" s="189" t="s">
        <v>3064</v>
      </c>
      <c r="Z261" s="0" t="n">
        <v>2</v>
      </c>
      <c r="AA261" s="189" t="s">
        <v>3065</v>
      </c>
    </row>
    <row r="262" customFormat="false" ht="15" hidden="false" customHeight="true" outlineLevel="0" collapsed="false">
      <c r="A262" s="0" t="n">
        <v>54</v>
      </c>
      <c r="B262" s="188" t="n">
        <v>46203.3733147918</v>
      </c>
      <c r="C262" s="188" t="n">
        <v>46203.3911504399</v>
      </c>
      <c r="D262" s="189" t="s">
        <v>598</v>
      </c>
      <c r="E262" s="189" t="s">
        <v>599</v>
      </c>
      <c r="F262" s="189" t="s">
        <v>599</v>
      </c>
      <c r="G262" s="189" t="s">
        <v>600</v>
      </c>
      <c r="H262" s="188" t="n">
        <v>46199</v>
      </c>
      <c r="I262" s="189" t="s">
        <v>551</v>
      </c>
      <c r="J262" s="189" t="s">
        <v>108</v>
      </c>
      <c r="K262" s="189" t="s">
        <v>196</v>
      </c>
      <c r="L262" s="189" t="s">
        <v>110</v>
      </c>
      <c r="M262" s="189" t="s">
        <v>234</v>
      </c>
      <c r="N262" s="189" t="s">
        <v>111</v>
      </c>
      <c r="O262" s="189" t="s">
        <v>157</v>
      </c>
      <c r="P262" s="189" t="s">
        <v>131</v>
      </c>
      <c r="Q262" s="189" t="s">
        <v>247</v>
      </c>
      <c r="R262" s="189" t="s">
        <v>22</v>
      </c>
      <c r="S262" s="189" t="s">
        <v>227</v>
      </c>
      <c r="T262" s="189" t="s">
        <v>352</v>
      </c>
      <c r="V262" s="189" t="s">
        <v>123</v>
      </c>
      <c r="W262" s="189" t="s">
        <v>124</v>
      </c>
      <c r="X262" s="189" t="s">
        <v>116</v>
      </c>
      <c r="Y262" s="189" t="s">
        <v>3064</v>
      </c>
      <c r="Z262" s="0" t="n">
        <v>3</v>
      </c>
      <c r="AA262" s="189" t="s">
        <v>3081</v>
      </c>
    </row>
    <row r="263" customFormat="false" ht="15" hidden="false" customHeight="true" outlineLevel="0" collapsed="false">
      <c r="A263" s="0" t="n">
        <v>54</v>
      </c>
      <c r="B263" s="188" t="n">
        <v>46203.3733147918</v>
      </c>
      <c r="C263" s="188" t="n">
        <v>46203.3911504399</v>
      </c>
      <c r="D263" s="189" t="s">
        <v>598</v>
      </c>
      <c r="E263" s="189" t="s">
        <v>599</v>
      </c>
      <c r="F263" s="189" t="s">
        <v>599</v>
      </c>
      <c r="G263" s="189" t="s">
        <v>600</v>
      </c>
      <c r="H263" s="188" t="n">
        <v>46199</v>
      </c>
      <c r="I263" s="189" t="s">
        <v>551</v>
      </c>
      <c r="J263" s="189" t="s">
        <v>108</v>
      </c>
      <c r="K263" s="189" t="s">
        <v>196</v>
      </c>
      <c r="L263" s="189" t="s">
        <v>110</v>
      </c>
      <c r="M263" s="189" t="s">
        <v>234</v>
      </c>
      <c r="N263" s="189" t="s">
        <v>111</v>
      </c>
      <c r="O263" s="189" t="s">
        <v>157</v>
      </c>
      <c r="P263" s="189" t="s">
        <v>131</v>
      </c>
      <c r="Q263" s="189" t="s">
        <v>247</v>
      </c>
      <c r="R263" s="189" t="s">
        <v>22</v>
      </c>
      <c r="S263" s="189" t="s">
        <v>227</v>
      </c>
      <c r="T263" s="189" t="s">
        <v>352</v>
      </c>
      <c r="V263" s="189" t="s">
        <v>123</v>
      </c>
      <c r="W263" s="189" t="s">
        <v>124</v>
      </c>
      <c r="X263" s="189" t="s">
        <v>116</v>
      </c>
      <c r="Y263" s="189" t="s">
        <v>3066</v>
      </c>
      <c r="Z263" s="0" t="n">
        <v>1</v>
      </c>
      <c r="AA263" s="189" t="s">
        <v>3082</v>
      </c>
    </row>
    <row r="264" customFormat="false" ht="15" hidden="false" customHeight="true" outlineLevel="0" collapsed="false">
      <c r="A264" s="0" t="n">
        <v>54</v>
      </c>
      <c r="B264" s="188" t="n">
        <v>46203.3733147918</v>
      </c>
      <c r="C264" s="188" t="n">
        <v>46203.3911504399</v>
      </c>
      <c r="D264" s="189" t="s">
        <v>598</v>
      </c>
      <c r="E264" s="189" t="s">
        <v>599</v>
      </c>
      <c r="F264" s="189" t="s">
        <v>599</v>
      </c>
      <c r="G264" s="189" t="s">
        <v>600</v>
      </c>
      <c r="H264" s="188" t="n">
        <v>46199</v>
      </c>
      <c r="I264" s="189" t="s">
        <v>551</v>
      </c>
      <c r="J264" s="189" t="s">
        <v>108</v>
      </c>
      <c r="K264" s="189" t="s">
        <v>196</v>
      </c>
      <c r="L264" s="189" t="s">
        <v>110</v>
      </c>
      <c r="M264" s="189" t="s">
        <v>234</v>
      </c>
      <c r="N264" s="189" t="s">
        <v>111</v>
      </c>
      <c r="O264" s="189" t="s">
        <v>157</v>
      </c>
      <c r="P264" s="189" t="s">
        <v>131</v>
      </c>
      <c r="Q264" s="189" t="s">
        <v>247</v>
      </c>
      <c r="R264" s="189" t="s">
        <v>22</v>
      </c>
      <c r="S264" s="189" t="s">
        <v>227</v>
      </c>
      <c r="T264" s="189" t="s">
        <v>352</v>
      </c>
      <c r="V264" s="189" t="s">
        <v>123</v>
      </c>
      <c r="W264" s="189" t="s">
        <v>124</v>
      </c>
      <c r="X264" s="189" t="s">
        <v>116</v>
      </c>
      <c r="Y264" s="189" t="s">
        <v>3069</v>
      </c>
      <c r="Z264" s="0" t="n">
        <v>1</v>
      </c>
      <c r="AA264" s="189" t="s">
        <v>122</v>
      </c>
    </row>
    <row r="265" customFormat="false" ht="15" hidden="false" customHeight="true" outlineLevel="0" collapsed="false">
      <c r="A265" s="0" t="n">
        <v>55</v>
      </c>
      <c r="B265" s="188" t="n">
        <v>46147.1828762015</v>
      </c>
      <c r="C265" s="188" t="n">
        <v>46147.1863021274</v>
      </c>
      <c r="D265" s="189" t="s">
        <v>603</v>
      </c>
      <c r="E265" s="189" t="s">
        <v>604</v>
      </c>
      <c r="F265" s="189" t="s">
        <v>604</v>
      </c>
      <c r="G265" s="189" t="s">
        <v>605</v>
      </c>
      <c r="H265" s="188" t="n">
        <v>46132</v>
      </c>
      <c r="I265" s="189" t="s">
        <v>113</v>
      </c>
      <c r="J265" s="189" t="s">
        <v>295</v>
      </c>
      <c r="K265" s="189" t="s">
        <v>462</v>
      </c>
      <c r="L265" s="189" t="s">
        <v>431</v>
      </c>
      <c r="M265" s="189" t="s">
        <v>594</v>
      </c>
      <c r="N265" s="189" t="s">
        <v>606</v>
      </c>
      <c r="O265" s="189" t="s">
        <v>244</v>
      </c>
      <c r="P265" s="189" t="s">
        <v>390</v>
      </c>
      <c r="Q265" s="189" t="s">
        <v>112</v>
      </c>
      <c r="R265" s="189" t="s">
        <v>22</v>
      </c>
      <c r="S265" s="189" t="s">
        <v>152</v>
      </c>
      <c r="T265" s="189" t="s">
        <v>121</v>
      </c>
      <c r="U265" s="189" t="s">
        <v>122</v>
      </c>
      <c r="V265" s="189" t="s">
        <v>123</v>
      </c>
      <c r="W265" s="189" t="s">
        <v>139</v>
      </c>
      <c r="X265" s="189" t="s">
        <v>116</v>
      </c>
      <c r="Y265" s="189" t="s">
        <v>3064</v>
      </c>
      <c r="Z265" s="0" t="n">
        <v>1</v>
      </c>
      <c r="AA265" s="189" t="s">
        <v>3065</v>
      </c>
    </row>
    <row r="266" customFormat="false" ht="15" hidden="false" customHeight="true" outlineLevel="0" collapsed="false">
      <c r="A266" s="0" t="n">
        <v>55</v>
      </c>
      <c r="B266" s="188" t="n">
        <v>46147.1828762015</v>
      </c>
      <c r="C266" s="188" t="n">
        <v>46147.1863021274</v>
      </c>
      <c r="D266" s="189" t="s">
        <v>603</v>
      </c>
      <c r="E266" s="189" t="s">
        <v>604</v>
      </c>
      <c r="F266" s="189" t="s">
        <v>604</v>
      </c>
      <c r="G266" s="189" t="s">
        <v>605</v>
      </c>
      <c r="H266" s="188" t="n">
        <v>46132</v>
      </c>
      <c r="I266" s="189" t="s">
        <v>113</v>
      </c>
      <c r="J266" s="189" t="s">
        <v>295</v>
      </c>
      <c r="K266" s="189" t="s">
        <v>462</v>
      </c>
      <c r="L266" s="189" t="s">
        <v>431</v>
      </c>
      <c r="M266" s="189" t="s">
        <v>594</v>
      </c>
      <c r="N266" s="189" t="s">
        <v>606</v>
      </c>
      <c r="O266" s="189" t="s">
        <v>244</v>
      </c>
      <c r="P266" s="189" t="s">
        <v>390</v>
      </c>
      <c r="Q266" s="189" t="s">
        <v>112</v>
      </c>
      <c r="R266" s="189" t="s">
        <v>22</v>
      </c>
      <c r="S266" s="189" t="s">
        <v>152</v>
      </c>
      <c r="T266" s="189" t="s">
        <v>121</v>
      </c>
      <c r="U266" s="189" t="s">
        <v>122</v>
      </c>
      <c r="V266" s="189" t="s">
        <v>123</v>
      </c>
      <c r="W266" s="189" t="s">
        <v>139</v>
      </c>
      <c r="X266" s="189" t="s">
        <v>116</v>
      </c>
      <c r="Y266" s="189" t="s">
        <v>3064</v>
      </c>
      <c r="Z266" s="0" t="n">
        <v>2</v>
      </c>
      <c r="AA266" s="189" t="s">
        <v>3107</v>
      </c>
    </row>
    <row r="267" customFormat="false" ht="15" hidden="false" customHeight="true" outlineLevel="0" collapsed="false">
      <c r="A267" s="0" t="n">
        <v>55</v>
      </c>
      <c r="B267" s="188" t="n">
        <v>46147.1828762015</v>
      </c>
      <c r="C267" s="188" t="n">
        <v>46147.1863021274</v>
      </c>
      <c r="D267" s="189" t="s">
        <v>603</v>
      </c>
      <c r="E267" s="189" t="s">
        <v>604</v>
      </c>
      <c r="F267" s="189" t="s">
        <v>604</v>
      </c>
      <c r="G267" s="189" t="s">
        <v>605</v>
      </c>
      <c r="H267" s="188" t="n">
        <v>46132</v>
      </c>
      <c r="I267" s="189" t="s">
        <v>113</v>
      </c>
      <c r="J267" s="189" t="s">
        <v>295</v>
      </c>
      <c r="K267" s="189" t="s">
        <v>462</v>
      </c>
      <c r="L267" s="189" t="s">
        <v>431</v>
      </c>
      <c r="M267" s="189" t="s">
        <v>594</v>
      </c>
      <c r="N267" s="189" t="s">
        <v>606</v>
      </c>
      <c r="O267" s="189" t="s">
        <v>244</v>
      </c>
      <c r="P267" s="189" t="s">
        <v>390</v>
      </c>
      <c r="Q267" s="189" t="s">
        <v>112</v>
      </c>
      <c r="R267" s="189" t="s">
        <v>22</v>
      </c>
      <c r="S267" s="189" t="s">
        <v>152</v>
      </c>
      <c r="T267" s="189" t="s">
        <v>121</v>
      </c>
      <c r="U267" s="189" t="s">
        <v>122</v>
      </c>
      <c r="V267" s="189" t="s">
        <v>123</v>
      </c>
      <c r="W267" s="189" t="s">
        <v>139</v>
      </c>
      <c r="X267" s="189" t="s">
        <v>116</v>
      </c>
      <c r="Y267" s="189" t="s">
        <v>3064</v>
      </c>
      <c r="Z267" s="0" t="n">
        <v>3</v>
      </c>
      <c r="AA267" s="189" t="s">
        <v>3081</v>
      </c>
    </row>
    <row r="268" customFormat="false" ht="15" hidden="false" customHeight="true" outlineLevel="0" collapsed="false">
      <c r="A268" s="0" t="n">
        <v>55</v>
      </c>
      <c r="B268" s="188" t="n">
        <v>46147.1828762015</v>
      </c>
      <c r="C268" s="188" t="n">
        <v>46147.1863021274</v>
      </c>
      <c r="D268" s="189" t="s">
        <v>603</v>
      </c>
      <c r="E268" s="189" t="s">
        <v>604</v>
      </c>
      <c r="F268" s="189" t="s">
        <v>604</v>
      </c>
      <c r="G268" s="189" t="s">
        <v>605</v>
      </c>
      <c r="H268" s="188" t="n">
        <v>46132</v>
      </c>
      <c r="I268" s="189" t="s">
        <v>113</v>
      </c>
      <c r="J268" s="189" t="s">
        <v>295</v>
      </c>
      <c r="K268" s="189" t="s">
        <v>462</v>
      </c>
      <c r="L268" s="189" t="s">
        <v>431</v>
      </c>
      <c r="M268" s="189" t="s">
        <v>594</v>
      </c>
      <c r="N268" s="189" t="s">
        <v>606</v>
      </c>
      <c r="O268" s="189" t="s">
        <v>244</v>
      </c>
      <c r="P268" s="189" t="s">
        <v>390</v>
      </c>
      <c r="Q268" s="189" t="s">
        <v>112</v>
      </c>
      <c r="R268" s="189" t="s">
        <v>22</v>
      </c>
      <c r="S268" s="189" t="s">
        <v>152</v>
      </c>
      <c r="T268" s="189" t="s">
        <v>121</v>
      </c>
      <c r="U268" s="189" t="s">
        <v>122</v>
      </c>
      <c r="V268" s="189" t="s">
        <v>123</v>
      </c>
      <c r="W268" s="189" t="s">
        <v>139</v>
      </c>
      <c r="X268" s="189" t="s">
        <v>116</v>
      </c>
      <c r="Y268" s="189" t="s">
        <v>3066</v>
      </c>
      <c r="Z268" s="0" t="n">
        <v>1</v>
      </c>
      <c r="AA268" s="189" t="s">
        <v>3211</v>
      </c>
    </row>
    <row r="269" customFormat="false" ht="15" hidden="false" customHeight="true" outlineLevel="0" collapsed="false">
      <c r="A269" s="0" t="n">
        <v>55</v>
      </c>
      <c r="B269" s="188" t="n">
        <v>46147.1828762015</v>
      </c>
      <c r="C269" s="188" t="n">
        <v>46147.1863021274</v>
      </c>
      <c r="D269" s="189" t="s">
        <v>603</v>
      </c>
      <c r="E269" s="189" t="s">
        <v>604</v>
      </c>
      <c r="F269" s="189" t="s">
        <v>604</v>
      </c>
      <c r="G269" s="189" t="s">
        <v>605</v>
      </c>
      <c r="H269" s="188" t="n">
        <v>46132</v>
      </c>
      <c r="I269" s="189" t="s">
        <v>113</v>
      </c>
      <c r="J269" s="189" t="s">
        <v>295</v>
      </c>
      <c r="K269" s="189" t="s">
        <v>462</v>
      </c>
      <c r="L269" s="189" t="s">
        <v>431</v>
      </c>
      <c r="M269" s="189" t="s">
        <v>594</v>
      </c>
      <c r="N269" s="189" t="s">
        <v>606</v>
      </c>
      <c r="O269" s="189" t="s">
        <v>244</v>
      </c>
      <c r="P269" s="189" t="s">
        <v>390</v>
      </c>
      <c r="Q269" s="189" t="s">
        <v>112</v>
      </c>
      <c r="R269" s="189" t="s">
        <v>22</v>
      </c>
      <c r="S269" s="189" t="s">
        <v>152</v>
      </c>
      <c r="T269" s="189" t="s">
        <v>121</v>
      </c>
      <c r="U269" s="189" t="s">
        <v>122</v>
      </c>
      <c r="V269" s="189" t="s">
        <v>123</v>
      </c>
      <c r="W269" s="189" t="s">
        <v>139</v>
      </c>
      <c r="X269" s="189" t="s">
        <v>116</v>
      </c>
      <c r="Y269" s="189" t="s">
        <v>3066</v>
      </c>
      <c r="Z269" s="0" t="n">
        <v>2</v>
      </c>
      <c r="AA269" s="189" t="s">
        <v>122</v>
      </c>
    </row>
    <row r="270" customFormat="false" ht="15" hidden="false" customHeight="true" outlineLevel="0" collapsed="false">
      <c r="A270" s="0" t="n">
        <v>55</v>
      </c>
      <c r="B270" s="188" t="n">
        <v>46147.1828762015</v>
      </c>
      <c r="C270" s="188" t="n">
        <v>46147.1863021274</v>
      </c>
      <c r="D270" s="189" t="s">
        <v>603</v>
      </c>
      <c r="E270" s="189" t="s">
        <v>604</v>
      </c>
      <c r="F270" s="189" t="s">
        <v>604</v>
      </c>
      <c r="G270" s="189" t="s">
        <v>605</v>
      </c>
      <c r="H270" s="188" t="n">
        <v>46132</v>
      </c>
      <c r="I270" s="189" t="s">
        <v>113</v>
      </c>
      <c r="J270" s="189" t="s">
        <v>295</v>
      </c>
      <c r="K270" s="189" t="s">
        <v>462</v>
      </c>
      <c r="L270" s="189" t="s">
        <v>431</v>
      </c>
      <c r="M270" s="189" t="s">
        <v>594</v>
      </c>
      <c r="N270" s="189" t="s">
        <v>606</v>
      </c>
      <c r="O270" s="189" t="s">
        <v>244</v>
      </c>
      <c r="P270" s="189" t="s">
        <v>390</v>
      </c>
      <c r="Q270" s="189" t="s">
        <v>112</v>
      </c>
      <c r="R270" s="189" t="s">
        <v>22</v>
      </c>
      <c r="S270" s="189" t="s">
        <v>152</v>
      </c>
      <c r="T270" s="189" t="s">
        <v>121</v>
      </c>
      <c r="U270" s="189" t="s">
        <v>122</v>
      </c>
      <c r="V270" s="189" t="s">
        <v>123</v>
      </c>
      <c r="W270" s="189" t="s">
        <v>139</v>
      </c>
      <c r="X270" s="189" t="s">
        <v>116</v>
      </c>
      <c r="Y270" s="189" t="s">
        <v>3069</v>
      </c>
      <c r="Z270" s="0" t="n">
        <v>1</v>
      </c>
      <c r="AA270" s="189" t="s">
        <v>3140</v>
      </c>
    </row>
    <row r="271" customFormat="false" ht="15" hidden="false" customHeight="true" outlineLevel="0" collapsed="false">
      <c r="A271" s="0" t="n">
        <v>56</v>
      </c>
      <c r="B271" s="188" t="n">
        <v>46072.7138139639</v>
      </c>
      <c r="C271" s="188" t="n">
        <v>46072.7302491491</v>
      </c>
      <c r="D271" s="189" t="s">
        <v>609</v>
      </c>
      <c r="E271" s="189" t="s">
        <v>610</v>
      </c>
      <c r="F271" s="189" t="s">
        <v>610</v>
      </c>
      <c r="G271" s="189" t="s">
        <v>611</v>
      </c>
      <c r="H271" s="188" t="n">
        <v>46052</v>
      </c>
      <c r="I271" s="189" t="s">
        <v>305</v>
      </c>
      <c r="J271" s="189" t="s">
        <v>108</v>
      </c>
      <c r="K271" s="189" t="s">
        <v>364</v>
      </c>
      <c r="L271" s="189" t="s">
        <v>431</v>
      </c>
      <c r="M271" s="189" t="s">
        <v>612</v>
      </c>
      <c r="N271" s="189" t="s">
        <v>613</v>
      </c>
      <c r="O271" s="189" t="s">
        <v>172</v>
      </c>
      <c r="P271" s="189" t="s">
        <v>111</v>
      </c>
      <c r="Q271" s="189" t="s">
        <v>112</v>
      </c>
      <c r="R271" s="189" t="s">
        <v>21</v>
      </c>
      <c r="S271" s="189" t="s">
        <v>152</v>
      </c>
      <c r="T271" s="189" t="s">
        <v>121</v>
      </c>
      <c r="U271" s="189" t="s">
        <v>614</v>
      </c>
      <c r="V271" s="189" t="s">
        <v>123</v>
      </c>
      <c r="W271" s="189" t="s">
        <v>139</v>
      </c>
      <c r="X271" s="189" t="s">
        <v>307</v>
      </c>
      <c r="Y271" s="189" t="s">
        <v>3064</v>
      </c>
      <c r="Z271" s="0" t="n">
        <v>1</v>
      </c>
      <c r="AA271" s="189" t="s">
        <v>3131</v>
      </c>
    </row>
    <row r="272" customFormat="false" ht="15" hidden="false" customHeight="true" outlineLevel="0" collapsed="false">
      <c r="A272" s="0" t="n">
        <v>56</v>
      </c>
      <c r="B272" s="188" t="n">
        <v>46072.7138139639</v>
      </c>
      <c r="C272" s="188" t="n">
        <v>46072.7302491491</v>
      </c>
      <c r="D272" s="189" t="s">
        <v>609</v>
      </c>
      <c r="E272" s="189" t="s">
        <v>610</v>
      </c>
      <c r="F272" s="189" t="s">
        <v>610</v>
      </c>
      <c r="G272" s="189" t="s">
        <v>611</v>
      </c>
      <c r="H272" s="188" t="n">
        <v>46052</v>
      </c>
      <c r="I272" s="189" t="s">
        <v>305</v>
      </c>
      <c r="J272" s="189" t="s">
        <v>108</v>
      </c>
      <c r="K272" s="189" t="s">
        <v>364</v>
      </c>
      <c r="L272" s="189" t="s">
        <v>431</v>
      </c>
      <c r="M272" s="189" t="s">
        <v>612</v>
      </c>
      <c r="N272" s="189" t="s">
        <v>613</v>
      </c>
      <c r="O272" s="189" t="s">
        <v>172</v>
      </c>
      <c r="P272" s="189" t="s">
        <v>111</v>
      </c>
      <c r="Q272" s="189" t="s">
        <v>112</v>
      </c>
      <c r="R272" s="189" t="s">
        <v>21</v>
      </c>
      <c r="S272" s="189" t="s">
        <v>152</v>
      </c>
      <c r="T272" s="189" t="s">
        <v>121</v>
      </c>
      <c r="U272" s="189" t="s">
        <v>614</v>
      </c>
      <c r="V272" s="189" t="s">
        <v>123</v>
      </c>
      <c r="W272" s="189" t="s">
        <v>139</v>
      </c>
      <c r="X272" s="189" t="s">
        <v>307</v>
      </c>
      <c r="Y272" s="189" t="s">
        <v>3066</v>
      </c>
      <c r="Z272" s="0" t="n">
        <v>1</v>
      </c>
      <c r="AA272" s="189" t="s">
        <v>1174</v>
      </c>
    </row>
    <row r="273" customFormat="false" ht="15" hidden="false" customHeight="true" outlineLevel="0" collapsed="false">
      <c r="A273" s="0" t="n">
        <v>56</v>
      </c>
      <c r="B273" s="188" t="n">
        <v>46072.7138139639</v>
      </c>
      <c r="C273" s="188" t="n">
        <v>46072.7302491491</v>
      </c>
      <c r="D273" s="189" t="s">
        <v>609</v>
      </c>
      <c r="E273" s="189" t="s">
        <v>610</v>
      </c>
      <c r="F273" s="189" t="s">
        <v>610</v>
      </c>
      <c r="G273" s="189" t="s">
        <v>611</v>
      </c>
      <c r="H273" s="188" t="n">
        <v>46052</v>
      </c>
      <c r="I273" s="189" t="s">
        <v>305</v>
      </c>
      <c r="J273" s="189" t="s">
        <v>108</v>
      </c>
      <c r="K273" s="189" t="s">
        <v>364</v>
      </c>
      <c r="L273" s="189" t="s">
        <v>431</v>
      </c>
      <c r="M273" s="189" t="s">
        <v>612</v>
      </c>
      <c r="N273" s="189" t="s">
        <v>613</v>
      </c>
      <c r="O273" s="189" t="s">
        <v>172</v>
      </c>
      <c r="P273" s="189" t="s">
        <v>111</v>
      </c>
      <c r="Q273" s="189" t="s">
        <v>112</v>
      </c>
      <c r="R273" s="189" t="s">
        <v>21</v>
      </c>
      <c r="S273" s="189" t="s">
        <v>152</v>
      </c>
      <c r="T273" s="189" t="s">
        <v>121</v>
      </c>
      <c r="U273" s="189" t="s">
        <v>614</v>
      </c>
      <c r="V273" s="189" t="s">
        <v>123</v>
      </c>
      <c r="W273" s="189" t="s">
        <v>139</v>
      </c>
      <c r="X273" s="189" t="s">
        <v>307</v>
      </c>
      <c r="Y273" s="189" t="s">
        <v>3069</v>
      </c>
      <c r="Z273" s="0" t="n">
        <v>1</v>
      </c>
      <c r="AA273" s="189" t="s">
        <v>3133</v>
      </c>
    </row>
    <row r="274" customFormat="false" ht="15" hidden="false" customHeight="true" outlineLevel="0" collapsed="false">
      <c r="A274" s="0" t="n">
        <v>56</v>
      </c>
      <c r="B274" s="188" t="n">
        <v>46072.7138139639</v>
      </c>
      <c r="C274" s="188" t="n">
        <v>46072.7302491491</v>
      </c>
      <c r="D274" s="189" t="s">
        <v>609</v>
      </c>
      <c r="E274" s="189" t="s">
        <v>610</v>
      </c>
      <c r="F274" s="189" t="s">
        <v>610</v>
      </c>
      <c r="G274" s="189" t="s">
        <v>611</v>
      </c>
      <c r="H274" s="188" t="n">
        <v>46052</v>
      </c>
      <c r="I274" s="189" t="s">
        <v>305</v>
      </c>
      <c r="J274" s="189" t="s">
        <v>108</v>
      </c>
      <c r="K274" s="189" t="s">
        <v>364</v>
      </c>
      <c r="L274" s="189" t="s">
        <v>431</v>
      </c>
      <c r="M274" s="189" t="s">
        <v>612</v>
      </c>
      <c r="N274" s="189" t="s">
        <v>613</v>
      </c>
      <c r="O274" s="189" t="s">
        <v>172</v>
      </c>
      <c r="P274" s="189" t="s">
        <v>111</v>
      </c>
      <c r="Q274" s="189" t="s">
        <v>112</v>
      </c>
      <c r="R274" s="189" t="s">
        <v>21</v>
      </c>
      <c r="S274" s="189" t="s">
        <v>152</v>
      </c>
      <c r="T274" s="189" t="s">
        <v>121</v>
      </c>
      <c r="U274" s="189" t="s">
        <v>614</v>
      </c>
      <c r="V274" s="189" t="s">
        <v>123</v>
      </c>
      <c r="W274" s="189" t="s">
        <v>139</v>
      </c>
      <c r="X274" s="189" t="s">
        <v>307</v>
      </c>
      <c r="Y274" s="189" t="s">
        <v>3069</v>
      </c>
      <c r="Z274" s="0" t="n">
        <v>2</v>
      </c>
      <c r="AA274" s="189" t="s">
        <v>3134</v>
      </c>
    </row>
    <row r="275" customFormat="false" ht="15" hidden="false" customHeight="true" outlineLevel="0" collapsed="false">
      <c r="A275" s="0" t="n">
        <v>57</v>
      </c>
      <c r="B275" s="188" t="n">
        <v>46194.5842178701</v>
      </c>
      <c r="C275" s="188" t="n">
        <v>46194.5926553701</v>
      </c>
      <c r="D275" s="189" t="s">
        <v>615</v>
      </c>
      <c r="E275" s="189" t="s">
        <v>616</v>
      </c>
      <c r="F275" s="189" t="s">
        <v>617</v>
      </c>
      <c r="G275" s="189" t="s">
        <v>618</v>
      </c>
      <c r="H275" s="188" t="n">
        <v>46193</v>
      </c>
      <c r="I275" s="189" t="s">
        <v>325</v>
      </c>
      <c r="J275" s="189" t="s">
        <v>108</v>
      </c>
      <c r="K275" s="189" t="s">
        <v>257</v>
      </c>
      <c r="L275" s="189" t="s">
        <v>431</v>
      </c>
      <c r="M275" s="189" t="s">
        <v>406</v>
      </c>
      <c r="N275" s="189" t="s">
        <v>111</v>
      </c>
      <c r="O275" s="189" t="s">
        <v>107</v>
      </c>
      <c r="P275" s="189" t="s">
        <v>111</v>
      </c>
      <c r="Q275" s="189" t="s">
        <v>145</v>
      </c>
      <c r="R275" s="189" t="s">
        <v>25</v>
      </c>
      <c r="S275" s="189" t="s">
        <v>152</v>
      </c>
      <c r="T275" s="189" t="s">
        <v>121</v>
      </c>
      <c r="U275" s="189" t="s">
        <v>122</v>
      </c>
      <c r="V275" s="189" t="s">
        <v>167</v>
      </c>
      <c r="W275" s="189" t="s">
        <v>124</v>
      </c>
      <c r="X275" s="189" t="s">
        <v>327</v>
      </c>
      <c r="Y275" s="189" t="s">
        <v>3064</v>
      </c>
      <c r="Z275" s="0" t="n">
        <v>1</v>
      </c>
      <c r="AA275" s="189" t="s">
        <v>3065</v>
      </c>
    </row>
    <row r="276" customFormat="false" ht="15" hidden="false" customHeight="true" outlineLevel="0" collapsed="false">
      <c r="A276" s="0" t="n">
        <v>57</v>
      </c>
      <c r="B276" s="188" t="n">
        <v>46194.5842178701</v>
      </c>
      <c r="C276" s="188" t="n">
        <v>46194.5926553701</v>
      </c>
      <c r="D276" s="189" t="s">
        <v>615</v>
      </c>
      <c r="E276" s="189" t="s">
        <v>616</v>
      </c>
      <c r="F276" s="189" t="s">
        <v>617</v>
      </c>
      <c r="G276" s="189" t="s">
        <v>618</v>
      </c>
      <c r="H276" s="188" t="n">
        <v>46193</v>
      </c>
      <c r="I276" s="189" t="s">
        <v>325</v>
      </c>
      <c r="J276" s="189" t="s">
        <v>108</v>
      </c>
      <c r="K276" s="189" t="s">
        <v>257</v>
      </c>
      <c r="L276" s="189" t="s">
        <v>431</v>
      </c>
      <c r="M276" s="189" t="s">
        <v>406</v>
      </c>
      <c r="N276" s="189" t="s">
        <v>111</v>
      </c>
      <c r="O276" s="189" t="s">
        <v>107</v>
      </c>
      <c r="P276" s="189" t="s">
        <v>111</v>
      </c>
      <c r="Q276" s="189" t="s">
        <v>145</v>
      </c>
      <c r="R276" s="189" t="s">
        <v>25</v>
      </c>
      <c r="S276" s="189" t="s">
        <v>152</v>
      </c>
      <c r="T276" s="189" t="s">
        <v>121</v>
      </c>
      <c r="U276" s="189" t="s">
        <v>122</v>
      </c>
      <c r="V276" s="189" t="s">
        <v>167</v>
      </c>
      <c r="W276" s="189" t="s">
        <v>124</v>
      </c>
      <c r="X276" s="189" t="s">
        <v>327</v>
      </c>
      <c r="Y276" s="189" t="s">
        <v>3064</v>
      </c>
      <c r="Z276" s="0" t="n">
        <v>2</v>
      </c>
      <c r="AA276" s="189" t="s">
        <v>3081</v>
      </c>
    </row>
    <row r="277" customFormat="false" ht="15" hidden="false" customHeight="true" outlineLevel="0" collapsed="false">
      <c r="A277" s="0" t="n">
        <v>57</v>
      </c>
      <c r="B277" s="188" t="n">
        <v>46194.5842178701</v>
      </c>
      <c r="C277" s="188" t="n">
        <v>46194.5926553701</v>
      </c>
      <c r="D277" s="189" t="s">
        <v>615</v>
      </c>
      <c r="E277" s="189" t="s">
        <v>616</v>
      </c>
      <c r="F277" s="189" t="s">
        <v>617</v>
      </c>
      <c r="G277" s="189" t="s">
        <v>618</v>
      </c>
      <c r="H277" s="188" t="n">
        <v>46193</v>
      </c>
      <c r="I277" s="189" t="s">
        <v>325</v>
      </c>
      <c r="J277" s="189" t="s">
        <v>108</v>
      </c>
      <c r="K277" s="189" t="s">
        <v>257</v>
      </c>
      <c r="L277" s="189" t="s">
        <v>431</v>
      </c>
      <c r="M277" s="189" t="s">
        <v>406</v>
      </c>
      <c r="N277" s="189" t="s">
        <v>111</v>
      </c>
      <c r="O277" s="189" t="s">
        <v>107</v>
      </c>
      <c r="P277" s="189" t="s">
        <v>111</v>
      </c>
      <c r="Q277" s="189" t="s">
        <v>145</v>
      </c>
      <c r="R277" s="189" t="s">
        <v>25</v>
      </c>
      <c r="S277" s="189" t="s">
        <v>152</v>
      </c>
      <c r="T277" s="189" t="s">
        <v>121</v>
      </c>
      <c r="U277" s="189" t="s">
        <v>122</v>
      </c>
      <c r="V277" s="189" t="s">
        <v>167</v>
      </c>
      <c r="W277" s="189" t="s">
        <v>124</v>
      </c>
      <c r="X277" s="189" t="s">
        <v>327</v>
      </c>
      <c r="Y277" s="189" t="s">
        <v>3066</v>
      </c>
      <c r="Z277" s="0" t="n">
        <v>1</v>
      </c>
      <c r="AA277" s="189" t="s">
        <v>3067</v>
      </c>
    </row>
    <row r="278" customFormat="false" ht="15" hidden="false" customHeight="true" outlineLevel="0" collapsed="false">
      <c r="A278" s="0" t="n">
        <v>57</v>
      </c>
      <c r="B278" s="188" t="n">
        <v>46194.5842178701</v>
      </c>
      <c r="C278" s="188" t="n">
        <v>46194.5926553701</v>
      </c>
      <c r="D278" s="189" t="s">
        <v>615</v>
      </c>
      <c r="E278" s="189" t="s">
        <v>616</v>
      </c>
      <c r="F278" s="189" t="s">
        <v>617</v>
      </c>
      <c r="G278" s="189" t="s">
        <v>618</v>
      </c>
      <c r="H278" s="188" t="n">
        <v>46193</v>
      </c>
      <c r="I278" s="189" t="s">
        <v>325</v>
      </c>
      <c r="J278" s="189" t="s">
        <v>108</v>
      </c>
      <c r="K278" s="189" t="s">
        <v>257</v>
      </c>
      <c r="L278" s="189" t="s">
        <v>431</v>
      </c>
      <c r="M278" s="189" t="s">
        <v>406</v>
      </c>
      <c r="N278" s="189" t="s">
        <v>111</v>
      </c>
      <c r="O278" s="189" t="s">
        <v>107</v>
      </c>
      <c r="P278" s="189" t="s">
        <v>111</v>
      </c>
      <c r="Q278" s="189" t="s">
        <v>145</v>
      </c>
      <c r="R278" s="189" t="s">
        <v>25</v>
      </c>
      <c r="S278" s="189" t="s">
        <v>152</v>
      </c>
      <c r="T278" s="189" t="s">
        <v>121</v>
      </c>
      <c r="U278" s="189" t="s">
        <v>122</v>
      </c>
      <c r="V278" s="189" t="s">
        <v>167</v>
      </c>
      <c r="W278" s="189" t="s">
        <v>124</v>
      </c>
      <c r="X278" s="189" t="s">
        <v>327</v>
      </c>
      <c r="Y278" s="189" t="s">
        <v>3066</v>
      </c>
      <c r="Z278" s="0" t="n">
        <v>2</v>
      </c>
      <c r="AA278" s="189" t="s">
        <v>3068</v>
      </c>
    </row>
    <row r="279" customFormat="false" ht="15" hidden="false" customHeight="true" outlineLevel="0" collapsed="false">
      <c r="A279" s="0" t="n">
        <v>57</v>
      </c>
      <c r="B279" s="188" t="n">
        <v>46194.5842178701</v>
      </c>
      <c r="C279" s="188" t="n">
        <v>46194.5926553701</v>
      </c>
      <c r="D279" s="189" t="s">
        <v>615</v>
      </c>
      <c r="E279" s="189" t="s">
        <v>616</v>
      </c>
      <c r="F279" s="189" t="s">
        <v>617</v>
      </c>
      <c r="G279" s="189" t="s">
        <v>618</v>
      </c>
      <c r="H279" s="188" t="n">
        <v>46193</v>
      </c>
      <c r="I279" s="189" t="s">
        <v>325</v>
      </c>
      <c r="J279" s="189" t="s">
        <v>108</v>
      </c>
      <c r="K279" s="189" t="s">
        <v>257</v>
      </c>
      <c r="L279" s="189" t="s">
        <v>431</v>
      </c>
      <c r="M279" s="189" t="s">
        <v>406</v>
      </c>
      <c r="N279" s="189" t="s">
        <v>111</v>
      </c>
      <c r="O279" s="189" t="s">
        <v>107</v>
      </c>
      <c r="P279" s="189" t="s">
        <v>111</v>
      </c>
      <c r="Q279" s="189" t="s">
        <v>145</v>
      </c>
      <c r="R279" s="189" t="s">
        <v>25</v>
      </c>
      <c r="S279" s="189" t="s">
        <v>152</v>
      </c>
      <c r="T279" s="189" t="s">
        <v>121</v>
      </c>
      <c r="U279" s="189" t="s">
        <v>122</v>
      </c>
      <c r="V279" s="189" t="s">
        <v>167</v>
      </c>
      <c r="W279" s="189" t="s">
        <v>124</v>
      </c>
      <c r="X279" s="189" t="s">
        <v>327</v>
      </c>
      <c r="Y279" s="189" t="s">
        <v>3069</v>
      </c>
      <c r="Z279" s="0" t="n">
        <v>1</v>
      </c>
      <c r="AA279" s="189" t="s">
        <v>3108</v>
      </c>
    </row>
    <row r="280" customFormat="false" ht="15" hidden="false" customHeight="true" outlineLevel="0" collapsed="false">
      <c r="A280" s="0" t="n">
        <v>58</v>
      </c>
      <c r="B280" s="188" t="n">
        <v>46145.4523146892</v>
      </c>
      <c r="C280" s="188" t="n">
        <v>46145.4707869114</v>
      </c>
      <c r="D280" s="189" t="s">
        <v>622</v>
      </c>
      <c r="E280" s="189" t="s">
        <v>623</v>
      </c>
      <c r="F280" s="189" t="s">
        <v>623</v>
      </c>
      <c r="G280" s="189" t="s">
        <v>624</v>
      </c>
      <c r="H280" s="188" t="n">
        <v>46140</v>
      </c>
      <c r="I280" s="189" t="s">
        <v>113</v>
      </c>
      <c r="J280" s="189" t="s">
        <v>108</v>
      </c>
      <c r="K280" s="189" t="s">
        <v>232</v>
      </c>
      <c r="L280" s="189" t="s">
        <v>389</v>
      </c>
      <c r="M280" s="189" t="s">
        <v>286</v>
      </c>
      <c r="N280" s="189" t="s">
        <v>625</v>
      </c>
      <c r="O280" s="189" t="s">
        <v>172</v>
      </c>
      <c r="P280" s="189" t="s">
        <v>111</v>
      </c>
      <c r="Q280" s="189" t="s">
        <v>247</v>
      </c>
      <c r="R280" s="189" t="s">
        <v>22</v>
      </c>
      <c r="S280" s="189" t="s">
        <v>152</v>
      </c>
      <c r="T280" s="189" t="s">
        <v>121</v>
      </c>
      <c r="V280" s="189" t="s">
        <v>123</v>
      </c>
      <c r="W280" s="189" t="s">
        <v>124</v>
      </c>
      <c r="X280" s="189" t="s">
        <v>135</v>
      </c>
      <c r="Y280" s="189" t="s">
        <v>3064</v>
      </c>
      <c r="Z280" s="0" t="n">
        <v>1</v>
      </c>
      <c r="AA280" s="189" t="s">
        <v>3072</v>
      </c>
    </row>
    <row r="281" customFormat="false" ht="15" hidden="false" customHeight="true" outlineLevel="0" collapsed="false">
      <c r="A281" s="0" t="n">
        <v>58</v>
      </c>
      <c r="B281" s="188" t="n">
        <v>46145.4523146892</v>
      </c>
      <c r="C281" s="188" t="n">
        <v>46145.4707869114</v>
      </c>
      <c r="D281" s="189" t="s">
        <v>622</v>
      </c>
      <c r="E281" s="189" t="s">
        <v>623</v>
      </c>
      <c r="F281" s="189" t="s">
        <v>623</v>
      </c>
      <c r="G281" s="189" t="s">
        <v>624</v>
      </c>
      <c r="H281" s="188" t="n">
        <v>46140</v>
      </c>
      <c r="I281" s="189" t="s">
        <v>113</v>
      </c>
      <c r="J281" s="189" t="s">
        <v>108</v>
      </c>
      <c r="K281" s="189" t="s">
        <v>232</v>
      </c>
      <c r="L281" s="189" t="s">
        <v>389</v>
      </c>
      <c r="M281" s="189" t="s">
        <v>286</v>
      </c>
      <c r="N281" s="189" t="s">
        <v>625</v>
      </c>
      <c r="O281" s="189" t="s">
        <v>172</v>
      </c>
      <c r="P281" s="189" t="s">
        <v>111</v>
      </c>
      <c r="Q281" s="189" t="s">
        <v>247</v>
      </c>
      <c r="R281" s="189" t="s">
        <v>22</v>
      </c>
      <c r="S281" s="189" t="s">
        <v>152</v>
      </c>
      <c r="T281" s="189" t="s">
        <v>121</v>
      </c>
      <c r="V281" s="189" t="s">
        <v>123</v>
      </c>
      <c r="W281" s="189" t="s">
        <v>124</v>
      </c>
      <c r="X281" s="189" t="s">
        <v>135</v>
      </c>
      <c r="Y281" s="189" t="s">
        <v>3066</v>
      </c>
      <c r="Z281" s="0" t="n">
        <v>1</v>
      </c>
      <c r="AA281" s="189" t="s">
        <v>3151</v>
      </c>
    </row>
    <row r="282" customFormat="false" ht="15" hidden="false" customHeight="true" outlineLevel="0" collapsed="false">
      <c r="A282" s="0" t="n">
        <v>58</v>
      </c>
      <c r="B282" s="188" t="n">
        <v>46145.4523146892</v>
      </c>
      <c r="C282" s="188" t="n">
        <v>46145.4707869114</v>
      </c>
      <c r="D282" s="189" t="s">
        <v>622</v>
      </c>
      <c r="E282" s="189" t="s">
        <v>623</v>
      </c>
      <c r="F282" s="189" t="s">
        <v>623</v>
      </c>
      <c r="G282" s="189" t="s">
        <v>624</v>
      </c>
      <c r="H282" s="188" t="n">
        <v>46140</v>
      </c>
      <c r="I282" s="189" t="s">
        <v>113</v>
      </c>
      <c r="J282" s="189" t="s">
        <v>108</v>
      </c>
      <c r="K282" s="189" t="s">
        <v>232</v>
      </c>
      <c r="L282" s="189" t="s">
        <v>389</v>
      </c>
      <c r="M282" s="189" t="s">
        <v>286</v>
      </c>
      <c r="N282" s="189" t="s">
        <v>625</v>
      </c>
      <c r="O282" s="189" t="s">
        <v>172</v>
      </c>
      <c r="P282" s="189" t="s">
        <v>111</v>
      </c>
      <c r="Q282" s="189" t="s">
        <v>247</v>
      </c>
      <c r="R282" s="189" t="s">
        <v>22</v>
      </c>
      <c r="S282" s="189" t="s">
        <v>152</v>
      </c>
      <c r="T282" s="189" t="s">
        <v>121</v>
      </c>
      <c r="V282" s="189" t="s">
        <v>123</v>
      </c>
      <c r="W282" s="189" t="s">
        <v>124</v>
      </c>
      <c r="X282" s="189" t="s">
        <v>135</v>
      </c>
      <c r="Y282" s="189" t="s">
        <v>3066</v>
      </c>
      <c r="Z282" s="0" t="n">
        <v>2</v>
      </c>
      <c r="AA282" s="189" t="s">
        <v>3192</v>
      </c>
    </row>
    <row r="283" customFormat="false" ht="15" hidden="false" customHeight="true" outlineLevel="0" collapsed="false">
      <c r="A283" s="0" t="n">
        <v>58</v>
      </c>
      <c r="B283" s="188" t="n">
        <v>46145.4523146892</v>
      </c>
      <c r="C283" s="188" t="n">
        <v>46145.4707869114</v>
      </c>
      <c r="D283" s="189" t="s">
        <v>622</v>
      </c>
      <c r="E283" s="189" t="s">
        <v>623</v>
      </c>
      <c r="F283" s="189" t="s">
        <v>623</v>
      </c>
      <c r="G283" s="189" t="s">
        <v>624</v>
      </c>
      <c r="H283" s="188" t="n">
        <v>46140</v>
      </c>
      <c r="I283" s="189" t="s">
        <v>113</v>
      </c>
      <c r="J283" s="189" t="s">
        <v>108</v>
      </c>
      <c r="K283" s="189" t="s">
        <v>232</v>
      </c>
      <c r="L283" s="189" t="s">
        <v>389</v>
      </c>
      <c r="M283" s="189" t="s">
        <v>286</v>
      </c>
      <c r="N283" s="189" t="s">
        <v>625</v>
      </c>
      <c r="O283" s="189" t="s">
        <v>172</v>
      </c>
      <c r="P283" s="189" t="s">
        <v>111</v>
      </c>
      <c r="Q283" s="189" t="s">
        <v>247</v>
      </c>
      <c r="R283" s="189" t="s">
        <v>22</v>
      </c>
      <c r="S283" s="189" t="s">
        <v>152</v>
      </c>
      <c r="T283" s="189" t="s">
        <v>121</v>
      </c>
      <c r="V283" s="189" t="s">
        <v>123</v>
      </c>
      <c r="W283" s="189" t="s">
        <v>124</v>
      </c>
      <c r="X283" s="189" t="s">
        <v>135</v>
      </c>
      <c r="Y283" s="189" t="s">
        <v>3069</v>
      </c>
      <c r="Z283" s="0" t="n">
        <v>1</v>
      </c>
      <c r="AA283" s="189" t="s">
        <v>3212</v>
      </c>
    </row>
    <row r="284" customFormat="false" ht="15" hidden="false" customHeight="true" outlineLevel="0" collapsed="false">
      <c r="A284" s="0" t="n">
        <v>59</v>
      </c>
      <c r="B284" s="188" t="n">
        <v>46205.1823932057</v>
      </c>
      <c r="C284" s="188" t="n">
        <v>46205.1906223723</v>
      </c>
      <c r="D284" s="189" t="s">
        <v>629</v>
      </c>
      <c r="E284" s="189" t="s">
        <v>630</v>
      </c>
      <c r="F284" s="189" t="s">
        <v>630</v>
      </c>
      <c r="G284" s="189" t="s">
        <v>631</v>
      </c>
      <c r="H284" s="188" t="n">
        <v>46191</v>
      </c>
      <c r="I284" s="189" t="s">
        <v>325</v>
      </c>
      <c r="J284" s="189" t="s">
        <v>108</v>
      </c>
      <c r="K284" s="189" t="s">
        <v>462</v>
      </c>
      <c r="L284" s="189" t="s">
        <v>431</v>
      </c>
      <c r="M284" s="189" t="s">
        <v>612</v>
      </c>
      <c r="N284" s="189" t="s">
        <v>347</v>
      </c>
      <c r="O284" s="189" t="s">
        <v>278</v>
      </c>
      <c r="P284" s="189" t="s">
        <v>390</v>
      </c>
      <c r="Q284" s="189" t="s">
        <v>112</v>
      </c>
      <c r="R284" s="189" t="s">
        <v>24</v>
      </c>
      <c r="S284" s="189" t="s">
        <v>152</v>
      </c>
      <c r="T284" s="189" t="s">
        <v>121</v>
      </c>
      <c r="V284" s="189" t="s">
        <v>192</v>
      </c>
      <c r="W284" s="189" t="s">
        <v>124</v>
      </c>
      <c r="X284" s="189" t="s">
        <v>223</v>
      </c>
      <c r="Y284" s="189" t="s">
        <v>3064</v>
      </c>
      <c r="Z284" s="0" t="n">
        <v>1</v>
      </c>
      <c r="AA284" s="189" t="s">
        <v>3120</v>
      </c>
    </row>
    <row r="285" customFormat="false" ht="15" hidden="false" customHeight="true" outlineLevel="0" collapsed="false">
      <c r="A285" s="0" t="n">
        <v>59</v>
      </c>
      <c r="B285" s="188" t="n">
        <v>46205.1823932057</v>
      </c>
      <c r="C285" s="188" t="n">
        <v>46205.1906223723</v>
      </c>
      <c r="D285" s="189" t="s">
        <v>629</v>
      </c>
      <c r="E285" s="189" t="s">
        <v>630</v>
      </c>
      <c r="F285" s="189" t="s">
        <v>630</v>
      </c>
      <c r="G285" s="189" t="s">
        <v>631</v>
      </c>
      <c r="H285" s="188" t="n">
        <v>46191</v>
      </c>
      <c r="I285" s="189" t="s">
        <v>325</v>
      </c>
      <c r="J285" s="189" t="s">
        <v>108</v>
      </c>
      <c r="K285" s="189" t="s">
        <v>462</v>
      </c>
      <c r="L285" s="189" t="s">
        <v>431</v>
      </c>
      <c r="M285" s="189" t="s">
        <v>612</v>
      </c>
      <c r="N285" s="189" t="s">
        <v>347</v>
      </c>
      <c r="O285" s="189" t="s">
        <v>278</v>
      </c>
      <c r="P285" s="189" t="s">
        <v>390</v>
      </c>
      <c r="Q285" s="189" t="s">
        <v>112</v>
      </c>
      <c r="R285" s="189" t="s">
        <v>24</v>
      </c>
      <c r="S285" s="189" t="s">
        <v>152</v>
      </c>
      <c r="T285" s="189" t="s">
        <v>121</v>
      </c>
      <c r="V285" s="189" t="s">
        <v>192</v>
      </c>
      <c r="W285" s="189" t="s">
        <v>124</v>
      </c>
      <c r="X285" s="189" t="s">
        <v>223</v>
      </c>
      <c r="Y285" s="189" t="s">
        <v>3066</v>
      </c>
      <c r="Z285" s="0" t="n">
        <v>1</v>
      </c>
      <c r="AA285" s="189" t="s">
        <v>3213</v>
      </c>
    </row>
    <row r="286" customFormat="false" ht="15" hidden="false" customHeight="true" outlineLevel="0" collapsed="false">
      <c r="A286" s="0" t="n">
        <v>59</v>
      </c>
      <c r="B286" s="188" t="n">
        <v>46205.1823932057</v>
      </c>
      <c r="C286" s="188" t="n">
        <v>46205.1906223723</v>
      </c>
      <c r="D286" s="189" t="s">
        <v>629</v>
      </c>
      <c r="E286" s="189" t="s">
        <v>630</v>
      </c>
      <c r="F286" s="189" t="s">
        <v>630</v>
      </c>
      <c r="G286" s="189" t="s">
        <v>631</v>
      </c>
      <c r="H286" s="188" t="n">
        <v>46191</v>
      </c>
      <c r="I286" s="189" t="s">
        <v>325</v>
      </c>
      <c r="J286" s="189" t="s">
        <v>108</v>
      </c>
      <c r="K286" s="189" t="s">
        <v>462</v>
      </c>
      <c r="L286" s="189" t="s">
        <v>431</v>
      </c>
      <c r="M286" s="189" t="s">
        <v>612</v>
      </c>
      <c r="N286" s="189" t="s">
        <v>347</v>
      </c>
      <c r="O286" s="189" t="s">
        <v>278</v>
      </c>
      <c r="P286" s="189" t="s">
        <v>390</v>
      </c>
      <c r="Q286" s="189" t="s">
        <v>112</v>
      </c>
      <c r="R286" s="189" t="s">
        <v>24</v>
      </c>
      <c r="S286" s="189" t="s">
        <v>152</v>
      </c>
      <c r="T286" s="189" t="s">
        <v>121</v>
      </c>
      <c r="V286" s="189" t="s">
        <v>192</v>
      </c>
      <c r="W286" s="189" t="s">
        <v>124</v>
      </c>
      <c r="X286" s="189" t="s">
        <v>223</v>
      </c>
      <c r="Y286" s="189" t="s">
        <v>3066</v>
      </c>
      <c r="Z286" s="0" t="n">
        <v>2</v>
      </c>
      <c r="AA286" s="189" t="s">
        <v>3171</v>
      </c>
    </row>
    <row r="287" customFormat="false" ht="15" hidden="false" customHeight="true" outlineLevel="0" collapsed="false">
      <c r="A287" s="0" t="n">
        <v>59</v>
      </c>
      <c r="B287" s="188" t="n">
        <v>46205.1823932057</v>
      </c>
      <c r="C287" s="188" t="n">
        <v>46205.1906223723</v>
      </c>
      <c r="D287" s="189" t="s">
        <v>629</v>
      </c>
      <c r="E287" s="189" t="s">
        <v>630</v>
      </c>
      <c r="F287" s="189" t="s">
        <v>630</v>
      </c>
      <c r="G287" s="189" t="s">
        <v>631</v>
      </c>
      <c r="H287" s="188" t="n">
        <v>46191</v>
      </c>
      <c r="I287" s="189" t="s">
        <v>325</v>
      </c>
      <c r="J287" s="189" t="s">
        <v>108</v>
      </c>
      <c r="K287" s="189" t="s">
        <v>462</v>
      </c>
      <c r="L287" s="189" t="s">
        <v>431</v>
      </c>
      <c r="M287" s="189" t="s">
        <v>612</v>
      </c>
      <c r="N287" s="189" t="s">
        <v>347</v>
      </c>
      <c r="O287" s="189" t="s">
        <v>278</v>
      </c>
      <c r="P287" s="189" t="s">
        <v>390</v>
      </c>
      <c r="Q287" s="189" t="s">
        <v>112</v>
      </c>
      <c r="R287" s="189" t="s">
        <v>24</v>
      </c>
      <c r="S287" s="189" t="s">
        <v>152</v>
      </c>
      <c r="T287" s="189" t="s">
        <v>121</v>
      </c>
      <c r="V287" s="189" t="s">
        <v>192</v>
      </c>
      <c r="W287" s="189" t="s">
        <v>124</v>
      </c>
      <c r="X287" s="189" t="s">
        <v>223</v>
      </c>
      <c r="Y287" s="189" t="s">
        <v>3069</v>
      </c>
      <c r="Z287" s="0" t="n">
        <v>1</v>
      </c>
      <c r="AA287" s="189" t="s">
        <v>3150</v>
      </c>
    </row>
    <row r="288" customFormat="false" ht="15" hidden="false" customHeight="true" outlineLevel="0" collapsed="false">
      <c r="A288" s="0" t="n">
        <v>60</v>
      </c>
      <c r="B288" s="188" t="n">
        <v>46196.1992521716</v>
      </c>
      <c r="C288" s="188" t="n">
        <v>46196.2152475419</v>
      </c>
      <c r="D288" s="189" t="s">
        <v>635</v>
      </c>
      <c r="E288" s="189" t="s">
        <v>636</v>
      </c>
      <c r="F288" s="189" t="s">
        <v>636</v>
      </c>
      <c r="G288" s="189" t="s">
        <v>637</v>
      </c>
      <c r="H288" s="188" t="n">
        <v>46178</v>
      </c>
      <c r="I288" s="189" t="s">
        <v>113</v>
      </c>
      <c r="J288" s="189" t="s">
        <v>295</v>
      </c>
      <c r="K288" s="189" t="s">
        <v>232</v>
      </c>
      <c r="L288" s="189" t="s">
        <v>389</v>
      </c>
      <c r="M288" s="189" t="s">
        <v>279</v>
      </c>
      <c r="N288" s="189" t="s">
        <v>638</v>
      </c>
      <c r="O288" s="189" t="s">
        <v>172</v>
      </c>
      <c r="P288" s="189" t="s">
        <v>131</v>
      </c>
      <c r="Q288" s="189" t="s">
        <v>112</v>
      </c>
      <c r="R288" s="189" t="s">
        <v>22</v>
      </c>
      <c r="S288" s="189" t="s">
        <v>120</v>
      </c>
      <c r="T288" s="189" t="s">
        <v>180</v>
      </c>
      <c r="U288" s="132" t="s">
        <v>641</v>
      </c>
      <c r="V288" s="189" t="s">
        <v>167</v>
      </c>
      <c r="W288" s="189" t="s">
        <v>124</v>
      </c>
      <c r="X288" s="189" t="s">
        <v>135</v>
      </c>
      <c r="Y288" s="189" t="s">
        <v>3064</v>
      </c>
      <c r="Z288" s="0" t="n">
        <v>1</v>
      </c>
      <c r="AA288" s="189" t="s">
        <v>3183</v>
      </c>
    </row>
    <row r="289" customFormat="false" ht="15" hidden="false" customHeight="true" outlineLevel="0" collapsed="false">
      <c r="A289" s="0" t="n">
        <v>60</v>
      </c>
      <c r="B289" s="188" t="n">
        <v>46196.1992521716</v>
      </c>
      <c r="C289" s="188" t="n">
        <v>46196.2152475419</v>
      </c>
      <c r="D289" s="189" t="s">
        <v>635</v>
      </c>
      <c r="E289" s="189" t="s">
        <v>636</v>
      </c>
      <c r="F289" s="189" t="s">
        <v>636</v>
      </c>
      <c r="G289" s="189" t="s">
        <v>637</v>
      </c>
      <c r="H289" s="188" t="n">
        <v>46178</v>
      </c>
      <c r="I289" s="189" t="s">
        <v>113</v>
      </c>
      <c r="J289" s="189" t="s">
        <v>295</v>
      </c>
      <c r="K289" s="189" t="s">
        <v>232</v>
      </c>
      <c r="L289" s="189" t="s">
        <v>389</v>
      </c>
      <c r="M289" s="189" t="s">
        <v>279</v>
      </c>
      <c r="N289" s="189" t="s">
        <v>638</v>
      </c>
      <c r="O289" s="189" t="s">
        <v>172</v>
      </c>
      <c r="P289" s="189" t="s">
        <v>131</v>
      </c>
      <c r="Q289" s="189" t="s">
        <v>112</v>
      </c>
      <c r="R289" s="189" t="s">
        <v>22</v>
      </c>
      <c r="S289" s="189" t="s">
        <v>120</v>
      </c>
      <c r="T289" s="189" t="s">
        <v>180</v>
      </c>
      <c r="U289" s="132" t="s">
        <v>641</v>
      </c>
      <c r="V289" s="189" t="s">
        <v>167</v>
      </c>
      <c r="W289" s="189" t="s">
        <v>124</v>
      </c>
      <c r="X289" s="189" t="s">
        <v>135</v>
      </c>
      <c r="Y289" s="189" t="s">
        <v>3064</v>
      </c>
      <c r="Z289" s="0" t="n">
        <v>2</v>
      </c>
      <c r="AA289" s="189" t="s">
        <v>3072</v>
      </c>
    </row>
    <row r="290" customFormat="false" ht="15" hidden="false" customHeight="true" outlineLevel="0" collapsed="false">
      <c r="A290" s="0" t="n">
        <v>60</v>
      </c>
      <c r="B290" s="188" t="n">
        <v>46196.1992521716</v>
      </c>
      <c r="C290" s="188" t="n">
        <v>46196.2152475419</v>
      </c>
      <c r="D290" s="189" t="s">
        <v>635</v>
      </c>
      <c r="E290" s="189" t="s">
        <v>636</v>
      </c>
      <c r="F290" s="189" t="s">
        <v>636</v>
      </c>
      <c r="G290" s="189" t="s">
        <v>637</v>
      </c>
      <c r="H290" s="188" t="n">
        <v>46178</v>
      </c>
      <c r="I290" s="189" t="s">
        <v>113</v>
      </c>
      <c r="J290" s="189" t="s">
        <v>295</v>
      </c>
      <c r="K290" s="189" t="s">
        <v>232</v>
      </c>
      <c r="L290" s="189" t="s">
        <v>389</v>
      </c>
      <c r="M290" s="189" t="s">
        <v>279</v>
      </c>
      <c r="N290" s="189" t="s">
        <v>638</v>
      </c>
      <c r="O290" s="189" t="s">
        <v>172</v>
      </c>
      <c r="P290" s="189" t="s">
        <v>131</v>
      </c>
      <c r="Q290" s="189" t="s">
        <v>112</v>
      </c>
      <c r="R290" s="189" t="s">
        <v>22</v>
      </c>
      <c r="S290" s="189" t="s">
        <v>120</v>
      </c>
      <c r="T290" s="189" t="s">
        <v>180</v>
      </c>
      <c r="U290" s="132" t="s">
        <v>641</v>
      </c>
      <c r="V290" s="189" t="s">
        <v>167</v>
      </c>
      <c r="W290" s="189" t="s">
        <v>124</v>
      </c>
      <c r="X290" s="189" t="s">
        <v>135</v>
      </c>
      <c r="Y290" s="189" t="s">
        <v>3064</v>
      </c>
      <c r="Z290" s="0" t="n">
        <v>3</v>
      </c>
      <c r="AA290" s="189" t="s">
        <v>3071</v>
      </c>
    </row>
    <row r="291" customFormat="false" ht="15" hidden="false" customHeight="true" outlineLevel="0" collapsed="false">
      <c r="A291" s="0" t="n">
        <v>60</v>
      </c>
      <c r="B291" s="188" t="n">
        <v>46196.1992521716</v>
      </c>
      <c r="C291" s="188" t="n">
        <v>46196.2152475419</v>
      </c>
      <c r="D291" s="189" t="s">
        <v>635</v>
      </c>
      <c r="E291" s="189" t="s">
        <v>636</v>
      </c>
      <c r="F291" s="189" t="s">
        <v>636</v>
      </c>
      <c r="G291" s="189" t="s">
        <v>637</v>
      </c>
      <c r="H291" s="188" t="n">
        <v>46178</v>
      </c>
      <c r="I291" s="189" t="s">
        <v>113</v>
      </c>
      <c r="J291" s="189" t="s">
        <v>295</v>
      </c>
      <c r="K291" s="189" t="s">
        <v>232</v>
      </c>
      <c r="L291" s="189" t="s">
        <v>389</v>
      </c>
      <c r="M291" s="189" t="s">
        <v>279</v>
      </c>
      <c r="N291" s="189" t="s">
        <v>638</v>
      </c>
      <c r="O291" s="189" t="s">
        <v>172</v>
      </c>
      <c r="P291" s="189" t="s">
        <v>131</v>
      </c>
      <c r="Q291" s="189" t="s">
        <v>112</v>
      </c>
      <c r="R291" s="189" t="s">
        <v>22</v>
      </c>
      <c r="S291" s="189" t="s">
        <v>120</v>
      </c>
      <c r="T291" s="189" t="s">
        <v>180</v>
      </c>
      <c r="U291" s="132" t="s">
        <v>641</v>
      </c>
      <c r="V291" s="189" t="s">
        <v>167</v>
      </c>
      <c r="W291" s="189" t="s">
        <v>124</v>
      </c>
      <c r="X291" s="189" t="s">
        <v>135</v>
      </c>
      <c r="Y291" s="189" t="s">
        <v>3066</v>
      </c>
      <c r="Z291" s="0" t="n">
        <v>1</v>
      </c>
      <c r="AA291" s="189" t="s">
        <v>3151</v>
      </c>
    </row>
    <row r="292" customFormat="false" ht="15" hidden="false" customHeight="true" outlineLevel="0" collapsed="false">
      <c r="A292" s="0" t="n">
        <v>60</v>
      </c>
      <c r="B292" s="188" t="n">
        <v>46196.1992521716</v>
      </c>
      <c r="C292" s="188" t="n">
        <v>46196.2152475419</v>
      </c>
      <c r="D292" s="189" t="s">
        <v>635</v>
      </c>
      <c r="E292" s="189" t="s">
        <v>636</v>
      </c>
      <c r="F292" s="189" t="s">
        <v>636</v>
      </c>
      <c r="G292" s="189" t="s">
        <v>637</v>
      </c>
      <c r="H292" s="188" t="n">
        <v>46178</v>
      </c>
      <c r="I292" s="189" t="s">
        <v>113</v>
      </c>
      <c r="J292" s="189" t="s">
        <v>295</v>
      </c>
      <c r="K292" s="189" t="s">
        <v>232</v>
      </c>
      <c r="L292" s="189" t="s">
        <v>389</v>
      </c>
      <c r="M292" s="189" t="s">
        <v>279</v>
      </c>
      <c r="N292" s="189" t="s">
        <v>638</v>
      </c>
      <c r="O292" s="189" t="s">
        <v>172</v>
      </c>
      <c r="P292" s="189" t="s">
        <v>131</v>
      </c>
      <c r="Q292" s="189" t="s">
        <v>112</v>
      </c>
      <c r="R292" s="189" t="s">
        <v>22</v>
      </c>
      <c r="S292" s="189" t="s">
        <v>120</v>
      </c>
      <c r="T292" s="189" t="s">
        <v>180</v>
      </c>
      <c r="U292" s="132" t="s">
        <v>641</v>
      </c>
      <c r="V292" s="189" t="s">
        <v>167</v>
      </c>
      <c r="W292" s="189" t="s">
        <v>124</v>
      </c>
      <c r="X292" s="189" t="s">
        <v>135</v>
      </c>
      <c r="Y292" s="189" t="s">
        <v>3069</v>
      </c>
      <c r="Z292" s="0" t="n">
        <v>1</v>
      </c>
      <c r="AA292" s="189" t="s">
        <v>3152</v>
      </c>
    </row>
    <row r="293" customFormat="false" ht="15" hidden="false" customHeight="true" outlineLevel="0" collapsed="false">
      <c r="A293" s="0" t="n">
        <v>61</v>
      </c>
      <c r="B293" s="188" t="n">
        <v>46144.2024289185</v>
      </c>
      <c r="C293" s="188" t="n">
        <v>46144.2142691962</v>
      </c>
      <c r="D293" s="189" t="s">
        <v>642</v>
      </c>
      <c r="E293" s="189" t="s">
        <v>643</v>
      </c>
      <c r="F293" s="189" t="s">
        <v>643</v>
      </c>
      <c r="G293" s="189" t="s">
        <v>644</v>
      </c>
      <c r="H293" s="188" t="n">
        <v>46131</v>
      </c>
      <c r="I293" s="189" t="s">
        <v>113</v>
      </c>
      <c r="J293" s="189" t="s">
        <v>108</v>
      </c>
      <c r="K293" s="189" t="s">
        <v>196</v>
      </c>
      <c r="L293" s="189" t="s">
        <v>197</v>
      </c>
      <c r="M293" s="189" t="s">
        <v>234</v>
      </c>
      <c r="N293" s="189" t="s">
        <v>645</v>
      </c>
      <c r="O293" s="189" t="s">
        <v>244</v>
      </c>
      <c r="P293" s="189" t="s">
        <v>111</v>
      </c>
      <c r="Q293" s="189" t="s">
        <v>112</v>
      </c>
      <c r="R293" s="189" t="s">
        <v>22</v>
      </c>
      <c r="S293" s="189" t="s">
        <v>152</v>
      </c>
      <c r="T293" s="189" t="s">
        <v>121</v>
      </c>
      <c r="V293" s="189" t="s">
        <v>167</v>
      </c>
      <c r="W293" s="189" t="s">
        <v>124</v>
      </c>
      <c r="X293" s="189" t="s">
        <v>271</v>
      </c>
      <c r="Y293" s="189" t="s">
        <v>3064</v>
      </c>
      <c r="Z293" s="0" t="n">
        <v>1</v>
      </c>
      <c r="AA293" s="189" t="s">
        <v>3135</v>
      </c>
    </row>
    <row r="294" customFormat="false" ht="15" hidden="false" customHeight="true" outlineLevel="0" collapsed="false">
      <c r="A294" s="0" t="n">
        <v>61</v>
      </c>
      <c r="B294" s="188" t="n">
        <v>46144.2024289185</v>
      </c>
      <c r="C294" s="188" t="n">
        <v>46144.2142691962</v>
      </c>
      <c r="D294" s="189" t="s">
        <v>642</v>
      </c>
      <c r="E294" s="189" t="s">
        <v>643</v>
      </c>
      <c r="F294" s="189" t="s">
        <v>643</v>
      </c>
      <c r="G294" s="189" t="s">
        <v>644</v>
      </c>
      <c r="H294" s="188" t="n">
        <v>46131</v>
      </c>
      <c r="I294" s="189" t="s">
        <v>113</v>
      </c>
      <c r="J294" s="189" t="s">
        <v>108</v>
      </c>
      <c r="K294" s="189" t="s">
        <v>196</v>
      </c>
      <c r="L294" s="189" t="s">
        <v>197</v>
      </c>
      <c r="M294" s="189" t="s">
        <v>234</v>
      </c>
      <c r="N294" s="189" t="s">
        <v>645</v>
      </c>
      <c r="O294" s="189" t="s">
        <v>244</v>
      </c>
      <c r="P294" s="189" t="s">
        <v>111</v>
      </c>
      <c r="Q294" s="189" t="s">
        <v>112</v>
      </c>
      <c r="R294" s="189" t="s">
        <v>22</v>
      </c>
      <c r="S294" s="189" t="s">
        <v>152</v>
      </c>
      <c r="T294" s="189" t="s">
        <v>121</v>
      </c>
      <c r="V294" s="189" t="s">
        <v>167</v>
      </c>
      <c r="W294" s="189" t="s">
        <v>124</v>
      </c>
      <c r="X294" s="189" t="s">
        <v>271</v>
      </c>
      <c r="Y294" s="189" t="s">
        <v>3066</v>
      </c>
      <c r="Z294" s="0" t="n">
        <v>1</v>
      </c>
      <c r="AA294" s="189" t="s">
        <v>3116</v>
      </c>
    </row>
    <row r="295" customFormat="false" ht="15" hidden="false" customHeight="true" outlineLevel="0" collapsed="false">
      <c r="A295" s="0" t="n">
        <v>61</v>
      </c>
      <c r="B295" s="188" t="n">
        <v>46144.2024289185</v>
      </c>
      <c r="C295" s="188" t="n">
        <v>46144.2142691962</v>
      </c>
      <c r="D295" s="189" t="s">
        <v>642</v>
      </c>
      <c r="E295" s="189" t="s">
        <v>643</v>
      </c>
      <c r="F295" s="189" t="s">
        <v>643</v>
      </c>
      <c r="G295" s="189" t="s">
        <v>644</v>
      </c>
      <c r="H295" s="188" t="n">
        <v>46131</v>
      </c>
      <c r="I295" s="189" t="s">
        <v>113</v>
      </c>
      <c r="J295" s="189" t="s">
        <v>108</v>
      </c>
      <c r="K295" s="189" t="s">
        <v>196</v>
      </c>
      <c r="L295" s="189" t="s">
        <v>197</v>
      </c>
      <c r="M295" s="189" t="s">
        <v>234</v>
      </c>
      <c r="N295" s="189" t="s">
        <v>645</v>
      </c>
      <c r="O295" s="189" t="s">
        <v>244</v>
      </c>
      <c r="P295" s="189" t="s">
        <v>111</v>
      </c>
      <c r="Q295" s="189" t="s">
        <v>112</v>
      </c>
      <c r="R295" s="189" t="s">
        <v>22</v>
      </c>
      <c r="S295" s="189" t="s">
        <v>152</v>
      </c>
      <c r="T295" s="189" t="s">
        <v>121</v>
      </c>
      <c r="V295" s="189" t="s">
        <v>167</v>
      </c>
      <c r="W295" s="189" t="s">
        <v>124</v>
      </c>
      <c r="X295" s="189" t="s">
        <v>271</v>
      </c>
      <c r="Y295" s="189" t="s">
        <v>3066</v>
      </c>
      <c r="Z295" s="0" t="n">
        <v>2</v>
      </c>
      <c r="AA295" s="189" t="s">
        <v>3137</v>
      </c>
    </row>
    <row r="296" customFormat="false" ht="15" hidden="false" customHeight="true" outlineLevel="0" collapsed="false">
      <c r="A296" s="0" t="n">
        <v>61</v>
      </c>
      <c r="B296" s="188" t="n">
        <v>46144.2024289185</v>
      </c>
      <c r="C296" s="188" t="n">
        <v>46144.2142691962</v>
      </c>
      <c r="D296" s="189" t="s">
        <v>642</v>
      </c>
      <c r="E296" s="189" t="s">
        <v>643</v>
      </c>
      <c r="F296" s="189" t="s">
        <v>643</v>
      </c>
      <c r="G296" s="189" t="s">
        <v>644</v>
      </c>
      <c r="H296" s="188" t="n">
        <v>46131</v>
      </c>
      <c r="I296" s="189" t="s">
        <v>113</v>
      </c>
      <c r="J296" s="189" t="s">
        <v>108</v>
      </c>
      <c r="K296" s="189" t="s">
        <v>196</v>
      </c>
      <c r="L296" s="189" t="s">
        <v>197</v>
      </c>
      <c r="M296" s="189" t="s">
        <v>234</v>
      </c>
      <c r="N296" s="189" t="s">
        <v>645</v>
      </c>
      <c r="O296" s="189" t="s">
        <v>244</v>
      </c>
      <c r="P296" s="189" t="s">
        <v>111</v>
      </c>
      <c r="Q296" s="189" t="s">
        <v>112</v>
      </c>
      <c r="R296" s="189" t="s">
        <v>22</v>
      </c>
      <c r="S296" s="189" t="s">
        <v>152</v>
      </c>
      <c r="T296" s="189" t="s">
        <v>121</v>
      </c>
      <c r="V296" s="189" t="s">
        <v>167</v>
      </c>
      <c r="W296" s="189" t="s">
        <v>124</v>
      </c>
      <c r="X296" s="189" t="s">
        <v>271</v>
      </c>
      <c r="Y296" s="189" t="s">
        <v>3069</v>
      </c>
      <c r="Z296" s="0" t="n">
        <v>1</v>
      </c>
      <c r="AA296" s="189" t="s">
        <v>122</v>
      </c>
    </row>
    <row r="297" customFormat="false" ht="15" hidden="false" customHeight="true" outlineLevel="0" collapsed="false">
      <c r="A297" s="0" t="n">
        <v>61</v>
      </c>
      <c r="B297" s="188" t="n">
        <v>46144.2024289185</v>
      </c>
      <c r="C297" s="188" t="n">
        <v>46144.2142691962</v>
      </c>
      <c r="D297" s="189" t="s">
        <v>642</v>
      </c>
      <c r="E297" s="189" t="s">
        <v>643</v>
      </c>
      <c r="F297" s="189" t="s">
        <v>643</v>
      </c>
      <c r="G297" s="189" t="s">
        <v>644</v>
      </c>
      <c r="H297" s="188" t="n">
        <v>46131</v>
      </c>
      <c r="I297" s="189" t="s">
        <v>113</v>
      </c>
      <c r="J297" s="189" t="s">
        <v>108</v>
      </c>
      <c r="K297" s="189" t="s">
        <v>196</v>
      </c>
      <c r="L297" s="189" t="s">
        <v>197</v>
      </c>
      <c r="M297" s="189" t="s">
        <v>234</v>
      </c>
      <c r="N297" s="189" t="s">
        <v>645</v>
      </c>
      <c r="O297" s="189" t="s">
        <v>244</v>
      </c>
      <c r="P297" s="189" t="s">
        <v>111</v>
      </c>
      <c r="Q297" s="189" t="s">
        <v>112</v>
      </c>
      <c r="R297" s="189" t="s">
        <v>22</v>
      </c>
      <c r="S297" s="189" t="s">
        <v>152</v>
      </c>
      <c r="T297" s="189" t="s">
        <v>121</v>
      </c>
      <c r="V297" s="189" t="s">
        <v>167</v>
      </c>
      <c r="W297" s="189" t="s">
        <v>124</v>
      </c>
      <c r="X297" s="189" t="s">
        <v>271</v>
      </c>
      <c r="Y297" s="189" t="s">
        <v>3069</v>
      </c>
      <c r="Z297" s="0" t="n">
        <v>2</v>
      </c>
      <c r="AA297" s="189" t="s">
        <v>3119</v>
      </c>
    </row>
    <row r="298" customFormat="false" ht="15" hidden="false" customHeight="true" outlineLevel="0" collapsed="false">
      <c r="A298" s="0" t="n">
        <v>62</v>
      </c>
      <c r="B298" s="188" t="n">
        <v>46126.0561501729</v>
      </c>
      <c r="C298" s="188" t="n">
        <v>46126.0650506359</v>
      </c>
      <c r="D298" s="189" t="s">
        <v>649</v>
      </c>
      <c r="E298" s="189" t="s">
        <v>650</v>
      </c>
      <c r="F298" s="189" t="s">
        <v>650</v>
      </c>
      <c r="G298" s="189" t="s">
        <v>651</v>
      </c>
      <c r="H298" s="188" t="n">
        <v>46118</v>
      </c>
      <c r="I298" s="189" t="s">
        <v>113</v>
      </c>
      <c r="J298" s="189" t="s">
        <v>108</v>
      </c>
      <c r="K298" s="189" t="s">
        <v>245</v>
      </c>
      <c r="L298" s="189" t="s">
        <v>491</v>
      </c>
      <c r="M298" s="189" t="s">
        <v>652</v>
      </c>
      <c r="N298" s="189" t="s">
        <v>653</v>
      </c>
      <c r="O298" s="189" t="s">
        <v>172</v>
      </c>
      <c r="P298" s="189" t="s">
        <v>211</v>
      </c>
      <c r="Q298" s="189" t="s">
        <v>145</v>
      </c>
      <c r="R298" s="189" t="s">
        <v>21</v>
      </c>
      <c r="S298" s="189" t="s">
        <v>152</v>
      </c>
      <c r="T298" s="189" t="s">
        <v>352</v>
      </c>
      <c r="V298" s="189" t="s">
        <v>167</v>
      </c>
      <c r="W298" s="189" t="s">
        <v>124</v>
      </c>
      <c r="X298" s="189" t="s">
        <v>374</v>
      </c>
      <c r="Y298" s="189" t="s">
        <v>3064</v>
      </c>
      <c r="Z298" s="0" t="n">
        <v>1</v>
      </c>
      <c r="AA298" s="189" t="s">
        <v>3154</v>
      </c>
    </row>
    <row r="299" customFormat="false" ht="15" hidden="false" customHeight="true" outlineLevel="0" collapsed="false">
      <c r="A299" s="0" t="n">
        <v>62</v>
      </c>
      <c r="B299" s="188" t="n">
        <v>46126.0561501729</v>
      </c>
      <c r="C299" s="188" t="n">
        <v>46126.0650506359</v>
      </c>
      <c r="D299" s="189" t="s">
        <v>649</v>
      </c>
      <c r="E299" s="189" t="s">
        <v>650</v>
      </c>
      <c r="F299" s="189" t="s">
        <v>650</v>
      </c>
      <c r="G299" s="189" t="s">
        <v>651</v>
      </c>
      <c r="H299" s="188" t="n">
        <v>46118</v>
      </c>
      <c r="I299" s="189" t="s">
        <v>113</v>
      </c>
      <c r="J299" s="189" t="s">
        <v>108</v>
      </c>
      <c r="K299" s="189" t="s">
        <v>245</v>
      </c>
      <c r="L299" s="189" t="s">
        <v>491</v>
      </c>
      <c r="M299" s="189" t="s">
        <v>652</v>
      </c>
      <c r="N299" s="189" t="s">
        <v>653</v>
      </c>
      <c r="O299" s="189" t="s">
        <v>172</v>
      </c>
      <c r="P299" s="189" t="s">
        <v>211</v>
      </c>
      <c r="Q299" s="189" t="s">
        <v>145</v>
      </c>
      <c r="R299" s="189" t="s">
        <v>21</v>
      </c>
      <c r="S299" s="189" t="s">
        <v>152</v>
      </c>
      <c r="T299" s="189" t="s">
        <v>352</v>
      </c>
      <c r="V299" s="189" t="s">
        <v>167</v>
      </c>
      <c r="W299" s="189" t="s">
        <v>124</v>
      </c>
      <c r="X299" s="189" t="s">
        <v>374</v>
      </c>
      <c r="Y299" s="189" t="s">
        <v>3064</v>
      </c>
      <c r="Z299" s="0" t="n">
        <v>2</v>
      </c>
      <c r="AA299" s="189" t="s">
        <v>3153</v>
      </c>
    </row>
    <row r="300" customFormat="false" ht="15" hidden="false" customHeight="true" outlineLevel="0" collapsed="false">
      <c r="A300" s="0" t="n">
        <v>62</v>
      </c>
      <c r="B300" s="188" t="n">
        <v>46126.0561501729</v>
      </c>
      <c r="C300" s="188" t="n">
        <v>46126.0650506359</v>
      </c>
      <c r="D300" s="189" t="s">
        <v>649</v>
      </c>
      <c r="E300" s="189" t="s">
        <v>650</v>
      </c>
      <c r="F300" s="189" t="s">
        <v>650</v>
      </c>
      <c r="G300" s="189" t="s">
        <v>651</v>
      </c>
      <c r="H300" s="188" t="n">
        <v>46118</v>
      </c>
      <c r="I300" s="189" t="s">
        <v>113</v>
      </c>
      <c r="J300" s="189" t="s">
        <v>108</v>
      </c>
      <c r="K300" s="189" t="s">
        <v>245</v>
      </c>
      <c r="L300" s="189" t="s">
        <v>491</v>
      </c>
      <c r="M300" s="189" t="s">
        <v>652</v>
      </c>
      <c r="N300" s="189" t="s">
        <v>653</v>
      </c>
      <c r="O300" s="189" t="s">
        <v>172</v>
      </c>
      <c r="P300" s="189" t="s">
        <v>211</v>
      </c>
      <c r="Q300" s="189" t="s">
        <v>145</v>
      </c>
      <c r="R300" s="189" t="s">
        <v>21</v>
      </c>
      <c r="S300" s="189" t="s">
        <v>152</v>
      </c>
      <c r="T300" s="189" t="s">
        <v>352</v>
      </c>
      <c r="V300" s="189" t="s">
        <v>167</v>
      </c>
      <c r="W300" s="189" t="s">
        <v>124</v>
      </c>
      <c r="X300" s="189" t="s">
        <v>374</v>
      </c>
      <c r="Y300" s="189" t="s">
        <v>3064</v>
      </c>
      <c r="Z300" s="0" t="n">
        <v>3</v>
      </c>
      <c r="AA300" s="189" t="s">
        <v>3155</v>
      </c>
    </row>
    <row r="301" customFormat="false" ht="15" hidden="false" customHeight="true" outlineLevel="0" collapsed="false">
      <c r="A301" s="0" t="n">
        <v>62</v>
      </c>
      <c r="B301" s="188" t="n">
        <v>46126.0561501729</v>
      </c>
      <c r="C301" s="188" t="n">
        <v>46126.0650506359</v>
      </c>
      <c r="D301" s="189" t="s">
        <v>649</v>
      </c>
      <c r="E301" s="189" t="s">
        <v>650</v>
      </c>
      <c r="F301" s="189" t="s">
        <v>650</v>
      </c>
      <c r="G301" s="189" t="s">
        <v>651</v>
      </c>
      <c r="H301" s="188" t="n">
        <v>46118</v>
      </c>
      <c r="I301" s="189" t="s">
        <v>113</v>
      </c>
      <c r="J301" s="189" t="s">
        <v>108</v>
      </c>
      <c r="K301" s="189" t="s">
        <v>245</v>
      </c>
      <c r="L301" s="189" t="s">
        <v>491</v>
      </c>
      <c r="M301" s="189" t="s">
        <v>652</v>
      </c>
      <c r="N301" s="189" t="s">
        <v>653</v>
      </c>
      <c r="O301" s="189" t="s">
        <v>172</v>
      </c>
      <c r="P301" s="189" t="s">
        <v>211</v>
      </c>
      <c r="Q301" s="189" t="s">
        <v>145</v>
      </c>
      <c r="R301" s="189" t="s">
        <v>21</v>
      </c>
      <c r="S301" s="189" t="s">
        <v>152</v>
      </c>
      <c r="T301" s="189" t="s">
        <v>352</v>
      </c>
      <c r="V301" s="189" t="s">
        <v>167</v>
      </c>
      <c r="W301" s="189" t="s">
        <v>124</v>
      </c>
      <c r="X301" s="189" t="s">
        <v>374</v>
      </c>
      <c r="Y301" s="189" t="s">
        <v>3066</v>
      </c>
      <c r="Z301" s="0" t="n">
        <v>1</v>
      </c>
      <c r="AA301" s="189" t="s">
        <v>3214</v>
      </c>
    </row>
    <row r="302" customFormat="false" ht="15" hidden="false" customHeight="true" outlineLevel="0" collapsed="false">
      <c r="A302" s="0" t="n">
        <v>62</v>
      </c>
      <c r="B302" s="188" t="n">
        <v>46126.0561501729</v>
      </c>
      <c r="C302" s="188" t="n">
        <v>46126.0650506359</v>
      </c>
      <c r="D302" s="189" t="s">
        <v>649</v>
      </c>
      <c r="E302" s="189" t="s">
        <v>650</v>
      </c>
      <c r="F302" s="189" t="s">
        <v>650</v>
      </c>
      <c r="G302" s="189" t="s">
        <v>651</v>
      </c>
      <c r="H302" s="188" t="n">
        <v>46118</v>
      </c>
      <c r="I302" s="189" t="s">
        <v>113</v>
      </c>
      <c r="J302" s="189" t="s">
        <v>108</v>
      </c>
      <c r="K302" s="189" t="s">
        <v>245</v>
      </c>
      <c r="L302" s="189" t="s">
        <v>491</v>
      </c>
      <c r="M302" s="189" t="s">
        <v>652</v>
      </c>
      <c r="N302" s="189" t="s">
        <v>653</v>
      </c>
      <c r="O302" s="189" t="s">
        <v>172</v>
      </c>
      <c r="P302" s="189" t="s">
        <v>211</v>
      </c>
      <c r="Q302" s="189" t="s">
        <v>145</v>
      </c>
      <c r="R302" s="189" t="s">
        <v>21</v>
      </c>
      <c r="S302" s="189" t="s">
        <v>152</v>
      </c>
      <c r="T302" s="189" t="s">
        <v>352</v>
      </c>
      <c r="V302" s="189" t="s">
        <v>167</v>
      </c>
      <c r="W302" s="189" t="s">
        <v>124</v>
      </c>
      <c r="X302" s="189" t="s">
        <v>374</v>
      </c>
      <c r="Y302" s="189" t="s">
        <v>3069</v>
      </c>
      <c r="Z302" s="0" t="n">
        <v>1</v>
      </c>
      <c r="AA302" s="189" t="s">
        <v>3157</v>
      </c>
    </row>
    <row r="303" customFormat="false" ht="15" hidden="false" customHeight="true" outlineLevel="0" collapsed="false">
      <c r="A303" s="0" t="n">
        <v>62</v>
      </c>
      <c r="B303" s="188" t="n">
        <v>46126.0561501729</v>
      </c>
      <c r="C303" s="188" t="n">
        <v>46126.0650506359</v>
      </c>
      <c r="D303" s="189" t="s">
        <v>649</v>
      </c>
      <c r="E303" s="189" t="s">
        <v>650</v>
      </c>
      <c r="F303" s="189" t="s">
        <v>650</v>
      </c>
      <c r="G303" s="189" t="s">
        <v>651</v>
      </c>
      <c r="H303" s="188" t="n">
        <v>46118</v>
      </c>
      <c r="I303" s="189" t="s">
        <v>113</v>
      </c>
      <c r="J303" s="189" t="s">
        <v>108</v>
      </c>
      <c r="K303" s="189" t="s">
        <v>245</v>
      </c>
      <c r="L303" s="189" t="s">
        <v>491</v>
      </c>
      <c r="M303" s="189" t="s">
        <v>652</v>
      </c>
      <c r="N303" s="189" t="s">
        <v>653</v>
      </c>
      <c r="O303" s="189" t="s">
        <v>172</v>
      </c>
      <c r="P303" s="189" t="s">
        <v>211</v>
      </c>
      <c r="Q303" s="189" t="s">
        <v>145</v>
      </c>
      <c r="R303" s="189" t="s">
        <v>21</v>
      </c>
      <c r="S303" s="189" t="s">
        <v>152</v>
      </c>
      <c r="T303" s="189" t="s">
        <v>352</v>
      </c>
      <c r="V303" s="189" t="s">
        <v>167</v>
      </c>
      <c r="W303" s="189" t="s">
        <v>124</v>
      </c>
      <c r="X303" s="189" t="s">
        <v>374</v>
      </c>
      <c r="Y303" s="189" t="s">
        <v>3069</v>
      </c>
      <c r="Z303" s="0" t="n">
        <v>2</v>
      </c>
      <c r="AA303" s="189" t="s">
        <v>3158</v>
      </c>
    </row>
    <row r="304" customFormat="false" ht="15" hidden="false" customHeight="true" outlineLevel="0" collapsed="false">
      <c r="A304" s="0" t="n">
        <v>63</v>
      </c>
      <c r="B304" s="188" t="n">
        <v>46149.5784862118</v>
      </c>
      <c r="C304" s="188" t="n">
        <v>46149.5910672303</v>
      </c>
      <c r="D304" s="189" t="s">
        <v>656</v>
      </c>
      <c r="E304" s="189" t="s">
        <v>657</v>
      </c>
      <c r="F304" s="189" t="s">
        <v>657</v>
      </c>
      <c r="G304" s="189" t="s">
        <v>658</v>
      </c>
      <c r="H304" s="188" t="n">
        <v>46145</v>
      </c>
      <c r="I304" s="189" t="s">
        <v>336</v>
      </c>
      <c r="J304" s="189" t="s">
        <v>108</v>
      </c>
      <c r="K304" s="189" t="s">
        <v>245</v>
      </c>
      <c r="L304" s="189" t="s">
        <v>389</v>
      </c>
      <c r="M304" s="189" t="s">
        <v>391</v>
      </c>
      <c r="N304" s="189" t="s">
        <v>440</v>
      </c>
      <c r="O304" s="189" t="s">
        <v>107</v>
      </c>
      <c r="P304" s="189" t="s">
        <v>111</v>
      </c>
      <c r="Q304" s="189" t="s">
        <v>112</v>
      </c>
      <c r="R304" s="189" t="s">
        <v>22</v>
      </c>
      <c r="S304" s="189" t="s">
        <v>320</v>
      </c>
      <c r="T304" s="189" t="s">
        <v>121</v>
      </c>
      <c r="U304" s="189" t="s">
        <v>122</v>
      </c>
      <c r="V304" s="189" t="s">
        <v>167</v>
      </c>
      <c r="W304" s="189" t="s">
        <v>139</v>
      </c>
      <c r="X304" s="189" t="s">
        <v>148</v>
      </c>
      <c r="Y304" s="189" t="s">
        <v>3064</v>
      </c>
      <c r="Z304" s="0" t="n">
        <v>1</v>
      </c>
      <c r="AA304" s="189" t="s">
        <v>3076</v>
      </c>
    </row>
    <row r="305" customFormat="false" ht="15" hidden="false" customHeight="true" outlineLevel="0" collapsed="false">
      <c r="A305" s="0" t="n">
        <v>63</v>
      </c>
      <c r="B305" s="188" t="n">
        <v>46149.5784862118</v>
      </c>
      <c r="C305" s="188" t="n">
        <v>46149.5910672303</v>
      </c>
      <c r="D305" s="189" t="s">
        <v>656</v>
      </c>
      <c r="E305" s="189" t="s">
        <v>657</v>
      </c>
      <c r="F305" s="189" t="s">
        <v>657</v>
      </c>
      <c r="G305" s="189" t="s">
        <v>658</v>
      </c>
      <c r="H305" s="188" t="n">
        <v>46145</v>
      </c>
      <c r="I305" s="189" t="s">
        <v>336</v>
      </c>
      <c r="J305" s="189" t="s">
        <v>108</v>
      </c>
      <c r="K305" s="189" t="s">
        <v>245</v>
      </c>
      <c r="L305" s="189" t="s">
        <v>389</v>
      </c>
      <c r="M305" s="189" t="s">
        <v>391</v>
      </c>
      <c r="N305" s="189" t="s">
        <v>440</v>
      </c>
      <c r="O305" s="189" t="s">
        <v>107</v>
      </c>
      <c r="P305" s="189" t="s">
        <v>111</v>
      </c>
      <c r="Q305" s="189" t="s">
        <v>112</v>
      </c>
      <c r="R305" s="189" t="s">
        <v>22</v>
      </c>
      <c r="S305" s="189" t="s">
        <v>320</v>
      </c>
      <c r="T305" s="189" t="s">
        <v>121</v>
      </c>
      <c r="U305" s="189" t="s">
        <v>122</v>
      </c>
      <c r="V305" s="189" t="s">
        <v>167</v>
      </c>
      <c r="W305" s="189" t="s">
        <v>139</v>
      </c>
      <c r="X305" s="189" t="s">
        <v>148</v>
      </c>
      <c r="Y305" s="189" t="s">
        <v>3064</v>
      </c>
      <c r="Z305" s="0" t="n">
        <v>2</v>
      </c>
      <c r="AA305" s="189" t="s">
        <v>3092</v>
      </c>
    </row>
    <row r="306" customFormat="false" ht="15" hidden="false" customHeight="true" outlineLevel="0" collapsed="false">
      <c r="A306" s="0" t="n">
        <v>63</v>
      </c>
      <c r="B306" s="188" t="n">
        <v>46149.5784862118</v>
      </c>
      <c r="C306" s="188" t="n">
        <v>46149.5910672303</v>
      </c>
      <c r="D306" s="189" t="s">
        <v>656</v>
      </c>
      <c r="E306" s="189" t="s">
        <v>657</v>
      </c>
      <c r="F306" s="189" t="s">
        <v>657</v>
      </c>
      <c r="G306" s="189" t="s">
        <v>658</v>
      </c>
      <c r="H306" s="188" t="n">
        <v>46145</v>
      </c>
      <c r="I306" s="189" t="s">
        <v>336</v>
      </c>
      <c r="J306" s="189" t="s">
        <v>108</v>
      </c>
      <c r="K306" s="189" t="s">
        <v>245</v>
      </c>
      <c r="L306" s="189" t="s">
        <v>389</v>
      </c>
      <c r="M306" s="189" t="s">
        <v>391</v>
      </c>
      <c r="N306" s="189" t="s">
        <v>440</v>
      </c>
      <c r="O306" s="189" t="s">
        <v>107</v>
      </c>
      <c r="P306" s="189" t="s">
        <v>111</v>
      </c>
      <c r="Q306" s="189" t="s">
        <v>112</v>
      </c>
      <c r="R306" s="189" t="s">
        <v>22</v>
      </c>
      <c r="S306" s="189" t="s">
        <v>320</v>
      </c>
      <c r="T306" s="189" t="s">
        <v>121</v>
      </c>
      <c r="U306" s="189" t="s">
        <v>122</v>
      </c>
      <c r="V306" s="189" t="s">
        <v>167</v>
      </c>
      <c r="W306" s="189" t="s">
        <v>139</v>
      </c>
      <c r="X306" s="189" t="s">
        <v>148</v>
      </c>
      <c r="Y306" s="189" t="s">
        <v>3064</v>
      </c>
      <c r="Z306" s="0" t="n">
        <v>3</v>
      </c>
      <c r="AA306" s="189" t="s">
        <v>3186</v>
      </c>
    </row>
    <row r="307" customFormat="false" ht="15" hidden="false" customHeight="true" outlineLevel="0" collapsed="false">
      <c r="A307" s="0" t="n">
        <v>63</v>
      </c>
      <c r="B307" s="188" t="n">
        <v>46149.5784862118</v>
      </c>
      <c r="C307" s="188" t="n">
        <v>46149.5910672303</v>
      </c>
      <c r="D307" s="189" t="s">
        <v>656</v>
      </c>
      <c r="E307" s="189" t="s">
        <v>657</v>
      </c>
      <c r="F307" s="189" t="s">
        <v>657</v>
      </c>
      <c r="G307" s="189" t="s">
        <v>658</v>
      </c>
      <c r="H307" s="188" t="n">
        <v>46145</v>
      </c>
      <c r="I307" s="189" t="s">
        <v>336</v>
      </c>
      <c r="J307" s="189" t="s">
        <v>108</v>
      </c>
      <c r="K307" s="189" t="s">
        <v>245</v>
      </c>
      <c r="L307" s="189" t="s">
        <v>389</v>
      </c>
      <c r="M307" s="189" t="s">
        <v>391</v>
      </c>
      <c r="N307" s="189" t="s">
        <v>440</v>
      </c>
      <c r="O307" s="189" t="s">
        <v>107</v>
      </c>
      <c r="P307" s="189" t="s">
        <v>111</v>
      </c>
      <c r="Q307" s="189" t="s">
        <v>112</v>
      </c>
      <c r="R307" s="189" t="s">
        <v>22</v>
      </c>
      <c r="S307" s="189" t="s">
        <v>320</v>
      </c>
      <c r="T307" s="189" t="s">
        <v>121</v>
      </c>
      <c r="U307" s="189" t="s">
        <v>122</v>
      </c>
      <c r="V307" s="189" t="s">
        <v>167</v>
      </c>
      <c r="W307" s="189" t="s">
        <v>139</v>
      </c>
      <c r="X307" s="189" t="s">
        <v>148</v>
      </c>
      <c r="Y307" s="189" t="s">
        <v>3066</v>
      </c>
      <c r="Z307" s="0" t="n">
        <v>1</v>
      </c>
      <c r="AA307" s="189" t="s">
        <v>3077</v>
      </c>
    </row>
    <row r="308" customFormat="false" ht="15" hidden="false" customHeight="true" outlineLevel="0" collapsed="false">
      <c r="A308" s="0" t="n">
        <v>63</v>
      </c>
      <c r="B308" s="188" t="n">
        <v>46149.5784862118</v>
      </c>
      <c r="C308" s="188" t="n">
        <v>46149.5910672303</v>
      </c>
      <c r="D308" s="189" t="s">
        <v>656</v>
      </c>
      <c r="E308" s="189" t="s">
        <v>657</v>
      </c>
      <c r="F308" s="189" t="s">
        <v>657</v>
      </c>
      <c r="G308" s="189" t="s">
        <v>658</v>
      </c>
      <c r="H308" s="188" t="n">
        <v>46145</v>
      </c>
      <c r="I308" s="189" t="s">
        <v>336</v>
      </c>
      <c r="J308" s="189" t="s">
        <v>108</v>
      </c>
      <c r="K308" s="189" t="s">
        <v>245</v>
      </c>
      <c r="L308" s="189" t="s">
        <v>389</v>
      </c>
      <c r="M308" s="189" t="s">
        <v>391</v>
      </c>
      <c r="N308" s="189" t="s">
        <v>440</v>
      </c>
      <c r="O308" s="189" t="s">
        <v>107</v>
      </c>
      <c r="P308" s="189" t="s">
        <v>111</v>
      </c>
      <c r="Q308" s="189" t="s">
        <v>112</v>
      </c>
      <c r="R308" s="189" t="s">
        <v>22</v>
      </c>
      <c r="S308" s="189" t="s">
        <v>320</v>
      </c>
      <c r="T308" s="189" t="s">
        <v>121</v>
      </c>
      <c r="U308" s="189" t="s">
        <v>122</v>
      </c>
      <c r="V308" s="189" t="s">
        <v>167</v>
      </c>
      <c r="W308" s="189" t="s">
        <v>139</v>
      </c>
      <c r="X308" s="189" t="s">
        <v>148</v>
      </c>
      <c r="Y308" s="189" t="s">
        <v>3069</v>
      </c>
      <c r="Z308" s="0" t="n">
        <v>1</v>
      </c>
      <c r="AA308" s="189" t="s">
        <v>3094</v>
      </c>
    </row>
    <row r="309" customFormat="false" ht="15" hidden="false" customHeight="true" outlineLevel="0" collapsed="false">
      <c r="A309" s="0" t="n">
        <v>63</v>
      </c>
      <c r="B309" s="188" t="n">
        <v>46149.5784862118</v>
      </c>
      <c r="C309" s="188" t="n">
        <v>46149.5910672303</v>
      </c>
      <c r="D309" s="189" t="s">
        <v>656</v>
      </c>
      <c r="E309" s="189" t="s">
        <v>657</v>
      </c>
      <c r="F309" s="189" t="s">
        <v>657</v>
      </c>
      <c r="G309" s="189" t="s">
        <v>658</v>
      </c>
      <c r="H309" s="188" t="n">
        <v>46145</v>
      </c>
      <c r="I309" s="189" t="s">
        <v>336</v>
      </c>
      <c r="J309" s="189" t="s">
        <v>108</v>
      </c>
      <c r="K309" s="189" t="s">
        <v>245</v>
      </c>
      <c r="L309" s="189" t="s">
        <v>389</v>
      </c>
      <c r="M309" s="189" t="s">
        <v>391</v>
      </c>
      <c r="N309" s="189" t="s">
        <v>440</v>
      </c>
      <c r="O309" s="189" t="s">
        <v>107</v>
      </c>
      <c r="P309" s="189" t="s">
        <v>111</v>
      </c>
      <c r="Q309" s="189" t="s">
        <v>112</v>
      </c>
      <c r="R309" s="189" t="s">
        <v>22</v>
      </c>
      <c r="S309" s="189" t="s">
        <v>320</v>
      </c>
      <c r="T309" s="189" t="s">
        <v>121</v>
      </c>
      <c r="U309" s="189" t="s">
        <v>122</v>
      </c>
      <c r="V309" s="189" t="s">
        <v>167</v>
      </c>
      <c r="W309" s="189" t="s">
        <v>139</v>
      </c>
      <c r="X309" s="189" t="s">
        <v>148</v>
      </c>
      <c r="Y309" s="189" t="s">
        <v>3069</v>
      </c>
      <c r="Z309" s="0" t="n">
        <v>2</v>
      </c>
      <c r="AA309" s="189" t="s">
        <v>3188</v>
      </c>
    </row>
    <row r="310" customFormat="false" ht="15" hidden="false" customHeight="true" outlineLevel="0" collapsed="false">
      <c r="A310" s="0" t="n">
        <v>64</v>
      </c>
      <c r="B310" s="188" t="n">
        <v>46094.6896283151</v>
      </c>
      <c r="C310" s="188" t="n">
        <v>46094.6935519262</v>
      </c>
      <c r="D310" s="189" t="s">
        <v>662</v>
      </c>
      <c r="E310" s="189" t="s">
        <v>663</v>
      </c>
      <c r="F310" s="189" t="s">
        <v>663</v>
      </c>
      <c r="G310" s="189" t="s">
        <v>664</v>
      </c>
      <c r="H310" s="188" t="n">
        <v>46074</v>
      </c>
      <c r="I310" s="189" t="s">
        <v>113</v>
      </c>
      <c r="J310" s="189" t="s">
        <v>108</v>
      </c>
      <c r="K310" s="189" t="s">
        <v>196</v>
      </c>
      <c r="L310" s="189" t="s">
        <v>346</v>
      </c>
      <c r="M310" s="189" t="s">
        <v>160</v>
      </c>
      <c r="N310" s="189" t="s">
        <v>665</v>
      </c>
      <c r="O310" s="189" t="s">
        <v>244</v>
      </c>
      <c r="P310" s="189" t="s">
        <v>111</v>
      </c>
      <c r="Q310" s="189" t="s">
        <v>112</v>
      </c>
      <c r="R310" s="189" t="s">
        <v>22</v>
      </c>
      <c r="S310" s="189" t="s">
        <v>152</v>
      </c>
      <c r="T310" s="189" t="s">
        <v>180</v>
      </c>
      <c r="V310" s="189" t="s">
        <v>123</v>
      </c>
      <c r="W310" s="189" t="s">
        <v>124</v>
      </c>
      <c r="X310" s="189" t="s">
        <v>298</v>
      </c>
      <c r="Y310" s="189" t="s">
        <v>3064</v>
      </c>
      <c r="Z310" s="0" t="n">
        <v>1</v>
      </c>
      <c r="AA310" s="189" t="s">
        <v>3207</v>
      </c>
    </row>
    <row r="311" customFormat="false" ht="15" hidden="false" customHeight="true" outlineLevel="0" collapsed="false">
      <c r="A311" s="0" t="n">
        <v>64</v>
      </c>
      <c r="B311" s="188" t="n">
        <v>46094.6896283151</v>
      </c>
      <c r="C311" s="188" t="n">
        <v>46094.6935519262</v>
      </c>
      <c r="D311" s="189" t="s">
        <v>662</v>
      </c>
      <c r="E311" s="189" t="s">
        <v>663</v>
      </c>
      <c r="F311" s="189" t="s">
        <v>663</v>
      </c>
      <c r="G311" s="189" t="s">
        <v>664</v>
      </c>
      <c r="H311" s="188" t="n">
        <v>46074</v>
      </c>
      <c r="I311" s="189" t="s">
        <v>113</v>
      </c>
      <c r="J311" s="189" t="s">
        <v>108</v>
      </c>
      <c r="K311" s="189" t="s">
        <v>196</v>
      </c>
      <c r="L311" s="189" t="s">
        <v>346</v>
      </c>
      <c r="M311" s="189" t="s">
        <v>160</v>
      </c>
      <c r="N311" s="189" t="s">
        <v>665</v>
      </c>
      <c r="O311" s="189" t="s">
        <v>244</v>
      </c>
      <c r="P311" s="189" t="s">
        <v>111</v>
      </c>
      <c r="Q311" s="189" t="s">
        <v>112</v>
      </c>
      <c r="R311" s="189" t="s">
        <v>22</v>
      </c>
      <c r="S311" s="189" t="s">
        <v>152</v>
      </c>
      <c r="T311" s="189" t="s">
        <v>180</v>
      </c>
      <c r="V311" s="189" t="s">
        <v>123</v>
      </c>
      <c r="W311" s="189" t="s">
        <v>124</v>
      </c>
      <c r="X311" s="189" t="s">
        <v>298</v>
      </c>
      <c r="Y311" s="189" t="s">
        <v>3066</v>
      </c>
      <c r="Z311" s="0" t="n">
        <v>1</v>
      </c>
      <c r="AA311" s="189" t="s">
        <v>3196</v>
      </c>
    </row>
    <row r="312" customFormat="false" ht="15" hidden="false" customHeight="true" outlineLevel="0" collapsed="false">
      <c r="A312" s="0" t="n">
        <v>64</v>
      </c>
      <c r="B312" s="188" t="n">
        <v>46094.6896283151</v>
      </c>
      <c r="C312" s="188" t="n">
        <v>46094.6935519262</v>
      </c>
      <c r="D312" s="189" t="s">
        <v>662</v>
      </c>
      <c r="E312" s="189" t="s">
        <v>663</v>
      </c>
      <c r="F312" s="189" t="s">
        <v>663</v>
      </c>
      <c r="G312" s="189" t="s">
        <v>664</v>
      </c>
      <c r="H312" s="188" t="n">
        <v>46074</v>
      </c>
      <c r="I312" s="189" t="s">
        <v>113</v>
      </c>
      <c r="J312" s="189" t="s">
        <v>108</v>
      </c>
      <c r="K312" s="189" t="s">
        <v>196</v>
      </c>
      <c r="L312" s="189" t="s">
        <v>346</v>
      </c>
      <c r="M312" s="189" t="s">
        <v>160</v>
      </c>
      <c r="N312" s="189" t="s">
        <v>665</v>
      </c>
      <c r="O312" s="189" t="s">
        <v>244</v>
      </c>
      <c r="P312" s="189" t="s">
        <v>111</v>
      </c>
      <c r="Q312" s="189" t="s">
        <v>112</v>
      </c>
      <c r="R312" s="189" t="s">
        <v>22</v>
      </c>
      <c r="S312" s="189" t="s">
        <v>152</v>
      </c>
      <c r="T312" s="189" t="s">
        <v>180</v>
      </c>
      <c r="V312" s="189" t="s">
        <v>123</v>
      </c>
      <c r="W312" s="189" t="s">
        <v>124</v>
      </c>
      <c r="X312" s="189" t="s">
        <v>298</v>
      </c>
      <c r="Y312" s="189" t="s">
        <v>3066</v>
      </c>
      <c r="Z312" s="0" t="n">
        <v>2</v>
      </c>
      <c r="AA312" s="189" t="s">
        <v>3126</v>
      </c>
    </row>
    <row r="313" customFormat="false" ht="15" hidden="false" customHeight="true" outlineLevel="0" collapsed="false">
      <c r="A313" s="0" t="n">
        <v>64</v>
      </c>
      <c r="B313" s="188" t="n">
        <v>46094.6896283151</v>
      </c>
      <c r="C313" s="188" t="n">
        <v>46094.6935519262</v>
      </c>
      <c r="D313" s="189" t="s">
        <v>662</v>
      </c>
      <c r="E313" s="189" t="s">
        <v>663</v>
      </c>
      <c r="F313" s="189" t="s">
        <v>663</v>
      </c>
      <c r="G313" s="189" t="s">
        <v>664</v>
      </c>
      <c r="H313" s="188" t="n">
        <v>46074</v>
      </c>
      <c r="I313" s="189" t="s">
        <v>113</v>
      </c>
      <c r="J313" s="189" t="s">
        <v>108</v>
      </c>
      <c r="K313" s="189" t="s">
        <v>196</v>
      </c>
      <c r="L313" s="189" t="s">
        <v>346</v>
      </c>
      <c r="M313" s="189" t="s">
        <v>160</v>
      </c>
      <c r="N313" s="189" t="s">
        <v>665</v>
      </c>
      <c r="O313" s="189" t="s">
        <v>244</v>
      </c>
      <c r="P313" s="189" t="s">
        <v>111</v>
      </c>
      <c r="Q313" s="189" t="s">
        <v>112</v>
      </c>
      <c r="R313" s="189" t="s">
        <v>22</v>
      </c>
      <c r="S313" s="189" t="s">
        <v>152</v>
      </c>
      <c r="T313" s="189" t="s">
        <v>180</v>
      </c>
      <c r="V313" s="189" t="s">
        <v>123</v>
      </c>
      <c r="W313" s="189" t="s">
        <v>124</v>
      </c>
      <c r="X313" s="189" t="s">
        <v>298</v>
      </c>
      <c r="Y313" s="189" t="s">
        <v>3069</v>
      </c>
      <c r="Z313" s="0" t="n">
        <v>1</v>
      </c>
      <c r="AA313" s="189" t="s">
        <v>3215</v>
      </c>
    </row>
    <row r="314" customFormat="false" ht="15" hidden="false" customHeight="true" outlineLevel="0" collapsed="false">
      <c r="A314" s="0" t="n">
        <v>65</v>
      </c>
      <c r="B314" s="188" t="n">
        <v>46169.0983542806</v>
      </c>
      <c r="C314" s="188" t="n">
        <v>46169.1056227991</v>
      </c>
      <c r="D314" s="189" t="s">
        <v>669</v>
      </c>
      <c r="E314" s="189" t="s">
        <v>670</v>
      </c>
      <c r="F314" s="189" t="s">
        <v>670</v>
      </c>
      <c r="G314" s="189" t="s">
        <v>671</v>
      </c>
      <c r="H314" s="188" t="n">
        <v>46162</v>
      </c>
      <c r="I314" s="189" t="s">
        <v>113</v>
      </c>
      <c r="J314" s="189" t="s">
        <v>108</v>
      </c>
      <c r="K314" s="189" t="s">
        <v>173</v>
      </c>
      <c r="L314" s="189" t="s">
        <v>346</v>
      </c>
      <c r="M314" s="189" t="s">
        <v>566</v>
      </c>
      <c r="N314" s="189" t="s">
        <v>672</v>
      </c>
      <c r="O314" s="189" t="s">
        <v>172</v>
      </c>
      <c r="P314" s="189" t="s">
        <v>111</v>
      </c>
      <c r="Q314" s="189" t="s">
        <v>145</v>
      </c>
      <c r="R314" s="189" t="s">
        <v>22</v>
      </c>
      <c r="S314" s="189" t="s">
        <v>227</v>
      </c>
      <c r="T314" s="189" t="s">
        <v>121</v>
      </c>
      <c r="U314" s="189" t="s">
        <v>122</v>
      </c>
      <c r="V314" s="189" t="s">
        <v>123</v>
      </c>
      <c r="W314" s="189" t="s">
        <v>124</v>
      </c>
      <c r="X314" s="189" t="s">
        <v>339</v>
      </c>
      <c r="Y314" s="189" t="s">
        <v>3064</v>
      </c>
      <c r="Z314" s="0" t="n">
        <v>1</v>
      </c>
      <c r="AA314" s="189" t="s">
        <v>3168</v>
      </c>
    </row>
    <row r="315" customFormat="false" ht="15" hidden="false" customHeight="true" outlineLevel="0" collapsed="false">
      <c r="A315" s="0" t="n">
        <v>65</v>
      </c>
      <c r="B315" s="188" t="n">
        <v>46169.0983542806</v>
      </c>
      <c r="C315" s="188" t="n">
        <v>46169.1056227991</v>
      </c>
      <c r="D315" s="189" t="s">
        <v>669</v>
      </c>
      <c r="E315" s="189" t="s">
        <v>670</v>
      </c>
      <c r="F315" s="189" t="s">
        <v>670</v>
      </c>
      <c r="G315" s="189" t="s">
        <v>671</v>
      </c>
      <c r="H315" s="188" t="n">
        <v>46162</v>
      </c>
      <c r="I315" s="189" t="s">
        <v>113</v>
      </c>
      <c r="J315" s="189" t="s">
        <v>108</v>
      </c>
      <c r="K315" s="189" t="s">
        <v>173</v>
      </c>
      <c r="L315" s="189" t="s">
        <v>346</v>
      </c>
      <c r="M315" s="189" t="s">
        <v>566</v>
      </c>
      <c r="N315" s="189" t="s">
        <v>672</v>
      </c>
      <c r="O315" s="189" t="s">
        <v>172</v>
      </c>
      <c r="P315" s="189" t="s">
        <v>111</v>
      </c>
      <c r="Q315" s="189" t="s">
        <v>145</v>
      </c>
      <c r="R315" s="189" t="s">
        <v>22</v>
      </c>
      <c r="S315" s="189" t="s">
        <v>227</v>
      </c>
      <c r="T315" s="189" t="s">
        <v>121</v>
      </c>
      <c r="U315" s="189" t="s">
        <v>122</v>
      </c>
      <c r="V315" s="189" t="s">
        <v>123</v>
      </c>
      <c r="W315" s="189" t="s">
        <v>124</v>
      </c>
      <c r="X315" s="189" t="s">
        <v>339</v>
      </c>
      <c r="Y315" s="189" t="s">
        <v>3064</v>
      </c>
      <c r="Z315" s="0" t="n">
        <v>2</v>
      </c>
      <c r="AA315" s="189" t="s">
        <v>3169</v>
      </c>
    </row>
    <row r="316" customFormat="false" ht="15" hidden="false" customHeight="true" outlineLevel="0" collapsed="false">
      <c r="A316" s="0" t="n">
        <v>65</v>
      </c>
      <c r="B316" s="188" t="n">
        <v>46169.0983542806</v>
      </c>
      <c r="C316" s="188" t="n">
        <v>46169.1056227991</v>
      </c>
      <c r="D316" s="189" t="s">
        <v>669</v>
      </c>
      <c r="E316" s="189" t="s">
        <v>670</v>
      </c>
      <c r="F316" s="189" t="s">
        <v>670</v>
      </c>
      <c r="G316" s="189" t="s">
        <v>671</v>
      </c>
      <c r="H316" s="188" t="n">
        <v>46162</v>
      </c>
      <c r="I316" s="189" t="s">
        <v>113</v>
      </c>
      <c r="J316" s="189" t="s">
        <v>108</v>
      </c>
      <c r="K316" s="189" t="s">
        <v>173</v>
      </c>
      <c r="L316" s="189" t="s">
        <v>346</v>
      </c>
      <c r="M316" s="189" t="s">
        <v>566</v>
      </c>
      <c r="N316" s="189" t="s">
        <v>672</v>
      </c>
      <c r="O316" s="189" t="s">
        <v>172</v>
      </c>
      <c r="P316" s="189" t="s">
        <v>111</v>
      </c>
      <c r="Q316" s="189" t="s">
        <v>145</v>
      </c>
      <c r="R316" s="189" t="s">
        <v>22</v>
      </c>
      <c r="S316" s="189" t="s">
        <v>227</v>
      </c>
      <c r="T316" s="189" t="s">
        <v>121</v>
      </c>
      <c r="U316" s="189" t="s">
        <v>122</v>
      </c>
      <c r="V316" s="189" t="s">
        <v>123</v>
      </c>
      <c r="W316" s="189" t="s">
        <v>124</v>
      </c>
      <c r="X316" s="189" t="s">
        <v>339</v>
      </c>
      <c r="Y316" s="189" t="s">
        <v>3064</v>
      </c>
      <c r="Z316" s="0" t="n">
        <v>3</v>
      </c>
      <c r="AA316" s="189" t="s">
        <v>3216</v>
      </c>
    </row>
    <row r="317" customFormat="false" ht="15" hidden="false" customHeight="true" outlineLevel="0" collapsed="false">
      <c r="A317" s="0" t="n">
        <v>65</v>
      </c>
      <c r="B317" s="188" t="n">
        <v>46169.0983542806</v>
      </c>
      <c r="C317" s="188" t="n">
        <v>46169.1056227991</v>
      </c>
      <c r="D317" s="189" t="s">
        <v>669</v>
      </c>
      <c r="E317" s="189" t="s">
        <v>670</v>
      </c>
      <c r="F317" s="189" t="s">
        <v>670</v>
      </c>
      <c r="G317" s="189" t="s">
        <v>671</v>
      </c>
      <c r="H317" s="188" t="n">
        <v>46162</v>
      </c>
      <c r="I317" s="189" t="s">
        <v>113</v>
      </c>
      <c r="J317" s="189" t="s">
        <v>108</v>
      </c>
      <c r="K317" s="189" t="s">
        <v>173</v>
      </c>
      <c r="L317" s="189" t="s">
        <v>346</v>
      </c>
      <c r="M317" s="189" t="s">
        <v>566</v>
      </c>
      <c r="N317" s="189" t="s">
        <v>672</v>
      </c>
      <c r="O317" s="189" t="s">
        <v>172</v>
      </c>
      <c r="P317" s="189" t="s">
        <v>111</v>
      </c>
      <c r="Q317" s="189" t="s">
        <v>145</v>
      </c>
      <c r="R317" s="189" t="s">
        <v>22</v>
      </c>
      <c r="S317" s="189" t="s">
        <v>227</v>
      </c>
      <c r="T317" s="189" t="s">
        <v>121</v>
      </c>
      <c r="U317" s="189" t="s">
        <v>122</v>
      </c>
      <c r="V317" s="189" t="s">
        <v>123</v>
      </c>
      <c r="W317" s="189" t="s">
        <v>124</v>
      </c>
      <c r="X317" s="189" t="s">
        <v>339</v>
      </c>
      <c r="Y317" s="189" t="s">
        <v>3066</v>
      </c>
      <c r="Z317" s="0" t="n">
        <v>1</v>
      </c>
      <c r="AA317" s="189" t="s">
        <v>122</v>
      </c>
    </row>
    <row r="318" customFormat="false" ht="15" hidden="false" customHeight="true" outlineLevel="0" collapsed="false">
      <c r="A318" s="0" t="n">
        <v>65</v>
      </c>
      <c r="B318" s="188" t="n">
        <v>46169.0983542806</v>
      </c>
      <c r="C318" s="188" t="n">
        <v>46169.1056227991</v>
      </c>
      <c r="D318" s="189" t="s">
        <v>669</v>
      </c>
      <c r="E318" s="189" t="s">
        <v>670</v>
      </c>
      <c r="F318" s="189" t="s">
        <v>670</v>
      </c>
      <c r="G318" s="189" t="s">
        <v>671</v>
      </c>
      <c r="H318" s="188" t="n">
        <v>46162</v>
      </c>
      <c r="I318" s="189" t="s">
        <v>113</v>
      </c>
      <c r="J318" s="189" t="s">
        <v>108</v>
      </c>
      <c r="K318" s="189" t="s">
        <v>173</v>
      </c>
      <c r="L318" s="189" t="s">
        <v>346</v>
      </c>
      <c r="M318" s="189" t="s">
        <v>566</v>
      </c>
      <c r="N318" s="189" t="s">
        <v>672</v>
      </c>
      <c r="O318" s="189" t="s">
        <v>172</v>
      </c>
      <c r="P318" s="189" t="s">
        <v>111</v>
      </c>
      <c r="Q318" s="189" t="s">
        <v>145</v>
      </c>
      <c r="R318" s="189" t="s">
        <v>22</v>
      </c>
      <c r="S318" s="189" t="s">
        <v>227</v>
      </c>
      <c r="T318" s="189" t="s">
        <v>121</v>
      </c>
      <c r="U318" s="189" t="s">
        <v>122</v>
      </c>
      <c r="V318" s="189" t="s">
        <v>123</v>
      </c>
      <c r="W318" s="189" t="s">
        <v>124</v>
      </c>
      <c r="X318" s="189" t="s">
        <v>339</v>
      </c>
      <c r="Y318" s="189" t="s">
        <v>3066</v>
      </c>
      <c r="Z318" s="0" t="n">
        <v>2</v>
      </c>
      <c r="AA318" s="189" t="s">
        <v>3142</v>
      </c>
    </row>
    <row r="319" customFormat="false" ht="15" hidden="false" customHeight="true" outlineLevel="0" collapsed="false">
      <c r="A319" s="0" t="n">
        <v>65</v>
      </c>
      <c r="B319" s="188" t="n">
        <v>46169.0983542806</v>
      </c>
      <c r="C319" s="188" t="n">
        <v>46169.1056227991</v>
      </c>
      <c r="D319" s="189" t="s">
        <v>669</v>
      </c>
      <c r="E319" s="189" t="s">
        <v>670</v>
      </c>
      <c r="F319" s="189" t="s">
        <v>670</v>
      </c>
      <c r="G319" s="189" t="s">
        <v>671</v>
      </c>
      <c r="H319" s="188" t="n">
        <v>46162</v>
      </c>
      <c r="I319" s="189" t="s">
        <v>113</v>
      </c>
      <c r="J319" s="189" t="s">
        <v>108</v>
      </c>
      <c r="K319" s="189" t="s">
        <v>173</v>
      </c>
      <c r="L319" s="189" t="s">
        <v>346</v>
      </c>
      <c r="M319" s="189" t="s">
        <v>566</v>
      </c>
      <c r="N319" s="189" t="s">
        <v>672</v>
      </c>
      <c r="O319" s="189" t="s">
        <v>172</v>
      </c>
      <c r="P319" s="189" t="s">
        <v>111</v>
      </c>
      <c r="Q319" s="189" t="s">
        <v>145</v>
      </c>
      <c r="R319" s="189" t="s">
        <v>22</v>
      </c>
      <c r="S319" s="189" t="s">
        <v>227</v>
      </c>
      <c r="T319" s="189" t="s">
        <v>121</v>
      </c>
      <c r="U319" s="189" t="s">
        <v>122</v>
      </c>
      <c r="V319" s="189" t="s">
        <v>123</v>
      </c>
      <c r="W319" s="189" t="s">
        <v>124</v>
      </c>
      <c r="X319" s="189" t="s">
        <v>339</v>
      </c>
      <c r="Y319" s="189" t="s">
        <v>3069</v>
      </c>
      <c r="Z319" s="0" t="n">
        <v>1</v>
      </c>
      <c r="AA319" s="189" t="s">
        <v>3217</v>
      </c>
    </row>
    <row r="320" customFormat="false" ht="15" hidden="false" customHeight="true" outlineLevel="0" collapsed="false">
      <c r="A320" s="0" t="n">
        <v>66</v>
      </c>
      <c r="B320" s="188" t="n">
        <v>46047.5423982296</v>
      </c>
      <c r="C320" s="188" t="n">
        <v>46047.561842674</v>
      </c>
      <c r="D320" s="189" t="s">
        <v>676</v>
      </c>
      <c r="E320" s="189" t="s">
        <v>677</v>
      </c>
      <c r="F320" s="189" t="s">
        <v>677</v>
      </c>
      <c r="G320" s="189" t="s">
        <v>678</v>
      </c>
      <c r="H320" s="188" t="n">
        <v>46028</v>
      </c>
      <c r="I320" s="189" t="s">
        <v>132</v>
      </c>
      <c r="J320" s="189" t="s">
        <v>108</v>
      </c>
      <c r="K320" s="189" t="s">
        <v>257</v>
      </c>
      <c r="L320" s="189" t="s">
        <v>110</v>
      </c>
      <c r="M320" s="189" t="s">
        <v>439</v>
      </c>
      <c r="N320" s="189" t="s">
        <v>115</v>
      </c>
      <c r="O320" s="189" t="s">
        <v>157</v>
      </c>
      <c r="P320" s="189" t="s">
        <v>211</v>
      </c>
      <c r="Q320" s="189" t="s">
        <v>112</v>
      </c>
      <c r="R320" s="189" t="s">
        <v>22</v>
      </c>
      <c r="S320" s="189" t="s">
        <v>120</v>
      </c>
      <c r="T320" s="189" t="s">
        <v>121</v>
      </c>
      <c r="U320" s="189" t="s">
        <v>682</v>
      </c>
      <c r="V320" s="189" t="s">
        <v>167</v>
      </c>
      <c r="W320" s="189" t="s">
        <v>124</v>
      </c>
      <c r="X320" s="189" t="s">
        <v>116</v>
      </c>
      <c r="Y320" s="189" t="s">
        <v>3064</v>
      </c>
      <c r="Z320" s="0" t="n">
        <v>1</v>
      </c>
      <c r="AA320" s="189" t="s">
        <v>3107</v>
      </c>
    </row>
    <row r="321" customFormat="false" ht="15" hidden="false" customHeight="true" outlineLevel="0" collapsed="false">
      <c r="A321" s="0" t="n">
        <v>66</v>
      </c>
      <c r="B321" s="188" t="n">
        <v>46047.5423982296</v>
      </c>
      <c r="C321" s="188" t="n">
        <v>46047.561842674</v>
      </c>
      <c r="D321" s="189" t="s">
        <v>676</v>
      </c>
      <c r="E321" s="189" t="s">
        <v>677</v>
      </c>
      <c r="F321" s="189" t="s">
        <v>677</v>
      </c>
      <c r="G321" s="189" t="s">
        <v>678</v>
      </c>
      <c r="H321" s="188" t="n">
        <v>46028</v>
      </c>
      <c r="I321" s="189" t="s">
        <v>132</v>
      </c>
      <c r="J321" s="189" t="s">
        <v>108</v>
      </c>
      <c r="K321" s="189" t="s">
        <v>257</v>
      </c>
      <c r="L321" s="189" t="s">
        <v>110</v>
      </c>
      <c r="M321" s="189" t="s">
        <v>439</v>
      </c>
      <c r="N321" s="189" t="s">
        <v>115</v>
      </c>
      <c r="O321" s="189" t="s">
        <v>157</v>
      </c>
      <c r="P321" s="189" t="s">
        <v>211</v>
      </c>
      <c r="Q321" s="189" t="s">
        <v>112</v>
      </c>
      <c r="R321" s="189" t="s">
        <v>22</v>
      </c>
      <c r="S321" s="189" t="s">
        <v>120</v>
      </c>
      <c r="T321" s="189" t="s">
        <v>121</v>
      </c>
      <c r="U321" s="189" t="s">
        <v>682</v>
      </c>
      <c r="V321" s="189" t="s">
        <v>167</v>
      </c>
      <c r="W321" s="189" t="s">
        <v>124</v>
      </c>
      <c r="X321" s="189" t="s">
        <v>116</v>
      </c>
      <c r="Y321" s="189" t="s">
        <v>3066</v>
      </c>
      <c r="Z321" s="0" t="n">
        <v>1</v>
      </c>
      <c r="AA321" s="189" t="s">
        <v>3211</v>
      </c>
    </row>
    <row r="322" customFormat="false" ht="15" hidden="false" customHeight="true" outlineLevel="0" collapsed="false">
      <c r="A322" s="0" t="n">
        <v>66</v>
      </c>
      <c r="B322" s="188" t="n">
        <v>46047.5423982296</v>
      </c>
      <c r="C322" s="188" t="n">
        <v>46047.561842674</v>
      </c>
      <c r="D322" s="189" t="s">
        <v>676</v>
      </c>
      <c r="E322" s="189" t="s">
        <v>677</v>
      </c>
      <c r="F322" s="189" t="s">
        <v>677</v>
      </c>
      <c r="G322" s="189" t="s">
        <v>678</v>
      </c>
      <c r="H322" s="188" t="n">
        <v>46028</v>
      </c>
      <c r="I322" s="189" t="s">
        <v>132</v>
      </c>
      <c r="J322" s="189" t="s">
        <v>108</v>
      </c>
      <c r="K322" s="189" t="s">
        <v>257</v>
      </c>
      <c r="L322" s="189" t="s">
        <v>110</v>
      </c>
      <c r="M322" s="189" t="s">
        <v>439</v>
      </c>
      <c r="N322" s="189" t="s">
        <v>115</v>
      </c>
      <c r="O322" s="189" t="s">
        <v>157</v>
      </c>
      <c r="P322" s="189" t="s">
        <v>211</v>
      </c>
      <c r="Q322" s="189" t="s">
        <v>112</v>
      </c>
      <c r="R322" s="189" t="s">
        <v>22</v>
      </c>
      <c r="S322" s="189" t="s">
        <v>120</v>
      </c>
      <c r="T322" s="189" t="s">
        <v>121</v>
      </c>
      <c r="U322" s="189" t="s">
        <v>682</v>
      </c>
      <c r="V322" s="189" t="s">
        <v>167</v>
      </c>
      <c r="W322" s="189" t="s">
        <v>124</v>
      </c>
      <c r="X322" s="189" t="s">
        <v>116</v>
      </c>
      <c r="Y322" s="189" t="s">
        <v>3066</v>
      </c>
      <c r="Z322" s="0" t="n">
        <v>2</v>
      </c>
      <c r="AA322" s="189" t="s">
        <v>3068</v>
      </c>
    </row>
    <row r="323" customFormat="false" ht="15" hidden="false" customHeight="true" outlineLevel="0" collapsed="false">
      <c r="A323" s="0" t="n">
        <v>66</v>
      </c>
      <c r="B323" s="188" t="n">
        <v>46047.5423982296</v>
      </c>
      <c r="C323" s="188" t="n">
        <v>46047.561842674</v>
      </c>
      <c r="D323" s="189" t="s">
        <v>676</v>
      </c>
      <c r="E323" s="189" t="s">
        <v>677</v>
      </c>
      <c r="F323" s="189" t="s">
        <v>677</v>
      </c>
      <c r="G323" s="189" t="s">
        <v>678</v>
      </c>
      <c r="H323" s="188" t="n">
        <v>46028</v>
      </c>
      <c r="I323" s="189" t="s">
        <v>132</v>
      </c>
      <c r="J323" s="189" t="s">
        <v>108</v>
      </c>
      <c r="K323" s="189" t="s">
        <v>257</v>
      </c>
      <c r="L323" s="189" t="s">
        <v>110</v>
      </c>
      <c r="M323" s="189" t="s">
        <v>439</v>
      </c>
      <c r="N323" s="189" t="s">
        <v>115</v>
      </c>
      <c r="O323" s="189" t="s">
        <v>157</v>
      </c>
      <c r="P323" s="189" t="s">
        <v>211</v>
      </c>
      <c r="Q323" s="189" t="s">
        <v>112</v>
      </c>
      <c r="R323" s="189" t="s">
        <v>22</v>
      </c>
      <c r="S323" s="189" t="s">
        <v>120</v>
      </c>
      <c r="T323" s="189" t="s">
        <v>121</v>
      </c>
      <c r="U323" s="189" t="s">
        <v>682</v>
      </c>
      <c r="V323" s="189" t="s">
        <v>167</v>
      </c>
      <c r="W323" s="189" t="s">
        <v>124</v>
      </c>
      <c r="X323" s="189" t="s">
        <v>116</v>
      </c>
      <c r="Y323" s="189" t="s">
        <v>3069</v>
      </c>
      <c r="Z323" s="0" t="n">
        <v>1</v>
      </c>
      <c r="AA323" s="189" t="s">
        <v>3070</v>
      </c>
    </row>
    <row r="324" customFormat="false" ht="15" hidden="false" customHeight="true" outlineLevel="0" collapsed="false">
      <c r="A324" s="0" t="n">
        <v>67</v>
      </c>
      <c r="B324" s="188" t="n">
        <v>46140.1285349646</v>
      </c>
      <c r="C324" s="188" t="n">
        <v>46140.1408729276</v>
      </c>
      <c r="D324" s="189" t="s">
        <v>683</v>
      </c>
      <c r="E324" s="189" t="s">
        <v>684</v>
      </c>
      <c r="F324" s="189" t="s">
        <v>684</v>
      </c>
      <c r="G324" s="189" t="s">
        <v>685</v>
      </c>
      <c r="H324" s="188" t="n">
        <v>46140</v>
      </c>
      <c r="I324" s="189" t="s">
        <v>113</v>
      </c>
      <c r="J324" s="189" t="s">
        <v>295</v>
      </c>
      <c r="K324" s="189" t="s">
        <v>462</v>
      </c>
      <c r="L324" s="189" t="s">
        <v>197</v>
      </c>
      <c r="M324" s="189" t="s">
        <v>686</v>
      </c>
      <c r="N324" s="189" t="s">
        <v>407</v>
      </c>
      <c r="O324" s="189" t="s">
        <v>172</v>
      </c>
      <c r="P324" s="189" t="s">
        <v>111</v>
      </c>
      <c r="Q324" s="189" t="s">
        <v>145</v>
      </c>
      <c r="R324" s="189" t="s">
        <v>25</v>
      </c>
      <c r="S324" s="189" t="s">
        <v>152</v>
      </c>
      <c r="T324" s="189" t="s">
        <v>228</v>
      </c>
      <c r="V324" s="189" t="s">
        <v>167</v>
      </c>
      <c r="W324" s="189" t="s">
        <v>168</v>
      </c>
      <c r="X324" s="189" t="s">
        <v>687</v>
      </c>
      <c r="Y324" s="189" t="s">
        <v>3064</v>
      </c>
      <c r="Z324" s="0" t="n">
        <v>1</v>
      </c>
      <c r="AA324" s="189" t="s">
        <v>3218</v>
      </c>
    </row>
    <row r="325" customFormat="false" ht="15" hidden="false" customHeight="true" outlineLevel="0" collapsed="false">
      <c r="A325" s="0" t="n">
        <v>67</v>
      </c>
      <c r="B325" s="188" t="n">
        <v>46140.1285349646</v>
      </c>
      <c r="C325" s="188" t="n">
        <v>46140.1408729276</v>
      </c>
      <c r="D325" s="189" t="s">
        <v>683</v>
      </c>
      <c r="E325" s="189" t="s">
        <v>684</v>
      </c>
      <c r="F325" s="189" t="s">
        <v>684</v>
      </c>
      <c r="G325" s="189" t="s">
        <v>685</v>
      </c>
      <c r="H325" s="188" t="n">
        <v>46140</v>
      </c>
      <c r="I325" s="189" t="s">
        <v>113</v>
      </c>
      <c r="J325" s="189" t="s">
        <v>295</v>
      </c>
      <c r="K325" s="189" t="s">
        <v>462</v>
      </c>
      <c r="L325" s="189" t="s">
        <v>197</v>
      </c>
      <c r="M325" s="189" t="s">
        <v>686</v>
      </c>
      <c r="N325" s="189" t="s">
        <v>407</v>
      </c>
      <c r="O325" s="189" t="s">
        <v>172</v>
      </c>
      <c r="P325" s="189" t="s">
        <v>111</v>
      </c>
      <c r="Q325" s="189" t="s">
        <v>145</v>
      </c>
      <c r="R325" s="189" t="s">
        <v>25</v>
      </c>
      <c r="S325" s="189" t="s">
        <v>152</v>
      </c>
      <c r="T325" s="189" t="s">
        <v>228</v>
      </c>
      <c r="V325" s="189" t="s">
        <v>167</v>
      </c>
      <c r="W325" s="189" t="s">
        <v>168</v>
      </c>
      <c r="X325" s="189" t="s">
        <v>687</v>
      </c>
      <c r="Y325" s="189" t="s">
        <v>3066</v>
      </c>
      <c r="Z325" s="0" t="n">
        <v>1</v>
      </c>
      <c r="AA325" s="189" t="s">
        <v>3219</v>
      </c>
    </row>
    <row r="326" customFormat="false" ht="15" hidden="false" customHeight="true" outlineLevel="0" collapsed="false">
      <c r="A326" s="0" t="n">
        <v>67</v>
      </c>
      <c r="B326" s="188" t="n">
        <v>46140.1285349646</v>
      </c>
      <c r="C326" s="188" t="n">
        <v>46140.1408729276</v>
      </c>
      <c r="D326" s="189" t="s">
        <v>683</v>
      </c>
      <c r="E326" s="189" t="s">
        <v>684</v>
      </c>
      <c r="F326" s="189" t="s">
        <v>684</v>
      </c>
      <c r="G326" s="189" t="s">
        <v>685</v>
      </c>
      <c r="H326" s="188" t="n">
        <v>46140</v>
      </c>
      <c r="I326" s="189" t="s">
        <v>113</v>
      </c>
      <c r="J326" s="189" t="s">
        <v>295</v>
      </c>
      <c r="K326" s="189" t="s">
        <v>462</v>
      </c>
      <c r="L326" s="189" t="s">
        <v>197</v>
      </c>
      <c r="M326" s="189" t="s">
        <v>686</v>
      </c>
      <c r="N326" s="189" t="s">
        <v>407</v>
      </c>
      <c r="O326" s="189" t="s">
        <v>172</v>
      </c>
      <c r="P326" s="189" t="s">
        <v>111</v>
      </c>
      <c r="Q326" s="189" t="s">
        <v>145</v>
      </c>
      <c r="R326" s="189" t="s">
        <v>25</v>
      </c>
      <c r="S326" s="189" t="s">
        <v>152</v>
      </c>
      <c r="T326" s="189" t="s">
        <v>228</v>
      </c>
      <c r="V326" s="189" t="s">
        <v>167</v>
      </c>
      <c r="W326" s="189" t="s">
        <v>168</v>
      </c>
      <c r="X326" s="189" t="s">
        <v>687</v>
      </c>
      <c r="Y326" s="189" t="s">
        <v>3066</v>
      </c>
      <c r="Z326" s="0" t="n">
        <v>2</v>
      </c>
      <c r="AA326" s="189" t="s">
        <v>3220</v>
      </c>
    </row>
    <row r="327" customFormat="false" ht="15" hidden="false" customHeight="true" outlineLevel="0" collapsed="false">
      <c r="A327" s="0" t="n">
        <v>67</v>
      </c>
      <c r="B327" s="188" t="n">
        <v>46140.1285349646</v>
      </c>
      <c r="C327" s="188" t="n">
        <v>46140.1408729276</v>
      </c>
      <c r="D327" s="189" t="s">
        <v>683</v>
      </c>
      <c r="E327" s="189" t="s">
        <v>684</v>
      </c>
      <c r="F327" s="189" t="s">
        <v>684</v>
      </c>
      <c r="G327" s="189" t="s">
        <v>685</v>
      </c>
      <c r="H327" s="188" t="n">
        <v>46140</v>
      </c>
      <c r="I327" s="189" t="s">
        <v>113</v>
      </c>
      <c r="J327" s="189" t="s">
        <v>295</v>
      </c>
      <c r="K327" s="189" t="s">
        <v>462</v>
      </c>
      <c r="L327" s="189" t="s">
        <v>197</v>
      </c>
      <c r="M327" s="189" t="s">
        <v>686</v>
      </c>
      <c r="N327" s="189" t="s">
        <v>407</v>
      </c>
      <c r="O327" s="189" t="s">
        <v>172</v>
      </c>
      <c r="P327" s="189" t="s">
        <v>111</v>
      </c>
      <c r="Q327" s="189" t="s">
        <v>145</v>
      </c>
      <c r="R327" s="189" t="s">
        <v>25</v>
      </c>
      <c r="S327" s="189" t="s">
        <v>152</v>
      </c>
      <c r="T327" s="189" t="s">
        <v>228</v>
      </c>
      <c r="V327" s="189" t="s">
        <v>167</v>
      </c>
      <c r="W327" s="189" t="s">
        <v>168</v>
      </c>
      <c r="X327" s="189" t="s">
        <v>687</v>
      </c>
      <c r="Y327" s="189" t="s">
        <v>3069</v>
      </c>
      <c r="Z327" s="0" t="n">
        <v>1</v>
      </c>
      <c r="AA327" s="189" t="s">
        <v>3221</v>
      </c>
    </row>
    <row r="328" customFormat="false" ht="15" hidden="false" customHeight="true" outlineLevel="0" collapsed="false">
      <c r="A328" s="0" t="n">
        <v>67</v>
      </c>
      <c r="B328" s="188" t="n">
        <v>46140.1285349646</v>
      </c>
      <c r="C328" s="188" t="n">
        <v>46140.1408729276</v>
      </c>
      <c r="D328" s="189" t="s">
        <v>683</v>
      </c>
      <c r="E328" s="189" t="s">
        <v>684</v>
      </c>
      <c r="F328" s="189" t="s">
        <v>684</v>
      </c>
      <c r="G328" s="189" t="s">
        <v>685</v>
      </c>
      <c r="H328" s="188" t="n">
        <v>46140</v>
      </c>
      <c r="I328" s="189" t="s">
        <v>113</v>
      </c>
      <c r="J328" s="189" t="s">
        <v>295</v>
      </c>
      <c r="K328" s="189" t="s">
        <v>462</v>
      </c>
      <c r="L328" s="189" t="s">
        <v>197</v>
      </c>
      <c r="M328" s="189" t="s">
        <v>686</v>
      </c>
      <c r="N328" s="189" t="s">
        <v>407</v>
      </c>
      <c r="O328" s="189" t="s">
        <v>172</v>
      </c>
      <c r="P328" s="189" t="s">
        <v>111</v>
      </c>
      <c r="Q328" s="189" t="s">
        <v>145</v>
      </c>
      <c r="R328" s="189" t="s">
        <v>25</v>
      </c>
      <c r="S328" s="189" t="s">
        <v>152</v>
      </c>
      <c r="T328" s="189" t="s">
        <v>228</v>
      </c>
      <c r="V328" s="189" t="s">
        <v>167</v>
      </c>
      <c r="W328" s="189" t="s">
        <v>168</v>
      </c>
      <c r="X328" s="189" t="s">
        <v>687</v>
      </c>
      <c r="Y328" s="189" t="s">
        <v>3069</v>
      </c>
      <c r="Z328" s="0" t="n">
        <v>2</v>
      </c>
      <c r="AA328" s="189" t="s">
        <v>3222</v>
      </c>
    </row>
    <row r="329" customFormat="false" ht="15" hidden="false" customHeight="true" outlineLevel="0" collapsed="false">
      <c r="A329" s="0" t="n">
        <v>68</v>
      </c>
      <c r="B329" s="188" t="n">
        <v>46041.4434920819</v>
      </c>
      <c r="C329" s="188" t="n">
        <v>46041.4576124522</v>
      </c>
      <c r="D329" s="189" t="s">
        <v>691</v>
      </c>
      <c r="E329" s="189" t="s">
        <v>692</v>
      </c>
      <c r="F329" s="189" t="s">
        <v>692</v>
      </c>
      <c r="G329" s="189" t="s">
        <v>693</v>
      </c>
      <c r="H329" s="188" t="n">
        <v>46034</v>
      </c>
      <c r="I329" s="189" t="s">
        <v>113</v>
      </c>
      <c r="J329" s="189" t="s">
        <v>295</v>
      </c>
      <c r="K329" s="189" t="s">
        <v>196</v>
      </c>
      <c r="L329" s="189" t="s">
        <v>159</v>
      </c>
      <c r="M329" s="189" t="s">
        <v>694</v>
      </c>
      <c r="N329" s="189" t="s">
        <v>234</v>
      </c>
      <c r="O329" s="189" t="s">
        <v>157</v>
      </c>
      <c r="P329" s="189" t="s">
        <v>111</v>
      </c>
      <c r="Q329" s="189" t="s">
        <v>145</v>
      </c>
      <c r="R329" s="189" t="s">
        <v>22</v>
      </c>
      <c r="S329" s="189" t="s">
        <v>152</v>
      </c>
      <c r="T329" s="189" t="s">
        <v>121</v>
      </c>
      <c r="U329" s="189" t="s">
        <v>122</v>
      </c>
      <c r="V329" s="189" t="s">
        <v>123</v>
      </c>
      <c r="W329" s="189" t="s">
        <v>124</v>
      </c>
      <c r="X329" s="189" t="s">
        <v>148</v>
      </c>
      <c r="Y329" s="189" t="s">
        <v>3064</v>
      </c>
      <c r="Z329" s="0" t="n">
        <v>1</v>
      </c>
      <c r="AA329" s="189" t="s">
        <v>3122</v>
      </c>
    </row>
    <row r="330" customFormat="false" ht="15" hidden="false" customHeight="true" outlineLevel="0" collapsed="false">
      <c r="A330" s="0" t="n">
        <v>68</v>
      </c>
      <c r="B330" s="188" t="n">
        <v>46041.4434920819</v>
      </c>
      <c r="C330" s="188" t="n">
        <v>46041.4576124522</v>
      </c>
      <c r="D330" s="189" t="s">
        <v>691</v>
      </c>
      <c r="E330" s="189" t="s">
        <v>692</v>
      </c>
      <c r="F330" s="189" t="s">
        <v>692</v>
      </c>
      <c r="G330" s="189" t="s">
        <v>693</v>
      </c>
      <c r="H330" s="188" t="n">
        <v>46034</v>
      </c>
      <c r="I330" s="189" t="s">
        <v>113</v>
      </c>
      <c r="J330" s="189" t="s">
        <v>295</v>
      </c>
      <c r="K330" s="189" t="s">
        <v>196</v>
      </c>
      <c r="L330" s="189" t="s">
        <v>159</v>
      </c>
      <c r="M330" s="189" t="s">
        <v>694</v>
      </c>
      <c r="N330" s="189" t="s">
        <v>234</v>
      </c>
      <c r="O330" s="189" t="s">
        <v>157</v>
      </c>
      <c r="P330" s="189" t="s">
        <v>111</v>
      </c>
      <c r="Q330" s="189" t="s">
        <v>145</v>
      </c>
      <c r="R330" s="189" t="s">
        <v>22</v>
      </c>
      <c r="S330" s="189" t="s">
        <v>152</v>
      </c>
      <c r="T330" s="189" t="s">
        <v>121</v>
      </c>
      <c r="U330" s="189" t="s">
        <v>122</v>
      </c>
      <c r="V330" s="189" t="s">
        <v>123</v>
      </c>
      <c r="W330" s="189" t="s">
        <v>124</v>
      </c>
      <c r="X330" s="189" t="s">
        <v>148</v>
      </c>
      <c r="Y330" s="189" t="s">
        <v>3066</v>
      </c>
      <c r="Z330" s="0" t="n">
        <v>1</v>
      </c>
      <c r="AA330" s="189" t="s">
        <v>3077</v>
      </c>
    </row>
    <row r="331" customFormat="false" ht="15" hidden="false" customHeight="true" outlineLevel="0" collapsed="false">
      <c r="A331" s="0" t="n">
        <v>68</v>
      </c>
      <c r="B331" s="188" t="n">
        <v>46041.4434920819</v>
      </c>
      <c r="C331" s="188" t="n">
        <v>46041.4576124522</v>
      </c>
      <c r="D331" s="189" t="s">
        <v>691</v>
      </c>
      <c r="E331" s="189" t="s">
        <v>692</v>
      </c>
      <c r="F331" s="189" t="s">
        <v>692</v>
      </c>
      <c r="G331" s="189" t="s">
        <v>693</v>
      </c>
      <c r="H331" s="188" t="n">
        <v>46034</v>
      </c>
      <c r="I331" s="189" t="s">
        <v>113</v>
      </c>
      <c r="J331" s="189" t="s">
        <v>295</v>
      </c>
      <c r="K331" s="189" t="s">
        <v>196</v>
      </c>
      <c r="L331" s="189" t="s">
        <v>159</v>
      </c>
      <c r="M331" s="189" t="s">
        <v>694</v>
      </c>
      <c r="N331" s="189" t="s">
        <v>234</v>
      </c>
      <c r="O331" s="189" t="s">
        <v>157</v>
      </c>
      <c r="P331" s="189" t="s">
        <v>111</v>
      </c>
      <c r="Q331" s="189" t="s">
        <v>145</v>
      </c>
      <c r="R331" s="189" t="s">
        <v>22</v>
      </c>
      <c r="S331" s="189" t="s">
        <v>152</v>
      </c>
      <c r="T331" s="189" t="s">
        <v>121</v>
      </c>
      <c r="U331" s="189" t="s">
        <v>122</v>
      </c>
      <c r="V331" s="189" t="s">
        <v>123</v>
      </c>
      <c r="W331" s="189" t="s">
        <v>124</v>
      </c>
      <c r="X331" s="189" t="s">
        <v>148</v>
      </c>
      <c r="Y331" s="189" t="s">
        <v>3069</v>
      </c>
      <c r="Z331" s="0" t="n">
        <v>1</v>
      </c>
      <c r="AA331" s="189" t="s">
        <v>3188</v>
      </c>
    </row>
    <row r="332" customFormat="false" ht="15" hidden="false" customHeight="true" outlineLevel="0" collapsed="false">
      <c r="A332" s="0" t="n">
        <v>69</v>
      </c>
      <c r="B332" s="188" t="n">
        <v>46072.1520586667</v>
      </c>
      <c r="C332" s="188" t="n">
        <v>46072.1718387593</v>
      </c>
      <c r="D332" s="189" t="s">
        <v>697</v>
      </c>
      <c r="E332" s="189" t="s">
        <v>698</v>
      </c>
      <c r="F332" s="189" t="s">
        <v>699</v>
      </c>
      <c r="G332" s="189" t="s">
        <v>700</v>
      </c>
      <c r="H332" s="188" t="n">
        <v>46063</v>
      </c>
      <c r="I332" s="189" t="s">
        <v>113</v>
      </c>
      <c r="J332" s="189" t="s">
        <v>128</v>
      </c>
      <c r="K332" s="189" t="s">
        <v>257</v>
      </c>
      <c r="L332" s="189" t="s">
        <v>184</v>
      </c>
      <c r="M332" s="189" t="s">
        <v>114</v>
      </c>
      <c r="N332" s="189" t="s">
        <v>701</v>
      </c>
      <c r="O332" s="189" t="s">
        <v>107</v>
      </c>
      <c r="P332" s="189" t="s">
        <v>111</v>
      </c>
      <c r="Q332" s="189" t="s">
        <v>112</v>
      </c>
      <c r="R332" s="189" t="s">
        <v>22</v>
      </c>
      <c r="S332" s="189" t="s">
        <v>152</v>
      </c>
      <c r="T332" s="189" t="s">
        <v>121</v>
      </c>
      <c r="V332" s="189" t="s">
        <v>192</v>
      </c>
      <c r="W332" s="189" t="s">
        <v>124</v>
      </c>
      <c r="X332" s="189" t="s">
        <v>135</v>
      </c>
      <c r="Y332" s="189" t="s">
        <v>3064</v>
      </c>
      <c r="Z332" s="0" t="n">
        <v>1</v>
      </c>
      <c r="AA332" s="189" t="s">
        <v>3201</v>
      </c>
    </row>
    <row r="333" customFormat="false" ht="15" hidden="false" customHeight="true" outlineLevel="0" collapsed="false">
      <c r="A333" s="0" t="n">
        <v>69</v>
      </c>
      <c r="B333" s="188" t="n">
        <v>46072.1520586667</v>
      </c>
      <c r="C333" s="188" t="n">
        <v>46072.1718387593</v>
      </c>
      <c r="D333" s="189" t="s">
        <v>697</v>
      </c>
      <c r="E333" s="189" t="s">
        <v>698</v>
      </c>
      <c r="F333" s="189" t="s">
        <v>699</v>
      </c>
      <c r="G333" s="189" t="s">
        <v>700</v>
      </c>
      <c r="H333" s="188" t="n">
        <v>46063</v>
      </c>
      <c r="I333" s="189" t="s">
        <v>113</v>
      </c>
      <c r="J333" s="189" t="s">
        <v>128</v>
      </c>
      <c r="K333" s="189" t="s">
        <v>257</v>
      </c>
      <c r="L333" s="189" t="s">
        <v>184</v>
      </c>
      <c r="M333" s="189" t="s">
        <v>114</v>
      </c>
      <c r="N333" s="189" t="s">
        <v>701</v>
      </c>
      <c r="O333" s="189" t="s">
        <v>107</v>
      </c>
      <c r="P333" s="189" t="s">
        <v>111</v>
      </c>
      <c r="Q333" s="189" t="s">
        <v>112</v>
      </c>
      <c r="R333" s="189" t="s">
        <v>22</v>
      </c>
      <c r="S333" s="189" t="s">
        <v>152</v>
      </c>
      <c r="T333" s="189" t="s">
        <v>121</v>
      </c>
      <c r="V333" s="189" t="s">
        <v>192</v>
      </c>
      <c r="W333" s="189" t="s">
        <v>124</v>
      </c>
      <c r="X333" s="189" t="s">
        <v>135</v>
      </c>
      <c r="Y333" s="189" t="s">
        <v>3064</v>
      </c>
      <c r="Z333" s="0" t="n">
        <v>2</v>
      </c>
      <c r="AA333" s="189" t="s">
        <v>3071</v>
      </c>
    </row>
    <row r="334" customFormat="false" ht="15" hidden="false" customHeight="true" outlineLevel="0" collapsed="false">
      <c r="A334" s="0" t="n">
        <v>69</v>
      </c>
      <c r="B334" s="188" t="n">
        <v>46072.1520586667</v>
      </c>
      <c r="C334" s="188" t="n">
        <v>46072.1718387593</v>
      </c>
      <c r="D334" s="189" t="s">
        <v>697</v>
      </c>
      <c r="E334" s="189" t="s">
        <v>698</v>
      </c>
      <c r="F334" s="189" t="s">
        <v>699</v>
      </c>
      <c r="G334" s="189" t="s">
        <v>700</v>
      </c>
      <c r="H334" s="188" t="n">
        <v>46063</v>
      </c>
      <c r="I334" s="189" t="s">
        <v>113</v>
      </c>
      <c r="J334" s="189" t="s">
        <v>128</v>
      </c>
      <c r="K334" s="189" t="s">
        <v>257</v>
      </c>
      <c r="L334" s="189" t="s">
        <v>184</v>
      </c>
      <c r="M334" s="189" t="s">
        <v>114</v>
      </c>
      <c r="N334" s="189" t="s">
        <v>701</v>
      </c>
      <c r="O334" s="189" t="s">
        <v>107</v>
      </c>
      <c r="P334" s="189" t="s">
        <v>111</v>
      </c>
      <c r="Q334" s="189" t="s">
        <v>112</v>
      </c>
      <c r="R334" s="189" t="s">
        <v>22</v>
      </c>
      <c r="S334" s="189" t="s">
        <v>152</v>
      </c>
      <c r="T334" s="189" t="s">
        <v>121</v>
      </c>
      <c r="V334" s="189" t="s">
        <v>192</v>
      </c>
      <c r="W334" s="189" t="s">
        <v>124</v>
      </c>
      <c r="X334" s="189" t="s">
        <v>135</v>
      </c>
      <c r="Y334" s="189" t="s">
        <v>3064</v>
      </c>
      <c r="Z334" s="0" t="n">
        <v>3</v>
      </c>
      <c r="AA334" s="189" t="s">
        <v>3183</v>
      </c>
    </row>
    <row r="335" customFormat="false" ht="15" hidden="false" customHeight="true" outlineLevel="0" collapsed="false">
      <c r="A335" s="0" t="n">
        <v>69</v>
      </c>
      <c r="B335" s="188" t="n">
        <v>46072.1520586667</v>
      </c>
      <c r="C335" s="188" t="n">
        <v>46072.1718387593</v>
      </c>
      <c r="D335" s="189" t="s">
        <v>697</v>
      </c>
      <c r="E335" s="189" t="s">
        <v>698</v>
      </c>
      <c r="F335" s="189" t="s">
        <v>699</v>
      </c>
      <c r="G335" s="189" t="s">
        <v>700</v>
      </c>
      <c r="H335" s="188" t="n">
        <v>46063</v>
      </c>
      <c r="I335" s="189" t="s">
        <v>113</v>
      </c>
      <c r="J335" s="189" t="s">
        <v>128</v>
      </c>
      <c r="K335" s="189" t="s">
        <v>257</v>
      </c>
      <c r="L335" s="189" t="s">
        <v>184</v>
      </c>
      <c r="M335" s="189" t="s">
        <v>114</v>
      </c>
      <c r="N335" s="189" t="s">
        <v>701</v>
      </c>
      <c r="O335" s="189" t="s">
        <v>107</v>
      </c>
      <c r="P335" s="189" t="s">
        <v>111</v>
      </c>
      <c r="Q335" s="189" t="s">
        <v>112</v>
      </c>
      <c r="R335" s="189" t="s">
        <v>22</v>
      </c>
      <c r="S335" s="189" t="s">
        <v>152</v>
      </c>
      <c r="T335" s="189" t="s">
        <v>121</v>
      </c>
      <c r="V335" s="189" t="s">
        <v>192</v>
      </c>
      <c r="W335" s="189" t="s">
        <v>124</v>
      </c>
      <c r="X335" s="189" t="s">
        <v>135</v>
      </c>
      <c r="Y335" s="189" t="s">
        <v>3066</v>
      </c>
      <c r="Z335" s="0" t="n">
        <v>1</v>
      </c>
      <c r="AA335" s="189" t="s">
        <v>3223</v>
      </c>
    </row>
    <row r="336" customFormat="false" ht="15" hidden="false" customHeight="true" outlineLevel="0" collapsed="false">
      <c r="A336" s="0" t="n">
        <v>69</v>
      </c>
      <c r="B336" s="188" t="n">
        <v>46072.1520586667</v>
      </c>
      <c r="C336" s="188" t="n">
        <v>46072.1718387593</v>
      </c>
      <c r="D336" s="189" t="s">
        <v>697</v>
      </c>
      <c r="E336" s="189" t="s">
        <v>698</v>
      </c>
      <c r="F336" s="189" t="s">
        <v>699</v>
      </c>
      <c r="G336" s="189" t="s">
        <v>700</v>
      </c>
      <c r="H336" s="188" t="n">
        <v>46063</v>
      </c>
      <c r="I336" s="189" t="s">
        <v>113</v>
      </c>
      <c r="J336" s="189" t="s">
        <v>128</v>
      </c>
      <c r="K336" s="189" t="s">
        <v>257</v>
      </c>
      <c r="L336" s="189" t="s">
        <v>184</v>
      </c>
      <c r="M336" s="189" t="s">
        <v>114</v>
      </c>
      <c r="N336" s="189" t="s">
        <v>701</v>
      </c>
      <c r="O336" s="189" t="s">
        <v>107</v>
      </c>
      <c r="P336" s="189" t="s">
        <v>111</v>
      </c>
      <c r="Q336" s="189" t="s">
        <v>112</v>
      </c>
      <c r="R336" s="189" t="s">
        <v>22</v>
      </c>
      <c r="S336" s="189" t="s">
        <v>152</v>
      </c>
      <c r="T336" s="189" t="s">
        <v>121</v>
      </c>
      <c r="V336" s="189" t="s">
        <v>192</v>
      </c>
      <c r="W336" s="189" t="s">
        <v>124</v>
      </c>
      <c r="X336" s="189" t="s">
        <v>135</v>
      </c>
      <c r="Y336" s="189" t="s">
        <v>3066</v>
      </c>
      <c r="Z336" s="0" t="n">
        <v>2</v>
      </c>
      <c r="AA336" s="189" t="s">
        <v>3192</v>
      </c>
    </row>
    <row r="337" customFormat="false" ht="15" hidden="false" customHeight="true" outlineLevel="0" collapsed="false">
      <c r="A337" s="0" t="n">
        <v>69</v>
      </c>
      <c r="B337" s="188" t="n">
        <v>46072.1520586667</v>
      </c>
      <c r="C337" s="188" t="n">
        <v>46072.1718387593</v>
      </c>
      <c r="D337" s="189" t="s">
        <v>697</v>
      </c>
      <c r="E337" s="189" t="s">
        <v>698</v>
      </c>
      <c r="F337" s="189" t="s">
        <v>699</v>
      </c>
      <c r="G337" s="189" t="s">
        <v>700</v>
      </c>
      <c r="H337" s="188" t="n">
        <v>46063</v>
      </c>
      <c r="I337" s="189" t="s">
        <v>113</v>
      </c>
      <c r="J337" s="189" t="s">
        <v>128</v>
      </c>
      <c r="K337" s="189" t="s">
        <v>257</v>
      </c>
      <c r="L337" s="189" t="s">
        <v>184</v>
      </c>
      <c r="M337" s="189" t="s">
        <v>114</v>
      </c>
      <c r="N337" s="189" t="s">
        <v>701</v>
      </c>
      <c r="O337" s="189" t="s">
        <v>107</v>
      </c>
      <c r="P337" s="189" t="s">
        <v>111</v>
      </c>
      <c r="Q337" s="189" t="s">
        <v>112</v>
      </c>
      <c r="R337" s="189" t="s">
        <v>22</v>
      </c>
      <c r="S337" s="189" t="s">
        <v>152</v>
      </c>
      <c r="T337" s="189" t="s">
        <v>121</v>
      </c>
      <c r="V337" s="189" t="s">
        <v>192</v>
      </c>
      <c r="W337" s="189" t="s">
        <v>124</v>
      </c>
      <c r="X337" s="189" t="s">
        <v>135</v>
      </c>
      <c r="Y337" s="189" t="s">
        <v>3069</v>
      </c>
      <c r="Z337" s="0" t="n">
        <v>1</v>
      </c>
      <c r="AA337" s="189" t="s">
        <v>3212</v>
      </c>
    </row>
    <row r="338" customFormat="false" ht="15" hidden="false" customHeight="true" outlineLevel="0" collapsed="false">
      <c r="A338" s="0" t="n">
        <v>69</v>
      </c>
      <c r="B338" s="188" t="n">
        <v>46072.1520586667</v>
      </c>
      <c r="C338" s="188" t="n">
        <v>46072.1718387593</v>
      </c>
      <c r="D338" s="189" t="s">
        <v>697</v>
      </c>
      <c r="E338" s="189" t="s">
        <v>698</v>
      </c>
      <c r="F338" s="189" t="s">
        <v>699</v>
      </c>
      <c r="G338" s="189" t="s">
        <v>700</v>
      </c>
      <c r="H338" s="188" t="n">
        <v>46063</v>
      </c>
      <c r="I338" s="189" t="s">
        <v>113</v>
      </c>
      <c r="J338" s="189" t="s">
        <v>128</v>
      </c>
      <c r="K338" s="189" t="s">
        <v>257</v>
      </c>
      <c r="L338" s="189" t="s">
        <v>184</v>
      </c>
      <c r="M338" s="189" t="s">
        <v>114</v>
      </c>
      <c r="N338" s="189" t="s">
        <v>701</v>
      </c>
      <c r="O338" s="189" t="s">
        <v>107</v>
      </c>
      <c r="P338" s="189" t="s">
        <v>111</v>
      </c>
      <c r="Q338" s="189" t="s">
        <v>112</v>
      </c>
      <c r="R338" s="189" t="s">
        <v>22</v>
      </c>
      <c r="S338" s="189" t="s">
        <v>152</v>
      </c>
      <c r="T338" s="189" t="s">
        <v>121</v>
      </c>
      <c r="V338" s="189" t="s">
        <v>192</v>
      </c>
      <c r="W338" s="189" t="s">
        <v>124</v>
      </c>
      <c r="X338" s="189" t="s">
        <v>135</v>
      </c>
      <c r="Y338" s="189" t="s">
        <v>3069</v>
      </c>
      <c r="Z338" s="0" t="n">
        <v>2</v>
      </c>
      <c r="AA338" s="189" t="s">
        <v>3152</v>
      </c>
    </row>
    <row r="339" customFormat="false" ht="15" hidden="false" customHeight="true" outlineLevel="0" collapsed="false">
      <c r="A339" s="0" t="n">
        <v>70</v>
      </c>
      <c r="B339" s="188" t="n">
        <v>46191.616720563</v>
      </c>
      <c r="C339" s="188" t="n">
        <v>46191.6372066741</v>
      </c>
      <c r="D339" s="189" t="s">
        <v>705</v>
      </c>
      <c r="E339" s="189" t="s">
        <v>706</v>
      </c>
      <c r="F339" s="189" t="s">
        <v>706</v>
      </c>
      <c r="G339" s="189" t="s">
        <v>707</v>
      </c>
      <c r="H339" s="188" t="n">
        <v>46174</v>
      </c>
      <c r="I339" s="189" t="s">
        <v>113</v>
      </c>
      <c r="J339" s="189" t="s">
        <v>108</v>
      </c>
      <c r="K339" s="189" t="s">
        <v>245</v>
      </c>
      <c r="L339" s="189" t="s">
        <v>184</v>
      </c>
      <c r="M339" s="189" t="s">
        <v>130</v>
      </c>
      <c r="N339" s="189" t="s">
        <v>227</v>
      </c>
      <c r="O339" s="189" t="s">
        <v>172</v>
      </c>
      <c r="P339" s="189" t="s">
        <v>111</v>
      </c>
      <c r="Q339" s="189" t="s">
        <v>112</v>
      </c>
      <c r="R339" s="189" t="s">
        <v>21</v>
      </c>
      <c r="S339" s="189" t="s">
        <v>120</v>
      </c>
      <c r="T339" s="189" t="s">
        <v>180</v>
      </c>
      <c r="U339" s="189" t="s">
        <v>191</v>
      </c>
      <c r="V339" s="189" t="s">
        <v>192</v>
      </c>
      <c r="W339" s="189" t="s">
        <v>168</v>
      </c>
      <c r="X339" s="189" t="s">
        <v>187</v>
      </c>
      <c r="Y339" s="189" t="s">
        <v>3064</v>
      </c>
      <c r="Z339" s="0" t="n">
        <v>1</v>
      </c>
      <c r="AA339" s="189" t="s">
        <v>3089</v>
      </c>
    </row>
    <row r="340" customFormat="false" ht="15" hidden="false" customHeight="true" outlineLevel="0" collapsed="false">
      <c r="A340" s="0" t="n">
        <v>70</v>
      </c>
      <c r="B340" s="188" t="n">
        <v>46191.616720563</v>
      </c>
      <c r="C340" s="188" t="n">
        <v>46191.6372066741</v>
      </c>
      <c r="D340" s="189" t="s">
        <v>705</v>
      </c>
      <c r="E340" s="189" t="s">
        <v>706</v>
      </c>
      <c r="F340" s="189" t="s">
        <v>706</v>
      </c>
      <c r="G340" s="189" t="s">
        <v>707</v>
      </c>
      <c r="H340" s="188" t="n">
        <v>46174</v>
      </c>
      <c r="I340" s="189" t="s">
        <v>113</v>
      </c>
      <c r="J340" s="189" t="s">
        <v>108</v>
      </c>
      <c r="K340" s="189" t="s">
        <v>245</v>
      </c>
      <c r="L340" s="189" t="s">
        <v>184</v>
      </c>
      <c r="M340" s="189" t="s">
        <v>130</v>
      </c>
      <c r="N340" s="189" t="s">
        <v>227</v>
      </c>
      <c r="O340" s="189" t="s">
        <v>172</v>
      </c>
      <c r="P340" s="189" t="s">
        <v>111</v>
      </c>
      <c r="Q340" s="189" t="s">
        <v>112</v>
      </c>
      <c r="R340" s="189" t="s">
        <v>21</v>
      </c>
      <c r="S340" s="189" t="s">
        <v>120</v>
      </c>
      <c r="T340" s="189" t="s">
        <v>180</v>
      </c>
      <c r="U340" s="189" t="s">
        <v>191</v>
      </c>
      <c r="V340" s="189" t="s">
        <v>192</v>
      </c>
      <c r="W340" s="189" t="s">
        <v>168</v>
      </c>
      <c r="X340" s="189" t="s">
        <v>187</v>
      </c>
      <c r="Y340" s="189" t="s">
        <v>3066</v>
      </c>
      <c r="Z340" s="0" t="n">
        <v>1</v>
      </c>
      <c r="AA340" s="189" t="s">
        <v>3167</v>
      </c>
    </row>
    <row r="341" customFormat="false" ht="15" hidden="false" customHeight="true" outlineLevel="0" collapsed="false">
      <c r="A341" s="0" t="n">
        <v>70</v>
      </c>
      <c r="B341" s="188" t="n">
        <v>46191.616720563</v>
      </c>
      <c r="C341" s="188" t="n">
        <v>46191.6372066741</v>
      </c>
      <c r="D341" s="189" t="s">
        <v>705</v>
      </c>
      <c r="E341" s="189" t="s">
        <v>706</v>
      </c>
      <c r="F341" s="189" t="s">
        <v>706</v>
      </c>
      <c r="G341" s="189" t="s">
        <v>707</v>
      </c>
      <c r="H341" s="188" t="n">
        <v>46174</v>
      </c>
      <c r="I341" s="189" t="s">
        <v>113</v>
      </c>
      <c r="J341" s="189" t="s">
        <v>108</v>
      </c>
      <c r="K341" s="189" t="s">
        <v>245</v>
      </c>
      <c r="L341" s="189" t="s">
        <v>184</v>
      </c>
      <c r="M341" s="189" t="s">
        <v>130</v>
      </c>
      <c r="N341" s="189" t="s">
        <v>227</v>
      </c>
      <c r="O341" s="189" t="s">
        <v>172</v>
      </c>
      <c r="P341" s="189" t="s">
        <v>111</v>
      </c>
      <c r="Q341" s="189" t="s">
        <v>112</v>
      </c>
      <c r="R341" s="189" t="s">
        <v>21</v>
      </c>
      <c r="S341" s="189" t="s">
        <v>120</v>
      </c>
      <c r="T341" s="189" t="s">
        <v>180</v>
      </c>
      <c r="U341" s="189" t="s">
        <v>191</v>
      </c>
      <c r="V341" s="189" t="s">
        <v>192</v>
      </c>
      <c r="W341" s="189" t="s">
        <v>168</v>
      </c>
      <c r="X341" s="189" t="s">
        <v>187</v>
      </c>
      <c r="Y341" s="189" t="s">
        <v>3066</v>
      </c>
      <c r="Z341" s="0" t="n">
        <v>2</v>
      </c>
      <c r="AA341" s="189" t="s">
        <v>3090</v>
      </c>
    </row>
    <row r="342" customFormat="false" ht="15" hidden="false" customHeight="true" outlineLevel="0" collapsed="false">
      <c r="A342" s="0" t="n">
        <v>70</v>
      </c>
      <c r="B342" s="188" t="n">
        <v>46191.616720563</v>
      </c>
      <c r="C342" s="188" t="n">
        <v>46191.6372066741</v>
      </c>
      <c r="D342" s="189" t="s">
        <v>705</v>
      </c>
      <c r="E342" s="189" t="s">
        <v>706</v>
      </c>
      <c r="F342" s="189" t="s">
        <v>706</v>
      </c>
      <c r="G342" s="189" t="s">
        <v>707</v>
      </c>
      <c r="H342" s="188" t="n">
        <v>46174</v>
      </c>
      <c r="I342" s="189" t="s">
        <v>113</v>
      </c>
      <c r="J342" s="189" t="s">
        <v>108</v>
      </c>
      <c r="K342" s="189" t="s">
        <v>245</v>
      </c>
      <c r="L342" s="189" t="s">
        <v>184</v>
      </c>
      <c r="M342" s="189" t="s">
        <v>130</v>
      </c>
      <c r="N342" s="189" t="s">
        <v>227</v>
      </c>
      <c r="O342" s="189" t="s">
        <v>172</v>
      </c>
      <c r="P342" s="189" t="s">
        <v>111</v>
      </c>
      <c r="Q342" s="189" t="s">
        <v>112</v>
      </c>
      <c r="R342" s="189" t="s">
        <v>21</v>
      </c>
      <c r="S342" s="189" t="s">
        <v>120</v>
      </c>
      <c r="T342" s="189" t="s">
        <v>180</v>
      </c>
      <c r="U342" s="189" t="s">
        <v>191</v>
      </c>
      <c r="V342" s="189" t="s">
        <v>192</v>
      </c>
      <c r="W342" s="189" t="s">
        <v>168</v>
      </c>
      <c r="X342" s="189" t="s">
        <v>187</v>
      </c>
      <c r="Y342" s="189" t="s">
        <v>3069</v>
      </c>
      <c r="Z342" s="0" t="n">
        <v>1</v>
      </c>
      <c r="AA342" s="189" t="s">
        <v>3091</v>
      </c>
    </row>
    <row r="343" customFormat="false" ht="15" hidden="false" customHeight="true" outlineLevel="0" collapsed="false">
      <c r="A343" s="0" t="n">
        <v>71</v>
      </c>
      <c r="B343" s="188" t="n">
        <v>46066.545797176</v>
      </c>
      <c r="C343" s="188" t="n">
        <v>46066.5516883797</v>
      </c>
      <c r="D343" s="189" t="s">
        <v>709</v>
      </c>
      <c r="E343" s="189" t="s">
        <v>710</v>
      </c>
      <c r="F343" s="189" t="s">
        <v>711</v>
      </c>
      <c r="G343" s="189" t="s">
        <v>712</v>
      </c>
      <c r="H343" s="188" t="n">
        <v>46051</v>
      </c>
      <c r="I343" s="189" t="s">
        <v>113</v>
      </c>
      <c r="J343" s="189" t="s">
        <v>295</v>
      </c>
      <c r="K343" s="189" t="s">
        <v>245</v>
      </c>
      <c r="L343" s="189" t="s">
        <v>184</v>
      </c>
      <c r="M343" s="189" t="s">
        <v>578</v>
      </c>
      <c r="N343" s="189" t="s">
        <v>714</v>
      </c>
      <c r="O343" s="189" t="s">
        <v>713</v>
      </c>
      <c r="P343" s="189" t="s">
        <v>111</v>
      </c>
      <c r="Q343" s="189" t="s">
        <v>145</v>
      </c>
      <c r="R343" s="189" t="s">
        <v>22</v>
      </c>
      <c r="S343" s="189" t="s">
        <v>152</v>
      </c>
      <c r="T343" s="189" t="s">
        <v>121</v>
      </c>
      <c r="U343" s="132" t="s">
        <v>641</v>
      </c>
      <c r="V343" s="189" t="s">
        <v>123</v>
      </c>
      <c r="W343" s="189" t="s">
        <v>124</v>
      </c>
      <c r="X343" s="189" t="s">
        <v>715</v>
      </c>
      <c r="Y343" s="189" t="s">
        <v>3064</v>
      </c>
      <c r="Z343" s="0" t="n">
        <v>1</v>
      </c>
      <c r="AA343" s="189" t="s">
        <v>3224</v>
      </c>
    </row>
    <row r="344" customFormat="false" ht="15" hidden="false" customHeight="true" outlineLevel="0" collapsed="false">
      <c r="A344" s="0" t="n">
        <v>71</v>
      </c>
      <c r="B344" s="188" t="n">
        <v>46066.545797176</v>
      </c>
      <c r="C344" s="188" t="n">
        <v>46066.5516883797</v>
      </c>
      <c r="D344" s="189" t="s">
        <v>709</v>
      </c>
      <c r="E344" s="189" t="s">
        <v>710</v>
      </c>
      <c r="F344" s="189" t="s">
        <v>711</v>
      </c>
      <c r="G344" s="189" t="s">
        <v>712</v>
      </c>
      <c r="H344" s="188" t="n">
        <v>46051</v>
      </c>
      <c r="I344" s="189" t="s">
        <v>113</v>
      </c>
      <c r="J344" s="189" t="s">
        <v>295</v>
      </c>
      <c r="K344" s="189" t="s">
        <v>245</v>
      </c>
      <c r="L344" s="189" t="s">
        <v>184</v>
      </c>
      <c r="M344" s="189" t="s">
        <v>578</v>
      </c>
      <c r="N344" s="189" t="s">
        <v>714</v>
      </c>
      <c r="O344" s="189" t="s">
        <v>713</v>
      </c>
      <c r="P344" s="189" t="s">
        <v>111</v>
      </c>
      <c r="Q344" s="189" t="s">
        <v>145</v>
      </c>
      <c r="R344" s="189" t="s">
        <v>22</v>
      </c>
      <c r="S344" s="189" t="s">
        <v>152</v>
      </c>
      <c r="T344" s="189" t="s">
        <v>121</v>
      </c>
      <c r="U344" s="132" t="s">
        <v>641</v>
      </c>
      <c r="V344" s="189" t="s">
        <v>123</v>
      </c>
      <c r="W344" s="189" t="s">
        <v>124</v>
      </c>
      <c r="X344" s="189" t="s">
        <v>715</v>
      </c>
      <c r="Y344" s="189" t="s">
        <v>3064</v>
      </c>
      <c r="Z344" s="0" t="n">
        <v>2</v>
      </c>
      <c r="AA344" s="189" t="s">
        <v>3225</v>
      </c>
    </row>
    <row r="345" customFormat="false" ht="15" hidden="false" customHeight="true" outlineLevel="0" collapsed="false">
      <c r="A345" s="0" t="n">
        <v>71</v>
      </c>
      <c r="B345" s="188" t="n">
        <v>46066.545797176</v>
      </c>
      <c r="C345" s="188" t="n">
        <v>46066.5516883797</v>
      </c>
      <c r="D345" s="189" t="s">
        <v>709</v>
      </c>
      <c r="E345" s="189" t="s">
        <v>710</v>
      </c>
      <c r="F345" s="189" t="s">
        <v>711</v>
      </c>
      <c r="G345" s="189" t="s">
        <v>712</v>
      </c>
      <c r="H345" s="188" t="n">
        <v>46051</v>
      </c>
      <c r="I345" s="189" t="s">
        <v>113</v>
      </c>
      <c r="J345" s="189" t="s">
        <v>295</v>
      </c>
      <c r="K345" s="189" t="s">
        <v>245</v>
      </c>
      <c r="L345" s="189" t="s">
        <v>184</v>
      </c>
      <c r="M345" s="189" t="s">
        <v>578</v>
      </c>
      <c r="N345" s="189" t="s">
        <v>714</v>
      </c>
      <c r="O345" s="189" t="s">
        <v>713</v>
      </c>
      <c r="P345" s="189" t="s">
        <v>111</v>
      </c>
      <c r="Q345" s="189" t="s">
        <v>145</v>
      </c>
      <c r="R345" s="189" t="s">
        <v>22</v>
      </c>
      <c r="S345" s="189" t="s">
        <v>152</v>
      </c>
      <c r="T345" s="189" t="s">
        <v>121</v>
      </c>
      <c r="U345" s="132" t="s">
        <v>641</v>
      </c>
      <c r="V345" s="189" t="s">
        <v>123</v>
      </c>
      <c r="W345" s="189" t="s">
        <v>124</v>
      </c>
      <c r="X345" s="189" t="s">
        <v>715</v>
      </c>
      <c r="Y345" s="189" t="s">
        <v>3066</v>
      </c>
      <c r="Z345" s="0" t="n">
        <v>1</v>
      </c>
      <c r="AA345" s="189" t="s">
        <v>3226</v>
      </c>
    </row>
    <row r="346" customFormat="false" ht="15" hidden="false" customHeight="true" outlineLevel="0" collapsed="false">
      <c r="A346" s="0" t="n">
        <v>71</v>
      </c>
      <c r="B346" s="188" t="n">
        <v>46066.545797176</v>
      </c>
      <c r="C346" s="188" t="n">
        <v>46066.5516883797</v>
      </c>
      <c r="D346" s="189" t="s">
        <v>709</v>
      </c>
      <c r="E346" s="189" t="s">
        <v>710</v>
      </c>
      <c r="F346" s="189" t="s">
        <v>711</v>
      </c>
      <c r="G346" s="189" t="s">
        <v>712</v>
      </c>
      <c r="H346" s="188" t="n">
        <v>46051</v>
      </c>
      <c r="I346" s="189" t="s">
        <v>113</v>
      </c>
      <c r="J346" s="189" t="s">
        <v>295</v>
      </c>
      <c r="K346" s="189" t="s">
        <v>245</v>
      </c>
      <c r="L346" s="189" t="s">
        <v>184</v>
      </c>
      <c r="M346" s="189" t="s">
        <v>578</v>
      </c>
      <c r="N346" s="189" t="s">
        <v>714</v>
      </c>
      <c r="O346" s="189" t="s">
        <v>713</v>
      </c>
      <c r="P346" s="189" t="s">
        <v>111</v>
      </c>
      <c r="Q346" s="189" t="s">
        <v>145</v>
      </c>
      <c r="R346" s="189" t="s">
        <v>22</v>
      </c>
      <c r="S346" s="189" t="s">
        <v>152</v>
      </c>
      <c r="T346" s="189" t="s">
        <v>121</v>
      </c>
      <c r="U346" s="132" t="s">
        <v>641</v>
      </c>
      <c r="V346" s="189" t="s">
        <v>123</v>
      </c>
      <c r="W346" s="189" t="s">
        <v>124</v>
      </c>
      <c r="X346" s="189" t="s">
        <v>715</v>
      </c>
      <c r="Y346" s="189" t="s">
        <v>3066</v>
      </c>
      <c r="Z346" s="0" t="n">
        <v>2</v>
      </c>
      <c r="AA346" s="189" t="s">
        <v>3227</v>
      </c>
    </row>
    <row r="347" customFormat="false" ht="15" hidden="false" customHeight="true" outlineLevel="0" collapsed="false">
      <c r="A347" s="0" t="n">
        <v>71</v>
      </c>
      <c r="B347" s="188" t="n">
        <v>46066.545797176</v>
      </c>
      <c r="C347" s="188" t="n">
        <v>46066.5516883797</v>
      </c>
      <c r="D347" s="189" t="s">
        <v>709</v>
      </c>
      <c r="E347" s="189" t="s">
        <v>710</v>
      </c>
      <c r="F347" s="189" t="s">
        <v>711</v>
      </c>
      <c r="G347" s="189" t="s">
        <v>712</v>
      </c>
      <c r="H347" s="188" t="n">
        <v>46051</v>
      </c>
      <c r="I347" s="189" t="s">
        <v>113</v>
      </c>
      <c r="J347" s="189" t="s">
        <v>295</v>
      </c>
      <c r="K347" s="189" t="s">
        <v>245</v>
      </c>
      <c r="L347" s="189" t="s">
        <v>184</v>
      </c>
      <c r="M347" s="189" t="s">
        <v>578</v>
      </c>
      <c r="N347" s="189" t="s">
        <v>714</v>
      </c>
      <c r="O347" s="189" t="s">
        <v>713</v>
      </c>
      <c r="P347" s="189" t="s">
        <v>111</v>
      </c>
      <c r="Q347" s="189" t="s">
        <v>145</v>
      </c>
      <c r="R347" s="189" t="s">
        <v>22</v>
      </c>
      <c r="S347" s="189" t="s">
        <v>152</v>
      </c>
      <c r="T347" s="189" t="s">
        <v>121</v>
      </c>
      <c r="U347" s="132" t="s">
        <v>641</v>
      </c>
      <c r="V347" s="189" t="s">
        <v>123</v>
      </c>
      <c r="W347" s="189" t="s">
        <v>124</v>
      </c>
      <c r="X347" s="189" t="s">
        <v>715</v>
      </c>
      <c r="Y347" s="189" t="s">
        <v>3069</v>
      </c>
      <c r="Z347" s="0" t="n">
        <v>1</v>
      </c>
      <c r="AA347" s="189" t="s">
        <v>3228</v>
      </c>
    </row>
    <row r="348" customFormat="false" ht="15" hidden="false" customHeight="true" outlineLevel="0" collapsed="false">
      <c r="A348" s="0" t="n">
        <v>71</v>
      </c>
      <c r="B348" s="188" t="n">
        <v>46066.545797176</v>
      </c>
      <c r="C348" s="188" t="n">
        <v>46066.5516883797</v>
      </c>
      <c r="D348" s="189" t="s">
        <v>709</v>
      </c>
      <c r="E348" s="189" t="s">
        <v>710</v>
      </c>
      <c r="F348" s="189" t="s">
        <v>711</v>
      </c>
      <c r="G348" s="189" t="s">
        <v>712</v>
      </c>
      <c r="H348" s="188" t="n">
        <v>46051</v>
      </c>
      <c r="I348" s="189" t="s">
        <v>113</v>
      </c>
      <c r="J348" s="189" t="s">
        <v>295</v>
      </c>
      <c r="K348" s="189" t="s">
        <v>245</v>
      </c>
      <c r="L348" s="189" t="s">
        <v>184</v>
      </c>
      <c r="M348" s="189" t="s">
        <v>578</v>
      </c>
      <c r="N348" s="189" t="s">
        <v>714</v>
      </c>
      <c r="O348" s="189" t="s">
        <v>713</v>
      </c>
      <c r="P348" s="189" t="s">
        <v>111</v>
      </c>
      <c r="Q348" s="189" t="s">
        <v>145</v>
      </c>
      <c r="R348" s="189" t="s">
        <v>22</v>
      </c>
      <c r="S348" s="189" t="s">
        <v>152</v>
      </c>
      <c r="T348" s="189" t="s">
        <v>121</v>
      </c>
      <c r="U348" s="132" t="s">
        <v>641</v>
      </c>
      <c r="V348" s="189" t="s">
        <v>123</v>
      </c>
      <c r="W348" s="189" t="s">
        <v>124</v>
      </c>
      <c r="X348" s="189" t="s">
        <v>715</v>
      </c>
      <c r="Y348" s="189" t="s">
        <v>3069</v>
      </c>
      <c r="Z348" s="0" t="n">
        <v>2</v>
      </c>
      <c r="AA348" s="189" t="s">
        <v>3229</v>
      </c>
    </row>
    <row r="349" customFormat="false" ht="15" hidden="false" customHeight="true" outlineLevel="0" collapsed="false">
      <c r="A349" s="0" t="n">
        <v>72</v>
      </c>
      <c r="B349" s="188" t="n">
        <v>46103.6304040973</v>
      </c>
      <c r="C349" s="188" t="n">
        <v>46103.6364341899</v>
      </c>
      <c r="D349" s="189" t="s">
        <v>719</v>
      </c>
      <c r="E349" s="189" t="s">
        <v>720</v>
      </c>
      <c r="F349" s="189" t="s">
        <v>720</v>
      </c>
      <c r="G349" s="189" t="s">
        <v>721</v>
      </c>
      <c r="H349" s="188" t="n">
        <v>46085</v>
      </c>
      <c r="I349" s="189" t="s">
        <v>325</v>
      </c>
      <c r="J349" s="189" t="s">
        <v>108</v>
      </c>
      <c r="K349" s="189" t="s">
        <v>257</v>
      </c>
      <c r="L349" s="189" t="s">
        <v>346</v>
      </c>
      <c r="M349" s="189" t="s">
        <v>357</v>
      </c>
      <c r="N349" s="189" t="s">
        <v>398</v>
      </c>
      <c r="O349" s="189" t="s">
        <v>157</v>
      </c>
      <c r="P349" s="189" t="s">
        <v>111</v>
      </c>
      <c r="Q349" s="189" t="s">
        <v>112</v>
      </c>
      <c r="R349" s="189" t="s">
        <v>22</v>
      </c>
      <c r="S349" s="189" t="s">
        <v>227</v>
      </c>
      <c r="T349" s="189" t="s">
        <v>180</v>
      </c>
      <c r="U349" s="189" t="s">
        <v>725</v>
      </c>
      <c r="V349" s="189" t="s">
        <v>123</v>
      </c>
      <c r="W349" s="189" t="s">
        <v>124</v>
      </c>
      <c r="X349" s="189" t="s">
        <v>271</v>
      </c>
      <c r="Y349" s="189" t="s">
        <v>3064</v>
      </c>
      <c r="Z349" s="0" t="n">
        <v>1</v>
      </c>
      <c r="AA349" s="189" t="s">
        <v>3230</v>
      </c>
    </row>
    <row r="350" customFormat="false" ht="15" hidden="false" customHeight="true" outlineLevel="0" collapsed="false">
      <c r="A350" s="0" t="n">
        <v>72</v>
      </c>
      <c r="B350" s="188" t="n">
        <v>46103.6304040973</v>
      </c>
      <c r="C350" s="188" t="n">
        <v>46103.6364341899</v>
      </c>
      <c r="D350" s="189" t="s">
        <v>719</v>
      </c>
      <c r="E350" s="189" t="s">
        <v>720</v>
      </c>
      <c r="F350" s="189" t="s">
        <v>720</v>
      </c>
      <c r="G350" s="189" t="s">
        <v>721</v>
      </c>
      <c r="H350" s="188" t="n">
        <v>46085</v>
      </c>
      <c r="I350" s="189" t="s">
        <v>325</v>
      </c>
      <c r="J350" s="189" t="s">
        <v>108</v>
      </c>
      <c r="K350" s="189" t="s">
        <v>257</v>
      </c>
      <c r="L350" s="189" t="s">
        <v>346</v>
      </c>
      <c r="M350" s="189" t="s">
        <v>357</v>
      </c>
      <c r="N350" s="189" t="s">
        <v>398</v>
      </c>
      <c r="O350" s="189" t="s">
        <v>157</v>
      </c>
      <c r="P350" s="189" t="s">
        <v>111</v>
      </c>
      <c r="Q350" s="189" t="s">
        <v>112</v>
      </c>
      <c r="R350" s="189" t="s">
        <v>22</v>
      </c>
      <c r="S350" s="189" t="s">
        <v>227</v>
      </c>
      <c r="T350" s="189" t="s">
        <v>180</v>
      </c>
      <c r="U350" s="189" t="s">
        <v>725</v>
      </c>
      <c r="V350" s="189" t="s">
        <v>123</v>
      </c>
      <c r="W350" s="189" t="s">
        <v>124</v>
      </c>
      <c r="X350" s="189" t="s">
        <v>271</v>
      </c>
      <c r="Y350" s="189" t="s">
        <v>3066</v>
      </c>
      <c r="Z350" s="0" t="n">
        <v>1</v>
      </c>
      <c r="AA350" s="189" t="s">
        <v>3117</v>
      </c>
    </row>
    <row r="351" customFormat="false" ht="15" hidden="false" customHeight="true" outlineLevel="0" collapsed="false">
      <c r="A351" s="0" t="n">
        <v>72</v>
      </c>
      <c r="B351" s="188" t="n">
        <v>46103.6304040973</v>
      </c>
      <c r="C351" s="188" t="n">
        <v>46103.6364341899</v>
      </c>
      <c r="D351" s="189" t="s">
        <v>719</v>
      </c>
      <c r="E351" s="189" t="s">
        <v>720</v>
      </c>
      <c r="F351" s="189" t="s">
        <v>720</v>
      </c>
      <c r="G351" s="189" t="s">
        <v>721</v>
      </c>
      <c r="H351" s="188" t="n">
        <v>46085</v>
      </c>
      <c r="I351" s="189" t="s">
        <v>325</v>
      </c>
      <c r="J351" s="189" t="s">
        <v>108</v>
      </c>
      <c r="K351" s="189" t="s">
        <v>257</v>
      </c>
      <c r="L351" s="189" t="s">
        <v>346</v>
      </c>
      <c r="M351" s="189" t="s">
        <v>357</v>
      </c>
      <c r="N351" s="189" t="s">
        <v>398</v>
      </c>
      <c r="O351" s="189" t="s">
        <v>157</v>
      </c>
      <c r="P351" s="189" t="s">
        <v>111</v>
      </c>
      <c r="Q351" s="189" t="s">
        <v>112</v>
      </c>
      <c r="R351" s="189" t="s">
        <v>22</v>
      </c>
      <c r="S351" s="189" t="s">
        <v>227</v>
      </c>
      <c r="T351" s="189" t="s">
        <v>180</v>
      </c>
      <c r="U351" s="189" t="s">
        <v>725</v>
      </c>
      <c r="V351" s="189" t="s">
        <v>123</v>
      </c>
      <c r="W351" s="189" t="s">
        <v>124</v>
      </c>
      <c r="X351" s="189" t="s">
        <v>271</v>
      </c>
      <c r="Y351" s="189" t="s">
        <v>3066</v>
      </c>
      <c r="Z351" s="0" t="n">
        <v>2</v>
      </c>
      <c r="AA351" s="189" t="s">
        <v>3138</v>
      </c>
    </row>
    <row r="352" customFormat="false" ht="15" hidden="false" customHeight="true" outlineLevel="0" collapsed="false">
      <c r="A352" s="0" t="n">
        <v>72</v>
      </c>
      <c r="B352" s="188" t="n">
        <v>46103.6304040973</v>
      </c>
      <c r="C352" s="188" t="n">
        <v>46103.6364341899</v>
      </c>
      <c r="D352" s="189" t="s">
        <v>719</v>
      </c>
      <c r="E352" s="189" t="s">
        <v>720</v>
      </c>
      <c r="F352" s="189" t="s">
        <v>720</v>
      </c>
      <c r="G352" s="189" t="s">
        <v>721</v>
      </c>
      <c r="H352" s="188" t="n">
        <v>46085</v>
      </c>
      <c r="I352" s="189" t="s">
        <v>325</v>
      </c>
      <c r="J352" s="189" t="s">
        <v>108</v>
      </c>
      <c r="K352" s="189" t="s">
        <v>257</v>
      </c>
      <c r="L352" s="189" t="s">
        <v>346</v>
      </c>
      <c r="M352" s="189" t="s">
        <v>357</v>
      </c>
      <c r="N352" s="189" t="s">
        <v>398</v>
      </c>
      <c r="O352" s="189" t="s">
        <v>157</v>
      </c>
      <c r="P352" s="189" t="s">
        <v>111</v>
      </c>
      <c r="Q352" s="189" t="s">
        <v>112</v>
      </c>
      <c r="R352" s="189" t="s">
        <v>22</v>
      </c>
      <c r="S352" s="189" t="s">
        <v>227</v>
      </c>
      <c r="T352" s="189" t="s">
        <v>180</v>
      </c>
      <c r="U352" s="189" t="s">
        <v>725</v>
      </c>
      <c r="V352" s="189" t="s">
        <v>123</v>
      </c>
      <c r="W352" s="189" t="s">
        <v>124</v>
      </c>
      <c r="X352" s="189" t="s">
        <v>271</v>
      </c>
      <c r="Y352" s="189" t="s">
        <v>3069</v>
      </c>
      <c r="Z352" s="0" t="n">
        <v>1</v>
      </c>
      <c r="AA352" s="189" t="s">
        <v>3118</v>
      </c>
    </row>
    <row r="353" customFormat="false" ht="15" hidden="false" customHeight="true" outlineLevel="0" collapsed="false">
      <c r="A353" s="0" t="n">
        <v>73</v>
      </c>
      <c r="B353" s="188" t="n">
        <v>46070.2349218252</v>
      </c>
      <c r="C353" s="188" t="n">
        <v>46070.2471093252</v>
      </c>
      <c r="D353" s="189" t="s">
        <v>726</v>
      </c>
      <c r="E353" s="189" t="s">
        <v>727</v>
      </c>
      <c r="F353" s="189" t="s">
        <v>728</v>
      </c>
      <c r="G353" s="189" t="s">
        <v>729</v>
      </c>
      <c r="H353" s="188" t="n">
        <v>46050</v>
      </c>
      <c r="I353" s="189" t="s">
        <v>113</v>
      </c>
      <c r="J353" s="189" t="s">
        <v>108</v>
      </c>
      <c r="K353" s="189" t="s">
        <v>196</v>
      </c>
      <c r="L353" s="189" t="s">
        <v>246</v>
      </c>
      <c r="M353" s="189" t="s">
        <v>144</v>
      </c>
      <c r="N353" s="189" t="s">
        <v>389</v>
      </c>
      <c r="O353" s="189" t="s">
        <v>244</v>
      </c>
      <c r="P353" s="189" t="s">
        <v>111</v>
      </c>
      <c r="Q353" s="189" t="s">
        <v>112</v>
      </c>
      <c r="R353" s="189" t="s">
        <v>22</v>
      </c>
      <c r="S353" s="189" t="s">
        <v>152</v>
      </c>
      <c r="T353" s="189" t="s">
        <v>121</v>
      </c>
      <c r="U353" s="189" t="s">
        <v>122</v>
      </c>
      <c r="V353" s="189" t="s">
        <v>123</v>
      </c>
      <c r="W353" s="189" t="s">
        <v>124</v>
      </c>
      <c r="X353" s="189" t="s">
        <v>715</v>
      </c>
      <c r="Y353" s="189" t="s">
        <v>3064</v>
      </c>
      <c r="Z353" s="0" t="n">
        <v>1</v>
      </c>
      <c r="AA353" s="189" t="s">
        <v>3224</v>
      </c>
    </row>
    <row r="354" customFormat="false" ht="15" hidden="false" customHeight="true" outlineLevel="0" collapsed="false">
      <c r="A354" s="0" t="n">
        <v>73</v>
      </c>
      <c r="B354" s="188" t="n">
        <v>46070.2349218252</v>
      </c>
      <c r="C354" s="188" t="n">
        <v>46070.2471093252</v>
      </c>
      <c r="D354" s="189" t="s">
        <v>726</v>
      </c>
      <c r="E354" s="189" t="s">
        <v>727</v>
      </c>
      <c r="F354" s="189" t="s">
        <v>728</v>
      </c>
      <c r="G354" s="189" t="s">
        <v>729</v>
      </c>
      <c r="H354" s="188" t="n">
        <v>46050</v>
      </c>
      <c r="I354" s="189" t="s">
        <v>113</v>
      </c>
      <c r="J354" s="189" t="s">
        <v>108</v>
      </c>
      <c r="K354" s="189" t="s">
        <v>196</v>
      </c>
      <c r="L354" s="189" t="s">
        <v>246</v>
      </c>
      <c r="M354" s="189" t="s">
        <v>144</v>
      </c>
      <c r="N354" s="189" t="s">
        <v>389</v>
      </c>
      <c r="O354" s="189" t="s">
        <v>244</v>
      </c>
      <c r="P354" s="189" t="s">
        <v>111</v>
      </c>
      <c r="Q354" s="189" t="s">
        <v>112</v>
      </c>
      <c r="R354" s="189" t="s">
        <v>22</v>
      </c>
      <c r="S354" s="189" t="s">
        <v>152</v>
      </c>
      <c r="T354" s="189" t="s">
        <v>121</v>
      </c>
      <c r="U354" s="189" t="s">
        <v>122</v>
      </c>
      <c r="V354" s="189" t="s">
        <v>123</v>
      </c>
      <c r="W354" s="189" t="s">
        <v>124</v>
      </c>
      <c r="X354" s="189" t="s">
        <v>715</v>
      </c>
      <c r="Y354" s="189" t="s">
        <v>3066</v>
      </c>
      <c r="Z354" s="0" t="n">
        <v>1</v>
      </c>
      <c r="AA354" s="189" t="s">
        <v>3231</v>
      </c>
    </row>
    <row r="355" customFormat="false" ht="15" hidden="false" customHeight="true" outlineLevel="0" collapsed="false">
      <c r="A355" s="0" t="n">
        <v>73</v>
      </c>
      <c r="B355" s="188" t="n">
        <v>46070.2349218252</v>
      </c>
      <c r="C355" s="188" t="n">
        <v>46070.2471093252</v>
      </c>
      <c r="D355" s="189" t="s">
        <v>726</v>
      </c>
      <c r="E355" s="189" t="s">
        <v>727</v>
      </c>
      <c r="F355" s="189" t="s">
        <v>728</v>
      </c>
      <c r="G355" s="189" t="s">
        <v>729</v>
      </c>
      <c r="H355" s="188" t="n">
        <v>46050</v>
      </c>
      <c r="I355" s="189" t="s">
        <v>113</v>
      </c>
      <c r="J355" s="189" t="s">
        <v>108</v>
      </c>
      <c r="K355" s="189" t="s">
        <v>196</v>
      </c>
      <c r="L355" s="189" t="s">
        <v>246</v>
      </c>
      <c r="M355" s="189" t="s">
        <v>144</v>
      </c>
      <c r="N355" s="189" t="s">
        <v>389</v>
      </c>
      <c r="O355" s="189" t="s">
        <v>244</v>
      </c>
      <c r="P355" s="189" t="s">
        <v>111</v>
      </c>
      <c r="Q355" s="189" t="s">
        <v>112</v>
      </c>
      <c r="R355" s="189" t="s">
        <v>22</v>
      </c>
      <c r="S355" s="189" t="s">
        <v>152</v>
      </c>
      <c r="T355" s="189" t="s">
        <v>121</v>
      </c>
      <c r="U355" s="189" t="s">
        <v>122</v>
      </c>
      <c r="V355" s="189" t="s">
        <v>123</v>
      </c>
      <c r="W355" s="189" t="s">
        <v>124</v>
      </c>
      <c r="X355" s="189" t="s">
        <v>715</v>
      </c>
      <c r="Y355" s="189" t="s">
        <v>3066</v>
      </c>
      <c r="Z355" s="0" t="n">
        <v>2</v>
      </c>
      <c r="AA355" s="189" t="s">
        <v>3226</v>
      </c>
    </row>
    <row r="356" customFormat="false" ht="15" hidden="false" customHeight="true" outlineLevel="0" collapsed="false">
      <c r="A356" s="0" t="n">
        <v>73</v>
      </c>
      <c r="B356" s="188" t="n">
        <v>46070.2349218252</v>
      </c>
      <c r="C356" s="188" t="n">
        <v>46070.2471093252</v>
      </c>
      <c r="D356" s="189" t="s">
        <v>726</v>
      </c>
      <c r="E356" s="189" t="s">
        <v>727</v>
      </c>
      <c r="F356" s="189" t="s">
        <v>728</v>
      </c>
      <c r="G356" s="189" t="s">
        <v>729</v>
      </c>
      <c r="H356" s="188" t="n">
        <v>46050</v>
      </c>
      <c r="I356" s="189" t="s">
        <v>113</v>
      </c>
      <c r="J356" s="189" t="s">
        <v>108</v>
      </c>
      <c r="K356" s="189" t="s">
        <v>196</v>
      </c>
      <c r="L356" s="189" t="s">
        <v>246</v>
      </c>
      <c r="M356" s="189" t="s">
        <v>144</v>
      </c>
      <c r="N356" s="189" t="s">
        <v>389</v>
      </c>
      <c r="O356" s="189" t="s">
        <v>244</v>
      </c>
      <c r="P356" s="189" t="s">
        <v>111</v>
      </c>
      <c r="Q356" s="189" t="s">
        <v>112</v>
      </c>
      <c r="R356" s="189" t="s">
        <v>22</v>
      </c>
      <c r="S356" s="189" t="s">
        <v>152</v>
      </c>
      <c r="T356" s="189" t="s">
        <v>121</v>
      </c>
      <c r="U356" s="189" t="s">
        <v>122</v>
      </c>
      <c r="V356" s="189" t="s">
        <v>123</v>
      </c>
      <c r="W356" s="189" t="s">
        <v>124</v>
      </c>
      <c r="X356" s="189" t="s">
        <v>715</v>
      </c>
      <c r="Y356" s="189" t="s">
        <v>3069</v>
      </c>
      <c r="Z356" s="0" t="n">
        <v>1</v>
      </c>
      <c r="AA356" s="189" t="s">
        <v>3232</v>
      </c>
    </row>
    <row r="357" customFormat="false" ht="15" hidden="false" customHeight="true" outlineLevel="0" collapsed="false">
      <c r="A357" s="0" t="n">
        <v>74</v>
      </c>
      <c r="B357" s="188" t="n">
        <v>46154.2781454042</v>
      </c>
      <c r="C357" s="188" t="n">
        <v>46154.2960504968</v>
      </c>
      <c r="D357" s="189" t="s">
        <v>733</v>
      </c>
      <c r="E357" s="189" t="s">
        <v>734</v>
      </c>
      <c r="F357" s="189" t="s">
        <v>734</v>
      </c>
      <c r="G357" s="189" t="s">
        <v>735</v>
      </c>
      <c r="H357" s="188" t="n">
        <v>46152</v>
      </c>
      <c r="I357" s="189" t="s">
        <v>113</v>
      </c>
      <c r="J357" s="189" t="s">
        <v>128</v>
      </c>
      <c r="K357" s="189" t="s">
        <v>462</v>
      </c>
      <c r="L357" s="189" t="s">
        <v>210</v>
      </c>
      <c r="M357" s="189" t="s">
        <v>736</v>
      </c>
      <c r="N357" s="189" t="s">
        <v>306</v>
      </c>
      <c r="O357" s="189" t="s">
        <v>244</v>
      </c>
      <c r="P357" s="189" t="s">
        <v>111</v>
      </c>
      <c r="Q357" s="189" t="s">
        <v>112</v>
      </c>
      <c r="R357" s="189" t="s">
        <v>22</v>
      </c>
      <c r="S357" s="189" t="s">
        <v>152</v>
      </c>
      <c r="T357" s="189" t="s">
        <v>264</v>
      </c>
      <c r="U357" s="189" t="s">
        <v>562</v>
      </c>
      <c r="V357" s="189" t="s">
        <v>123</v>
      </c>
      <c r="W357" s="189" t="s">
        <v>139</v>
      </c>
      <c r="X357" s="189" t="s">
        <v>381</v>
      </c>
      <c r="Y357" s="189" t="s">
        <v>3064</v>
      </c>
      <c r="Z357" s="0" t="n">
        <v>1</v>
      </c>
      <c r="AA357" s="189" t="s">
        <v>3180</v>
      </c>
    </row>
    <row r="358" customFormat="false" ht="15" hidden="false" customHeight="true" outlineLevel="0" collapsed="false">
      <c r="A358" s="0" t="n">
        <v>74</v>
      </c>
      <c r="B358" s="188" t="n">
        <v>46154.2781454042</v>
      </c>
      <c r="C358" s="188" t="n">
        <v>46154.2960504968</v>
      </c>
      <c r="D358" s="189" t="s">
        <v>733</v>
      </c>
      <c r="E358" s="189" t="s">
        <v>734</v>
      </c>
      <c r="F358" s="189" t="s">
        <v>734</v>
      </c>
      <c r="G358" s="189" t="s">
        <v>735</v>
      </c>
      <c r="H358" s="188" t="n">
        <v>46152</v>
      </c>
      <c r="I358" s="189" t="s">
        <v>113</v>
      </c>
      <c r="J358" s="189" t="s">
        <v>128</v>
      </c>
      <c r="K358" s="189" t="s">
        <v>462</v>
      </c>
      <c r="L358" s="189" t="s">
        <v>210</v>
      </c>
      <c r="M358" s="189" t="s">
        <v>736</v>
      </c>
      <c r="N358" s="189" t="s">
        <v>306</v>
      </c>
      <c r="O358" s="189" t="s">
        <v>244</v>
      </c>
      <c r="P358" s="189" t="s">
        <v>111</v>
      </c>
      <c r="Q358" s="189" t="s">
        <v>112</v>
      </c>
      <c r="R358" s="189" t="s">
        <v>22</v>
      </c>
      <c r="S358" s="189" t="s">
        <v>152</v>
      </c>
      <c r="T358" s="189" t="s">
        <v>264</v>
      </c>
      <c r="U358" s="189" t="s">
        <v>562</v>
      </c>
      <c r="V358" s="189" t="s">
        <v>123</v>
      </c>
      <c r="W358" s="189" t="s">
        <v>139</v>
      </c>
      <c r="X358" s="189" t="s">
        <v>381</v>
      </c>
      <c r="Y358" s="189" t="s">
        <v>3064</v>
      </c>
      <c r="Z358" s="0" t="n">
        <v>2</v>
      </c>
      <c r="AA358" s="189" t="s">
        <v>3233</v>
      </c>
    </row>
    <row r="359" customFormat="false" ht="15" hidden="false" customHeight="true" outlineLevel="0" collapsed="false">
      <c r="A359" s="0" t="n">
        <v>74</v>
      </c>
      <c r="B359" s="188" t="n">
        <v>46154.2781454042</v>
      </c>
      <c r="C359" s="188" t="n">
        <v>46154.2960504968</v>
      </c>
      <c r="D359" s="189" t="s">
        <v>733</v>
      </c>
      <c r="E359" s="189" t="s">
        <v>734</v>
      </c>
      <c r="F359" s="189" t="s">
        <v>734</v>
      </c>
      <c r="G359" s="189" t="s">
        <v>735</v>
      </c>
      <c r="H359" s="188" t="n">
        <v>46152</v>
      </c>
      <c r="I359" s="189" t="s">
        <v>113</v>
      </c>
      <c r="J359" s="189" t="s">
        <v>128</v>
      </c>
      <c r="K359" s="189" t="s">
        <v>462</v>
      </c>
      <c r="L359" s="189" t="s">
        <v>210</v>
      </c>
      <c r="M359" s="189" t="s">
        <v>736</v>
      </c>
      <c r="N359" s="189" t="s">
        <v>306</v>
      </c>
      <c r="O359" s="189" t="s">
        <v>244</v>
      </c>
      <c r="P359" s="189" t="s">
        <v>111</v>
      </c>
      <c r="Q359" s="189" t="s">
        <v>112</v>
      </c>
      <c r="R359" s="189" t="s">
        <v>22</v>
      </c>
      <c r="S359" s="189" t="s">
        <v>152</v>
      </c>
      <c r="T359" s="189" t="s">
        <v>264</v>
      </c>
      <c r="U359" s="189" t="s">
        <v>562</v>
      </c>
      <c r="V359" s="189" t="s">
        <v>123</v>
      </c>
      <c r="W359" s="189" t="s">
        <v>139</v>
      </c>
      <c r="X359" s="189" t="s">
        <v>381</v>
      </c>
      <c r="Y359" s="189" t="s">
        <v>3066</v>
      </c>
      <c r="Z359" s="0" t="n">
        <v>1</v>
      </c>
      <c r="AA359" s="189" t="s">
        <v>3160</v>
      </c>
    </row>
    <row r="360" customFormat="false" ht="15" hidden="false" customHeight="true" outlineLevel="0" collapsed="false">
      <c r="A360" s="0" t="n">
        <v>74</v>
      </c>
      <c r="B360" s="188" t="n">
        <v>46154.2781454042</v>
      </c>
      <c r="C360" s="188" t="n">
        <v>46154.2960504968</v>
      </c>
      <c r="D360" s="189" t="s">
        <v>733</v>
      </c>
      <c r="E360" s="189" t="s">
        <v>734</v>
      </c>
      <c r="F360" s="189" t="s">
        <v>734</v>
      </c>
      <c r="G360" s="189" t="s">
        <v>735</v>
      </c>
      <c r="H360" s="188" t="n">
        <v>46152</v>
      </c>
      <c r="I360" s="189" t="s">
        <v>113</v>
      </c>
      <c r="J360" s="189" t="s">
        <v>128</v>
      </c>
      <c r="K360" s="189" t="s">
        <v>462</v>
      </c>
      <c r="L360" s="189" t="s">
        <v>210</v>
      </c>
      <c r="M360" s="189" t="s">
        <v>736</v>
      </c>
      <c r="N360" s="189" t="s">
        <v>306</v>
      </c>
      <c r="O360" s="189" t="s">
        <v>244</v>
      </c>
      <c r="P360" s="189" t="s">
        <v>111</v>
      </c>
      <c r="Q360" s="189" t="s">
        <v>112</v>
      </c>
      <c r="R360" s="189" t="s">
        <v>22</v>
      </c>
      <c r="S360" s="189" t="s">
        <v>152</v>
      </c>
      <c r="T360" s="189" t="s">
        <v>264</v>
      </c>
      <c r="U360" s="189" t="s">
        <v>562</v>
      </c>
      <c r="V360" s="189" t="s">
        <v>123</v>
      </c>
      <c r="W360" s="189" t="s">
        <v>139</v>
      </c>
      <c r="X360" s="189" t="s">
        <v>381</v>
      </c>
      <c r="Y360" s="189" t="s">
        <v>3069</v>
      </c>
      <c r="Z360" s="0" t="n">
        <v>1</v>
      </c>
      <c r="AA360" s="189" t="s">
        <v>3234</v>
      </c>
    </row>
    <row r="361" customFormat="false" ht="15" hidden="false" customHeight="true" outlineLevel="0" collapsed="false">
      <c r="A361" s="0" t="n">
        <v>75</v>
      </c>
      <c r="B361" s="188" t="n">
        <v>46191.5705878683</v>
      </c>
      <c r="C361" s="188" t="n">
        <v>46191.5875670349</v>
      </c>
      <c r="D361" s="189" t="s">
        <v>739</v>
      </c>
      <c r="E361" s="189" t="s">
        <v>740</v>
      </c>
      <c r="F361" s="189" t="s">
        <v>740</v>
      </c>
      <c r="G361" s="189" t="s">
        <v>741</v>
      </c>
      <c r="H361" s="188" t="n">
        <v>46181</v>
      </c>
      <c r="I361" s="189" t="s">
        <v>113</v>
      </c>
      <c r="J361" s="189" t="s">
        <v>108</v>
      </c>
      <c r="K361" s="189" t="s">
        <v>742</v>
      </c>
      <c r="L361" s="189" t="s">
        <v>210</v>
      </c>
      <c r="M361" s="189" t="s">
        <v>133</v>
      </c>
      <c r="N361" s="189" t="s">
        <v>743</v>
      </c>
      <c r="O361" s="189" t="s">
        <v>107</v>
      </c>
      <c r="P361" s="189" t="s">
        <v>211</v>
      </c>
      <c r="Q361" s="189" t="s">
        <v>112</v>
      </c>
      <c r="R361" s="189" t="s">
        <v>22</v>
      </c>
      <c r="S361" s="189" t="s">
        <v>152</v>
      </c>
      <c r="T361" s="189" t="s">
        <v>496</v>
      </c>
      <c r="U361" s="189" t="s">
        <v>122</v>
      </c>
      <c r="V361" s="189" t="s">
        <v>167</v>
      </c>
      <c r="W361" s="189" t="s">
        <v>124</v>
      </c>
      <c r="X361" s="189" t="s">
        <v>116</v>
      </c>
      <c r="Y361" s="189" t="s">
        <v>3064</v>
      </c>
      <c r="Z361" s="0" t="n">
        <v>1</v>
      </c>
      <c r="AA361" s="189" t="s">
        <v>3095</v>
      </c>
    </row>
    <row r="362" customFormat="false" ht="15" hidden="false" customHeight="true" outlineLevel="0" collapsed="false">
      <c r="A362" s="0" t="n">
        <v>75</v>
      </c>
      <c r="B362" s="188" t="n">
        <v>46191.5705878683</v>
      </c>
      <c r="C362" s="188" t="n">
        <v>46191.5875670349</v>
      </c>
      <c r="D362" s="189" t="s">
        <v>739</v>
      </c>
      <c r="E362" s="189" t="s">
        <v>740</v>
      </c>
      <c r="F362" s="189" t="s">
        <v>740</v>
      </c>
      <c r="G362" s="189" t="s">
        <v>741</v>
      </c>
      <c r="H362" s="188" t="n">
        <v>46181</v>
      </c>
      <c r="I362" s="189" t="s">
        <v>113</v>
      </c>
      <c r="J362" s="189" t="s">
        <v>108</v>
      </c>
      <c r="K362" s="189" t="s">
        <v>742</v>
      </c>
      <c r="L362" s="189" t="s">
        <v>210</v>
      </c>
      <c r="M362" s="189" t="s">
        <v>133</v>
      </c>
      <c r="N362" s="189" t="s">
        <v>743</v>
      </c>
      <c r="O362" s="189" t="s">
        <v>107</v>
      </c>
      <c r="P362" s="189" t="s">
        <v>211</v>
      </c>
      <c r="Q362" s="189" t="s">
        <v>112</v>
      </c>
      <c r="R362" s="189" t="s">
        <v>22</v>
      </c>
      <c r="S362" s="189" t="s">
        <v>152</v>
      </c>
      <c r="T362" s="189" t="s">
        <v>496</v>
      </c>
      <c r="U362" s="189" t="s">
        <v>122</v>
      </c>
      <c r="V362" s="189" t="s">
        <v>167</v>
      </c>
      <c r="W362" s="189" t="s">
        <v>124</v>
      </c>
      <c r="X362" s="189" t="s">
        <v>116</v>
      </c>
      <c r="Y362" s="189" t="s">
        <v>3064</v>
      </c>
      <c r="Z362" s="0" t="n">
        <v>2</v>
      </c>
      <c r="AA362" s="189" t="s">
        <v>3107</v>
      </c>
    </row>
    <row r="363" customFormat="false" ht="15" hidden="false" customHeight="true" outlineLevel="0" collapsed="false">
      <c r="A363" s="0" t="n">
        <v>75</v>
      </c>
      <c r="B363" s="188" t="n">
        <v>46191.5705878683</v>
      </c>
      <c r="C363" s="188" t="n">
        <v>46191.5875670349</v>
      </c>
      <c r="D363" s="189" t="s">
        <v>739</v>
      </c>
      <c r="E363" s="189" t="s">
        <v>740</v>
      </c>
      <c r="F363" s="189" t="s">
        <v>740</v>
      </c>
      <c r="G363" s="189" t="s">
        <v>741</v>
      </c>
      <c r="H363" s="188" t="n">
        <v>46181</v>
      </c>
      <c r="I363" s="189" t="s">
        <v>113</v>
      </c>
      <c r="J363" s="189" t="s">
        <v>108</v>
      </c>
      <c r="K363" s="189" t="s">
        <v>742</v>
      </c>
      <c r="L363" s="189" t="s">
        <v>210</v>
      </c>
      <c r="M363" s="189" t="s">
        <v>133</v>
      </c>
      <c r="N363" s="189" t="s">
        <v>743</v>
      </c>
      <c r="O363" s="189" t="s">
        <v>107</v>
      </c>
      <c r="P363" s="189" t="s">
        <v>211</v>
      </c>
      <c r="Q363" s="189" t="s">
        <v>112</v>
      </c>
      <c r="R363" s="189" t="s">
        <v>22</v>
      </c>
      <c r="S363" s="189" t="s">
        <v>152</v>
      </c>
      <c r="T363" s="189" t="s">
        <v>496</v>
      </c>
      <c r="U363" s="189" t="s">
        <v>122</v>
      </c>
      <c r="V363" s="189" t="s">
        <v>167</v>
      </c>
      <c r="W363" s="189" t="s">
        <v>124</v>
      </c>
      <c r="X363" s="189" t="s">
        <v>116</v>
      </c>
      <c r="Y363" s="189" t="s">
        <v>3066</v>
      </c>
      <c r="Z363" s="0" t="n">
        <v>1</v>
      </c>
      <c r="AA363" s="189" t="s">
        <v>3211</v>
      </c>
    </row>
    <row r="364" customFormat="false" ht="15" hidden="false" customHeight="true" outlineLevel="0" collapsed="false">
      <c r="A364" s="0" t="n">
        <v>75</v>
      </c>
      <c r="B364" s="188" t="n">
        <v>46191.5705878683</v>
      </c>
      <c r="C364" s="188" t="n">
        <v>46191.5875670349</v>
      </c>
      <c r="D364" s="189" t="s">
        <v>739</v>
      </c>
      <c r="E364" s="189" t="s">
        <v>740</v>
      </c>
      <c r="F364" s="189" t="s">
        <v>740</v>
      </c>
      <c r="G364" s="189" t="s">
        <v>741</v>
      </c>
      <c r="H364" s="188" t="n">
        <v>46181</v>
      </c>
      <c r="I364" s="189" t="s">
        <v>113</v>
      </c>
      <c r="J364" s="189" t="s">
        <v>108</v>
      </c>
      <c r="K364" s="189" t="s">
        <v>742</v>
      </c>
      <c r="L364" s="189" t="s">
        <v>210</v>
      </c>
      <c r="M364" s="189" t="s">
        <v>133</v>
      </c>
      <c r="N364" s="189" t="s">
        <v>743</v>
      </c>
      <c r="O364" s="189" t="s">
        <v>107</v>
      </c>
      <c r="P364" s="189" t="s">
        <v>211</v>
      </c>
      <c r="Q364" s="189" t="s">
        <v>112</v>
      </c>
      <c r="R364" s="189" t="s">
        <v>22</v>
      </c>
      <c r="S364" s="189" t="s">
        <v>152</v>
      </c>
      <c r="T364" s="189" t="s">
        <v>496</v>
      </c>
      <c r="U364" s="189" t="s">
        <v>122</v>
      </c>
      <c r="V364" s="189" t="s">
        <v>167</v>
      </c>
      <c r="W364" s="189" t="s">
        <v>124</v>
      </c>
      <c r="X364" s="189" t="s">
        <v>116</v>
      </c>
      <c r="Y364" s="189" t="s">
        <v>3069</v>
      </c>
      <c r="Z364" s="0" t="n">
        <v>1</v>
      </c>
      <c r="AA364" s="189" t="s">
        <v>122</v>
      </c>
    </row>
    <row r="365" customFormat="false" ht="15" hidden="false" customHeight="true" outlineLevel="0" collapsed="false">
      <c r="A365" s="0" t="n">
        <v>75</v>
      </c>
      <c r="B365" s="188" t="n">
        <v>46191.5705878683</v>
      </c>
      <c r="C365" s="188" t="n">
        <v>46191.5875670349</v>
      </c>
      <c r="D365" s="189" t="s">
        <v>739</v>
      </c>
      <c r="E365" s="189" t="s">
        <v>740</v>
      </c>
      <c r="F365" s="189" t="s">
        <v>740</v>
      </c>
      <c r="G365" s="189" t="s">
        <v>741</v>
      </c>
      <c r="H365" s="188" t="n">
        <v>46181</v>
      </c>
      <c r="I365" s="189" t="s">
        <v>113</v>
      </c>
      <c r="J365" s="189" t="s">
        <v>108</v>
      </c>
      <c r="K365" s="189" t="s">
        <v>742</v>
      </c>
      <c r="L365" s="189" t="s">
        <v>210</v>
      </c>
      <c r="M365" s="189" t="s">
        <v>133</v>
      </c>
      <c r="N365" s="189" t="s">
        <v>743</v>
      </c>
      <c r="O365" s="189" t="s">
        <v>107</v>
      </c>
      <c r="P365" s="189" t="s">
        <v>211</v>
      </c>
      <c r="Q365" s="189" t="s">
        <v>112</v>
      </c>
      <c r="R365" s="189" t="s">
        <v>22</v>
      </c>
      <c r="S365" s="189" t="s">
        <v>152</v>
      </c>
      <c r="T365" s="189" t="s">
        <v>496</v>
      </c>
      <c r="U365" s="189" t="s">
        <v>122</v>
      </c>
      <c r="V365" s="189" t="s">
        <v>167</v>
      </c>
      <c r="W365" s="189" t="s">
        <v>124</v>
      </c>
      <c r="X365" s="189" t="s">
        <v>116</v>
      </c>
      <c r="Y365" s="189" t="s">
        <v>3069</v>
      </c>
      <c r="Z365" s="0" t="n">
        <v>2</v>
      </c>
      <c r="AA365" s="189" t="s">
        <v>3140</v>
      </c>
    </row>
    <row r="366" customFormat="false" ht="15" hidden="false" customHeight="true" outlineLevel="0" collapsed="false">
      <c r="A366" s="0" t="n">
        <v>76</v>
      </c>
      <c r="B366" s="188" t="n">
        <v>46094.2503628354</v>
      </c>
      <c r="C366" s="188" t="n">
        <v>46094.2624230206</v>
      </c>
      <c r="D366" s="189" t="s">
        <v>747</v>
      </c>
      <c r="E366" s="189" t="s">
        <v>748</v>
      </c>
      <c r="F366" s="189" t="s">
        <v>748</v>
      </c>
      <c r="G366" s="189" t="s">
        <v>749</v>
      </c>
      <c r="H366" s="188" t="n">
        <v>46077</v>
      </c>
      <c r="I366" s="189" t="s">
        <v>113</v>
      </c>
      <c r="J366" s="189" t="s">
        <v>108</v>
      </c>
      <c r="K366" s="189" t="s">
        <v>245</v>
      </c>
      <c r="L366" s="189" t="s">
        <v>110</v>
      </c>
      <c r="M366" s="189" t="s">
        <v>365</v>
      </c>
      <c r="N366" s="189" t="s">
        <v>560</v>
      </c>
      <c r="O366" s="189" t="s">
        <v>750</v>
      </c>
      <c r="P366" s="189" t="s">
        <v>111</v>
      </c>
      <c r="Q366" s="189" t="s">
        <v>112</v>
      </c>
      <c r="R366" s="189" t="s">
        <v>22</v>
      </c>
      <c r="S366" s="189" t="s">
        <v>227</v>
      </c>
      <c r="T366" s="189" t="s">
        <v>121</v>
      </c>
      <c r="U366" s="189" t="s">
        <v>291</v>
      </c>
      <c r="V366" s="189" t="s">
        <v>123</v>
      </c>
      <c r="W366" s="189" t="s">
        <v>124</v>
      </c>
      <c r="X366" s="189" t="s">
        <v>339</v>
      </c>
      <c r="Y366" s="189" t="s">
        <v>3064</v>
      </c>
      <c r="Z366" s="0" t="n">
        <v>1</v>
      </c>
      <c r="AA366" s="189" t="s">
        <v>3141</v>
      </c>
    </row>
    <row r="367" customFormat="false" ht="15" hidden="false" customHeight="true" outlineLevel="0" collapsed="false">
      <c r="A367" s="0" t="n">
        <v>76</v>
      </c>
      <c r="B367" s="188" t="n">
        <v>46094.2503628354</v>
      </c>
      <c r="C367" s="188" t="n">
        <v>46094.2624230206</v>
      </c>
      <c r="D367" s="189" t="s">
        <v>747</v>
      </c>
      <c r="E367" s="189" t="s">
        <v>748</v>
      </c>
      <c r="F367" s="189" t="s">
        <v>748</v>
      </c>
      <c r="G367" s="189" t="s">
        <v>749</v>
      </c>
      <c r="H367" s="188" t="n">
        <v>46077</v>
      </c>
      <c r="I367" s="189" t="s">
        <v>113</v>
      </c>
      <c r="J367" s="189" t="s">
        <v>108</v>
      </c>
      <c r="K367" s="189" t="s">
        <v>245</v>
      </c>
      <c r="L367" s="189" t="s">
        <v>110</v>
      </c>
      <c r="M367" s="189" t="s">
        <v>365</v>
      </c>
      <c r="N367" s="189" t="s">
        <v>560</v>
      </c>
      <c r="O367" s="189" t="s">
        <v>750</v>
      </c>
      <c r="P367" s="189" t="s">
        <v>111</v>
      </c>
      <c r="Q367" s="189" t="s">
        <v>112</v>
      </c>
      <c r="R367" s="189" t="s">
        <v>22</v>
      </c>
      <c r="S367" s="189" t="s">
        <v>227</v>
      </c>
      <c r="T367" s="189" t="s">
        <v>121</v>
      </c>
      <c r="U367" s="189" t="s">
        <v>291</v>
      </c>
      <c r="V367" s="189" t="s">
        <v>123</v>
      </c>
      <c r="W367" s="189" t="s">
        <v>124</v>
      </c>
      <c r="X367" s="189" t="s">
        <v>339</v>
      </c>
      <c r="Y367" s="189" t="s">
        <v>3064</v>
      </c>
      <c r="Z367" s="0" t="n">
        <v>2</v>
      </c>
      <c r="AA367" s="189" t="s">
        <v>3199</v>
      </c>
    </row>
    <row r="368" customFormat="false" ht="15" hidden="false" customHeight="true" outlineLevel="0" collapsed="false">
      <c r="A368" s="0" t="n">
        <v>76</v>
      </c>
      <c r="B368" s="188" t="n">
        <v>46094.2503628354</v>
      </c>
      <c r="C368" s="188" t="n">
        <v>46094.2624230206</v>
      </c>
      <c r="D368" s="189" t="s">
        <v>747</v>
      </c>
      <c r="E368" s="189" t="s">
        <v>748</v>
      </c>
      <c r="F368" s="189" t="s">
        <v>748</v>
      </c>
      <c r="G368" s="189" t="s">
        <v>749</v>
      </c>
      <c r="H368" s="188" t="n">
        <v>46077</v>
      </c>
      <c r="I368" s="189" t="s">
        <v>113</v>
      </c>
      <c r="J368" s="189" t="s">
        <v>108</v>
      </c>
      <c r="K368" s="189" t="s">
        <v>245</v>
      </c>
      <c r="L368" s="189" t="s">
        <v>110</v>
      </c>
      <c r="M368" s="189" t="s">
        <v>365</v>
      </c>
      <c r="N368" s="189" t="s">
        <v>560</v>
      </c>
      <c r="O368" s="189" t="s">
        <v>750</v>
      </c>
      <c r="P368" s="189" t="s">
        <v>111</v>
      </c>
      <c r="Q368" s="189" t="s">
        <v>112</v>
      </c>
      <c r="R368" s="189" t="s">
        <v>22</v>
      </c>
      <c r="S368" s="189" t="s">
        <v>227</v>
      </c>
      <c r="T368" s="189" t="s">
        <v>121</v>
      </c>
      <c r="U368" s="189" t="s">
        <v>291</v>
      </c>
      <c r="V368" s="189" t="s">
        <v>123</v>
      </c>
      <c r="W368" s="189" t="s">
        <v>124</v>
      </c>
      <c r="X368" s="189" t="s">
        <v>339</v>
      </c>
      <c r="Y368" s="189" t="s">
        <v>3064</v>
      </c>
      <c r="Z368" s="0" t="n">
        <v>3</v>
      </c>
      <c r="AA368" s="189" t="s">
        <v>3198</v>
      </c>
    </row>
    <row r="369" customFormat="false" ht="15" hidden="false" customHeight="true" outlineLevel="0" collapsed="false">
      <c r="A369" s="0" t="n">
        <v>76</v>
      </c>
      <c r="B369" s="188" t="n">
        <v>46094.2503628354</v>
      </c>
      <c r="C369" s="188" t="n">
        <v>46094.2624230206</v>
      </c>
      <c r="D369" s="189" t="s">
        <v>747</v>
      </c>
      <c r="E369" s="189" t="s">
        <v>748</v>
      </c>
      <c r="F369" s="189" t="s">
        <v>748</v>
      </c>
      <c r="G369" s="189" t="s">
        <v>749</v>
      </c>
      <c r="H369" s="188" t="n">
        <v>46077</v>
      </c>
      <c r="I369" s="189" t="s">
        <v>113</v>
      </c>
      <c r="J369" s="189" t="s">
        <v>108</v>
      </c>
      <c r="K369" s="189" t="s">
        <v>245</v>
      </c>
      <c r="L369" s="189" t="s">
        <v>110</v>
      </c>
      <c r="M369" s="189" t="s">
        <v>365</v>
      </c>
      <c r="N369" s="189" t="s">
        <v>560</v>
      </c>
      <c r="O369" s="189" t="s">
        <v>750</v>
      </c>
      <c r="P369" s="189" t="s">
        <v>111</v>
      </c>
      <c r="Q369" s="189" t="s">
        <v>112</v>
      </c>
      <c r="R369" s="189" t="s">
        <v>22</v>
      </c>
      <c r="S369" s="189" t="s">
        <v>227</v>
      </c>
      <c r="T369" s="189" t="s">
        <v>121</v>
      </c>
      <c r="U369" s="189" t="s">
        <v>291</v>
      </c>
      <c r="V369" s="189" t="s">
        <v>123</v>
      </c>
      <c r="W369" s="189" t="s">
        <v>124</v>
      </c>
      <c r="X369" s="189" t="s">
        <v>339</v>
      </c>
      <c r="Y369" s="189" t="s">
        <v>3066</v>
      </c>
      <c r="Z369" s="0" t="n">
        <v>1</v>
      </c>
      <c r="AA369" s="189" t="s">
        <v>122</v>
      </c>
    </row>
    <row r="370" customFormat="false" ht="15" hidden="false" customHeight="true" outlineLevel="0" collapsed="false">
      <c r="A370" s="0" t="n">
        <v>76</v>
      </c>
      <c r="B370" s="188" t="n">
        <v>46094.2503628354</v>
      </c>
      <c r="C370" s="188" t="n">
        <v>46094.2624230206</v>
      </c>
      <c r="D370" s="189" t="s">
        <v>747</v>
      </c>
      <c r="E370" s="189" t="s">
        <v>748</v>
      </c>
      <c r="F370" s="189" t="s">
        <v>748</v>
      </c>
      <c r="G370" s="189" t="s">
        <v>749</v>
      </c>
      <c r="H370" s="188" t="n">
        <v>46077</v>
      </c>
      <c r="I370" s="189" t="s">
        <v>113</v>
      </c>
      <c r="J370" s="189" t="s">
        <v>108</v>
      </c>
      <c r="K370" s="189" t="s">
        <v>245</v>
      </c>
      <c r="L370" s="189" t="s">
        <v>110</v>
      </c>
      <c r="M370" s="189" t="s">
        <v>365</v>
      </c>
      <c r="N370" s="189" t="s">
        <v>560</v>
      </c>
      <c r="O370" s="189" t="s">
        <v>750</v>
      </c>
      <c r="P370" s="189" t="s">
        <v>111</v>
      </c>
      <c r="Q370" s="189" t="s">
        <v>112</v>
      </c>
      <c r="R370" s="189" t="s">
        <v>22</v>
      </c>
      <c r="S370" s="189" t="s">
        <v>227</v>
      </c>
      <c r="T370" s="189" t="s">
        <v>121</v>
      </c>
      <c r="U370" s="189" t="s">
        <v>291</v>
      </c>
      <c r="V370" s="189" t="s">
        <v>123</v>
      </c>
      <c r="W370" s="189" t="s">
        <v>124</v>
      </c>
      <c r="X370" s="189" t="s">
        <v>339</v>
      </c>
      <c r="Y370" s="189" t="s">
        <v>3066</v>
      </c>
      <c r="Z370" s="0" t="n">
        <v>2</v>
      </c>
      <c r="AA370" s="189" t="s">
        <v>3235</v>
      </c>
    </row>
    <row r="371" customFormat="false" ht="15" hidden="false" customHeight="true" outlineLevel="0" collapsed="false">
      <c r="A371" s="0" t="n">
        <v>76</v>
      </c>
      <c r="B371" s="188" t="n">
        <v>46094.2503628354</v>
      </c>
      <c r="C371" s="188" t="n">
        <v>46094.2624230206</v>
      </c>
      <c r="D371" s="189" t="s">
        <v>747</v>
      </c>
      <c r="E371" s="189" t="s">
        <v>748</v>
      </c>
      <c r="F371" s="189" t="s">
        <v>748</v>
      </c>
      <c r="G371" s="189" t="s">
        <v>749</v>
      </c>
      <c r="H371" s="188" t="n">
        <v>46077</v>
      </c>
      <c r="I371" s="189" t="s">
        <v>113</v>
      </c>
      <c r="J371" s="189" t="s">
        <v>108</v>
      </c>
      <c r="K371" s="189" t="s">
        <v>245</v>
      </c>
      <c r="L371" s="189" t="s">
        <v>110</v>
      </c>
      <c r="M371" s="189" t="s">
        <v>365</v>
      </c>
      <c r="N371" s="189" t="s">
        <v>560</v>
      </c>
      <c r="O371" s="189" t="s">
        <v>750</v>
      </c>
      <c r="P371" s="189" t="s">
        <v>111</v>
      </c>
      <c r="Q371" s="189" t="s">
        <v>112</v>
      </c>
      <c r="R371" s="189" t="s">
        <v>22</v>
      </c>
      <c r="S371" s="189" t="s">
        <v>227</v>
      </c>
      <c r="T371" s="189" t="s">
        <v>121</v>
      </c>
      <c r="U371" s="189" t="s">
        <v>291</v>
      </c>
      <c r="V371" s="189" t="s">
        <v>123</v>
      </c>
      <c r="W371" s="189" t="s">
        <v>124</v>
      </c>
      <c r="X371" s="189" t="s">
        <v>339</v>
      </c>
      <c r="Y371" s="189" t="s">
        <v>3069</v>
      </c>
      <c r="Z371" s="0" t="n">
        <v>1</v>
      </c>
      <c r="AA371" s="189" t="s">
        <v>3235</v>
      </c>
    </row>
    <row r="372" customFormat="false" ht="15" hidden="false" customHeight="true" outlineLevel="0" collapsed="false">
      <c r="A372" s="0" t="n">
        <v>77</v>
      </c>
      <c r="B372" s="188" t="n">
        <v>46066.4010866967</v>
      </c>
      <c r="C372" s="188" t="n">
        <v>46066.4030890115</v>
      </c>
      <c r="D372" s="189" t="s">
        <v>754</v>
      </c>
      <c r="E372" s="189" t="s">
        <v>755</v>
      </c>
      <c r="F372" s="189" t="s">
        <v>755</v>
      </c>
      <c r="G372" s="189" t="s">
        <v>756</v>
      </c>
      <c r="H372" s="188" t="n">
        <v>46064</v>
      </c>
      <c r="I372" s="189" t="s">
        <v>325</v>
      </c>
      <c r="J372" s="189" t="s">
        <v>295</v>
      </c>
      <c r="K372" s="189" t="s">
        <v>173</v>
      </c>
      <c r="L372" s="189" t="s">
        <v>130</v>
      </c>
      <c r="M372" s="189" t="s">
        <v>757</v>
      </c>
      <c r="N372" s="189" t="s">
        <v>758</v>
      </c>
      <c r="O372" s="189" t="s">
        <v>244</v>
      </c>
      <c r="P372" s="189" t="s">
        <v>111</v>
      </c>
      <c r="Q372" s="189" t="s">
        <v>145</v>
      </c>
      <c r="R372" s="189" t="s">
        <v>22</v>
      </c>
      <c r="S372" s="189" t="s">
        <v>152</v>
      </c>
      <c r="T372" s="189" t="s">
        <v>121</v>
      </c>
      <c r="U372" s="189" t="s">
        <v>122</v>
      </c>
      <c r="V372" s="189" t="s">
        <v>123</v>
      </c>
      <c r="W372" s="189" t="s">
        <v>139</v>
      </c>
      <c r="X372" s="189" t="s">
        <v>298</v>
      </c>
      <c r="Y372" s="189" t="s">
        <v>3064</v>
      </c>
      <c r="Z372" s="0" t="n">
        <v>1</v>
      </c>
      <c r="AA372" s="189" t="s">
        <v>3195</v>
      </c>
    </row>
    <row r="373" customFormat="false" ht="15" hidden="false" customHeight="true" outlineLevel="0" collapsed="false">
      <c r="A373" s="0" t="n">
        <v>77</v>
      </c>
      <c r="B373" s="188" t="n">
        <v>46066.4010866967</v>
      </c>
      <c r="C373" s="188" t="n">
        <v>46066.4030890115</v>
      </c>
      <c r="D373" s="189" t="s">
        <v>754</v>
      </c>
      <c r="E373" s="189" t="s">
        <v>755</v>
      </c>
      <c r="F373" s="189" t="s">
        <v>755</v>
      </c>
      <c r="G373" s="189" t="s">
        <v>756</v>
      </c>
      <c r="H373" s="188" t="n">
        <v>46064</v>
      </c>
      <c r="I373" s="189" t="s">
        <v>325</v>
      </c>
      <c r="J373" s="189" t="s">
        <v>295</v>
      </c>
      <c r="K373" s="189" t="s">
        <v>173</v>
      </c>
      <c r="L373" s="189" t="s">
        <v>130</v>
      </c>
      <c r="M373" s="189" t="s">
        <v>757</v>
      </c>
      <c r="N373" s="189" t="s">
        <v>758</v>
      </c>
      <c r="O373" s="189" t="s">
        <v>244</v>
      </c>
      <c r="P373" s="189" t="s">
        <v>111</v>
      </c>
      <c r="Q373" s="189" t="s">
        <v>145</v>
      </c>
      <c r="R373" s="189" t="s">
        <v>22</v>
      </c>
      <c r="S373" s="189" t="s">
        <v>152</v>
      </c>
      <c r="T373" s="189" t="s">
        <v>121</v>
      </c>
      <c r="U373" s="189" t="s">
        <v>122</v>
      </c>
      <c r="V373" s="189" t="s">
        <v>123</v>
      </c>
      <c r="W373" s="189" t="s">
        <v>139</v>
      </c>
      <c r="X373" s="189" t="s">
        <v>298</v>
      </c>
      <c r="Y373" s="189" t="s">
        <v>3064</v>
      </c>
      <c r="Z373" s="0" t="n">
        <v>2</v>
      </c>
      <c r="AA373" s="189" t="s">
        <v>3125</v>
      </c>
    </row>
    <row r="374" customFormat="false" ht="15" hidden="false" customHeight="true" outlineLevel="0" collapsed="false">
      <c r="A374" s="0" t="n">
        <v>77</v>
      </c>
      <c r="B374" s="188" t="n">
        <v>46066.4010866967</v>
      </c>
      <c r="C374" s="188" t="n">
        <v>46066.4030890115</v>
      </c>
      <c r="D374" s="189" t="s">
        <v>754</v>
      </c>
      <c r="E374" s="189" t="s">
        <v>755</v>
      </c>
      <c r="F374" s="189" t="s">
        <v>755</v>
      </c>
      <c r="G374" s="189" t="s">
        <v>756</v>
      </c>
      <c r="H374" s="188" t="n">
        <v>46064</v>
      </c>
      <c r="I374" s="189" t="s">
        <v>325</v>
      </c>
      <c r="J374" s="189" t="s">
        <v>295</v>
      </c>
      <c r="K374" s="189" t="s">
        <v>173</v>
      </c>
      <c r="L374" s="189" t="s">
        <v>130</v>
      </c>
      <c r="M374" s="189" t="s">
        <v>757</v>
      </c>
      <c r="N374" s="189" t="s">
        <v>758</v>
      </c>
      <c r="O374" s="189" t="s">
        <v>244</v>
      </c>
      <c r="P374" s="189" t="s">
        <v>111</v>
      </c>
      <c r="Q374" s="189" t="s">
        <v>145</v>
      </c>
      <c r="R374" s="189" t="s">
        <v>22</v>
      </c>
      <c r="S374" s="189" t="s">
        <v>152</v>
      </c>
      <c r="T374" s="189" t="s">
        <v>121</v>
      </c>
      <c r="U374" s="189" t="s">
        <v>122</v>
      </c>
      <c r="V374" s="189" t="s">
        <v>123</v>
      </c>
      <c r="W374" s="189" t="s">
        <v>139</v>
      </c>
      <c r="X374" s="189" t="s">
        <v>298</v>
      </c>
      <c r="Y374" s="189" t="s">
        <v>3064</v>
      </c>
      <c r="Z374" s="0" t="n">
        <v>3</v>
      </c>
      <c r="AA374" s="189" t="s">
        <v>3236</v>
      </c>
    </row>
    <row r="375" customFormat="false" ht="15" hidden="false" customHeight="true" outlineLevel="0" collapsed="false">
      <c r="A375" s="0" t="n">
        <v>77</v>
      </c>
      <c r="B375" s="188" t="n">
        <v>46066.4010866967</v>
      </c>
      <c r="C375" s="188" t="n">
        <v>46066.4030890115</v>
      </c>
      <c r="D375" s="189" t="s">
        <v>754</v>
      </c>
      <c r="E375" s="189" t="s">
        <v>755</v>
      </c>
      <c r="F375" s="189" t="s">
        <v>755</v>
      </c>
      <c r="G375" s="189" t="s">
        <v>756</v>
      </c>
      <c r="H375" s="188" t="n">
        <v>46064</v>
      </c>
      <c r="I375" s="189" t="s">
        <v>325</v>
      </c>
      <c r="J375" s="189" t="s">
        <v>295</v>
      </c>
      <c r="K375" s="189" t="s">
        <v>173</v>
      </c>
      <c r="L375" s="189" t="s">
        <v>130</v>
      </c>
      <c r="M375" s="189" t="s">
        <v>757</v>
      </c>
      <c r="N375" s="189" t="s">
        <v>758</v>
      </c>
      <c r="O375" s="189" t="s">
        <v>244</v>
      </c>
      <c r="P375" s="189" t="s">
        <v>111</v>
      </c>
      <c r="Q375" s="189" t="s">
        <v>145</v>
      </c>
      <c r="R375" s="189" t="s">
        <v>22</v>
      </c>
      <c r="S375" s="189" t="s">
        <v>152</v>
      </c>
      <c r="T375" s="189" t="s">
        <v>121</v>
      </c>
      <c r="U375" s="189" t="s">
        <v>122</v>
      </c>
      <c r="V375" s="189" t="s">
        <v>123</v>
      </c>
      <c r="W375" s="189" t="s">
        <v>139</v>
      </c>
      <c r="X375" s="189" t="s">
        <v>298</v>
      </c>
      <c r="Y375" s="189" t="s">
        <v>3066</v>
      </c>
      <c r="Z375" s="0" t="n">
        <v>1</v>
      </c>
      <c r="AA375" s="189" t="s">
        <v>3237</v>
      </c>
    </row>
    <row r="376" customFormat="false" ht="15" hidden="false" customHeight="true" outlineLevel="0" collapsed="false">
      <c r="A376" s="0" t="n">
        <v>77</v>
      </c>
      <c r="B376" s="188" t="n">
        <v>46066.4010866967</v>
      </c>
      <c r="C376" s="188" t="n">
        <v>46066.4030890115</v>
      </c>
      <c r="D376" s="189" t="s">
        <v>754</v>
      </c>
      <c r="E376" s="189" t="s">
        <v>755</v>
      </c>
      <c r="F376" s="189" t="s">
        <v>755</v>
      </c>
      <c r="G376" s="189" t="s">
        <v>756</v>
      </c>
      <c r="H376" s="188" t="n">
        <v>46064</v>
      </c>
      <c r="I376" s="189" t="s">
        <v>325</v>
      </c>
      <c r="J376" s="189" t="s">
        <v>295</v>
      </c>
      <c r="K376" s="189" t="s">
        <v>173</v>
      </c>
      <c r="L376" s="189" t="s">
        <v>130</v>
      </c>
      <c r="M376" s="189" t="s">
        <v>757</v>
      </c>
      <c r="N376" s="189" t="s">
        <v>758</v>
      </c>
      <c r="O376" s="189" t="s">
        <v>244</v>
      </c>
      <c r="P376" s="189" t="s">
        <v>111</v>
      </c>
      <c r="Q376" s="189" t="s">
        <v>145</v>
      </c>
      <c r="R376" s="189" t="s">
        <v>22</v>
      </c>
      <c r="S376" s="189" t="s">
        <v>152</v>
      </c>
      <c r="T376" s="189" t="s">
        <v>121</v>
      </c>
      <c r="U376" s="189" t="s">
        <v>122</v>
      </c>
      <c r="V376" s="189" t="s">
        <v>123</v>
      </c>
      <c r="W376" s="189" t="s">
        <v>139</v>
      </c>
      <c r="X376" s="189" t="s">
        <v>298</v>
      </c>
      <c r="Y376" s="189" t="s">
        <v>3066</v>
      </c>
      <c r="Z376" s="0" t="n">
        <v>2</v>
      </c>
      <c r="AA376" s="189" t="s">
        <v>3209</v>
      </c>
    </row>
    <row r="377" customFormat="false" ht="15" hidden="false" customHeight="true" outlineLevel="0" collapsed="false">
      <c r="A377" s="0" t="n">
        <v>77</v>
      </c>
      <c r="B377" s="188" t="n">
        <v>46066.4010866967</v>
      </c>
      <c r="C377" s="188" t="n">
        <v>46066.4030890115</v>
      </c>
      <c r="D377" s="189" t="s">
        <v>754</v>
      </c>
      <c r="E377" s="189" t="s">
        <v>755</v>
      </c>
      <c r="F377" s="189" t="s">
        <v>755</v>
      </c>
      <c r="G377" s="189" t="s">
        <v>756</v>
      </c>
      <c r="H377" s="188" t="n">
        <v>46064</v>
      </c>
      <c r="I377" s="189" t="s">
        <v>325</v>
      </c>
      <c r="J377" s="189" t="s">
        <v>295</v>
      </c>
      <c r="K377" s="189" t="s">
        <v>173</v>
      </c>
      <c r="L377" s="189" t="s">
        <v>130</v>
      </c>
      <c r="M377" s="189" t="s">
        <v>757</v>
      </c>
      <c r="N377" s="189" t="s">
        <v>758</v>
      </c>
      <c r="O377" s="189" t="s">
        <v>244</v>
      </c>
      <c r="P377" s="189" t="s">
        <v>111</v>
      </c>
      <c r="Q377" s="189" t="s">
        <v>145</v>
      </c>
      <c r="R377" s="189" t="s">
        <v>22</v>
      </c>
      <c r="S377" s="189" t="s">
        <v>152</v>
      </c>
      <c r="T377" s="189" t="s">
        <v>121</v>
      </c>
      <c r="U377" s="189" t="s">
        <v>122</v>
      </c>
      <c r="V377" s="189" t="s">
        <v>123</v>
      </c>
      <c r="W377" s="189" t="s">
        <v>139</v>
      </c>
      <c r="X377" s="189" t="s">
        <v>298</v>
      </c>
      <c r="Y377" s="189" t="s">
        <v>3069</v>
      </c>
      <c r="Z377" s="0" t="n">
        <v>1</v>
      </c>
      <c r="AA377" s="189" t="s">
        <v>3215</v>
      </c>
    </row>
    <row r="378" customFormat="false" ht="15" hidden="false" customHeight="true" outlineLevel="0" collapsed="false">
      <c r="A378" s="0" t="n">
        <v>77</v>
      </c>
      <c r="B378" s="188" t="n">
        <v>46066.4010866967</v>
      </c>
      <c r="C378" s="188" t="n">
        <v>46066.4030890115</v>
      </c>
      <c r="D378" s="189" t="s">
        <v>754</v>
      </c>
      <c r="E378" s="189" t="s">
        <v>755</v>
      </c>
      <c r="F378" s="189" t="s">
        <v>755</v>
      </c>
      <c r="G378" s="189" t="s">
        <v>756</v>
      </c>
      <c r="H378" s="188" t="n">
        <v>46064</v>
      </c>
      <c r="I378" s="189" t="s">
        <v>325</v>
      </c>
      <c r="J378" s="189" t="s">
        <v>295</v>
      </c>
      <c r="K378" s="189" t="s">
        <v>173</v>
      </c>
      <c r="L378" s="189" t="s">
        <v>130</v>
      </c>
      <c r="M378" s="189" t="s">
        <v>757</v>
      </c>
      <c r="N378" s="189" t="s">
        <v>758</v>
      </c>
      <c r="O378" s="189" t="s">
        <v>244</v>
      </c>
      <c r="P378" s="189" t="s">
        <v>111</v>
      </c>
      <c r="Q378" s="189" t="s">
        <v>145</v>
      </c>
      <c r="R378" s="189" t="s">
        <v>22</v>
      </c>
      <c r="S378" s="189" t="s">
        <v>152</v>
      </c>
      <c r="T378" s="189" t="s">
        <v>121</v>
      </c>
      <c r="U378" s="189" t="s">
        <v>122</v>
      </c>
      <c r="V378" s="189" t="s">
        <v>123</v>
      </c>
      <c r="W378" s="189" t="s">
        <v>139</v>
      </c>
      <c r="X378" s="189" t="s">
        <v>298</v>
      </c>
      <c r="Y378" s="189" t="s">
        <v>3069</v>
      </c>
      <c r="Z378" s="0" t="n">
        <v>2</v>
      </c>
      <c r="AA378" s="189" t="s">
        <v>3238</v>
      </c>
    </row>
    <row r="379" customFormat="false" ht="15" hidden="false" customHeight="true" outlineLevel="0" collapsed="false">
      <c r="A379" s="0" t="n">
        <v>78</v>
      </c>
      <c r="B379" s="188" t="n">
        <v>46142.6950743493</v>
      </c>
      <c r="C379" s="188" t="n">
        <v>46142.7073081456</v>
      </c>
      <c r="D379" s="189" t="s">
        <v>762</v>
      </c>
      <c r="E379" s="189" t="s">
        <v>763</v>
      </c>
      <c r="F379" s="189" t="s">
        <v>764</v>
      </c>
      <c r="G379" s="189" t="s">
        <v>765</v>
      </c>
      <c r="H379" s="188" t="n">
        <v>46142</v>
      </c>
      <c r="I379" s="189" t="s">
        <v>132</v>
      </c>
      <c r="J379" s="189" t="s">
        <v>108</v>
      </c>
      <c r="K379" s="189" t="s">
        <v>257</v>
      </c>
      <c r="L379" s="189" t="s">
        <v>296</v>
      </c>
      <c r="M379" s="189" t="s">
        <v>269</v>
      </c>
      <c r="N379" s="189" t="s">
        <v>766</v>
      </c>
      <c r="O379" s="189" t="s">
        <v>750</v>
      </c>
      <c r="P379" s="189" t="s">
        <v>111</v>
      </c>
      <c r="Q379" s="189" t="s">
        <v>145</v>
      </c>
      <c r="R379" s="189" t="s">
        <v>22</v>
      </c>
      <c r="S379" s="189" t="s">
        <v>152</v>
      </c>
      <c r="T379" s="189" t="s">
        <v>121</v>
      </c>
      <c r="U379" s="189" t="s">
        <v>770</v>
      </c>
      <c r="V379" s="189" t="s">
        <v>123</v>
      </c>
      <c r="W379" s="189" t="s">
        <v>124</v>
      </c>
      <c r="X379" s="189" t="s">
        <v>176</v>
      </c>
      <c r="Y379" s="189" t="s">
        <v>3064</v>
      </c>
      <c r="Z379" s="0" t="n">
        <v>1</v>
      </c>
      <c r="AA379" s="189" t="s">
        <v>3239</v>
      </c>
    </row>
    <row r="380" customFormat="false" ht="15" hidden="false" customHeight="true" outlineLevel="0" collapsed="false">
      <c r="A380" s="0" t="n">
        <v>78</v>
      </c>
      <c r="B380" s="188" t="n">
        <v>46142.6950743493</v>
      </c>
      <c r="C380" s="188" t="n">
        <v>46142.7073081456</v>
      </c>
      <c r="D380" s="189" t="s">
        <v>762</v>
      </c>
      <c r="E380" s="189" t="s">
        <v>763</v>
      </c>
      <c r="F380" s="189" t="s">
        <v>764</v>
      </c>
      <c r="G380" s="189" t="s">
        <v>765</v>
      </c>
      <c r="H380" s="188" t="n">
        <v>46142</v>
      </c>
      <c r="I380" s="189" t="s">
        <v>132</v>
      </c>
      <c r="J380" s="189" t="s">
        <v>108</v>
      </c>
      <c r="K380" s="189" t="s">
        <v>257</v>
      </c>
      <c r="L380" s="189" t="s">
        <v>296</v>
      </c>
      <c r="M380" s="189" t="s">
        <v>269</v>
      </c>
      <c r="N380" s="189" t="s">
        <v>766</v>
      </c>
      <c r="O380" s="189" t="s">
        <v>750</v>
      </c>
      <c r="P380" s="189" t="s">
        <v>111</v>
      </c>
      <c r="Q380" s="189" t="s">
        <v>145</v>
      </c>
      <c r="R380" s="189" t="s">
        <v>22</v>
      </c>
      <c r="S380" s="189" t="s">
        <v>152</v>
      </c>
      <c r="T380" s="189" t="s">
        <v>121</v>
      </c>
      <c r="U380" s="189" t="s">
        <v>770</v>
      </c>
      <c r="V380" s="189" t="s">
        <v>123</v>
      </c>
      <c r="W380" s="189" t="s">
        <v>124</v>
      </c>
      <c r="X380" s="189" t="s">
        <v>176</v>
      </c>
      <c r="Y380" s="189" t="s">
        <v>3064</v>
      </c>
      <c r="Z380" s="0" t="n">
        <v>2</v>
      </c>
      <c r="AA380" s="189" t="s">
        <v>3084</v>
      </c>
    </row>
    <row r="381" customFormat="false" ht="15" hidden="false" customHeight="true" outlineLevel="0" collapsed="false">
      <c r="A381" s="0" t="n">
        <v>78</v>
      </c>
      <c r="B381" s="188" t="n">
        <v>46142.6950743493</v>
      </c>
      <c r="C381" s="188" t="n">
        <v>46142.7073081456</v>
      </c>
      <c r="D381" s="189" t="s">
        <v>762</v>
      </c>
      <c r="E381" s="189" t="s">
        <v>763</v>
      </c>
      <c r="F381" s="189" t="s">
        <v>764</v>
      </c>
      <c r="G381" s="189" t="s">
        <v>765</v>
      </c>
      <c r="H381" s="188" t="n">
        <v>46142</v>
      </c>
      <c r="I381" s="189" t="s">
        <v>132</v>
      </c>
      <c r="J381" s="189" t="s">
        <v>108</v>
      </c>
      <c r="K381" s="189" t="s">
        <v>257</v>
      </c>
      <c r="L381" s="189" t="s">
        <v>296</v>
      </c>
      <c r="M381" s="189" t="s">
        <v>269</v>
      </c>
      <c r="N381" s="189" t="s">
        <v>766</v>
      </c>
      <c r="O381" s="189" t="s">
        <v>750</v>
      </c>
      <c r="P381" s="189" t="s">
        <v>111</v>
      </c>
      <c r="Q381" s="189" t="s">
        <v>145</v>
      </c>
      <c r="R381" s="189" t="s">
        <v>22</v>
      </c>
      <c r="S381" s="189" t="s">
        <v>152</v>
      </c>
      <c r="T381" s="189" t="s">
        <v>121</v>
      </c>
      <c r="U381" s="189" t="s">
        <v>770</v>
      </c>
      <c r="V381" s="189" t="s">
        <v>123</v>
      </c>
      <c r="W381" s="189" t="s">
        <v>124</v>
      </c>
      <c r="X381" s="189" t="s">
        <v>176</v>
      </c>
      <c r="Y381" s="189" t="s">
        <v>3066</v>
      </c>
      <c r="Z381" s="0" t="n">
        <v>1</v>
      </c>
      <c r="AA381" s="189" t="s">
        <v>3205</v>
      </c>
    </row>
    <row r="382" customFormat="false" ht="15" hidden="false" customHeight="true" outlineLevel="0" collapsed="false">
      <c r="A382" s="0" t="n">
        <v>78</v>
      </c>
      <c r="B382" s="188" t="n">
        <v>46142.6950743493</v>
      </c>
      <c r="C382" s="188" t="n">
        <v>46142.7073081456</v>
      </c>
      <c r="D382" s="189" t="s">
        <v>762</v>
      </c>
      <c r="E382" s="189" t="s">
        <v>763</v>
      </c>
      <c r="F382" s="189" t="s">
        <v>764</v>
      </c>
      <c r="G382" s="189" t="s">
        <v>765</v>
      </c>
      <c r="H382" s="188" t="n">
        <v>46142</v>
      </c>
      <c r="I382" s="189" t="s">
        <v>132</v>
      </c>
      <c r="J382" s="189" t="s">
        <v>108</v>
      </c>
      <c r="K382" s="189" t="s">
        <v>257</v>
      </c>
      <c r="L382" s="189" t="s">
        <v>296</v>
      </c>
      <c r="M382" s="189" t="s">
        <v>269</v>
      </c>
      <c r="N382" s="189" t="s">
        <v>766</v>
      </c>
      <c r="O382" s="189" t="s">
        <v>750</v>
      </c>
      <c r="P382" s="189" t="s">
        <v>111</v>
      </c>
      <c r="Q382" s="189" t="s">
        <v>145</v>
      </c>
      <c r="R382" s="189" t="s">
        <v>22</v>
      </c>
      <c r="S382" s="189" t="s">
        <v>152</v>
      </c>
      <c r="T382" s="189" t="s">
        <v>121</v>
      </c>
      <c r="U382" s="189" t="s">
        <v>770</v>
      </c>
      <c r="V382" s="189" t="s">
        <v>123</v>
      </c>
      <c r="W382" s="189" t="s">
        <v>124</v>
      </c>
      <c r="X382" s="189" t="s">
        <v>176</v>
      </c>
      <c r="Y382" s="189" t="s">
        <v>3066</v>
      </c>
      <c r="Z382" s="0" t="n">
        <v>2</v>
      </c>
      <c r="AA382" s="189" t="s">
        <v>3240</v>
      </c>
    </row>
    <row r="383" customFormat="false" ht="15" hidden="false" customHeight="true" outlineLevel="0" collapsed="false">
      <c r="A383" s="0" t="n">
        <v>78</v>
      </c>
      <c r="B383" s="188" t="n">
        <v>46142.6950743493</v>
      </c>
      <c r="C383" s="188" t="n">
        <v>46142.7073081456</v>
      </c>
      <c r="D383" s="189" t="s">
        <v>762</v>
      </c>
      <c r="E383" s="189" t="s">
        <v>763</v>
      </c>
      <c r="F383" s="189" t="s">
        <v>764</v>
      </c>
      <c r="G383" s="189" t="s">
        <v>765</v>
      </c>
      <c r="H383" s="188" t="n">
        <v>46142</v>
      </c>
      <c r="I383" s="189" t="s">
        <v>132</v>
      </c>
      <c r="J383" s="189" t="s">
        <v>108</v>
      </c>
      <c r="K383" s="189" t="s">
        <v>257</v>
      </c>
      <c r="L383" s="189" t="s">
        <v>296</v>
      </c>
      <c r="M383" s="189" t="s">
        <v>269</v>
      </c>
      <c r="N383" s="189" t="s">
        <v>766</v>
      </c>
      <c r="O383" s="189" t="s">
        <v>750</v>
      </c>
      <c r="P383" s="189" t="s">
        <v>111</v>
      </c>
      <c r="Q383" s="189" t="s">
        <v>145</v>
      </c>
      <c r="R383" s="189" t="s">
        <v>22</v>
      </c>
      <c r="S383" s="189" t="s">
        <v>152</v>
      </c>
      <c r="T383" s="189" t="s">
        <v>121</v>
      </c>
      <c r="U383" s="189" t="s">
        <v>770</v>
      </c>
      <c r="V383" s="189" t="s">
        <v>123</v>
      </c>
      <c r="W383" s="189" t="s">
        <v>124</v>
      </c>
      <c r="X383" s="189" t="s">
        <v>176</v>
      </c>
      <c r="Y383" s="189" t="s">
        <v>3069</v>
      </c>
      <c r="Z383" s="0" t="n">
        <v>1</v>
      </c>
      <c r="AA383" s="189" t="s">
        <v>3241</v>
      </c>
    </row>
    <row r="384" customFormat="false" ht="15" hidden="false" customHeight="true" outlineLevel="0" collapsed="false">
      <c r="A384" s="0" t="n">
        <v>78</v>
      </c>
      <c r="B384" s="188" t="n">
        <v>46142.6950743493</v>
      </c>
      <c r="C384" s="188" t="n">
        <v>46142.7073081456</v>
      </c>
      <c r="D384" s="189" t="s">
        <v>762</v>
      </c>
      <c r="E384" s="189" t="s">
        <v>763</v>
      </c>
      <c r="F384" s="189" t="s">
        <v>764</v>
      </c>
      <c r="G384" s="189" t="s">
        <v>765</v>
      </c>
      <c r="H384" s="188" t="n">
        <v>46142</v>
      </c>
      <c r="I384" s="189" t="s">
        <v>132</v>
      </c>
      <c r="J384" s="189" t="s">
        <v>108</v>
      </c>
      <c r="K384" s="189" t="s">
        <v>257</v>
      </c>
      <c r="L384" s="189" t="s">
        <v>296</v>
      </c>
      <c r="M384" s="189" t="s">
        <v>269</v>
      </c>
      <c r="N384" s="189" t="s">
        <v>766</v>
      </c>
      <c r="O384" s="189" t="s">
        <v>750</v>
      </c>
      <c r="P384" s="189" t="s">
        <v>111</v>
      </c>
      <c r="Q384" s="189" t="s">
        <v>145</v>
      </c>
      <c r="R384" s="189" t="s">
        <v>22</v>
      </c>
      <c r="S384" s="189" t="s">
        <v>152</v>
      </c>
      <c r="T384" s="189" t="s">
        <v>121</v>
      </c>
      <c r="U384" s="189" t="s">
        <v>770</v>
      </c>
      <c r="V384" s="189" t="s">
        <v>123</v>
      </c>
      <c r="W384" s="189" t="s">
        <v>124</v>
      </c>
      <c r="X384" s="189" t="s">
        <v>176</v>
      </c>
      <c r="Y384" s="189" t="s">
        <v>3069</v>
      </c>
      <c r="Z384" s="0" t="n">
        <v>2</v>
      </c>
      <c r="AA384" s="189" t="s">
        <v>3242</v>
      </c>
    </row>
    <row r="385" customFormat="false" ht="15" hidden="false" customHeight="true" outlineLevel="0" collapsed="false">
      <c r="A385" s="0" t="n">
        <v>79</v>
      </c>
      <c r="B385" s="188" t="n">
        <v>46080.3008407093</v>
      </c>
      <c r="C385" s="188" t="n">
        <v>46080.3152620056</v>
      </c>
      <c r="D385" s="189" t="s">
        <v>771</v>
      </c>
      <c r="E385" s="189" t="s">
        <v>772</v>
      </c>
      <c r="F385" s="189" t="s">
        <v>772</v>
      </c>
      <c r="G385" s="189" t="s">
        <v>773</v>
      </c>
      <c r="H385" s="188" t="n">
        <v>46066</v>
      </c>
      <c r="I385" s="189" t="s">
        <v>113</v>
      </c>
      <c r="J385" s="189" t="s">
        <v>108</v>
      </c>
      <c r="K385" s="189" t="s">
        <v>462</v>
      </c>
      <c r="L385" s="189" t="s">
        <v>159</v>
      </c>
      <c r="M385" s="189" t="s">
        <v>774</v>
      </c>
      <c r="N385" s="189" t="s">
        <v>775</v>
      </c>
      <c r="O385" s="189" t="s">
        <v>750</v>
      </c>
      <c r="P385" s="189" t="s">
        <v>111</v>
      </c>
      <c r="Q385" s="189" t="s">
        <v>112</v>
      </c>
      <c r="R385" s="189" t="s">
        <v>22</v>
      </c>
      <c r="S385" s="189" t="s">
        <v>120</v>
      </c>
      <c r="T385" s="189" t="s">
        <v>121</v>
      </c>
      <c r="U385" s="189" t="s">
        <v>153</v>
      </c>
      <c r="V385" s="189" t="s">
        <v>192</v>
      </c>
      <c r="W385" s="189" t="s">
        <v>139</v>
      </c>
      <c r="X385" s="189" t="s">
        <v>339</v>
      </c>
      <c r="Y385" s="189" t="s">
        <v>3064</v>
      </c>
      <c r="Z385" s="0" t="n">
        <v>1</v>
      </c>
      <c r="AA385" s="189" t="s">
        <v>3216</v>
      </c>
    </row>
    <row r="386" customFormat="false" ht="15" hidden="false" customHeight="true" outlineLevel="0" collapsed="false">
      <c r="A386" s="0" t="n">
        <v>79</v>
      </c>
      <c r="B386" s="188" t="n">
        <v>46080.3008407093</v>
      </c>
      <c r="C386" s="188" t="n">
        <v>46080.3152620056</v>
      </c>
      <c r="D386" s="189" t="s">
        <v>771</v>
      </c>
      <c r="E386" s="189" t="s">
        <v>772</v>
      </c>
      <c r="F386" s="189" t="s">
        <v>772</v>
      </c>
      <c r="G386" s="189" t="s">
        <v>773</v>
      </c>
      <c r="H386" s="188" t="n">
        <v>46066</v>
      </c>
      <c r="I386" s="189" t="s">
        <v>113</v>
      </c>
      <c r="J386" s="189" t="s">
        <v>108</v>
      </c>
      <c r="K386" s="189" t="s">
        <v>462</v>
      </c>
      <c r="L386" s="189" t="s">
        <v>159</v>
      </c>
      <c r="M386" s="189" t="s">
        <v>774</v>
      </c>
      <c r="N386" s="189" t="s">
        <v>775</v>
      </c>
      <c r="O386" s="189" t="s">
        <v>750</v>
      </c>
      <c r="P386" s="189" t="s">
        <v>111</v>
      </c>
      <c r="Q386" s="189" t="s">
        <v>112</v>
      </c>
      <c r="R386" s="189" t="s">
        <v>22</v>
      </c>
      <c r="S386" s="189" t="s">
        <v>120</v>
      </c>
      <c r="T386" s="189" t="s">
        <v>121</v>
      </c>
      <c r="U386" s="189" t="s">
        <v>153</v>
      </c>
      <c r="V386" s="189" t="s">
        <v>192</v>
      </c>
      <c r="W386" s="189" t="s">
        <v>139</v>
      </c>
      <c r="X386" s="189" t="s">
        <v>339</v>
      </c>
      <c r="Y386" s="189" t="s">
        <v>3064</v>
      </c>
      <c r="Z386" s="0" t="n">
        <v>2</v>
      </c>
      <c r="AA386" s="189" t="s">
        <v>3198</v>
      </c>
    </row>
    <row r="387" customFormat="false" ht="15" hidden="false" customHeight="true" outlineLevel="0" collapsed="false">
      <c r="A387" s="0" t="n">
        <v>79</v>
      </c>
      <c r="B387" s="188" t="n">
        <v>46080.3008407093</v>
      </c>
      <c r="C387" s="188" t="n">
        <v>46080.3152620056</v>
      </c>
      <c r="D387" s="189" t="s">
        <v>771</v>
      </c>
      <c r="E387" s="189" t="s">
        <v>772</v>
      </c>
      <c r="F387" s="189" t="s">
        <v>772</v>
      </c>
      <c r="G387" s="189" t="s">
        <v>773</v>
      </c>
      <c r="H387" s="188" t="n">
        <v>46066</v>
      </c>
      <c r="I387" s="189" t="s">
        <v>113</v>
      </c>
      <c r="J387" s="189" t="s">
        <v>108</v>
      </c>
      <c r="K387" s="189" t="s">
        <v>462</v>
      </c>
      <c r="L387" s="189" t="s">
        <v>159</v>
      </c>
      <c r="M387" s="189" t="s">
        <v>774</v>
      </c>
      <c r="N387" s="189" t="s">
        <v>775</v>
      </c>
      <c r="O387" s="189" t="s">
        <v>750</v>
      </c>
      <c r="P387" s="189" t="s">
        <v>111</v>
      </c>
      <c r="Q387" s="189" t="s">
        <v>112</v>
      </c>
      <c r="R387" s="189" t="s">
        <v>22</v>
      </c>
      <c r="S387" s="189" t="s">
        <v>120</v>
      </c>
      <c r="T387" s="189" t="s">
        <v>121</v>
      </c>
      <c r="U387" s="189" t="s">
        <v>153</v>
      </c>
      <c r="V387" s="189" t="s">
        <v>192</v>
      </c>
      <c r="W387" s="189" t="s">
        <v>139</v>
      </c>
      <c r="X387" s="189" t="s">
        <v>339</v>
      </c>
      <c r="Y387" s="189" t="s">
        <v>3066</v>
      </c>
      <c r="Z387" s="0" t="n">
        <v>1</v>
      </c>
      <c r="AA387" s="189" t="s">
        <v>3142</v>
      </c>
    </row>
    <row r="388" customFormat="false" ht="15" hidden="false" customHeight="true" outlineLevel="0" collapsed="false">
      <c r="A388" s="0" t="n">
        <v>79</v>
      </c>
      <c r="B388" s="188" t="n">
        <v>46080.3008407093</v>
      </c>
      <c r="C388" s="188" t="n">
        <v>46080.3152620056</v>
      </c>
      <c r="D388" s="189" t="s">
        <v>771</v>
      </c>
      <c r="E388" s="189" t="s">
        <v>772</v>
      </c>
      <c r="F388" s="189" t="s">
        <v>772</v>
      </c>
      <c r="G388" s="189" t="s">
        <v>773</v>
      </c>
      <c r="H388" s="188" t="n">
        <v>46066</v>
      </c>
      <c r="I388" s="189" t="s">
        <v>113</v>
      </c>
      <c r="J388" s="189" t="s">
        <v>108</v>
      </c>
      <c r="K388" s="189" t="s">
        <v>462</v>
      </c>
      <c r="L388" s="189" t="s">
        <v>159</v>
      </c>
      <c r="M388" s="189" t="s">
        <v>774</v>
      </c>
      <c r="N388" s="189" t="s">
        <v>775</v>
      </c>
      <c r="O388" s="189" t="s">
        <v>750</v>
      </c>
      <c r="P388" s="189" t="s">
        <v>111</v>
      </c>
      <c r="Q388" s="189" t="s">
        <v>112</v>
      </c>
      <c r="R388" s="189" t="s">
        <v>22</v>
      </c>
      <c r="S388" s="189" t="s">
        <v>120</v>
      </c>
      <c r="T388" s="189" t="s">
        <v>121</v>
      </c>
      <c r="U388" s="189" t="s">
        <v>153</v>
      </c>
      <c r="V388" s="189" t="s">
        <v>192</v>
      </c>
      <c r="W388" s="189" t="s">
        <v>139</v>
      </c>
      <c r="X388" s="189" t="s">
        <v>339</v>
      </c>
      <c r="Y388" s="189" t="s">
        <v>3066</v>
      </c>
      <c r="Z388" s="0" t="n">
        <v>2</v>
      </c>
      <c r="AA388" s="189" t="s">
        <v>3243</v>
      </c>
    </row>
    <row r="389" customFormat="false" ht="15" hidden="false" customHeight="true" outlineLevel="0" collapsed="false">
      <c r="A389" s="0" t="n">
        <v>79</v>
      </c>
      <c r="B389" s="188" t="n">
        <v>46080.3008407093</v>
      </c>
      <c r="C389" s="188" t="n">
        <v>46080.3152620056</v>
      </c>
      <c r="D389" s="189" t="s">
        <v>771</v>
      </c>
      <c r="E389" s="189" t="s">
        <v>772</v>
      </c>
      <c r="F389" s="189" t="s">
        <v>772</v>
      </c>
      <c r="G389" s="189" t="s">
        <v>773</v>
      </c>
      <c r="H389" s="188" t="n">
        <v>46066</v>
      </c>
      <c r="I389" s="189" t="s">
        <v>113</v>
      </c>
      <c r="J389" s="189" t="s">
        <v>108</v>
      </c>
      <c r="K389" s="189" t="s">
        <v>462</v>
      </c>
      <c r="L389" s="189" t="s">
        <v>159</v>
      </c>
      <c r="M389" s="189" t="s">
        <v>774</v>
      </c>
      <c r="N389" s="189" t="s">
        <v>775</v>
      </c>
      <c r="O389" s="189" t="s">
        <v>750</v>
      </c>
      <c r="P389" s="189" t="s">
        <v>111</v>
      </c>
      <c r="Q389" s="189" t="s">
        <v>112</v>
      </c>
      <c r="R389" s="189" t="s">
        <v>22</v>
      </c>
      <c r="S389" s="189" t="s">
        <v>120</v>
      </c>
      <c r="T389" s="189" t="s">
        <v>121</v>
      </c>
      <c r="U389" s="189" t="s">
        <v>153</v>
      </c>
      <c r="V389" s="189" t="s">
        <v>192</v>
      </c>
      <c r="W389" s="189" t="s">
        <v>139</v>
      </c>
      <c r="X389" s="189" t="s">
        <v>339</v>
      </c>
      <c r="Y389" s="189" t="s">
        <v>3069</v>
      </c>
      <c r="Z389" s="0" t="n">
        <v>1</v>
      </c>
      <c r="AA389" s="189" t="s">
        <v>122</v>
      </c>
    </row>
    <row r="390" customFormat="false" ht="15" hidden="false" customHeight="true" outlineLevel="0" collapsed="false">
      <c r="A390" s="0" t="n">
        <v>79</v>
      </c>
      <c r="B390" s="188" t="n">
        <v>46080.3008407093</v>
      </c>
      <c r="C390" s="188" t="n">
        <v>46080.3152620056</v>
      </c>
      <c r="D390" s="189" t="s">
        <v>771</v>
      </c>
      <c r="E390" s="189" t="s">
        <v>772</v>
      </c>
      <c r="F390" s="189" t="s">
        <v>772</v>
      </c>
      <c r="G390" s="189" t="s">
        <v>773</v>
      </c>
      <c r="H390" s="188" t="n">
        <v>46066</v>
      </c>
      <c r="I390" s="189" t="s">
        <v>113</v>
      </c>
      <c r="J390" s="189" t="s">
        <v>108</v>
      </c>
      <c r="K390" s="189" t="s">
        <v>462</v>
      </c>
      <c r="L390" s="189" t="s">
        <v>159</v>
      </c>
      <c r="M390" s="189" t="s">
        <v>774</v>
      </c>
      <c r="N390" s="189" t="s">
        <v>775</v>
      </c>
      <c r="O390" s="189" t="s">
        <v>750</v>
      </c>
      <c r="P390" s="189" t="s">
        <v>111</v>
      </c>
      <c r="Q390" s="189" t="s">
        <v>112</v>
      </c>
      <c r="R390" s="189" t="s">
        <v>22</v>
      </c>
      <c r="S390" s="189" t="s">
        <v>120</v>
      </c>
      <c r="T390" s="189" t="s">
        <v>121</v>
      </c>
      <c r="U390" s="189" t="s">
        <v>153</v>
      </c>
      <c r="V390" s="189" t="s">
        <v>192</v>
      </c>
      <c r="W390" s="189" t="s">
        <v>139</v>
      </c>
      <c r="X390" s="189" t="s">
        <v>339</v>
      </c>
      <c r="Y390" s="189" t="s">
        <v>3069</v>
      </c>
      <c r="Z390" s="0" t="n">
        <v>2</v>
      </c>
      <c r="AA390" s="189" t="s">
        <v>3235</v>
      </c>
    </row>
    <row r="391" customFormat="false" ht="15" hidden="false" customHeight="true" outlineLevel="0" collapsed="false">
      <c r="A391" s="0" t="n">
        <v>80</v>
      </c>
      <c r="B391" s="188" t="n">
        <v>46202.7448680958</v>
      </c>
      <c r="C391" s="188" t="n">
        <v>46202.7501921699</v>
      </c>
      <c r="D391" s="189" t="s">
        <v>778</v>
      </c>
      <c r="E391" s="189" t="s">
        <v>779</v>
      </c>
      <c r="F391" s="189" t="s">
        <v>779</v>
      </c>
      <c r="G391" s="189" t="s">
        <v>780</v>
      </c>
      <c r="H391" s="188" t="n">
        <v>46184</v>
      </c>
      <c r="I391" s="189" t="s">
        <v>113</v>
      </c>
      <c r="J391" s="189" t="s">
        <v>295</v>
      </c>
      <c r="K391" s="189" t="s">
        <v>257</v>
      </c>
      <c r="L391" s="189" t="s">
        <v>159</v>
      </c>
      <c r="M391" s="189" t="s">
        <v>357</v>
      </c>
      <c r="N391" s="189" t="s">
        <v>606</v>
      </c>
      <c r="O391" s="189" t="s">
        <v>781</v>
      </c>
      <c r="P391" s="189" t="s">
        <v>111</v>
      </c>
      <c r="Q391" s="189" t="s">
        <v>112</v>
      </c>
      <c r="R391" s="189" t="s">
        <v>22</v>
      </c>
      <c r="S391" s="189" t="s">
        <v>152</v>
      </c>
      <c r="T391" s="189" t="s">
        <v>121</v>
      </c>
      <c r="U391" s="189" t="s">
        <v>785</v>
      </c>
      <c r="V391" s="189" t="s">
        <v>167</v>
      </c>
      <c r="W391" s="189" t="s">
        <v>124</v>
      </c>
      <c r="X391" s="189" t="s">
        <v>176</v>
      </c>
      <c r="Y391" s="189" t="s">
        <v>3064</v>
      </c>
      <c r="Z391" s="0" t="n">
        <v>1</v>
      </c>
      <c r="AA391" s="189" t="s">
        <v>3086</v>
      </c>
    </row>
    <row r="392" customFormat="false" ht="15" hidden="false" customHeight="true" outlineLevel="0" collapsed="false">
      <c r="A392" s="0" t="n">
        <v>80</v>
      </c>
      <c r="B392" s="188" t="n">
        <v>46202.7448680958</v>
      </c>
      <c r="C392" s="188" t="n">
        <v>46202.7501921699</v>
      </c>
      <c r="D392" s="189" t="s">
        <v>778</v>
      </c>
      <c r="E392" s="189" t="s">
        <v>779</v>
      </c>
      <c r="F392" s="189" t="s">
        <v>779</v>
      </c>
      <c r="G392" s="189" t="s">
        <v>780</v>
      </c>
      <c r="H392" s="188" t="n">
        <v>46184</v>
      </c>
      <c r="I392" s="189" t="s">
        <v>113</v>
      </c>
      <c r="J392" s="189" t="s">
        <v>295</v>
      </c>
      <c r="K392" s="189" t="s">
        <v>257</v>
      </c>
      <c r="L392" s="189" t="s">
        <v>159</v>
      </c>
      <c r="M392" s="189" t="s">
        <v>357</v>
      </c>
      <c r="N392" s="189" t="s">
        <v>606</v>
      </c>
      <c r="O392" s="189" t="s">
        <v>781</v>
      </c>
      <c r="P392" s="189" t="s">
        <v>111</v>
      </c>
      <c r="Q392" s="189" t="s">
        <v>112</v>
      </c>
      <c r="R392" s="189" t="s">
        <v>22</v>
      </c>
      <c r="S392" s="189" t="s">
        <v>152</v>
      </c>
      <c r="T392" s="189" t="s">
        <v>121</v>
      </c>
      <c r="U392" s="189" t="s">
        <v>785</v>
      </c>
      <c r="V392" s="189" t="s">
        <v>167</v>
      </c>
      <c r="W392" s="189" t="s">
        <v>124</v>
      </c>
      <c r="X392" s="189" t="s">
        <v>176</v>
      </c>
      <c r="Y392" s="189" t="s">
        <v>3064</v>
      </c>
      <c r="Z392" s="0" t="n">
        <v>2</v>
      </c>
      <c r="AA392" s="189" t="s">
        <v>3244</v>
      </c>
    </row>
    <row r="393" customFormat="false" ht="15" hidden="false" customHeight="true" outlineLevel="0" collapsed="false">
      <c r="A393" s="0" t="n">
        <v>80</v>
      </c>
      <c r="B393" s="188" t="n">
        <v>46202.7448680958</v>
      </c>
      <c r="C393" s="188" t="n">
        <v>46202.7501921699</v>
      </c>
      <c r="D393" s="189" t="s">
        <v>778</v>
      </c>
      <c r="E393" s="189" t="s">
        <v>779</v>
      </c>
      <c r="F393" s="189" t="s">
        <v>779</v>
      </c>
      <c r="G393" s="189" t="s">
        <v>780</v>
      </c>
      <c r="H393" s="188" t="n">
        <v>46184</v>
      </c>
      <c r="I393" s="189" t="s">
        <v>113</v>
      </c>
      <c r="J393" s="189" t="s">
        <v>295</v>
      </c>
      <c r="K393" s="189" t="s">
        <v>257</v>
      </c>
      <c r="L393" s="189" t="s">
        <v>159</v>
      </c>
      <c r="M393" s="189" t="s">
        <v>357</v>
      </c>
      <c r="N393" s="189" t="s">
        <v>606</v>
      </c>
      <c r="O393" s="189" t="s">
        <v>781</v>
      </c>
      <c r="P393" s="189" t="s">
        <v>111</v>
      </c>
      <c r="Q393" s="189" t="s">
        <v>112</v>
      </c>
      <c r="R393" s="189" t="s">
        <v>22</v>
      </c>
      <c r="S393" s="189" t="s">
        <v>152</v>
      </c>
      <c r="T393" s="189" t="s">
        <v>121</v>
      </c>
      <c r="U393" s="189" t="s">
        <v>785</v>
      </c>
      <c r="V393" s="189" t="s">
        <v>167</v>
      </c>
      <c r="W393" s="189" t="s">
        <v>124</v>
      </c>
      <c r="X393" s="189" t="s">
        <v>176</v>
      </c>
      <c r="Y393" s="189" t="s">
        <v>3066</v>
      </c>
      <c r="Z393" s="0" t="n">
        <v>1</v>
      </c>
      <c r="AA393" s="189" t="s">
        <v>1174</v>
      </c>
    </row>
    <row r="394" customFormat="false" ht="15" hidden="false" customHeight="true" outlineLevel="0" collapsed="false">
      <c r="A394" s="0" t="n">
        <v>80</v>
      </c>
      <c r="B394" s="188" t="n">
        <v>46202.7448680958</v>
      </c>
      <c r="C394" s="188" t="n">
        <v>46202.7501921699</v>
      </c>
      <c r="D394" s="189" t="s">
        <v>778</v>
      </c>
      <c r="E394" s="189" t="s">
        <v>779</v>
      </c>
      <c r="F394" s="189" t="s">
        <v>779</v>
      </c>
      <c r="G394" s="189" t="s">
        <v>780</v>
      </c>
      <c r="H394" s="188" t="n">
        <v>46184</v>
      </c>
      <c r="I394" s="189" t="s">
        <v>113</v>
      </c>
      <c r="J394" s="189" t="s">
        <v>295</v>
      </c>
      <c r="K394" s="189" t="s">
        <v>257</v>
      </c>
      <c r="L394" s="189" t="s">
        <v>159</v>
      </c>
      <c r="M394" s="189" t="s">
        <v>357</v>
      </c>
      <c r="N394" s="189" t="s">
        <v>606</v>
      </c>
      <c r="O394" s="189" t="s">
        <v>781</v>
      </c>
      <c r="P394" s="189" t="s">
        <v>111</v>
      </c>
      <c r="Q394" s="189" t="s">
        <v>112</v>
      </c>
      <c r="R394" s="189" t="s">
        <v>22</v>
      </c>
      <c r="S394" s="189" t="s">
        <v>152</v>
      </c>
      <c r="T394" s="189" t="s">
        <v>121</v>
      </c>
      <c r="U394" s="189" t="s">
        <v>785</v>
      </c>
      <c r="V394" s="189" t="s">
        <v>167</v>
      </c>
      <c r="W394" s="189" t="s">
        <v>124</v>
      </c>
      <c r="X394" s="189" t="s">
        <v>176</v>
      </c>
      <c r="Y394" s="189" t="s">
        <v>3066</v>
      </c>
      <c r="Z394" s="0" t="n">
        <v>2</v>
      </c>
      <c r="AA394" s="189" t="s">
        <v>122</v>
      </c>
    </row>
    <row r="395" customFormat="false" ht="15" hidden="false" customHeight="true" outlineLevel="0" collapsed="false">
      <c r="A395" s="0" t="n">
        <v>80</v>
      </c>
      <c r="B395" s="188" t="n">
        <v>46202.7448680958</v>
      </c>
      <c r="C395" s="188" t="n">
        <v>46202.7501921699</v>
      </c>
      <c r="D395" s="189" t="s">
        <v>778</v>
      </c>
      <c r="E395" s="189" t="s">
        <v>779</v>
      </c>
      <c r="F395" s="189" t="s">
        <v>779</v>
      </c>
      <c r="G395" s="189" t="s">
        <v>780</v>
      </c>
      <c r="H395" s="188" t="n">
        <v>46184</v>
      </c>
      <c r="I395" s="189" t="s">
        <v>113</v>
      </c>
      <c r="J395" s="189" t="s">
        <v>295</v>
      </c>
      <c r="K395" s="189" t="s">
        <v>257</v>
      </c>
      <c r="L395" s="189" t="s">
        <v>159</v>
      </c>
      <c r="M395" s="189" t="s">
        <v>357</v>
      </c>
      <c r="N395" s="189" t="s">
        <v>606</v>
      </c>
      <c r="O395" s="189" t="s">
        <v>781</v>
      </c>
      <c r="P395" s="189" t="s">
        <v>111</v>
      </c>
      <c r="Q395" s="189" t="s">
        <v>112</v>
      </c>
      <c r="R395" s="189" t="s">
        <v>22</v>
      </c>
      <c r="S395" s="189" t="s">
        <v>152</v>
      </c>
      <c r="T395" s="189" t="s">
        <v>121</v>
      </c>
      <c r="U395" s="189" t="s">
        <v>785</v>
      </c>
      <c r="V395" s="189" t="s">
        <v>167</v>
      </c>
      <c r="W395" s="189" t="s">
        <v>124</v>
      </c>
      <c r="X395" s="189" t="s">
        <v>176</v>
      </c>
      <c r="Y395" s="189" t="s">
        <v>3069</v>
      </c>
      <c r="Z395" s="0" t="n">
        <v>1</v>
      </c>
      <c r="AA395" s="189" t="s">
        <v>3084</v>
      </c>
    </row>
    <row r="396" customFormat="false" ht="15" hidden="false" customHeight="true" outlineLevel="0" collapsed="false">
      <c r="A396" s="0" t="n">
        <v>80</v>
      </c>
      <c r="B396" s="188" t="n">
        <v>46202.7448680958</v>
      </c>
      <c r="C396" s="188" t="n">
        <v>46202.7501921699</v>
      </c>
      <c r="D396" s="189" t="s">
        <v>778</v>
      </c>
      <c r="E396" s="189" t="s">
        <v>779</v>
      </c>
      <c r="F396" s="189" t="s">
        <v>779</v>
      </c>
      <c r="G396" s="189" t="s">
        <v>780</v>
      </c>
      <c r="H396" s="188" t="n">
        <v>46184</v>
      </c>
      <c r="I396" s="189" t="s">
        <v>113</v>
      </c>
      <c r="J396" s="189" t="s">
        <v>295</v>
      </c>
      <c r="K396" s="189" t="s">
        <v>257</v>
      </c>
      <c r="L396" s="189" t="s">
        <v>159</v>
      </c>
      <c r="M396" s="189" t="s">
        <v>357</v>
      </c>
      <c r="N396" s="189" t="s">
        <v>606</v>
      </c>
      <c r="O396" s="189" t="s">
        <v>781</v>
      </c>
      <c r="P396" s="189" t="s">
        <v>111</v>
      </c>
      <c r="Q396" s="189" t="s">
        <v>112</v>
      </c>
      <c r="R396" s="189" t="s">
        <v>22</v>
      </c>
      <c r="S396" s="189" t="s">
        <v>152</v>
      </c>
      <c r="T396" s="189" t="s">
        <v>121</v>
      </c>
      <c r="U396" s="189" t="s">
        <v>785</v>
      </c>
      <c r="V396" s="189" t="s">
        <v>167</v>
      </c>
      <c r="W396" s="189" t="s">
        <v>124</v>
      </c>
      <c r="X396" s="189" t="s">
        <v>176</v>
      </c>
      <c r="Y396" s="189" t="s">
        <v>3069</v>
      </c>
      <c r="Z396" s="0" t="n">
        <v>2</v>
      </c>
      <c r="AA396" s="189" t="s">
        <v>3245</v>
      </c>
    </row>
    <row r="397" customFormat="false" ht="15" hidden="false" customHeight="true" outlineLevel="0" collapsed="false">
      <c r="A397" s="0" t="n">
        <v>81</v>
      </c>
      <c r="B397" s="188" t="n">
        <v>46046.5805088957</v>
      </c>
      <c r="C397" s="188" t="n">
        <v>46046.5942473216</v>
      </c>
      <c r="D397" s="189" t="s">
        <v>786</v>
      </c>
      <c r="E397" s="189" t="s">
        <v>787</v>
      </c>
      <c r="F397" s="189" t="s">
        <v>787</v>
      </c>
      <c r="G397" s="189" t="s">
        <v>788</v>
      </c>
      <c r="H397" s="188" t="n">
        <v>46043</v>
      </c>
      <c r="I397" s="189" t="s">
        <v>132</v>
      </c>
      <c r="J397" s="189" t="s">
        <v>295</v>
      </c>
      <c r="K397" s="189" t="s">
        <v>232</v>
      </c>
      <c r="L397" s="189" t="s">
        <v>197</v>
      </c>
      <c r="M397" s="189" t="s">
        <v>789</v>
      </c>
      <c r="N397" s="189" t="s">
        <v>235</v>
      </c>
      <c r="O397" s="189" t="s">
        <v>172</v>
      </c>
      <c r="P397" s="189" t="s">
        <v>131</v>
      </c>
      <c r="Q397" s="189" t="s">
        <v>112</v>
      </c>
      <c r="R397" s="189" t="s">
        <v>22</v>
      </c>
      <c r="S397" s="189" t="s">
        <v>120</v>
      </c>
      <c r="T397" s="189" t="s">
        <v>180</v>
      </c>
      <c r="U397" s="189" t="s">
        <v>122</v>
      </c>
      <c r="V397" s="189" t="s">
        <v>123</v>
      </c>
      <c r="W397" s="189" t="s">
        <v>124</v>
      </c>
      <c r="X397" s="189" t="s">
        <v>298</v>
      </c>
      <c r="Y397" s="189" t="s">
        <v>3064</v>
      </c>
      <c r="Z397" s="0" t="n">
        <v>1</v>
      </c>
      <c r="AA397" s="189" t="s">
        <v>3208</v>
      </c>
    </row>
    <row r="398" customFormat="false" ht="15" hidden="false" customHeight="true" outlineLevel="0" collapsed="false">
      <c r="A398" s="0" t="n">
        <v>81</v>
      </c>
      <c r="B398" s="188" t="n">
        <v>46046.5805088957</v>
      </c>
      <c r="C398" s="188" t="n">
        <v>46046.5942473216</v>
      </c>
      <c r="D398" s="189" t="s">
        <v>786</v>
      </c>
      <c r="E398" s="189" t="s">
        <v>787</v>
      </c>
      <c r="F398" s="189" t="s">
        <v>787</v>
      </c>
      <c r="G398" s="189" t="s">
        <v>788</v>
      </c>
      <c r="H398" s="188" t="n">
        <v>46043</v>
      </c>
      <c r="I398" s="189" t="s">
        <v>132</v>
      </c>
      <c r="J398" s="189" t="s">
        <v>295</v>
      </c>
      <c r="K398" s="189" t="s">
        <v>232</v>
      </c>
      <c r="L398" s="189" t="s">
        <v>197</v>
      </c>
      <c r="M398" s="189" t="s">
        <v>789</v>
      </c>
      <c r="N398" s="189" t="s">
        <v>235</v>
      </c>
      <c r="O398" s="189" t="s">
        <v>172</v>
      </c>
      <c r="P398" s="189" t="s">
        <v>131</v>
      </c>
      <c r="Q398" s="189" t="s">
        <v>112</v>
      </c>
      <c r="R398" s="189" t="s">
        <v>22</v>
      </c>
      <c r="S398" s="189" t="s">
        <v>120</v>
      </c>
      <c r="T398" s="189" t="s">
        <v>180</v>
      </c>
      <c r="U398" s="189" t="s">
        <v>122</v>
      </c>
      <c r="V398" s="189" t="s">
        <v>123</v>
      </c>
      <c r="W398" s="189" t="s">
        <v>124</v>
      </c>
      <c r="X398" s="189" t="s">
        <v>298</v>
      </c>
      <c r="Y398" s="189" t="s">
        <v>3064</v>
      </c>
      <c r="Z398" s="0" t="n">
        <v>2</v>
      </c>
      <c r="AA398" s="189" t="s">
        <v>3125</v>
      </c>
    </row>
    <row r="399" customFormat="false" ht="15" hidden="false" customHeight="true" outlineLevel="0" collapsed="false">
      <c r="A399" s="0" t="n">
        <v>81</v>
      </c>
      <c r="B399" s="188" t="n">
        <v>46046.5805088957</v>
      </c>
      <c r="C399" s="188" t="n">
        <v>46046.5942473216</v>
      </c>
      <c r="D399" s="189" t="s">
        <v>786</v>
      </c>
      <c r="E399" s="189" t="s">
        <v>787</v>
      </c>
      <c r="F399" s="189" t="s">
        <v>787</v>
      </c>
      <c r="G399" s="189" t="s">
        <v>788</v>
      </c>
      <c r="H399" s="188" t="n">
        <v>46043</v>
      </c>
      <c r="I399" s="189" t="s">
        <v>132</v>
      </c>
      <c r="J399" s="189" t="s">
        <v>295</v>
      </c>
      <c r="K399" s="189" t="s">
        <v>232</v>
      </c>
      <c r="L399" s="189" t="s">
        <v>197</v>
      </c>
      <c r="M399" s="189" t="s">
        <v>789</v>
      </c>
      <c r="N399" s="189" t="s">
        <v>235</v>
      </c>
      <c r="O399" s="189" t="s">
        <v>172</v>
      </c>
      <c r="P399" s="189" t="s">
        <v>131</v>
      </c>
      <c r="Q399" s="189" t="s">
        <v>112</v>
      </c>
      <c r="R399" s="189" t="s">
        <v>22</v>
      </c>
      <c r="S399" s="189" t="s">
        <v>120</v>
      </c>
      <c r="T399" s="189" t="s">
        <v>180</v>
      </c>
      <c r="U399" s="189" t="s">
        <v>122</v>
      </c>
      <c r="V399" s="189" t="s">
        <v>123</v>
      </c>
      <c r="W399" s="189" t="s">
        <v>124</v>
      </c>
      <c r="X399" s="189" t="s">
        <v>298</v>
      </c>
      <c r="Y399" s="189" t="s">
        <v>3064</v>
      </c>
      <c r="Z399" s="0" t="n">
        <v>3</v>
      </c>
      <c r="AA399" s="189" t="s">
        <v>3194</v>
      </c>
    </row>
    <row r="400" customFormat="false" ht="15" hidden="false" customHeight="true" outlineLevel="0" collapsed="false">
      <c r="A400" s="0" t="n">
        <v>81</v>
      </c>
      <c r="B400" s="188" t="n">
        <v>46046.5805088957</v>
      </c>
      <c r="C400" s="188" t="n">
        <v>46046.5942473216</v>
      </c>
      <c r="D400" s="189" t="s">
        <v>786</v>
      </c>
      <c r="E400" s="189" t="s">
        <v>787</v>
      </c>
      <c r="F400" s="189" t="s">
        <v>787</v>
      </c>
      <c r="G400" s="189" t="s">
        <v>788</v>
      </c>
      <c r="H400" s="188" t="n">
        <v>46043</v>
      </c>
      <c r="I400" s="189" t="s">
        <v>132</v>
      </c>
      <c r="J400" s="189" t="s">
        <v>295</v>
      </c>
      <c r="K400" s="189" t="s">
        <v>232</v>
      </c>
      <c r="L400" s="189" t="s">
        <v>197</v>
      </c>
      <c r="M400" s="189" t="s">
        <v>789</v>
      </c>
      <c r="N400" s="189" t="s">
        <v>235</v>
      </c>
      <c r="O400" s="189" t="s">
        <v>172</v>
      </c>
      <c r="P400" s="189" t="s">
        <v>131</v>
      </c>
      <c r="Q400" s="189" t="s">
        <v>112</v>
      </c>
      <c r="R400" s="189" t="s">
        <v>22</v>
      </c>
      <c r="S400" s="189" t="s">
        <v>120</v>
      </c>
      <c r="T400" s="189" t="s">
        <v>180</v>
      </c>
      <c r="U400" s="189" t="s">
        <v>122</v>
      </c>
      <c r="V400" s="189" t="s">
        <v>123</v>
      </c>
      <c r="W400" s="189" t="s">
        <v>124</v>
      </c>
      <c r="X400" s="189" t="s">
        <v>298</v>
      </c>
      <c r="Y400" s="189" t="s">
        <v>3066</v>
      </c>
      <c r="Z400" s="0" t="n">
        <v>1</v>
      </c>
      <c r="AA400" s="189" t="s">
        <v>3246</v>
      </c>
    </row>
    <row r="401" customFormat="false" ht="15" hidden="false" customHeight="true" outlineLevel="0" collapsed="false">
      <c r="A401" s="0" t="n">
        <v>81</v>
      </c>
      <c r="B401" s="188" t="n">
        <v>46046.5805088957</v>
      </c>
      <c r="C401" s="188" t="n">
        <v>46046.5942473216</v>
      </c>
      <c r="D401" s="189" t="s">
        <v>786</v>
      </c>
      <c r="E401" s="189" t="s">
        <v>787</v>
      </c>
      <c r="F401" s="189" t="s">
        <v>787</v>
      </c>
      <c r="G401" s="189" t="s">
        <v>788</v>
      </c>
      <c r="H401" s="188" t="n">
        <v>46043</v>
      </c>
      <c r="I401" s="189" t="s">
        <v>132</v>
      </c>
      <c r="J401" s="189" t="s">
        <v>295</v>
      </c>
      <c r="K401" s="189" t="s">
        <v>232</v>
      </c>
      <c r="L401" s="189" t="s">
        <v>197</v>
      </c>
      <c r="M401" s="189" t="s">
        <v>789</v>
      </c>
      <c r="N401" s="189" t="s">
        <v>235</v>
      </c>
      <c r="O401" s="189" t="s">
        <v>172</v>
      </c>
      <c r="P401" s="189" t="s">
        <v>131</v>
      </c>
      <c r="Q401" s="189" t="s">
        <v>112</v>
      </c>
      <c r="R401" s="189" t="s">
        <v>22</v>
      </c>
      <c r="S401" s="189" t="s">
        <v>120</v>
      </c>
      <c r="T401" s="189" t="s">
        <v>180</v>
      </c>
      <c r="U401" s="189" t="s">
        <v>122</v>
      </c>
      <c r="V401" s="189" t="s">
        <v>123</v>
      </c>
      <c r="W401" s="189" t="s">
        <v>124</v>
      </c>
      <c r="X401" s="189" t="s">
        <v>298</v>
      </c>
      <c r="Y401" s="189" t="s">
        <v>3069</v>
      </c>
      <c r="Z401" s="0" t="n">
        <v>1</v>
      </c>
      <c r="AA401" s="189" t="s">
        <v>3247</v>
      </c>
    </row>
    <row r="402" customFormat="false" ht="15" hidden="false" customHeight="true" outlineLevel="0" collapsed="false">
      <c r="A402" s="0" t="n">
        <v>81</v>
      </c>
      <c r="B402" s="188" t="n">
        <v>46046.5805088957</v>
      </c>
      <c r="C402" s="188" t="n">
        <v>46046.5942473216</v>
      </c>
      <c r="D402" s="189" t="s">
        <v>786</v>
      </c>
      <c r="E402" s="189" t="s">
        <v>787</v>
      </c>
      <c r="F402" s="189" t="s">
        <v>787</v>
      </c>
      <c r="G402" s="189" t="s">
        <v>788</v>
      </c>
      <c r="H402" s="188" t="n">
        <v>46043</v>
      </c>
      <c r="I402" s="189" t="s">
        <v>132</v>
      </c>
      <c r="J402" s="189" t="s">
        <v>295</v>
      </c>
      <c r="K402" s="189" t="s">
        <v>232</v>
      </c>
      <c r="L402" s="189" t="s">
        <v>197</v>
      </c>
      <c r="M402" s="189" t="s">
        <v>789</v>
      </c>
      <c r="N402" s="189" t="s">
        <v>235</v>
      </c>
      <c r="O402" s="189" t="s">
        <v>172</v>
      </c>
      <c r="P402" s="189" t="s">
        <v>131</v>
      </c>
      <c r="Q402" s="189" t="s">
        <v>112</v>
      </c>
      <c r="R402" s="189" t="s">
        <v>22</v>
      </c>
      <c r="S402" s="189" t="s">
        <v>120</v>
      </c>
      <c r="T402" s="189" t="s">
        <v>180</v>
      </c>
      <c r="U402" s="189" t="s">
        <v>122</v>
      </c>
      <c r="V402" s="189" t="s">
        <v>123</v>
      </c>
      <c r="W402" s="189" t="s">
        <v>124</v>
      </c>
      <c r="X402" s="189" t="s">
        <v>298</v>
      </c>
      <c r="Y402" s="189" t="s">
        <v>3069</v>
      </c>
      <c r="Z402" s="0" t="n">
        <v>2</v>
      </c>
      <c r="AA402" s="189" t="s">
        <v>3248</v>
      </c>
    </row>
    <row r="403" customFormat="false" ht="15" hidden="false" customHeight="true" outlineLevel="0" collapsed="false">
      <c r="A403" s="0" t="n">
        <v>82</v>
      </c>
      <c r="B403" s="188" t="n">
        <v>46165.1784369742</v>
      </c>
      <c r="C403" s="188" t="n">
        <v>46165.1799300298</v>
      </c>
      <c r="D403" s="189" t="s">
        <v>793</v>
      </c>
      <c r="E403" s="189" t="s">
        <v>794</v>
      </c>
      <c r="F403" s="189" t="s">
        <v>794</v>
      </c>
      <c r="G403" s="189" t="s">
        <v>795</v>
      </c>
      <c r="H403" s="188" t="n">
        <v>46157</v>
      </c>
      <c r="I403" s="189" t="s">
        <v>113</v>
      </c>
      <c r="J403" s="189" t="s">
        <v>295</v>
      </c>
      <c r="K403" s="189" t="s">
        <v>796</v>
      </c>
      <c r="L403" s="189" t="s">
        <v>114</v>
      </c>
      <c r="M403" s="189" t="s">
        <v>797</v>
      </c>
      <c r="N403" s="189" t="s">
        <v>338</v>
      </c>
      <c r="O403" s="189" t="s">
        <v>278</v>
      </c>
      <c r="P403" s="189" t="s">
        <v>131</v>
      </c>
      <c r="Q403" s="189" t="s">
        <v>112</v>
      </c>
      <c r="R403" s="189" t="s">
        <v>21</v>
      </c>
      <c r="S403" s="189" t="s">
        <v>120</v>
      </c>
      <c r="T403" s="189" t="s">
        <v>180</v>
      </c>
      <c r="U403" s="189" t="s">
        <v>798</v>
      </c>
      <c r="V403" s="189" t="s">
        <v>167</v>
      </c>
      <c r="W403" s="189" t="s">
        <v>124</v>
      </c>
      <c r="X403" s="189" t="s">
        <v>187</v>
      </c>
      <c r="Y403" s="189" t="s">
        <v>3064</v>
      </c>
      <c r="Z403" s="0" t="n">
        <v>1</v>
      </c>
      <c r="AA403" s="189" t="s">
        <v>3089</v>
      </c>
    </row>
    <row r="404" customFormat="false" ht="15" hidden="false" customHeight="true" outlineLevel="0" collapsed="false">
      <c r="A404" s="0" t="n">
        <v>82</v>
      </c>
      <c r="B404" s="188" t="n">
        <v>46165.1784369742</v>
      </c>
      <c r="C404" s="188" t="n">
        <v>46165.1799300298</v>
      </c>
      <c r="D404" s="189" t="s">
        <v>793</v>
      </c>
      <c r="E404" s="189" t="s">
        <v>794</v>
      </c>
      <c r="F404" s="189" t="s">
        <v>794</v>
      </c>
      <c r="G404" s="189" t="s">
        <v>795</v>
      </c>
      <c r="H404" s="188" t="n">
        <v>46157</v>
      </c>
      <c r="I404" s="189" t="s">
        <v>113</v>
      </c>
      <c r="J404" s="189" t="s">
        <v>295</v>
      </c>
      <c r="K404" s="189" t="s">
        <v>796</v>
      </c>
      <c r="L404" s="189" t="s">
        <v>114</v>
      </c>
      <c r="M404" s="189" t="s">
        <v>797</v>
      </c>
      <c r="N404" s="189" t="s">
        <v>338</v>
      </c>
      <c r="O404" s="189" t="s">
        <v>278</v>
      </c>
      <c r="P404" s="189" t="s">
        <v>131</v>
      </c>
      <c r="Q404" s="189" t="s">
        <v>112</v>
      </c>
      <c r="R404" s="189" t="s">
        <v>21</v>
      </c>
      <c r="S404" s="189" t="s">
        <v>120</v>
      </c>
      <c r="T404" s="189" t="s">
        <v>180</v>
      </c>
      <c r="U404" s="189" t="s">
        <v>798</v>
      </c>
      <c r="V404" s="189" t="s">
        <v>167</v>
      </c>
      <c r="W404" s="189" t="s">
        <v>124</v>
      </c>
      <c r="X404" s="189" t="s">
        <v>187</v>
      </c>
      <c r="Y404" s="189" t="s">
        <v>3066</v>
      </c>
      <c r="Z404" s="0" t="n">
        <v>1</v>
      </c>
      <c r="AA404" s="189" t="s">
        <v>3167</v>
      </c>
    </row>
    <row r="405" customFormat="false" ht="15" hidden="false" customHeight="true" outlineLevel="0" collapsed="false">
      <c r="A405" s="0" t="n">
        <v>82</v>
      </c>
      <c r="B405" s="188" t="n">
        <v>46165.1784369742</v>
      </c>
      <c r="C405" s="188" t="n">
        <v>46165.1799300298</v>
      </c>
      <c r="D405" s="189" t="s">
        <v>793</v>
      </c>
      <c r="E405" s="189" t="s">
        <v>794</v>
      </c>
      <c r="F405" s="189" t="s">
        <v>794</v>
      </c>
      <c r="G405" s="189" t="s">
        <v>795</v>
      </c>
      <c r="H405" s="188" t="n">
        <v>46157</v>
      </c>
      <c r="I405" s="189" t="s">
        <v>113</v>
      </c>
      <c r="J405" s="189" t="s">
        <v>295</v>
      </c>
      <c r="K405" s="189" t="s">
        <v>796</v>
      </c>
      <c r="L405" s="189" t="s">
        <v>114</v>
      </c>
      <c r="M405" s="189" t="s">
        <v>797</v>
      </c>
      <c r="N405" s="189" t="s">
        <v>338</v>
      </c>
      <c r="O405" s="189" t="s">
        <v>278</v>
      </c>
      <c r="P405" s="189" t="s">
        <v>131</v>
      </c>
      <c r="Q405" s="189" t="s">
        <v>112</v>
      </c>
      <c r="R405" s="189" t="s">
        <v>21</v>
      </c>
      <c r="S405" s="189" t="s">
        <v>120</v>
      </c>
      <c r="T405" s="189" t="s">
        <v>180</v>
      </c>
      <c r="U405" s="189" t="s">
        <v>798</v>
      </c>
      <c r="V405" s="189" t="s">
        <v>167</v>
      </c>
      <c r="W405" s="189" t="s">
        <v>124</v>
      </c>
      <c r="X405" s="189" t="s">
        <v>187</v>
      </c>
      <c r="Y405" s="189" t="s">
        <v>3066</v>
      </c>
      <c r="Z405" s="0" t="n">
        <v>2</v>
      </c>
      <c r="AA405" s="189" t="s">
        <v>3090</v>
      </c>
    </row>
    <row r="406" customFormat="false" ht="15" hidden="false" customHeight="true" outlineLevel="0" collapsed="false">
      <c r="A406" s="0" t="n">
        <v>82</v>
      </c>
      <c r="B406" s="188" t="n">
        <v>46165.1784369742</v>
      </c>
      <c r="C406" s="188" t="n">
        <v>46165.1799300298</v>
      </c>
      <c r="D406" s="189" t="s">
        <v>793</v>
      </c>
      <c r="E406" s="189" t="s">
        <v>794</v>
      </c>
      <c r="F406" s="189" t="s">
        <v>794</v>
      </c>
      <c r="G406" s="189" t="s">
        <v>795</v>
      </c>
      <c r="H406" s="188" t="n">
        <v>46157</v>
      </c>
      <c r="I406" s="189" t="s">
        <v>113</v>
      </c>
      <c r="J406" s="189" t="s">
        <v>295</v>
      </c>
      <c r="K406" s="189" t="s">
        <v>796</v>
      </c>
      <c r="L406" s="189" t="s">
        <v>114</v>
      </c>
      <c r="M406" s="189" t="s">
        <v>797</v>
      </c>
      <c r="N406" s="189" t="s">
        <v>338</v>
      </c>
      <c r="O406" s="189" t="s">
        <v>278</v>
      </c>
      <c r="P406" s="189" t="s">
        <v>131</v>
      </c>
      <c r="Q406" s="189" t="s">
        <v>112</v>
      </c>
      <c r="R406" s="189" t="s">
        <v>21</v>
      </c>
      <c r="S406" s="189" t="s">
        <v>120</v>
      </c>
      <c r="T406" s="189" t="s">
        <v>180</v>
      </c>
      <c r="U406" s="189" t="s">
        <v>798</v>
      </c>
      <c r="V406" s="189" t="s">
        <v>167</v>
      </c>
      <c r="W406" s="189" t="s">
        <v>124</v>
      </c>
      <c r="X406" s="189" t="s">
        <v>187</v>
      </c>
      <c r="Y406" s="189" t="s">
        <v>3069</v>
      </c>
      <c r="Z406" s="0" t="n">
        <v>1</v>
      </c>
      <c r="AA406" s="189" t="s">
        <v>3091</v>
      </c>
    </row>
    <row r="407" customFormat="false" ht="15" hidden="false" customHeight="true" outlineLevel="0" collapsed="false">
      <c r="A407" s="0" t="n">
        <v>83</v>
      </c>
      <c r="B407" s="188" t="n">
        <v>46107.2550075347</v>
      </c>
      <c r="C407" s="188" t="n">
        <v>46107.2591626273</v>
      </c>
      <c r="D407" s="189" t="s">
        <v>799</v>
      </c>
      <c r="E407" s="189" t="s">
        <v>800</v>
      </c>
      <c r="F407" s="189" t="s">
        <v>800</v>
      </c>
      <c r="G407" s="189" t="s">
        <v>801</v>
      </c>
      <c r="H407" s="188" t="n">
        <v>46103</v>
      </c>
      <c r="I407" s="189" t="s">
        <v>113</v>
      </c>
      <c r="J407" s="189" t="s">
        <v>108</v>
      </c>
      <c r="K407" s="189" t="s">
        <v>802</v>
      </c>
      <c r="L407" s="189" t="s">
        <v>210</v>
      </c>
      <c r="M407" s="189" t="s">
        <v>789</v>
      </c>
      <c r="N407" s="189" t="s">
        <v>523</v>
      </c>
      <c r="O407" s="189" t="s">
        <v>172</v>
      </c>
      <c r="P407" s="189" t="s">
        <v>111</v>
      </c>
      <c r="Q407" s="189" t="s">
        <v>112</v>
      </c>
      <c r="R407" s="189" t="s">
        <v>22</v>
      </c>
      <c r="S407" s="189" t="s">
        <v>152</v>
      </c>
      <c r="T407" s="189" t="s">
        <v>496</v>
      </c>
      <c r="U407" s="189" t="s">
        <v>239</v>
      </c>
      <c r="V407" s="189" t="s">
        <v>192</v>
      </c>
      <c r="W407" s="189" t="s">
        <v>124</v>
      </c>
      <c r="X407" s="189" t="s">
        <v>381</v>
      </c>
      <c r="Y407" s="189" t="s">
        <v>3064</v>
      </c>
      <c r="Z407" s="0" t="n">
        <v>1</v>
      </c>
      <c r="AA407" s="189" t="s">
        <v>3249</v>
      </c>
    </row>
    <row r="408" customFormat="false" ht="15" hidden="false" customHeight="true" outlineLevel="0" collapsed="false">
      <c r="A408" s="0" t="n">
        <v>83</v>
      </c>
      <c r="B408" s="188" t="n">
        <v>46107.2550075347</v>
      </c>
      <c r="C408" s="188" t="n">
        <v>46107.2591626273</v>
      </c>
      <c r="D408" s="189" t="s">
        <v>799</v>
      </c>
      <c r="E408" s="189" t="s">
        <v>800</v>
      </c>
      <c r="F408" s="189" t="s">
        <v>800</v>
      </c>
      <c r="G408" s="189" t="s">
        <v>801</v>
      </c>
      <c r="H408" s="188" t="n">
        <v>46103</v>
      </c>
      <c r="I408" s="189" t="s">
        <v>113</v>
      </c>
      <c r="J408" s="189" t="s">
        <v>108</v>
      </c>
      <c r="K408" s="189" t="s">
        <v>802</v>
      </c>
      <c r="L408" s="189" t="s">
        <v>210</v>
      </c>
      <c r="M408" s="189" t="s">
        <v>789</v>
      </c>
      <c r="N408" s="189" t="s">
        <v>523</v>
      </c>
      <c r="O408" s="189" t="s">
        <v>172</v>
      </c>
      <c r="P408" s="189" t="s">
        <v>111</v>
      </c>
      <c r="Q408" s="189" t="s">
        <v>112</v>
      </c>
      <c r="R408" s="189" t="s">
        <v>22</v>
      </c>
      <c r="S408" s="189" t="s">
        <v>152</v>
      </c>
      <c r="T408" s="189" t="s">
        <v>496</v>
      </c>
      <c r="U408" s="189" t="s">
        <v>239</v>
      </c>
      <c r="V408" s="189" t="s">
        <v>192</v>
      </c>
      <c r="W408" s="189" t="s">
        <v>124</v>
      </c>
      <c r="X408" s="189" t="s">
        <v>381</v>
      </c>
      <c r="Y408" s="189" t="s">
        <v>3064</v>
      </c>
      <c r="Z408" s="0" t="n">
        <v>2</v>
      </c>
      <c r="AA408" s="189" t="s">
        <v>3159</v>
      </c>
    </row>
    <row r="409" customFormat="false" ht="15" hidden="false" customHeight="true" outlineLevel="0" collapsed="false">
      <c r="A409" s="0" t="n">
        <v>83</v>
      </c>
      <c r="B409" s="188" t="n">
        <v>46107.2550075347</v>
      </c>
      <c r="C409" s="188" t="n">
        <v>46107.2591626273</v>
      </c>
      <c r="D409" s="189" t="s">
        <v>799</v>
      </c>
      <c r="E409" s="189" t="s">
        <v>800</v>
      </c>
      <c r="F409" s="189" t="s">
        <v>800</v>
      </c>
      <c r="G409" s="189" t="s">
        <v>801</v>
      </c>
      <c r="H409" s="188" t="n">
        <v>46103</v>
      </c>
      <c r="I409" s="189" t="s">
        <v>113</v>
      </c>
      <c r="J409" s="189" t="s">
        <v>108</v>
      </c>
      <c r="K409" s="189" t="s">
        <v>802</v>
      </c>
      <c r="L409" s="189" t="s">
        <v>210</v>
      </c>
      <c r="M409" s="189" t="s">
        <v>789</v>
      </c>
      <c r="N409" s="189" t="s">
        <v>523</v>
      </c>
      <c r="O409" s="189" t="s">
        <v>172</v>
      </c>
      <c r="P409" s="189" t="s">
        <v>111</v>
      </c>
      <c r="Q409" s="189" t="s">
        <v>112</v>
      </c>
      <c r="R409" s="189" t="s">
        <v>22</v>
      </c>
      <c r="S409" s="189" t="s">
        <v>152</v>
      </c>
      <c r="T409" s="189" t="s">
        <v>496</v>
      </c>
      <c r="U409" s="189" t="s">
        <v>239</v>
      </c>
      <c r="V409" s="189" t="s">
        <v>192</v>
      </c>
      <c r="W409" s="189" t="s">
        <v>124</v>
      </c>
      <c r="X409" s="189" t="s">
        <v>381</v>
      </c>
      <c r="Y409" s="189" t="s">
        <v>3066</v>
      </c>
      <c r="Z409" s="0" t="n">
        <v>1</v>
      </c>
      <c r="AA409" s="189" t="s">
        <v>3161</v>
      </c>
    </row>
    <row r="410" customFormat="false" ht="15" hidden="false" customHeight="true" outlineLevel="0" collapsed="false">
      <c r="A410" s="0" t="n">
        <v>83</v>
      </c>
      <c r="B410" s="188" t="n">
        <v>46107.2550075347</v>
      </c>
      <c r="C410" s="188" t="n">
        <v>46107.2591626273</v>
      </c>
      <c r="D410" s="189" t="s">
        <v>799</v>
      </c>
      <c r="E410" s="189" t="s">
        <v>800</v>
      </c>
      <c r="F410" s="189" t="s">
        <v>800</v>
      </c>
      <c r="G410" s="189" t="s">
        <v>801</v>
      </c>
      <c r="H410" s="188" t="n">
        <v>46103</v>
      </c>
      <c r="I410" s="189" t="s">
        <v>113</v>
      </c>
      <c r="J410" s="189" t="s">
        <v>108</v>
      </c>
      <c r="K410" s="189" t="s">
        <v>802</v>
      </c>
      <c r="L410" s="189" t="s">
        <v>210</v>
      </c>
      <c r="M410" s="189" t="s">
        <v>789</v>
      </c>
      <c r="N410" s="189" t="s">
        <v>523</v>
      </c>
      <c r="O410" s="189" t="s">
        <v>172</v>
      </c>
      <c r="P410" s="189" t="s">
        <v>111</v>
      </c>
      <c r="Q410" s="189" t="s">
        <v>112</v>
      </c>
      <c r="R410" s="189" t="s">
        <v>22</v>
      </c>
      <c r="S410" s="189" t="s">
        <v>152</v>
      </c>
      <c r="T410" s="189" t="s">
        <v>496</v>
      </c>
      <c r="U410" s="189" t="s">
        <v>239</v>
      </c>
      <c r="V410" s="189" t="s">
        <v>192</v>
      </c>
      <c r="W410" s="189" t="s">
        <v>124</v>
      </c>
      <c r="X410" s="189" t="s">
        <v>381</v>
      </c>
      <c r="Y410" s="189" t="s">
        <v>3066</v>
      </c>
      <c r="Z410" s="0" t="n">
        <v>2</v>
      </c>
      <c r="AA410" s="189" t="s">
        <v>3250</v>
      </c>
    </row>
    <row r="411" customFormat="false" ht="15" hidden="false" customHeight="true" outlineLevel="0" collapsed="false">
      <c r="A411" s="0" t="n">
        <v>83</v>
      </c>
      <c r="B411" s="188" t="n">
        <v>46107.2550075347</v>
      </c>
      <c r="C411" s="188" t="n">
        <v>46107.2591626273</v>
      </c>
      <c r="D411" s="189" t="s">
        <v>799</v>
      </c>
      <c r="E411" s="189" t="s">
        <v>800</v>
      </c>
      <c r="F411" s="189" t="s">
        <v>800</v>
      </c>
      <c r="G411" s="189" t="s">
        <v>801</v>
      </c>
      <c r="H411" s="188" t="n">
        <v>46103</v>
      </c>
      <c r="I411" s="189" t="s">
        <v>113</v>
      </c>
      <c r="J411" s="189" t="s">
        <v>108</v>
      </c>
      <c r="K411" s="189" t="s">
        <v>802</v>
      </c>
      <c r="L411" s="189" t="s">
        <v>210</v>
      </c>
      <c r="M411" s="189" t="s">
        <v>789</v>
      </c>
      <c r="N411" s="189" t="s">
        <v>523</v>
      </c>
      <c r="O411" s="189" t="s">
        <v>172</v>
      </c>
      <c r="P411" s="189" t="s">
        <v>111</v>
      </c>
      <c r="Q411" s="189" t="s">
        <v>112</v>
      </c>
      <c r="R411" s="189" t="s">
        <v>22</v>
      </c>
      <c r="S411" s="189" t="s">
        <v>152</v>
      </c>
      <c r="T411" s="189" t="s">
        <v>496</v>
      </c>
      <c r="U411" s="189" t="s">
        <v>239</v>
      </c>
      <c r="V411" s="189" t="s">
        <v>192</v>
      </c>
      <c r="W411" s="189" t="s">
        <v>124</v>
      </c>
      <c r="X411" s="189" t="s">
        <v>381</v>
      </c>
      <c r="Y411" s="189" t="s">
        <v>3069</v>
      </c>
      <c r="Z411" s="0" t="n">
        <v>1</v>
      </c>
      <c r="AA411" s="189" t="s">
        <v>3162</v>
      </c>
    </row>
    <row r="412" customFormat="false" ht="15" hidden="false" customHeight="true" outlineLevel="0" collapsed="false">
      <c r="A412" s="0" t="n">
        <v>83</v>
      </c>
      <c r="B412" s="188" t="n">
        <v>46107.2550075347</v>
      </c>
      <c r="C412" s="188" t="n">
        <v>46107.2591626273</v>
      </c>
      <c r="D412" s="189" t="s">
        <v>799</v>
      </c>
      <c r="E412" s="189" t="s">
        <v>800</v>
      </c>
      <c r="F412" s="189" t="s">
        <v>800</v>
      </c>
      <c r="G412" s="189" t="s">
        <v>801</v>
      </c>
      <c r="H412" s="188" t="n">
        <v>46103</v>
      </c>
      <c r="I412" s="189" t="s">
        <v>113</v>
      </c>
      <c r="J412" s="189" t="s">
        <v>108</v>
      </c>
      <c r="K412" s="189" t="s">
        <v>802</v>
      </c>
      <c r="L412" s="189" t="s">
        <v>210</v>
      </c>
      <c r="M412" s="189" t="s">
        <v>789</v>
      </c>
      <c r="N412" s="189" t="s">
        <v>523</v>
      </c>
      <c r="O412" s="189" t="s">
        <v>172</v>
      </c>
      <c r="P412" s="189" t="s">
        <v>111</v>
      </c>
      <c r="Q412" s="189" t="s">
        <v>112</v>
      </c>
      <c r="R412" s="189" t="s">
        <v>22</v>
      </c>
      <c r="S412" s="189" t="s">
        <v>152</v>
      </c>
      <c r="T412" s="189" t="s">
        <v>496</v>
      </c>
      <c r="U412" s="189" t="s">
        <v>239</v>
      </c>
      <c r="V412" s="189" t="s">
        <v>192</v>
      </c>
      <c r="W412" s="189" t="s">
        <v>124</v>
      </c>
      <c r="X412" s="189" t="s">
        <v>381</v>
      </c>
      <c r="Y412" s="189" t="s">
        <v>3069</v>
      </c>
      <c r="Z412" s="0" t="n">
        <v>2</v>
      </c>
      <c r="AA412" s="189" t="s">
        <v>3234</v>
      </c>
    </row>
    <row r="413" customFormat="false" ht="15" hidden="false" customHeight="true" outlineLevel="0" collapsed="false">
      <c r="A413" s="0" t="n">
        <v>84</v>
      </c>
      <c r="B413" s="188" t="n">
        <v>46157.4329602601</v>
      </c>
      <c r="C413" s="188" t="n">
        <v>46157.4383074823</v>
      </c>
      <c r="D413" s="189" t="s">
        <v>806</v>
      </c>
      <c r="E413" s="189" t="s">
        <v>807</v>
      </c>
      <c r="F413" s="189" t="s">
        <v>807</v>
      </c>
      <c r="G413" s="189" t="s">
        <v>808</v>
      </c>
      <c r="H413" s="188" t="n">
        <v>46150</v>
      </c>
      <c r="I413" s="189" t="s">
        <v>113</v>
      </c>
      <c r="J413" s="189" t="s">
        <v>108</v>
      </c>
      <c r="K413" s="189" t="s">
        <v>364</v>
      </c>
      <c r="L413" s="189" t="s">
        <v>296</v>
      </c>
      <c r="M413" s="189" t="s">
        <v>809</v>
      </c>
      <c r="N413" s="189" t="s">
        <v>810</v>
      </c>
      <c r="O413" s="189" t="s">
        <v>172</v>
      </c>
      <c r="P413" s="189" t="s">
        <v>111</v>
      </c>
      <c r="Q413" s="189" t="s">
        <v>145</v>
      </c>
      <c r="R413" s="189" t="s">
        <v>22</v>
      </c>
      <c r="S413" s="189" t="s">
        <v>152</v>
      </c>
      <c r="T413" s="189" t="s">
        <v>814</v>
      </c>
      <c r="V413" s="189" t="s">
        <v>167</v>
      </c>
      <c r="W413" s="189" t="s">
        <v>124</v>
      </c>
      <c r="X413" s="189" t="s">
        <v>715</v>
      </c>
      <c r="Y413" s="189" t="s">
        <v>3064</v>
      </c>
      <c r="Z413" s="0" t="n">
        <v>1</v>
      </c>
      <c r="AA413" s="189" t="s">
        <v>3251</v>
      </c>
    </row>
    <row r="414" customFormat="false" ht="15" hidden="false" customHeight="true" outlineLevel="0" collapsed="false">
      <c r="A414" s="0" t="n">
        <v>84</v>
      </c>
      <c r="B414" s="188" t="n">
        <v>46157.4329602601</v>
      </c>
      <c r="C414" s="188" t="n">
        <v>46157.4383074823</v>
      </c>
      <c r="D414" s="189" t="s">
        <v>806</v>
      </c>
      <c r="E414" s="189" t="s">
        <v>807</v>
      </c>
      <c r="F414" s="189" t="s">
        <v>807</v>
      </c>
      <c r="G414" s="189" t="s">
        <v>808</v>
      </c>
      <c r="H414" s="188" t="n">
        <v>46150</v>
      </c>
      <c r="I414" s="189" t="s">
        <v>113</v>
      </c>
      <c r="J414" s="189" t="s">
        <v>108</v>
      </c>
      <c r="K414" s="189" t="s">
        <v>364</v>
      </c>
      <c r="L414" s="189" t="s">
        <v>296</v>
      </c>
      <c r="M414" s="189" t="s">
        <v>809</v>
      </c>
      <c r="N414" s="189" t="s">
        <v>810</v>
      </c>
      <c r="O414" s="189" t="s">
        <v>172</v>
      </c>
      <c r="P414" s="189" t="s">
        <v>111</v>
      </c>
      <c r="Q414" s="189" t="s">
        <v>145</v>
      </c>
      <c r="R414" s="189" t="s">
        <v>22</v>
      </c>
      <c r="S414" s="189" t="s">
        <v>152</v>
      </c>
      <c r="T414" s="189" t="s">
        <v>814</v>
      </c>
      <c r="V414" s="189" t="s">
        <v>167</v>
      </c>
      <c r="W414" s="189" t="s">
        <v>124</v>
      </c>
      <c r="X414" s="189" t="s">
        <v>715</v>
      </c>
      <c r="Y414" s="189" t="s">
        <v>3064</v>
      </c>
      <c r="Z414" s="0" t="n">
        <v>2</v>
      </c>
      <c r="AA414" s="189" t="s">
        <v>3252</v>
      </c>
    </row>
    <row r="415" customFormat="false" ht="15" hidden="false" customHeight="true" outlineLevel="0" collapsed="false">
      <c r="A415" s="0" t="n">
        <v>84</v>
      </c>
      <c r="B415" s="188" t="n">
        <v>46157.4329602601</v>
      </c>
      <c r="C415" s="188" t="n">
        <v>46157.4383074823</v>
      </c>
      <c r="D415" s="189" t="s">
        <v>806</v>
      </c>
      <c r="E415" s="189" t="s">
        <v>807</v>
      </c>
      <c r="F415" s="189" t="s">
        <v>807</v>
      </c>
      <c r="G415" s="189" t="s">
        <v>808</v>
      </c>
      <c r="H415" s="188" t="n">
        <v>46150</v>
      </c>
      <c r="I415" s="189" t="s">
        <v>113</v>
      </c>
      <c r="J415" s="189" t="s">
        <v>108</v>
      </c>
      <c r="K415" s="189" t="s">
        <v>364</v>
      </c>
      <c r="L415" s="189" t="s">
        <v>296</v>
      </c>
      <c r="M415" s="189" t="s">
        <v>809</v>
      </c>
      <c r="N415" s="189" t="s">
        <v>810</v>
      </c>
      <c r="O415" s="189" t="s">
        <v>172</v>
      </c>
      <c r="P415" s="189" t="s">
        <v>111</v>
      </c>
      <c r="Q415" s="189" t="s">
        <v>145</v>
      </c>
      <c r="R415" s="189" t="s">
        <v>22</v>
      </c>
      <c r="S415" s="189" t="s">
        <v>152</v>
      </c>
      <c r="T415" s="189" t="s">
        <v>814</v>
      </c>
      <c r="V415" s="189" t="s">
        <v>167</v>
      </c>
      <c r="W415" s="189" t="s">
        <v>124</v>
      </c>
      <c r="X415" s="189" t="s">
        <v>715</v>
      </c>
      <c r="Y415" s="189" t="s">
        <v>3064</v>
      </c>
      <c r="Z415" s="0" t="n">
        <v>3</v>
      </c>
      <c r="AA415" s="189" t="s">
        <v>3224</v>
      </c>
    </row>
    <row r="416" customFormat="false" ht="15" hidden="false" customHeight="true" outlineLevel="0" collapsed="false">
      <c r="A416" s="0" t="n">
        <v>84</v>
      </c>
      <c r="B416" s="188" t="n">
        <v>46157.4329602601</v>
      </c>
      <c r="C416" s="188" t="n">
        <v>46157.4383074823</v>
      </c>
      <c r="D416" s="189" t="s">
        <v>806</v>
      </c>
      <c r="E416" s="189" t="s">
        <v>807</v>
      </c>
      <c r="F416" s="189" t="s">
        <v>807</v>
      </c>
      <c r="G416" s="189" t="s">
        <v>808</v>
      </c>
      <c r="H416" s="188" t="n">
        <v>46150</v>
      </c>
      <c r="I416" s="189" t="s">
        <v>113</v>
      </c>
      <c r="J416" s="189" t="s">
        <v>108</v>
      </c>
      <c r="K416" s="189" t="s">
        <v>364</v>
      </c>
      <c r="L416" s="189" t="s">
        <v>296</v>
      </c>
      <c r="M416" s="189" t="s">
        <v>809</v>
      </c>
      <c r="N416" s="189" t="s">
        <v>810</v>
      </c>
      <c r="O416" s="189" t="s">
        <v>172</v>
      </c>
      <c r="P416" s="189" t="s">
        <v>111</v>
      </c>
      <c r="Q416" s="189" t="s">
        <v>145</v>
      </c>
      <c r="R416" s="189" t="s">
        <v>22</v>
      </c>
      <c r="S416" s="189" t="s">
        <v>152</v>
      </c>
      <c r="T416" s="189" t="s">
        <v>814</v>
      </c>
      <c r="V416" s="189" t="s">
        <v>167</v>
      </c>
      <c r="W416" s="189" t="s">
        <v>124</v>
      </c>
      <c r="X416" s="189" t="s">
        <v>715</v>
      </c>
      <c r="Y416" s="189" t="s">
        <v>3066</v>
      </c>
      <c r="Z416" s="0" t="n">
        <v>1</v>
      </c>
      <c r="AA416" s="189" t="s">
        <v>2531</v>
      </c>
    </row>
    <row r="417" customFormat="false" ht="15" hidden="false" customHeight="true" outlineLevel="0" collapsed="false">
      <c r="A417" s="0" t="n">
        <v>84</v>
      </c>
      <c r="B417" s="188" t="n">
        <v>46157.4329602601</v>
      </c>
      <c r="C417" s="188" t="n">
        <v>46157.4383074823</v>
      </c>
      <c r="D417" s="189" t="s">
        <v>806</v>
      </c>
      <c r="E417" s="189" t="s">
        <v>807</v>
      </c>
      <c r="F417" s="189" t="s">
        <v>807</v>
      </c>
      <c r="G417" s="189" t="s">
        <v>808</v>
      </c>
      <c r="H417" s="188" t="n">
        <v>46150</v>
      </c>
      <c r="I417" s="189" t="s">
        <v>113</v>
      </c>
      <c r="J417" s="189" t="s">
        <v>108</v>
      </c>
      <c r="K417" s="189" t="s">
        <v>364</v>
      </c>
      <c r="L417" s="189" t="s">
        <v>296</v>
      </c>
      <c r="M417" s="189" t="s">
        <v>809</v>
      </c>
      <c r="N417" s="189" t="s">
        <v>810</v>
      </c>
      <c r="O417" s="189" t="s">
        <v>172</v>
      </c>
      <c r="P417" s="189" t="s">
        <v>111</v>
      </c>
      <c r="Q417" s="189" t="s">
        <v>145</v>
      </c>
      <c r="R417" s="189" t="s">
        <v>22</v>
      </c>
      <c r="S417" s="189" t="s">
        <v>152</v>
      </c>
      <c r="T417" s="189" t="s">
        <v>814</v>
      </c>
      <c r="V417" s="189" t="s">
        <v>167</v>
      </c>
      <c r="W417" s="189" t="s">
        <v>124</v>
      </c>
      <c r="X417" s="189" t="s">
        <v>715</v>
      </c>
      <c r="Y417" s="189" t="s">
        <v>3066</v>
      </c>
      <c r="Z417" s="0" t="n">
        <v>2</v>
      </c>
      <c r="AA417" s="189" t="s">
        <v>3231</v>
      </c>
    </row>
    <row r="418" customFormat="false" ht="15" hidden="false" customHeight="true" outlineLevel="0" collapsed="false">
      <c r="A418" s="0" t="n">
        <v>84</v>
      </c>
      <c r="B418" s="188" t="n">
        <v>46157.4329602601</v>
      </c>
      <c r="C418" s="188" t="n">
        <v>46157.4383074823</v>
      </c>
      <c r="D418" s="189" t="s">
        <v>806</v>
      </c>
      <c r="E418" s="189" t="s">
        <v>807</v>
      </c>
      <c r="F418" s="189" t="s">
        <v>807</v>
      </c>
      <c r="G418" s="189" t="s">
        <v>808</v>
      </c>
      <c r="H418" s="188" t="n">
        <v>46150</v>
      </c>
      <c r="I418" s="189" t="s">
        <v>113</v>
      </c>
      <c r="J418" s="189" t="s">
        <v>108</v>
      </c>
      <c r="K418" s="189" t="s">
        <v>364</v>
      </c>
      <c r="L418" s="189" t="s">
        <v>296</v>
      </c>
      <c r="M418" s="189" t="s">
        <v>809</v>
      </c>
      <c r="N418" s="189" t="s">
        <v>810</v>
      </c>
      <c r="O418" s="189" t="s">
        <v>172</v>
      </c>
      <c r="P418" s="189" t="s">
        <v>111</v>
      </c>
      <c r="Q418" s="189" t="s">
        <v>145</v>
      </c>
      <c r="R418" s="189" t="s">
        <v>22</v>
      </c>
      <c r="S418" s="189" t="s">
        <v>152</v>
      </c>
      <c r="T418" s="189" t="s">
        <v>814</v>
      </c>
      <c r="V418" s="189" t="s">
        <v>167</v>
      </c>
      <c r="W418" s="189" t="s">
        <v>124</v>
      </c>
      <c r="X418" s="189" t="s">
        <v>715</v>
      </c>
      <c r="Y418" s="189" t="s">
        <v>3069</v>
      </c>
      <c r="Z418" s="0" t="n">
        <v>1</v>
      </c>
      <c r="AA418" s="189" t="s">
        <v>3253</v>
      </c>
    </row>
    <row r="419" customFormat="false" ht="15" hidden="false" customHeight="true" outlineLevel="0" collapsed="false">
      <c r="A419" s="0" t="n">
        <v>84</v>
      </c>
      <c r="B419" s="188" t="n">
        <v>46157.4329602601</v>
      </c>
      <c r="C419" s="188" t="n">
        <v>46157.4383074823</v>
      </c>
      <c r="D419" s="189" t="s">
        <v>806</v>
      </c>
      <c r="E419" s="189" t="s">
        <v>807</v>
      </c>
      <c r="F419" s="189" t="s">
        <v>807</v>
      </c>
      <c r="G419" s="189" t="s">
        <v>808</v>
      </c>
      <c r="H419" s="188" t="n">
        <v>46150</v>
      </c>
      <c r="I419" s="189" t="s">
        <v>113</v>
      </c>
      <c r="J419" s="189" t="s">
        <v>108</v>
      </c>
      <c r="K419" s="189" t="s">
        <v>364</v>
      </c>
      <c r="L419" s="189" t="s">
        <v>296</v>
      </c>
      <c r="M419" s="189" t="s">
        <v>809</v>
      </c>
      <c r="N419" s="189" t="s">
        <v>810</v>
      </c>
      <c r="O419" s="189" t="s">
        <v>172</v>
      </c>
      <c r="P419" s="189" t="s">
        <v>111</v>
      </c>
      <c r="Q419" s="189" t="s">
        <v>145</v>
      </c>
      <c r="R419" s="189" t="s">
        <v>22</v>
      </c>
      <c r="S419" s="189" t="s">
        <v>152</v>
      </c>
      <c r="T419" s="189" t="s">
        <v>814</v>
      </c>
      <c r="V419" s="189" t="s">
        <v>167</v>
      </c>
      <c r="W419" s="189" t="s">
        <v>124</v>
      </c>
      <c r="X419" s="189" t="s">
        <v>715</v>
      </c>
      <c r="Y419" s="189" t="s">
        <v>3069</v>
      </c>
      <c r="Z419" s="0" t="n">
        <v>2</v>
      </c>
      <c r="AA419" s="189" t="s">
        <v>3228</v>
      </c>
    </row>
    <row r="420" customFormat="false" ht="15" hidden="false" customHeight="true" outlineLevel="0" collapsed="false">
      <c r="A420" s="0" t="n">
        <v>85</v>
      </c>
      <c r="B420" s="188" t="n">
        <v>46133.8183890304</v>
      </c>
      <c r="C420" s="188" t="n">
        <v>46133.8361089378</v>
      </c>
      <c r="D420" s="189" t="s">
        <v>815</v>
      </c>
      <c r="E420" s="189" t="s">
        <v>816</v>
      </c>
      <c r="F420" s="189" t="s">
        <v>816</v>
      </c>
      <c r="G420" s="189" t="s">
        <v>817</v>
      </c>
      <c r="H420" s="188" t="n">
        <v>46114</v>
      </c>
      <c r="I420" s="189" t="s">
        <v>113</v>
      </c>
      <c r="J420" s="189" t="s">
        <v>108</v>
      </c>
      <c r="K420" s="189" t="s">
        <v>818</v>
      </c>
      <c r="L420" s="189" t="s">
        <v>286</v>
      </c>
      <c r="M420" s="189" t="s">
        <v>578</v>
      </c>
      <c r="N420" s="189" t="s">
        <v>819</v>
      </c>
      <c r="O420" s="189" t="s">
        <v>244</v>
      </c>
      <c r="P420" s="189" t="s">
        <v>131</v>
      </c>
      <c r="Q420" s="189" t="s">
        <v>145</v>
      </c>
      <c r="R420" s="189" t="s">
        <v>22</v>
      </c>
      <c r="S420" s="189" t="s">
        <v>227</v>
      </c>
      <c r="T420" s="189" t="s">
        <v>352</v>
      </c>
      <c r="U420" s="189" t="s">
        <v>822</v>
      </c>
      <c r="V420" s="189" t="s">
        <v>167</v>
      </c>
      <c r="W420" s="189" t="s">
        <v>124</v>
      </c>
      <c r="X420" s="189" t="s">
        <v>298</v>
      </c>
      <c r="Y420" s="189" t="s">
        <v>3064</v>
      </c>
      <c r="Z420" s="0" t="n">
        <v>1</v>
      </c>
      <c r="AA420" s="189" t="s">
        <v>3194</v>
      </c>
    </row>
    <row r="421" customFormat="false" ht="15" hidden="false" customHeight="true" outlineLevel="0" collapsed="false">
      <c r="A421" s="0" t="n">
        <v>85</v>
      </c>
      <c r="B421" s="188" t="n">
        <v>46133.8183890304</v>
      </c>
      <c r="C421" s="188" t="n">
        <v>46133.8361089378</v>
      </c>
      <c r="D421" s="189" t="s">
        <v>815</v>
      </c>
      <c r="E421" s="189" t="s">
        <v>816</v>
      </c>
      <c r="F421" s="189" t="s">
        <v>816</v>
      </c>
      <c r="G421" s="189" t="s">
        <v>817</v>
      </c>
      <c r="H421" s="188" t="n">
        <v>46114</v>
      </c>
      <c r="I421" s="189" t="s">
        <v>113</v>
      </c>
      <c r="J421" s="189" t="s">
        <v>108</v>
      </c>
      <c r="K421" s="189" t="s">
        <v>818</v>
      </c>
      <c r="L421" s="189" t="s">
        <v>286</v>
      </c>
      <c r="M421" s="189" t="s">
        <v>578</v>
      </c>
      <c r="N421" s="189" t="s">
        <v>819</v>
      </c>
      <c r="O421" s="189" t="s">
        <v>244</v>
      </c>
      <c r="P421" s="189" t="s">
        <v>131</v>
      </c>
      <c r="Q421" s="189" t="s">
        <v>145</v>
      </c>
      <c r="R421" s="189" t="s">
        <v>22</v>
      </c>
      <c r="S421" s="189" t="s">
        <v>227</v>
      </c>
      <c r="T421" s="189" t="s">
        <v>352</v>
      </c>
      <c r="U421" s="189" t="s">
        <v>822</v>
      </c>
      <c r="V421" s="189" t="s">
        <v>167</v>
      </c>
      <c r="W421" s="189" t="s">
        <v>124</v>
      </c>
      <c r="X421" s="189" t="s">
        <v>298</v>
      </c>
      <c r="Y421" s="189" t="s">
        <v>3064</v>
      </c>
      <c r="Z421" s="0" t="n">
        <v>2</v>
      </c>
      <c r="AA421" s="189" t="s">
        <v>3124</v>
      </c>
    </row>
    <row r="422" customFormat="false" ht="15" hidden="false" customHeight="true" outlineLevel="0" collapsed="false">
      <c r="A422" s="0" t="n">
        <v>85</v>
      </c>
      <c r="B422" s="188" t="n">
        <v>46133.8183890304</v>
      </c>
      <c r="C422" s="188" t="n">
        <v>46133.8361089378</v>
      </c>
      <c r="D422" s="189" t="s">
        <v>815</v>
      </c>
      <c r="E422" s="189" t="s">
        <v>816</v>
      </c>
      <c r="F422" s="189" t="s">
        <v>816</v>
      </c>
      <c r="G422" s="189" t="s">
        <v>817</v>
      </c>
      <c r="H422" s="188" t="n">
        <v>46114</v>
      </c>
      <c r="I422" s="189" t="s">
        <v>113</v>
      </c>
      <c r="J422" s="189" t="s">
        <v>108</v>
      </c>
      <c r="K422" s="189" t="s">
        <v>818</v>
      </c>
      <c r="L422" s="189" t="s">
        <v>286</v>
      </c>
      <c r="M422" s="189" t="s">
        <v>578</v>
      </c>
      <c r="N422" s="189" t="s">
        <v>819</v>
      </c>
      <c r="O422" s="189" t="s">
        <v>244</v>
      </c>
      <c r="P422" s="189" t="s">
        <v>131</v>
      </c>
      <c r="Q422" s="189" t="s">
        <v>145</v>
      </c>
      <c r="R422" s="189" t="s">
        <v>22</v>
      </c>
      <c r="S422" s="189" t="s">
        <v>227</v>
      </c>
      <c r="T422" s="189" t="s">
        <v>352</v>
      </c>
      <c r="U422" s="189" t="s">
        <v>822</v>
      </c>
      <c r="V422" s="189" t="s">
        <v>167</v>
      </c>
      <c r="W422" s="189" t="s">
        <v>124</v>
      </c>
      <c r="X422" s="189" t="s">
        <v>298</v>
      </c>
      <c r="Y422" s="189" t="s">
        <v>3066</v>
      </c>
      <c r="Z422" s="0" t="n">
        <v>1</v>
      </c>
      <c r="AA422" s="189" t="s">
        <v>3254</v>
      </c>
    </row>
    <row r="423" customFormat="false" ht="15" hidden="false" customHeight="true" outlineLevel="0" collapsed="false">
      <c r="A423" s="0" t="n">
        <v>85</v>
      </c>
      <c r="B423" s="188" t="n">
        <v>46133.8183890304</v>
      </c>
      <c r="C423" s="188" t="n">
        <v>46133.8361089378</v>
      </c>
      <c r="D423" s="189" t="s">
        <v>815</v>
      </c>
      <c r="E423" s="189" t="s">
        <v>816</v>
      </c>
      <c r="F423" s="189" t="s">
        <v>816</v>
      </c>
      <c r="G423" s="189" t="s">
        <v>817</v>
      </c>
      <c r="H423" s="188" t="n">
        <v>46114</v>
      </c>
      <c r="I423" s="189" t="s">
        <v>113</v>
      </c>
      <c r="J423" s="189" t="s">
        <v>108</v>
      </c>
      <c r="K423" s="189" t="s">
        <v>818</v>
      </c>
      <c r="L423" s="189" t="s">
        <v>286</v>
      </c>
      <c r="M423" s="189" t="s">
        <v>578</v>
      </c>
      <c r="N423" s="189" t="s">
        <v>819</v>
      </c>
      <c r="O423" s="189" t="s">
        <v>244</v>
      </c>
      <c r="P423" s="189" t="s">
        <v>131</v>
      </c>
      <c r="Q423" s="189" t="s">
        <v>145</v>
      </c>
      <c r="R423" s="189" t="s">
        <v>22</v>
      </c>
      <c r="S423" s="189" t="s">
        <v>227</v>
      </c>
      <c r="T423" s="189" t="s">
        <v>352</v>
      </c>
      <c r="U423" s="189" t="s">
        <v>822</v>
      </c>
      <c r="V423" s="189" t="s">
        <v>167</v>
      </c>
      <c r="W423" s="189" t="s">
        <v>124</v>
      </c>
      <c r="X423" s="189" t="s">
        <v>298</v>
      </c>
      <c r="Y423" s="189" t="s">
        <v>3066</v>
      </c>
      <c r="Z423" s="0" t="n">
        <v>2</v>
      </c>
      <c r="AA423" s="189" t="s">
        <v>3126</v>
      </c>
    </row>
    <row r="424" customFormat="false" ht="15" hidden="false" customHeight="true" outlineLevel="0" collapsed="false">
      <c r="A424" s="0" t="n">
        <v>85</v>
      </c>
      <c r="B424" s="188" t="n">
        <v>46133.8183890304</v>
      </c>
      <c r="C424" s="188" t="n">
        <v>46133.8361089378</v>
      </c>
      <c r="D424" s="189" t="s">
        <v>815</v>
      </c>
      <c r="E424" s="189" t="s">
        <v>816</v>
      </c>
      <c r="F424" s="189" t="s">
        <v>816</v>
      </c>
      <c r="G424" s="189" t="s">
        <v>817</v>
      </c>
      <c r="H424" s="188" t="n">
        <v>46114</v>
      </c>
      <c r="I424" s="189" t="s">
        <v>113</v>
      </c>
      <c r="J424" s="189" t="s">
        <v>108</v>
      </c>
      <c r="K424" s="189" t="s">
        <v>818</v>
      </c>
      <c r="L424" s="189" t="s">
        <v>286</v>
      </c>
      <c r="M424" s="189" t="s">
        <v>578</v>
      </c>
      <c r="N424" s="189" t="s">
        <v>819</v>
      </c>
      <c r="O424" s="189" t="s">
        <v>244</v>
      </c>
      <c r="P424" s="189" t="s">
        <v>131</v>
      </c>
      <c r="Q424" s="189" t="s">
        <v>145</v>
      </c>
      <c r="R424" s="189" t="s">
        <v>22</v>
      </c>
      <c r="S424" s="189" t="s">
        <v>227</v>
      </c>
      <c r="T424" s="189" t="s">
        <v>352</v>
      </c>
      <c r="U424" s="189" t="s">
        <v>822</v>
      </c>
      <c r="V424" s="189" t="s">
        <v>167</v>
      </c>
      <c r="W424" s="189" t="s">
        <v>124</v>
      </c>
      <c r="X424" s="189" t="s">
        <v>298</v>
      </c>
      <c r="Y424" s="189" t="s">
        <v>3069</v>
      </c>
      <c r="Z424" s="0" t="n">
        <v>1</v>
      </c>
      <c r="AA424" s="189" t="s">
        <v>3215</v>
      </c>
    </row>
    <row r="425" customFormat="false" ht="15" hidden="false" customHeight="true" outlineLevel="0" collapsed="false">
      <c r="A425" s="0" t="n">
        <v>86</v>
      </c>
      <c r="B425" s="188" t="n">
        <v>46177.2255900801</v>
      </c>
      <c r="C425" s="188" t="n">
        <v>46177.2328354505</v>
      </c>
      <c r="D425" s="189" t="s">
        <v>823</v>
      </c>
      <c r="E425" s="189" t="s">
        <v>824</v>
      </c>
      <c r="F425" s="189" t="s">
        <v>824</v>
      </c>
      <c r="G425" s="189" t="s">
        <v>825</v>
      </c>
      <c r="H425" s="188" t="n">
        <v>46165</v>
      </c>
      <c r="I425" s="189" t="s">
        <v>325</v>
      </c>
      <c r="J425" s="189" t="s">
        <v>108</v>
      </c>
      <c r="K425" s="189" t="s">
        <v>826</v>
      </c>
      <c r="L425" s="189" t="s">
        <v>159</v>
      </c>
      <c r="M425" s="189" t="s">
        <v>326</v>
      </c>
      <c r="N425" s="189" t="s">
        <v>827</v>
      </c>
      <c r="O425" s="189" t="s">
        <v>172</v>
      </c>
      <c r="P425" s="189" t="s">
        <v>111</v>
      </c>
      <c r="Q425" s="189" t="s">
        <v>112</v>
      </c>
      <c r="R425" s="189" t="s">
        <v>22</v>
      </c>
      <c r="S425" s="189" t="s">
        <v>227</v>
      </c>
      <c r="T425" s="189" t="s">
        <v>180</v>
      </c>
      <c r="U425" s="189" t="s">
        <v>831</v>
      </c>
      <c r="V425" s="189" t="s">
        <v>192</v>
      </c>
      <c r="W425" s="189" t="s">
        <v>124</v>
      </c>
      <c r="X425" s="189" t="s">
        <v>715</v>
      </c>
      <c r="Y425" s="189" t="s">
        <v>3064</v>
      </c>
      <c r="Z425" s="0" t="n">
        <v>1</v>
      </c>
      <c r="AA425" s="189" t="s">
        <v>3251</v>
      </c>
    </row>
    <row r="426" customFormat="false" ht="15" hidden="false" customHeight="true" outlineLevel="0" collapsed="false">
      <c r="A426" s="0" t="n">
        <v>86</v>
      </c>
      <c r="B426" s="188" t="n">
        <v>46177.2255900801</v>
      </c>
      <c r="C426" s="188" t="n">
        <v>46177.2328354505</v>
      </c>
      <c r="D426" s="189" t="s">
        <v>823</v>
      </c>
      <c r="E426" s="189" t="s">
        <v>824</v>
      </c>
      <c r="F426" s="189" t="s">
        <v>824</v>
      </c>
      <c r="G426" s="189" t="s">
        <v>825</v>
      </c>
      <c r="H426" s="188" t="n">
        <v>46165</v>
      </c>
      <c r="I426" s="189" t="s">
        <v>325</v>
      </c>
      <c r="J426" s="189" t="s">
        <v>108</v>
      </c>
      <c r="K426" s="189" t="s">
        <v>826</v>
      </c>
      <c r="L426" s="189" t="s">
        <v>159</v>
      </c>
      <c r="M426" s="189" t="s">
        <v>326</v>
      </c>
      <c r="N426" s="189" t="s">
        <v>827</v>
      </c>
      <c r="O426" s="189" t="s">
        <v>172</v>
      </c>
      <c r="P426" s="189" t="s">
        <v>111</v>
      </c>
      <c r="Q426" s="189" t="s">
        <v>112</v>
      </c>
      <c r="R426" s="189" t="s">
        <v>22</v>
      </c>
      <c r="S426" s="189" t="s">
        <v>227</v>
      </c>
      <c r="T426" s="189" t="s">
        <v>180</v>
      </c>
      <c r="U426" s="189" t="s">
        <v>831</v>
      </c>
      <c r="V426" s="189" t="s">
        <v>192</v>
      </c>
      <c r="W426" s="189" t="s">
        <v>124</v>
      </c>
      <c r="X426" s="189" t="s">
        <v>715</v>
      </c>
      <c r="Y426" s="189" t="s">
        <v>3064</v>
      </c>
      <c r="Z426" s="0" t="n">
        <v>2</v>
      </c>
      <c r="AA426" s="189" t="s">
        <v>3225</v>
      </c>
    </row>
    <row r="427" customFormat="false" ht="15" hidden="false" customHeight="true" outlineLevel="0" collapsed="false">
      <c r="A427" s="0" t="n">
        <v>86</v>
      </c>
      <c r="B427" s="188" t="n">
        <v>46177.2255900801</v>
      </c>
      <c r="C427" s="188" t="n">
        <v>46177.2328354505</v>
      </c>
      <c r="D427" s="189" t="s">
        <v>823</v>
      </c>
      <c r="E427" s="189" t="s">
        <v>824</v>
      </c>
      <c r="F427" s="189" t="s">
        <v>824</v>
      </c>
      <c r="G427" s="189" t="s">
        <v>825</v>
      </c>
      <c r="H427" s="188" t="n">
        <v>46165</v>
      </c>
      <c r="I427" s="189" t="s">
        <v>325</v>
      </c>
      <c r="J427" s="189" t="s">
        <v>108</v>
      </c>
      <c r="K427" s="189" t="s">
        <v>826</v>
      </c>
      <c r="L427" s="189" t="s">
        <v>159</v>
      </c>
      <c r="M427" s="189" t="s">
        <v>326</v>
      </c>
      <c r="N427" s="189" t="s">
        <v>827</v>
      </c>
      <c r="O427" s="189" t="s">
        <v>172</v>
      </c>
      <c r="P427" s="189" t="s">
        <v>111</v>
      </c>
      <c r="Q427" s="189" t="s">
        <v>112</v>
      </c>
      <c r="R427" s="189" t="s">
        <v>22</v>
      </c>
      <c r="S427" s="189" t="s">
        <v>227</v>
      </c>
      <c r="T427" s="189" t="s">
        <v>180</v>
      </c>
      <c r="U427" s="189" t="s">
        <v>831</v>
      </c>
      <c r="V427" s="189" t="s">
        <v>192</v>
      </c>
      <c r="W427" s="189" t="s">
        <v>124</v>
      </c>
      <c r="X427" s="189" t="s">
        <v>715</v>
      </c>
      <c r="Y427" s="189" t="s">
        <v>3064</v>
      </c>
      <c r="Z427" s="0" t="n">
        <v>3</v>
      </c>
      <c r="AA427" s="189" t="s">
        <v>3255</v>
      </c>
    </row>
    <row r="428" customFormat="false" ht="15" hidden="false" customHeight="true" outlineLevel="0" collapsed="false">
      <c r="A428" s="0" t="n">
        <v>86</v>
      </c>
      <c r="B428" s="188" t="n">
        <v>46177.2255900801</v>
      </c>
      <c r="C428" s="188" t="n">
        <v>46177.2328354505</v>
      </c>
      <c r="D428" s="189" t="s">
        <v>823</v>
      </c>
      <c r="E428" s="189" t="s">
        <v>824</v>
      </c>
      <c r="F428" s="189" t="s">
        <v>824</v>
      </c>
      <c r="G428" s="189" t="s">
        <v>825</v>
      </c>
      <c r="H428" s="188" t="n">
        <v>46165</v>
      </c>
      <c r="I428" s="189" t="s">
        <v>325</v>
      </c>
      <c r="J428" s="189" t="s">
        <v>108</v>
      </c>
      <c r="K428" s="189" t="s">
        <v>826</v>
      </c>
      <c r="L428" s="189" t="s">
        <v>159</v>
      </c>
      <c r="M428" s="189" t="s">
        <v>326</v>
      </c>
      <c r="N428" s="189" t="s">
        <v>827</v>
      </c>
      <c r="O428" s="189" t="s">
        <v>172</v>
      </c>
      <c r="P428" s="189" t="s">
        <v>111</v>
      </c>
      <c r="Q428" s="189" t="s">
        <v>112</v>
      </c>
      <c r="R428" s="189" t="s">
        <v>22</v>
      </c>
      <c r="S428" s="189" t="s">
        <v>227</v>
      </c>
      <c r="T428" s="189" t="s">
        <v>180</v>
      </c>
      <c r="U428" s="189" t="s">
        <v>831</v>
      </c>
      <c r="V428" s="189" t="s">
        <v>192</v>
      </c>
      <c r="W428" s="189" t="s">
        <v>124</v>
      </c>
      <c r="X428" s="189" t="s">
        <v>715</v>
      </c>
      <c r="Y428" s="189" t="s">
        <v>3066</v>
      </c>
      <c r="Z428" s="0" t="n">
        <v>1</v>
      </c>
      <c r="AA428" s="189" t="s">
        <v>2531</v>
      </c>
    </row>
    <row r="429" customFormat="false" ht="15" hidden="false" customHeight="true" outlineLevel="0" collapsed="false">
      <c r="A429" s="0" t="n">
        <v>86</v>
      </c>
      <c r="B429" s="188" t="n">
        <v>46177.2255900801</v>
      </c>
      <c r="C429" s="188" t="n">
        <v>46177.2328354505</v>
      </c>
      <c r="D429" s="189" t="s">
        <v>823</v>
      </c>
      <c r="E429" s="189" t="s">
        <v>824</v>
      </c>
      <c r="F429" s="189" t="s">
        <v>824</v>
      </c>
      <c r="G429" s="189" t="s">
        <v>825</v>
      </c>
      <c r="H429" s="188" t="n">
        <v>46165</v>
      </c>
      <c r="I429" s="189" t="s">
        <v>325</v>
      </c>
      <c r="J429" s="189" t="s">
        <v>108</v>
      </c>
      <c r="K429" s="189" t="s">
        <v>826</v>
      </c>
      <c r="L429" s="189" t="s">
        <v>159</v>
      </c>
      <c r="M429" s="189" t="s">
        <v>326</v>
      </c>
      <c r="N429" s="189" t="s">
        <v>827</v>
      </c>
      <c r="O429" s="189" t="s">
        <v>172</v>
      </c>
      <c r="P429" s="189" t="s">
        <v>111</v>
      </c>
      <c r="Q429" s="189" t="s">
        <v>112</v>
      </c>
      <c r="R429" s="189" t="s">
        <v>22</v>
      </c>
      <c r="S429" s="189" t="s">
        <v>227</v>
      </c>
      <c r="T429" s="189" t="s">
        <v>180</v>
      </c>
      <c r="U429" s="189" t="s">
        <v>831</v>
      </c>
      <c r="V429" s="189" t="s">
        <v>192</v>
      </c>
      <c r="W429" s="189" t="s">
        <v>124</v>
      </c>
      <c r="X429" s="189" t="s">
        <v>715</v>
      </c>
      <c r="Y429" s="189" t="s">
        <v>3066</v>
      </c>
      <c r="Z429" s="0" t="n">
        <v>2</v>
      </c>
      <c r="AA429" s="189" t="s">
        <v>3226</v>
      </c>
    </row>
    <row r="430" customFormat="false" ht="15" hidden="false" customHeight="true" outlineLevel="0" collapsed="false">
      <c r="A430" s="0" t="n">
        <v>86</v>
      </c>
      <c r="B430" s="188" t="n">
        <v>46177.2255900801</v>
      </c>
      <c r="C430" s="188" t="n">
        <v>46177.2328354505</v>
      </c>
      <c r="D430" s="189" t="s">
        <v>823</v>
      </c>
      <c r="E430" s="189" t="s">
        <v>824</v>
      </c>
      <c r="F430" s="189" t="s">
        <v>824</v>
      </c>
      <c r="G430" s="189" t="s">
        <v>825</v>
      </c>
      <c r="H430" s="188" t="n">
        <v>46165</v>
      </c>
      <c r="I430" s="189" t="s">
        <v>325</v>
      </c>
      <c r="J430" s="189" t="s">
        <v>108</v>
      </c>
      <c r="K430" s="189" t="s">
        <v>826</v>
      </c>
      <c r="L430" s="189" t="s">
        <v>159</v>
      </c>
      <c r="M430" s="189" t="s">
        <v>326</v>
      </c>
      <c r="N430" s="189" t="s">
        <v>827</v>
      </c>
      <c r="O430" s="189" t="s">
        <v>172</v>
      </c>
      <c r="P430" s="189" t="s">
        <v>111</v>
      </c>
      <c r="Q430" s="189" t="s">
        <v>112</v>
      </c>
      <c r="R430" s="189" t="s">
        <v>22</v>
      </c>
      <c r="S430" s="189" t="s">
        <v>227</v>
      </c>
      <c r="T430" s="189" t="s">
        <v>180</v>
      </c>
      <c r="U430" s="189" t="s">
        <v>831</v>
      </c>
      <c r="V430" s="189" t="s">
        <v>192</v>
      </c>
      <c r="W430" s="189" t="s">
        <v>124</v>
      </c>
      <c r="X430" s="189" t="s">
        <v>715</v>
      </c>
      <c r="Y430" s="189" t="s">
        <v>3069</v>
      </c>
      <c r="Z430" s="0" t="n">
        <v>1</v>
      </c>
      <c r="AA430" s="189" t="s">
        <v>3256</v>
      </c>
    </row>
    <row r="431" customFormat="false" ht="15" hidden="false" customHeight="true" outlineLevel="0" collapsed="false">
      <c r="A431" s="0" t="n">
        <v>87</v>
      </c>
      <c r="B431" s="188" t="n">
        <v>46127.1083667984</v>
      </c>
      <c r="C431" s="188" t="n">
        <v>46127.1164686503</v>
      </c>
      <c r="D431" s="189" t="s">
        <v>832</v>
      </c>
      <c r="E431" s="189" t="s">
        <v>833</v>
      </c>
      <c r="F431" s="189" t="s">
        <v>833</v>
      </c>
      <c r="G431" s="189" t="s">
        <v>834</v>
      </c>
      <c r="H431" s="188" t="n">
        <v>46123</v>
      </c>
      <c r="I431" s="189" t="s">
        <v>113</v>
      </c>
      <c r="J431" s="189" t="s">
        <v>108</v>
      </c>
      <c r="K431" s="189" t="s">
        <v>173</v>
      </c>
      <c r="L431" s="189" t="s">
        <v>197</v>
      </c>
      <c r="M431" s="189" t="s">
        <v>566</v>
      </c>
      <c r="N431" s="189" t="s">
        <v>259</v>
      </c>
      <c r="O431" s="189" t="s">
        <v>244</v>
      </c>
      <c r="P431" s="189" t="s">
        <v>111</v>
      </c>
      <c r="Q431" s="189" t="s">
        <v>145</v>
      </c>
      <c r="R431" s="189" t="s">
        <v>22</v>
      </c>
      <c r="S431" s="189" t="s">
        <v>152</v>
      </c>
      <c r="T431" s="189" t="s">
        <v>121</v>
      </c>
      <c r="U431" s="189" t="s">
        <v>321</v>
      </c>
      <c r="V431" s="189" t="s">
        <v>123</v>
      </c>
      <c r="W431" s="189" t="s">
        <v>124</v>
      </c>
      <c r="X431" s="189" t="s">
        <v>135</v>
      </c>
      <c r="Y431" s="189" t="s">
        <v>3064</v>
      </c>
      <c r="Z431" s="0" t="n">
        <v>1</v>
      </c>
      <c r="AA431" s="189" t="s">
        <v>3071</v>
      </c>
    </row>
    <row r="432" customFormat="false" ht="15" hidden="false" customHeight="true" outlineLevel="0" collapsed="false">
      <c r="A432" s="0" t="n">
        <v>87</v>
      </c>
      <c r="B432" s="188" t="n">
        <v>46127.1083667984</v>
      </c>
      <c r="C432" s="188" t="n">
        <v>46127.1164686503</v>
      </c>
      <c r="D432" s="189" t="s">
        <v>832</v>
      </c>
      <c r="E432" s="189" t="s">
        <v>833</v>
      </c>
      <c r="F432" s="189" t="s">
        <v>833</v>
      </c>
      <c r="G432" s="189" t="s">
        <v>834</v>
      </c>
      <c r="H432" s="188" t="n">
        <v>46123</v>
      </c>
      <c r="I432" s="189" t="s">
        <v>113</v>
      </c>
      <c r="J432" s="189" t="s">
        <v>108</v>
      </c>
      <c r="K432" s="189" t="s">
        <v>173</v>
      </c>
      <c r="L432" s="189" t="s">
        <v>197</v>
      </c>
      <c r="M432" s="189" t="s">
        <v>566</v>
      </c>
      <c r="N432" s="189" t="s">
        <v>259</v>
      </c>
      <c r="O432" s="189" t="s">
        <v>244</v>
      </c>
      <c r="P432" s="189" t="s">
        <v>111</v>
      </c>
      <c r="Q432" s="189" t="s">
        <v>145</v>
      </c>
      <c r="R432" s="189" t="s">
        <v>22</v>
      </c>
      <c r="S432" s="189" t="s">
        <v>152</v>
      </c>
      <c r="T432" s="189" t="s">
        <v>121</v>
      </c>
      <c r="U432" s="189" t="s">
        <v>321</v>
      </c>
      <c r="V432" s="189" t="s">
        <v>123</v>
      </c>
      <c r="W432" s="189" t="s">
        <v>124</v>
      </c>
      <c r="X432" s="189" t="s">
        <v>135</v>
      </c>
      <c r="Y432" s="189" t="s">
        <v>3064</v>
      </c>
      <c r="Z432" s="0" t="n">
        <v>2</v>
      </c>
      <c r="AA432" s="189" t="s">
        <v>3202</v>
      </c>
    </row>
    <row r="433" customFormat="false" ht="15" hidden="false" customHeight="true" outlineLevel="0" collapsed="false">
      <c r="A433" s="0" t="n">
        <v>87</v>
      </c>
      <c r="B433" s="188" t="n">
        <v>46127.1083667984</v>
      </c>
      <c r="C433" s="188" t="n">
        <v>46127.1164686503</v>
      </c>
      <c r="D433" s="189" t="s">
        <v>832</v>
      </c>
      <c r="E433" s="189" t="s">
        <v>833</v>
      </c>
      <c r="F433" s="189" t="s">
        <v>833</v>
      </c>
      <c r="G433" s="189" t="s">
        <v>834</v>
      </c>
      <c r="H433" s="188" t="n">
        <v>46123</v>
      </c>
      <c r="I433" s="189" t="s">
        <v>113</v>
      </c>
      <c r="J433" s="189" t="s">
        <v>108</v>
      </c>
      <c r="K433" s="189" t="s">
        <v>173</v>
      </c>
      <c r="L433" s="189" t="s">
        <v>197</v>
      </c>
      <c r="M433" s="189" t="s">
        <v>566</v>
      </c>
      <c r="N433" s="189" t="s">
        <v>259</v>
      </c>
      <c r="O433" s="189" t="s">
        <v>244</v>
      </c>
      <c r="P433" s="189" t="s">
        <v>111</v>
      </c>
      <c r="Q433" s="189" t="s">
        <v>145</v>
      </c>
      <c r="R433" s="189" t="s">
        <v>22</v>
      </c>
      <c r="S433" s="189" t="s">
        <v>152</v>
      </c>
      <c r="T433" s="189" t="s">
        <v>121</v>
      </c>
      <c r="U433" s="189" t="s">
        <v>321</v>
      </c>
      <c r="V433" s="189" t="s">
        <v>123</v>
      </c>
      <c r="W433" s="189" t="s">
        <v>124</v>
      </c>
      <c r="X433" s="189" t="s">
        <v>135</v>
      </c>
      <c r="Y433" s="189" t="s">
        <v>3066</v>
      </c>
      <c r="Z433" s="0" t="n">
        <v>1</v>
      </c>
      <c r="AA433" s="189" t="s">
        <v>3192</v>
      </c>
    </row>
    <row r="434" customFormat="false" ht="15" hidden="false" customHeight="true" outlineLevel="0" collapsed="false">
      <c r="A434" s="0" t="n">
        <v>87</v>
      </c>
      <c r="B434" s="188" t="n">
        <v>46127.1083667984</v>
      </c>
      <c r="C434" s="188" t="n">
        <v>46127.1164686503</v>
      </c>
      <c r="D434" s="189" t="s">
        <v>832</v>
      </c>
      <c r="E434" s="189" t="s">
        <v>833</v>
      </c>
      <c r="F434" s="189" t="s">
        <v>833</v>
      </c>
      <c r="G434" s="189" t="s">
        <v>834</v>
      </c>
      <c r="H434" s="188" t="n">
        <v>46123</v>
      </c>
      <c r="I434" s="189" t="s">
        <v>113</v>
      </c>
      <c r="J434" s="189" t="s">
        <v>108</v>
      </c>
      <c r="K434" s="189" t="s">
        <v>173</v>
      </c>
      <c r="L434" s="189" t="s">
        <v>197</v>
      </c>
      <c r="M434" s="189" t="s">
        <v>566</v>
      </c>
      <c r="N434" s="189" t="s">
        <v>259</v>
      </c>
      <c r="O434" s="189" t="s">
        <v>244</v>
      </c>
      <c r="P434" s="189" t="s">
        <v>111</v>
      </c>
      <c r="Q434" s="189" t="s">
        <v>145</v>
      </c>
      <c r="R434" s="189" t="s">
        <v>22</v>
      </c>
      <c r="S434" s="189" t="s">
        <v>152</v>
      </c>
      <c r="T434" s="189" t="s">
        <v>121</v>
      </c>
      <c r="U434" s="189" t="s">
        <v>321</v>
      </c>
      <c r="V434" s="189" t="s">
        <v>123</v>
      </c>
      <c r="W434" s="189" t="s">
        <v>124</v>
      </c>
      <c r="X434" s="189" t="s">
        <v>135</v>
      </c>
      <c r="Y434" s="189" t="s">
        <v>3066</v>
      </c>
      <c r="Z434" s="0" t="n">
        <v>2</v>
      </c>
      <c r="AA434" s="189" t="s">
        <v>3184</v>
      </c>
    </row>
    <row r="435" customFormat="false" ht="15" hidden="false" customHeight="true" outlineLevel="0" collapsed="false">
      <c r="A435" s="0" t="n">
        <v>87</v>
      </c>
      <c r="B435" s="188" t="n">
        <v>46127.1083667984</v>
      </c>
      <c r="C435" s="188" t="n">
        <v>46127.1164686503</v>
      </c>
      <c r="D435" s="189" t="s">
        <v>832</v>
      </c>
      <c r="E435" s="189" t="s">
        <v>833</v>
      </c>
      <c r="F435" s="189" t="s">
        <v>833</v>
      </c>
      <c r="G435" s="189" t="s">
        <v>834</v>
      </c>
      <c r="H435" s="188" t="n">
        <v>46123</v>
      </c>
      <c r="I435" s="189" t="s">
        <v>113</v>
      </c>
      <c r="J435" s="189" t="s">
        <v>108</v>
      </c>
      <c r="K435" s="189" t="s">
        <v>173</v>
      </c>
      <c r="L435" s="189" t="s">
        <v>197</v>
      </c>
      <c r="M435" s="189" t="s">
        <v>566</v>
      </c>
      <c r="N435" s="189" t="s">
        <v>259</v>
      </c>
      <c r="O435" s="189" t="s">
        <v>244</v>
      </c>
      <c r="P435" s="189" t="s">
        <v>111</v>
      </c>
      <c r="Q435" s="189" t="s">
        <v>145</v>
      </c>
      <c r="R435" s="189" t="s">
        <v>22</v>
      </c>
      <c r="S435" s="189" t="s">
        <v>152</v>
      </c>
      <c r="T435" s="189" t="s">
        <v>121</v>
      </c>
      <c r="U435" s="189" t="s">
        <v>321</v>
      </c>
      <c r="V435" s="189" t="s">
        <v>123</v>
      </c>
      <c r="W435" s="189" t="s">
        <v>124</v>
      </c>
      <c r="X435" s="189" t="s">
        <v>135</v>
      </c>
      <c r="Y435" s="189" t="s">
        <v>3069</v>
      </c>
      <c r="Z435" s="0" t="n">
        <v>1</v>
      </c>
      <c r="AA435" s="189" t="s">
        <v>3203</v>
      </c>
    </row>
    <row r="436" customFormat="false" ht="15" hidden="false" customHeight="true" outlineLevel="0" collapsed="false">
      <c r="A436" s="0" t="n">
        <v>87</v>
      </c>
      <c r="B436" s="188" t="n">
        <v>46127.1083667984</v>
      </c>
      <c r="C436" s="188" t="n">
        <v>46127.1164686503</v>
      </c>
      <c r="D436" s="189" t="s">
        <v>832</v>
      </c>
      <c r="E436" s="189" t="s">
        <v>833</v>
      </c>
      <c r="F436" s="189" t="s">
        <v>833</v>
      </c>
      <c r="G436" s="189" t="s">
        <v>834</v>
      </c>
      <c r="H436" s="188" t="n">
        <v>46123</v>
      </c>
      <c r="I436" s="189" t="s">
        <v>113</v>
      </c>
      <c r="J436" s="189" t="s">
        <v>108</v>
      </c>
      <c r="K436" s="189" t="s">
        <v>173</v>
      </c>
      <c r="L436" s="189" t="s">
        <v>197</v>
      </c>
      <c r="M436" s="189" t="s">
        <v>566</v>
      </c>
      <c r="N436" s="189" t="s">
        <v>259</v>
      </c>
      <c r="O436" s="189" t="s">
        <v>244</v>
      </c>
      <c r="P436" s="189" t="s">
        <v>111</v>
      </c>
      <c r="Q436" s="189" t="s">
        <v>145</v>
      </c>
      <c r="R436" s="189" t="s">
        <v>22</v>
      </c>
      <c r="S436" s="189" t="s">
        <v>152</v>
      </c>
      <c r="T436" s="189" t="s">
        <v>121</v>
      </c>
      <c r="U436" s="189" t="s">
        <v>321</v>
      </c>
      <c r="V436" s="189" t="s">
        <v>123</v>
      </c>
      <c r="W436" s="189" t="s">
        <v>124</v>
      </c>
      <c r="X436" s="189" t="s">
        <v>135</v>
      </c>
      <c r="Y436" s="189" t="s">
        <v>3069</v>
      </c>
      <c r="Z436" s="0" t="n">
        <v>2</v>
      </c>
      <c r="AA436" s="189" t="s">
        <v>3257</v>
      </c>
    </row>
    <row r="437" customFormat="false" ht="15" hidden="false" customHeight="true" outlineLevel="0" collapsed="false">
      <c r="A437" s="0" t="n">
        <v>88</v>
      </c>
      <c r="B437" s="188" t="n">
        <v>46127.8891897386</v>
      </c>
      <c r="C437" s="188" t="n">
        <v>46127.9061110349</v>
      </c>
      <c r="D437" s="189" t="s">
        <v>838</v>
      </c>
      <c r="E437" s="189" t="s">
        <v>839</v>
      </c>
      <c r="F437" s="189" t="s">
        <v>839</v>
      </c>
      <c r="G437" s="189" t="s">
        <v>840</v>
      </c>
      <c r="H437" s="188" t="n">
        <v>46127</v>
      </c>
      <c r="I437" s="189" t="s">
        <v>113</v>
      </c>
      <c r="J437" s="189" t="s">
        <v>108</v>
      </c>
      <c r="K437" s="189" t="s">
        <v>196</v>
      </c>
      <c r="L437" s="189" t="s">
        <v>246</v>
      </c>
      <c r="M437" s="189" t="s">
        <v>406</v>
      </c>
      <c r="N437" s="189" t="s">
        <v>841</v>
      </c>
      <c r="O437" s="189" t="s">
        <v>107</v>
      </c>
      <c r="P437" s="189" t="s">
        <v>111</v>
      </c>
      <c r="Q437" s="189" t="s">
        <v>112</v>
      </c>
      <c r="R437" s="189" t="s">
        <v>22</v>
      </c>
      <c r="S437" s="189" t="s">
        <v>152</v>
      </c>
      <c r="T437" s="189" t="s">
        <v>121</v>
      </c>
      <c r="U437" s="189" t="s">
        <v>122</v>
      </c>
      <c r="V437" s="189" t="s">
        <v>167</v>
      </c>
      <c r="W437" s="189" t="s">
        <v>124</v>
      </c>
      <c r="X437" s="189" t="s">
        <v>381</v>
      </c>
      <c r="Y437" s="189" t="s">
        <v>3064</v>
      </c>
      <c r="Z437" s="0" t="n">
        <v>1</v>
      </c>
      <c r="AA437" s="189" t="s">
        <v>3249</v>
      </c>
    </row>
    <row r="438" customFormat="false" ht="15" hidden="false" customHeight="true" outlineLevel="0" collapsed="false">
      <c r="A438" s="0" t="n">
        <v>88</v>
      </c>
      <c r="B438" s="188" t="n">
        <v>46127.8891897386</v>
      </c>
      <c r="C438" s="188" t="n">
        <v>46127.9061110349</v>
      </c>
      <c r="D438" s="189" t="s">
        <v>838</v>
      </c>
      <c r="E438" s="189" t="s">
        <v>839</v>
      </c>
      <c r="F438" s="189" t="s">
        <v>839</v>
      </c>
      <c r="G438" s="189" t="s">
        <v>840</v>
      </c>
      <c r="H438" s="188" t="n">
        <v>46127</v>
      </c>
      <c r="I438" s="189" t="s">
        <v>113</v>
      </c>
      <c r="J438" s="189" t="s">
        <v>108</v>
      </c>
      <c r="K438" s="189" t="s">
        <v>196</v>
      </c>
      <c r="L438" s="189" t="s">
        <v>246</v>
      </c>
      <c r="M438" s="189" t="s">
        <v>406</v>
      </c>
      <c r="N438" s="189" t="s">
        <v>841</v>
      </c>
      <c r="O438" s="189" t="s">
        <v>107</v>
      </c>
      <c r="P438" s="189" t="s">
        <v>111</v>
      </c>
      <c r="Q438" s="189" t="s">
        <v>112</v>
      </c>
      <c r="R438" s="189" t="s">
        <v>22</v>
      </c>
      <c r="S438" s="189" t="s">
        <v>152</v>
      </c>
      <c r="T438" s="189" t="s">
        <v>121</v>
      </c>
      <c r="U438" s="189" t="s">
        <v>122</v>
      </c>
      <c r="V438" s="189" t="s">
        <v>167</v>
      </c>
      <c r="W438" s="189" t="s">
        <v>124</v>
      </c>
      <c r="X438" s="189" t="s">
        <v>381</v>
      </c>
      <c r="Y438" s="189" t="s">
        <v>3066</v>
      </c>
      <c r="Z438" s="0" t="n">
        <v>1</v>
      </c>
      <c r="AA438" s="189" t="s">
        <v>3250</v>
      </c>
    </row>
    <row r="439" customFormat="false" ht="15" hidden="false" customHeight="true" outlineLevel="0" collapsed="false">
      <c r="A439" s="0" t="n">
        <v>88</v>
      </c>
      <c r="B439" s="188" t="n">
        <v>46127.8891897386</v>
      </c>
      <c r="C439" s="188" t="n">
        <v>46127.9061110349</v>
      </c>
      <c r="D439" s="189" t="s">
        <v>838</v>
      </c>
      <c r="E439" s="189" t="s">
        <v>839</v>
      </c>
      <c r="F439" s="189" t="s">
        <v>839</v>
      </c>
      <c r="G439" s="189" t="s">
        <v>840</v>
      </c>
      <c r="H439" s="188" t="n">
        <v>46127</v>
      </c>
      <c r="I439" s="189" t="s">
        <v>113</v>
      </c>
      <c r="J439" s="189" t="s">
        <v>108</v>
      </c>
      <c r="K439" s="189" t="s">
        <v>196</v>
      </c>
      <c r="L439" s="189" t="s">
        <v>246</v>
      </c>
      <c r="M439" s="189" t="s">
        <v>406</v>
      </c>
      <c r="N439" s="189" t="s">
        <v>841</v>
      </c>
      <c r="O439" s="189" t="s">
        <v>107</v>
      </c>
      <c r="P439" s="189" t="s">
        <v>111</v>
      </c>
      <c r="Q439" s="189" t="s">
        <v>112</v>
      </c>
      <c r="R439" s="189" t="s">
        <v>22</v>
      </c>
      <c r="S439" s="189" t="s">
        <v>152</v>
      </c>
      <c r="T439" s="189" t="s">
        <v>121</v>
      </c>
      <c r="U439" s="189" t="s">
        <v>122</v>
      </c>
      <c r="V439" s="189" t="s">
        <v>167</v>
      </c>
      <c r="W439" s="189" t="s">
        <v>124</v>
      </c>
      <c r="X439" s="189" t="s">
        <v>381</v>
      </c>
      <c r="Y439" s="189" t="s">
        <v>3066</v>
      </c>
      <c r="Z439" s="0" t="n">
        <v>2</v>
      </c>
      <c r="AA439" s="189" t="s">
        <v>3160</v>
      </c>
    </row>
    <row r="440" customFormat="false" ht="15" hidden="false" customHeight="true" outlineLevel="0" collapsed="false">
      <c r="A440" s="0" t="n">
        <v>88</v>
      </c>
      <c r="B440" s="188" t="n">
        <v>46127.8891897386</v>
      </c>
      <c r="C440" s="188" t="n">
        <v>46127.9061110349</v>
      </c>
      <c r="D440" s="189" t="s">
        <v>838</v>
      </c>
      <c r="E440" s="189" t="s">
        <v>839</v>
      </c>
      <c r="F440" s="189" t="s">
        <v>839</v>
      </c>
      <c r="G440" s="189" t="s">
        <v>840</v>
      </c>
      <c r="H440" s="188" t="n">
        <v>46127</v>
      </c>
      <c r="I440" s="189" t="s">
        <v>113</v>
      </c>
      <c r="J440" s="189" t="s">
        <v>108</v>
      </c>
      <c r="K440" s="189" t="s">
        <v>196</v>
      </c>
      <c r="L440" s="189" t="s">
        <v>246</v>
      </c>
      <c r="M440" s="189" t="s">
        <v>406</v>
      </c>
      <c r="N440" s="189" t="s">
        <v>841</v>
      </c>
      <c r="O440" s="189" t="s">
        <v>107</v>
      </c>
      <c r="P440" s="189" t="s">
        <v>111</v>
      </c>
      <c r="Q440" s="189" t="s">
        <v>112</v>
      </c>
      <c r="R440" s="189" t="s">
        <v>22</v>
      </c>
      <c r="S440" s="189" t="s">
        <v>152</v>
      </c>
      <c r="T440" s="189" t="s">
        <v>121</v>
      </c>
      <c r="U440" s="189" t="s">
        <v>122</v>
      </c>
      <c r="V440" s="189" t="s">
        <v>167</v>
      </c>
      <c r="W440" s="189" t="s">
        <v>124</v>
      </c>
      <c r="X440" s="189" t="s">
        <v>381</v>
      </c>
      <c r="Y440" s="189" t="s">
        <v>3069</v>
      </c>
      <c r="Z440" s="0" t="n">
        <v>1</v>
      </c>
      <c r="AA440" s="189" t="s">
        <v>3181</v>
      </c>
    </row>
    <row r="441" customFormat="false" ht="15" hidden="false" customHeight="true" outlineLevel="0" collapsed="false">
      <c r="A441" s="0" t="n">
        <v>89</v>
      </c>
      <c r="B441" s="188" t="n">
        <v>46156.607554679</v>
      </c>
      <c r="C441" s="188" t="n">
        <v>46156.6233995864</v>
      </c>
      <c r="D441" s="189" t="s">
        <v>845</v>
      </c>
      <c r="E441" s="189" t="s">
        <v>846</v>
      </c>
      <c r="F441" s="189" t="s">
        <v>846</v>
      </c>
      <c r="G441" s="189" t="s">
        <v>847</v>
      </c>
      <c r="H441" s="188" t="n">
        <v>46145</v>
      </c>
      <c r="I441" s="189" t="s">
        <v>113</v>
      </c>
      <c r="J441" s="189" t="s">
        <v>108</v>
      </c>
      <c r="K441" s="189" t="s">
        <v>848</v>
      </c>
      <c r="L441" s="189" t="s">
        <v>159</v>
      </c>
      <c r="M441" s="189" t="s">
        <v>439</v>
      </c>
      <c r="N441" s="189" t="s">
        <v>849</v>
      </c>
      <c r="O441" s="189" t="s">
        <v>278</v>
      </c>
      <c r="P441" s="189" t="s">
        <v>111</v>
      </c>
      <c r="Q441" s="189" t="s">
        <v>112</v>
      </c>
      <c r="R441" s="189" t="s">
        <v>22</v>
      </c>
      <c r="S441" s="189" t="s">
        <v>152</v>
      </c>
      <c r="T441" s="189" t="s">
        <v>180</v>
      </c>
      <c r="U441" s="189" t="s">
        <v>853</v>
      </c>
      <c r="V441" s="189" t="s">
        <v>192</v>
      </c>
      <c r="W441" s="189" t="s">
        <v>124</v>
      </c>
      <c r="X441" s="189" t="s">
        <v>148</v>
      </c>
      <c r="Y441" s="189" t="s">
        <v>3064</v>
      </c>
      <c r="Z441" s="0" t="n">
        <v>1</v>
      </c>
      <c r="AA441" s="189" t="s">
        <v>3122</v>
      </c>
    </row>
    <row r="442" customFormat="false" ht="15" hidden="false" customHeight="true" outlineLevel="0" collapsed="false">
      <c r="A442" s="0" t="n">
        <v>89</v>
      </c>
      <c r="B442" s="188" t="n">
        <v>46156.607554679</v>
      </c>
      <c r="C442" s="188" t="n">
        <v>46156.6233995864</v>
      </c>
      <c r="D442" s="189" t="s">
        <v>845</v>
      </c>
      <c r="E442" s="189" t="s">
        <v>846</v>
      </c>
      <c r="F442" s="189" t="s">
        <v>846</v>
      </c>
      <c r="G442" s="189" t="s">
        <v>847</v>
      </c>
      <c r="H442" s="188" t="n">
        <v>46145</v>
      </c>
      <c r="I442" s="189" t="s">
        <v>113</v>
      </c>
      <c r="J442" s="189" t="s">
        <v>108</v>
      </c>
      <c r="K442" s="189" t="s">
        <v>848</v>
      </c>
      <c r="L442" s="189" t="s">
        <v>159</v>
      </c>
      <c r="M442" s="189" t="s">
        <v>439</v>
      </c>
      <c r="N442" s="189" t="s">
        <v>849</v>
      </c>
      <c r="O442" s="189" t="s">
        <v>278</v>
      </c>
      <c r="P442" s="189" t="s">
        <v>111</v>
      </c>
      <c r="Q442" s="189" t="s">
        <v>112</v>
      </c>
      <c r="R442" s="189" t="s">
        <v>22</v>
      </c>
      <c r="S442" s="189" t="s">
        <v>152</v>
      </c>
      <c r="T442" s="189" t="s">
        <v>180</v>
      </c>
      <c r="U442" s="189" t="s">
        <v>853</v>
      </c>
      <c r="V442" s="189" t="s">
        <v>192</v>
      </c>
      <c r="W442" s="189" t="s">
        <v>124</v>
      </c>
      <c r="X442" s="189" t="s">
        <v>148</v>
      </c>
      <c r="Y442" s="189" t="s">
        <v>3064</v>
      </c>
      <c r="Z442" s="0" t="n">
        <v>2</v>
      </c>
      <c r="AA442" s="189" t="s">
        <v>3186</v>
      </c>
    </row>
    <row r="443" customFormat="false" ht="15" hidden="false" customHeight="true" outlineLevel="0" collapsed="false">
      <c r="A443" s="0" t="n">
        <v>89</v>
      </c>
      <c r="B443" s="188" t="n">
        <v>46156.607554679</v>
      </c>
      <c r="C443" s="188" t="n">
        <v>46156.6233995864</v>
      </c>
      <c r="D443" s="189" t="s">
        <v>845</v>
      </c>
      <c r="E443" s="189" t="s">
        <v>846</v>
      </c>
      <c r="F443" s="189" t="s">
        <v>846</v>
      </c>
      <c r="G443" s="189" t="s">
        <v>847</v>
      </c>
      <c r="H443" s="188" t="n">
        <v>46145</v>
      </c>
      <c r="I443" s="189" t="s">
        <v>113</v>
      </c>
      <c r="J443" s="189" t="s">
        <v>108</v>
      </c>
      <c r="K443" s="189" t="s">
        <v>848</v>
      </c>
      <c r="L443" s="189" t="s">
        <v>159</v>
      </c>
      <c r="M443" s="189" t="s">
        <v>439</v>
      </c>
      <c r="N443" s="189" t="s">
        <v>849</v>
      </c>
      <c r="O443" s="189" t="s">
        <v>278</v>
      </c>
      <c r="P443" s="189" t="s">
        <v>111</v>
      </c>
      <c r="Q443" s="189" t="s">
        <v>112</v>
      </c>
      <c r="R443" s="189" t="s">
        <v>22</v>
      </c>
      <c r="S443" s="189" t="s">
        <v>152</v>
      </c>
      <c r="T443" s="189" t="s">
        <v>180</v>
      </c>
      <c r="U443" s="189" t="s">
        <v>853</v>
      </c>
      <c r="V443" s="189" t="s">
        <v>192</v>
      </c>
      <c r="W443" s="189" t="s">
        <v>124</v>
      </c>
      <c r="X443" s="189" t="s">
        <v>148</v>
      </c>
      <c r="Y443" s="189" t="s">
        <v>3064</v>
      </c>
      <c r="Z443" s="0" t="n">
        <v>3</v>
      </c>
      <c r="AA443" s="189" t="s">
        <v>3092</v>
      </c>
    </row>
    <row r="444" customFormat="false" ht="15" hidden="false" customHeight="true" outlineLevel="0" collapsed="false">
      <c r="A444" s="0" t="n">
        <v>89</v>
      </c>
      <c r="B444" s="188" t="n">
        <v>46156.607554679</v>
      </c>
      <c r="C444" s="188" t="n">
        <v>46156.6233995864</v>
      </c>
      <c r="D444" s="189" t="s">
        <v>845</v>
      </c>
      <c r="E444" s="189" t="s">
        <v>846</v>
      </c>
      <c r="F444" s="189" t="s">
        <v>846</v>
      </c>
      <c r="G444" s="189" t="s">
        <v>847</v>
      </c>
      <c r="H444" s="188" t="n">
        <v>46145</v>
      </c>
      <c r="I444" s="189" t="s">
        <v>113</v>
      </c>
      <c r="J444" s="189" t="s">
        <v>108</v>
      </c>
      <c r="K444" s="189" t="s">
        <v>848</v>
      </c>
      <c r="L444" s="189" t="s">
        <v>159</v>
      </c>
      <c r="M444" s="189" t="s">
        <v>439</v>
      </c>
      <c r="N444" s="189" t="s">
        <v>849</v>
      </c>
      <c r="O444" s="189" t="s">
        <v>278</v>
      </c>
      <c r="P444" s="189" t="s">
        <v>111</v>
      </c>
      <c r="Q444" s="189" t="s">
        <v>112</v>
      </c>
      <c r="R444" s="189" t="s">
        <v>22</v>
      </c>
      <c r="S444" s="189" t="s">
        <v>152</v>
      </c>
      <c r="T444" s="189" t="s">
        <v>180</v>
      </c>
      <c r="U444" s="189" t="s">
        <v>853</v>
      </c>
      <c r="V444" s="189" t="s">
        <v>192</v>
      </c>
      <c r="W444" s="189" t="s">
        <v>124</v>
      </c>
      <c r="X444" s="189" t="s">
        <v>148</v>
      </c>
      <c r="Y444" s="189" t="s">
        <v>3066</v>
      </c>
      <c r="Z444" s="0" t="n">
        <v>1</v>
      </c>
      <c r="AA444" s="189" t="s">
        <v>3077</v>
      </c>
    </row>
    <row r="445" customFormat="false" ht="15" hidden="false" customHeight="true" outlineLevel="0" collapsed="false">
      <c r="A445" s="0" t="n">
        <v>89</v>
      </c>
      <c r="B445" s="188" t="n">
        <v>46156.607554679</v>
      </c>
      <c r="C445" s="188" t="n">
        <v>46156.6233995864</v>
      </c>
      <c r="D445" s="189" t="s">
        <v>845</v>
      </c>
      <c r="E445" s="189" t="s">
        <v>846</v>
      </c>
      <c r="F445" s="189" t="s">
        <v>846</v>
      </c>
      <c r="G445" s="189" t="s">
        <v>847</v>
      </c>
      <c r="H445" s="188" t="n">
        <v>46145</v>
      </c>
      <c r="I445" s="189" t="s">
        <v>113</v>
      </c>
      <c r="J445" s="189" t="s">
        <v>108</v>
      </c>
      <c r="K445" s="189" t="s">
        <v>848</v>
      </c>
      <c r="L445" s="189" t="s">
        <v>159</v>
      </c>
      <c r="M445" s="189" t="s">
        <v>439</v>
      </c>
      <c r="N445" s="189" t="s">
        <v>849</v>
      </c>
      <c r="O445" s="189" t="s">
        <v>278</v>
      </c>
      <c r="P445" s="189" t="s">
        <v>111</v>
      </c>
      <c r="Q445" s="189" t="s">
        <v>112</v>
      </c>
      <c r="R445" s="189" t="s">
        <v>22</v>
      </c>
      <c r="S445" s="189" t="s">
        <v>152</v>
      </c>
      <c r="T445" s="189" t="s">
        <v>180</v>
      </c>
      <c r="U445" s="189" t="s">
        <v>853</v>
      </c>
      <c r="V445" s="189" t="s">
        <v>192</v>
      </c>
      <c r="W445" s="189" t="s">
        <v>124</v>
      </c>
      <c r="X445" s="189" t="s">
        <v>148</v>
      </c>
      <c r="Y445" s="189" t="s">
        <v>3066</v>
      </c>
      <c r="Z445" s="0" t="n">
        <v>2</v>
      </c>
      <c r="AA445" s="189" t="s">
        <v>122</v>
      </c>
    </row>
    <row r="446" customFormat="false" ht="15" hidden="false" customHeight="true" outlineLevel="0" collapsed="false">
      <c r="A446" s="0" t="n">
        <v>89</v>
      </c>
      <c r="B446" s="188" t="n">
        <v>46156.607554679</v>
      </c>
      <c r="C446" s="188" t="n">
        <v>46156.6233995864</v>
      </c>
      <c r="D446" s="189" t="s">
        <v>845</v>
      </c>
      <c r="E446" s="189" t="s">
        <v>846</v>
      </c>
      <c r="F446" s="189" t="s">
        <v>846</v>
      </c>
      <c r="G446" s="189" t="s">
        <v>847</v>
      </c>
      <c r="H446" s="188" t="n">
        <v>46145</v>
      </c>
      <c r="I446" s="189" t="s">
        <v>113</v>
      </c>
      <c r="J446" s="189" t="s">
        <v>108</v>
      </c>
      <c r="K446" s="189" t="s">
        <v>848</v>
      </c>
      <c r="L446" s="189" t="s">
        <v>159</v>
      </c>
      <c r="M446" s="189" t="s">
        <v>439</v>
      </c>
      <c r="N446" s="189" t="s">
        <v>849</v>
      </c>
      <c r="O446" s="189" t="s">
        <v>278</v>
      </c>
      <c r="P446" s="189" t="s">
        <v>111</v>
      </c>
      <c r="Q446" s="189" t="s">
        <v>112</v>
      </c>
      <c r="R446" s="189" t="s">
        <v>22</v>
      </c>
      <c r="S446" s="189" t="s">
        <v>152</v>
      </c>
      <c r="T446" s="189" t="s">
        <v>180</v>
      </c>
      <c r="U446" s="189" t="s">
        <v>853</v>
      </c>
      <c r="V446" s="189" t="s">
        <v>192</v>
      </c>
      <c r="W446" s="189" t="s">
        <v>124</v>
      </c>
      <c r="X446" s="189" t="s">
        <v>148</v>
      </c>
      <c r="Y446" s="189" t="s">
        <v>3069</v>
      </c>
      <c r="Z446" s="0" t="n">
        <v>1</v>
      </c>
      <c r="AA446" s="189" t="s">
        <v>3079</v>
      </c>
    </row>
    <row r="447" customFormat="false" ht="15" hidden="false" customHeight="true" outlineLevel="0" collapsed="false">
      <c r="A447" s="0" t="n">
        <v>89</v>
      </c>
      <c r="B447" s="188" t="n">
        <v>46156.607554679</v>
      </c>
      <c r="C447" s="188" t="n">
        <v>46156.6233995864</v>
      </c>
      <c r="D447" s="189" t="s">
        <v>845</v>
      </c>
      <c r="E447" s="189" t="s">
        <v>846</v>
      </c>
      <c r="F447" s="189" t="s">
        <v>846</v>
      </c>
      <c r="G447" s="189" t="s">
        <v>847</v>
      </c>
      <c r="H447" s="188" t="n">
        <v>46145</v>
      </c>
      <c r="I447" s="189" t="s">
        <v>113</v>
      </c>
      <c r="J447" s="189" t="s">
        <v>108</v>
      </c>
      <c r="K447" s="189" t="s">
        <v>848</v>
      </c>
      <c r="L447" s="189" t="s">
        <v>159</v>
      </c>
      <c r="M447" s="189" t="s">
        <v>439</v>
      </c>
      <c r="N447" s="189" t="s">
        <v>849</v>
      </c>
      <c r="O447" s="189" t="s">
        <v>278</v>
      </c>
      <c r="P447" s="189" t="s">
        <v>111</v>
      </c>
      <c r="Q447" s="189" t="s">
        <v>112</v>
      </c>
      <c r="R447" s="189" t="s">
        <v>22</v>
      </c>
      <c r="S447" s="189" t="s">
        <v>152</v>
      </c>
      <c r="T447" s="189" t="s">
        <v>180</v>
      </c>
      <c r="U447" s="189" t="s">
        <v>853</v>
      </c>
      <c r="V447" s="189" t="s">
        <v>192</v>
      </c>
      <c r="W447" s="189" t="s">
        <v>124</v>
      </c>
      <c r="X447" s="189" t="s">
        <v>148</v>
      </c>
      <c r="Y447" s="189" t="s">
        <v>3069</v>
      </c>
      <c r="Z447" s="0" t="n">
        <v>2</v>
      </c>
      <c r="AA447" s="189" t="s">
        <v>3188</v>
      </c>
    </row>
    <row r="448" customFormat="false" ht="15" hidden="false" customHeight="true" outlineLevel="0" collapsed="false">
      <c r="A448" s="0" t="n">
        <v>90</v>
      </c>
      <c r="B448" s="188" t="n">
        <v>46078.4975500341</v>
      </c>
      <c r="C448" s="188" t="n">
        <v>46078.5112074415</v>
      </c>
      <c r="D448" s="189" t="s">
        <v>854</v>
      </c>
      <c r="E448" s="189" t="s">
        <v>855</v>
      </c>
      <c r="F448" s="189" t="s">
        <v>855</v>
      </c>
      <c r="G448" s="189" t="s">
        <v>856</v>
      </c>
      <c r="H448" s="188" t="n">
        <v>46066</v>
      </c>
      <c r="I448" s="189" t="s">
        <v>113</v>
      </c>
      <c r="J448" s="189" t="s">
        <v>108</v>
      </c>
      <c r="K448" s="189" t="s">
        <v>143</v>
      </c>
      <c r="L448" s="189" t="s">
        <v>389</v>
      </c>
      <c r="M448" s="189" t="s">
        <v>365</v>
      </c>
      <c r="N448" s="189" t="s">
        <v>161</v>
      </c>
      <c r="O448" s="189" t="s">
        <v>172</v>
      </c>
      <c r="P448" s="189" t="s">
        <v>111</v>
      </c>
      <c r="Q448" s="189" t="s">
        <v>112</v>
      </c>
      <c r="R448" s="189" t="s">
        <v>24</v>
      </c>
      <c r="S448" s="189" t="s">
        <v>227</v>
      </c>
      <c r="T448" s="189" t="s">
        <v>352</v>
      </c>
      <c r="V448" s="189" t="s">
        <v>123</v>
      </c>
      <c r="W448" s="189" t="s">
        <v>124</v>
      </c>
      <c r="X448" s="189" t="s">
        <v>260</v>
      </c>
      <c r="Y448" s="189" t="s">
        <v>3064</v>
      </c>
      <c r="Z448" s="0" t="n">
        <v>1</v>
      </c>
      <c r="AA448" s="189" t="s">
        <v>122</v>
      </c>
    </row>
    <row r="449" customFormat="false" ht="15" hidden="false" customHeight="true" outlineLevel="0" collapsed="false">
      <c r="A449" s="0" t="n">
        <v>90</v>
      </c>
      <c r="B449" s="188" t="n">
        <v>46078.4975500341</v>
      </c>
      <c r="C449" s="188" t="n">
        <v>46078.5112074415</v>
      </c>
      <c r="D449" s="189" t="s">
        <v>854</v>
      </c>
      <c r="E449" s="189" t="s">
        <v>855</v>
      </c>
      <c r="F449" s="189" t="s">
        <v>855</v>
      </c>
      <c r="G449" s="189" t="s">
        <v>856</v>
      </c>
      <c r="H449" s="188" t="n">
        <v>46066</v>
      </c>
      <c r="I449" s="189" t="s">
        <v>113</v>
      </c>
      <c r="J449" s="189" t="s">
        <v>108</v>
      </c>
      <c r="K449" s="189" t="s">
        <v>143</v>
      </c>
      <c r="L449" s="189" t="s">
        <v>389</v>
      </c>
      <c r="M449" s="189" t="s">
        <v>365</v>
      </c>
      <c r="N449" s="189" t="s">
        <v>161</v>
      </c>
      <c r="O449" s="189" t="s">
        <v>172</v>
      </c>
      <c r="P449" s="189" t="s">
        <v>111</v>
      </c>
      <c r="Q449" s="189" t="s">
        <v>112</v>
      </c>
      <c r="R449" s="189" t="s">
        <v>24</v>
      </c>
      <c r="S449" s="189" t="s">
        <v>227</v>
      </c>
      <c r="T449" s="189" t="s">
        <v>352</v>
      </c>
      <c r="V449" s="189" t="s">
        <v>123</v>
      </c>
      <c r="W449" s="189" t="s">
        <v>124</v>
      </c>
      <c r="X449" s="189" t="s">
        <v>260</v>
      </c>
      <c r="Y449" s="189" t="s">
        <v>3064</v>
      </c>
      <c r="Z449" s="0" t="n">
        <v>2</v>
      </c>
      <c r="AA449" s="189" t="s">
        <v>3258</v>
      </c>
    </row>
    <row r="450" customFormat="false" ht="15" hidden="false" customHeight="true" outlineLevel="0" collapsed="false">
      <c r="A450" s="0" t="n">
        <v>90</v>
      </c>
      <c r="B450" s="188" t="n">
        <v>46078.4975500341</v>
      </c>
      <c r="C450" s="188" t="n">
        <v>46078.5112074415</v>
      </c>
      <c r="D450" s="189" t="s">
        <v>854</v>
      </c>
      <c r="E450" s="189" t="s">
        <v>855</v>
      </c>
      <c r="F450" s="189" t="s">
        <v>855</v>
      </c>
      <c r="G450" s="189" t="s">
        <v>856</v>
      </c>
      <c r="H450" s="188" t="n">
        <v>46066</v>
      </c>
      <c r="I450" s="189" t="s">
        <v>113</v>
      </c>
      <c r="J450" s="189" t="s">
        <v>108</v>
      </c>
      <c r="K450" s="189" t="s">
        <v>143</v>
      </c>
      <c r="L450" s="189" t="s">
        <v>389</v>
      </c>
      <c r="M450" s="189" t="s">
        <v>365</v>
      </c>
      <c r="N450" s="189" t="s">
        <v>161</v>
      </c>
      <c r="O450" s="189" t="s">
        <v>172</v>
      </c>
      <c r="P450" s="189" t="s">
        <v>111</v>
      </c>
      <c r="Q450" s="189" t="s">
        <v>112</v>
      </c>
      <c r="R450" s="189" t="s">
        <v>24</v>
      </c>
      <c r="S450" s="189" t="s">
        <v>227</v>
      </c>
      <c r="T450" s="189" t="s">
        <v>352</v>
      </c>
      <c r="V450" s="189" t="s">
        <v>123</v>
      </c>
      <c r="W450" s="189" t="s">
        <v>124</v>
      </c>
      <c r="X450" s="189" t="s">
        <v>260</v>
      </c>
      <c r="Y450" s="189" t="s">
        <v>3066</v>
      </c>
      <c r="Z450" s="0" t="n">
        <v>1</v>
      </c>
      <c r="AA450" s="189" t="s">
        <v>606</v>
      </c>
    </row>
    <row r="451" customFormat="false" ht="15" hidden="false" customHeight="true" outlineLevel="0" collapsed="false">
      <c r="A451" s="0" t="n">
        <v>90</v>
      </c>
      <c r="B451" s="188" t="n">
        <v>46078.4975500341</v>
      </c>
      <c r="C451" s="188" t="n">
        <v>46078.5112074415</v>
      </c>
      <c r="D451" s="189" t="s">
        <v>854</v>
      </c>
      <c r="E451" s="189" t="s">
        <v>855</v>
      </c>
      <c r="F451" s="189" t="s">
        <v>855</v>
      </c>
      <c r="G451" s="189" t="s">
        <v>856</v>
      </c>
      <c r="H451" s="188" t="n">
        <v>46066</v>
      </c>
      <c r="I451" s="189" t="s">
        <v>113</v>
      </c>
      <c r="J451" s="189" t="s">
        <v>108</v>
      </c>
      <c r="K451" s="189" t="s">
        <v>143</v>
      </c>
      <c r="L451" s="189" t="s">
        <v>389</v>
      </c>
      <c r="M451" s="189" t="s">
        <v>365</v>
      </c>
      <c r="N451" s="189" t="s">
        <v>161</v>
      </c>
      <c r="O451" s="189" t="s">
        <v>172</v>
      </c>
      <c r="P451" s="189" t="s">
        <v>111</v>
      </c>
      <c r="Q451" s="189" t="s">
        <v>112</v>
      </c>
      <c r="R451" s="189" t="s">
        <v>24</v>
      </c>
      <c r="S451" s="189" t="s">
        <v>227</v>
      </c>
      <c r="T451" s="189" t="s">
        <v>352</v>
      </c>
      <c r="V451" s="189" t="s">
        <v>123</v>
      </c>
      <c r="W451" s="189" t="s">
        <v>124</v>
      </c>
      <c r="X451" s="189" t="s">
        <v>260</v>
      </c>
      <c r="Y451" s="189" t="s">
        <v>3066</v>
      </c>
      <c r="Z451" s="0" t="n">
        <v>2</v>
      </c>
      <c r="AA451" s="189" t="s">
        <v>122</v>
      </c>
    </row>
    <row r="452" customFormat="false" ht="15" hidden="false" customHeight="true" outlineLevel="0" collapsed="false">
      <c r="A452" s="0" t="n">
        <v>90</v>
      </c>
      <c r="B452" s="188" t="n">
        <v>46078.4975500341</v>
      </c>
      <c r="C452" s="188" t="n">
        <v>46078.5112074415</v>
      </c>
      <c r="D452" s="189" t="s">
        <v>854</v>
      </c>
      <c r="E452" s="189" t="s">
        <v>855</v>
      </c>
      <c r="F452" s="189" t="s">
        <v>855</v>
      </c>
      <c r="G452" s="189" t="s">
        <v>856</v>
      </c>
      <c r="H452" s="188" t="n">
        <v>46066</v>
      </c>
      <c r="I452" s="189" t="s">
        <v>113</v>
      </c>
      <c r="J452" s="189" t="s">
        <v>108</v>
      </c>
      <c r="K452" s="189" t="s">
        <v>143</v>
      </c>
      <c r="L452" s="189" t="s">
        <v>389</v>
      </c>
      <c r="M452" s="189" t="s">
        <v>365</v>
      </c>
      <c r="N452" s="189" t="s">
        <v>161</v>
      </c>
      <c r="O452" s="189" t="s">
        <v>172</v>
      </c>
      <c r="P452" s="189" t="s">
        <v>111</v>
      </c>
      <c r="Q452" s="189" t="s">
        <v>112</v>
      </c>
      <c r="R452" s="189" t="s">
        <v>24</v>
      </c>
      <c r="S452" s="189" t="s">
        <v>227</v>
      </c>
      <c r="T452" s="189" t="s">
        <v>352</v>
      </c>
      <c r="V452" s="189" t="s">
        <v>123</v>
      </c>
      <c r="W452" s="189" t="s">
        <v>124</v>
      </c>
      <c r="X452" s="189" t="s">
        <v>260</v>
      </c>
      <c r="Y452" s="189" t="s">
        <v>3069</v>
      </c>
      <c r="Z452" s="0" t="n">
        <v>1</v>
      </c>
      <c r="AA452" s="189" t="s">
        <v>3259</v>
      </c>
    </row>
    <row r="453" customFormat="false" ht="15" hidden="false" customHeight="true" outlineLevel="0" collapsed="false">
      <c r="A453" s="0" t="n">
        <v>91</v>
      </c>
      <c r="B453" s="188" t="n">
        <v>46109.4526622162</v>
      </c>
      <c r="C453" s="188" t="n">
        <v>46109.4689469384</v>
      </c>
      <c r="D453" s="189" t="s">
        <v>860</v>
      </c>
      <c r="E453" s="189" t="s">
        <v>861</v>
      </c>
      <c r="F453" s="189" t="s">
        <v>861</v>
      </c>
      <c r="G453" s="189" t="s">
        <v>862</v>
      </c>
      <c r="H453" s="188" t="n">
        <v>46096</v>
      </c>
      <c r="I453" s="189" t="s">
        <v>863</v>
      </c>
      <c r="J453" s="189" t="s">
        <v>108</v>
      </c>
      <c r="K453" s="189" t="s">
        <v>364</v>
      </c>
      <c r="L453" s="189" t="s">
        <v>346</v>
      </c>
      <c r="M453" s="189" t="s">
        <v>864</v>
      </c>
      <c r="N453" s="189" t="s">
        <v>234</v>
      </c>
      <c r="O453" s="189" t="s">
        <v>172</v>
      </c>
      <c r="P453" s="189" t="s">
        <v>111</v>
      </c>
      <c r="Q453" s="189" t="s">
        <v>112</v>
      </c>
      <c r="R453" s="189" t="s">
        <v>22</v>
      </c>
      <c r="S453" s="189" t="s">
        <v>152</v>
      </c>
      <c r="T453" s="189" t="s">
        <v>121</v>
      </c>
      <c r="U453" s="189" t="s">
        <v>122</v>
      </c>
      <c r="V453" s="189" t="s">
        <v>123</v>
      </c>
      <c r="W453" s="189" t="s">
        <v>124</v>
      </c>
      <c r="X453" s="189" t="s">
        <v>339</v>
      </c>
      <c r="Y453" s="189" t="s">
        <v>3064</v>
      </c>
      <c r="Z453" s="0" t="n">
        <v>1</v>
      </c>
      <c r="AA453" s="189" t="s">
        <v>3141</v>
      </c>
    </row>
    <row r="454" customFormat="false" ht="15" hidden="false" customHeight="true" outlineLevel="0" collapsed="false">
      <c r="A454" s="0" t="n">
        <v>91</v>
      </c>
      <c r="B454" s="188" t="n">
        <v>46109.4526622162</v>
      </c>
      <c r="C454" s="188" t="n">
        <v>46109.4689469384</v>
      </c>
      <c r="D454" s="189" t="s">
        <v>860</v>
      </c>
      <c r="E454" s="189" t="s">
        <v>861</v>
      </c>
      <c r="F454" s="189" t="s">
        <v>861</v>
      </c>
      <c r="G454" s="189" t="s">
        <v>862</v>
      </c>
      <c r="H454" s="188" t="n">
        <v>46096</v>
      </c>
      <c r="I454" s="189" t="s">
        <v>863</v>
      </c>
      <c r="J454" s="189" t="s">
        <v>108</v>
      </c>
      <c r="K454" s="189" t="s">
        <v>364</v>
      </c>
      <c r="L454" s="189" t="s">
        <v>346</v>
      </c>
      <c r="M454" s="189" t="s">
        <v>864</v>
      </c>
      <c r="N454" s="189" t="s">
        <v>234</v>
      </c>
      <c r="O454" s="189" t="s">
        <v>172</v>
      </c>
      <c r="P454" s="189" t="s">
        <v>111</v>
      </c>
      <c r="Q454" s="189" t="s">
        <v>112</v>
      </c>
      <c r="R454" s="189" t="s">
        <v>22</v>
      </c>
      <c r="S454" s="189" t="s">
        <v>152</v>
      </c>
      <c r="T454" s="189" t="s">
        <v>121</v>
      </c>
      <c r="U454" s="189" t="s">
        <v>122</v>
      </c>
      <c r="V454" s="189" t="s">
        <v>123</v>
      </c>
      <c r="W454" s="189" t="s">
        <v>124</v>
      </c>
      <c r="X454" s="189" t="s">
        <v>339</v>
      </c>
      <c r="Y454" s="189" t="s">
        <v>3064</v>
      </c>
      <c r="Z454" s="0" t="n">
        <v>2</v>
      </c>
      <c r="AA454" s="189" t="s">
        <v>3216</v>
      </c>
    </row>
    <row r="455" customFormat="false" ht="15" hidden="false" customHeight="true" outlineLevel="0" collapsed="false">
      <c r="A455" s="0" t="n">
        <v>91</v>
      </c>
      <c r="B455" s="188" t="n">
        <v>46109.4526622162</v>
      </c>
      <c r="C455" s="188" t="n">
        <v>46109.4689469384</v>
      </c>
      <c r="D455" s="189" t="s">
        <v>860</v>
      </c>
      <c r="E455" s="189" t="s">
        <v>861</v>
      </c>
      <c r="F455" s="189" t="s">
        <v>861</v>
      </c>
      <c r="G455" s="189" t="s">
        <v>862</v>
      </c>
      <c r="H455" s="188" t="n">
        <v>46096</v>
      </c>
      <c r="I455" s="189" t="s">
        <v>863</v>
      </c>
      <c r="J455" s="189" t="s">
        <v>108</v>
      </c>
      <c r="K455" s="189" t="s">
        <v>364</v>
      </c>
      <c r="L455" s="189" t="s">
        <v>346</v>
      </c>
      <c r="M455" s="189" t="s">
        <v>864</v>
      </c>
      <c r="N455" s="189" t="s">
        <v>234</v>
      </c>
      <c r="O455" s="189" t="s">
        <v>172</v>
      </c>
      <c r="P455" s="189" t="s">
        <v>111</v>
      </c>
      <c r="Q455" s="189" t="s">
        <v>112</v>
      </c>
      <c r="R455" s="189" t="s">
        <v>22</v>
      </c>
      <c r="S455" s="189" t="s">
        <v>152</v>
      </c>
      <c r="T455" s="189" t="s">
        <v>121</v>
      </c>
      <c r="U455" s="189" t="s">
        <v>122</v>
      </c>
      <c r="V455" s="189" t="s">
        <v>123</v>
      </c>
      <c r="W455" s="189" t="s">
        <v>124</v>
      </c>
      <c r="X455" s="189" t="s">
        <v>339</v>
      </c>
      <c r="Y455" s="189" t="s">
        <v>3064</v>
      </c>
      <c r="Z455" s="0" t="n">
        <v>3</v>
      </c>
      <c r="AA455" s="189" t="s">
        <v>3169</v>
      </c>
    </row>
    <row r="456" customFormat="false" ht="15" hidden="false" customHeight="true" outlineLevel="0" collapsed="false">
      <c r="A456" s="0" t="n">
        <v>91</v>
      </c>
      <c r="B456" s="188" t="n">
        <v>46109.4526622162</v>
      </c>
      <c r="C456" s="188" t="n">
        <v>46109.4689469384</v>
      </c>
      <c r="D456" s="189" t="s">
        <v>860</v>
      </c>
      <c r="E456" s="189" t="s">
        <v>861</v>
      </c>
      <c r="F456" s="189" t="s">
        <v>861</v>
      </c>
      <c r="G456" s="189" t="s">
        <v>862</v>
      </c>
      <c r="H456" s="188" t="n">
        <v>46096</v>
      </c>
      <c r="I456" s="189" t="s">
        <v>863</v>
      </c>
      <c r="J456" s="189" t="s">
        <v>108</v>
      </c>
      <c r="K456" s="189" t="s">
        <v>364</v>
      </c>
      <c r="L456" s="189" t="s">
        <v>346</v>
      </c>
      <c r="M456" s="189" t="s">
        <v>864</v>
      </c>
      <c r="N456" s="189" t="s">
        <v>234</v>
      </c>
      <c r="O456" s="189" t="s">
        <v>172</v>
      </c>
      <c r="P456" s="189" t="s">
        <v>111</v>
      </c>
      <c r="Q456" s="189" t="s">
        <v>112</v>
      </c>
      <c r="R456" s="189" t="s">
        <v>22</v>
      </c>
      <c r="S456" s="189" t="s">
        <v>152</v>
      </c>
      <c r="T456" s="189" t="s">
        <v>121</v>
      </c>
      <c r="U456" s="189" t="s">
        <v>122</v>
      </c>
      <c r="V456" s="189" t="s">
        <v>123</v>
      </c>
      <c r="W456" s="189" t="s">
        <v>124</v>
      </c>
      <c r="X456" s="189" t="s">
        <v>339</v>
      </c>
      <c r="Y456" s="189" t="s">
        <v>3066</v>
      </c>
      <c r="Z456" s="0" t="n">
        <v>1</v>
      </c>
      <c r="AA456" s="189" t="s">
        <v>3143</v>
      </c>
    </row>
    <row r="457" customFormat="false" ht="15" hidden="false" customHeight="true" outlineLevel="0" collapsed="false">
      <c r="A457" s="0" t="n">
        <v>91</v>
      </c>
      <c r="B457" s="188" t="n">
        <v>46109.4526622162</v>
      </c>
      <c r="C457" s="188" t="n">
        <v>46109.4689469384</v>
      </c>
      <c r="D457" s="189" t="s">
        <v>860</v>
      </c>
      <c r="E457" s="189" t="s">
        <v>861</v>
      </c>
      <c r="F457" s="189" t="s">
        <v>861</v>
      </c>
      <c r="G457" s="189" t="s">
        <v>862</v>
      </c>
      <c r="H457" s="188" t="n">
        <v>46096</v>
      </c>
      <c r="I457" s="189" t="s">
        <v>863</v>
      </c>
      <c r="J457" s="189" t="s">
        <v>108</v>
      </c>
      <c r="K457" s="189" t="s">
        <v>364</v>
      </c>
      <c r="L457" s="189" t="s">
        <v>346</v>
      </c>
      <c r="M457" s="189" t="s">
        <v>864</v>
      </c>
      <c r="N457" s="189" t="s">
        <v>234</v>
      </c>
      <c r="O457" s="189" t="s">
        <v>172</v>
      </c>
      <c r="P457" s="189" t="s">
        <v>111</v>
      </c>
      <c r="Q457" s="189" t="s">
        <v>112</v>
      </c>
      <c r="R457" s="189" t="s">
        <v>22</v>
      </c>
      <c r="S457" s="189" t="s">
        <v>152</v>
      </c>
      <c r="T457" s="189" t="s">
        <v>121</v>
      </c>
      <c r="U457" s="189" t="s">
        <v>122</v>
      </c>
      <c r="V457" s="189" t="s">
        <v>123</v>
      </c>
      <c r="W457" s="189" t="s">
        <v>124</v>
      </c>
      <c r="X457" s="189" t="s">
        <v>339</v>
      </c>
      <c r="Y457" s="189" t="s">
        <v>3066</v>
      </c>
      <c r="Z457" s="0" t="n">
        <v>2</v>
      </c>
      <c r="AA457" s="189" t="s">
        <v>3260</v>
      </c>
    </row>
    <row r="458" customFormat="false" ht="15" hidden="false" customHeight="true" outlineLevel="0" collapsed="false">
      <c r="A458" s="0" t="n">
        <v>91</v>
      </c>
      <c r="B458" s="188" t="n">
        <v>46109.4526622162</v>
      </c>
      <c r="C458" s="188" t="n">
        <v>46109.4689469384</v>
      </c>
      <c r="D458" s="189" t="s">
        <v>860</v>
      </c>
      <c r="E458" s="189" t="s">
        <v>861</v>
      </c>
      <c r="F458" s="189" t="s">
        <v>861</v>
      </c>
      <c r="G458" s="189" t="s">
        <v>862</v>
      </c>
      <c r="H458" s="188" t="n">
        <v>46096</v>
      </c>
      <c r="I458" s="189" t="s">
        <v>863</v>
      </c>
      <c r="J458" s="189" t="s">
        <v>108</v>
      </c>
      <c r="K458" s="189" t="s">
        <v>364</v>
      </c>
      <c r="L458" s="189" t="s">
        <v>346</v>
      </c>
      <c r="M458" s="189" t="s">
        <v>864</v>
      </c>
      <c r="N458" s="189" t="s">
        <v>234</v>
      </c>
      <c r="O458" s="189" t="s">
        <v>172</v>
      </c>
      <c r="P458" s="189" t="s">
        <v>111</v>
      </c>
      <c r="Q458" s="189" t="s">
        <v>112</v>
      </c>
      <c r="R458" s="189" t="s">
        <v>22</v>
      </c>
      <c r="S458" s="189" t="s">
        <v>152</v>
      </c>
      <c r="T458" s="189" t="s">
        <v>121</v>
      </c>
      <c r="U458" s="189" t="s">
        <v>122</v>
      </c>
      <c r="V458" s="189" t="s">
        <v>123</v>
      </c>
      <c r="W458" s="189" t="s">
        <v>124</v>
      </c>
      <c r="X458" s="189" t="s">
        <v>339</v>
      </c>
      <c r="Y458" s="189" t="s">
        <v>3069</v>
      </c>
      <c r="Z458" s="0" t="n">
        <v>1</v>
      </c>
      <c r="AA458" s="189" t="s">
        <v>3217</v>
      </c>
    </row>
    <row r="459" customFormat="false" ht="15" hidden="false" customHeight="true" outlineLevel="0" collapsed="false">
      <c r="A459" s="0" t="n">
        <v>92</v>
      </c>
      <c r="B459" s="188" t="n">
        <v>46106.7535294211</v>
      </c>
      <c r="C459" s="188" t="n">
        <v>46106.7715386804</v>
      </c>
      <c r="D459" s="189" t="s">
        <v>867</v>
      </c>
      <c r="E459" s="189" t="s">
        <v>868</v>
      </c>
      <c r="F459" s="189" t="s">
        <v>868</v>
      </c>
      <c r="G459" s="189" t="s">
        <v>869</v>
      </c>
      <c r="H459" s="188" t="n">
        <v>46095</v>
      </c>
      <c r="I459" s="189" t="s">
        <v>113</v>
      </c>
      <c r="J459" s="189" t="s">
        <v>295</v>
      </c>
      <c r="K459" s="189" t="s">
        <v>364</v>
      </c>
      <c r="L459" s="189" t="s">
        <v>491</v>
      </c>
      <c r="M459" s="189" t="s">
        <v>870</v>
      </c>
      <c r="N459" s="189" t="s">
        <v>757</v>
      </c>
      <c r="O459" s="189" t="s">
        <v>244</v>
      </c>
      <c r="P459" s="189" t="s">
        <v>111</v>
      </c>
      <c r="Q459" s="189" t="s">
        <v>145</v>
      </c>
      <c r="R459" s="189" t="s">
        <v>23</v>
      </c>
      <c r="S459" s="189" t="s">
        <v>120</v>
      </c>
      <c r="T459" s="189" t="s">
        <v>121</v>
      </c>
      <c r="U459" s="189" t="s">
        <v>122</v>
      </c>
      <c r="V459" s="189" t="s">
        <v>192</v>
      </c>
      <c r="W459" s="189" t="s">
        <v>124</v>
      </c>
      <c r="X459" s="189" t="s">
        <v>503</v>
      </c>
      <c r="Y459" s="189" t="s">
        <v>3172</v>
      </c>
      <c r="Z459" s="0" t="n">
        <v>1</v>
      </c>
      <c r="AA459" s="189" t="s">
        <v>871</v>
      </c>
    </row>
    <row r="460" customFormat="false" ht="15" hidden="false" customHeight="true" outlineLevel="0" collapsed="false">
      <c r="A460" s="0" t="n">
        <v>93</v>
      </c>
      <c r="B460" s="188" t="n">
        <v>46175.8861815321</v>
      </c>
      <c r="C460" s="188" t="n">
        <v>46175.9009963469</v>
      </c>
      <c r="D460" s="189" t="s">
        <v>872</v>
      </c>
      <c r="E460" s="189" t="s">
        <v>873</v>
      </c>
      <c r="F460" s="189" t="s">
        <v>873</v>
      </c>
      <c r="G460" s="189" t="s">
        <v>874</v>
      </c>
      <c r="H460" s="188" t="n">
        <v>46167</v>
      </c>
      <c r="I460" s="189" t="s">
        <v>132</v>
      </c>
      <c r="J460" s="189" t="s">
        <v>128</v>
      </c>
      <c r="K460" s="189" t="s">
        <v>462</v>
      </c>
      <c r="L460" s="189" t="s">
        <v>184</v>
      </c>
      <c r="M460" s="189" t="s">
        <v>736</v>
      </c>
      <c r="N460" s="189" t="s">
        <v>758</v>
      </c>
      <c r="O460" s="189" t="s">
        <v>278</v>
      </c>
      <c r="P460" s="189" t="s">
        <v>111</v>
      </c>
      <c r="Q460" s="189" t="s">
        <v>112</v>
      </c>
      <c r="R460" s="189" t="s">
        <v>21</v>
      </c>
      <c r="S460" s="189" t="s">
        <v>152</v>
      </c>
      <c r="T460" s="189" t="s">
        <v>228</v>
      </c>
      <c r="U460" s="189" t="s">
        <v>122</v>
      </c>
      <c r="V460" s="189" t="s">
        <v>192</v>
      </c>
      <c r="W460" s="189" t="s">
        <v>124</v>
      </c>
      <c r="X460" s="189" t="s">
        <v>250</v>
      </c>
      <c r="Y460" s="189" t="s">
        <v>3064</v>
      </c>
      <c r="Z460" s="0" t="n">
        <v>1</v>
      </c>
      <c r="AA460" s="189" t="s">
        <v>3107</v>
      </c>
    </row>
    <row r="461" customFormat="false" ht="15" hidden="false" customHeight="true" outlineLevel="0" collapsed="false">
      <c r="A461" s="0" t="n">
        <v>93</v>
      </c>
      <c r="B461" s="188" t="n">
        <v>46175.8861815321</v>
      </c>
      <c r="C461" s="188" t="n">
        <v>46175.9009963469</v>
      </c>
      <c r="D461" s="189" t="s">
        <v>872</v>
      </c>
      <c r="E461" s="189" t="s">
        <v>873</v>
      </c>
      <c r="F461" s="189" t="s">
        <v>873</v>
      </c>
      <c r="G461" s="189" t="s">
        <v>874</v>
      </c>
      <c r="H461" s="188" t="n">
        <v>46167</v>
      </c>
      <c r="I461" s="189" t="s">
        <v>132</v>
      </c>
      <c r="J461" s="189" t="s">
        <v>128</v>
      </c>
      <c r="K461" s="189" t="s">
        <v>462</v>
      </c>
      <c r="L461" s="189" t="s">
        <v>184</v>
      </c>
      <c r="M461" s="189" t="s">
        <v>736</v>
      </c>
      <c r="N461" s="189" t="s">
        <v>758</v>
      </c>
      <c r="O461" s="189" t="s">
        <v>278</v>
      </c>
      <c r="P461" s="189" t="s">
        <v>111</v>
      </c>
      <c r="Q461" s="189" t="s">
        <v>112</v>
      </c>
      <c r="R461" s="189" t="s">
        <v>21</v>
      </c>
      <c r="S461" s="189" t="s">
        <v>152</v>
      </c>
      <c r="T461" s="189" t="s">
        <v>228</v>
      </c>
      <c r="U461" s="189" t="s">
        <v>122</v>
      </c>
      <c r="V461" s="189" t="s">
        <v>192</v>
      </c>
      <c r="W461" s="189" t="s">
        <v>124</v>
      </c>
      <c r="X461" s="189" t="s">
        <v>250</v>
      </c>
      <c r="Y461" s="189" t="s">
        <v>3064</v>
      </c>
      <c r="Z461" s="0" t="n">
        <v>2</v>
      </c>
      <c r="AA461" s="189" t="s">
        <v>3065</v>
      </c>
    </row>
    <row r="462" customFormat="false" ht="15" hidden="false" customHeight="true" outlineLevel="0" collapsed="false">
      <c r="A462" s="0" t="n">
        <v>93</v>
      </c>
      <c r="B462" s="188" t="n">
        <v>46175.8861815321</v>
      </c>
      <c r="C462" s="188" t="n">
        <v>46175.9009963469</v>
      </c>
      <c r="D462" s="189" t="s">
        <v>872</v>
      </c>
      <c r="E462" s="189" t="s">
        <v>873</v>
      </c>
      <c r="F462" s="189" t="s">
        <v>873</v>
      </c>
      <c r="G462" s="189" t="s">
        <v>874</v>
      </c>
      <c r="H462" s="188" t="n">
        <v>46167</v>
      </c>
      <c r="I462" s="189" t="s">
        <v>132</v>
      </c>
      <c r="J462" s="189" t="s">
        <v>128</v>
      </c>
      <c r="K462" s="189" t="s">
        <v>462</v>
      </c>
      <c r="L462" s="189" t="s">
        <v>184</v>
      </c>
      <c r="M462" s="189" t="s">
        <v>736</v>
      </c>
      <c r="N462" s="189" t="s">
        <v>758</v>
      </c>
      <c r="O462" s="189" t="s">
        <v>278</v>
      </c>
      <c r="P462" s="189" t="s">
        <v>111</v>
      </c>
      <c r="Q462" s="189" t="s">
        <v>112</v>
      </c>
      <c r="R462" s="189" t="s">
        <v>21</v>
      </c>
      <c r="S462" s="189" t="s">
        <v>152</v>
      </c>
      <c r="T462" s="189" t="s">
        <v>228</v>
      </c>
      <c r="U462" s="189" t="s">
        <v>122</v>
      </c>
      <c r="V462" s="189" t="s">
        <v>192</v>
      </c>
      <c r="W462" s="189" t="s">
        <v>124</v>
      </c>
      <c r="X462" s="189" t="s">
        <v>250</v>
      </c>
      <c r="Y462" s="189" t="s">
        <v>3066</v>
      </c>
      <c r="Z462" s="0" t="n">
        <v>1</v>
      </c>
      <c r="AA462" s="189" t="s">
        <v>3211</v>
      </c>
    </row>
    <row r="463" customFormat="false" ht="15" hidden="false" customHeight="true" outlineLevel="0" collapsed="false">
      <c r="A463" s="0" t="n">
        <v>93</v>
      </c>
      <c r="B463" s="188" t="n">
        <v>46175.8861815321</v>
      </c>
      <c r="C463" s="188" t="n">
        <v>46175.9009963469</v>
      </c>
      <c r="D463" s="189" t="s">
        <v>872</v>
      </c>
      <c r="E463" s="189" t="s">
        <v>873</v>
      </c>
      <c r="F463" s="189" t="s">
        <v>873</v>
      </c>
      <c r="G463" s="189" t="s">
        <v>874</v>
      </c>
      <c r="H463" s="188" t="n">
        <v>46167</v>
      </c>
      <c r="I463" s="189" t="s">
        <v>132</v>
      </c>
      <c r="J463" s="189" t="s">
        <v>128</v>
      </c>
      <c r="K463" s="189" t="s">
        <v>462</v>
      </c>
      <c r="L463" s="189" t="s">
        <v>184</v>
      </c>
      <c r="M463" s="189" t="s">
        <v>736</v>
      </c>
      <c r="N463" s="189" t="s">
        <v>758</v>
      </c>
      <c r="O463" s="189" t="s">
        <v>278</v>
      </c>
      <c r="P463" s="189" t="s">
        <v>111</v>
      </c>
      <c r="Q463" s="189" t="s">
        <v>112</v>
      </c>
      <c r="R463" s="189" t="s">
        <v>21</v>
      </c>
      <c r="S463" s="189" t="s">
        <v>152</v>
      </c>
      <c r="T463" s="189" t="s">
        <v>228</v>
      </c>
      <c r="U463" s="189" t="s">
        <v>122</v>
      </c>
      <c r="V463" s="189" t="s">
        <v>192</v>
      </c>
      <c r="W463" s="189" t="s">
        <v>124</v>
      </c>
      <c r="X463" s="189" t="s">
        <v>250</v>
      </c>
      <c r="Y463" s="189" t="s">
        <v>3069</v>
      </c>
      <c r="Z463" s="0" t="n">
        <v>1</v>
      </c>
      <c r="AA463" s="189" t="s">
        <v>3070</v>
      </c>
    </row>
    <row r="464" customFormat="false" ht="15" hidden="false" customHeight="true" outlineLevel="0" collapsed="false">
      <c r="A464" s="0" t="n">
        <v>93</v>
      </c>
      <c r="B464" s="188" t="n">
        <v>46175.8861815321</v>
      </c>
      <c r="C464" s="188" t="n">
        <v>46175.9009963469</v>
      </c>
      <c r="D464" s="189" t="s">
        <v>872</v>
      </c>
      <c r="E464" s="189" t="s">
        <v>873</v>
      </c>
      <c r="F464" s="189" t="s">
        <v>873</v>
      </c>
      <c r="G464" s="189" t="s">
        <v>874</v>
      </c>
      <c r="H464" s="188" t="n">
        <v>46167</v>
      </c>
      <c r="I464" s="189" t="s">
        <v>132</v>
      </c>
      <c r="J464" s="189" t="s">
        <v>128</v>
      </c>
      <c r="K464" s="189" t="s">
        <v>462</v>
      </c>
      <c r="L464" s="189" t="s">
        <v>184</v>
      </c>
      <c r="M464" s="189" t="s">
        <v>736</v>
      </c>
      <c r="N464" s="189" t="s">
        <v>758</v>
      </c>
      <c r="O464" s="189" t="s">
        <v>278</v>
      </c>
      <c r="P464" s="189" t="s">
        <v>111</v>
      </c>
      <c r="Q464" s="189" t="s">
        <v>112</v>
      </c>
      <c r="R464" s="189" t="s">
        <v>21</v>
      </c>
      <c r="S464" s="189" t="s">
        <v>152</v>
      </c>
      <c r="T464" s="189" t="s">
        <v>228</v>
      </c>
      <c r="U464" s="189" t="s">
        <v>122</v>
      </c>
      <c r="V464" s="189" t="s">
        <v>192</v>
      </c>
      <c r="W464" s="189" t="s">
        <v>124</v>
      </c>
      <c r="X464" s="189" t="s">
        <v>250</v>
      </c>
      <c r="Y464" s="189" t="s">
        <v>3069</v>
      </c>
      <c r="Z464" s="0" t="n">
        <v>2</v>
      </c>
      <c r="AA464" s="189" t="s">
        <v>3108</v>
      </c>
    </row>
    <row r="465" customFormat="false" ht="15" hidden="false" customHeight="true" outlineLevel="0" collapsed="false">
      <c r="A465" s="0" t="n">
        <v>94</v>
      </c>
      <c r="B465" s="188" t="n">
        <v>46118.5985338214</v>
      </c>
      <c r="C465" s="188" t="n">
        <v>46118.6121449325</v>
      </c>
      <c r="D465" s="189" t="s">
        <v>877</v>
      </c>
      <c r="E465" s="189" t="s">
        <v>878</v>
      </c>
      <c r="F465" s="189" t="s">
        <v>878</v>
      </c>
      <c r="G465" s="189" t="s">
        <v>879</v>
      </c>
      <c r="H465" s="188" t="n">
        <v>46116</v>
      </c>
      <c r="I465" s="189" t="s">
        <v>113</v>
      </c>
      <c r="J465" s="189" t="s">
        <v>128</v>
      </c>
      <c r="K465" s="189" t="s">
        <v>232</v>
      </c>
      <c r="L465" s="189" t="s">
        <v>144</v>
      </c>
      <c r="M465" s="189" t="s">
        <v>652</v>
      </c>
      <c r="N465" s="189" t="s">
        <v>613</v>
      </c>
      <c r="O465" s="189" t="s">
        <v>157</v>
      </c>
      <c r="P465" s="189" t="s">
        <v>111</v>
      </c>
      <c r="Q465" s="189" t="s">
        <v>112</v>
      </c>
      <c r="R465" s="189" t="s">
        <v>24</v>
      </c>
      <c r="S465" s="189" t="s">
        <v>152</v>
      </c>
      <c r="T465" s="189" t="s">
        <v>180</v>
      </c>
      <c r="U465" s="189" t="s">
        <v>122</v>
      </c>
      <c r="V465" s="189" t="s">
        <v>123</v>
      </c>
      <c r="W465" s="189" t="s">
        <v>168</v>
      </c>
      <c r="X465" s="189" t="s">
        <v>19</v>
      </c>
      <c r="Y465" s="189" t="s">
        <v>3172</v>
      </c>
      <c r="Z465" s="0" t="n">
        <v>1</v>
      </c>
      <c r="AA465" s="189" t="s">
        <v>880</v>
      </c>
    </row>
    <row r="466" customFormat="false" ht="15" hidden="false" customHeight="true" outlineLevel="0" collapsed="false">
      <c r="A466" s="0" t="n">
        <v>95</v>
      </c>
      <c r="B466" s="188" t="n">
        <v>46058.1459424352</v>
      </c>
      <c r="C466" s="188" t="n">
        <v>46058.1570419722</v>
      </c>
      <c r="D466" s="189" t="s">
        <v>881</v>
      </c>
      <c r="E466" s="189" t="s">
        <v>882</v>
      </c>
      <c r="F466" s="189" t="s">
        <v>882</v>
      </c>
      <c r="G466" s="189" t="s">
        <v>883</v>
      </c>
      <c r="H466" s="188" t="n">
        <v>46047</v>
      </c>
      <c r="I466" s="189" t="s">
        <v>132</v>
      </c>
      <c r="J466" s="189" t="s">
        <v>295</v>
      </c>
      <c r="K466" s="189" t="s">
        <v>884</v>
      </c>
      <c r="L466" s="189" t="s">
        <v>144</v>
      </c>
      <c r="M466" s="189" t="s">
        <v>885</v>
      </c>
      <c r="N466" s="189" t="s">
        <v>175</v>
      </c>
      <c r="O466" s="189" t="s">
        <v>244</v>
      </c>
      <c r="P466" s="189" t="s">
        <v>111</v>
      </c>
      <c r="Q466" s="189" t="s">
        <v>112</v>
      </c>
      <c r="R466" s="189" t="s">
        <v>21</v>
      </c>
      <c r="S466" s="189" t="s">
        <v>227</v>
      </c>
      <c r="T466" s="189" t="s">
        <v>264</v>
      </c>
      <c r="U466" s="189" t="s">
        <v>122</v>
      </c>
      <c r="V466" s="189" t="s">
        <v>123</v>
      </c>
      <c r="W466" s="189" t="s">
        <v>139</v>
      </c>
      <c r="X466" s="189" t="s">
        <v>457</v>
      </c>
      <c r="Y466" s="189" t="s">
        <v>3064</v>
      </c>
      <c r="Z466" s="0" t="n">
        <v>1</v>
      </c>
      <c r="AA466" s="189" t="s">
        <v>3095</v>
      </c>
    </row>
    <row r="467" customFormat="false" ht="15" hidden="false" customHeight="true" outlineLevel="0" collapsed="false">
      <c r="A467" s="0" t="n">
        <v>95</v>
      </c>
      <c r="B467" s="188" t="n">
        <v>46058.1459424352</v>
      </c>
      <c r="C467" s="188" t="n">
        <v>46058.1570419722</v>
      </c>
      <c r="D467" s="189" t="s">
        <v>881</v>
      </c>
      <c r="E467" s="189" t="s">
        <v>882</v>
      </c>
      <c r="F467" s="189" t="s">
        <v>882</v>
      </c>
      <c r="G467" s="189" t="s">
        <v>883</v>
      </c>
      <c r="H467" s="188" t="n">
        <v>46047</v>
      </c>
      <c r="I467" s="189" t="s">
        <v>132</v>
      </c>
      <c r="J467" s="189" t="s">
        <v>295</v>
      </c>
      <c r="K467" s="189" t="s">
        <v>884</v>
      </c>
      <c r="L467" s="189" t="s">
        <v>144</v>
      </c>
      <c r="M467" s="189" t="s">
        <v>885</v>
      </c>
      <c r="N467" s="189" t="s">
        <v>175</v>
      </c>
      <c r="O467" s="189" t="s">
        <v>244</v>
      </c>
      <c r="P467" s="189" t="s">
        <v>111</v>
      </c>
      <c r="Q467" s="189" t="s">
        <v>112</v>
      </c>
      <c r="R467" s="189" t="s">
        <v>21</v>
      </c>
      <c r="S467" s="189" t="s">
        <v>227</v>
      </c>
      <c r="T467" s="189" t="s">
        <v>264</v>
      </c>
      <c r="U467" s="189" t="s">
        <v>122</v>
      </c>
      <c r="V467" s="189" t="s">
        <v>123</v>
      </c>
      <c r="W467" s="189" t="s">
        <v>139</v>
      </c>
      <c r="X467" s="189" t="s">
        <v>457</v>
      </c>
      <c r="Y467" s="189" t="s">
        <v>3066</v>
      </c>
      <c r="Z467" s="0" t="n">
        <v>1</v>
      </c>
      <c r="AA467" s="189" t="s">
        <v>122</v>
      </c>
    </row>
    <row r="468" customFormat="false" ht="15" hidden="false" customHeight="true" outlineLevel="0" collapsed="false">
      <c r="A468" s="0" t="n">
        <v>95</v>
      </c>
      <c r="B468" s="188" t="n">
        <v>46058.1459424352</v>
      </c>
      <c r="C468" s="188" t="n">
        <v>46058.1570419722</v>
      </c>
      <c r="D468" s="189" t="s">
        <v>881</v>
      </c>
      <c r="E468" s="189" t="s">
        <v>882</v>
      </c>
      <c r="F468" s="189" t="s">
        <v>882</v>
      </c>
      <c r="G468" s="189" t="s">
        <v>883</v>
      </c>
      <c r="H468" s="188" t="n">
        <v>46047</v>
      </c>
      <c r="I468" s="189" t="s">
        <v>132</v>
      </c>
      <c r="J468" s="189" t="s">
        <v>295</v>
      </c>
      <c r="K468" s="189" t="s">
        <v>884</v>
      </c>
      <c r="L468" s="189" t="s">
        <v>144</v>
      </c>
      <c r="M468" s="189" t="s">
        <v>885</v>
      </c>
      <c r="N468" s="189" t="s">
        <v>175</v>
      </c>
      <c r="O468" s="189" t="s">
        <v>244</v>
      </c>
      <c r="P468" s="189" t="s">
        <v>111</v>
      </c>
      <c r="Q468" s="189" t="s">
        <v>112</v>
      </c>
      <c r="R468" s="189" t="s">
        <v>21</v>
      </c>
      <c r="S468" s="189" t="s">
        <v>227</v>
      </c>
      <c r="T468" s="189" t="s">
        <v>264</v>
      </c>
      <c r="U468" s="189" t="s">
        <v>122</v>
      </c>
      <c r="V468" s="189" t="s">
        <v>123</v>
      </c>
      <c r="W468" s="189" t="s">
        <v>139</v>
      </c>
      <c r="X468" s="189" t="s">
        <v>457</v>
      </c>
      <c r="Y468" s="189" t="s">
        <v>3066</v>
      </c>
      <c r="Z468" s="0" t="n">
        <v>2</v>
      </c>
      <c r="AA468" s="189" t="s">
        <v>3067</v>
      </c>
    </row>
    <row r="469" customFormat="false" ht="15" hidden="false" customHeight="true" outlineLevel="0" collapsed="false">
      <c r="A469" s="0" t="n">
        <v>95</v>
      </c>
      <c r="B469" s="188" t="n">
        <v>46058.1459424352</v>
      </c>
      <c r="C469" s="188" t="n">
        <v>46058.1570419722</v>
      </c>
      <c r="D469" s="189" t="s">
        <v>881</v>
      </c>
      <c r="E469" s="189" t="s">
        <v>882</v>
      </c>
      <c r="F469" s="189" t="s">
        <v>882</v>
      </c>
      <c r="G469" s="189" t="s">
        <v>883</v>
      </c>
      <c r="H469" s="188" t="n">
        <v>46047</v>
      </c>
      <c r="I469" s="189" t="s">
        <v>132</v>
      </c>
      <c r="J469" s="189" t="s">
        <v>295</v>
      </c>
      <c r="K469" s="189" t="s">
        <v>884</v>
      </c>
      <c r="L469" s="189" t="s">
        <v>144</v>
      </c>
      <c r="M469" s="189" t="s">
        <v>885</v>
      </c>
      <c r="N469" s="189" t="s">
        <v>175</v>
      </c>
      <c r="O469" s="189" t="s">
        <v>244</v>
      </c>
      <c r="P469" s="189" t="s">
        <v>111</v>
      </c>
      <c r="Q469" s="189" t="s">
        <v>112</v>
      </c>
      <c r="R469" s="189" t="s">
        <v>21</v>
      </c>
      <c r="S469" s="189" t="s">
        <v>227</v>
      </c>
      <c r="T469" s="189" t="s">
        <v>264</v>
      </c>
      <c r="U469" s="189" t="s">
        <v>122</v>
      </c>
      <c r="V469" s="189" t="s">
        <v>123</v>
      </c>
      <c r="W469" s="189" t="s">
        <v>139</v>
      </c>
      <c r="X469" s="189" t="s">
        <v>457</v>
      </c>
      <c r="Y469" s="189" t="s">
        <v>3069</v>
      </c>
      <c r="Z469" s="0" t="n">
        <v>1</v>
      </c>
      <c r="AA469" s="189" t="s">
        <v>122</v>
      </c>
    </row>
    <row r="470" customFormat="false" ht="15" hidden="false" customHeight="true" outlineLevel="0" collapsed="false">
      <c r="A470" s="0" t="n">
        <v>95</v>
      </c>
      <c r="B470" s="188" t="n">
        <v>46058.1459424352</v>
      </c>
      <c r="C470" s="188" t="n">
        <v>46058.1570419722</v>
      </c>
      <c r="D470" s="189" t="s">
        <v>881</v>
      </c>
      <c r="E470" s="189" t="s">
        <v>882</v>
      </c>
      <c r="F470" s="189" t="s">
        <v>882</v>
      </c>
      <c r="G470" s="189" t="s">
        <v>883</v>
      </c>
      <c r="H470" s="188" t="n">
        <v>46047</v>
      </c>
      <c r="I470" s="189" t="s">
        <v>132</v>
      </c>
      <c r="J470" s="189" t="s">
        <v>295</v>
      </c>
      <c r="K470" s="189" t="s">
        <v>884</v>
      </c>
      <c r="L470" s="189" t="s">
        <v>144</v>
      </c>
      <c r="M470" s="189" t="s">
        <v>885</v>
      </c>
      <c r="N470" s="189" t="s">
        <v>175</v>
      </c>
      <c r="O470" s="189" t="s">
        <v>244</v>
      </c>
      <c r="P470" s="189" t="s">
        <v>111</v>
      </c>
      <c r="Q470" s="189" t="s">
        <v>112</v>
      </c>
      <c r="R470" s="189" t="s">
        <v>21</v>
      </c>
      <c r="S470" s="189" t="s">
        <v>227</v>
      </c>
      <c r="T470" s="189" t="s">
        <v>264</v>
      </c>
      <c r="U470" s="189" t="s">
        <v>122</v>
      </c>
      <c r="V470" s="189" t="s">
        <v>123</v>
      </c>
      <c r="W470" s="189" t="s">
        <v>139</v>
      </c>
      <c r="X470" s="189" t="s">
        <v>457</v>
      </c>
      <c r="Y470" s="189" t="s">
        <v>3069</v>
      </c>
      <c r="Z470" s="0" t="n">
        <v>2</v>
      </c>
      <c r="AA470" s="189" t="s">
        <v>3140</v>
      </c>
    </row>
    <row r="471" customFormat="false" ht="15" hidden="false" customHeight="true" outlineLevel="0" collapsed="false">
      <c r="A471" s="0" t="n">
        <v>96</v>
      </c>
      <c r="B471" s="188" t="n">
        <v>46115.1970413651</v>
      </c>
      <c r="C471" s="188" t="n">
        <v>46115.2178631244</v>
      </c>
      <c r="D471" s="189" t="s">
        <v>888</v>
      </c>
      <c r="E471" s="189" t="s">
        <v>889</v>
      </c>
      <c r="F471" s="189" t="s">
        <v>890</v>
      </c>
      <c r="G471" s="189" t="s">
        <v>891</v>
      </c>
      <c r="H471" s="188" t="n">
        <v>46097</v>
      </c>
      <c r="I471" s="189" t="s">
        <v>325</v>
      </c>
      <c r="J471" s="189" t="s">
        <v>295</v>
      </c>
      <c r="K471" s="189" t="s">
        <v>892</v>
      </c>
      <c r="L471" s="189" t="s">
        <v>130</v>
      </c>
      <c r="M471" s="189" t="s">
        <v>397</v>
      </c>
      <c r="N471" s="189" t="s">
        <v>893</v>
      </c>
      <c r="O471" s="189" t="s">
        <v>107</v>
      </c>
      <c r="P471" s="189" t="s">
        <v>111</v>
      </c>
      <c r="Q471" s="189" t="s">
        <v>112</v>
      </c>
      <c r="R471" s="189" t="s">
        <v>22</v>
      </c>
      <c r="S471" s="189" t="s">
        <v>152</v>
      </c>
      <c r="T471" s="189" t="s">
        <v>121</v>
      </c>
      <c r="V471" s="189" t="s">
        <v>123</v>
      </c>
      <c r="W471" s="189" t="s">
        <v>168</v>
      </c>
      <c r="X471" s="189" t="s">
        <v>381</v>
      </c>
      <c r="Y471" s="189" t="s">
        <v>3064</v>
      </c>
      <c r="Z471" s="0" t="n">
        <v>1</v>
      </c>
      <c r="AA471" s="189" t="s">
        <v>3249</v>
      </c>
    </row>
    <row r="472" customFormat="false" ht="15" hidden="false" customHeight="true" outlineLevel="0" collapsed="false">
      <c r="A472" s="0" t="n">
        <v>96</v>
      </c>
      <c r="B472" s="188" t="n">
        <v>46115.1970413651</v>
      </c>
      <c r="C472" s="188" t="n">
        <v>46115.2178631244</v>
      </c>
      <c r="D472" s="189" t="s">
        <v>888</v>
      </c>
      <c r="E472" s="189" t="s">
        <v>889</v>
      </c>
      <c r="F472" s="189" t="s">
        <v>890</v>
      </c>
      <c r="G472" s="189" t="s">
        <v>891</v>
      </c>
      <c r="H472" s="188" t="n">
        <v>46097</v>
      </c>
      <c r="I472" s="189" t="s">
        <v>325</v>
      </c>
      <c r="J472" s="189" t="s">
        <v>295</v>
      </c>
      <c r="K472" s="189" t="s">
        <v>892</v>
      </c>
      <c r="L472" s="189" t="s">
        <v>130</v>
      </c>
      <c r="M472" s="189" t="s">
        <v>397</v>
      </c>
      <c r="N472" s="189" t="s">
        <v>893</v>
      </c>
      <c r="O472" s="189" t="s">
        <v>107</v>
      </c>
      <c r="P472" s="189" t="s">
        <v>111</v>
      </c>
      <c r="Q472" s="189" t="s">
        <v>112</v>
      </c>
      <c r="R472" s="189" t="s">
        <v>22</v>
      </c>
      <c r="S472" s="189" t="s">
        <v>152</v>
      </c>
      <c r="T472" s="189" t="s">
        <v>121</v>
      </c>
      <c r="V472" s="189" t="s">
        <v>123</v>
      </c>
      <c r="W472" s="189" t="s">
        <v>168</v>
      </c>
      <c r="X472" s="189" t="s">
        <v>381</v>
      </c>
      <c r="Y472" s="189" t="s">
        <v>3064</v>
      </c>
      <c r="Z472" s="0" t="n">
        <v>2</v>
      </c>
      <c r="AA472" s="189" t="s">
        <v>3159</v>
      </c>
    </row>
    <row r="473" customFormat="false" ht="15" hidden="false" customHeight="true" outlineLevel="0" collapsed="false">
      <c r="A473" s="0" t="n">
        <v>96</v>
      </c>
      <c r="B473" s="188" t="n">
        <v>46115.1970413651</v>
      </c>
      <c r="C473" s="188" t="n">
        <v>46115.2178631244</v>
      </c>
      <c r="D473" s="189" t="s">
        <v>888</v>
      </c>
      <c r="E473" s="189" t="s">
        <v>889</v>
      </c>
      <c r="F473" s="189" t="s">
        <v>890</v>
      </c>
      <c r="G473" s="189" t="s">
        <v>891</v>
      </c>
      <c r="H473" s="188" t="n">
        <v>46097</v>
      </c>
      <c r="I473" s="189" t="s">
        <v>325</v>
      </c>
      <c r="J473" s="189" t="s">
        <v>295</v>
      </c>
      <c r="K473" s="189" t="s">
        <v>892</v>
      </c>
      <c r="L473" s="189" t="s">
        <v>130</v>
      </c>
      <c r="M473" s="189" t="s">
        <v>397</v>
      </c>
      <c r="N473" s="189" t="s">
        <v>893</v>
      </c>
      <c r="O473" s="189" t="s">
        <v>107</v>
      </c>
      <c r="P473" s="189" t="s">
        <v>111</v>
      </c>
      <c r="Q473" s="189" t="s">
        <v>112</v>
      </c>
      <c r="R473" s="189" t="s">
        <v>22</v>
      </c>
      <c r="S473" s="189" t="s">
        <v>152</v>
      </c>
      <c r="T473" s="189" t="s">
        <v>121</v>
      </c>
      <c r="V473" s="189" t="s">
        <v>123</v>
      </c>
      <c r="W473" s="189" t="s">
        <v>168</v>
      </c>
      <c r="X473" s="189" t="s">
        <v>381</v>
      </c>
      <c r="Y473" s="189" t="s">
        <v>3066</v>
      </c>
      <c r="Z473" s="0" t="n">
        <v>1</v>
      </c>
      <c r="AA473" s="189" t="s">
        <v>3250</v>
      </c>
    </row>
    <row r="474" customFormat="false" ht="15" hidden="false" customHeight="true" outlineLevel="0" collapsed="false">
      <c r="A474" s="0" t="n">
        <v>96</v>
      </c>
      <c r="B474" s="188" t="n">
        <v>46115.1970413651</v>
      </c>
      <c r="C474" s="188" t="n">
        <v>46115.2178631244</v>
      </c>
      <c r="D474" s="189" t="s">
        <v>888</v>
      </c>
      <c r="E474" s="189" t="s">
        <v>889</v>
      </c>
      <c r="F474" s="189" t="s">
        <v>890</v>
      </c>
      <c r="G474" s="189" t="s">
        <v>891</v>
      </c>
      <c r="H474" s="188" t="n">
        <v>46097</v>
      </c>
      <c r="I474" s="189" t="s">
        <v>325</v>
      </c>
      <c r="J474" s="189" t="s">
        <v>295</v>
      </c>
      <c r="K474" s="189" t="s">
        <v>892</v>
      </c>
      <c r="L474" s="189" t="s">
        <v>130</v>
      </c>
      <c r="M474" s="189" t="s">
        <v>397</v>
      </c>
      <c r="N474" s="189" t="s">
        <v>893</v>
      </c>
      <c r="O474" s="189" t="s">
        <v>107</v>
      </c>
      <c r="P474" s="189" t="s">
        <v>111</v>
      </c>
      <c r="Q474" s="189" t="s">
        <v>112</v>
      </c>
      <c r="R474" s="189" t="s">
        <v>22</v>
      </c>
      <c r="S474" s="189" t="s">
        <v>152</v>
      </c>
      <c r="T474" s="189" t="s">
        <v>121</v>
      </c>
      <c r="V474" s="189" t="s">
        <v>123</v>
      </c>
      <c r="W474" s="189" t="s">
        <v>168</v>
      </c>
      <c r="X474" s="189" t="s">
        <v>381</v>
      </c>
      <c r="Y474" s="189" t="s">
        <v>3069</v>
      </c>
      <c r="Z474" s="0" t="n">
        <v>1</v>
      </c>
      <c r="AA474" s="189" t="s">
        <v>3234</v>
      </c>
    </row>
    <row r="475" customFormat="false" ht="15" hidden="false" customHeight="true" outlineLevel="0" collapsed="false">
      <c r="A475" s="0" t="n">
        <v>97</v>
      </c>
      <c r="B475" s="188" t="n">
        <v>46083.9284149003</v>
      </c>
      <c r="C475" s="188" t="n">
        <v>46083.9319449929</v>
      </c>
      <c r="D475" s="189" t="s">
        <v>895</v>
      </c>
      <c r="E475" s="189" t="s">
        <v>896</v>
      </c>
      <c r="F475" s="189" t="s">
        <v>896</v>
      </c>
      <c r="G475" s="189" t="s">
        <v>897</v>
      </c>
      <c r="H475" s="188" t="n">
        <v>46074</v>
      </c>
      <c r="I475" s="189" t="s">
        <v>336</v>
      </c>
      <c r="J475" s="189" t="s">
        <v>295</v>
      </c>
      <c r="K475" s="189" t="s">
        <v>898</v>
      </c>
      <c r="L475" s="189" t="s">
        <v>144</v>
      </c>
      <c r="M475" s="189" t="s">
        <v>199</v>
      </c>
      <c r="N475" s="189" t="s">
        <v>899</v>
      </c>
      <c r="O475" s="189" t="s">
        <v>278</v>
      </c>
      <c r="P475" s="189" t="s">
        <v>111</v>
      </c>
      <c r="Q475" s="189" t="s">
        <v>145</v>
      </c>
      <c r="R475" s="189" t="s">
        <v>21</v>
      </c>
      <c r="S475" s="189" t="s">
        <v>152</v>
      </c>
      <c r="T475" s="189" t="s">
        <v>352</v>
      </c>
      <c r="V475" s="189" t="s">
        <v>192</v>
      </c>
      <c r="W475" s="189" t="s">
        <v>124</v>
      </c>
      <c r="X475" s="189" t="s">
        <v>250</v>
      </c>
      <c r="Y475" s="189" t="s">
        <v>3064</v>
      </c>
      <c r="Z475" s="0" t="n">
        <v>1</v>
      </c>
      <c r="AA475" s="189" t="s">
        <v>3107</v>
      </c>
    </row>
    <row r="476" customFormat="false" ht="15" hidden="false" customHeight="true" outlineLevel="0" collapsed="false">
      <c r="A476" s="0" t="n">
        <v>97</v>
      </c>
      <c r="B476" s="188" t="n">
        <v>46083.9284149003</v>
      </c>
      <c r="C476" s="188" t="n">
        <v>46083.9319449929</v>
      </c>
      <c r="D476" s="189" t="s">
        <v>895</v>
      </c>
      <c r="E476" s="189" t="s">
        <v>896</v>
      </c>
      <c r="F476" s="189" t="s">
        <v>896</v>
      </c>
      <c r="G476" s="189" t="s">
        <v>897</v>
      </c>
      <c r="H476" s="188" t="n">
        <v>46074</v>
      </c>
      <c r="I476" s="189" t="s">
        <v>336</v>
      </c>
      <c r="J476" s="189" t="s">
        <v>295</v>
      </c>
      <c r="K476" s="189" t="s">
        <v>898</v>
      </c>
      <c r="L476" s="189" t="s">
        <v>144</v>
      </c>
      <c r="M476" s="189" t="s">
        <v>199</v>
      </c>
      <c r="N476" s="189" t="s">
        <v>899</v>
      </c>
      <c r="O476" s="189" t="s">
        <v>278</v>
      </c>
      <c r="P476" s="189" t="s">
        <v>111</v>
      </c>
      <c r="Q476" s="189" t="s">
        <v>145</v>
      </c>
      <c r="R476" s="189" t="s">
        <v>21</v>
      </c>
      <c r="S476" s="189" t="s">
        <v>152</v>
      </c>
      <c r="T476" s="189" t="s">
        <v>352</v>
      </c>
      <c r="V476" s="189" t="s">
        <v>192</v>
      </c>
      <c r="W476" s="189" t="s">
        <v>124</v>
      </c>
      <c r="X476" s="189" t="s">
        <v>250</v>
      </c>
      <c r="Y476" s="189" t="s">
        <v>3064</v>
      </c>
      <c r="Z476" s="0" t="n">
        <v>2</v>
      </c>
      <c r="AA476" s="189" t="s">
        <v>3081</v>
      </c>
    </row>
    <row r="477" customFormat="false" ht="15" hidden="false" customHeight="true" outlineLevel="0" collapsed="false">
      <c r="A477" s="0" t="n">
        <v>97</v>
      </c>
      <c r="B477" s="188" t="n">
        <v>46083.9284149003</v>
      </c>
      <c r="C477" s="188" t="n">
        <v>46083.9319449929</v>
      </c>
      <c r="D477" s="189" t="s">
        <v>895</v>
      </c>
      <c r="E477" s="189" t="s">
        <v>896</v>
      </c>
      <c r="F477" s="189" t="s">
        <v>896</v>
      </c>
      <c r="G477" s="189" t="s">
        <v>897</v>
      </c>
      <c r="H477" s="188" t="n">
        <v>46074</v>
      </c>
      <c r="I477" s="189" t="s">
        <v>336</v>
      </c>
      <c r="J477" s="189" t="s">
        <v>295</v>
      </c>
      <c r="K477" s="189" t="s">
        <v>898</v>
      </c>
      <c r="L477" s="189" t="s">
        <v>144</v>
      </c>
      <c r="M477" s="189" t="s">
        <v>199</v>
      </c>
      <c r="N477" s="189" t="s">
        <v>899</v>
      </c>
      <c r="O477" s="189" t="s">
        <v>278</v>
      </c>
      <c r="P477" s="189" t="s">
        <v>111</v>
      </c>
      <c r="Q477" s="189" t="s">
        <v>145</v>
      </c>
      <c r="R477" s="189" t="s">
        <v>21</v>
      </c>
      <c r="S477" s="189" t="s">
        <v>152</v>
      </c>
      <c r="T477" s="189" t="s">
        <v>352</v>
      </c>
      <c r="V477" s="189" t="s">
        <v>192</v>
      </c>
      <c r="W477" s="189" t="s">
        <v>124</v>
      </c>
      <c r="X477" s="189" t="s">
        <v>250</v>
      </c>
      <c r="Y477" s="189" t="s">
        <v>3066</v>
      </c>
      <c r="Z477" s="0" t="n">
        <v>1</v>
      </c>
      <c r="AA477" s="189" t="s">
        <v>3068</v>
      </c>
    </row>
    <row r="478" customFormat="false" ht="15" hidden="false" customHeight="true" outlineLevel="0" collapsed="false">
      <c r="A478" s="0" t="n">
        <v>97</v>
      </c>
      <c r="B478" s="188" t="n">
        <v>46083.9284149003</v>
      </c>
      <c r="C478" s="188" t="n">
        <v>46083.9319449929</v>
      </c>
      <c r="D478" s="189" t="s">
        <v>895</v>
      </c>
      <c r="E478" s="189" t="s">
        <v>896</v>
      </c>
      <c r="F478" s="189" t="s">
        <v>896</v>
      </c>
      <c r="G478" s="189" t="s">
        <v>897</v>
      </c>
      <c r="H478" s="188" t="n">
        <v>46074</v>
      </c>
      <c r="I478" s="189" t="s">
        <v>336</v>
      </c>
      <c r="J478" s="189" t="s">
        <v>295</v>
      </c>
      <c r="K478" s="189" t="s">
        <v>898</v>
      </c>
      <c r="L478" s="189" t="s">
        <v>144</v>
      </c>
      <c r="M478" s="189" t="s">
        <v>199</v>
      </c>
      <c r="N478" s="189" t="s">
        <v>899</v>
      </c>
      <c r="O478" s="189" t="s">
        <v>278</v>
      </c>
      <c r="P478" s="189" t="s">
        <v>111</v>
      </c>
      <c r="Q478" s="189" t="s">
        <v>145</v>
      </c>
      <c r="R478" s="189" t="s">
        <v>21</v>
      </c>
      <c r="S478" s="189" t="s">
        <v>152</v>
      </c>
      <c r="T478" s="189" t="s">
        <v>352</v>
      </c>
      <c r="V478" s="189" t="s">
        <v>192</v>
      </c>
      <c r="W478" s="189" t="s">
        <v>124</v>
      </c>
      <c r="X478" s="189" t="s">
        <v>250</v>
      </c>
      <c r="Y478" s="189" t="s">
        <v>3066</v>
      </c>
      <c r="Z478" s="0" t="n">
        <v>2</v>
      </c>
      <c r="AA478" s="189" t="s">
        <v>3067</v>
      </c>
    </row>
    <row r="479" customFormat="false" ht="15" hidden="false" customHeight="true" outlineLevel="0" collapsed="false">
      <c r="A479" s="0" t="n">
        <v>97</v>
      </c>
      <c r="B479" s="188" t="n">
        <v>46083.9284149003</v>
      </c>
      <c r="C479" s="188" t="n">
        <v>46083.9319449929</v>
      </c>
      <c r="D479" s="189" t="s">
        <v>895</v>
      </c>
      <c r="E479" s="189" t="s">
        <v>896</v>
      </c>
      <c r="F479" s="189" t="s">
        <v>896</v>
      </c>
      <c r="G479" s="189" t="s">
        <v>897</v>
      </c>
      <c r="H479" s="188" t="n">
        <v>46074</v>
      </c>
      <c r="I479" s="189" t="s">
        <v>336</v>
      </c>
      <c r="J479" s="189" t="s">
        <v>295</v>
      </c>
      <c r="K479" s="189" t="s">
        <v>898</v>
      </c>
      <c r="L479" s="189" t="s">
        <v>144</v>
      </c>
      <c r="M479" s="189" t="s">
        <v>199</v>
      </c>
      <c r="N479" s="189" t="s">
        <v>899</v>
      </c>
      <c r="O479" s="189" t="s">
        <v>278</v>
      </c>
      <c r="P479" s="189" t="s">
        <v>111</v>
      </c>
      <c r="Q479" s="189" t="s">
        <v>145</v>
      </c>
      <c r="R479" s="189" t="s">
        <v>21</v>
      </c>
      <c r="S479" s="189" t="s">
        <v>152</v>
      </c>
      <c r="T479" s="189" t="s">
        <v>352</v>
      </c>
      <c r="V479" s="189" t="s">
        <v>192</v>
      </c>
      <c r="W479" s="189" t="s">
        <v>124</v>
      </c>
      <c r="X479" s="189" t="s">
        <v>250</v>
      </c>
      <c r="Y479" s="189" t="s">
        <v>3069</v>
      </c>
      <c r="Z479" s="0" t="n">
        <v>1</v>
      </c>
      <c r="AA479" s="189" t="s">
        <v>3083</v>
      </c>
    </row>
    <row r="480" customFormat="false" ht="15" hidden="false" customHeight="true" outlineLevel="0" collapsed="false">
      <c r="A480" s="0" t="n">
        <v>98</v>
      </c>
      <c r="B480" s="188" t="n">
        <v>46092.1622793167</v>
      </c>
      <c r="C480" s="188" t="n">
        <v>46092.1789459834</v>
      </c>
      <c r="D480" s="189" t="s">
        <v>902</v>
      </c>
      <c r="E480" s="189" t="s">
        <v>903</v>
      </c>
      <c r="F480" s="189" t="s">
        <v>903</v>
      </c>
      <c r="G480" s="189" t="s">
        <v>904</v>
      </c>
      <c r="H480" s="188" t="n">
        <v>46084</v>
      </c>
      <c r="I480" s="189" t="s">
        <v>132</v>
      </c>
      <c r="J480" s="189" t="s">
        <v>108</v>
      </c>
      <c r="K480" s="189" t="s">
        <v>143</v>
      </c>
      <c r="L480" s="189" t="s">
        <v>296</v>
      </c>
      <c r="M480" s="189" t="s">
        <v>864</v>
      </c>
      <c r="N480" s="189" t="s">
        <v>905</v>
      </c>
      <c r="O480" s="189" t="s">
        <v>713</v>
      </c>
      <c r="P480" s="189" t="s">
        <v>131</v>
      </c>
      <c r="Q480" s="189" t="s">
        <v>112</v>
      </c>
      <c r="R480" s="189" t="s">
        <v>21</v>
      </c>
      <c r="S480" s="189" t="s">
        <v>120</v>
      </c>
      <c r="T480" s="189" t="s">
        <v>121</v>
      </c>
      <c r="V480" s="189" t="s">
        <v>123</v>
      </c>
      <c r="W480" s="189" t="s">
        <v>168</v>
      </c>
      <c r="X480" s="189" t="s">
        <v>374</v>
      </c>
      <c r="Y480" s="189" t="s">
        <v>3064</v>
      </c>
      <c r="Z480" s="0" t="n">
        <v>1</v>
      </c>
      <c r="AA480" s="189" t="s">
        <v>3155</v>
      </c>
    </row>
    <row r="481" customFormat="false" ht="15" hidden="false" customHeight="true" outlineLevel="0" collapsed="false">
      <c r="A481" s="0" t="n">
        <v>98</v>
      </c>
      <c r="B481" s="188" t="n">
        <v>46092.1622793167</v>
      </c>
      <c r="C481" s="188" t="n">
        <v>46092.1789459834</v>
      </c>
      <c r="D481" s="189" t="s">
        <v>902</v>
      </c>
      <c r="E481" s="189" t="s">
        <v>903</v>
      </c>
      <c r="F481" s="189" t="s">
        <v>903</v>
      </c>
      <c r="G481" s="189" t="s">
        <v>904</v>
      </c>
      <c r="H481" s="188" t="n">
        <v>46084</v>
      </c>
      <c r="I481" s="189" t="s">
        <v>132</v>
      </c>
      <c r="J481" s="189" t="s">
        <v>108</v>
      </c>
      <c r="K481" s="189" t="s">
        <v>143</v>
      </c>
      <c r="L481" s="189" t="s">
        <v>296</v>
      </c>
      <c r="M481" s="189" t="s">
        <v>864</v>
      </c>
      <c r="N481" s="189" t="s">
        <v>905</v>
      </c>
      <c r="O481" s="189" t="s">
        <v>713</v>
      </c>
      <c r="P481" s="189" t="s">
        <v>131</v>
      </c>
      <c r="Q481" s="189" t="s">
        <v>112</v>
      </c>
      <c r="R481" s="189" t="s">
        <v>21</v>
      </c>
      <c r="S481" s="189" t="s">
        <v>120</v>
      </c>
      <c r="T481" s="189" t="s">
        <v>121</v>
      </c>
      <c r="V481" s="189" t="s">
        <v>123</v>
      </c>
      <c r="W481" s="189" t="s">
        <v>168</v>
      </c>
      <c r="X481" s="189" t="s">
        <v>374</v>
      </c>
      <c r="Y481" s="189" t="s">
        <v>3066</v>
      </c>
      <c r="Z481" s="0" t="n">
        <v>1</v>
      </c>
      <c r="AA481" s="189" t="s">
        <v>3214</v>
      </c>
    </row>
    <row r="482" customFormat="false" ht="15" hidden="false" customHeight="true" outlineLevel="0" collapsed="false">
      <c r="A482" s="0" t="n">
        <v>98</v>
      </c>
      <c r="B482" s="188" t="n">
        <v>46092.1622793167</v>
      </c>
      <c r="C482" s="188" t="n">
        <v>46092.1789459834</v>
      </c>
      <c r="D482" s="189" t="s">
        <v>902</v>
      </c>
      <c r="E482" s="189" t="s">
        <v>903</v>
      </c>
      <c r="F482" s="189" t="s">
        <v>903</v>
      </c>
      <c r="G482" s="189" t="s">
        <v>904</v>
      </c>
      <c r="H482" s="188" t="n">
        <v>46084</v>
      </c>
      <c r="I482" s="189" t="s">
        <v>132</v>
      </c>
      <c r="J482" s="189" t="s">
        <v>108</v>
      </c>
      <c r="K482" s="189" t="s">
        <v>143</v>
      </c>
      <c r="L482" s="189" t="s">
        <v>296</v>
      </c>
      <c r="M482" s="189" t="s">
        <v>864</v>
      </c>
      <c r="N482" s="189" t="s">
        <v>905</v>
      </c>
      <c r="O482" s="189" t="s">
        <v>713</v>
      </c>
      <c r="P482" s="189" t="s">
        <v>131</v>
      </c>
      <c r="Q482" s="189" t="s">
        <v>112</v>
      </c>
      <c r="R482" s="189" t="s">
        <v>21</v>
      </c>
      <c r="S482" s="189" t="s">
        <v>120</v>
      </c>
      <c r="T482" s="189" t="s">
        <v>121</v>
      </c>
      <c r="V482" s="189" t="s">
        <v>123</v>
      </c>
      <c r="W482" s="189" t="s">
        <v>168</v>
      </c>
      <c r="X482" s="189" t="s">
        <v>374</v>
      </c>
      <c r="Y482" s="189" t="s">
        <v>3066</v>
      </c>
      <c r="Z482" s="0" t="n">
        <v>2</v>
      </c>
      <c r="AA482" s="189" t="s">
        <v>3261</v>
      </c>
    </row>
    <row r="483" customFormat="false" ht="15" hidden="false" customHeight="true" outlineLevel="0" collapsed="false">
      <c r="A483" s="0" t="n">
        <v>98</v>
      </c>
      <c r="B483" s="188" t="n">
        <v>46092.1622793167</v>
      </c>
      <c r="C483" s="188" t="n">
        <v>46092.1789459834</v>
      </c>
      <c r="D483" s="189" t="s">
        <v>902</v>
      </c>
      <c r="E483" s="189" t="s">
        <v>903</v>
      </c>
      <c r="F483" s="189" t="s">
        <v>903</v>
      </c>
      <c r="G483" s="189" t="s">
        <v>904</v>
      </c>
      <c r="H483" s="188" t="n">
        <v>46084</v>
      </c>
      <c r="I483" s="189" t="s">
        <v>132</v>
      </c>
      <c r="J483" s="189" t="s">
        <v>108</v>
      </c>
      <c r="K483" s="189" t="s">
        <v>143</v>
      </c>
      <c r="L483" s="189" t="s">
        <v>296</v>
      </c>
      <c r="M483" s="189" t="s">
        <v>864</v>
      </c>
      <c r="N483" s="189" t="s">
        <v>905</v>
      </c>
      <c r="O483" s="189" t="s">
        <v>713</v>
      </c>
      <c r="P483" s="189" t="s">
        <v>131</v>
      </c>
      <c r="Q483" s="189" t="s">
        <v>112</v>
      </c>
      <c r="R483" s="189" t="s">
        <v>21</v>
      </c>
      <c r="S483" s="189" t="s">
        <v>120</v>
      </c>
      <c r="T483" s="189" t="s">
        <v>121</v>
      </c>
      <c r="V483" s="189" t="s">
        <v>123</v>
      </c>
      <c r="W483" s="189" t="s">
        <v>168</v>
      </c>
      <c r="X483" s="189" t="s">
        <v>374</v>
      </c>
      <c r="Y483" s="189" t="s">
        <v>3069</v>
      </c>
      <c r="Z483" s="0" t="n">
        <v>1</v>
      </c>
      <c r="AA483" s="189" t="s">
        <v>3158</v>
      </c>
    </row>
    <row r="484" customFormat="false" ht="15" hidden="false" customHeight="true" outlineLevel="0" collapsed="false">
      <c r="A484" s="0" t="n">
        <v>98</v>
      </c>
      <c r="B484" s="188" t="n">
        <v>46092.1622793167</v>
      </c>
      <c r="C484" s="188" t="n">
        <v>46092.1789459834</v>
      </c>
      <c r="D484" s="189" t="s">
        <v>902</v>
      </c>
      <c r="E484" s="189" t="s">
        <v>903</v>
      </c>
      <c r="F484" s="189" t="s">
        <v>903</v>
      </c>
      <c r="G484" s="189" t="s">
        <v>904</v>
      </c>
      <c r="H484" s="188" t="n">
        <v>46084</v>
      </c>
      <c r="I484" s="189" t="s">
        <v>132</v>
      </c>
      <c r="J484" s="189" t="s">
        <v>108</v>
      </c>
      <c r="K484" s="189" t="s">
        <v>143</v>
      </c>
      <c r="L484" s="189" t="s">
        <v>296</v>
      </c>
      <c r="M484" s="189" t="s">
        <v>864</v>
      </c>
      <c r="N484" s="189" t="s">
        <v>905</v>
      </c>
      <c r="O484" s="189" t="s">
        <v>713</v>
      </c>
      <c r="P484" s="189" t="s">
        <v>131</v>
      </c>
      <c r="Q484" s="189" t="s">
        <v>112</v>
      </c>
      <c r="R484" s="189" t="s">
        <v>21</v>
      </c>
      <c r="S484" s="189" t="s">
        <v>120</v>
      </c>
      <c r="T484" s="189" t="s">
        <v>121</v>
      </c>
      <c r="V484" s="189" t="s">
        <v>123</v>
      </c>
      <c r="W484" s="189" t="s">
        <v>168</v>
      </c>
      <c r="X484" s="189" t="s">
        <v>374</v>
      </c>
      <c r="Y484" s="189" t="s">
        <v>3069</v>
      </c>
      <c r="Z484" s="0" t="n">
        <v>2</v>
      </c>
      <c r="AA484" s="189" t="s">
        <v>3157</v>
      </c>
    </row>
    <row r="485" customFormat="false" ht="15" hidden="false" customHeight="true" outlineLevel="0" collapsed="false">
      <c r="A485" s="0" t="n">
        <v>99</v>
      </c>
      <c r="B485" s="188" t="n">
        <v>46076.0187341689</v>
      </c>
      <c r="C485" s="188" t="n">
        <v>46076.0271137985</v>
      </c>
      <c r="D485" s="189" t="s">
        <v>909</v>
      </c>
      <c r="E485" s="189" t="s">
        <v>910</v>
      </c>
      <c r="F485" s="189" t="s">
        <v>910</v>
      </c>
      <c r="G485" s="189" t="s">
        <v>911</v>
      </c>
      <c r="H485" s="188" t="n">
        <v>46059</v>
      </c>
      <c r="I485" s="189" t="s">
        <v>113</v>
      </c>
      <c r="J485" s="189" t="s">
        <v>108</v>
      </c>
      <c r="K485" s="189" t="s">
        <v>245</v>
      </c>
      <c r="L485" s="189" t="s">
        <v>286</v>
      </c>
      <c r="M485" s="189" t="s">
        <v>864</v>
      </c>
      <c r="N485" s="189" t="s">
        <v>249</v>
      </c>
      <c r="O485" s="189" t="s">
        <v>172</v>
      </c>
      <c r="P485" s="189" t="s">
        <v>111</v>
      </c>
      <c r="Q485" s="189" t="s">
        <v>145</v>
      </c>
      <c r="R485" s="189" t="s">
        <v>24</v>
      </c>
      <c r="S485" s="189" t="s">
        <v>152</v>
      </c>
      <c r="T485" s="189" t="s">
        <v>180</v>
      </c>
      <c r="U485" s="189" t="s">
        <v>122</v>
      </c>
      <c r="V485" s="189" t="s">
        <v>123</v>
      </c>
      <c r="W485" s="189" t="s">
        <v>168</v>
      </c>
      <c r="X485" s="189" t="s">
        <v>214</v>
      </c>
      <c r="Y485" s="189" t="s">
        <v>3064</v>
      </c>
      <c r="Z485" s="0" t="n">
        <v>1</v>
      </c>
      <c r="AA485" s="189" t="s">
        <v>3139</v>
      </c>
    </row>
    <row r="486" customFormat="false" ht="15" hidden="false" customHeight="true" outlineLevel="0" collapsed="false">
      <c r="A486" s="0" t="n">
        <v>99</v>
      </c>
      <c r="B486" s="188" t="n">
        <v>46076.0187341689</v>
      </c>
      <c r="C486" s="188" t="n">
        <v>46076.0271137985</v>
      </c>
      <c r="D486" s="189" t="s">
        <v>909</v>
      </c>
      <c r="E486" s="189" t="s">
        <v>910</v>
      </c>
      <c r="F486" s="189" t="s">
        <v>910</v>
      </c>
      <c r="G486" s="189" t="s">
        <v>911</v>
      </c>
      <c r="H486" s="188" t="n">
        <v>46059</v>
      </c>
      <c r="I486" s="189" t="s">
        <v>113</v>
      </c>
      <c r="J486" s="189" t="s">
        <v>108</v>
      </c>
      <c r="K486" s="189" t="s">
        <v>245</v>
      </c>
      <c r="L486" s="189" t="s">
        <v>286</v>
      </c>
      <c r="M486" s="189" t="s">
        <v>864</v>
      </c>
      <c r="N486" s="189" t="s">
        <v>249</v>
      </c>
      <c r="O486" s="189" t="s">
        <v>172</v>
      </c>
      <c r="P486" s="189" t="s">
        <v>111</v>
      </c>
      <c r="Q486" s="189" t="s">
        <v>145</v>
      </c>
      <c r="R486" s="189" t="s">
        <v>24</v>
      </c>
      <c r="S486" s="189" t="s">
        <v>152</v>
      </c>
      <c r="T486" s="189" t="s">
        <v>180</v>
      </c>
      <c r="U486" s="189" t="s">
        <v>122</v>
      </c>
      <c r="V486" s="189" t="s">
        <v>123</v>
      </c>
      <c r="W486" s="189" t="s">
        <v>168</v>
      </c>
      <c r="X486" s="189" t="s">
        <v>214</v>
      </c>
      <c r="Y486" s="189" t="s">
        <v>3064</v>
      </c>
      <c r="Z486" s="0" t="n">
        <v>2</v>
      </c>
      <c r="AA486" s="189" t="s">
        <v>3095</v>
      </c>
    </row>
    <row r="487" customFormat="false" ht="15" hidden="false" customHeight="true" outlineLevel="0" collapsed="false">
      <c r="A487" s="0" t="n">
        <v>99</v>
      </c>
      <c r="B487" s="188" t="n">
        <v>46076.0187341689</v>
      </c>
      <c r="C487" s="188" t="n">
        <v>46076.0271137985</v>
      </c>
      <c r="D487" s="189" t="s">
        <v>909</v>
      </c>
      <c r="E487" s="189" t="s">
        <v>910</v>
      </c>
      <c r="F487" s="189" t="s">
        <v>910</v>
      </c>
      <c r="G487" s="189" t="s">
        <v>911</v>
      </c>
      <c r="H487" s="188" t="n">
        <v>46059</v>
      </c>
      <c r="I487" s="189" t="s">
        <v>113</v>
      </c>
      <c r="J487" s="189" t="s">
        <v>108</v>
      </c>
      <c r="K487" s="189" t="s">
        <v>245</v>
      </c>
      <c r="L487" s="189" t="s">
        <v>286</v>
      </c>
      <c r="M487" s="189" t="s">
        <v>864</v>
      </c>
      <c r="N487" s="189" t="s">
        <v>249</v>
      </c>
      <c r="O487" s="189" t="s">
        <v>172</v>
      </c>
      <c r="P487" s="189" t="s">
        <v>111</v>
      </c>
      <c r="Q487" s="189" t="s">
        <v>145</v>
      </c>
      <c r="R487" s="189" t="s">
        <v>24</v>
      </c>
      <c r="S487" s="189" t="s">
        <v>152</v>
      </c>
      <c r="T487" s="189" t="s">
        <v>180</v>
      </c>
      <c r="U487" s="189" t="s">
        <v>122</v>
      </c>
      <c r="V487" s="189" t="s">
        <v>123</v>
      </c>
      <c r="W487" s="189" t="s">
        <v>168</v>
      </c>
      <c r="X487" s="189" t="s">
        <v>214</v>
      </c>
      <c r="Y487" s="189" t="s">
        <v>3064</v>
      </c>
      <c r="Z487" s="0" t="n">
        <v>3</v>
      </c>
      <c r="AA487" s="189" t="s">
        <v>3065</v>
      </c>
    </row>
    <row r="488" customFormat="false" ht="15" hidden="false" customHeight="true" outlineLevel="0" collapsed="false">
      <c r="A488" s="0" t="n">
        <v>99</v>
      </c>
      <c r="B488" s="188" t="n">
        <v>46076.0187341689</v>
      </c>
      <c r="C488" s="188" t="n">
        <v>46076.0271137985</v>
      </c>
      <c r="D488" s="189" t="s">
        <v>909</v>
      </c>
      <c r="E488" s="189" t="s">
        <v>910</v>
      </c>
      <c r="F488" s="189" t="s">
        <v>910</v>
      </c>
      <c r="G488" s="189" t="s">
        <v>911</v>
      </c>
      <c r="H488" s="188" t="n">
        <v>46059</v>
      </c>
      <c r="I488" s="189" t="s">
        <v>113</v>
      </c>
      <c r="J488" s="189" t="s">
        <v>108</v>
      </c>
      <c r="K488" s="189" t="s">
        <v>245</v>
      </c>
      <c r="L488" s="189" t="s">
        <v>286</v>
      </c>
      <c r="M488" s="189" t="s">
        <v>864</v>
      </c>
      <c r="N488" s="189" t="s">
        <v>249</v>
      </c>
      <c r="O488" s="189" t="s">
        <v>172</v>
      </c>
      <c r="P488" s="189" t="s">
        <v>111</v>
      </c>
      <c r="Q488" s="189" t="s">
        <v>145</v>
      </c>
      <c r="R488" s="189" t="s">
        <v>24</v>
      </c>
      <c r="S488" s="189" t="s">
        <v>152</v>
      </c>
      <c r="T488" s="189" t="s">
        <v>180</v>
      </c>
      <c r="U488" s="189" t="s">
        <v>122</v>
      </c>
      <c r="V488" s="189" t="s">
        <v>123</v>
      </c>
      <c r="W488" s="189" t="s">
        <v>168</v>
      </c>
      <c r="X488" s="189" t="s">
        <v>214</v>
      </c>
      <c r="Y488" s="189" t="s">
        <v>3066</v>
      </c>
      <c r="Z488" s="0" t="n">
        <v>1</v>
      </c>
      <c r="AA488" s="189" t="s">
        <v>3082</v>
      </c>
    </row>
    <row r="489" customFormat="false" ht="15" hidden="false" customHeight="true" outlineLevel="0" collapsed="false">
      <c r="A489" s="0" t="n">
        <v>99</v>
      </c>
      <c r="B489" s="188" t="n">
        <v>46076.0187341689</v>
      </c>
      <c r="C489" s="188" t="n">
        <v>46076.0271137985</v>
      </c>
      <c r="D489" s="189" t="s">
        <v>909</v>
      </c>
      <c r="E489" s="189" t="s">
        <v>910</v>
      </c>
      <c r="F489" s="189" t="s">
        <v>910</v>
      </c>
      <c r="G489" s="189" t="s">
        <v>911</v>
      </c>
      <c r="H489" s="188" t="n">
        <v>46059</v>
      </c>
      <c r="I489" s="189" t="s">
        <v>113</v>
      </c>
      <c r="J489" s="189" t="s">
        <v>108</v>
      </c>
      <c r="K489" s="189" t="s">
        <v>245</v>
      </c>
      <c r="L489" s="189" t="s">
        <v>286</v>
      </c>
      <c r="M489" s="189" t="s">
        <v>864</v>
      </c>
      <c r="N489" s="189" t="s">
        <v>249</v>
      </c>
      <c r="O489" s="189" t="s">
        <v>172</v>
      </c>
      <c r="P489" s="189" t="s">
        <v>111</v>
      </c>
      <c r="Q489" s="189" t="s">
        <v>145</v>
      </c>
      <c r="R489" s="189" t="s">
        <v>24</v>
      </c>
      <c r="S489" s="189" t="s">
        <v>152</v>
      </c>
      <c r="T489" s="189" t="s">
        <v>180</v>
      </c>
      <c r="U489" s="189" t="s">
        <v>122</v>
      </c>
      <c r="V489" s="189" t="s">
        <v>123</v>
      </c>
      <c r="W489" s="189" t="s">
        <v>168</v>
      </c>
      <c r="X489" s="189" t="s">
        <v>214</v>
      </c>
      <c r="Y489" s="189" t="s">
        <v>3066</v>
      </c>
      <c r="Z489" s="0" t="n">
        <v>2</v>
      </c>
      <c r="AA489" s="189" t="s">
        <v>3211</v>
      </c>
    </row>
    <row r="490" customFormat="false" ht="15" hidden="false" customHeight="true" outlineLevel="0" collapsed="false">
      <c r="A490" s="0" t="n">
        <v>99</v>
      </c>
      <c r="B490" s="188" t="n">
        <v>46076.0187341689</v>
      </c>
      <c r="C490" s="188" t="n">
        <v>46076.0271137985</v>
      </c>
      <c r="D490" s="189" t="s">
        <v>909</v>
      </c>
      <c r="E490" s="189" t="s">
        <v>910</v>
      </c>
      <c r="F490" s="189" t="s">
        <v>910</v>
      </c>
      <c r="G490" s="189" t="s">
        <v>911</v>
      </c>
      <c r="H490" s="188" t="n">
        <v>46059</v>
      </c>
      <c r="I490" s="189" t="s">
        <v>113</v>
      </c>
      <c r="J490" s="189" t="s">
        <v>108</v>
      </c>
      <c r="K490" s="189" t="s">
        <v>245</v>
      </c>
      <c r="L490" s="189" t="s">
        <v>286</v>
      </c>
      <c r="M490" s="189" t="s">
        <v>864</v>
      </c>
      <c r="N490" s="189" t="s">
        <v>249</v>
      </c>
      <c r="O490" s="189" t="s">
        <v>172</v>
      </c>
      <c r="P490" s="189" t="s">
        <v>111</v>
      </c>
      <c r="Q490" s="189" t="s">
        <v>145</v>
      </c>
      <c r="R490" s="189" t="s">
        <v>24</v>
      </c>
      <c r="S490" s="189" t="s">
        <v>152</v>
      </c>
      <c r="T490" s="189" t="s">
        <v>180</v>
      </c>
      <c r="U490" s="189" t="s">
        <v>122</v>
      </c>
      <c r="V490" s="189" t="s">
        <v>123</v>
      </c>
      <c r="W490" s="189" t="s">
        <v>168</v>
      </c>
      <c r="X490" s="189" t="s">
        <v>214</v>
      </c>
      <c r="Y490" s="189" t="s">
        <v>3069</v>
      </c>
      <c r="Z490" s="0" t="n">
        <v>1</v>
      </c>
      <c r="AA490" s="189" t="s">
        <v>3108</v>
      </c>
    </row>
    <row r="491" customFormat="false" ht="15" hidden="false" customHeight="true" outlineLevel="0" collapsed="false">
      <c r="A491" s="0" t="n">
        <v>99</v>
      </c>
      <c r="B491" s="188" t="n">
        <v>46076.0187341689</v>
      </c>
      <c r="C491" s="188" t="n">
        <v>46076.0271137985</v>
      </c>
      <c r="D491" s="189" t="s">
        <v>909</v>
      </c>
      <c r="E491" s="189" t="s">
        <v>910</v>
      </c>
      <c r="F491" s="189" t="s">
        <v>910</v>
      </c>
      <c r="G491" s="189" t="s">
        <v>911</v>
      </c>
      <c r="H491" s="188" t="n">
        <v>46059</v>
      </c>
      <c r="I491" s="189" t="s">
        <v>113</v>
      </c>
      <c r="J491" s="189" t="s">
        <v>108</v>
      </c>
      <c r="K491" s="189" t="s">
        <v>245</v>
      </c>
      <c r="L491" s="189" t="s">
        <v>286</v>
      </c>
      <c r="M491" s="189" t="s">
        <v>864</v>
      </c>
      <c r="N491" s="189" t="s">
        <v>249</v>
      </c>
      <c r="O491" s="189" t="s">
        <v>172</v>
      </c>
      <c r="P491" s="189" t="s">
        <v>111</v>
      </c>
      <c r="Q491" s="189" t="s">
        <v>145</v>
      </c>
      <c r="R491" s="189" t="s">
        <v>24</v>
      </c>
      <c r="S491" s="189" t="s">
        <v>152</v>
      </c>
      <c r="T491" s="189" t="s">
        <v>180</v>
      </c>
      <c r="U491" s="189" t="s">
        <v>122</v>
      </c>
      <c r="V491" s="189" t="s">
        <v>123</v>
      </c>
      <c r="W491" s="189" t="s">
        <v>168</v>
      </c>
      <c r="X491" s="189" t="s">
        <v>214</v>
      </c>
      <c r="Y491" s="189" t="s">
        <v>3069</v>
      </c>
      <c r="Z491" s="0" t="n">
        <v>2</v>
      </c>
      <c r="AA491" s="189" t="s">
        <v>3070</v>
      </c>
    </row>
    <row r="492" customFormat="false" ht="15" hidden="false" customHeight="true" outlineLevel="0" collapsed="false">
      <c r="A492" s="0" t="n">
        <v>100</v>
      </c>
      <c r="B492" s="188" t="n">
        <v>46109.5305772482</v>
      </c>
      <c r="C492" s="188" t="n">
        <v>46109.5374753964</v>
      </c>
      <c r="D492" s="189" t="s">
        <v>915</v>
      </c>
      <c r="E492" s="189" t="s">
        <v>916</v>
      </c>
      <c r="F492" s="189" t="s">
        <v>917</v>
      </c>
      <c r="G492" s="189" t="s">
        <v>918</v>
      </c>
      <c r="H492" s="188" t="n">
        <v>46102</v>
      </c>
      <c r="I492" s="189" t="s">
        <v>113</v>
      </c>
      <c r="J492" s="189" t="s">
        <v>295</v>
      </c>
      <c r="K492" s="189" t="s">
        <v>173</v>
      </c>
      <c r="L492" s="189" t="s">
        <v>184</v>
      </c>
      <c r="M492" s="189" t="s">
        <v>174</v>
      </c>
      <c r="N492" s="189" t="s">
        <v>523</v>
      </c>
      <c r="O492" s="189" t="s">
        <v>107</v>
      </c>
      <c r="P492" s="189" t="s">
        <v>111</v>
      </c>
      <c r="Q492" s="189" t="s">
        <v>198</v>
      </c>
      <c r="R492" s="189" t="s">
        <v>22</v>
      </c>
      <c r="S492" s="189" t="s">
        <v>152</v>
      </c>
      <c r="T492" s="189" t="s">
        <v>121</v>
      </c>
      <c r="V492" s="189" t="s">
        <v>192</v>
      </c>
      <c r="W492" s="189" t="s">
        <v>124</v>
      </c>
      <c r="X492" s="189" t="s">
        <v>271</v>
      </c>
      <c r="Y492" s="189" t="s">
        <v>3064</v>
      </c>
      <c r="Z492" s="0" t="n">
        <v>1</v>
      </c>
      <c r="AA492" s="189" t="s">
        <v>3136</v>
      </c>
    </row>
    <row r="493" customFormat="false" ht="15" hidden="false" customHeight="true" outlineLevel="0" collapsed="false">
      <c r="A493" s="0" t="n">
        <v>100</v>
      </c>
      <c r="B493" s="188" t="n">
        <v>46109.5305772482</v>
      </c>
      <c r="C493" s="188" t="n">
        <v>46109.5374753964</v>
      </c>
      <c r="D493" s="189" t="s">
        <v>915</v>
      </c>
      <c r="E493" s="189" t="s">
        <v>916</v>
      </c>
      <c r="F493" s="189" t="s">
        <v>917</v>
      </c>
      <c r="G493" s="189" t="s">
        <v>918</v>
      </c>
      <c r="H493" s="188" t="n">
        <v>46102</v>
      </c>
      <c r="I493" s="189" t="s">
        <v>113</v>
      </c>
      <c r="J493" s="189" t="s">
        <v>295</v>
      </c>
      <c r="K493" s="189" t="s">
        <v>173</v>
      </c>
      <c r="L493" s="189" t="s">
        <v>184</v>
      </c>
      <c r="M493" s="189" t="s">
        <v>174</v>
      </c>
      <c r="N493" s="189" t="s">
        <v>523</v>
      </c>
      <c r="O493" s="189" t="s">
        <v>107</v>
      </c>
      <c r="P493" s="189" t="s">
        <v>111</v>
      </c>
      <c r="Q493" s="189" t="s">
        <v>198</v>
      </c>
      <c r="R493" s="189" t="s">
        <v>22</v>
      </c>
      <c r="S493" s="189" t="s">
        <v>152</v>
      </c>
      <c r="T493" s="189" t="s">
        <v>121</v>
      </c>
      <c r="V493" s="189" t="s">
        <v>192</v>
      </c>
      <c r="W493" s="189" t="s">
        <v>124</v>
      </c>
      <c r="X493" s="189" t="s">
        <v>271</v>
      </c>
      <c r="Y493" s="189" t="s">
        <v>3064</v>
      </c>
      <c r="Z493" s="0" t="n">
        <v>2</v>
      </c>
      <c r="AA493" s="189" t="s">
        <v>3115</v>
      </c>
    </row>
    <row r="494" customFormat="false" ht="15" hidden="false" customHeight="true" outlineLevel="0" collapsed="false">
      <c r="A494" s="0" t="n">
        <v>100</v>
      </c>
      <c r="B494" s="188" t="n">
        <v>46109.5305772482</v>
      </c>
      <c r="C494" s="188" t="n">
        <v>46109.5374753964</v>
      </c>
      <c r="D494" s="189" t="s">
        <v>915</v>
      </c>
      <c r="E494" s="189" t="s">
        <v>916</v>
      </c>
      <c r="F494" s="189" t="s">
        <v>917</v>
      </c>
      <c r="G494" s="189" t="s">
        <v>918</v>
      </c>
      <c r="H494" s="188" t="n">
        <v>46102</v>
      </c>
      <c r="I494" s="189" t="s">
        <v>113</v>
      </c>
      <c r="J494" s="189" t="s">
        <v>295</v>
      </c>
      <c r="K494" s="189" t="s">
        <v>173</v>
      </c>
      <c r="L494" s="189" t="s">
        <v>184</v>
      </c>
      <c r="M494" s="189" t="s">
        <v>174</v>
      </c>
      <c r="N494" s="189" t="s">
        <v>523</v>
      </c>
      <c r="O494" s="189" t="s">
        <v>107</v>
      </c>
      <c r="P494" s="189" t="s">
        <v>111</v>
      </c>
      <c r="Q494" s="189" t="s">
        <v>198</v>
      </c>
      <c r="R494" s="189" t="s">
        <v>22</v>
      </c>
      <c r="S494" s="189" t="s">
        <v>152</v>
      </c>
      <c r="T494" s="189" t="s">
        <v>121</v>
      </c>
      <c r="V494" s="189" t="s">
        <v>192</v>
      </c>
      <c r="W494" s="189" t="s">
        <v>124</v>
      </c>
      <c r="X494" s="189" t="s">
        <v>271</v>
      </c>
      <c r="Y494" s="189" t="s">
        <v>3064</v>
      </c>
      <c r="Z494" s="0" t="n">
        <v>3</v>
      </c>
      <c r="AA494" s="189" t="s">
        <v>3114</v>
      </c>
    </row>
    <row r="495" customFormat="false" ht="15" hidden="false" customHeight="true" outlineLevel="0" collapsed="false">
      <c r="A495" s="0" t="n">
        <v>100</v>
      </c>
      <c r="B495" s="188" t="n">
        <v>46109.5305772482</v>
      </c>
      <c r="C495" s="188" t="n">
        <v>46109.5374753964</v>
      </c>
      <c r="D495" s="189" t="s">
        <v>915</v>
      </c>
      <c r="E495" s="189" t="s">
        <v>916</v>
      </c>
      <c r="F495" s="189" t="s">
        <v>917</v>
      </c>
      <c r="G495" s="189" t="s">
        <v>918</v>
      </c>
      <c r="H495" s="188" t="n">
        <v>46102</v>
      </c>
      <c r="I495" s="189" t="s">
        <v>113</v>
      </c>
      <c r="J495" s="189" t="s">
        <v>295</v>
      </c>
      <c r="K495" s="189" t="s">
        <v>173</v>
      </c>
      <c r="L495" s="189" t="s">
        <v>184</v>
      </c>
      <c r="M495" s="189" t="s">
        <v>174</v>
      </c>
      <c r="N495" s="189" t="s">
        <v>523</v>
      </c>
      <c r="O495" s="189" t="s">
        <v>107</v>
      </c>
      <c r="P495" s="189" t="s">
        <v>111</v>
      </c>
      <c r="Q495" s="189" t="s">
        <v>198</v>
      </c>
      <c r="R495" s="189" t="s">
        <v>22</v>
      </c>
      <c r="S495" s="189" t="s">
        <v>152</v>
      </c>
      <c r="T495" s="189" t="s">
        <v>121</v>
      </c>
      <c r="V495" s="189" t="s">
        <v>192</v>
      </c>
      <c r="W495" s="189" t="s">
        <v>124</v>
      </c>
      <c r="X495" s="189" t="s">
        <v>271</v>
      </c>
      <c r="Y495" s="189" t="s">
        <v>3066</v>
      </c>
      <c r="Z495" s="0" t="n">
        <v>1</v>
      </c>
      <c r="AA495" s="189" t="s">
        <v>3116</v>
      </c>
    </row>
    <row r="496" customFormat="false" ht="15" hidden="false" customHeight="true" outlineLevel="0" collapsed="false">
      <c r="A496" s="0" t="n">
        <v>100</v>
      </c>
      <c r="B496" s="188" t="n">
        <v>46109.5305772482</v>
      </c>
      <c r="C496" s="188" t="n">
        <v>46109.5374753964</v>
      </c>
      <c r="D496" s="189" t="s">
        <v>915</v>
      </c>
      <c r="E496" s="189" t="s">
        <v>916</v>
      </c>
      <c r="F496" s="189" t="s">
        <v>917</v>
      </c>
      <c r="G496" s="189" t="s">
        <v>918</v>
      </c>
      <c r="H496" s="188" t="n">
        <v>46102</v>
      </c>
      <c r="I496" s="189" t="s">
        <v>113</v>
      </c>
      <c r="J496" s="189" t="s">
        <v>295</v>
      </c>
      <c r="K496" s="189" t="s">
        <v>173</v>
      </c>
      <c r="L496" s="189" t="s">
        <v>184</v>
      </c>
      <c r="M496" s="189" t="s">
        <v>174</v>
      </c>
      <c r="N496" s="189" t="s">
        <v>523</v>
      </c>
      <c r="O496" s="189" t="s">
        <v>107</v>
      </c>
      <c r="P496" s="189" t="s">
        <v>111</v>
      </c>
      <c r="Q496" s="189" t="s">
        <v>198</v>
      </c>
      <c r="R496" s="189" t="s">
        <v>22</v>
      </c>
      <c r="S496" s="189" t="s">
        <v>152</v>
      </c>
      <c r="T496" s="189" t="s">
        <v>121</v>
      </c>
      <c r="V496" s="189" t="s">
        <v>192</v>
      </c>
      <c r="W496" s="189" t="s">
        <v>124</v>
      </c>
      <c r="X496" s="189" t="s">
        <v>271</v>
      </c>
      <c r="Y496" s="189" t="s">
        <v>3066</v>
      </c>
      <c r="Z496" s="0" t="n">
        <v>2</v>
      </c>
      <c r="AA496" s="189" t="s">
        <v>3117</v>
      </c>
    </row>
    <row r="497" customFormat="false" ht="15" hidden="false" customHeight="true" outlineLevel="0" collapsed="false">
      <c r="A497" s="0" t="n">
        <v>100</v>
      </c>
      <c r="B497" s="188" t="n">
        <v>46109.5305772482</v>
      </c>
      <c r="C497" s="188" t="n">
        <v>46109.5374753964</v>
      </c>
      <c r="D497" s="189" t="s">
        <v>915</v>
      </c>
      <c r="E497" s="189" t="s">
        <v>916</v>
      </c>
      <c r="F497" s="189" t="s">
        <v>917</v>
      </c>
      <c r="G497" s="189" t="s">
        <v>918</v>
      </c>
      <c r="H497" s="188" t="n">
        <v>46102</v>
      </c>
      <c r="I497" s="189" t="s">
        <v>113</v>
      </c>
      <c r="J497" s="189" t="s">
        <v>295</v>
      </c>
      <c r="K497" s="189" t="s">
        <v>173</v>
      </c>
      <c r="L497" s="189" t="s">
        <v>184</v>
      </c>
      <c r="M497" s="189" t="s">
        <v>174</v>
      </c>
      <c r="N497" s="189" t="s">
        <v>523</v>
      </c>
      <c r="O497" s="189" t="s">
        <v>107</v>
      </c>
      <c r="P497" s="189" t="s">
        <v>111</v>
      </c>
      <c r="Q497" s="189" t="s">
        <v>198</v>
      </c>
      <c r="R497" s="189" t="s">
        <v>22</v>
      </c>
      <c r="S497" s="189" t="s">
        <v>152</v>
      </c>
      <c r="T497" s="189" t="s">
        <v>121</v>
      </c>
      <c r="V497" s="189" t="s">
        <v>192</v>
      </c>
      <c r="W497" s="189" t="s">
        <v>124</v>
      </c>
      <c r="X497" s="189" t="s">
        <v>271</v>
      </c>
      <c r="Y497" s="189" t="s">
        <v>3069</v>
      </c>
      <c r="Z497" s="0" t="n">
        <v>1</v>
      </c>
      <c r="AA497" s="189" t="s">
        <v>3119</v>
      </c>
    </row>
    <row r="498" customFormat="false" ht="15" hidden="false" customHeight="true" outlineLevel="0" collapsed="false">
      <c r="A498" s="0" t="n">
        <v>101</v>
      </c>
      <c r="B498" s="188" t="n">
        <v>46104.8961967369</v>
      </c>
      <c r="C498" s="188" t="n">
        <v>46104.9166944221</v>
      </c>
      <c r="D498" s="189" t="s">
        <v>921</v>
      </c>
      <c r="E498" s="189" t="s">
        <v>922</v>
      </c>
      <c r="F498" s="189" t="s">
        <v>922</v>
      </c>
      <c r="G498" s="189" t="s">
        <v>923</v>
      </c>
      <c r="H498" s="188" t="n">
        <v>46099</v>
      </c>
      <c r="I498" s="189" t="s">
        <v>325</v>
      </c>
      <c r="J498" s="189" t="s">
        <v>295</v>
      </c>
      <c r="K498" s="189" t="s">
        <v>173</v>
      </c>
      <c r="L498" s="189" t="s">
        <v>431</v>
      </c>
      <c r="M498" s="189" t="s">
        <v>543</v>
      </c>
      <c r="N498" s="189" t="s">
        <v>161</v>
      </c>
      <c r="O498" s="189" t="s">
        <v>713</v>
      </c>
      <c r="P498" s="189" t="s">
        <v>111</v>
      </c>
      <c r="Q498" s="189" t="s">
        <v>145</v>
      </c>
      <c r="R498" s="189" t="s">
        <v>24</v>
      </c>
      <c r="S498" s="189" t="s">
        <v>120</v>
      </c>
      <c r="T498" s="189" t="s">
        <v>121</v>
      </c>
      <c r="U498" s="189" t="s">
        <v>927</v>
      </c>
      <c r="V498" s="189" t="s">
        <v>192</v>
      </c>
      <c r="W498" s="189" t="s">
        <v>124</v>
      </c>
      <c r="X498" s="189" t="s">
        <v>260</v>
      </c>
      <c r="Y498" s="189" t="s">
        <v>3064</v>
      </c>
      <c r="Z498" s="0" t="n">
        <v>1</v>
      </c>
      <c r="AA498" s="189" t="s">
        <v>606</v>
      </c>
    </row>
    <row r="499" customFormat="false" ht="15" hidden="false" customHeight="true" outlineLevel="0" collapsed="false">
      <c r="A499" s="0" t="n">
        <v>101</v>
      </c>
      <c r="B499" s="188" t="n">
        <v>46104.8961967369</v>
      </c>
      <c r="C499" s="188" t="n">
        <v>46104.9166944221</v>
      </c>
      <c r="D499" s="189" t="s">
        <v>921</v>
      </c>
      <c r="E499" s="189" t="s">
        <v>922</v>
      </c>
      <c r="F499" s="189" t="s">
        <v>922</v>
      </c>
      <c r="G499" s="189" t="s">
        <v>923</v>
      </c>
      <c r="H499" s="188" t="n">
        <v>46099</v>
      </c>
      <c r="I499" s="189" t="s">
        <v>325</v>
      </c>
      <c r="J499" s="189" t="s">
        <v>295</v>
      </c>
      <c r="K499" s="189" t="s">
        <v>173</v>
      </c>
      <c r="L499" s="189" t="s">
        <v>431</v>
      </c>
      <c r="M499" s="189" t="s">
        <v>543</v>
      </c>
      <c r="N499" s="189" t="s">
        <v>161</v>
      </c>
      <c r="O499" s="189" t="s">
        <v>713</v>
      </c>
      <c r="P499" s="189" t="s">
        <v>111</v>
      </c>
      <c r="Q499" s="189" t="s">
        <v>145</v>
      </c>
      <c r="R499" s="189" t="s">
        <v>24</v>
      </c>
      <c r="S499" s="189" t="s">
        <v>120</v>
      </c>
      <c r="T499" s="189" t="s">
        <v>121</v>
      </c>
      <c r="U499" s="189" t="s">
        <v>927</v>
      </c>
      <c r="V499" s="189" t="s">
        <v>192</v>
      </c>
      <c r="W499" s="189" t="s">
        <v>124</v>
      </c>
      <c r="X499" s="189" t="s">
        <v>260</v>
      </c>
      <c r="Y499" s="189" t="s">
        <v>3064</v>
      </c>
      <c r="Z499" s="0" t="n">
        <v>2</v>
      </c>
      <c r="AA499" s="189" t="s">
        <v>3262</v>
      </c>
    </row>
    <row r="500" customFormat="false" ht="15" hidden="false" customHeight="true" outlineLevel="0" collapsed="false">
      <c r="A500" s="0" t="n">
        <v>101</v>
      </c>
      <c r="B500" s="188" t="n">
        <v>46104.8961967369</v>
      </c>
      <c r="C500" s="188" t="n">
        <v>46104.9166944221</v>
      </c>
      <c r="D500" s="189" t="s">
        <v>921</v>
      </c>
      <c r="E500" s="189" t="s">
        <v>922</v>
      </c>
      <c r="F500" s="189" t="s">
        <v>922</v>
      </c>
      <c r="G500" s="189" t="s">
        <v>923</v>
      </c>
      <c r="H500" s="188" t="n">
        <v>46099</v>
      </c>
      <c r="I500" s="189" t="s">
        <v>325</v>
      </c>
      <c r="J500" s="189" t="s">
        <v>295</v>
      </c>
      <c r="K500" s="189" t="s">
        <v>173</v>
      </c>
      <c r="L500" s="189" t="s">
        <v>431</v>
      </c>
      <c r="M500" s="189" t="s">
        <v>543</v>
      </c>
      <c r="N500" s="189" t="s">
        <v>161</v>
      </c>
      <c r="O500" s="189" t="s">
        <v>713</v>
      </c>
      <c r="P500" s="189" t="s">
        <v>111</v>
      </c>
      <c r="Q500" s="189" t="s">
        <v>145</v>
      </c>
      <c r="R500" s="189" t="s">
        <v>24</v>
      </c>
      <c r="S500" s="189" t="s">
        <v>120</v>
      </c>
      <c r="T500" s="189" t="s">
        <v>121</v>
      </c>
      <c r="U500" s="189" t="s">
        <v>927</v>
      </c>
      <c r="V500" s="189" t="s">
        <v>192</v>
      </c>
      <c r="W500" s="189" t="s">
        <v>124</v>
      </c>
      <c r="X500" s="189" t="s">
        <v>260</v>
      </c>
      <c r="Y500" s="189" t="s">
        <v>3066</v>
      </c>
      <c r="Z500" s="0" t="n">
        <v>1</v>
      </c>
      <c r="AA500" s="189" t="s">
        <v>191</v>
      </c>
    </row>
    <row r="501" customFormat="false" ht="15" hidden="false" customHeight="true" outlineLevel="0" collapsed="false">
      <c r="A501" s="0" t="n">
        <v>101</v>
      </c>
      <c r="B501" s="188" t="n">
        <v>46104.8961967369</v>
      </c>
      <c r="C501" s="188" t="n">
        <v>46104.9166944221</v>
      </c>
      <c r="D501" s="189" t="s">
        <v>921</v>
      </c>
      <c r="E501" s="189" t="s">
        <v>922</v>
      </c>
      <c r="F501" s="189" t="s">
        <v>922</v>
      </c>
      <c r="G501" s="189" t="s">
        <v>923</v>
      </c>
      <c r="H501" s="188" t="n">
        <v>46099</v>
      </c>
      <c r="I501" s="189" t="s">
        <v>325</v>
      </c>
      <c r="J501" s="189" t="s">
        <v>295</v>
      </c>
      <c r="K501" s="189" t="s">
        <v>173</v>
      </c>
      <c r="L501" s="189" t="s">
        <v>431</v>
      </c>
      <c r="M501" s="189" t="s">
        <v>543</v>
      </c>
      <c r="N501" s="189" t="s">
        <v>161</v>
      </c>
      <c r="O501" s="189" t="s">
        <v>713</v>
      </c>
      <c r="P501" s="189" t="s">
        <v>111</v>
      </c>
      <c r="Q501" s="189" t="s">
        <v>145</v>
      </c>
      <c r="R501" s="189" t="s">
        <v>24</v>
      </c>
      <c r="S501" s="189" t="s">
        <v>120</v>
      </c>
      <c r="T501" s="189" t="s">
        <v>121</v>
      </c>
      <c r="U501" s="189" t="s">
        <v>927</v>
      </c>
      <c r="V501" s="189" t="s">
        <v>192</v>
      </c>
      <c r="W501" s="189" t="s">
        <v>124</v>
      </c>
      <c r="X501" s="189" t="s">
        <v>260</v>
      </c>
      <c r="Y501" s="189" t="s">
        <v>3066</v>
      </c>
      <c r="Z501" s="0" t="n">
        <v>2</v>
      </c>
      <c r="AA501" s="189" t="s">
        <v>122</v>
      </c>
    </row>
    <row r="502" customFormat="false" ht="15" hidden="false" customHeight="true" outlineLevel="0" collapsed="false">
      <c r="A502" s="0" t="n">
        <v>101</v>
      </c>
      <c r="B502" s="188" t="n">
        <v>46104.8961967369</v>
      </c>
      <c r="C502" s="188" t="n">
        <v>46104.9166944221</v>
      </c>
      <c r="D502" s="189" t="s">
        <v>921</v>
      </c>
      <c r="E502" s="189" t="s">
        <v>922</v>
      </c>
      <c r="F502" s="189" t="s">
        <v>922</v>
      </c>
      <c r="G502" s="189" t="s">
        <v>923</v>
      </c>
      <c r="H502" s="188" t="n">
        <v>46099</v>
      </c>
      <c r="I502" s="189" t="s">
        <v>325</v>
      </c>
      <c r="J502" s="189" t="s">
        <v>295</v>
      </c>
      <c r="K502" s="189" t="s">
        <v>173</v>
      </c>
      <c r="L502" s="189" t="s">
        <v>431</v>
      </c>
      <c r="M502" s="189" t="s">
        <v>543</v>
      </c>
      <c r="N502" s="189" t="s">
        <v>161</v>
      </c>
      <c r="O502" s="189" t="s">
        <v>713</v>
      </c>
      <c r="P502" s="189" t="s">
        <v>111</v>
      </c>
      <c r="Q502" s="189" t="s">
        <v>145</v>
      </c>
      <c r="R502" s="189" t="s">
        <v>24</v>
      </c>
      <c r="S502" s="189" t="s">
        <v>120</v>
      </c>
      <c r="T502" s="189" t="s">
        <v>121</v>
      </c>
      <c r="U502" s="189" t="s">
        <v>927</v>
      </c>
      <c r="V502" s="189" t="s">
        <v>192</v>
      </c>
      <c r="W502" s="189" t="s">
        <v>124</v>
      </c>
      <c r="X502" s="189" t="s">
        <v>260</v>
      </c>
      <c r="Y502" s="189" t="s">
        <v>3069</v>
      </c>
      <c r="Z502" s="0" t="n">
        <v>1</v>
      </c>
      <c r="AA502" s="189" t="s">
        <v>3113</v>
      </c>
    </row>
    <row r="503" customFormat="false" ht="15" hidden="false" customHeight="true" outlineLevel="0" collapsed="false">
      <c r="A503" s="0" t="n">
        <v>102</v>
      </c>
      <c r="B503" s="188" t="n">
        <v>46034.8850420646</v>
      </c>
      <c r="C503" s="188" t="n">
        <v>46034.8948800276</v>
      </c>
      <c r="D503" s="189" t="s">
        <v>929</v>
      </c>
      <c r="E503" s="189" t="s">
        <v>930</v>
      </c>
      <c r="F503" s="189" t="s">
        <v>930</v>
      </c>
      <c r="G503" s="189" t="s">
        <v>931</v>
      </c>
      <c r="H503" s="188" t="n">
        <v>46029</v>
      </c>
      <c r="I503" s="189" t="s">
        <v>336</v>
      </c>
      <c r="J503" s="189" t="s">
        <v>295</v>
      </c>
      <c r="K503" s="189" t="s">
        <v>932</v>
      </c>
      <c r="L503" s="189" t="s">
        <v>268</v>
      </c>
      <c r="M503" s="189" t="s">
        <v>199</v>
      </c>
      <c r="N503" s="189" t="s">
        <v>552</v>
      </c>
      <c r="O503" s="189" t="s">
        <v>172</v>
      </c>
      <c r="P503" s="189" t="s">
        <v>111</v>
      </c>
      <c r="Q503" s="189" t="s">
        <v>247</v>
      </c>
      <c r="R503" s="189" t="s">
        <v>25</v>
      </c>
      <c r="S503" s="189" t="s">
        <v>152</v>
      </c>
      <c r="T503" s="189" t="s">
        <v>352</v>
      </c>
      <c r="U503" s="189" t="s">
        <v>122</v>
      </c>
      <c r="V503" s="189" t="s">
        <v>123</v>
      </c>
      <c r="W503" s="189" t="s">
        <v>168</v>
      </c>
      <c r="X503" s="189" t="s">
        <v>327</v>
      </c>
      <c r="Y503" s="189" t="s">
        <v>3064</v>
      </c>
      <c r="Z503" s="0" t="n">
        <v>1</v>
      </c>
      <c r="AA503" s="189" t="s">
        <v>3065</v>
      </c>
    </row>
    <row r="504" customFormat="false" ht="15" hidden="false" customHeight="true" outlineLevel="0" collapsed="false">
      <c r="A504" s="0" t="n">
        <v>102</v>
      </c>
      <c r="B504" s="188" t="n">
        <v>46034.8850420646</v>
      </c>
      <c r="C504" s="188" t="n">
        <v>46034.8948800276</v>
      </c>
      <c r="D504" s="189" t="s">
        <v>929</v>
      </c>
      <c r="E504" s="189" t="s">
        <v>930</v>
      </c>
      <c r="F504" s="189" t="s">
        <v>930</v>
      </c>
      <c r="G504" s="189" t="s">
        <v>931</v>
      </c>
      <c r="H504" s="188" t="n">
        <v>46029</v>
      </c>
      <c r="I504" s="189" t="s">
        <v>336</v>
      </c>
      <c r="J504" s="189" t="s">
        <v>295</v>
      </c>
      <c r="K504" s="189" t="s">
        <v>932</v>
      </c>
      <c r="L504" s="189" t="s">
        <v>268</v>
      </c>
      <c r="M504" s="189" t="s">
        <v>199</v>
      </c>
      <c r="N504" s="189" t="s">
        <v>552</v>
      </c>
      <c r="O504" s="189" t="s">
        <v>172</v>
      </c>
      <c r="P504" s="189" t="s">
        <v>111</v>
      </c>
      <c r="Q504" s="189" t="s">
        <v>247</v>
      </c>
      <c r="R504" s="189" t="s">
        <v>25</v>
      </c>
      <c r="S504" s="189" t="s">
        <v>152</v>
      </c>
      <c r="T504" s="189" t="s">
        <v>352</v>
      </c>
      <c r="U504" s="189" t="s">
        <v>122</v>
      </c>
      <c r="V504" s="189" t="s">
        <v>123</v>
      </c>
      <c r="W504" s="189" t="s">
        <v>168</v>
      </c>
      <c r="X504" s="189" t="s">
        <v>327</v>
      </c>
      <c r="Y504" s="189" t="s">
        <v>3066</v>
      </c>
      <c r="Z504" s="0" t="n">
        <v>1</v>
      </c>
      <c r="AA504" s="189" t="s">
        <v>3211</v>
      </c>
    </row>
    <row r="505" customFormat="false" ht="15" hidden="false" customHeight="true" outlineLevel="0" collapsed="false">
      <c r="A505" s="0" t="n">
        <v>102</v>
      </c>
      <c r="B505" s="188" t="n">
        <v>46034.8850420646</v>
      </c>
      <c r="C505" s="188" t="n">
        <v>46034.8948800276</v>
      </c>
      <c r="D505" s="189" t="s">
        <v>929</v>
      </c>
      <c r="E505" s="189" t="s">
        <v>930</v>
      </c>
      <c r="F505" s="189" t="s">
        <v>930</v>
      </c>
      <c r="G505" s="189" t="s">
        <v>931</v>
      </c>
      <c r="H505" s="188" t="n">
        <v>46029</v>
      </c>
      <c r="I505" s="189" t="s">
        <v>336</v>
      </c>
      <c r="J505" s="189" t="s">
        <v>295</v>
      </c>
      <c r="K505" s="189" t="s">
        <v>932</v>
      </c>
      <c r="L505" s="189" t="s">
        <v>268</v>
      </c>
      <c r="M505" s="189" t="s">
        <v>199</v>
      </c>
      <c r="N505" s="189" t="s">
        <v>552</v>
      </c>
      <c r="O505" s="189" t="s">
        <v>172</v>
      </c>
      <c r="P505" s="189" t="s">
        <v>111</v>
      </c>
      <c r="Q505" s="189" t="s">
        <v>247</v>
      </c>
      <c r="R505" s="189" t="s">
        <v>25</v>
      </c>
      <c r="S505" s="189" t="s">
        <v>152</v>
      </c>
      <c r="T505" s="189" t="s">
        <v>352</v>
      </c>
      <c r="U505" s="189" t="s">
        <v>122</v>
      </c>
      <c r="V505" s="189" t="s">
        <v>123</v>
      </c>
      <c r="W505" s="189" t="s">
        <v>168</v>
      </c>
      <c r="X505" s="189" t="s">
        <v>327</v>
      </c>
      <c r="Y505" s="189" t="s">
        <v>3066</v>
      </c>
      <c r="Z505" s="0" t="n">
        <v>2</v>
      </c>
      <c r="AA505" s="189" t="s">
        <v>3067</v>
      </c>
    </row>
    <row r="506" customFormat="false" ht="15" hidden="false" customHeight="true" outlineLevel="0" collapsed="false">
      <c r="A506" s="0" t="n">
        <v>102</v>
      </c>
      <c r="B506" s="188" t="n">
        <v>46034.8850420646</v>
      </c>
      <c r="C506" s="188" t="n">
        <v>46034.8948800276</v>
      </c>
      <c r="D506" s="189" t="s">
        <v>929</v>
      </c>
      <c r="E506" s="189" t="s">
        <v>930</v>
      </c>
      <c r="F506" s="189" t="s">
        <v>930</v>
      </c>
      <c r="G506" s="189" t="s">
        <v>931</v>
      </c>
      <c r="H506" s="188" t="n">
        <v>46029</v>
      </c>
      <c r="I506" s="189" t="s">
        <v>336</v>
      </c>
      <c r="J506" s="189" t="s">
        <v>295</v>
      </c>
      <c r="K506" s="189" t="s">
        <v>932</v>
      </c>
      <c r="L506" s="189" t="s">
        <v>268</v>
      </c>
      <c r="M506" s="189" t="s">
        <v>199</v>
      </c>
      <c r="N506" s="189" t="s">
        <v>552</v>
      </c>
      <c r="O506" s="189" t="s">
        <v>172</v>
      </c>
      <c r="P506" s="189" t="s">
        <v>111</v>
      </c>
      <c r="Q506" s="189" t="s">
        <v>247</v>
      </c>
      <c r="R506" s="189" t="s">
        <v>25</v>
      </c>
      <c r="S506" s="189" t="s">
        <v>152</v>
      </c>
      <c r="T506" s="189" t="s">
        <v>352</v>
      </c>
      <c r="U506" s="189" t="s">
        <v>122</v>
      </c>
      <c r="V506" s="189" t="s">
        <v>123</v>
      </c>
      <c r="W506" s="189" t="s">
        <v>168</v>
      </c>
      <c r="X506" s="189" t="s">
        <v>327</v>
      </c>
      <c r="Y506" s="189" t="s">
        <v>3069</v>
      </c>
      <c r="Z506" s="0" t="n">
        <v>1</v>
      </c>
      <c r="AA506" s="189" t="s">
        <v>3083</v>
      </c>
    </row>
    <row r="507" customFormat="false" ht="15" hidden="false" customHeight="true" outlineLevel="0" collapsed="false">
      <c r="A507" s="0" t="n">
        <v>103</v>
      </c>
      <c r="B507" s="188" t="n">
        <v>46170.2454487908</v>
      </c>
      <c r="C507" s="188" t="n">
        <v>46170.2547890685</v>
      </c>
      <c r="D507" s="189" t="s">
        <v>934</v>
      </c>
      <c r="E507" s="189" t="s">
        <v>935</v>
      </c>
      <c r="F507" s="189" t="s">
        <v>936</v>
      </c>
      <c r="G507" s="189" t="s">
        <v>937</v>
      </c>
      <c r="H507" s="188" t="n">
        <v>46164</v>
      </c>
      <c r="I507" s="189" t="s">
        <v>113</v>
      </c>
      <c r="J507" s="189" t="s">
        <v>108</v>
      </c>
      <c r="K507" s="189" t="s">
        <v>938</v>
      </c>
      <c r="L507" s="189" t="s">
        <v>114</v>
      </c>
      <c r="M507" s="189" t="s">
        <v>279</v>
      </c>
      <c r="N507" s="189" t="s">
        <v>939</v>
      </c>
      <c r="O507" s="189" t="s">
        <v>107</v>
      </c>
      <c r="P507" s="189" t="s">
        <v>111</v>
      </c>
      <c r="Q507" s="189" t="s">
        <v>112</v>
      </c>
      <c r="R507" s="189" t="s">
        <v>24</v>
      </c>
      <c r="S507" s="189" t="s">
        <v>152</v>
      </c>
      <c r="T507" s="189" t="s">
        <v>352</v>
      </c>
      <c r="V507" s="189" t="s">
        <v>123</v>
      </c>
      <c r="W507" s="189" t="s">
        <v>124</v>
      </c>
      <c r="X507" s="189" t="s">
        <v>214</v>
      </c>
      <c r="Y507" s="189" t="s">
        <v>3064</v>
      </c>
      <c r="Z507" s="0" t="n">
        <v>1</v>
      </c>
      <c r="AA507" s="189" t="s">
        <v>3139</v>
      </c>
    </row>
    <row r="508" customFormat="false" ht="15" hidden="false" customHeight="true" outlineLevel="0" collapsed="false">
      <c r="A508" s="0" t="n">
        <v>103</v>
      </c>
      <c r="B508" s="188" t="n">
        <v>46170.2454487908</v>
      </c>
      <c r="C508" s="188" t="n">
        <v>46170.2547890685</v>
      </c>
      <c r="D508" s="189" t="s">
        <v>934</v>
      </c>
      <c r="E508" s="189" t="s">
        <v>935</v>
      </c>
      <c r="F508" s="189" t="s">
        <v>936</v>
      </c>
      <c r="G508" s="189" t="s">
        <v>937</v>
      </c>
      <c r="H508" s="188" t="n">
        <v>46164</v>
      </c>
      <c r="I508" s="189" t="s">
        <v>113</v>
      </c>
      <c r="J508" s="189" t="s">
        <v>108</v>
      </c>
      <c r="K508" s="189" t="s">
        <v>938</v>
      </c>
      <c r="L508" s="189" t="s">
        <v>114</v>
      </c>
      <c r="M508" s="189" t="s">
        <v>279</v>
      </c>
      <c r="N508" s="189" t="s">
        <v>939</v>
      </c>
      <c r="O508" s="189" t="s">
        <v>107</v>
      </c>
      <c r="P508" s="189" t="s">
        <v>111</v>
      </c>
      <c r="Q508" s="189" t="s">
        <v>112</v>
      </c>
      <c r="R508" s="189" t="s">
        <v>24</v>
      </c>
      <c r="S508" s="189" t="s">
        <v>152</v>
      </c>
      <c r="T508" s="189" t="s">
        <v>352</v>
      </c>
      <c r="V508" s="189" t="s">
        <v>123</v>
      </c>
      <c r="W508" s="189" t="s">
        <v>124</v>
      </c>
      <c r="X508" s="189" t="s">
        <v>214</v>
      </c>
      <c r="Y508" s="189" t="s">
        <v>3064</v>
      </c>
      <c r="Z508" s="0" t="n">
        <v>2</v>
      </c>
      <c r="AA508" s="189" t="s">
        <v>3095</v>
      </c>
    </row>
    <row r="509" customFormat="false" ht="15" hidden="false" customHeight="true" outlineLevel="0" collapsed="false">
      <c r="A509" s="0" t="n">
        <v>103</v>
      </c>
      <c r="B509" s="188" t="n">
        <v>46170.2454487908</v>
      </c>
      <c r="C509" s="188" t="n">
        <v>46170.2547890685</v>
      </c>
      <c r="D509" s="189" t="s">
        <v>934</v>
      </c>
      <c r="E509" s="189" t="s">
        <v>935</v>
      </c>
      <c r="F509" s="189" t="s">
        <v>936</v>
      </c>
      <c r="G509" s="189" t="s">
        <v>937</v>
      </c>
      <c r="H509" s="188" t="n">
        <v>46164</v>
      </c>
      <c r="I509" s="189" t="s">
        <v>113</v>
      </c>
      <c r="J509" s="189" t="s">
        <v>108</v>
      </c>
      <c r="K509" s="189" t="s">
        <v>938</v>
      </c>
      <c r="L509" s="189" t="s">
        <v>114</v>
      </c>
      <c r="M509" s="189" t="s">
        <v>279</v>
      </c>
      <c r="N509" s="189" t="s">
        <v>939</v>
      </c>
      <c r="O509" s="189" t="s">
        <v>107</v>
      </c>
      <c r="P509" s="189" t="s">
        <v>111</v>
      </c>
      <c r="Q509" s="189" t="s">
        <v>112</v>
      </c>
      <c r="R509" s="189" t="s">
        <v>24</v>
      </c>
      <c r="S509" s="189" t="s">
        <v>152</v>
      </c>
      <c r="T509" s="189" t="s">
        <v>352</v>
      </c>
      <c r="V509" s="189" t="s">
        <v>123</v>
      </c>
      <c r="W509" s="189" t="s">
        <v>124</v>
      </c>
      <c r="X509" s="189" t="s">
        <v>214</v>
      </c>
      <c r="Y509" s="189" t="s">
        <v>3066</v>
      </c>
      <c r="Z509" s="0" t="n">
        <v>1</v>
      </c>
      <c r="AA509" s="189" t="s">
        <v>3068</v>
      </c>
    </row>
    <row r="510" customFormat="false" ht="15" hidden="false" customHeight="true" outlineLevel="0" collapsed="false">
      <c r="A510" s="0" t="n">
        <v>103</v>
      </c>
      <c r="B510" s="188" t="n">
        <v>46170.2454487908</v>
      </c>
      <c r="C510" s="188" t="n">
        <v>46170.2547890685</v>
      </c>
      <c r="D510" s="189" t="s">
        <v>934</v>
      </c>
      <c r="E510" s="189" t="s">
        <v>935</v>
      </c>
      <c r="F510" s="189" t="s">
        <v>936</v>
      </c>
      <c r="G510" s="189" t="s">
        <v>937</v>
      </c>
      <c r="H510" s="188" t="n">
        <v>46164</v>
      </c>
      <c r="I510" s="189" t="s">
        <v>113</v>
      </c>
      <c r="J510" s="189" t="s">
        <v>108</v>
      </c>
      <c r="K510" s="189" t="s">
        <v>938</v>
      </c>
      <c r="L510" s="189" t="s">
        <v>114</v>
      </c>
      <c r="M510" s="189" t="s">
        <v>279</v>
      </c>
      <c r="N510" s="189" t="s">
        <v>939</v>
      </c>
      <c r="O510" s="189" t="s">
        <v>107</v>
      </c>
      <c r="P510" s="189" t="s">
        <v>111</v>
      </c>
      <c r="Q510" s="189" t="s">
        <v>112</v>
      </c>
      <c r="R510" s="189" t="s">
        <v>24</v>
      </c>
      <c r="S510" s="189" t="s">
        <v>152</v>
      </c>
      <c r="T510" s="189" t="s">
        <v>352</v>
      </c>
      <c r="V510" s="189" t="s">
        <v>123</v>
      </c>
      <c r="W510" s="189" t="s">
        <v>124</v>
      </c>
      <c r="X510" s="189" t="s">
        <v>214</v>
      </c>
      <c r="Y510" s="189" t="s">
        <v>3069</v>
      </c>
      <c r="Z510" s="0" t="n">
        <v>1</v>
      </c>
      <c r="AA510" s="189" t="s">
        <v>3070</v>
      </c>
    </row>
    <row r="511" customFormat="false" ht="15" hidden="false" customHeight="true" outlineLevel="0" collapsed="false">
      <c r="A511" s="0" t="n">
        <v>104</v>
      </c>
      <c r="B511" s="188" t="n">
        <v>46095.1592532047</v>
      </c>
      <c r="C511" s="188" t="n">
        <v>46095.162412927</v>
      </c>
      <c r="D511" s="189" t="s">
        <v>941</v>
      </c>
      <c r="E511" s="189" t="s">
        <v>942</v>
      </c>
      <c r="F511" s="189" t="s">
        <v>942</v>
      </c>
      <c r="G511" s="189" t="s">
        <v>943</v>
      </c>
      <c r="H511" s="188" t="n">
        <v>46093</v>
      </c>
      <c r="I511" s="189" t="s">
        <v>305</v>
      </c>
      <c r="J511" s="189" t="s">
        <v>128</v>
      </c>
      <c r="K511" s="189" t="s">
        <v>173</v>
      </c>
      <c r="L511" s="189" t="s">
        <v>159</v>
      </c>
      <c r="M511" s="189" t="s">
        <v>944</v>
      </c>
      <c r="N511" s="189" t="s">
        <v>945</v>
      </c>
      <c r="O511" s="189" t="s">
        <v>172</v>
      </c>
      <c r="P511" s="189" t="s">
        <v>211</v>
      </c>
      <c r="Q511" s="189" t="s">
        <v>112</v>
      </c>
      <c r="R511" s="189" t="s">
        <v>21</v>
      </c>
      <c r="S511" s="189" t="s">
        <v>152</v>
      </c>
      <c r="T511" s="189" t="s">
        <v>180</v>
      </c>
      <c r="U511" s="189" t="s">
        <v>948</v>
      </c>
      <c r="V511" s="189" t="s">
        <v>123</v>
      </c>
      <c r="W511" s="189" t="s">
        <v>124</v>
      </c>
      <c r="X511" s="189" t="s">
        <v>348</v>
      </c>
      <c r="Y511" s="189" t="s">
        <v>3064</v>
      </c>
      <c r="Z511" s="0" t="n">
        <v>1</v>
      </c>
      <c r="AA511" s="189" t="s">
        <v>3164</v>
      </c>
    </row>
    <row r="512" customFormat="false" ht="15" hidden="false" customHeight="true" outlineLevel="0" collapsed="false">
      <c r="A512" s="0" t="n">
        <v>104</v>
      </c>
      <c r="B512" s="188" t="n">
        <v>46095.1592532047</v>
      </c>
      <c r="C512" s="188" t="n">
        <v>46095.162412927</v>
      </c>
      <c r="D512" s="189" t="s">
        <v>941</v>
      </c>
      <c r="E512" s="189" t="s">
        <v>942</v>
      </c>
      <c r="F512" s="189" t="s">
        <v>942</v>
      </c>
      <c r="G512" s="189" t="s">
        <v>943</v>
      </c>
      <c r="H512" s="188" t="n">
        <v>46093</v>
      </c>
      <c r="I512" s="189" t="s">
        <v>305</v>
      </c>
      <c r="J512" s="189" t="s">
        <v>128</v>
      </c>
      <c r="K512" s="189" t="s">
        <v>173</v>
      </c>
      <c r="L512" s="189" t="s">
        <v>159</v>
      </c>
      <c r="M512" s="189" t="s">
        <v>944</v>
      </c>
      <c r="N512" s="189" t="s">
        <v>945</v>
      </c>
      <c r="O512" s="189" t="s">
        <v>172</v>
      </c>
      <c r="P512" s="189" t="s">
        <v>211</v>
      </c>
      <c r="Q512" s="189" t="s">
        <v>112</v>
      </c>
      <c r="R512" s="189" t="s">
        <v>21</v>
      </c>
      <c r="S512" s="189" t="s">
        <v>152</v>
      </c>
      <c r="T512" s="189" t="s">
        <v>180</v>
      </c>
      <c r="U512" s="189" t="s">
        <v>948</v>
      </c>
      <c r="V512" s="189" t="s">
        <v>123</v>
      </c>
      <c r="W512" s="189" t="s">
        <v>124</v>
      </c>
      <c r="X512" s="189" t="s">
        <v>348</v>
      </c>
      <c r="Y512" s="189" t="s">
        <v>3066</v>
      </c>
      <c r="Z512" s="0" t="n">
        <v>1</v>
      </c>
      <c r="AA512" s="189" t="s">
        <v>3147</v>
      </c>
    </row>
    <row r="513" customFormat="false" ht="15" hidden="false" customHeight="true" outlineLevel="0" collapsed="false">
      <c r="A513" s="0" t="n">
        <v>104</v>
      </c>
      <c r="B513" s="188" t="n">
        <v>46095.1592532047</v>
      </c>
      <c r="C513" s="188" t="n">
        <v>46095.162412927</v>
      </c>
      <c r="D513" s="189" t="s">
        <v>941</v>
      </c>
      <c r="E513" s="189" t="s">
        <v>942</v>
      </c>
      <c r="F513" s="189" t="s">
        <v>942</v>
      </c>
      <c r="G513" s="189" t="s">
        <v>943</v>
      </c>
      <c r="H513" s="188" t="n">
        <v>46093</v>
      </c>
      <c r="I513" s="189" t="s">
        <v>305</v>
      </c>
      <c r="J513" s="189" t="s">
        <v>128</v>
      </c>
      <c r="K513" s="189" t="s">
        <v>173</v>
      </c>
      <c r="L513" s="189" t="s">
        <v>159</v>
      </c>
      <c r="M513" s="189" t="s">
        <v>944</v>
      </c>
      <c r="N513" s="189" t="s">
        <v>945</v>
      </c>
      <c r="O513" s="189" t="s">
        <v>172</v>
      </c>
      <c r="P513" s="189" t="s">
        <v>211</v>
      </c>
      <c r="Q513" s="189" t="s">
        <v>112</v>
      </c>
      <c r="R513" s="189" t="s">
        <v>21</v>
      </c>
      <c r="S513" s="189" t="s">
        <v>152</v>
      </c>
      <c r="T513" s="189" t="s">
        <v>180</v>
      </c>
      <c r="U513" s="189" t="s">
        <v>948</v>
      </c>
      <c r="V513" s="189" t="s">
        <v>123</v>
      </c>
      <c r="W513" s="189" t="s">
        <v>124</v>
      </c>
      <c r="X513" s="189" t="s">
        <v>348</v>
      </c>
      <c r="Y513" s="189" t="s">
        <v>3069</v>
      </c>
      <c r="Z513" s="0" t="n">
        <v>1</v>
      </c>
      <c r="AA513" s="189" t="s">
        <v>3263</v>
      </c>
    </row>
    <row r="514" customFormat="false" ht="15" hidden="false" customHeight="true" outlineLevel="0" collapsed="false">
      <c r="A514" s="0" t="n">
        <v>104</v>
      </c>
      <c r="B514" s="188" t="n">
        <v>46095.1592532047</v>
      </c>
      <c r="C514" s="188" t="n">
        <v>46095.162412927</v>
      </c>
      <c r="D514" s="189" t="s">
        <v>941</v>
      </c>
      <c r="E514" s="189" t="s">
        <v>942</v>
      </c>
      <c r="F514" s="189" t="s">
        <v>942</v>
      </c>
      <c r="G514" s="189" t="s">
        <v>943</v>
      </c>
      <c r="H514" s="188" t="n">
        <v>46093</v>
      </c>
      <c r="I514" s="189" t="s">
        <v>305</v>
      </c>
      <c r="J514" s="189" t="s">
        <v>128</v>
      </c>
      <c r="K514" s="189" t="s">
        <v>173</v>
      </c>
      <c r="L514" s="189" t="s">
        <v>159</v>
      </c>
      <c r="M514" s="189" t="s">
        <v>944</v>
      </c>
      <c r="N514" s="189" t="s">
        <v>945</v>
      </c>
      <c r="O514" s="189" t="s">
        <v>172</v>
      </c>
      <c r="P514" s="189" t="s">
        <v>211</v>
      </c>
      <c r="Q514" s="189" t="s">
        <v>112</v>
      </c>
      <c r="R514" s="189" t="s">
        <v>21</v>
      </c>
      <c r="S514" s="189" t="s">
        <v>152</v>
      </c>
      <c r="T514" s="189" t="s">
        <v>180</v>
      </c>
      <c r="U514" s="189" t="s">
        <v>948</v>
      </c>
      <c r="V514" s="189" t="s">
        <v>123</v>
      </c>
      <c r="W514" s="189" t="s">
        <v>124</v>
      </c>
      <c r="X514" s="189" t="s">
        <v>348</v>
      </c>
      <c r="Y514" s="189" t="s">
        <v>3069</v>
      </c>
      <c r="Z514" s="0" t="n">
        <v>2</v>
      </c>
      <c r="AA514" s="189" t="s">
        <v>3148</v>
      </c>
    </row>
    <row r="515" customFormat="false" ht="15" hidden="false" customHeight="true" outlineLevel="0" collapsed="false">
      <c r="A515" s="0" t="n">
        <v>105</v>
      </c>
      <c r="B515" s="188" t="n">
        <v>46201.6436254934</v>
      </c>
      <c r="C515" s="188" t="n">
        <v>46201.6563916971</v>
      </c>
      <c r="D515" s="189" t="s">
        <v>949</v>
      </c>
      <c r="E515" s="189" t="s">
        <v>950</v>
      </c>
      <c r="F515" s="189" t="s">
        <v>951</v>
      </c>
      <c r="G515" s="189" t="s">
        <v>952</v>
      </c>
      <c r="H515" s="188" t="n">
        <v>46195</v>
      </c>
      <c r="I515" s="189" t="s">
        <v>113</v>
      </c>
      <c r="J515" s="189" t="s">
        <v>108</v>
      </c>
      <c r="K515" s="189" t="s">
        <v>953</v>
      </c>
      <c r="L515" s="189" t="s">
        <v>114</v>
      </c>
      <c r="M515" s="189" t="s">
        <v>234</v>
      </c>
      <c r="N515" s="189" t="s">
        <v>213</v>
      </c>
      <c r="O515" s="189" t="s">
        <v>107</v>
      </c>
      <c r="P515" s="189" t="s">
        <v>111</v>
      </c>
      <c r="Q515" s="189" t="s">
        <v>112</v>
      </c>
      <c r="R515" s="189" t="s">
        <v>21</v>
      </c>
      <c r="S515" s="189" t="s">
        <v>152</v>
      </c>
      <c r="T515" s="189" t="s">
        <v>121</v>
      </c>
      <c r="U515" s="189" t="s">
        <v>956</v>
      </c>
      <c r="V515" s="189" t="s">
        <v>123</v>
      </c>
      <c r="W515" s="189" t="s">
        <v>168</v>
      </c>
      <c r="X515" s="189" t="s">
        <v>457</v>
      </c>
      <c r="Y515" s="189" t="s">
        <v>3064</v>
      </c>
      <c r="Z515" s="0" t="n">
        <v>1</v>
      </c>
      <c r="AA515" s="189" t="s">
        <v>3107</v>
      </c>
    </row>
    <row r="516" customFormat="false" ht="15" hidden="false" customHeight="true" outlineLevel="0" collapsed="false">
      <c r="A516" s="0" t="n">
        <v>105</v>
      </c>
      <c r="B516" s="188" t="n">
        <v>46201.6436254934</v>
      </c>
      <c r="C516" s="188" t="n">
        <v>46201.6563916971</v>
      </c>
      <c r="D516" s="189" t="s">
        <v>949</v>
      </c>
      <c r="E516" s="189" t="s">
        <v>950</v>
      </c>
      <c r="F516" s="189" t="s">
        <v>951</v>
      </c>
      <c r="G516" s="189" t="s">
        <v>952</v>
      </c>
      <c r="H516" s="188" t="n">
        <v>46195</v>
      </c>
      <c r="I516" s="189" t="s">
        <v>113</v>
      </c>
      <c r="J516" s="189" t="s">
        <v>108</v>
      </c>
      <c r="K516" s="189" t="s">
        <v>953</v>
      </c>
      <c r="L516" s="189" t="s">
        <v>114</v>
      </c>
      <c r="M516" s="189" t="s">
        <v>234</v>
      </c>
      <c r="N516" s="189" t="s">
        <v>213</v>
      </c>
      <c r="O516" s="189" t="s">
        <v>107</v>
      </c>
      <c r="P516" s="189" t="s">
        <v>111</v>
      </c>
      <c r="Q516" s="189" t="s">
        <v>112</v>
      </c>
      <c r="R516" s="189" t="s">
        <v>21</v>
      </c>
      <c r="S516" s="189" t="s">
        <v>152</v>
      </c>
      <c r="T516" s="189" t="s">
        <v>121</v>
      </c>
      <c r="U516" s="189" t="s">
        <v>956</v>
      </c>
      <c r="V516" s="189" t="s">
        <v>123</v>
      </c>
      <c r="W516" s="189" t="s">
        <v>168</v>
      </c>
      <c r="X516" s="189" t="s">
        <v>457</v>
      </c>
      <c r="Y516" s="189" t="s">
        <v>3064</v>
      </c>
      <c r="Z516" s="0" t="n">
        <v>2</v>
      </c>
      <c r="AA516" s="189" t="s">
        <v>3139</v>
      </c>
    </row>
    <row r="517" customFormat="false" ht="15" hidden="false" customHeight="true" outlineLevel="0" collapsed="false">
      <c r="A517" s="0" t="n">
        <v>105</v>
      </c>
      <c r="B517" s="188" t="n">
        <v>46201.6436254934</v>
      </c>
      <c r="C517" s="188" t="n">
        <v>46201.6563916971</v>
      </c>
      <c r="D517" s="189" t="s">
        <v>949</v>
      </c>
      <c r="E517" s="189" t="s">
        <v>950</v>
      </c>
      <c r="F517" s="189" t="s">
        <v>951</v>
      </c>
      <c r="G517" s="189" t="s">
        <v>952</v>
      </c>
      <c r="H517" s="188" t="n">
        <v>46195</v>
      </c>
      <c r="I517" s="189" t="s">
        <v>113</v>
      </c>
      <c r="J517" s="189" t="s">
        <v>108</v>
      </c>
      <c r="K517" s="189" t="s">
        <v>953</v>
      </c>
      <c r="L517" s="189" t="s">
        <v>114</v>
      </c>
      <c r="M517" s="189" t="s">
        <v>234</v>
      </c>
      <c r="N517" s="189" t="s">
        <v>213</v>
      </c>
      <c r="O517" s="189" t="s">
        <v>107</v>
      </c>
      <c r="P517" s="189" t="s">
        <v>111</v>
      </c>
      <c r="Q517" s="189" t="s">
        <v>112</v>
      </c>
      <c r="R517" s="189" t="s">
        <v>21</v>
      </c>
      <c r="S517" s="189" t="s">
        <v>152</v>
      </c>
      <c r="T517" s="189" t="s">
        <v>121</v>
      </c>
      <c r="U517" s="189" t="s">
        <v>956</v>
      </c>
      <c r="V517" s="189" t="s">
        <v>123</v>
      </c>
      <c r="W517" s="189" t="s">
        <v>168</v>
      </c>
      <c r="X517" s="189" t="s">
        <v>457</v>
      </c>
      <c r="Y517" s="189" t="s">
        <v>3066</v>
      </c>
      <c r="Z517" s="0" t="n">
        <v>1</v>
      </c>
      <c r="AA517" s="189" t="s">
        <v>3082</v>
      </c>
    </row>
    <row r="518" customFormat="false" ht="15" hidden="false" customHeight="true" outlineLevel="0" collapsed="false">
      <c r="A518" s="0" t="n">
        <v>105</v>
      </c>
      <c r="B518" s="188" t="n">
        <v>46201.6436254934</v>
      </c>
      <c r="C518" s="188" t="n">
        <v>46201.6563916971</v>
      </c>
      <c r="D518" s="189" t="s">
        <v>949</v>
      </c>
      <c r="E518" s="189" t="s">
        <v>950</v>
      </c>
      <c r="F518" s="189" t="s">
        <v>951</v>
      </c>
      <c r="G518" s="189" t="s">
        <v>952</v>
      </c>
      <c r="H518" s="188" t="n">
        <v>46195</v>
      </c>
      <c r="I518" s="189" t="s">
        <v>113</v>
      </c>
      <c r="J518" s="189" t="s">
        <v>108</v>
      </c>
      <c r="K518" s="189" t="s">
        <v>953</v>
      </c>
      <c r="L518" s="189" t="s">
        <v>114</v>
      </c>
      <c r="M518" s="189" t="s">
        <v>234</v>
      </c>
      <c r="N518" s="189" t="s">
        <v>213</v>
      </c>
      <c r="O518" s="189" t="s">
        <v>107</v>
      </c>
      <c r="P518" s="189" t="s">
        <v>111</v>
      </c>
      <c r="Q518" s="189" t="s">
        <v>112</v>
      </c>
      <c r="R518" s="189" t="s">
        <v>21</v>
      </c>
      <c r="S518" s="189" t="s">
        <v>152</v>
      </c>
      <c r="T518" s="189" t="s">
        <v>121</v>
      </c>
      <c r="U518" s="189" t="s">
        <v>956</v>
      </c>
      <c r="V518" s="189" t="s">
        <v>123</v>
      </c>
      <c r="W518" s="189" t="s">
        <v>168</v>
      </c>
      <c r="X518" s="189" t="s">
        <v>457</v>
      </c>
      <c r="Y518" s="189" t="s">
        <v>3066</v>
      </c>
      <c r="Z518" s="0" t="n">
        <v>2</v>
      </c>
      <c r="AA518" s="189" t="s">
        <v>3067</v>
      </c>
    </row>
    <row r="519" customFormat="false" ht="15" hidden="false" customHeight="true" outlineLevel="0" collapsed="false">
      <c r="A519" s="0" t="n">
        <v>105</v>
      </c>
      <c r="B519" s="188" t="n">
        <v>46201.6436254934</v>
      </c>
      <c r="C519" s="188" t="n">
        <v>46201.6563916971</v>
      </c>
      <c r="D519" s="189" t="s">
        <v>949</v>
      </c>
      <c r="E519" s="189" t="s">
        <v>950</v>
      </c>
      <c r="F519" s="189" t="s">
        <v>951</v>
      </c>
      <c r="G519" s="189" t="s">
        <v>952</v>
      </c>
      <c r="H519" s="188" t="n">
        <v>46195</v>
      </c>
      <c r="I519" s="189" t="s">
        <v>113</v>
      </c>
      <c r="J519" s="189" t="s">
        <v>108</v>
      </c>
      <c r="K519" s="189" t="s">
        <v>953</v>
      </c>
      <c r="L519" s="189" t="s">
        <v>114</v>
      </c>
      <c r="M519" s="189" t="s">
        <v>234</v>
      </c>
      <c r="N519" s="189" t="s">
        <v>213</v>
      </c>
      <c r="O519" s="189" t="s">
        <v>107</v>
      </c>
      <c r="P519" s="189" t="s">
        <v>111</v>
      </c>
      <c r="Q519" s="189" t="s">
        <v>112</v>
      </c>
      <c r="R519" s="189" t="s">
        <v>21</v>
      </c>
      <c r="S519" s="189" t="s">
        <v>152</v>
      </c>
      <c r="T519" s="189" t="s">
        <v>121</v>
      </c>
      <c r="U519" s="189" t="s">
        <v>956</v>
      </c>
      <c r="V519" s="189" t="s">
        <v>123</v>
      </c>
      <c r="W519" s="189" t="s">
        <v>168</v>
      </c>
      <c r="X519" s="189" t="s">
        <v>457</v>
      </c>
      <c r="Y519" s="189" t="s">
        <v>3069</v>
      </c>
      <c r="Z519" s="0" t="n">
        <v>1</v>
      </c>
      <c r="AA519" s="189" t="s">
        <v>122</v>
      </c>
    </row>
    <row r="520" customFormat="false" ht="15" hidden="false" customHeight="true" outlineLevel="0" collapsed="false">
      <c r="A520" s="0" t="n">
        <v>105</v>
      </c>
      <c r="B520" s="188" t="n">
        <v>46201.6436254934</v>
      </c>
      <c r="C520" s="188" t="n">
        <v>46201.6563916971</v>
      </c>
      <c r="D520" s="189" t="s">
        <v>949</v>
      </c>
      <c r="E520" s="189" t="s">
        <v>950</v>
      </c>
      <c r="F520" s="189" t="s">
        <v>951</v>
      </c>
      <c r="G520" s="189" t="s">
        <v>952</v>
      </c>
      <c r="H520" s="188" t="n">
        <v>46195</v>
      </c>
      <c r="I520" s="189" t="s">
        <v>113</v>
      </c>
      <c r="J520" s="189" t="s">
        <v>108</v>
      </c>
      <c r="K520" s="189" t="s">
        <v>953</v>
      </c>
      <c r="L520" s="189" t="s">
        <v>114</v>
      </c>
      <c r="M520" s="189" t="s">
        <v>234</v>
      </c>
      <c r="N520" s="189" t="s">
        <v>213</v>
      </c>
      <c r="O520" s="189" t="s">
        <v>107</v>
      </c>
      <c r="P520" s="189" t="s">
        <v>111</v>
      </c>
      <c r="Q520" s="189" t="s">
        <v>112</v>
      </c>
      <c r="R520" s="189" t="s">
        <v>21</v>
      </c>
      <c r="S520" s="189" t="s">
        <v>152</v>
      </c>
      <c r="T520" s="189" t="s">
        <v>121</v>
      </c>
      <c r="U520" s="189" t="s">
        <v>956</v>
      </c>
      <c r="V520" s="189" t="s">
        <v>123</v>
      </c>
      <c r="W520" s="189" t="s">
        <v>168</v>
      </c>
      <c r="X520" s="189" t="s">
        <v>457</v>
      </c>
      <c r="Y520" s="189" t="s">
        <v>3069</v>
      </c>
      <c r="Z520" s="0" t="n">
        <v>2</v>
      </c>
      <c r="AA520" s="189" t="s">
        <v>3108</v>
      </c>
    </row>
    <row r="521" customFormat="false" ht="15" hidden="false" customHeight="true" outlineLevel="0" collapsed="false">
      <c r="A521" s="0" t="n">
        <v>106</v>
      </c>
      <c r="B521" s="188" t="n">
        <v>46042.9868401932</v>
      </c>
      <c r="C521" s="188" t="n">
        <v>46043.0010531562</v>
      </c>
      <c r="D521" s="189" t="s">
        <v>957</v>
      </c>
      <c r="E521" s="189" t="s">
        <v>958</v>
      </c>
      <c r="F521" s="189" t="s">
        <v>958</v>
      </c>
      <c r="G521" s="189" t="s">
        <v>959</v>
      </c>
      <c r="H521" s="188" t="n">
        <v>46024</v>
      </c>
      <c r="I521" s="189" t="s">
        <v>113</v>
      </c>
      <c r="J521" s="189" t="s">
        <v>108</v>
      </c>
      <c r="K521" s="189" t="s">
        <v>245</v>
      </c>
      <c r="L521" s="189" t="s">
        <v>389</v>
      </c>
      <c r="M521" s="189" t="s">
        <v>199</v>
      </c>
      <c r="N521" s="189" t="s">
        <v>653</v>
      </c>
      <c r="O521" s="189" t="s">
        <v>107</v>
      </c>
      <c r="P521" s="189" t="s">
        <v>111</v>
      </c>
      <c r="Q521" s="189" t="s">
        <v>112</v>
      </c>
      <c r="R521" s="189" t="s">
        <v>21</v>
      </c>
      <c r="S521" s="189" t="s">
        <v>152</v>
      </c>
      <c r="T521" s="189" t="s">
        <v>121</v>
      </c>
      <c r="U521" s="189" t="s">
        <v>961</v>
      </c>
      <c r="V521" s="189" t="s">
        <v>123</v>
      </c>
      <c r="W521" s="189" t="s">
        <v>168</v>
      </c>
      <c r="X521" s="189" t="s">
        <v>457</v>
      </c>
      <c r="Y521" s="189" t="s">
        <v>3064</v>
      </c>
      <c r="Z521" s="0" t="n">
        <v>1</v>
      </c>
      <c r="AA521" s="189" t="s">
        <v>3065</v>
      </c>
    </row>
    <row r="522" customFormat="false" ht="15" hidden="false" customHeight="true" outlineLevel="0" collapsed="false">
      <c r="A522" s="0" t="n">
        <v>106</v>
      </c>
      <c r="B522" s="188" t="n">
        <v>46042.9868401932</v>
      </c>
      <c r="C522" s="188" t="n">
        <v>46043.0010531562</v>
      </c>
      <c r="D522" s="189" t="s">
        <v>957</v>
      </c>
      <c r="E522" s="189" t="s">
        <v>958</v>
      </c>
      <c r="F522" s="189" t="s">
        <v>958</v>
      </c>
      <c r="G522" s="189" t="s">
        <v>959</v>
      </c>
      <c r="H522" s="188" t="n">
        <v>46024</v>
      </c>
      <c r="I522" s="189" t="s">
        <v>113</v>
      </c>
      <c r="J522" s="189" t="s">
        <v>108</v>
      </c>
      <c r="K522" s="189" t="s">
        <v>245</v>
      </c>
      <c r="L522" s="189" t="s">
        <v>389</v>
      </c>
      <c r="M522" s="189" t="s">
        <v>199</v>
      </c>
      <c r="N522" s="189" t="s">
        <v>653</v>
      </c>
      <c r="O522" s="189" t="s">
        <v>107</v>
      </c>
      <c r="P522" s="189" t="s">
        <v>111</v>
      </c>
      <c r="Q522" s="189" t="s">
        <v>112</v>
      </c>
      <c r="R522" s="189" t="s">
        <v>21</v>
      </c>
      <c r="S522" s="189" t="s">
        <v>152</v>
      </c>
      <c r="T522" s="189" t="s">
        <v>121</v>
      </c>
      <c r="U522" s="189" t="s">
        <v>961</v>
      </c>
      <c r="V522" s="189" t="s">
        <v>123</v>
      </c>
      <c r="W522" s="189" t="s">
        <v>168</v>
      </c>
      <c r="X522" s="189" t="s">
        <v>457</v>
      </c>
      <c r="Y522" s="189" t="s">
        <v>3064</v>
      </c>
      <c r="Z522" s="0" t="n">
        <v>2</v>
      </c>
      <c r="AA522" s="189" t="s">
        <v>3107</v>
      </c>
    </row>
    <row r="523" customFormat="false" ht="15" hidden="false" customHeight="true" outlineLevel="0" collapsed="false">
      <c r="A523" s="0" t="n">
        <v>106</v>
      </c>
      <c r="B523" s="188" t="n">
        <v>46042.9868401932</v>
      </c>
      <c r="C523" s="188" t="n">
        <v>46043.0010531562</v>
      </c>
      <c r="D523" s="189" t="s">
        <v>957</v>
      </c>
      <c r="E523" s="189" t="s">
        <v>958</v>
      </c>
      <c r="F523" s="189" t="s">
        <v>958</v>
      </c>
      <c r="G523" s="189" t="s">
        <v>959</v>
      </c>
      <c r="H523" s="188" t="n">
        <v>46024</v>
      </c>
      <c r="I523" s="189" t="s">
        <v>113</v>
      </c>
      <c r="J523" s="189" t="s">
        <v>108</v>
      </c>
      <c r="K523" s="189" t="s">
        <v>245</v>
      </c>
      <c r="L523" s="189" t="s">
        <v>389</v>
      </c>
      <c r="M523" s="189" t="s">
        <v>199</v>
      </c>
      <c r="N523" s="189" t="s">
        <v>653</v>
      </c>
      <c r="O523" s="189" t="s">
        <v>107</v>
      </c>
      <c r="P523" s="189" t="s">
        <v>111</v>
      </c>
      <c r="Q523" s="189" t="s">
        <v>112</v>
      </c>
      <c r="R523" s="189" t="s">
        <v>21</v>
      </c>
      <c r="S523" s="189" t="s">
        <v>152</v>
      </c>
      <c r="T523" s="189" t="s">
        <v>121</v>
      </c>
      <c r="U523" s="189" t="s">
        <v>961</v>
      </c>
      <c r="V523" s="189" t="s">
        <v>123</v>
      </c>
      <c r="W523" s="189" t="s">
        <v>168</v>
      </c>
      <c r="X523" s="189" t="s">
        <v>457</v>
      </c>
      <c r="Y523" s="189" t="s">
        <v>3064</v>
      </c>
      <c r="Z523" s="0" t="n">
        <v>3</v>
      </c>
      <c r="AA523" s="189" t="s">
        <v>3081</v>
      </c>
    </row>
    <row r="524" customFormat="false" ht="15" hidden="false" customHeight="true" outlineLevel="0" collapsed="false">
      <c r="A524" s="0" t="n">
        <v>106</v>
      </c>
      <c r="B524" s="188" t="n">
        <v>46042.9868401932</v>
      </c>
      <c r="C524" s="188" t="n">
        <v>46043.0010531562</v>
      </c>
      <c r="D524" s="189" t="s">
        <v>957</v>
      </c>
      <c r="E524" s="189" t="s">
        <v>958</v>
      </c>
      <c r="F524" s="189" t="s">
        <v>958</v>
      </c>
      <c r="G524" s="189" t="s">
        <v>959</v>
      </c>
      <c r="H524" s="188" t="n">
        <v>46024</v>
      </c>
      <c r="I524" s="189" t="s">
        <v>113</v>
      </c>
      <c r="J524" s="189" t="s">
        <v>108</v>
      </c>
      <c r="K524" s="189" t="s">
        <v>245</v>
      </c>
      <c r="L524" s="189" t="s">
        <v>389</v>
      </c>
      <c r="M524" s="189" t="s">
        <v>199</v>
      </c>
      <c r="N524" s="189" t="s">
        <v>653</v>
      </c>
      <c r="O524" s="189" t="s">
        <v>107</v>
      </c>
      <c r="P524" s="189" t="s">
        <v>111</v>
      </c>
      <c r="Q524" s="189" t="s">
        <v>112</v>
      </c>
      <c r="R524" s="189" t="s">
        <v>21</v>
      </c>
      <c r="S524" s="189" t="s">
        <v>152</v>
      </c>
      <c r="T524" s="189" t="s">
        <v>121</v>
      </c>
      <c r="U524" s="189" t="s">
        <v>961</v>
      </c>
      <c r="V524" s="189" t="s">
        <v>123</v>
      </c>
      <c r="W524" s="189" t="s">
        <v>168</v>
      </c>
      <c r="X524" s="189" t="s">
        <v>457</v>
      </c>
      <c r="Y524" s="189" t="s">
        <v>3066</v>
      </c>
      <c r="Z524" s="0" t="n">
        <v>1</v>
      </c>
      <c r="AA524" s="189" t="s">
        <v>3067</v>
      </c>
    </row>
    <row r="525" customFormat="false" ht="15" hidden="false" customHeight="true" outlineLevel="0" collapsed="false">
      <c r="A525" s="0" t="n">
        <v>106</v>
      </c>
      <c r="B525" s="188" t="n">
        <v>46042.9868401932</v>
      </c>
      <c r="C525" s="188" t="n">
        <v>46043.0010531562</v>
      </c>
      <c r="D525" s="189" t="s">
        <v>957</v>
      </c>
      <c r="E525" s="189" t="s">
        <v>958</v>
      </c>
      <c r="F525" s="189" t="s">
        <v>958</v>
      </c>
      <c r="G525" s="189" t="s">
        <v>959</v>
      </c>
      <c r="H525" s="188" t="n">
        <v>46024</v>
      </c>
      <c r="I525" s="189" t="s">
        <v>113</v>
      </c>
      <c r="J525" s="189" t="s">
        <v>108</v>
      </c>
      <c r="K525" s="189" t="s">
        <v>245</v>
      </c>
      <c r="L525" s="189" t="s">
        <v>389</v>
      </c>
      <c r="M525" s="189" t="s">
        <v>199</v>
      </c>
      <c r="N525" s="189" t="s">
        <v>653</v>
      </c>
      <c r="O525" s="189" t="s">
        <v>107</v>
      </c>
      <c r="P525" s="189" t="s">
        <v>111</v>
      </c>
      <c r="Q525" s="189" t="s">
        <v>112</v>
      </c>
      <c r="R525" s="189" t="s">
        <v>21</v>
      </c>
      <c r="S525" s="189" t="s">
        <v>152</v>
      </c>
      <c r="T525" s="189" t="s">
        <v>121</v>
      </c>
      <c r="U525" s="189" t="s">
        <v>961</v>
      </c>
      <c r="V525" s="189" t="s">
        <v>123</v>
      </c>
      <c r="W525" s="189" t="s">
        <v>168</v>
      </c>
      <c r="X525" s="189" t="s">
        <v>457</v>
      </c>
      <c r="Y525" s="189" t="s">
        <v>3066</v>
      </c>
      <c r="Z525" s="0" t="n">
        <v>2</v>
      </c>
      <c r="AA525" s="189" t="s">
        <v>3211</v>
      </c>
    </row>
    <row r="526" customFormat="false" ht="15" hidden="false" customHeight="true" outlineLevel="0" collapsed="false">
      <c r="A526" s="0" t="n">
        <v>106</v>
      </c>
      <c r="B526" s="188" t="n">
        <v>46042.9868401932</v>
      </c>
      <c r="C526" s="188" t="n">
        <v>46043.0010531562</v>
      </c>
      <c r="D526" s="189" t="s">
        <v>957</v>
      </c>
      <c r="E526" s="189" t="s">
        <v>958</v>
      </c>
      <c r="F526" s="189" t="s">
        <v>958</v>
      </c>
      <c r="G526" s="189" t="s">
        <v>959</v>
      </c>
      <c r="H526" s="188" t="n">
        <v>46024</v>
      </c>
      <c r="I526" s="189" t="s">
        <v>113</v>
      </c>
      <c r="J526" s="189" t="s">
        <v>108</v>
      </c>
      <c r="K526" s="189" t="s">
        <v>245</v>
      </c>
      <c r="L526" s="189" t="s">
        <v>389</v>
      </c>
      <c r="M526" s="189" t="s">
        <v>199</v>
      </c>
      <c r="N526" s="189" t="s">
        <v>653</v>
      </c>
      <c r="O526" s="189" t="s">
        <v>107</v>
      </c>
      <c r="P526" s="189" t="s">
        <v>111</v>
      </c>
      <c r="Q526" s="189" t="s">
        <v>112</v>
      </c>
      <c r="R526" s="189" t="s">
        <v>21</v>
      </c>
      <c r="S526" s="189" t="s">
        <v>152</v>
      </c>
      <c r="T526" s="189" t="s">
        <v>121</v>
      </c>
      <c r="U526" s="189" t="s">
        <v>961</v>
      </c>
      <c r="V526" s="189" t="s">
        <v>123</v>
      </c>
      <c r="W526" s="189" t="s">
        <v>168</v>
      </c>
      <c r="X526" s="189" t="s">
        <v>457</v>
      </c>
      <c r="Y526" s="189" t="s">
        <v>3069</v>
      </c>
      <c r="Z526" s="0" t="n">
        <v>1</v>
      </c>
      <c r="AA526" s="189" t="s">
        <v>3070</v>
      </c>
    </row>
    <row r="527" customFormat="false" ht="15" hidden="false" customHeight="true" outlineLevel="0" collapsed="false">
      <c r="A527" s="0" t="n">
        <v>107</v>
      </c>
      <c r="B527" s="188" t="n">
        <v>46116.8006096909</v>
      </c>
      <c r="C527" s="188" t="n">
        <v>46116.8192323761</v>
      </c>
      <c r="D527" s="189" t="s">
        <v>962</v>
      </c>
      <c r="E527" s="189" t="s">
        <v>963</v>
      </c>
      <c r="F527" s="189" t="s">
        <v>964</v>
      </c>
      <c r="G527" s="189" t="s">
        <v>965</v>
      </c>
      <c r="H527" s="188" t="n">
        <v>46104</v>
      </c>
      <c r="I527" s="189" t="s">
        <v>113</v>
      </c>
      <c r="J527" s="189" t="s">
        <v>108</v>
      </c>
      <c r="K527" s="189" t="s">
        <v>196</v>
      </c>
      <c r="L527" s="189" t="s">
        <v>246</v>
      </c>
      <c r="M527" s="189" t="s">
        <v>279</v>
      </c>
      <c r="N527" s="189" t="s">
        <v>810</v>
      </c>
      <c r="O527" s="189" t="s">
        <v>244</v>
      </c>
      <c r="P527" s="189" t="s">
        <v>111</v>
      </c>
      <c r="Q527" s="189" t="s">
        <v>112</v>
      </c>
      <c r="R527" s="189" t="s">
        <v>22</v>
      </c>
      <c r="S527" s="189" t="s">
        <v>152</v>
      </c>
      <c r="T527" s="189" t="s">
        <v>121</v>
      </c>
      <c r="U527" s="132" t="s">
        <v>969</v>
      </c>
      <c r="V527" s="189" t="s">
        <v>123</v>
      </c>
      <c r="W527" s="189" t="s">
        <v>124</v>
      </c>
      <c r="X527" s="189" t="s">
        <v>298</v>
      </c>
      <c r="Y527" s="189" t="s">
        <v>3064</v>
      </c>
      <c r="Z527" s="0" t="n">
        <v>1</v>
      </c>
      <c r="AA527" s="189" t="s">
        <v>3236</v>
      </c>
    </row>
    <row r="528" customFormat="false" ht="15" hidden="false" customHeight="true" outlineLevel="0" collapsed="false">
      <c r="A528" s="0" t="n">
        <v>107</v>
      </c>
      <c r="B528" s="188" t="n">
        <v>46116.8006096909</v>
      </c>
      <c r="C528" s="188" t="n">
        <v>46116.8192323761</v>
      </c>
      <c r="D528" s="189" t="s">
        <v>962</v>
      </c>
      <c r="E528" s="189" t="s">
        <v>963</v>
      </c>
      <c r="F528" s="189" t="s">
        <v>964</v>
      </c>
      <c r="G528" s="189" t="s">
        <v>965</v>
      </c>
      <c r="H528" s="188" t="n">
        <v>46104</v>
      </c>
      <c r="I528" s="189" t="s">
        <v>113</v>
      </c>
      <c r="J528" s="189" t="s">
        <v>108</v>
      </c>
      <c r="K528" s="189" t="s">
        <v>196</v>
      </c>
      <c r="L528" s="189" t="s">
        <v>246</v>
      </c>
      <c r="M528" s="189" t="s">
        <v>279</v>
      </c>
      <c r="N528" s="189" t="s">
        <v>810</v>
      </c>
      <c r="O528" s="189" t="s">
        <v>244</v>
      </c>
      <c r="P528" s="189" t="s">
        <v>111</v>
      </c>
      <c r="Q528" s="189" t="s">
        <v>112</v>
      </c>
      <c r="R528" s="189" t="s">
        <v>22</v>
      </c>
      <c r="S528" s="189" t="s">
        <v>152</v>
      </c>
      <c r="T528" s="189" t="s">
        <v>121</v>
      </c>
      <c r="U528" s="132" t="s">
        <v>969</v>
      </c>
      <c r="V528" s="189" t="s">
        <v>123</v>
      </c>
      <c r="W528" s="189" t="s">
        <v>124</v>
      </c>
      <c r="X528" s="189" t="s">
        <v>298</v>
      </c>
      <c r="Y528" s="189" t="s">
        <v>3064</v>
      </c>
      <c r="Z528" s="0" t="n">
        <v>2</v>
      </c>
      <c r="AA528" s="189" t="s">
        <v>3124</v>
      </c>
    </row>
    <row r="529" customFormat="false" ht="15" hidden="false" customHeight="true" outlineLevel="0" collapsed="false">
      <c r="A529" s="0" t="n">
        <v>107</v>
      </c>
      <c r="B529" s="188" t="n">
        <v>46116.8006096909</v>
      </c>
      <c r="C529" s="188" t="n">
        <v>46116.8192323761</v>
      </c>
      <c r="D529" s="189" t="s">
        <v>962</v>
      </c>
      <c r="E529" s="189" t="s">
        <v>963</v>
      </c>
      <c r="F529" s="189" t="s">
        <v>964</v>
      </c>
      <c r="G529" s="189" t="s">
        <v>965</v>
      </c>
      <c r="H529" s="188" t="n">
        <v>46104</v>
      </c>
      <c r="I529" s="189" t="s">
        <v>113</v>
      </c>
      <c r="J529" s="189" t="s">
        <v>108</v>
      </c>
      <c r="K529" s="189" t="s">
        <v>196</v>
      </c>
      <c r="L529" s="189" t="s">
        <v>246</v>
      </c>
      <c r="M529" s="189" t="s">
        <v>279</v>
      </c>
      <c r="N529" s="189" t="s">
        <v>810</v>
      </c>
      <c r="O529" s="189" t="s">
        <v>244</v>
      </c>
      <c r="P529" s="189" t="s">
        <v>111</v>
      </c>
      <c r="Q529" s="189" t="s">
        <v>112</v>
      </c>
      <c r="R529" s="189" t="s">
        <v>22</v>
      </c>
      <c r="S529" s="189" t="s">
        <v>152</v>
      </c>
      <c r="T529" s="189" t="s">
        <v>121</v>
      </c>
      <c r="U529" s="132" t="s">
        <v>969</v>
      </c>
      <c r="V529" s="189" t="s">
        <v>123</v>
      </c>
      <c r="W529" s="189" t="s">
        <v>124</v>
      </c>
      <c r="X529" s="189" t="s">
        <v>298</v>
      </c>
      <c r="Y529" s="189" t="s">
        <v>3064</v>
      </c>
      <c r="Z529" s="0" t="n">
        <v>3</v>
      </c>
      <c r="AA529" s="189" t="s">
        <v>3194</v>
      </c>
    </row>
    <row r="530" customFormat="false" ht="15" hidden="false" customHeight="true" outlineLevel="0" collapsed="false">
      <c r="A530" s="0" t="n">
        <v>107</v>
      </c>
      <c r="B530" s="188" t="n">
        <v>46116.8006096909</v>
      </c>
      <c r="C530" s="188" t="n">
        <v>46116.8192323761</v>
      </c>
      <c r="D530" s="189" t="s">
        <v>962</v>
      </c>
      <c r="E530" s="189" t="s">
        <v>963</v>
      </c>
      <c r="F530" s="189" t="s">
        <v>964</v>
      </c>
      <c r="G530" s="189" t="s">
        <v>965</v>
      </c>
      <c r="H530" s="188" t="n">
        <v>46104</v>
      </c>
      <c r="I530" s="189" t="s">
        <v>113</v>
      </c>
      <c r="J530" s="189" t="s">
        <v>108</v>
      </c>
      <c r="K530" s="189" t="s">
        <v>196</v>
      </c>
      <c r="L530" s="189" t="s">
        <v>246</v>
      </c>
      <c r="M530" s="189" t="s">
        <v>279</v>
      </c>
      <c r="N530" s="189" t="s">
        <v>810</v>
      </c>
      <c r="O530" s="189" t="s">
        <v>244</v>
      </c>
      <c r="P530" s="189" t="s">
        <v>111</v>
      </c>
      <c r="Q530" s="189" t="s">
        <v>112</v>
      </c>
      <c r="R530" s="189" t="s">
        <v>22</v>
      </c>
      <c r="S530" s="189" t="s">
        <v>152</v>
      </c>
      <c r="T530" s="189" t="s">
        <v>121</v>
      </c>
      <c r="U530" s="132" t="s">
        <v>969</v>
      </c>
      <c r="V530" s="189" t="s">
        <v>123</v>
      </c>
      <c r="W530" s="189" t="s">
        <v>124</v>
      </c>
      <c r="X530" s="189" t="s">
        <v>298</v>
      </c>
      <c r="Y530" s="189" t="s">
        <v>3066</v>
      </c>
      <c r="Z530" s="0" t="n">
        <v>1</v>
      </c>
      <c r="AA530" s="189" t="s">
        <v>3237</v>
      </c>
    </row>
    <row r="531" customFormat="false" ht="15" hidden="false" customHeight="true" outlineLevel="0" collapsed="false">
      <c r="A531" s="0" t="n">
        <v>107</v>
      </c>
      <c r="B531" s="188" t="n">
        <v>46116.8006096909</v>
      </c>
      <c r="C531" s="188" t="n">
        <v>46116.8192323761</v>
      </c>
      <c r="D531" s="189" t="s">
        <v>962</v>
      </c>
      <c r="E531" s="189" t="s">
        <v>963</v>
      </c>
      <c r="F531" s="189" t="s">
        <v>964</v>
      </c>
      <c r="G531" s="189" t="s">
        <v>965</v>
      </c>
      <c r="H531" s="188" t="n">
        <v>46104</v>
      </c>
      <c r="I531" s="189" t="s">
        <v>113</v>
      </c>
      <c r="J531" s="189" t="s">
        <v>108</v>
      </c>
      <c r="K531" s="189" t="s">
        <v>196</v>
      </c>
      <c r="L531" s="189" t="s">
        <v>246</v>
      </c>
      <c r="M531" s="189" t="s">
        <v>279</v>
      </c>
      <c r="N531" s="189" t="s">
        <v>810</v>
      </c>
      <c r="O531" s="189" t="s">
        <v>244</v>
      </c>
      <c r="P531" s="189" t="s">
        <v>111</v>
      </c>
      <c r="Q531" s="189" t="s">
        <v>112</v>
      </c>
      <c r="R531" s="189" t="s">
        <v>22</v>
      </c>
      <c r="S531" s="189" t="s">
        <v>152</v>
      </c>
      <c r="T531" s="189" t="s">
        <v>121</v>
      </c>
      <c r="U531" s="132" t="s">
        <v>969</v>
      </c>
      <c r="V531" s="189" t="s">
        <v>123</v>
      </c>
      <c r="W531" s="189" t="s">
        <v>124</v>
      </c>
      <c r="X531" s="189" t="s">
        <v>298</v>
      </c>
      <c r="Y531" s="189" t="s">
        <v>3069</v>
      </c>
      <c r="Z531" s="0" t="n">
        <v>1</v>
      </c>
      <c r="AA531" s="189" t="s">
        <v>3210</v>
      </c>
    </row>
    <row r="532" customFormat="false" ht="15" hidden="false" customHeight="true" outlineLevel="0" collapsed="false">
      <c r="A532" s="0" t="n">
        <v>107</v>
      </c>
      <c r="B532" s="188" t="n">
        <v>46116.8006096909</v>
      </c>
      <c r="C532" s="188" t="n">
        <v>46116.8192323761</v>
      </c>
      <c r="D532" s="189" t="s">
        <v>962</v>
      </c>
      <c r="E532" s="189" t="s">
        <v>963</v>
      </c>
      <c r="F532" s="189" t="s">
        <v>964</v>
      </c>
      <c r="G532" s="189" t="s">
        <v>965</v>
      </c>
      <c r="H532" s="188" t="n">
        <v>46104</v>
      </c>
      <c r="I532" s="189" t="s">
        <v>113</v>
      </c>
      <c r="J532" s="189" t="s">
        <v>108</v>
      </c>
      <c r="K532" s="189" t="s">
        <v>196</v>
      </c>
      <c r="L532" s="189" t="s">
        <v>246</v>
      </c>
      <c r="M532" s="189" t="s">
        <v>279</v>
      </c>
      <c r="N532" s="189" t="s">
        <v>810</v>
      </c>
      <c r="O532" s="189" t="s">
        <v>244</v>
      </c>
      <c r="P532" s="189" t="s">
        <v>111</v>
      </c>
      <c r="Q532" s="189" t="s">
        <v>112</v>
      </c>
      <c r="R532" s="189" t="s">
        <v>22</v>
      </c>
      <c r="S532" s="189" t="s">
        <v>152</v>
      </c>
      <c r="T532" s="189" t="s">
        <v>121</v>
      </c>
      <c r="U532" s="132" t="s">
        <v>969</v>
      </c>
      <c r="V532" s="189" t="s">
        <v>123</v>
      </c>
      <c r="W532" s="189" t="s">
        <v>124</v>
      </c>
      <c r="X532" s="189" t="s">
        <v>298</v>
      </c>
      <c r="Y532" s="189" t="s">
        <v>3069</v>
      </c>
      <c r="Z532" s="0" t="n">
        <v>2</v>
      </c>
      <c r="AA532" s="189" t="s">
        <v>3197</v>
      </c>
    </row>
    <row r="533" customFormat="false" ht="15" hidden="false" customHeight="true" outlineLevel="0" collapsed="false">
      <c r="A533" s="0" t="n">
        <v>108</v>
      </c>
      <c r="B533" s="188" t="n">
        <v>46119.6492926345</v>
      </c>
      <c r="C533" s="188" t="n">
        <v>46119.6600565234</v>
      </c>
      <c r="D533" s="189" t="s">
        <v>970</v>
      </c>
      <c r="E533" s="189" t="s">
        <v>971</v>
      </c>
      <c r="F533" s="189" t="s">
        <v>971</v>
      </c>
      <c r="G533" s="189" t="s">
        <v>972</v>
      </c>
      <c r="H533" s="188" t="n">
        <v>46118</v>
      </c>
      <c r="I533" s="189" t="s">
        <v>113</v>
      </c>
      <c r="J533" s="189" t="s">
        <v>128</v>
      </c>
      <c r="K533" s="189" t="s">
        <v>173</v>
      </c>
      <c r="L533" s="189" t="s">
        <v>144</v>
      </c>
      <c r="M533" s="189" t="s">
        <v>973</v>
      </c>
      <c r="N533" s="189" t="s">
        <v>306</v>
      </c>
      <c r="O533" s="189" t="s">
        <v>278</v>
      </c>
      <c r="P533" s="189" t="s">
        <v>131</v>
      </c>
      <c r="Q533" s="189" t="s">
        <v>112</v>
      </c>
      <c r="R533" s="189" t="s">
        <v>22</v>
      </c>
      <c r="S533" s="189" t="s">
        <v>152</v>
      </c>
      <c r="T533" s="189" t="s">
        <v>121</v>
      </c>
      <c r="U533" s="189" t="s">
        <v>725</v>
      </c>
      <c r="V533" s="189" t="s">
        <v>192</v>
      </c>
      <c r="W533" s="189" t="s">
        <v>168</v>
      </c>
      <c r="X533" s="189" t="s">
        <v>176</v>
      </c>
      <c r="Y533" s="189" t="s">
        <v>3064</v>
      </c>
      <c r="Z533" s="0" t="n">
        <v>1</v>
      </c>
      <c r="AA533" s="189" t="s">
        <v>3264</v>
      </c>
    </row>
    <row r="534" customFormat="false" ht="15" hidden="false" customHeight="true" outlineLevel="0" collapsed="false">
      <c r="A534" s="0" t="n">
        <v>108</v>
      </c>
      <c r="B534" s="188" t="n">
        <v>46119.6492926345</v>
      </c>
      <c r="C534" s="188" t="n">
        <v>46119.6600565234</v>
      </c>
      <c r="D534" s="189" t="s">
        <v>970</v>
      </c>
      <c r="E534" s="189" t="s">
        <v>971</v>
      </c>
      <c r="F534" s="189" t="s">
        <v>971</v>
      </c>
      <c r="G534" s="189" t="s">
        <v>972</v>
      </c>
      <c r="H534" s="188" t="n">
        <v>46118</v>
      </c>
      <c r="I534" s="189" t="s">
        <v>113</v>
      </c>
      <c r="J534" s="189" t="s">
        <v>128</v>
      </c>
      <c r="K534" s="189" t="s">
        <v>173</v>
      </c>
      <c r="L534" s="189" t="s">
        <v>144</v>
      </c>
      <c r="M534" s="189" t="s">
        <v>973</v>
      </c>
      <c r="N534" s="189" t="s">
        <v>306</v>
      </c>
      <c r="O534" s="189" t="s">
        <v>278</v>
      </c>
      <c r="P534" s="189" t="s">
        <v>131</v>
      </c>
      <c r="Q534" s="189" t="s">
        <v>112</v>
      </c>
      <c r="R534" s="189" t="s">
        <v>22</v>
      </c>
      <c r="S534" s="189" t="s">
        <v>152</v>
      </c>
      <c r="T534" s="189" t="s">
        <v>121</v>
      </c>
      <c r="U534" s="189" t="s">
        <v>725</v>
      </c>
      <c r="V534" s="189" t="s">
        <v>192</v>
      </c>
      <c r="W534" s="189" t="s">
        <v>168</v>
      </c>
      <c r="X534" s="189" t="s">
        <v>176</v>
      </c>
      <c r="Y534" s="189" t="s">
        <v>3066</v>
      </c>
      <c r="Z534" s="0" t="n">
        <v>1</v>
      </c>
      <c r="AA534" s="189" t="s">
        <v>3205</v>
      </c>
    </row>
    <row r="535" customFormat="false" ht="15" hidden="false" customHeight="true" outlineLevel="0" collapsed="false">
      <c r="A535" s="0" t="n">
        <v>108</v>
      </c>
      <c r="B535" s="188" t="n">
        <v>46119.6492926345</v>
      </c>
      <c r="C535" s="188" t="n">
        <v>46119.6600565234</v>
      </c>
      <c r="D535" s="189" t="s">
        <v>970</v>
      </c>
      <c r="E535" s="189" t="s">
        <v>971</v>
      </c>
      <c r="F535" s="189" t="s">
        <v>971</v>
      </c>
      <c r="G535" s="189" t="s">
        <v>972</v>
      </c>
      <c r="H535" s="188" t="n">
        <v>46118</v>
      </c>
      <c r="I535" s="189" t="s">
        <v>113</v>
      </c>
      <c r="J535" s="189" t="s">
        <v>128</v>
      </c>
      <c r="K535" s="189" t="s">
        <v>173</v>
      </c>
      <c r="L535" s="189" t="s">
        <v>144</v>
      </c>
      <c r="M535" s="189" t="s">
        <v>973</v>
      </c>
      <c r="N535" s="189" t="s">
        <v>306</v>
      </c>
      <c r="O535" s="189" t="s">
        <v>278</v>
      </c>
      <c r="P535" s="189" t="s">
        <v>131</v>
      </c>
      <c r="Q535" s="189" t="s">
        <v>112</v>
      </c>
      <c r="R535" s="189" t="s">
        <v>22</v>
      </c>
      <c r="S535" s="189" t="s">
        <v>152</v>
      </c>
      <c r="T535" s="189" t="s">
        <v>121</v>
      </c>
      <c r="U535" s="189" t="s">
        <v>725</v>
      </c>
      <c r="V535" s="189" t="s">
        <v>192</v>
      </c>
      <c r="W535" s="189" t="s">
        <v>168</v>
      </c>
      <c r="X535" s="189" t="s">
        <v>176</v>
      </c>
      <c r="Y535" s="189" t="s">
        <v>3066</v>
      </c>
      <c r="Z535" s="0" t="n">
        <v>2</v>
      </c>
      <c r="AA535" s="189" t="s">
        <v>3265</v>
      </c>
    </row>
    <row r="536" customFormat="false" ht="15" hidden="false" customHeight="true" outlineLevel="0" collapsed="false">
      <c r="A536" s="0" t="n">
        <v>108</v>
      </c>
      <c r="B536" s="188" t="n">
        <v>46119.6492926345</v>
      </c>
      <c r="C536" s="188" t="n">
        <v>46119.6600565234</v>
      </c>
      <c r="D536" s="189" t="s">
        <v>970</v>
      </c>
      <c r="E536" s="189" t="s">
        <v>971</v>
      </c>
      <c r="F536" s="189" t="s">
        <v>971</v>
      </c>
      <c r="G536" s="189" t="s">
        <v>972</v>
      </c>
      <c r="H536" s="188" t="n">
        <v>46118</v>
      </c>
      <c r="I536" s="189" t="s">
        <v>113</v>
      </c>
      <c r="J536" s="189" t="s">
        <v>128</v>
      </c>
      <c r="K536" s="189" t="s">
        <v>173</v>
      </c>
      <c r="L536" s="189" t="s">
        <v>144</v>
      </c>
      <c r="M536" s="189" t="s">
        <v>973</v>
      </c>
      <c r="N536" s="189" t="s">
        <v>306</v>
      </c>
      <c r="O536" s="189" t="s">
        <v>278</v>
      </c>
      <c r="P536" s="189" t="s">
        <v>131</v>
      </c>
      <c r="Q536" s="189" t="s">
        <v>112</v>
      </c>
      <c r="R536" s="189" t="s">
        <v>22</v>
      </c>
      <c r="S536" s="189" t="s">
        <v>152</v>
      </c>
      <c r="T536" s="189" t="s">
        <v>121</v>
      </c>
      <c r="U536" s="189" t="s">
        <v>725</v>
      </c>
      <c r="V536" s="189" t="s">
        <v>192</v>
      </c>
      <c r="W536" s="189" t="s">
        <v>168</v>
      </c>
      <c r="X536" s="189" t="s">
        <v>176</v>
      </c>
      <c r="Y536" s="189" t="s">
        <v>3069</v>
      </c>
      <c r="Z536" s="0" t="n">
        <v>1</v>
      </c>
      <c r="AA536" s="189" t="s">
        <v>3241</v>
      </c>
    </row>
    <row r="537" customFormat="false" ht="15" hidden="false" customHeight="true" outlineLevel="0" collapsed="false">
      <c r="A537" s="0" t="n">
        <v>108</v>
      </c>
      <c r="B537" s="188" t="n">
        <v>46119.6492926345</v>
      </c>
      <c r="C537" s="188" t="n">
        <v>46119.6600565234</v>
      </c>
      <c r="D537" s="189" t="s">
        <v>970</v>
      </c>
      <c r="E537" s="189" t="s">
        <v>971</v>
      </c>
      <c r="F537" s="189" t="s">
        <v>971</v>
      </c>
      <c r="G537" s="189" t="s">
        <v>972</v>
      </c>
      <c r="H537" s="188" t="n">
        <v>46118</v>
      </c>
      <c r="I537" s="189" t="s">
        <v>113</v>
      </c>
      <c r="J537" s="189" t="s">
        <v>128</v>
      </c>
      <c r="K537" s="189" t="s">
        <v>173</v>
      </c>
      <c r="L537" s="189" t="s">
        <v>144</v>
      </c>
      <c r="M537" s="189" t="s">
        <v>973</v>
      </c>
      <c r="N537" s="189" t="s">
        <v>306</v>
      </c>
      <c r="O537" s="189" t="s">
        <v>278</v>
      </c>
      <c r="P537" s="189" t="s">
        <v>131</v>
      </c>
      <c r="Q537" s="189" t="s">
        <v>112</v>
      </c>
      <c r="R537" s="189" t="s">
        <v>22</v>
      </c>
      <c r="S537" s="189" t="s">
        <v>152</v>
      </c>
      <c r="T537" s="189" t="s">
        <v>121</v>
      </c>
      <c r="U537" s="189" t="s">
        <v>725</v>
      </c>
      <c r="V537" s="189" t="s">
        <v>192</v>
      </c>
      <c r="W537" s="189" t="s">
        <v>168</v>
      </c>
      <c r="X537" s="189" t="s">
        <v>176</v>
      </c>
      <c r="Y537" s="189" t="s">
        <v>3069</v>
      </c>
      <c r="Z537" s="0" t="n">
        <v>2</v>
      </c>
      <c r="AA537" s="189" t="s">
        <v>3088</v>
      </c>
    </row>
    <row r="538" customFormat="false" ht="15" hidden="false" customHeight="true" outlineLevel="0" collapsed="false">
      <c r="A538" s="0" t="n">
        <v>109</v>
      </c>
      <c r="B538" s="188" t="n">
        <v>46152.4731887889</v>
      </c>
      <c r="C538" s="188" t="n">
        <v>46152.4783392518</v>
      </c>
      <c r="D538" s="189" t="s">
        <v>977</v>
      </c>
      <c r="E538" s="189" t="s">
        <v>978</v>
      </c>
      <c r="F538" s="189" t="s">
        <v>978</v>
      </c>
      <c r="G538" s="189" t="s">
        <v>979</v>
      </c>
      <c r="H538" s="188" t="n">
        <v>46136</v>
      </c>
      <c r="I538" s="189" t="s">
        <v>132</v>
      </c>
      <c r="J538" s="189" t="s">
        <v>295</v>
      </c>
      <c r="K538" s="189" t="s">
        <v>173</v>
      </c>
      <c r="L538" s="189" t="s">
        <v>268</v>
      </c>
      <c r="M538" s="189" t="s">
        <v>286</v>
      </c>
      <c r="N538" s="189" t="s">
        <v>980</v>
      </c>
      <c r="O538" s="189" t="s">
        <v>172</v>
      </c>
      <c r="P538" s="189" t="s">
        <v>111</v>
      </c>
      <c r="Q538" s="189" t="s">
        <v>145</v>
      </c>
      <c r="R538" s="189" t="s">
        <v>22</v>
      </c>
      <c r="S538" s="189" t="s">
        <v>152</v>
      </c>
      <c r="T538" s="189" t="s">
        <v>121</v>
      </c>
      <c r="V538" s="189" t="s">
        <v>167</v>
      </c>
      <c r="W538" s="189" t="s">
        <v>124</v>
      </c>
      <c r="X538" s="189" t="s">
        <v>271</v>
      </c>
      <c r="Y538" s="189" t="s">
        <v>3064</v>
      </c>
      <c r="Z538" s="0" t="n">
        <v>1</v>
      </c>
      <c r="AA538" s="189" t="s">
        <v>3230</v>
      </c>
    </row>
    <row r="539" customFormat="false" ht="15" hidden="false" customHeight="true" outlineLevel="0" collapsed="false">
      <c r="A539" s="0" t="n">
        <v>109</v>
      </c>
      <c r="B539" s="188" t="n">
        <v>46152.4731887889</v>
      </c>
      <c r="C539" s="188" t="n">
        <v>46152.4783392518</v>
      </c>
      <c r="D539" s="189" t="s">
        <v>977</v>
      </c>
      <c r="E539" s="189" t="s">
        <v>978</v>
      </c>
      <c r="F539" s="189" t="s">
        <v>978</v>
      </c>
      <c r="G539" s="189" t="s">
        <v>979</v>
      </c>
      <c r="H539" s="188" t="n">
        <v>46136</v>
      </c>
      <c r="I539" s="189" t="s">
        <v>132</v>
      </c>
      <c r="J539" s="189" t="s">
        <v>295</v>
      </c>
      <c r="K539" s="189" t="s">
        <v>173</v>
      </c>
      <c r="L539" s="189" t="s">
        <v>268</v>
      </c>
      <c r="M539" s="189" t="s">
        <v>286</v>
      </c>
      <c r="N539" s="189" t="s">
        <v>980</v>
      </c>
      <c r="O539" s="189" t="s">
        <v>172</v>
      </c>
      <c r="P539" s="189" t="s">
        <v>111</v>
      </c>
      <c r="Q539" s="189" t="s">
        <v>145</v>
      </c>
      <c r="R539" s="189" t="s">
        <v>22</v>
      </c>
      <c r="S539" s="189" t="s">
        <v>152</v>
      </c>
      <c r="T539" s="189" t="s">
        <v>121</v>
      </c>
      <c r="V539" s="189" t="s">
        <v>167</v>
      </c>
      <c r="W539" s="189" t="s">
        <v>124</v>
      </c>
      <c r="X539" s="189" t="s">
        <v>271</v>
      </c>
      <c r="Y539" s="189" t="s">
        <v>3064</v>
      </c>
      <c r="Z539" s="0" t="n">
        <v>2</v>
      </c>
      <c r="AA539" s="189" t="s">
        <v>3136</v>
      </c>
    </row>
    <row r="540" customFormat="false" ht="15" hidden="false" customHeight="true" outlineLevel="0" collapsed="false">
      <c r="A540" s="0" t="n">
        <v>109</v>
      </c>
      <c r="B540" s="188" t="n">
        <v>46152.4731887889</v>
      </c>
      <c r="C540" s="188" t="n">
        <v>46152.4783392518</v>
      </c>
      <c r="D540" s="189" t="s">
        <v>977</v>
      </c>
      <c r="E540" s="189" t="s">
        <v>978</v>
      </c>
      <c r="F540" s="189" t="s">
        <v>978</v>
      </c>
      <c r="G540" s="189" t="s">
        <v>979</v>
      </c>
      <c r="H540" s="188" t="n">
        <v>46136</v>
      </c>
      <c r="I540" s="189" t="s">
        <v>132</v>
      </c>
      <c r="J540" s="189" t="s">
        <v>295</v>
      </c>
      <c r="K540" s="189" t="s">
        <v>173</v>
      </c>
      <c r="L540" s="189" t="s">
        <v>268</v>
      </c>
      <c r="M540" s="189" t="s">
        <v>286</v>
      </c>
      <c r="N540" s="189" t="s">
        <v>980</v>
      </c>
      <c r="O540" s="189" t="s">
        <v>172</v>
      </c>
      <c r="P540" s="189" t="s">
        <v>111</v>
      </c>
      <c r="Q540" s="189" t="s">
        <v>145</v>
      </c>
      <c r="R540" s="189" t="s">
        <v>22</v>
      </c>
      <c r="S540" s="189" t="s">
        <v>152</v>
      </c>
      <c r="T540" s="189" t="s">
        <v>121</v>
      </c>
      <c r="V540" s="189" t="s">
        <v>167</v>
      </c>
      <c r="W540" s="189" t="s">
        <v>124</v>
      </c>
      <c r="X540" s="189" t="s">
        <v>271</v>
      </c>
      <c r="Y540" s="189" t="s">
        <v>3064</v>
      </c>
      <c r="Z540" s="0" t="n">
        <v>3</v>
      </c>
      <c r="AA540" s="189" t="s">
        <v>3114</v>
      </c>
    </row>
    <row r="541" customFormat="false" ht="15" hidden="false" customHeight="true" outlineLevel="0" collapsed="false">
      <c r="A541" s="0" t="n">
        <v>109</v>
      </c>
      <c r="B541" s="188" t="n">
        <v>46152.4731887889</v>
      </c>
      <c r="C541" s="188" t="n">
        <v>46152.4783392518</v>
      </c>
      <c r="D541" s="189" t="s">
        <v>977</v>
      </c>
      <c r="E541" s="189" t="s">
        <v>978</v>
      </c>
      <c r="F541" s="189" t="s">
        <v>978</v>
      </c>
      <c r="G541" s="189" t="s">
        <v>979</v>
      </c>
      <c r="H541" s="188" t="n">
        <v>46136</v>
      </c>
      <c r="I541" s="189" t="s">
        <v>132</v>
      </c>
      <c r="J541" s="189" t="s">
        <v>295</v>
      </c>
      <c r="K541" s="189" t="s">
        <v>173</v>
      </c>
      <c r="L541" s="189" t="s">
        <v>268</v>
      </c>
      <c r="M541" s="189" t="s">
        <v>286</v>
      </c>
      <c r="N541" s="189" t="s">
        <v>980</v>
      </c>
      <c r="O541" s="189" t="s">
        <v>172</v>
      </c>
      <c r="P541" s="189" t="s">
        <v>111</v>
      </c>
      <c r="Q541" s="189" t="s">
        <v>145</v>
      </c>
      <c r="R541" s="189" t="s">
        <v>22</v>
      </c>
      <c r="S541" s="189" t="s">
        <v>152</v>
      </c>
      <c r="T541" s="189" t="s">
        <v>121</v>
      </c>
      <c r="V541" s="189" t="s">
        <v>167</v>
      </c>
      <c r="W541" s="189" t="s">
        <v>124</v>
      </c>
      <c r="X541" s="189" t="s">
        <v>271</v>
      </c>
      <c r="Y541" s="189" t="s">
        <v>3066</v>
      </c>
      <c r="Z541" s="0" t="n">
        <v>1</v>
      </c>
      <c r="AA541" s="189" t="s">
        <v>3116</v>
      </c>
    </row>
    <row r="542" customFormat="false" ht="15" hidden="false" customHeight="true" outlineLevel="0" collapsed="false">
      <c r="A542" s="0" t="n">
        <v>109</v>
      </c>
      <c r="B542" s="188" t="n">
        <v>46152.4731887889</v>
      </c>
      <c r="C542" s="188" t="n">
        <v>46152.4783392518</v>
      </c>
      <c r="D542" s="189" t="s">
        <v>977</v>
      </c>
      <c r="E542" s="189" t="s">
        <v>978</v>
      </c>
      <c r="F542" s="189" t="s">
        <v>978</v>
      </c>
      <c r="G542" s="189" t="s">
        <v>979</v>
      </c>
      <c r="H542" s="188" t="n">
        <v>46136</v>
      </c>
      <c r="I542" s="189" t="s">
        <v>132</v>
      </c>
      <c r="J542" s="189" t="s">
        <v>295</v>
      </c>
      <c r="K542" s="189" t="s">
        <v>173</v>
      </c>
      <c r="L542" s="189" t="s">
        <v>268</v>
      </c>
      <c r="M542" s="189" t="s">
        <v>286</v>
      </c>
      <c r="N542" s="189" t="s">
        <v>980</v>
      </c>
      <c r="O542" s="189" t="s">
        <v>172</v>
      </c>
      <c r="P542" s="189" t="s">
        <v>111</v>
      </c>
      <c r="Q542" s="189" t="s">
        <v>145</v>
      </c>
      <c r="R542" s="189" t="s">
        <v>22</v>
      </c>
      <c r="S542" s="189" t="s">
        <v>152</v>
      </c>
      <c r="T542" s="189" t="s">
        <v>121</v>
      </c>
      <c r="V542" s="189" t="s">
        <v>167</v>
      </c>
      <c r="W542" s="189" t="s">
        <v>124</v>
      </c>
      <c r="X542" s="189" t="s">
        <v>271</v>
      </c>
      <c r="Y542" s="189" t="s">
        <v>3066</v>
      </c>
      <c r="Z542" s="0" t="n">
        <v>2</v>
      </c>
      <c r="AA542" s="189" t="s">
        <v>3266</v>
      </c>
    </row>
    <row r="543" customFormat="false" ht="15" hidden="false" customHeight="true" outlineLevel="0" collapsed="false">
      <c r="A543" s="0" t="n">
        <v>109</v>
      </c>
      <c r="B543" s="188" t="n">
        <v>46152.4731887889</v>
      </c>
      <c r="C543" s="188" t="n">
        <v>46152.4783392518</v>
      </c>
      <c r="D543" s="189" t="s">
        <v>977</v>
      </c>
      <c r="E543" s="189" t="s">
        <v>978</v>
      </c>
      <c r="F543" s="189" t="s">
        <v>978</v>
      </c>
      <c r="G543" s="189" t="s">
        <v>979</v>
      </c>
      <c r="H543" s="188" t="n">
        <v>46136</v>
      </c>
      <c r="I543" s="189" t="s">
        <v>132</v>
      </c>
      <c r="J543" s="189" t="s">
        <v>295</v>
      </c>
      <c r="K543" s="189" t="s">
        <v>173</v>
      </c>
      <c r="L543" s="189" t="s">
        <v>268</v>
      </c>
      <c r="M543" s="189" t="s">
        <v>286</v>
      </c>
      <c r="N543" s="189" t="s">
        <v>980</v>
      </c>
      <c r="O543" s="189" t="s">
        <v>172</v>
      </c>
      <c r="P543" s="189" t="s">
        <v>111</v>
      </c>
      <c r="Q543" s="189" t="s">
        <v>145</v>
      </c>
      <c r="R543" s="189" t="s">
        <v>22</v>
      </c>
      <c r="S543" s="189" t="s">
        <v>152</v>
      </c>
      <c r="T543" s="189" t="s">
        <v>121</v>
      </c>
      <c r="V543" s="189" t="s">
        <v>167</v>
      </c>
      <c r="W543" s="189" t="s">
        <v>124</v>
      </c>
      <c r="X543" s="189" t="s">
        <v>271</v>
      </c>
      <c r="Y543" s="189" t="s">
        <v>3069</v>
      </c>
      <c r="Z543" s="0" t="n">
        <v>1</v>
      </c>
      <c r="AA543" s="189" t="s">
        <v>122</v>
      </c>
    </row>
    <row r="544" customFormat="false" ht="15" hidden="false" customHeight="true" outlineLevel="0" collapsed="false">
      <c r="A544" s="0" t="n">
        <v>110</v>
      </c>
      <c r="B544" s="188" t="n">
        <v>46070.1962006337</v>
      </c>
      <c r="C544" s="188" t="n">
        <v>46070.2153325781</v>
      </c>
      <c r="D544" s="189" t="s">
        <v>983</v>
      </c>
      <c r="E544" s="189" t="s">
        <v>984</v>
      </c>
      <c r="F544" s="189" t="s">
        <v>984</v>
      </c>
      <c r="G544" s="189" t="s">
        <v>985</v>
      </c>
      <c r="H544" s="188" t="n">
        <v>46061</v>
      </c>
      <c r="I544" s="189" t="s">
        <v>113</v>
      </c>
      <c r="J544" s="189" t="s">
        <v>108</v>
      </c>
      <c r="K544" s="189" t="s">
        <v>143</v>
      </c>
      <c r="L544" s="189" t="s">
        <v>184</v>
      </c>
      <c r="M544" s="189" t="s">
        <v>279</v>
      </c>
      <c r="N544" s="189" t="s">
        <v>899</v>
      </c>
      <c r="O544" s="189" t="s">
        <v>107</v>
      </c>
      <c r="P544" s="189" t="s">
        <v>111</v>
      </c>
      <c r="Q544" s="189" t="s">
        <v>112</v>
      </c>
      <c r="R544" s="189" t="s">
        <v>21</v>
      </c>
      <c r="S544" s="189" t="s">
        <v>152</v>
      </c>
      <c r="T544" s="189" t="s">
        <v>352</v>
      </c>
      <c r="U544" s="189" t="s">
        <v>122</v>
      </c>
      <c r="V544" s="189" t="s">
        <v>192</v>
      </c>
      <c r="W544" s="189" t="s">
        <v>124</v>
      </c>
      <c r="X544" s="189" t="s">
        <v>307</v>
      </c>
      <c r="Y544" s="189" t="s">
        <v>3064</v>
      </c>
      <c r="Z544" s="0" t="n">
        <v>1</v>
      </c>
      <c r="AA544" s="189" t="s">
        <v>3131</v>
      </c>
    </row>
    <row r="545" customFormat="false" ht="15" hidden="false" customHeight="true" outlineLevel="0" collapsed="false">
      <c r="A545" s="0" t="n">
        <v>110</v>
      </c>
      <c r="B545" s="188" t="n">
        <v>46070.1962006337</v>
      </c>
      <c r="C545" s="188" t="n">
        <v>46070.2153325781</v>
      </c>
      <c r="D545" s="189" t="s">
        <v>983</v>
      </c>
      <c r="E545" s="189" t="s">
        <v>984</v>
      </c>
      <c r="F545" s="189" t="s">
        <v>984</v>
      </c>
      <c r="G545" s="189" t="s">
        <v>985</v>
      </c>
      <c r="H545" s="188" t="n">
        <v>46061</v>
      </c>
      <c r="I545" s="189" t="s">
        <v>113</v>
      </c>
      <c r="J545" s="189" t="s">
        <v>108</v>
      </c>
      <c r="K545" s="189" t="s">
        <v>143</v>
      </c>
      <c r="L545" s="189" t="s">
        <v>184</v>
      </c>
      <c r="M545" s="189" t="s">
        <v>279</v>
      </c>
      <c r="N545" s="189" t="s">
        <v>899</v>
      </c>
      <c r="O545" s="189" t="s">
        <v>107</v>
      </c>
      <c r="P545" s="189" t="s">
        <v>111</v>
      </c>
      <c r="Q545" s="189" t="s">
        <v>112</v>
      </c>
      <c r="R545" s="189" t="s">
        <v>21</v>
      </c>
      <c r="S545" s="189" t="s">
        <v>152</v>
      </c>
      <c r="T545" s="189" t="s">
        <v>352</v>
      </c>
      <c r="U545" s="189" t="s">
        <v>122</v>
      </c>
      <c r="V545" s="189" t="s">
        <v>192</v>
      </c>
      <c r="W545" s="189" t="s">
        <v>124</v>
      </c>
      <c r="X545" s="189" t="s">
        <v>307</v>
      </c>
      <c r="Y545" s="189" t="s">
        <v>3064</v>
      </c>
      <c r="Z545" s="0" t="n">
        <v>2</v>
      </c>
      <c r="AA545" s="189" t="s">
        <v>3129</v>
      </c>
    </row>
    <row r="546" customFormat="false" ht="15" hidden="false" customHeight="true" outlineLevel="0" collapsed="false">
      <c r="A546" s="0" t="n">
        <v>110</v>
      </c>
      <c r="B546" s="188" t="n">
        <v>46070.1962006337</v>
      </c>
      <c r="C546" s="188" t="n">
        <v>46070.2153325781</v>
      </c>
      <c r="D546" s="189" t="s">
        <v>983</v>
      </c>
      <c r="E546" s="189" t="s">
        <v>984</v>
      </c>
      <c r="F546" s="189" t="s">
        <v>984</v>
      </c>
      <c r="G546" s="189" t="s">
        <v>985</v>
      </c>
      <c r="H546" s="188" t="n">
        <v>46061</v>
      </c>
      <c r="I546" s="189" t="s">
        <v>113</v>
      </c>
      <c r="J546" s="189" t="s">
        <v>108</v>
      </c>
      <c r="K546" s="189" t="s">
        <v>143</v>
      </c>
      <c r="L546" s="189" t="s">
        <v>184</v>
      </c>
      <c r="M546" s="189" t="s">
        <v>279</v>
      </c>
      <c r="N546" s="189" t="s">
        <v>899</v>
      </c>
      <c r="O546" s="189" t="s">
        <v>107</v>
      </c>
      <c r="P546" s="189" t="s">
        <v>111</v>
      </c>
      <c r="Q546" s="189" t="s">
        <v>112</v>
      </c>
      <c r="R546" s="189" t="s">
        <v>21</v>
      </c>
      <c r="S546" s="189" t="s">
        <v>152</v>
      </c>
      <c r="T546" s="189" t="s">
        <v>352</v>
      </c>
      <c r="U546" s="189" t="s">
        <v>122</v>
      </c>
      <c r="V546" s="189" t="s">
        <v>192</v>
      </c>
      <c r="W546" s="189" t="s">
        <v>124</v>
      </c>
      <c r="X546" s="189" t="s">
        <v>307</v>
      </c>
      <c r="Y546" s="189" t="s">
        <v>3064</v>
      </c>
      <c r="Z546" s="0" t="n">
        <v>3</v>
      </c>
      <c r="AA546" s="189" t="s">
        <v>3130</v>
      </c>
    </row>
    <row r="547" customFormat="false" ht="15" hidden="false" customHeight="true" outlineLevel="0" collapsed="false">
      <c r="A547" s="0" t="n">
        <v>110</v>
      </c>
      <c r="B547" s="188" t="n">
        <v>46070.1962006337</v>
      </c>
      <c r="C547" s="188" t="n">
        <v>46070.2153325781</v>
      </c>
      <c r="D547" s="189" t="s">
        <v>983</v>
      </c>
      <c r="E547" s="189" t="s">
        <v>984</v>
      </c>
      <c r="F547" s="189" t="s">
        <v>984</v>
      </c>
      <c r="G547" s="189" t="s">
        <v>985</v>
      </c>
      <c r="H547" s="188" t="n">
        <v>46061</v>
      </c>
      <c r="I547" s="189" t="s">
        <v>113</v>
      </c>
      <c r="J547" s="189" t="s">
        <v>108</v>
      </c>
      <c r="K547" s="189" t="s">
        <v>143</v>
      </c>
      <c r="L547" s="189" t="s">
        <v>184</v>
      </c>
      <c r="M547" s="189" t="s">
        <v>279</v>
      </c>
      <c r="N547" s="189" t="s">
        <v>899</v>
      </c>
      <c r="O547" s="189" t="s">
        <v>107</v>
      </c>
      <c r="P547" s="189" t="s">
        <v>111</v>
      </c>
      <c r="Q547" s="189" t="s">
        <v>112</v>
      </c>
      <c r="R547" s="189" t="s">
        <v>21</v>
      </c>
      <c r="S547" s="189" t="s">
        <v>152</v>
      </c>
      <c r="T547" s="189" t="s">
        <v>352</v>
      </c>
      <c r="U547" s="189" t="s">
        <v>122</v>
      </c>
      <c r="V547" s="189" t="s">
        <v>192</v>
      </c>
      <c r="W547" s="189" t="s">
        <v>124</v>
      </c>
      <c r="X547" s="189" t="s">
        <v>307</v>
      </c>
      <c r="Y547" s="189" t="s">
        <v>3066</v>
      </c>
      <c r="Z547" s="0" t="n">
        <v>1</v>
      </c>
      <c r="AA547" s="189" t="s">
        <v>1174</v>
      </c>
    </row>
    <row r="548" customFormat="false" ht="15" hidden="false" customHeight="true" outlineLevel="0" collapsed="false">
      <c r="A548" s="0" t="n">
        <v>110</v>
      </c>
      <c r="B548" s="188" t="n">
        <v>46070.1962006337</v>
      </c>
      <c r="C548" s="188" t="n">
        <v>46070.2153325781</v>
      </c>
      <c r="D548" s="189" t="s">
        <v>983</v>
      </c>
      <c r="E548" s="189" t="s">
        <v>984</v>
      </c>
      <c r="F548" s="189" t="s">
        <v>984</v>
      </c>
      <c r="G548" s="189" t="s">
        <v>985</v>
      </c>
      <c r="H548" s="188" t="n">
        <v>46061</v>
      </c>
      <c r="I548" s="189" t="s">
        <v>113</v>
      </c>
      <c r="J548" s="189" t="s">
        <v>108</v>
      </c>
      <c r="K548" s="189" t="s">
        <v>143</v>
      </c>
      <c r="L548" s="189" t="s">
        <v>184</v>
      </c>
      <c r="M548" s="189" t="s">
        <v>279</v>
      </c>
      <c r="N548" s="189" t="s">
        <v>899</v>
      </c>
      <c r="O548" s="189" t="s">
        <v>107</v>
      </c>
      <c r="P548" s="189" t="s">
        <v>111</v>
      </c>
      <c r="Q548" s="189" t="s">
        <v>112</v>
      </c>
      <c r="R548" s="189" t="s">
        <v>21</v>
      </c>
      <c r="S548" s="189" t="s">
        <v>152</v>
      </c>
      <c r="T548" s="189" t="s">
        <v>352</v>
      </c>
      <c r="U548" s="189" t="s">
        <v>122</v>
      </c>
      <c r="V548" s="189" t="s">
        <v>192</v>
      </c>
      <c r="W548" s="189" t="s">
        <v>124</v>
      </c>
      <c r="X548" s="189" t="s">
        <v>307</v>
      </c>
      <c r="Y548" s="189" t="s">
        <v>3069</v>
      </c>
      <c r="Z548" s="0" t="n">
        <v>1</v>
      </c>
      <c r="AA548" s="189" t="s">
        <v>3133</v>
      </c>
    </row>
    <row r="549" customFormat="false" ht="15" hidden="false" customHeight="true" outlineLevel="0" collapsed="false">
      <c r="A549" s="0" t="n">
        <v>111</v>
      </c>
      <c r="B549" s="188" t="n">
        <v>46056.8467412229</v>
      </c>
      <c r="C549" s="188" t="n">
        <v>46056.8591833526</v>
      </c>
      <c r="D549" s="189" t="s">
        <v>987</v>
      </c>
      <c r="E549" s="189" t="s">
        <v>988</v>
      </c>
      <c r="F549" s="189" t="s">
        <v>988</v>
      </c>
      <c r="G549" s="189" t="s">
        <v>989</v>
      </c>
      <c r="H549" s="188" t="n">
        <v>46037</v>
      </c>
      <c r="I549" s="189" t="s">
        <v>113</v>
      </c>
      <c r="J549" s="189" t="s">
        <v>108</v>
      </c>
      <c r="K549" s="189" t="s">
        <v>257</v>
      </c>
      <c r="L549" s="189" t="s">
        <v>130</v>
      </c>
      <c r="M549" s="189" t="s">
        <v>258</v>
      </c>
      <c r="N549" s="189" t="s">
        <v>990</v>
      </c>
      <c r="O549" s="189" t="s">
        <v>172</v>
      </c>
      <c r="P549" s="189" t="s">
        <v>111</v>
      </c>
      <c r="Q549" s="189" t="s">
        <v>112</v>
      </c>
      <c r="R549" s="189" t="s">
        <v>22</v>
      </c>
      <c r="S549" s="189" t="s">
        <v>120</v>
      </c>
      <c r="T549" s="189" t="s">
        <v>352</v>
      </c>
      <c r="U549" s="189" t="s">
        <v>994</v>
      </c>
      <c r="V549" s="189" t="s">
        <v>123</v>
      </c>
      <c r="W549" s="189" t="s">
        <v>124</v>
      </c>
      <c r="X549" s="189" t="s">
        <v>715</v>
      </c>
      <c r="Y549" s="189" t="s">
        <v>3064</v>
      </c>
      <c r="Z549" s="0" t="n">
        <v>1</v>
      </c>
      <c r="AA549" s="189" t="s">
        <v>3251</v>
      </c>
    </row>
    <row r="550" customFormat="false" ht="15" hidden="false" customHeight="true" outlineLevel="0" collapsed="false">
      <c r="A550" s="0" t="n">
        <v>111</v>
      </c>
      <c r="B550" s="188" t="n">
        <v>46056.8467412229</v>
      </c>
      <c r="C550" s="188" t="n">
        <v>46056.8591833526</v>
      </c>
      <c r="D550" s="189" t="s">
        <v>987</v>
      </c>
      <c r="E550" s="189" t="s">
        <v>988</v>
      </c>
      <c r="F550" s="189" t="s">
        <v>988</v>
      </c>
      <c r="G550" s="189" t="s">
        <v>989</v>
      </c>
      <c r="H550" s="188" t="n">
        <v>46037</v>
      </c>
      <c r="I550" s="189" t="s">
        <v>113</v>
      </c>
      <c r="J550" s="189" t="s">
        <v>108</v>
      </c>
      <c r="K550" s="189" t="s">
        <v>257</v>
      </c>
      <c r="L550" s="189" t="s">
        <v>130</v>
      </c>
      <c r="M550" s="189" t="s">
        <v>258</v>
      </c>
      <c r="N550" s="189" t="s">
        <v>990</v>
      </c>
      <c r="O550" s="189" t="s">
        <v>172</v>
      </c>
      <c r="P550" s="189" t="s">
        <v>111</v>
      </c>
      <c r="Q550" s="189" t="s">
        <v>112</v>
      </c>
      <c r="R550" s="189" t="s">
        <v>22</v>
      </c>
      <c r="S550" s="189" t="s">
        <v>120</v>
      </c>
      <c r="T550" s="189" t="s">
        <v>352</v>
      </c>
      <c r="U550" s="189" t="s">
        <v>994</v>
      </c>
      <c r="V550" s="189" t="s">
        <v>123</v>
      </c>
      <c r="W550" s="189" t="s">
        <v>124</v>
      </c>
      <c r="X550" s="189" t="s">
        <v>715</v>
      </c>
      <c r="Y550" s="189" t="s">
        <v>3064</v>
      </c>
      <c r="Z550" s="0" t="n">
        <v>2</v>
      </c>
      <c r="AA550" s="189" t="s">
        <v>3255</v>
      </c>
    </row>
    <row r="551" customFormat="false" ht="15" hidden="false" customHeight="true" outlineLevel="0" collapsed="false">
      <c r="A551" s="0" t="n">
        <v>111</v>
      </c>
      <c r="B551" s="188" t="n">
        <v>46056.8467412229</v>
      </c>
      <c r="C551" s="188" t="n">
        <v>46056.8591833526</v>
      </c>
      <c r="D551" s="189" t="s">
        <v>987</v>
      </c>
      <c r="E551" s="189" t="s">
        <v>988</v>
      </c>
      <c r="F551" s="189" t="s">
        <v>988</v>
      </c>
      <c r="G551" s="189" t="s">
        <v>989</v>
      </c>
      <c r="H551" s="188" t="n">
        <v>46037</v>
      </c>
      <c r="I551" s="189" t="s">
        <v>113</v>
      </c>
      <c r="J551" s="189" t="s">
        <v>108</v>
      </c>
      <c r="K551" s="189" t="s">
        <v>257</v>
      </c>
      <c r="L551" s="189" t="s">
        <v>130</v>
      </c>
      <c r="M551" s="189" t="s">
        <v>258</v>
      </c>
      <c r="N551" s="189" t="s">
        <v>990</v>
      </c>
      <c r="O551" s="189" t="s">
        <v>172</v>
      </c>
      <c r="P551" s="189" t="s">
        <v>111</v>
      </c>
      <c r="Q551" s="189" t="s">
        <v>112</v>
      </c>
      <c r="R551" s="189" t="s">
        <v>22</v>
      </c>
      <c r="S551" s="189" t="s">
        <v>120</v>
      </c>
      <c r="T551" s="189" t="s">
        <v>352</v>
      </c>
      <c r="U551" s="189" t="s">
        <v>994</v>
      </c>
      <c r="V551" s="189" t="s">
        <v>123</v>
      </c>
      <c r="W551" s="189" t="s">
        <v>124</v>
      </c>
      <c r="X551" s="189" t="s">
        <v>715</v>
      </c>
      <c r="Y551" s="189" t="s">
        <v>3066</v>
      </c>
      <c r="Z551" s="0" t="n">
        <v>1</v>
      </c>
      <c r="AA551" s="189" t="s">
        <v>2531</v>
      </c>
    </row>
    <row r="552" customFormat="false" ht="15" hidden="false" customHeight="true" outlineLevel="0" collapsed="false">
      <c r="A552" s="0" t="n">
        <v>111</v>
      </c>
      <c r="B552" s="188" t="n">
        <v>46056.8467412229</v>
      </c>
      <c r="C552" s="188" t="n">
        <v>46056.8591833526</v>
      </c>
      <c r="D552" s="189" t="s">
        <v>987</v>
      </c>
      <c r="E552" s="189" t="s">
        <v>988</v>
      </c>
      <c r="F552" s="189" t="s">
        <v>988</v>
      </c>
      <c r="G552" s="189" t="s">
        <v>989</v>
      </c>
      <c r="H552" s="188" t="n">
        <v>46037</v>
      </c>
      <c r="I552" s="189" t="s">
        <v>113</v>
      </c>
      <c r="J552" s="189" t="s">
        <v>108</v>
      </c>
      <c r="K552" s="189" t="s">
        <v>257</v>
      </c>
      <c r="L552" s="189" t="s">
        <v>130</v>
      </c>
      <c r="M552" s="189" t="s">
        <v>258</v>
      </c>
      <c r="N552" s="189" t="s">
        <v>990</v>
      </c>
      <c r="O552" s="189" t="s">
        <v>172</v>
      </c>
      <c r="P552" s="189" t="s">
        <v>111</v>
      </c>
      <c r="Q552" s="189" t="s">
        <v>112</v>
      </c>
      <c r="R552" s="189" t="s">
        <v>22</v>
      </c>
      <c r="S552" s="189" t="s">
        <v>120</v>
      </c>
      <c r="T552" s="189" t="s">
        <v>352</v>
      </c>
      <c r="U552" s="189" t="s">
        <v>994</v>
      </c>
      <c r="V552" s="189" t="s">
        <v>123</v>
      </c>
      <c r="W552" s="189" t="s">
        <v>124</v>
      </c>
      <c r="X552" s="189" t="s">
        <v>715</v>
      </c>
      <c r="Y552" s="189" t="s">
        <v>3069</v>
      </c>
      <c r="Z552" s="0" t="n">
        <v>1</v>
      </c>
      <c r="AA552" s="189" t="s">
        <v>3253</v>
      </c>
    </row>
    <row r="553" customFormat="false" ht="15" hidden="false" customHeight="true" outlineLevel="0" collapsed="false">
      <c r="A553" s="0" t="n">
        <v>112</v>
      </c>
      <c r="B553" s="188" t="n">
        <v>46161.4752354407</v>
      </c>
      <c r="C553" s="188" t="n">
        <v>46161.4865433111</v>
      </c>
      <c r="D553" s="189" t="s">
        <v>995</v>
      </c>
      <c r="E553" s="189" t="s">
        <v>996</v>
      </c>
      <c r="F553" s="189" t="s">
        <v>996</v>
      </c>
      <c r="G553" s="189" t="s">
        <v>997</v>
      </c>
      <c r="H553" s="188" t="n">
        <v>46160</v>
      </c>
      <c r="I553" s="189" t="s">
        <v>113</v>
      </c>
      <c r="J553" s="189" t="s">
        <v>128</v>
      </c>
      <c r="K553" s="189" t="s">
        <v>257</v>
      </c>
      <c r="L553" s="189" t="s">
        <v>184</v>
      </c>
      <c r="M553" s="189" t="s">
        <v>234</v>
      </c>
      <c r="N553" s="189" t="s">
        <v>998</v>
      </c>
      <c r="O553" s="189" t="s">
        <v>244</v>
      </c>
      <c r="P553" s="189" t="s">
        <v>111</v>
      </c>
      <c r="Q553" s="189" t="s">
        <v>112</v>
      </c>
      <c r="R553" s="189" t="s">
        <v>22</v>
      </c>
      <c r="S553" s="189" t="s">
        <v>152</v>
      </c>
      <c r="T553" s="189" t="s">
        <v>496</v>
      </c>
      <c r="U553" s="189" t="s">
        <v>1002</v>
      </c>
      <c r="V553" s="189" t="s">
        <v>167</v>
      </c>
      <c r="W553" s="189" t="s">
        <v>168</v>
      </c>
      <c r="X553" s="189" t="s">
        <v>298</v>
      </c>
      <c r="Y553" s="189" t="s">
        <v>3064</v>
      </c>
      <c r="Z553" s="0" t="n">
        <v>1</v>
      </c>
      <c r="AA553" s="189" t="s">
        <v>3124</v>
      </c>
    </row>
    <row r="554" customFormat="false" ht="15" hidden="false" customHeight="true" outlineLevel="0" collapsed="false">
      <c r="A554" s="0" t="n">
        <v>112</v>
      </c>
      <c r="B554" s="188" t="n">
        <v>46161.4752354407</v>
      </c>
      <c r="C554" s="188" t="n">
        <v>46161.4865433111</v>
      </c>
      <c r="D554" s="189" t="s">
        <v>995</v>
      </c>
      <c r="E554" s="189" t="s">
        <v>996</v>
      </c>
      <c r="F554" s="189" t="s">
        <v>996</v>
      </c>
      <c r="G554" s="189" t="s">
        <v>997</v>
      </c>
      <c r="H554" s="188" t="n">
        <v>46160</v>
      </c>
      <c r="I554" s="189" t="s">
        <v>113</v>
      </c>
      <c r="J554" s="189" t="s">
        <v>128</v>
      </c>
      <c r="K554" s="189" t="s">
        <v>257</v>
      </c>
      <c r="L554" s="189" t="s">
        <v>184</v>
      </c>
      <c r="M554" s="189" t="s">
        <v>234</v>
      </c>
      <c r="N554" s="189" t="s">
        <v>998</v>
      </c>
      <c r="O554" s="189" t="s">
        <v>244</v>
      </c>
      <c r="P554" s="189" t="s">
        <v>111</v>
      </c>
      <c r="Q554" s="189" t="s">
        <v>112</v>
      </c>
      <c r="R554" s="189" t="s">
        <v>22</v>
      </c>
      <c r="S554" s="189" t="s">
        <v>152</v>
      </c>
      <c r="T554" s="189" t="s">
        <v>496</v>
      </c>
      <c r="U554" s="189" t="s">
        <v>1002</v>
      </c>
      <c r="V554" s="189" t="s">
        <v>167</v>
      </c>
      <c r="W554" s="189" t="s">
        <v>168</v>
      </c>
      <c r="X554" s="189" t="s">
        <v>298</v>
      </c>
      <c r="Y554" s="189" t="s">
        <v>3064</v>
      </c>
      <c r="Z554" s="0" t="n">
        <v>2</v>
      </c>
      <c r="AA554" s="189" t="s">
        <v>3125</v>
      </c>
    </row>
    <row r="555" customFormat="false" ht="15" hidden="false" customHeight="true" outlineLevel="0" collapsed="false">
      <c r="A555" s="0" t="n">
        <v>112</v>
      </c>
      <c r="B555" s="188" t="n">
        <v>46161.4752354407</v>
      </c>
      <c r="C555" s="188" t="n">
        <v>46161.4865433111</v>
      </c>
      <c r="D555" s="189" t="s">
        <v>995</v>
      </c>
      <c r="E555" s="189" t="s">
        <v>996</v>
      </c>
      <c r="F555" s="189" t="s">
        <v>996</v>
      </c>
      <c r="G555" s="189" t="s">
        <v>997</v>
      </c>
      <c r="H555" s="188" t="n">
        <v>46160</v>
      </c>
      <c r="I555" s="189" t="s">
        <v>113</v>
      </c>
      <c r="J555" s="189" t="s">
        <v>128</v>
      </c>
      <c r="K555" s="189" t="s">
        <v>257</v>
      </c>
      <c r="L555" s="189" t="s">
        <v>184</v>
      </c>
      <c r="M555" s="189" t="s">
        <v>234</v>
      </c>
      <c r="N555" s="189" t="s">
        <v>998</v>
      </c>
      <c r="O555" s="189" t="s">
        <v>244</v>
      </c>
      <c r="P555" s="189" t="s">
        <v>111</v>
      </c>
      <c r="Q555" s="189" t="s">
        <v>112</v>
      </c>
      <c r="R555" s="189" t="s">
        <v>22</v>
      </c>
      <c r="S555" s="189" t="s">
        <v>152</v>
      </c>
      <c r="T555" s="189" t="s">
        <v>496</v>
      </c>
      <c r="U555" s="189" t="s">
        <v>1002</v>
      </c>
      <c r="V555" s="189" t="s">
        <v>167</v>
      </c>
      <c r="W555" s="189" t="s">
        <v>168</v>
      </c>
      <c r="X555" s="189" t="s">
        <v>298</v>
      </c>
      <c r="Y555" s="189" t="s">
        <v>3064</v>
      </c>
      <c r="Z555" s="0" t="n">
        <v>3</v>
      </c>
      <c r="AA555" s="189" t="s">
        <v>3123</v>
      </c>
    </row>
    <row r="556" customFormat="false" ht="15" hidden="false" customHeight="true" outlineLevel="0" collapsed="false">
      <c r="A556" s="0" t="n">
        <v>112</v>
      </c>
      <c r="B556" s="188" t="n">
        <v>46161.4752354407</v>
      </c>
      <c r="C556" s="188" t="n">
        <v>46161.4865433111</v>
      </c>
      <c r="D556" s="189" t="s">
        <v>995</v>
      </c>
      <c r="E556" s="189" t="s">
        <v>996</v>
      </c>
      <c r="F556" s="189" t="s">
        <v>996</v>
      </c>
      <c r="G556" s="189" t="s">
        <v>997</v>
      </c>
      <c r="H556" s="188" t="n">
        <v>46160</v>
      </c>
      <c r="I556" s="189" t="s">
        <v>113</v>
      </c>
      <c r="J556" s="189" t="s">
        <v>128</v>
      </c>
      <c r="K556" s="189" t="s">
        <v>257</v>
      </c>
      <c r="L556" s="189" t="s">
        <v>184</v>
      </c>
      <c r="M556" s="189" t="s">
        <v>234</v>
      </c>
      <c r="N556" s="189" t="s">
        <v>998</v>
      </c>
      <c r="O556" s="189" t="s">
        <v>244</v>
      </c>
      <c r="P556" s="189" t="s">
        <v>111</v>
      </c>
      <c r="Q556" s="189" t="s">
        <v>112</v>
      </c>
      <c r="R556" s="189" t="s">
        <v>22</v>
      </c>
      <c r="S556" s="189" t="s">
        <v>152</v>
      </c>
      <c r="T556" s="189" t="s">
        <v>496</v>
      </c>
      <c r="U556" s="189" t="s">
        <v>1002</v>
      </c>
      <c r="V556" s="189" t="s">
        <v>167</v>
      </c>
      <c r="W556" s="189" t="s">
        <v>168</v>
      </c>
      <c r="X556" s="189" t="s">
        <v>298</v>
      </c>
      <c r="Y556" s="189" t="s">
        <v>3066</v>
      </c>
      <c r="Z556" s="0" t="n">
        <v>1</v>
      </c>
      <c r="AA556" s="189" t="s">
        <v>3267</v>
      </c>
    </row>
    <row r="557" customFormat="false" ht="15" hidden="false" customHeight="true" outlineLevel="0" collapsed="false">
      <c r="A557" s="0" t="n">
        <v>112</v>
      </c>
      <c r="B557" s="188" t="n">
        <v>46161.4752354407</v>
      </c>
      <c r="C557" s="188" t="n">
        <v>46161.4865433111</v>
      </c>
      <c r="D557" s="189" t="s">
        <v>995</v>
      </c>
      <c r="E557" s="189" t="s">
        <v>996</v>
      </c>
      <c r="F557" s="189" t="s">
        <v>996</v>
      </c>
      <c r="G557" s="189" t="s">
        <v>997</v>
      </c>
      <c r="H557" s="188" t="n">
        <v>46160</v>
      </c>
      <c r="I557" s="189" t="s">
        <v>113</v>
      </c>
      <c r="J557" s="189" t="s">
        <v>128</v>
      </c>
      <c r="K557" s="189" t="s">
        <v>257</v>
      </c>
      <c r="L557" s="189" t="s">
        <v>184</v>
      </c>
      <c r="M557" s="189" t="s">
        <v>234</v>
      </c>
      <c r="N557" s="189" t="s">
        <v>998</v>
      </c>
      <c r="O557" s="189" t="s">
        <v>244</v>
      </c>
      <c r="P557" s="189" t="s">
        <v>111</v>
      </c>
      <c r="Q557" s="189" t="s">
        <v>112</v>
      </c>
      <c r="R557" s="189" t="s">
        <v>22</v>
      </c>
      <c r="S557" s="189" t="s">
        <v>152</v>
      </c>
      <c r="T557" s="189" t="s">
        <v>496</v>
      </c>
      <c r="U557" s="189" t="s">
        <v>1002</v>
      </c>
      <c r="V557" s="189" t="s">
        <v>167</v>
      </c>
      <c r="W557" s="189" t="s">
        <v>168</v>
      </c>
      <c r="X557" s="189" t="s">
        <v>298</v>
      </c>
      <c r="Y557" s="189" t="s">
        <v>3069</v>
      </c>
      <c r="Z557" s="0" t="n">
        <v>1</v>
      </c>
      <c r="AA557" s="189" t="s">
        <v>3268</v>
      </c>
    </row>
    <row r="558" customFormat="false" ht="15" hidden="false" customHeight="true" outlineLevel="0" collapsed="false">
      <c r="A558" s="0" t="n">
        <v>113</v>
      </c>
      <c r="B558" s="188" t="n">
        <v>46175.7714639536</v>
      </c>
      <c r="C558" s="188" t="n">
        <v>46175.780121361</v>
      </c>
      <c r="D558" s="189" t="s">
        <v>1003</v>
      </c>
      <c r="E558" s="189" t="s">
        <v>1004</v>
      </c>
      <c r="F558" s="189" t="s">
        <v>1004</v>
      </c>
      <c r="G558" s="189" t="s">
        <v>1005</v>
      </c>
      <c r="H558" s="188" t="n">
        <v>46165</v>
      </c>
      <c r="I558" s="189" t="s">
        <v>113</v>
      </c>
      <c r="J558" s="189" t="s">
        <v>108</v>
      </c>
      <c r="K558" s="189" t="s">
        <v>462</v>
      </c>
      <c r="L558" s="189" t="s">
        <v>389</v>
      </c>
      <c r="M558" s="189" t="s">
        <v>515</v>
      </c>
      <c r="N558" s="189" t="s">
        <v>1006</v>
      </c>
      <c r="O558" s="189" t="s">
        <v>172</v>
      </c>
      <c r="P558" s="189" t="s">
        <v>111</v>
      </c>
      <c r="Q558" s="189" t="s">
        <v>112</v>
      </c>
      <c r="R558" s="189" t="s">
        <v>22</v>
      </c>
      <c r="S558" s="189" t="s">
        <v>152</v>
      </c>
      <c r="T558" s="189" t="s">
        <v>121</v>
      </c>
      <c r="U558" s="189" t="s">
        <v>122</v>
      </c>
      <c r="V558" s="189" t="s">
        <v>167</v>
      </c>
      <c r="W558" s="189" t="s">
        <v>124</v>
      </c>
      <c r="X558" s="189" t="s">
        <v>176</v>
      </c>
      <c r="Y558" s="189" t="s">
        <v>3064</v>
      </c>
      <c r="Z558" s="0" t="n">
        <v>1</v>
      </c>
      <c r="AA558" s="189" t="s">
        <v>3269</v>
      </c>
    </row>
    <row r="559" customFormat="false" ht="15" hidden="false" customHeight="true" outlineLevel="0" collapsed="false">
      <c r="A559" s="0" t="n">
        <v>113</v>
      </c>
      <c r="B559" s="188" t="n">
        <v>46175.7714639536</v>
      </c>
      <c r="C559" s="188" t="n">
        <v>46175.780121361</v>
      </c>
      <c r="D559" s="189" t="s">
        <v>1003</v>
      </c>
      <c r="E559" s="189" t="s">
        <v>1004</v>
      </c>
      <c r="F559" s="189" t="s">
        <v>1004</v>
      </c>
      <c r="G559" s="189" t="s">
        <v>1005</v>
      </c>
      <c r="H559" s="188" t="n">
        <v>46165</v>
      </c>
      <c r="I559" s="189" t="s">
        <v>113</v>
      </c>
      <c r="J559" s="189" t="s">
        <v>108</v>
      </c>
      <c r="K559" s="189" t="s">
        <v>462</v>
      </c>
      <c r="L559" s="189" t="s">
        <v>389</v>
      </c>
      <c r="M559" s="189" t="s">
        <v>515</v>
      </c>
      <c r="N559" s="189" t="s">
        <v>1006</v>
      </c>
      <c r="O559" s="189" t="s">
        <v>172</v>
      </c>
      <c r="P559" s="189" t="s">
        <v>111</v>
      </c>
      <c r="Q559" s="189" t="s">
        <v>112</v>
      </c>
      <c r="R559" s="189" t="s">
        <v>22</v>
      </c>
      <c r="S559" s="189" t="s">
        <v>152</v>
      </c>
      <c r="T559" s="189" t="s">
        <v>121</v>
      </c>
      <c r="U559" s="189" t="s">
        <v>122</v>
      </c>
      <c r="V559" s="189" t="s">
        <v>167</v>
      </c>
      <c r="W559" s="189" t="s">
        <v>124</v>
      </c>
      <c r="X559" s="189" t="s">
        <v>176</v>
      </c>
      <c r="Y559" s="189" t="s">
        <v>3064</v>
      </c>
      <c r="Z559" s="0" t="n">
        <v>2</v>
      </c>
      <c r="AA559" s="189" t="s">
        <v>3204</v>
      </c>
    </row>
    <row r="560" customFormat="false" ht="15" hidden="false" customHeight="false" outlineLevel="0" collapsed="false">
      <c r="A560" s="0" t="n">
        <v>113</v>
      </c>
      <c r="B560" s="188" t="n">
        <v>46175.7714639536</v>
      </c>
      <c r="C560" s="188" t="n">
        <v>46175.780121361</v>
      </c>
      <c r="D560" s="189" t="s">
        <v>1003</v>
      </c>
      <c r="E560" s="189" t="s">
        <v>1004</v>
      </c>
      <c r="F560" s="189" t="s">
        <v>1004</v>
      </c>
      <c r="G560" s="189" t="s">
        <v>1005</v>
      </c>
      <c r="H560" s="188" t="n">
        <v>46165</v>
      </c>
      <c r="I560" s="189" t="s">
        <v>113</v>
      </c>
      <c r="J560" s="189" t="s">
        <v>108</v>
      </c>
      <c r="K560" s="189" t="s">
        <v>462</v>
      </c>
      <c r="L560" s="189" t="s">
        <v>389</v>
      </c>
      <c r="M560" s="189" t="s">
        <v>515</v>
      </c>
      <c r="N560" s="189" t="s">
        <v>1006</v>
      </c>
      <c r="O560" s="189" t="s">
        <v>172</v>
      </c>
      <c r="P560" s="189" t="s">
        <v>111</v>
      </c>
      <c r="Q560" s="189" t="s">
        <v>112</v>
      </c>
      <c r="R560" s="189" t="s">
        <v>22</v>
      </c>
      <c r="S560" s="189" t="s">
        <v>152</v>
      </c>
      <c r="T560" s="189" t="s">
        <v>121</v>
      </c>
      <c r="U560" s="189" t="s">
        <v>122</v>
      </c>
      <c r="V560" s="189" t="s">
        <v>167</v>
      </c>
      <c r="W560" s="189" t="s">
        <v>124</v>
      </c>
      <c r="X560" s="189" t="s">
        <v>176</v>
      </c>
      <c r="Y560" s="189" t="s">
        <v>3064</v>
      </c>
      <c r="Z560" s="0" t="n">
        <v>3</v>
      </c>
      <c r="AA560" s="189" t="s">
        <v>3239</v>
      </c>
    </row>
    <row r="561" customFormat="false" ht="15" hidden="false" customHeight="false" outlineLevel="0" collapsed="false">
      <c r="A561" s="0" t="n">
        <v>113</v>
      </c>
      <c r="B561" s="188" t="n">
        <v>46175.7714639536</v>
      </c>
      <c r="C561" s="188" t="n">
        <v>46175.780121361</v>
      </c>
      <c r="D561" s="189" t="s">
        <v>1003</v>
      </c>
      <c r="E561" s="189" t="s">
        <v>1004</v>
      </c>
      <c r="F561" s="189" t="s">
        <v>1004</v>
      </c>
      <c r="G561" s="189" t="s">
        <v>1005</v>
      </c>
      <c r="H561" s="188" t="n">
        <v>46165</v>
      </c>
      <c r="I561" s="189" t="s">
        <v>113</v>
      </c>
      <c r="J561" s="189" t="s">
        <v>108</v>
      </c>
      <c r="K561" s="189" t="s">
        <v>462</v>
      </c>
      <c r="L561" s="189" t="s">
        <v>389</v>
      </c>
      <c r="M561" s="189" t="s">
        <v>515</v>
      </c>
      <c r="N561" s="189" t="s">
        <v>1006</v>
      </c>
      <c r="O561" s="189" t="s">
        <v>172</v>
      </c>
      <c r="P561" s="189" t="s">
        <v>111</v>
      </c>
      <c r="Q561" s="189" t="s">
        <v>112</v>
      </c>
      <c r="R561" s="189" t="s">
        <v>22</v>
      </c>
      <c r="S561" s="189" t="s">
        <v>152</v>
      </c>
      <c r="T561" s="189" t="s">
        <v>121</v>
      </c>
      <c r="U561" s="189" t="s">
        <v>122</v>
      </c>
      <c r="V561" s="189" t="s">
        <v>167</v>
      </c>
      <c r="W561" s="189" t="s">
        <v>124</v>
      </c>
      <c r="X561" s="189" t="s">
        <v>176</v>
      </c>
      <c r="Y561" s="189" t="s">
        <v>3066</v>
      </c>
      <c r="Z561" s="0" t="n">
        <v>1</v>
      </c>
      <c r="AA561" s="189" t="s">
        <v>1174</v>
      </c>
    </row>
    <row r="562" customFormat="false" ht="15" hidden="false" customHeight="false" outlineLevel="0" collapsed="false">
      <c r="A562" s="0" t="n">
        <v>113</v>
      </c>
      <c r="B562" s="188" t="n">
        <v>46175.7714639536</v>
      </c>
      <c r="C562" s="188" t="n">
        <v>46175.780121361</v>
      </c>
      <c r="D562" s="189" t="s">
        <v>1003</v>
      </c>
      <c r="E562" s="189" t="s">
        <v>1004</v>
      </c>
      <c r="F562" s="189" t="s">
        <v>1004</v>
      </c>
      <c r="G562" s="189" t="s">
        <v>1005</v>
      </c>
      <c r="H562" s="188" t="n">
        <v>46165</v>
      </c>
      <c r="I562" s="189" t="s">
        <v>113</v>
      </c>
      <c r="J562" s="189" t="s">
        <v>108</v>
      </c>
      <c r="K562" s="189" t="s">
        <v>462</v>
      </c>
      <c r="L562" s="189" t="s">
        <v>389</v>
      </c>
      <c r="M562" s="189" t="s">
        <v>515</v>
      </c>
      <c r="N562" s="189" t="s">
        <v>1006</v>
      </c>
      <c r="O562" s="189" t="s">
        <v>172</v>
      </c>
      <c r="P562" s="189" t="s">
        <v>111</v>
      </c>
      <c r="Q562" s="189" t="s">
        <v>112</v>
      </c>
      <c r="R562" s="189" t="s">
        <v>22</v>
      </c>
      <c r="S562" s="189" t="s">
        <v>152</v>
      </c>
      <c r="T562" s="189" t="s">
        <v>121</v>
      </c>
      <c r="U562" s="189" t="s">
        <v>122</v>
      </c>
      <c r="V562" s="189" t="s">
        <v>167</v>
      </c>
      <c r="W562" s="189" t="s">
        <v>124</v>
      </c>
      <c r="X562" s="189" t="s">
        <v>176</v>
      </c>
      <c r="Y562" s="189" t="s">
        <v>3066</v>
      </c>
      <c r="Z562" s="0" t="n">
        <v>2</v>
      </c>
      <c r="AA562" s="189" t="s">
        <v>3240</v>
      </c>
    </row>
    <row r="563" customFormat="false" ht="15" hidden="false" customHeight="false" outlineLevel="0" collapsed="false">
      <c r="A563" s="0" t="n">
        <v>113</v>
      </c>
      <c r="B563" s="188" t="n">
        <v>46175.7714639536</v>
      </c>
      <c r="C563" s="188" t="n">
        <v>46175.780121361</v>
      </c>
      <c r="D563" s="189" t="s">
        <v>1003</v>
      </c>
      <c r="E563" s="189" t="s">
        <v>1004</v>
      </c>
      <c r="F563" s="189" t="s">
        <v>1004</v>
      </c>
      <c r="G563" s="189" t="s">
        <v>1005</v>
      </c>
      <c r="H563" s="188" t="n">
        <v>46165</v>
      </c>
      <c r="I563" s="189" t="s">
        <v>113</v>
      </c>
      <c r="J563" s="189" t="s">
        <v>108</v>
      </c>
      <c r="K563" s="189" t="s">
        <v>462</v>
      </c>
      <c r="L563" s="189" t="s">
        <v>389</v>
      </c>
      <c r="M563" s="189" t="s">
        <v>515</v>
      </c>
      <c r="N563" s="189" t="s">
        <v>1006</v>
      </c>
      <c r="O563" s="189" t="s">
        <v>172</v>
      </c>
      <c r="P563" s="189" t="s">
        <v>111</v>
      </c>
      <c r="Q563" s="189" t="s">
        <v>112</v>
      </c>
      <c r="R563" s="189" t="s">
        <v>22</v>
      </c>
      <c r="S563" s="189" t="s">
        <v>152</v>
      </c>
      <c r="T563" s="189" t="s">
        <v>121</v>
      </c>
      <c r="U563" s="189" t="s">
        <v>122</v>
      </c>
      <c r="V563" s="189" t="s">
        <v>167</v>
      </c>
      <c r="W563" s="189" t="s">
        <v>124</v>
      </c>
      <c r="X563" s="189" t="s">
        <v>176</v>
      </c>
      <c r="Y563" s="189" t="s">
        <v>3069</v>
      </c>
      <c r="Z563" s="0" t="n">
        <v>1</v>
      </c>
      <c r="AA563" s="189" t="s">
        <v>3084</v>
      </c>
    </row>
    <row r="564" customFormat="false" ht="15" hidden="false" customHeight="false" outlineLevel="0" collapsed="false">
      <c r="A564" s="0" t="n">
        <v>113</v>
      </c>
      <c r="B564" s="188" t="n">
        <v>46175.7714639536</v>
      </c>
      <c r="C564" s="188" t="n">
        <v>46175.780121361</v>
      </c>
      <c r="D564" s="189" t="s">
        <v>1003</v>
      </c>
      <c r="E564" s="189" t="s">
        <v>1004</v>
      </c>
      <c r="F564" s="189" t="s">
        <v>1004</v>
      </c>
      <c r="G564" s="189" t="s">
        <v>1005</v>
      </c>
      <c r="H564" s="188" t="n">
        <v>46165</v>
      </c>
      <c r="I564" s="189" t="s">
        <v>113</v>
      </c>
      <c r="J564" s="189" t="s">
        <v>108</v>
      </c>
      <c r="K564" s="189" t="s">
        <v>462</v>
      </c>
      <c r="L564" s="189" t="s">
        <v>389</v>
      </c>
      <c r="M564" s="189" t="s">
        <v>515</v>
      </c>
      <c r="N564" s="189" t="s">
        <v>1006</v>
      </c>
      <c r="O564" s="189" t="s">
        <v>172</v>
      </c>
      <c r="P564" s="189" t="s">
        <v>111</v>
      </c>
      <c r="Q564" s="189" t="s">
        <v>112</v>
      </c>
      <c r="R564" s="189" t="s">
        <v>22</v>
      </c>
      <c r="S564" s="189" t="s">
        <v>152</v>
      </c>
      <c r="T564" s="189" t="s">
        <v>121</v>
      </c>
      <c r="U564" s="189" t="s">
        <v>122</v>
      </c>
      <c r="V564" s="189" t="s">
        <v>167</v>
      </c>
      <c r="W564" s="189" t="s">
        <v>124</v>
      </c>
      <c r="X564" s="189" t="s">
        <v>176</v>
      </c>
      <c r="Y564" s="189" t="s">
        <v>3069</v>
      </c>
      <c r="Z564" s="0" t="n">
        <v>2</v>
      </c>
      <c r="AA564" s="189" t="s">
        <v>3270</v>
      </c>
    </row>
    <row r="565" customFormat="false" ht="15" hidden="false" customHeight="false" outlineLevel="0" collapsed="false">
      <c r="A565" s="0" t="n">
        <v>114</v>
      </c>
      <c r="B565" s="188" t="n">
        <v>46139.4304262665</v>
      </c>
      <c r="C565" s="188" t="n">
        <v>46139.4433660813</v>
      </c>
      <c r="D565" s="189" t="s">
        <v>1010</v>
      </c>
      <c r="E565" s="189" t="s">
        <v>1011</v>
      </c>
      <c r="F565" s="189" t="s">
        <v>1011</v>
      </c>
      <c r="G565" s="189" t="s">
        <v>1012</v>
      </c>
      <c r="H565" s="188" t="n">
        <v>46134</v>
      </c>
      <c r="I565" s="189" t="s">
        <v>325</v>
      </c>
      <c r="J565" s="189" t="s">
        <v>108</v>
      </c>
      <c r="K565" s="189" t="s">
        <v>143</v>
      </c>
      <c r="L565" s="189" t="s">
        <v>268</v>
      </c>
      <c r="M565" s="189" t="s">
        <v>326</v>
      </c>
      <c r="N565" s="189" t="s">
        <v>827</v>
      </c>
      <c r="O565" s="189" t="s">
        <v>172</v>
      </c>
      <c r="P565" s="189" t="s">
        <v>111</v>
      </c>
      <c r="Q565" s="189" t="s">
        <v>112</v>
      </c>
      <c r="R565" s="189" t="s">
        <v>21</v>
      </c>
      <c r="S565" s="189" t="s">
        <v>120</v>
      </c>
      <c r="T565" s="189" t="s">
        <v>165</v>
      </c>
      <c r="U565" s="189" t="s">
        <v>1015</v>
      </c>
      <c r="V565" s="189" t="s">
        <v>123</v>
      </c>
      <c r="W565" s="189" t="s">
        <v>124</v>
      </c>
      <c r="X565" s="189" t="s">
        <v>374</v>
      </c>
      <c r="Y565" s="189" t="s">
        <v>3064</v>
      </c>
      <c r="Z565" s="0" t="n">
        <v>1</v>
      </c>
      <c r="AA565" s="189" t="s">
        <v>3154</v>
      </c>
    </row>
    <row r="566" customFormat="false" ht="15" hidden="false" customHeight="false" outlineLevel="0" collapsed="false">
      <c r="A566" s="0" t="n">
        <v>114</v>
      </c>
      <c r="B566" s="188" t="n">
        <v>46139.4304262665</v>
      </c>
      <c r="C566" s="188" t="n">
        <v>46139.4433660813</v>
      </c>
      <c r="D566" s="189" t="s">
        <v>1010</v>
      </c>
      <c r="E566" s="189" t="s">
        <v>1011</v>
      </c>
      <c r="F566" s="189" t="s">
        <v>1011</v>
      </c>
      <c r="G566" s="189" t="s">
        <v>1012</v>
      </c>
      <c r="H566" s="188" t="n">
        <v>46134</v>
      </c>
      <c r="I566" s="189" t="s">
        <v>325</v>
      </c>
      <c r="J566" s="189" t="s">
        <v>108</v>
      </c>
      <c r="K566" s="189" t="s">
        <v>143</v>
      </c>
      <c r="L566" s="189" t="s">
        <v>268</v>
      </c>
      <c r="M566" s="189" t="s">
        <v>326</v>
      </c>
      <c r="N566" s="189" t="s">
        <v>827</v>
      </c>
      <c r="O566" s="189" t="s">
        <v>172</v>
      </c>
      <c r="P566" s="189" t="s">
        <v>111</v>
      </c>
      <c r="Q566" s="189" t="s">
        <v>112</v>
      </c>
      <c r="R566" s="189" t="s">
        <v>21</v>
      </c>
      <c r="S566" s="189" t="s">
        <v>120</v>
      </c>
      <c r="T566" s="189" t="s">
        <v>165</v>
      </c>
      <c r="U566" s="189" t="s">
        <v>1015</v>
      </c>
      <c r="V566" s="189" t="s">
        <v>123</v>
      </c>
      <c r="W566" s="189" t="s">
        <v>124</v>
      </c>
      <c r="X566" s="189" t="s">
        <v>374</v>
      </c>
      <c r="Y566" s="189" t="s">
        <v>3064</v>
      </c>
      <c r="Z566" s="0" t="n">
        <v>2</v>
      </c>
      <c r="AA566" s="189" t="s">
        <v>3153</v>
      </c>
    </row>
    <row r="567" customFormat="false" ht="15" hidden="false" customHeight="false" outlineLevel="0" collapsed="false">
      <c r="A567" s="0" t="n">
        <v>114</v>
      </c>
      <c r="B567" s="188" t="n">
        <v>46139.4304262665</v>
      </c>
      <c r="C567" s="188" t="n">
        <v>46139.4433660813</v>
      </c>
      <c r="D567" s="189" t="s">
        <v>1010</v>
      </c>
      <c r="E567" s="189" t="s">
        <v>1011</v>
      </c>
      <c r="F567" s="189" t="s">
        <v>1011</v>
      </c>
      <c r="G567" s="189" t="s">
        <v>1012</v>
      </c>
      <c r="H567" s="188" t="n">
        <v>46134</v>
      </c>
      <c r="I567" s="189" t="s">
        <v>325</v>
      </c>
      <c r="J567" s="189" t="s">
        <v>108</v>
      </c>
      <c r="K567" s="189" t="s">
        <v>143</v>
      </c>
      <c r="L567" s="189" t="s">
        <v>268</v>
      </c>
      <c r="M567" s="189" t="s">
        <v>326</v>
      </c>
      <c r="N567" s="189" t="s">
        <v>827</v>
      </c>
      <c r="O567" s="189" t="s">
        <v>172</v>
      </c>
      <c r="P567" s="189" t="s">
        <v>111</v>
      </c>
      <c r="Q567" s="189" t="s">
        <v>112</v>
      </c>
      <c r="R567" s="189" t="s">
        <v>21</v>
      </c>
      <c r="S567" s="189" t="s">
        <v>120</v>
      </c>
      <c r="T567" s="189" t="s">
        <v>165</v>
      </c>
      <c r="U567" s="189" t="s">
        <v>1015</v>
      </c>
      <c r="V567" s="189" t="s">
        <v>123</v>
      </c>
      <c r="W567" s="189" t="s">
        <v>124</v>
      </c>
      <c r="X567" s="189" t="s">
        <v>374</v>
      </c>
      <c r="Y567" s="189" t="s">
        <v>3064</v>
      </c>
      <c r="Z567" s="0" t="n">
        <v>3</v>
      </c>
      <c r="AA567" s="189" t="s">
        <v>3155</v>
      </c>
    </row>
    <row r="568" customFormat="false" ht="15" hidden="false" customHeight="false" outlineLevel="0" collapsed="false">
      <c r="A568" s="0" t="n">
        <v>114</v>
      </c>
      <c r="B568" s="188" t="n">
        <v>46139.4304262665</v>
      </c>
      <c r="C568" s="188" t="n">
        <v>46139.4433660813</v>
      </c>
      <c r="D568" s="189" t="s">
        <v>1010</v>
      </c>
      <c r="E568" s="189" t="s">
        <v>1011</v>
      </c>
      <c r="F568" s="189" t="s">
        <v>1011</v>
      </c>
      <c r="G568" s="189" t="s">
        <v>1012</v>
      </c>
      <c r="H568" s="188" t="n">
        <v>46134</v>
      </c>
      <c r="I568" s="189" t="s">
        <v>325</v>
      </c>
      <c r="J568" s="189" t="s">
        <v>108</v>
      </c>
      <c r="K568" s="189" t="s">
        <v>143</v>
      </c>
      <c r="L568" s="189" t="s">
        <v>268</v>
      </c>
      <c r="M568" s="189" t="s">
        <v>326</v>
      </c>
      <c r="N568" s="189" t="s">
        <v>827</v>
      </c>
      <c r="O568" s="189" t="s">
        <v>172</v>
      </c>
      <c r="P568" s="189" t="s">
        <v>111</v>
      </c>
      <c r="Q568" s="189" t="s">
        <v>112</v>
      </c>
      <c r="R568" s="189" t="s">
        <v>21</v>
      </c>
      <c r="S568" s="189" t="s">
        <v>120</v>
      </c>
      <c r="T568" s="189" t="s">
        <v>165</v>
      </c>
      <c r="U568" s="189" t="s">
        <v>1015</v>
      </c>
      <c r="V568" s="189" t="s">
        <v>123</v>
      </c>
      <c r="W568" s="189" t="s">
        <v>124</v>
      </c>
      <c r="X568" s="189" t="s">
        <v>374</v>
      </c>
      <c r="Y568" s="189" t="s">
        <v>3066</v>
      </c>
      <c r="Z568" s="0" t="n">
        <v>1</v>
      </c>
      <c r="AA568" s="189" t="s">
        <v>3261</v>
      </c>
    </row>
    <row r="569" customFormat="false" ht="15" hidden="false" customHeight="false" outlineLevel="0" collapsed="false">
      <c r="A569" s="0" t="n">
        <v>114</v>
      </c>
      <c r="B569" s="188" t="n">
        <v>46139.4304262665</v>
      </c>
      <c r="C569" s="188" t="n">
        <v>46139.4433660813</v>
      </c>
      <c r="D569" s="189" t="s">
        <v>1010</v>
      </c>
      <c r="E569" s="189" t="s">
        <v>1011</v>
      </c>
      <c r="F569" s="189" t="s">
        <v>1011</v>
      </c>
      <c r="G569" s="189" t="s">
        <v>1012</v>
      </c>
      <c r="H569" s="188" t="n">
        <v>46134</v>
      </c>
      <c r="I569" s="189" t="s">
        <v>325</v>
      </c>
      <c r="J569" s="189" t="s">
        <v>108</v>
      </c>
      <c r="K569" s="189" t="s">
        <v>143</v>
      </c>
      <c r="L569" s="189" t="s">
        <v>268</v>
      </c>
      <c r="M569" s="189" t="s">
        <v>326</v>
      </c>
      <c r="N569" s="189" t="s">
        <v>827</v>
      </c>
      <c r="O569" s="189" t="s">
        <v>172</v>
      </c>
      <c r="P569" s="189" t="s">
        <v>111</v>
      </c>
      <c r="Q569" s="189" t="s">
        <v>112</v>
      </c>
      <c r="R569" s="189" t="s">
        <v>21</v>
      </c>
      <c r="S569" s="189" t="s">
        <v>120</v>
      </c>
      <c r="T569" s="189" t="s">
        <v>165</v>
      </c>
      <c r="U569" s="189" t="s">
        <v>1015</v>
      </c>
      <c r="V569" s="189" t="s">
        <v>123</v>
      </c>
      <c r="W569" s="189" t="s">
        <v>124</v>
      </c>
      <c r="X569" s="189" t="s">
        <v>374</v>
      </c>
      <c r="Y569" s="189" t="s">
        <v>3066</v>
      </c>
      <c r="Z569" s="0" t="n">
        <v>2</v>
      </c>
      <c r="AA569" s="189" t="s">
        <v>3156</v>
      </c>
    </row>
    <row r="570" customFormat="false" ht="15" hidden="false" customHeight="false" outlineLevel="0" collapsed="false">
      <c r="A570" s="0" t="n">
        <v>114</v>
      </c>
      <c r="B570" s="188" t="n">
        <v>46139.4304262665</v>
      </c>
      <c r="C570" s="188" t="n">
        <v>46139.4433660813</v>
      </c>
      <c r="D570" s="189" t="s">
        <v>1010</v>
      </c>
      <c r="E570" s="189" t="s">
        <v>1011</v>
      </c>
      <c r="F570" s="189" t="s">
        <v>1011</v>
      </c>
      <c r="G570" s="189" t="s">
        <v>1012</v>
      </c>
      <c r="H570" s="188" t="n">
        <v>46134</v>
      </c>
      <c r="I570" s="189" t="s">
        <v>325</v>
      </c>
      <c r="J570" s="189" t="s">
        <v>108</v>
      </c>
      <c r="K570" s="189" t="s">
        <v>143</v>
      </c>
      <c r="L570" s="189" t="s">
        <v>268</v>
      </c>
      <c r="M570" s="189" t="s">
        <v>326</v>
      </c>
      <c r="N570" s="189" t="s">
        <v>827</v>
      </c>
      <c r="O570" s="189" t="s">
        <v>172</v>
      </c>
      <c r="P570" s="189" t="s">
        <v>111</v>
      </c>
      <c r="Q570" s="189" t="s">
        <v>112</v>
      </c>
      <c r="R570" s="189" t="s">
        <v>21</v>
      </c>
      <c r="S570" s="189" t="s">
        <v>120</v>
      </c>
      <c r="T570" s="189" t="s">
        <v>165</v>
      </c>
      <c r="U570" s="189" t="s">
        <v>1015</v>
      </c>
      <c r="V570" s="189" t="s">
        <v>123</v>
      </c>
      <c r="W570" s="189" t="s">
        <v>124</v>
      </c>
      <c r="X570" s="189" t="s">
        <v>374</v>
      </c>
      <c r="Y570" s="189" t="s">
        <v>3069</v>
      </c>
      <c r="Z570" s="0" t="n">
        <v>1</v>
      </c>
      <c r="AA570" s="189" t="s">
        <v>3158</v>
      </c>
    </row>
    <row r="571" customFormat="false" ht="15" hidden="false" customHeight="false" outlineLevel="0" collapsed="false">
      <c r="A571" s="0" t="n">
        <v>115</v>
      </c>
      <c r="B571" s="188" t="n">
        <v>46205.6461025347</v>
      </c>
      <c r="C571" s="188" t="n">
        <v>46205.6556511458</v>
      </c>
      <c r="D571" s="189" t="s">
        <v>1016</v>
      </c>
      <c r="E571" s="189" t="s">
        <v>1017</v>
      </c>
      <c r="F571" s="189" t="s">
        <v>1018</v>
      </c>
      <c r="G571" s="189" t="s">
        <v>1019</v>
      </c>
      <c r="H571" s="188" t="n">
        <v>46193</v>
      </c>
      <c r="I571" s="189" t="s">
        <v>325</v>
      </c>
      <c r="J571" s="189" t="s">
        <v>108</v>
      </c>
      <c r="K571" s="189" t="s">
        <v>1020</v>
      </c>
      <c r="L571" s="189" t="s">
        <v>197</v>
      </c>
      <c r="M571" s="189" t="s">
        <v>269</v>
      </c>
      <c r="N571" s="189" t="s">
        <v>161</v>
      </c>
      <c r="O571" s="189" t="s">
        <v>172</v>
      </c>
      <c r="P571" s="189" t="s">
        <v>111</v>
      </c>
      <c r="Q571" s="189" t="s">
        <v>112</v>
      </c>
      <c r="R571" s="189" t="s">
        <v>22</v>
      </c>
      <c r="S571" s="189" t="s">
        <v>152</v>
      </c>
      <c r="T571" s="189" t="s">
        <v>1024</v>
      </c>
      <c r="V571" s="189" t="s">
        <v>192</v>
      </c>
      <c r="W571" s="189" t="s">
        <v>124</v>
      </c>
      <c r="X571" s="189" t="s">
        <v>298</v>
      </c>
      <c r="Y571" s="189" t="s">
        <v>3064</v>
      </c>
      <c r="Z571" s="0" t="n">
        <v>1</v>
      </c>
      <c r="AA571" s="189" t="s">
        <v>3123</v>
      </c>
    </row>
    <row r="572" customFormat="false" ht="15" hidden="false" customHeight="false" outlineLevel="0" collapsed="false">
      <c r="A572" s="0" t="n">
        <v>115</v>
      </c>
      <c r="B572" s="188" t="n">
        <v>46205.6461025347</v>
      </c>
      <c r="C572" s="188" t="n">
        <v>46205.6556511458</v>
      </c>
      <c r="D572" s="189" t="s">
        <v>1016</v>
      </c>
      <c r="E572" s="189" t="s">
        <v>1017</v>
      </c>
      <c r="F572" s="189" t="s">
        <v>1018</v>
      </c>
      <c r="G572" s="189" t="s">
        <v>1019</v>
      </c>
      <c r="H572" s="188" t="n">
        <v>46193</v>
      </c>
      <c r="I572" s="189" t="s">
        <v>325</v>
      </c>
      <c r="J572" s="189" t="s">
        <v>108</v>
      </c>
      <c r="K572" s="189" t="s">
        <v>1020</v>
      </c>
      <c r="L572" s="189" t="s">
        <v>197</v>
      </c>
      <c r="M572" s="189" t="s">
        <v>269</v>
      </c>
      <c r="N572" s="189" t="s">
        <v>161</v>
      </c>
      <c r="O572" s="189" t="s">
        <v>172</v>
      </c>
      <c r="P572" s="189" t="s">
        <v>111</v>
      </c>
      <c r="Q572" s="189" t="s">
        <v>112</v>
      </c>
      <c r="R572" s="189" t="s">
        <v>22</v>
      </c>
      <c r="S572" s="189" t="s">
        <v>152</v>
      </c>
      <c r="T572" s="189" t="s">
        <v>1024</v>
      </c>
      <c r="V572" s="189" t="s">
        <v>192</v>
      </c>
      <c r="W572" s="189" t="s">
        <v>124</v>
      </c>
      <c r="X572" s="189" t="s">
        <v>298</v>
      </c>
      <c r="Y572" s="189" t="s">
        <v>3064</v>
      </c>
      <c r="Z572" s="0" t="n">
        <v>2</v>
      </c>
      <c r="AA572" s="189" t="s">
        <v>3207</v>
      </c>
    </row>
    <row r="573" customFormat="false" ht="15" hidden="false" customHeight="false" outlineLevel="0" collapsed="false">
      <c r="A573" s="0" t="n">
        <v>115</v>
      </c>
      <c r="B573" s="188" t="n">
        <v>46205.6461025347</v>
      </c>
      <c r="C573" s="188" t="n">
        <v>46205.6556511458</v>
      </c>
      <c r="D573" s="189" t="s">
        <v>1016</v>
      </c>
      <c r="E573" s="189" t="s">
        <v>1017</v>
      </c>
      <c r="F573" s="189" t="s">
        <v>1018</v>
      </c>
      <c r="G573" s="189" t="s">
        <v>1019</v>
      </c>
      <c r="H573" s="188" t="n">
        <v>46193</v>
      </c>
      <c r="I573" s="189" t="s">
        <v>325</v>
      </c>
      <c r="J573" s="189" t="s">
        <v>108</v>
      </c>
      <c r="K573" s="189" t="s">
        <v>1020</v>
      </c>
      <c r="L573" s="189" t="s">
        <v>197</v>
      </c>
      <c r="M573" s="189" t="s">
        <v>269</v>
      </c>
      <c r="N573" s="189" t="s">
        <v>161</v>
      </c>
      <c r="O573" s="189" t="s">
        <v>172</v>
      </c>
      <c r="P573" s="189" t="s">
        <v>111</v>
      </c>
      <c r="Q573" s="189" t="s">
        <v>112</v>
      </c>
      <c r="R573" s="189" t="s">
        <v>22</v>
      </c>
      <c r="S573" s="189" t="s">
        <v>152</v>
      </c>
      <c r="T573" s="189" t="s">
        <v>1024</v>
      </c>
      <c r="V573" s="189" t="s">
        <v>192</v>
      </c>
      <c r="W573" s="189" t="s">
        <v>124</v>
      </c>
      <c r="X573" s="189" t="s">
        <v>298</v>
      </c>
      <c r="Y573" s="189" t="s">
        <v>3066</v>
      </c>
      <c r="Z573" s="0" t="n">
        <v>1</v>
      </c>
      <c r="AA573" s="189" t="s">
        <v>3271</v>
      </c>
    </row>
    <row r="574" customFormat="false" ht="15" hidden="false" customHeight="false" outlineLevel="0" collapsed="false">
      <c r="A574" s="0" t="n">
        <v>115</v>
      </c>
      <c r="B574" s="188" t="n">
        <v>46205.6461025347</v>
      </c>
      <c r="C574" s="188" t="n">
        <v>46205.6556511458</v>
      </c>
      <c r="D574" s="189" t="s">
        <v>1016</v>
      </c>
      <c r="E574" s="189" t="s">
        <v>1017</v>
      </c>
      <c r="F574" s="189" t="s">
        <v>1018</v>
      </c>
      <c r="G574" s="189" t="s">
        <v>1019</v>
      </c>
      <c r="H574" s="188" t="n">
        <v>46193</v>
      </c>
      <c r="I574" s="189" t="s">
        <v>325</v>
      </c>
      <c r="J574" s="189" t="s">
        <v>108</v>
      </c>
      <c r="K574" s="189" t="s">
        <v>1020</v>
      </c>
      <c r="L574" s="189" t="s">
        <v>197</v>
      </c>
      <c r="M574" s="189" t="s">
        <v>269</v>
      </c>
      <c r="N574" s="189" t="s">
        <v>161</v>
      </c>
      <c r="O574" s="189" t="s">
        <v>172</v>
      </c>
      <c r="P574" s="189" t="s">
        <v>111</v>
      </c>
      <c r="Q574" s="189" t="s">
        <v>112</v>
      </c>
      <c r="R574" s="189" t="s">
        <v>22</v>
      </c>
      <c r="S574" s="189" t="s">
        <v>152</v>
      </c>
      <c r="T574" s="189" t="s">
        <v>1024</v>
      </c>
      <c r="V574" s="189" t="s">
        <v>192</v>
      </c>
      <c r="W574" s="189" t="s">
        <v>124</v>
      </c>
      <c r="X574" s="189" t="s">
        <v>298</v>
      </c>
      <c r="Y574" s="189" t="s">
        <v>3069</v>
      </c>
      <c r="Z574" s="0" t="n">
        <v>1</v>
      </c>
      <c r="AA574" s="189" t="s">
        <v>3272</v>
      </c>
    </row>
    <row r="575" customFormat="false" ht="15" hidden="false" customHeight="false" outlineLevel="0" collapsed="false">
      <c r="A575" s="0" t="n">
        <v>115</v>
      </c>
      <c r="B575" s="188" t="n">
        <v>46205.6461025347</v>
      </c>
      <c r="C575" s="188" t="n">
        <v>46205.6556511458</v>
      </c>
      <c r="D575" s="189" t="s">
        <v>1016</v>
      </c>
      <c r="E575" s="189" t="s">
        <v>1017</v>
      </c>
      <c r="F575" s="189" t="s">
        <v>1018</v>
      </c>
      <c r="G575" s="189" t="s">
        <v>1019</v>
      </c>
      <c r="H575" s="188" t="n">
        <v>46193</v>
      </c>
      <c r="I575" s="189" t="s">
        <v>325</v>
      </c>
      <c r="J575" s="189" t="s">
        <v>108</v>
      </c>
      <c r="K575" s="189" t="s">
        <v>1020</v>
      </c>
      <c r="L575" s="189" t="s">
        <v>197</v>
      </c>
      <c r="M575" s="189" t="s">
        <v>269</v>
      </c>
      <c r="N575" s="189" t="s">
        <v>161</v>
      </c>
      <c r="O575" s="189" t="s">
        <v>172</v>
      </c>
      <c r="P575" s="189" t="s">
        <v>111</v>
      </c>
      <c r="Q575" s="189" t="s">
        <v>112</v>
      </c>
      <c r="R575" s="189" t="s">
        <v>22</v>
      </c>
      <c r="S575" s="189" t="s">
        <v>152</v>
      </c>
      <c r="T575" s="189" t="s">
        <v>1024</v>
      </c>
      <c r="V575" s="189" t="s">
        <v>192</v>
      </c>
      <c r="W575" s="189" t="s">
        <v>124</v>
      </c>
      <c r="X575" s="189" t="s">
        <v>298</v>
      </c>
      <c r="Y575" s="189" t="s">
        <v>3069</v>
      </c>
      <c r="Z575" s="0" t="n">
        <v>2</v>
      </c>
      <c r="AA575" s="189" t="s">
        <v>3248</v>
      </c>
    </row>
    <row r="576" customFormat="false" ht="15" hidden="false" customHeight="false" outlineLevel="0" collapsed="false">
      <c r="A576" s="0" t="n">
        <v>116</v>
      </c>
      <c r="B576" s="188" t="n">
        <v>46131.045551063</v>
      </c>
      <c r="C576" s="188" t="n">
        <v>46131.062113563</v>
      </c>
      <c r="D576" s="189" t="s">
        <v>1025</v>
      </c>
      <c r="E576" s="189" t="s">
        <v>1026</v>
      </c>
      <c r="F576" s="189" t="s">
        <v>1026</v>
      </c>
      <c r="G576" s="189" t="s">
        <v>1027</v>
      </c>
      <c r="H576" s="188" t="n">
        <v>46112</v>
      </c>
      <c r="I576" s="189" t="s">
        <v>113</v>
      </c>
      <c r="J576" s="189" t="s">
        <v>128</v>
      </c>
      <c r="K576" s="189" t="s">
        <v>173</v>
      </c>
      <c r="L576" s="189" t="s">
        <v>197</v>
      </c>
      <c r="M576" s="189" t="s">
        <v>757</v>
      </c>
      <c r="N576" s="189" t="s">
        <v>1028</v>
      </c>
      <c r="O576" s="189" t="s">
        <v>107</v>
      </c>
      <c r="P576" s="189" t="s">
        <v>111</v>
      </c>
      <c r="Q576" s="189" t="s">
        <v>112</v>
      </c>
      <c r="R576" s="189" t="s">
        <v>22</v>
      </c>
      <c r="S576" s="189" t="s">
        <v>152</v>
      </c>
      <c r="T576" s="189" t="s">
        <v>180</v>
      </c>
      <c r="U576" s="189" t="s">
        <v>1032</v>
      </c>
      <c r="V576" s="189" t="s">
        <v>167</v>
      </c>
      <c r="W576" s="189" t="s">
        <v>124</v>
      </c>
      <c r="X576" s="189" t="s">
        <v>298</v>
      </c>
      <c r="Y576" s="189" t="s">
        <v>3064</v>
      </c>
      <c r="Z576" s="0" t="n">
        <v>1</v>
      </c>
      <c r="AA576" s="189" t="s">
        <v>3273</v>
      </c>
    </row>
    <row r="577" customFormat="false" ht="15" hidden="false" customHeight="false" outlineLevel="0" collapsed="false">
      <c r="A577" s="0" t="n">
        <v>116</v>
      </c>
      <c r="B577" s="188" t="n">
        <v>46131.045551063</v>
      </c>
      <c r="C577" s="188" t="n">
        <v>46131.062113563</v>
      </c>
      <c r="D577" s="189" t="s">
        <v>1025</v>
      </c>
      <c r="E577" s="189" t="s">
        <v>1026</v>
      </c>
      <c r="F577" s="189" t="s">
        <v>1026</v>
      </c>
      <c r="G577" s="189" t="s">
        <v>1027</v>
      </c>
      <c r="H577" s="188" t="n">
        <v>46112</v>
      </c>
      <c r="I577" s="189" t="s">
        <v>113</v>
      </c>
      <c r="J577" s="189" t="s">
        <v>128</v>
      </c>
      <c r="K577" s="189" t="s">
        <v>173</v>
      </c>
      <c r="L577" s="189" t="s">
        <v>197</v>
      </c>
      <c r="M577" s="189" t="s">
        <v>757</v>
      </c>
      <c r="N577" s="189" t="s">
        <v>1028</v>
      </c>
      <c r="O577" s="189" t="s">
        <v>107</v>
      </c>
      <c r="P577" s="189" t="s">
        <v>111</v>
      </c>
      <c r="Q577" s="189" t="s">
        <v>112</v>
      </c>
      <c r="R577" s="189" t="s">
        <v>22</v>
      </c>
      <c r="S577" s="189" t="s">
        <v>152</v>
      </c>
      <c r="T577" s="189" t="s">
        <v>180</v>
      </c>
      <c r="U577" s="189" t="s">
        <v>1032</v>
      </c>
      <c r="V577" s="189" t="s">
        <v>167</v>
      </c>
      <c r="W577" s="189" t="s">
        <v>124</v>
      </c>
      <c r="X577" s="189" t="s">
        <v>298</v>
      </c>
      <c r="Y577" s="189" t="s">
        <v>3066</v>
      </c>
      <c r="Z577" s="0" t="n">
        <v>1</v>
      </c>
      <c r="AA577" s="189" t="s">
        <v>3274</v>
      </c>
    </row>
    <row r="578" customFormat="false" ht="15" hidden="false" customHeight="false" outlineLevel="0" collapsed="false">
      <c r="A578" s="0" t="n">
        <v>116</v>
      </c>
      <c r="B578" s="188" t="n">
        <v>46131.045551063</v>
      </c>
      <c r="C578" s="188" t="n">
        <v>46131.062113563</v>
      </c>
      <c r="D578" s="189" t="s">
        <v>1025</v>
      </c>
      <c r="E578" s="189" t="s">
        <v>1026</v>
      </c>
      <c r="F578" s="189" t="s">
        <v>1026</v>
      </c>
      <c r="G578" s="189" t="s">
        <v>1027</v>
      </c>
      <c r="H578" s="188" t="n">
        <v>46112</v>
      </c>
      <c r="I578" s="189" t="s">
        <v>113</v>
      </c>
      <c r="J578" s="189" t="s">
        <v>128</v>
      </c>
      <c r="K578" s="189" t="s">
        <v>173</v>
      </c>
      <c r="L578" s="189" t="s">
        <v>197</v>
      </c>
      <c r="M578" s="189" t="s">
        <v>757</v>
      </c>
      <c r="N578" s="189" t="s">
        <v>1028</v>
      </c>
      <c r="O578" s="189" t="s">
        <v>107</v>
      </c>
      <c r="P578" s="189" t="s">
        <v>111</v>
      </c>
      <c r="Q578" s="189" t="s">
        <v>112</v>
      </c>
      <c r="R578" s="189" t="s">
        <v>22</v>
      </c>
      <c r="S578" s="189" t="s">
        <v>152</v>
      </c>
      <c r="T578" s="189" t="s">
        <v>180</v>
      </c>
      <c r="U578" s="189" t="s">
        <v>1032</v>
      </c>
      <c r="V578" s="189" t="s">
        <v>167</v>
      </c>
      <c r="W578" s="189" t="s">
        <v>124</v>
      </c>
      <c r="X578" s="189" t="s">
        <v>298</v>
      </c>
      <c r="Y578" s="189" t="s">
        <v>3066</v>
      </c>
      <c r="Z578" s="0" t="n">
        <v>2</v>
      </c>
      <c r="AA578" s="189" t="s">
        <v>3126</v>
      </c>
    </row>
    <row r="579" customFormat="false" ht="15" hidden="false" customHeight="false" outlineLevel="0" collapsed="false">
      <c r="A579" s="0" t="n">
        <v>116</v>
      </c>
      <c r="B579" s="188" t="n">
        <v>46131.045551063</v>
      </c>
      <c r="C579" s="188" t="n">
        <v>46131.062113563</v>
      </c>
      <c r="D579" s="189" t="s">
        <v>1025</v>
      </c>
      <c r="E579" s="189" t="s">
        <v>1026</v>
      </c>
      <c r="F579" s="189" t="s">
        <v>1026</v>
      </c>
      <c r="G579" s="189" t="s">
        <v>1027</v>
      </c>
      <c r="H579" s="188" t="n">
        <v>46112</v>
      </c>
      <c r="I579" s="189" t="s">
        <v>113</v>
      </c>
      <c r="J579" s="189" t="s">
        <v>128</v>
      </c>
      <c r="K579" s="189" t="s">
        <v>173</v>
      </c>
      <c r="L579" s="189" t="s">
        <v>197</v>
      </c>
      <c r="M579" s="189" t="s">
        <v>757</v>
      </c>
      <c r="N579" s="189" t="s">
        <v>1028</v>
      </c>
      <c r="O579" s="189" t="s">
        <v>107</v>
      </c>
      <c r="P579" s="189" t="s">
        <v>111</v>
      </c>
      <c r="Q579" s="189" t="s">
        <v>112</v>
      </c>
      <c r="R579" s="189" t="s">
        <v>22</v>
      </c>
      <c r="S579" s="189" t="s">
        <v>152</v>
      </c>
      <c r="T579" s="189" t="s">
        <v>180</v>
      </c>
      <c r="U579" s="189" t="s">
        <v>1032</v>
      </c>
      <c r="V579" s="189" t="s">
        <v>167</v>
      </c>
      <c r="W579" s="189" t="s">
        <v>124</v>
      </c>
      <c r="X579" s="189" t="s">
        <v>298</v>
      </c>
      <c r="Y579" s="189" t="s">
        <v>3069</v>
      </c>
      <c r="Z579" s="0" t="n">
        <v>1</v>
      </c>
      <c r="AA579" s="189" t="s">
        <v>3275</v>
      </c>
    </row>
    <row r="580" customFormat="false" ht="15" hidden="false" customHeight="false" outlineLevel="0" collapsed="false">
      <c r="A580" s="0" t="n">
        <v>117</v>
      </c>
      <c r="B580" s="188" t="n">
        <v>46151.9984836193</v>
      </c>
      <c r="C580" s="188" t="n">
        <v>46152.0023840823</v>
      </c>
      <c r="D580" s="189" t="s">
        <v>1033</v>
      </c>
      <c r="E580" s="189" t="s">
        <v>1034</v>
      </c>
      <c r="F580" s="189" t="s">
        <v>1034</v>
      </c>
      <c r="G580" s="189" t="s">
        <v>1035</v>
      </c>
      <c r="H580" s="188" t="n">
        <v>46145</v>
      </c>
      <c r="I580" s="189" t="s">
        <v>113</v>
      </c>
      <c r="J580" s="189" t="s">
        <v>295</v>
      </c>
      <c r="K580" s="189" t="s">
        <v>257</v>
      </c>
      <c r="L580" s="189" t="s">
        <v>159</v>
      </c>
      <c r="M580" s="189" t="s">
        <v>507</v>
      </c>
      <c r="N580" s="189" t="s">
        <v>1036</v>
      </c>
      <c r="O580" s="189" t="s">
        <v>278</v>
      </c>
      <c r="P580" s="189" t="s">
        <v>111</v>
      </c>
      <c r="Q580" s="189" t="s">
        <v>112</v>
      </c>
      <c r="R580" s="189" t="s">
        <v>24</v>
      </c>
      <c r="S580" s="189" t="s">
        <v>120</v>
      </c>
      <c r="T580" s="189" t="s">
        <v>121</v>
      </c>
      <c r="U580" s="189" t="s">
        <v>122</v>
      </c>
      <c r="V580" s="189" t="s">
        <v>192</v>
      </c>
      <c r="W580" s="189" t="s">
        <v>124</v>
      </c>
      <c r="X580" s="189" t="s">
        <v>448</v>
      </c>
      <c r="Y580" s="189" t="s">
        <v>3064</v>
      </c>
      <c r="Z580" s="0" t="n">
        <v>1</v>
      </c>
      <c r="AA580" s="189" t="s">
        <v>3175</v>
      </c>
    </row>
    <row r="581" customFormat="false" ht="15" hidden="false" customHeight="false" outlineLevel="0" collapsed="false">
      <c r="A581" s="0" t="n">
        <v>117</v>
      </c>
      <c r="B581" s="188" t="n">
        <v>46151.9984836193</v>
      </c>
      <c r="C581" s="188" t="n">
        <v>46152.0023840823</v>
      </c>
      <c r="D581" s="189" t="s">
        <v>1033</v>
      </c>
      <c r="E581" s="189" t="s">
        <v>1034</v>
      </c>
      <c r="F581" s="189" t="s">
        <v>1034</v>
      </c>
      <c r="G581" s="189" t="s">
        <v>1035</v>
      </c>
      <c r="H581" s="188" t="n">
        <v>46145</v>
      </c>
      <c r="I581" s="189" t="s">
        <v>113</v>
      </c>
      <c r="J581" s="189" t="s">
        <v>295</v>
      </c>
      <c r="K581" s="189" t="s">
        <v>257</v>
      </c>
      <c r="L581" s="189" t="s">
        <v>159</v>
      </c>
      <c r="M581" s="189" t="s">
        <v>507</v>
      </c>
      <c r="N581" s="189" t="s">
        <v>1036</v>
      </c>
      <c r="O581" s="189" t="s">
        <v>278</v>
      </c>
      <c r="P581" s="189" t="s">
        <v>111</v>
      </c>
      <c r="Q581" s="189" t="s">
        <v>112</v>
      </c>
      <c r="R581" s="189" t="s">
        <v>24</v>
      </c>
      <c r="S581" s="189" t="s">
        <v>120</v>
      </c>
      <c r="T581" s="189" t="s">
        <v>121</v>
      </c>
      <c r="U581" s="189" t="s">
        <v>122</v>
      </c>
      <c r="V581" s="189" t="s">
        <v>192</v>
      </c>
      <c r="W581" s="189" t="s">
        <v>124</v>
      </c>
      <c r="X581" s="189" t="s">
        <v>448</v>
      </c>
      <c r="Y581" s="189" t="s">
        <v>3066</v>
      </c>
      <c r="Z581" s="0" t="n">
        <v>1</v>
      </c>
      <c r="AA581" s="189" t="s">
        <v>3276</v>
      </c>
    </row>
    <row r="582" customFormat="false" ht="15" hidden="false" customHeight="false" outlineLevel="0" collapsed="false">
      <c r="A582" s="0" t="n">
        <v>117</v>
      </c>
      <c r="B582" s="188" t="n">
        <v>46151.9984836193</v>
      </c>
      <c r="C582" s="188" t="n">
        <v>46152.0023840823</v>
      </c>
      <c r="D582" s="189" t="s">
        <v>1033</v>
      </c>
      <c r="E582" s="189" t="s">
        <v>1034</v>
      </c>
      <c r="F582" s="189" t="s">
        <v>1034</v>
      </c>
      <c r="G582" s="189" t="s">
        <v>1035</v>
      </c>
      <c r="H582" s="188" t="n">
        <v>46145</v>
      </c>
      <c r="I582" s="189" t="s">
        <v>113</v>
      </c>
      <c r="J582" s="189" t="s">
        <v>295</v>
      </c>
      <c r="K582" s="189" t="s">
        <v>257</v>
      </c>
      <c r="L582" s="189" t="s">
        <v>159</v>
      </c>
      <c r="M582" s="189" t="s">
        <v>507</v>
      </c>
      <c r="N582" s="189" t="s">
        <v>1036</v>
      </c>
      <c r="O582" s="189" t="s">
        <v>278</v>
      </c>
      <c r="P582" s="189" t="s">
        <v>111</v>
      </c>
      <c r="Q582" s="189" t="s">
        <v>112</v>
      </c>
      <c r="R582" s="189" t="s">
        <v>24</v>
      </c>
      <c r="S582" s="189" t="s">
        <v>120</v>
      </c>
      <c r="T582" s="189" t="s">
        <v>121</v>
      </c>
      <c r="U582" s="189" t="s">
        <v>122</v>
      </c>
      <c r="V582" s="189" t="s">
        <v>192</v>
      </c>
      <c r="W582" s="189" t="s">
        <v>124</v>
      </c>
      <c r="X582" s="189" t="s">
        <v>448</v>
      </c>
      <c r="Y582" s="189" t="s">
        <v>3069</v>
      </c>
      <c r="Z582" s="0" t="n">
        <v>1</v>
      </c>
      <c r="AA582" s="189" t="s">
        <v>3190</v>
      </c>
    </row>
    <row r="583" customFormat="false" ht="15" hidden="false" customHeight="false" outlineLevel="0" collapsed="false">
      <c r="A583" s="0" t="n">
        <v>118</v>
      </c>
      <c r="B583" s="188" t="n">
        <v>46053.0718435588</v>
      </c>
      <c r="C583" s="188" t="n">
        <v>46053.0802463366</v>
      </c>
      <c r="D583" s="189" t="s">
        <v>1039</v>
      </c>
      <c r="E583" s="189" t="s">
        <v>1040</v>
      </c>
      <c r="F583" s="189" t="s">
        <v>1040</v>
      </c>
      <c r="G583" s="189" t="s">
        <v>1041</v>
      </c>
      <c r="H583" s="188" t="n">
        <v>46050</v>
      </c>
      <c r="I583" s="189" t="s">
        <v>132</v>
      </c>
      <c r="J583" s="189" t="s">
        <v>128</v>
      </c>
      <c r="K583" s="189" t="s">
        <v>257</v>
      </c>
      <c r="L583" s="189" t="s">
        <v>144</v>
      </c>
      <c r="M583" s="189" t="s">
        <v>870</v>
      </c>
      <c r="N583" s="189" t="s">
        <v>1042</v>
      </c>
      <c r="O583" s="189" t="s">
        <v>278</v>
      </c>
      <c r="P583" s="189" t="s">
        <v>111</v>
      </c>
      <c r="Q583" s="189" t="s">
        <v>112</v>
      </c>
      <c r="R583" s="189" t="s">
        <v>21</v>
      </c>
      <c r="S583" s="189" t="s">
        <v>152</v>
      </c>
      <c r="T583" s="189" t="s">
        <v>121</v>
      </c>
      <c r="V583" s="189" t="s">
        <v>192</v>
      </c>
      <c r="W583" s="189" t="s">
        <v>168</v>
      </c>
      <c r="X583" s="189" t="s">
        <v>348</v>
      </c>
      <c r="Y583" s="189" t="s">
        <v>3064</v>
      </c>
      <c r="Z583" s="0" t="n">
        <v>1</v>
      </c>
      <c r="AA583" s="189" t="s">
        <v>3165</v>
      </c>
    </row>
    <row r="584" customFormat="false" ht="15" hidden="false" customHeight="false" outlineLevel="0" collapsed="false">
      <c r="A584" s="0" t="n">
        <v>118</v>
      </c>
      <c r="B584" s="188" t="n">
        <v>46053.0718435588</v>
      </c>
      <c r="C584" s="188" t="n">
        <v>46053.0802463366</v>
      </c>
      <c r="D584" s="189" t="s">
        <v>1039</v>
      </c>
      <c r="E584" s="189" t="s">
        <v>1040</v>
      </c>
      <c r="F584" s="189" t="s">
        <v>1040</v>
      </c>
      <c r="G584" s="189" t="s">
        <v>1041</v>
      </c>
      <c r="H584" s="188" t="n">
        <v>46050</v>
      </c>
      <c r="I584" s="189" t="s">
        <v>132</v>
      </c>
      <c r="J584" s="189" t="s">
        <v>128</v>
      </c>
      <c r="K584" s="189" t="s">
        <v>257</v>
      </c>
      <c r="L584" s="189" t="s">
        <v>144</v>
      </c>
      <c r="M584" s="189" t="s">
        <v>870</v>
      </c>
      <c r="N584" s="189" t="s">
        <v>1042</v>
      </c>
      <c r="O584" s="189" t="s">
        <v>278</v>
      </c>
      <c r="P584" s="189" t="s">
        <v>111</v>
      </c>
      <c r="Q584" s="189" t="s">
        <v>112</v>
      </c>
      <c r="R584" s="189" t="s">
        <v>21</v>
      </c>
      <c r="S584" s="189" t="s">
        <v>152</v>
      </c>
      <c r="T584" s="189" t="s">
        <v>121</v>
      </c>
      <c r="V584" s="189" t="s">
        <v>192</v>
      </c>
      <c r="W584" s="189" t="s">
        <v>168</v>
      </c>
      <c r="X584" s="189" t="s">
        <v>348</v>
      </c>
      <c r="Y584" s="189" t="s">
        <v>3064</v>
      </c>
      <c r="Z584" s="0" t="n">
        <v>2</v>
      </c>
      <c r="AA584" s="189" t="s">
        <v>3146</v>
      </c>
    </row>
    <row r="585" customFormat="false" ht="15" hidden="false" customHeight="false" outlineLevel="0" collapsed="false">
      <c r="A585" s="0" t="n">
        <v>118</v>
      </c>
      <c r="B585" s="188" t="n">
        <v>46053.0718435588</v>
      </c>
      <c r="C585" s="188" t="n">
        <v>46053.0802463366</v>
      </c>
      <c r="D585" s="189" t="s">
        <v>1039</v>
      </c>
      <c r="E585" s="189" t="s">
        <v>1040</v>
      </c>
      <c r="F585" s="189" t="s">
        <v>1040</v>
      </c>
      <c r="G585" s="189" t="s">
        <v>1041</v>
      </c>
      <c r="H585" s="188" t="n">
        <v>46050</v>
      </c>
      <c r="I585" s="189" t="s">
        <v>132</v>
      </c>
      <c r="J585" s="189" t="s">
        <v>128</v>
      </c>
      <c r="K585" s="189" t="s">
        <v>257</v>
      </c>
      <c r="L585" s="189" t="s">
        <v>144</v>
      </c>
      <c r="M585" s="189" t="s">
        <v>870</v>
      </c>
      <c r="N585" s="189" t="s">
        <v>1042</v>
      </c>
      <c r="O585" s="189" t="s">
        <v>278</v>
      </c>
      <c r="P585" s="189" t="s">
        <v>111</v>
      </c>
      <c r="Q585" s="189" t="s">
        <v>112</v>
      </c>
      <c r="R585" s="189" t="s">
        <v>21</v>
      </c>
      <c r="S585" s="189" t="s">
        <v>152</v>
      </c>
      <c r="T585" s="189" t="s">
        <v>121</v>
      </c>
      <c r="V585" s="189" t="s">
        <v>192</v>
      </c>
      <c r="W585" s="189" t="s">
        <v>168</v>
      </c>
      <c r="X585" s="189" t="s">
        <v>348</v>
      </c>
      <c r="Y585" s="189" t="s">
        <v>3064</v>
      </c>
      <c r="Z585" s="0" t="n">
        <v>3</v>
      </c>
      <c r="AA585" s="189" t="s">
        <v>3277</v>
      </c>
    </row>
    <row r="586" customFormat="false" ht="15" hidden="false" customHeight="false" outlineLevel="0" collapsed="false">
      <c r="A586" s="0" t="n">
        <v>118</v>
      </c>
      <c r="B586" s="188" t="n">
        <v>46053.0718435588</v>
      </c>
      <c r="C586" s="188" t="n">
        <v>46053.0802463366</v>
      </c>
      <c r="D586" s="189" t="s">
        <v>1039</v>
      </c>
      <c r="E586" s="189" t="s">
        <v>1040</v>
      </c>
      <c r="F586" s="189" t="s">
        <v>1040</v>
      </c>
      <c r="G586" s="189" t="s">
        <v>1041</v>
      </c>
      <c r="H586" s="188" t="n">
        <v>46050</v>
      </c>
      <c r="I586" s="189" t="s">
        <v>132</v>
      </c>
      <c r="J586" s="189" t="s">
        <v>128</v>
      </c>
      <c r="K586" s="189" t="s">
        <v>257</v>
      </c>
      <c r="L586" s="189" t="s">
        <v>144</v>
      </c>
      <c r="M586" s="189" t="s">
        <v>870</v>
      </c>
      <c r="N586" s="189" t="s">
        <v>1042</v>
      </c>
      <c r="O586" s="189" t="s">
        <v>278</v>
      </c>
      <c r="P586" s="189" t="s">
        <v>111</v>
      </c>
      <c r="Q586" s="189" t="s">
        <v>112</v>
      </c>
      <c r="R586" s="189" t="s">
        <v>21</v>
      </c>
      <c r="S586" s="189" t="s">
        <v>152</v>
      </c>
      <c r="T586" s="189" t="s">
        <v>121</v>
      </c>
      <c r="V586" s="189" t="s">
        <v>192</v>
      </c>
      <c r="W586" s="189" t="s">
        <v>168</v>
      </c>
      <c r="X586" s="189" t="s">
        <v>348</v>
      </c>
      <c r="Y586" s="189" t="s">
        <v>3066</v>
      </c>
      <c r="Z586" s="0" t="n">
        <v>1</v>
      </c>
      <c r="AA586" s="189" t="s">
        <v>3147</v>
      </c>
    </row>
    <row r="587" customFormat="false" ht="15" hidden="false" customHeight="false" outlineLevel="0" collapsed="false">
      <c r="A587" s="0" t="n">
        <v>118</v>
      </c>
      <c r="B587" s="188" t="n">
        <v>46053.0718435588</v>
      </c>
      <c r="C587" s="188" t="n">
        <v>46053.0802463366</v>
      </c>
      <c r="D587" s="189" t="s">
        <v>1039</v>
      </c>
      <c r="E587" s="189" t="s">
        <v>1040</v>
      </c>
      <c r="F587" s="189" t="s">
        <v>1040</v>
      </c>
      <c r="G587" s="189" t="s">
        <v>1041</v>
      </c>
      <c r="H587" s="188" t="n">
        <v>46050</v>
      </c>
      <c r="I587" s="189" t="s">
        <v>132</v>
      </c>
      <c r="J587" s="189" t="s">
        <v>128</v>
      </c>
      <c r="K587" s="189" t="s">
        <v>257</v>
      </c>
      <c r="L587" s="189" t="s">
        <v>144</v>
      </c>
      <c r="M587" s="189" t="s">
        <v>870</v>
      </c>
      <c r="N587" s="189" t="s">
        <v>1042</v>
      </c>
      <c r="O587" s="189" t="s">
        <v>278</v>
      </c>
      <c r="P587" s="189" t="s">
        <v>111</v>
      </c>
      <c r="Q587" s="189" t="s">
        <v>112</v>
      </c>
      <c r="R587" s="189" t="s">
        <v>21</v>
      </c>
      <c r="S587" s="189" t="s">
        <v>152</v>
      </c>
      <c r="T587" s="189" t="s">
        <v>121</v>
      </c>
      <c r="V587" s="189" t="s">
        <v>192</v>
      </c>
      <c r="W587" s="189" t="s">
        <v>168</v>
      </c>
      <c r="X587" s="189" t="s">
        <v>348</v>
      </c>
      <c r="Y587" s="189" t="s">
        <v>3069</v>
      </c>
      <c r="Z587" s="0" t="n">
        <v>1</v>
      </c>
      <c r="AA587" s="189" t="s">
        <v>3148</v>
      </c>
    </row>
    <row r="588" customFormat="false" ht="15" hidden="false" customHeight="false" outlineLevel="0" collapsed="false">
      <c r="A588" s="0" t="n">
        <v>118</v>
      </c>
      <c r="B588" s="188" t="n">
        <v>46053.0718435588</v>
      </c>
      <c r="C588" s="188" t="n">
        <v>46053.0802463366</v>
      </c>
      <c r="D588" s="189" t="s">
        <v>1039</v>
      </c>
      <c r="E588" s="189" t="s">
        <v>1040</v>
      </c>
      <c r="F588" s="189" t="s">
        <v>1040</v>
      </c>
      <c r="G588" s="189" t="s">
        <v>1041</v>
      </c>
      <c r="H588" s="188" t="n">
        <v>46050</v>
      </c>
      <c r="I588" s="189" t="s">
        <v>132</v>
      </c>
      <c r="J588" s="189" t="s">
        <v>128</v>
      </c>
      <c r="K588" s="189" t="s">
        <v>257</v>
      </c>
      <c r="L588" s="189" t="s">
        <v>144</v>
      </c>
      <c r="M588" s="189" t="s">
        <v>870</v>
      </c>
      <c r="N588" s="189" t="s">
        <v>1042</v>
      </c>
      <c r="O588" s="189" t="s">
        <v>278</v>
      </c>
      <c r="P588" s="189" t="s">
        <v>111</v>
      </c>
      <c r="Q588" s="189" t="s">
        <v>112</v>
      </c>
      <c r="R588" s="189" t="s">
        <v>21</v>
      </c>
      <c r="S588" s="189" t="s">
        <v>152</v>
      </c>
      <c r="T588" s="189" t="s">
        <v>121</v>
      </c>
      <c r="V588" s="189" t="s">
        <v>192</v>
      </c>
      <c r="W588" s="189" t="s">
        <v>168</v>
      </c>
      <c r="X588" s="189" t="s">
        <v>348</v>
      </c>
      <c r="Y588" s="189" t="s">
        <v>3069</v>
      </c>
      <c r="Z588" s="0" t="n">
        <v>2</v>
      </c>
      <c r="AA588" s="189" t="s">
        <v>3263</v>
      </c>
    </row>
    <row r="589" customFormat="false" ht="15" hidden="false" customHeight="false" outlineLevel="0" collapsed="false">
      <c r="A589" s="0" t="n">
        <v>119</v>
      </c>
      <c r="B589" s="188" t="n">
        <v>46113.2940025957</v>
      </c>
      <c r="C589" s="188" t="n">
        <v>46113.3142803735</v>
      </c>
      <c r="D589" s="189" t="s">
        <v>1045</v>
      </c>
      <c r="E589" s="189" t="s">
        <v>1046</v>
      </c>
      <c r="F589" s="189" t="s">
        <v>1047</v>
      </c>
      <c r="G589" s="189" t="s">
        <v>1048</v>
      </c>
      <c r="H589" s="188" t="n">
        <v>46112</v>
      </c>
      <c r="I589" s="189" t="s">
        <v>113</v>
      </c>
      <c r="J589" s="189" t="s">
        <v>295</v>
      </c>
      <c r="K589" s="189" t="s">
        <v>1049</v>
      </c>
      <c r="L589" s="189" t="s">
        <v>389</v>
      </c>
      <c r="M589" s="189" t="s">
        <v>212</v>
      </c>
      <c r="N589" s="189" t="s">
        <v>1050</v>
      </c>
      <c r="O589" s="189" t="s">
        <v>781</v>
      </c>
      <c r="P589" s="189" t="s">
        <v>131</v>
      </c>
      <c r="Q589" s="189" t="s">
        <v>112</v>
      </c>
      <c r="R589" s="189" t="s">
        <v>22</v>
      </c>
      <c r="S589" s="189" t="s">
        <v>152</v>
      </c>
      <c r="T589" s="189" t="s">
        <v>121</v>
      </c>
      <c r="U589" s="189" t="s">
        <v>452</v>
      </c>
      <c r="V589" s="189" t="s">
        <v>192</v>
      </c>
      <c r="W589" s="189" t="s">
        <v>124</v>
      </c>
      <c r="X589" s="189" t="s">
        <v>135</v>
      </c>
      <c r="Y589" s="189" t="s">
        <v>3064</v>
      </c>
      <c r="Z589" s="0" t="n">
        <v>1</v>
      </c>
      <c r="AA589" s="189" t="s">
        <v>3202</v>
      </c>
    </row>
    <row r="590" customFormat="false" ht="15" hidden="false" customHeight="false" outlineLevel="0" collapsed="false">
      <c r="A590" s="0" t="n">
        <v>119</v>
      </c>
      <c r="B590" s="188" t="n">
        <v>46113.2940025957</v>
      </c>
      <c r="C590" s="188" t="n">
        <v>46113.3142803735</v>
      </c>
      <c r="D590" s="189" t="s">
        <v>1045</v>
      </c>
      <c r="E590" s="189" t="s">
        <v>1046</v>
      </c>
      <c r="F590" s="189" t="s">
        <v>1047</v>
      </c>
      <c r="G590" s="189" t="s">
        <v>1048</v>
      </c>
      <c r="H590" s="188" t="n">
        <v>46112</v>
      </c>
      <c r="I590" s="189" t="s">
        <v>113</v>
      </c>
      <c r="J590" s="189" t="s">
        <v>295</v>
      </c>
      <c r="K590" s="189" t="s">
        <v>1049</v>
      </c>
      <c r="L590" s="189" t="s">
        <v>389</v>
      </c>
      <c r="M590" s="189" t="s">
        <v>212</v>
      </c>
      <c r="N590" s="189" t="s">
        <v>1050</v>
      </c>
      <c r="O590" s="189" t="s">
        <v>781</v>
      </c>
      <c r="P590" s="189" t="s">
        <v>131</v>
      </c>
      <c r="Q590" s="189" t="s">
        <v>112</v>
      </c>
      <c r="R590" s="189" t="s">
        <v>22</v>
      </c>
      <c r="S590" s="189" t="s">
        <v>152</v>
      </c>
      <c r="T590" s="189" t="s">
        <v>121</v>
      </c>
      <c r="U590" s="189" t="s">
        <v>452</v>
      </c>
      <c r="V590" s="189" t="s">
        <v>192</v>
      </c>
      <c r="W590" s="189" t="s">
        <v>124</v>
      </c>
      <c r="X590" s="189" t="s">
        <v>135</v>
      </c>
      <c r="Y590" s="189" t="s">
        <v>3064</v>
      </c>
      <c r="Z590" s="0" t="n">
        <v>2</v>
      </c>
      <c r="AA590" s="189" t="s">
        <v>3071</v>
      </c>
    </row>
    <row r="591" customFormat="false" ht="15" hidden="false" customHeight="false" outlineLevel="0" collapsed="false">
      <c r="A591" s="0" t="n">
        <v>119</v>
      </c>
      <c r="B591" s="188" t="n">
        <v>46113.2940025957</v>
      </c>
      <c r="C591" s="188" t="n">
        <v>46113.3142803735</v>
      </c>
      <c r="D591" s="189" t="s">
        <v>1045</v>
      </c>
      <c r="E591" s="189" t="s">
        <v>1046</v>
      </c>
      <c r="F591" s="189" t="s">
        <v>1047</v>
      </c>
      <c r="G591" s="189" t="s">
        <v>1048</v>
      </c>
      <c r="H591" s="188" t="n">
        <v>46112</v>
      </c>
      <c r="I591" s="189" t="s">
        <v>113</v>
      </c>
      <c r="J591" s="189" t="s">
        <v>295</v>
      </c>
      <c r="K591" s="189" t="s">
        <v>1049</v>
      </c>
      <c r="L591" s="189" t="s">
        <v>389</v>
      </c>
      <c r="M591" s="189" t="s">
        <v>212</v>
      </c>
      <c r="N591" s="189" t="s">
        <v>1050</v>
      </c>
      <c r="O591" s="189" t="s">
        <v>781</v>
      </c>
      <c r="P591" s="189" t="s">
        <v>131</v>
      </c>
      <c r="Q591" s="189" t="s">
        <v>112</v>
      </c>
      <c r="R591" s="189" t="s">
        <v>22</v>
      </c>
      <c r="S591" s="189" t="s">
        <v>152</v>
      </c>
      <c r="T591" s="189" t="s">
        <v>121</v>
      </c>
      <c r="U591" s="189" t="s">
        <v>452</v>
      </c>
      <c r="V591" s="189" t="s">
        <v>192</v>
      </c>
      <c r="W591" s="189" t="s">
        <v>124</v>
      </c>
      <c r="X591" s="189" t="s">
        <v>135</v>
      </c>
      <c r="Y591" s="189" t="s">
        <v>3064</v>
      </c>
      <c r="Z591" s="0" t="n">
        <v>3</v>
      </c>
      <c r="AA591" s="189" t="s">
        <v>3183</v>
      </c>
    </row>
    <row r="592" customFormat="false" ht="15" hidden="false" customHeight="false" outlineLevel="0" collapsed="false">
      <c r="A592" s="0" t="n">
        <v>119</v>
      </c>
      <c r="B592" s="188" t="n">
        <v>46113.2940025957</v>
      </c>
      <c r="C592" s="188" t="n">
        <v>46113.3142803735</v>
      </c>
      <c r="D592" s="189" t="s">
        <v>1045</v>
      </c>
      <c r="E592" s="189" t="s">
        <v>1046</v>
      </c>
      <c r="F592" s="189" t="s">
        <v>1047</v>
      </c>
      <c r="G592" s="189" t="s">
        <v>1048</v>
      </c>
      <c r="H592" s="188" t="n">
        <v>46112</v>
      </c>
      <c r="I592" s="189" t="s">
        <v>113</v>
      </c>
      <c r="J592" s="189" t="s">
        <v>295</v>
      </c>
      <c r="K592" s="189" t="s">
        <v>1049</v>
      </c>
      <c r="L592" s="189" t="s">
        <v>389</v>
      </c>
      <c r="M592" s="189" t="s">
        <v>212</v>
      </c>
      <c r="N592" s="189" t="s">
        <v>1050</v>
      </c>
      <c r="O592" s="189" t="s">
        <v>781</v>
      </c>
      <c r="P592" s="189" t="s">
        <v>131</v>
      </c>
      <c r="Q592" s="189" t="s">
        <v>112</v>
      </c>
      <c r="R592" s="189" t="s">
        <v>22</v>
      </c>
      <c r="S592" s="189" t="s">
        <v>152</v>
      </c>
      <c r="T592" s="189" t="s">
        <v>121</v>
      </c>
      <c r="U592" s="189" t="s">
        <v>452</v>
      </c>
      <c r="V592" s="189" t="s">
        <v>192</v>
      </c>
      <c r="W592" s="189" t="s">
        <v>124</v>
      </c>
      <c r="X592" s="189" t="s">
        <v>135</v>
      </c>
      <c r="Y592" s="189" t="s">
        <v>3066</v>
      </c>
      <c r="Z592" s="0" t="n">
        <v>1</v>
      </c>
      <c r="AA592" s="189" t="s">
        <v>3074</v>
      </c>
    </row>
    <row r="593" customFormat="false" ht="15" hidden="false" customHeight="false" outlineLevel="0" collapsed="false">
      <c r="A593" s="0" t="n">
        <v>119</v>
      </c>
      <c r="B593" s="188" t="n">
        <v>46113.2940025957</v>
      </c>
      <c r="C593" s="188" t="n">
        <v>46113.3142803735</v>
      </c>
      <c r="D593" s="189" t="s">
        <v>1045</v>
      </c>
      <c r="E593" s="189" t="s">
        <v>1046</v>
      </c>
      <c r="F593" s="189" t="s">
        <v>1047</v>
      </c>
      <c r="G593" s="189" t="s">
        <v>1048</v>
      </c>
      <c r="H593" s="188" t="n">
        <v>46112</v>
      </c>
      <c r="I593" s="189" t="s">
        <v>113</v>
      </c>
      <c r="J593" s="189" t="s">
        <v>295</v>
      </c>
      <c r="K593" s="189" t="s">
        <v>1049</v>
      </c>
      <c r="L593" s="189" t="s">
        <v>389</v>
      </c>
      <c r="M593" s="189" t="s">
        <v>212</v>
      </c>
      <c r="N593" s="189" t="s">
        <v>1050</v>
      </c>
      <c r="O593" s="189" t="s">
        <v>781</v>
      </c>
      <c r="P593" s="189" t="s">
        <v>131</v>
      </c>
      <c r="Q593" s="189" t="s">
        <v>112</v>
      </c>
      <c r="R593" s="189" t="s">
        <v>22</v>
      </c>
      <c r="S593" s="189" t="s">
        <v>152</v>
      </c>
      <c r="T593" s="189" t="s">
        <v>121</v>
      </c>
      <c r="U593" s="189" t="s">
        <v>452</v>
      </c>
      <c r="V593" s="189" t="s">
        <v>192</v>
      </c>
      <c r="W593" s="189" t="s">
        <v>124</v>
      </c>
      <c r="X593" s="189" t="s">
        <v>135</v>
      </c>
      <c r="Y593" s="189" t="s">
        <v>3066</v>
      </c>
      <c r="Z593" s="0" t="n">
        <v>2</v>
      </c>
      <c r="AA593" s="189" t="s">
        <v>3278</v>
      </c>
    </row>
    <row r="594" customFormat="false" ht="15" hidden="false" customHeight="false" outlineLevel="0" collapsed="false">
      <c r="A594" s="0" t="n">
        <v>119</v>
      </c>
      <c r="B594" s="188" t="n">
        <v>46113.2940025957</v>
      </c>
      <c r="C594" s="188" t="n">
        <v>46113.3142803735</v>
      </c>
      <c r="D594" s="189" t="s">
        <v>1045</v>
      </c>
      <c r="E594" s="189" t="s">
        <v>1046</v>
      </c>
      <c r="F594" s="189" t="s">
        <v>1047</v>
      </c>
      <c r="G594" s="189" t="s">
        <v>1048</v>
      </c>
      <c r="H594" s="188" t="n">
        <v>46112</v>
      </c>
      <c r="I594" s="189" t="s">
        <v>113</v>
      </c>
      <c r="J594" s="189" t="s">
        <v>295</v>
      </c>
      <c r="K594" s="189" t="s">
        <v>1049</v>
      </c>
      <c r="L594" s="189" t="s">
        <v>389</v>
      </c>
      <c r="M594" s="189" t="s">
        <v>212</v>
      </c>
      <c r="N594" s="189" t="s">
        <v>1050</v>
      </c>
      <c r="O594" s="189" t="s">
        <v>781</v>
      </c>
      <c r="P594" s="189" t="s">
        <v>131</v>
      </c>
      <c r="Q594" s="189" t="s">
        <v>112</v>
      </c>
      <c r="R594" s="189" t="s">
        <v>22</v>
      </c>
      <c r="S594" s="189" t="s">
        <v>152</v>
      </c>
      <c r="T594" s="189" t="s">
        <v>121</v>
      </c>
      <c r="U594" s="189" t="s">
        <v>452</v>
      </c>
      <c r="V594" s="189" t="s">
        <v>192</v>
      </c>
      <c r="W594" s="189" t="s">
        <v>124</v>
      </c>
      <c r="X594" s="189" t="s">
        <v>135</v>
      </c>
      <c r="Y594" s="189" t="s">
        <v>3069</v>
      </c>
      <c r="Z594" s="0" t="n">
        <v>1</v>
      </c>
      <c r="AA594" s="189" t="s">
        <v>3203</v>
      </c>
    </row>
    <row r="595" customFormat="false" ht="15" hidden="false" customHeight="false" outlineLevel="0" collapsed="false">
      <c r="A595" s="0" t="n">
        <v>119</v>
      </c>
      <c r="B595" s="188" t="n">
        <v>46113.2940025957</v>
      </c>
      <c r="C595" s="188" t="n">
        <v>46113.3142803735</v>
      </c>
      <c r="D595" s="189" t="s">
        <v>1045</v>
      </c>
      <c r="E595" s="189" t="s">
        <v>1046</v>
      </c>
      <c r="F595" s="189" t="s">
        <v>1047</v>
      </c>
      <c r="G595" s="189" t="s">
        <v>1048</v>
      </c>
      <c r="H595" s="188" t="n">
        <v>46112</v>
      </c>
      <c r="I595" s="189" t="s">
        <v>113</v>
      </c>
      <c r="J595" s="189" t="s">
        <v>295</v>
      </c>
      <c r="K595" s="189" t="s">
        <v>1049</v>
      </c>
      <c r="L595" s="189" t="s">
        <v>389</v>
      </c>
      <c r="M595" s="189" t="s">
        <v>212</v>
      </c>
      <c r="N595" s="189" t="s">
        <v>1050</v>
      </c>
      <c r="O595" s="189" t="s">
        <v>781</v>
      </c>
      <c r="P595" s="189" t="s">
        <v>131</v>
      </c>
      <c r="Q595" s="189" t="s">
        <v>112</v>
      </c>
      <c r="R595" s="189" t="s">
        <v>22</v>
      </c>
      <c r="S595" s="189" t="s">
        <v>152</v>
      </c>
      <c r="T595" s="189" t="s">
        <v>121</v>
      </c>
      <c r="U595" s="189" t="s">
        <v>452</v>
      </c>
      <c r="V595" s="189" t="s">
        <v>192</v>
      </c>
      <c r="W595" s="189" t="s">
        <v>124</v>
      </c>
      <c r="X595" s="189" t="s">
        <v>135</v>
      </c>
      <c r="Y595" s="189" t="s">
        <v>3069</v>
      </c>
      <c r="Z595" s="0" t="n">
        <v>2</v>
      </c>
      <c r="AA595" s="189" t="s">
        <v>3212</v>
      </c>
    </row>
    <row r="596" customFormat="false" ht="15" hidden="false" customHeight="false" outlineLevel="0" collapsed="false">
      <c r="A596" s="0" t="n">
        <v>120</v>
      </c>
      <c r="B596" s="188" t="n">
        <v>46084.7188729315</v>
      </c>
      <c r="C596" s="188" t="n">
        <v>46084.7282710796</v>
      </c>
      <c r="D596" s="189" t="s">
        <v>1054</v>
      </c>
      <c r="E596" s="189" t="s">
        <v>1055</v>
      </c>
      <c r="F596" s="189" t="s">
        <v>1055</v>
      </c>
      <c r="G596" s="189" t="s">
        <v>1056</v>
      </c>
      <c r="H596" s="188" t="n">
        <v>46065</v>
      </c>
      <c r="I596" s="189" t="s">
        <v>113</v>
      </c>
      <c r="J596" s="189" t="s">
        <v>295</v>
      </c>
      <c r="K596" s="189" t="s">
        <v>1057</v>
      </c>
      <c r="L596" s="189" t="s">
        <v>491</v>
      </c>
      <c r="M596" s="189" t="s">
        <v>484</v>
      </c>
      <c r="N596" s="189" t="s">
        <v>347</v>
      </c>
      <c r="O596" s="189" t="s">
        <v>107</v>
      </c>
      <c r="P596" s="189" t="s">
        <v>111</v>
      </c>
      <c r="Q596" s="189" t="s">
        <v>112</v>
      </c>
      <c r="R596" s="189" t="s">
        <v>24</v>
      </c>
      <c r="S596" s="189" t="s">
        <v>152</v>
      </c>
      <c r="T596" s="189" t="s">
        <v>228</v>
      </c>
      <c r="V596" s="189" t="s">
        <v>192</v>
      </c>
      <c r="W596" s="189" t="s">
        <v>124</v>
      </c>
      <c r="X596" s="189" t="s">
        <v>19</v>
      </c>
      <c r="Y596" s="189" t="s">
        <v>3172</v>
      </c>
      <c r="Z596" s="0" t="n">
        <v>1</v>
      </c>
      <c r="AA596" s="189" t="s">
        <v>880</v>
      </c>
    </row>
    <row r="597" customFormat="false" ht="15" hidden="false" customHeight="false" outlineLevel="0" collapsed="false">
      <c r="A597" s="0" t="n">
        <v>121</v>
      </c>
      <c r="B597" s="188" t="n">
        <v>46039.0472124819</v>
      </c>
      <c r="C597" s="188" t="n">
        <v>46039.0551870189</v>
      </c>
      <c r="D597" s="189" t="s">
        <v>1058</v>
      </c>
      <c r="E597" s="189" t="s">
        <v>1059</v>
      </c>
      <c r="F597" s="189" t="s">
        <v>1059</v>
      </c>
      <c r="G597" s="189" t="s">
        <v>1060</v>
      </c>
      <c r="H597" s="188" t="n">
        <v>46022</v>
      </c>
      <c r="I597" s="189" t="s">
        <v>113</v>
      </c>
      <c r="J597" s="189" t="s">
        <v>108</v>
      </c>
      <c r="K597" s="189" t="s">
        <v>1061</v>
      </c>
      <c r="L597" s="189" t="s">
        <v>296</v>
      </c>
      <c r="M597" s="189" t="s">
        <v>973</v>
      </c>
      <c r="N597" s="189" t="s">
        <v>595</v>
      </c>
      <c r="O597" s="189" t="s">
        <v>244</v>
      </c>
      <c r="P597" s="189" t="s">
        <v>111</v>
      </c>
      <c r="Q597" s="189" t="s">
        <v>112</v>
      </c>
      <c r="R597" s="189" t="s">
        <v>22</v>
      </c>
      <c r="S597" s="189" t="s">
        <v>120</v>
      </c>
      <c r="T597" s="189" t="s">
        <v>180</v>
      </c>
      <c r="U597" s="189" t="s">
        <v>1063</v>
      </c>
      <c r="V597" s="189" t="s">
        <v>167</v>
      </c>
      <c r="W597" s="189" t="s">
        <v>124</v>
      </c>
      <c r="X597" s="189" t="s">
        <v>381</v>
      </c>
      <c r="Y597" s="189" t="s">
        <v>3064</v>
      </c>
      <c r="Z597" s="0" t="n">
        <v>1</v>
      </c>
      <c r="AA597" s="189" t="s">
        <v>3159</v>
      </c>
    </row>
    <row r="598" customFormat="false" ht="15" hidden="false" customHeight="false" outlineLevel="0" collapsed="false">
      <c r="A598" s="0" t="n">
        <v>121</v>
      </c>
      <c r="B598" s="188" t="n">
        <v>46039.0472124819</v>
      </c>
      <c r="C598" s="188" t="n">
        <v>46039.0551870189</v>
      </c>
      <c r="D598" s="189" t="s">
        <v>1058</v>
      </c>
      <c r="E598" s="189" t="s">
        <v>1059</v>
      </c>
      <c r="F598" s="189" t="s">
        <v>1059</v>
      </c>
      <c r="G598" s="189" t="s">
        <v>1060</v>
      </c>
      <c r="H598" s="188" t="n">
        <v>46022</v>
      </c>
      <c r="I598" s="189" t="s">
        <v>113</v>
      </c>
      <c r="J598" s="189" t="s">
        <v>108</v>
      </c>
      <c r="K598" s="189" t="s">
        <v>1061</v>
      </c>
      <c r="L598" s="189" t="s">
        <v>296</v>
      </c>
      <c r="M598" s="189" t="s">
        <v>973</v>
      </c>
      <c r="N598" s="189" t="s">
        <v>595</v>
      </c>
      <c r="O598" s="189" t="s">
        <v>244</v>
      </c>
      <c r="P598" s="189" t="s">
        <v>111</v>
      </c>
      <c r="Q598" s="189" t="s">
        <v>112</v>
      </c>
      <c r="R598" s="189" t="s">
        <v>22</v>
      </c>
      <c r="S598" s="189" t="s">
        <v>120</v>
      </c>
      <c r="T598" s="189" t="s">
        <v>180</v>
      </c>
      <c r="U598" s="189" t="s">
        <v>1063</v>
      </c>
      <c r="V598" s="189" t="s">
        <v>167</v>
      </c>
      <c r="W598" s="189" t="s">
        <v>124</v>
      </c>
      <c r="X598" s="189" t="s">
        <v>381</v>
      </c>
      <c r="Y598" s="189" t="s">
        <v>3064</v>
      </c>
      <c r="Z598" s="0" t="n">
        <v>2</v>
      </c>
      <c r="AA598" s="189" t="s">
        <v>3233</v>
      </c>
    </row>
    <row r="599" customFormat="false" ht="15" hidden="false" customHeight="false" outlineLevel="0" collapsed="false">
      <c r="A599" s="0" t="n">
        <v>121</v>
      </c>
      <c r="B599" s="188" t="n">
        <v>46039.0472124819</v>
      </c>
      <c r="C599" s="188" t="n">
        <v>46039.0551870189</v>
      </c>
      <c r="D599" s="189" t="s">
        <v>1058</v>
      </c>
      <c r="E599" s="189" t="s">
        <v>1059</v>
      </c>
      <c r="F599" s="189" t="s">
        <v>1059</v>
      </c>
      <c r="G599" s="189" t="s">
        <v>1060</v>
      </c>
      <c r="H599" s="188" t="n">
        <v>46022</v>
      </c>
      <c r="I599" s="189" t="s">
        <v>113</v>
      </c>
      <c r="J599" s="189" t="s">
        <v>108</v>
      </c>
      <c r="K599" s="189" t="s">
        <v>1061</v>
      </c>
      <c r="L599" s="189" t="s">
        <v>296</v>
      </c>
      <c r="M599" s="189" t="s">
        <v>973</v>
      </c>
      <c r="N599" s="189" t="s">
        <v>595</v>
      </c>
      <c r="O599" s="189" t="s">
        <v>244</v>
      </c>
      <c r="P599" s="189" t="s">
        <v>111</v>
      </c>
      <c r="Q599" s="189" t="s">
        <v>112</v>
      </c>
      <c r="R599" s="189" t="s">
        <v>22</v>
      </c>
      <c r="S599" s="189" t="s">
        <v>120</v>
      </c>
      <c r="T599" s="189" t="s">
        <v>180</v>
      </c>
      <c r="U599" s="189" t="s">
        <v>1063</v>
      </c>
      <c r="V599" s="189" t="s">
        <v>167</v>
      </c>
      <c r="W599" s="189" t="s">
        <v>124</v>
      </c>
      <c r="X599" s="189" t="s">
        <v>381</v>
      </c>
      <c r="Y599" s="189" t="s">
        <v>3064</v>
      </c>
      <c r="Z599" s="0" t="n">
        <v>3</v>
      </c>
      <c r="AA599" s="189" t="s">
        <v>3249</v>
      </c>
    </row>
    <row r="600" customFormat="false" ht="15" hidden="false" customHeight="false" outlineLevel="0" collapsed="false">
      <c r="A600" s="0" t="n">
        <v>121</v>
      </c>
      <c r="B600" s="188" t="n">
        <v>46039.0472124819</v>
      </c>
      <c r="C600" s="188" t="n">
        <v>46039.0551870189</v>
      </c>
      <c r="D600" s="189" t="s">
        <v>1058</v>
      </c>
      <c r="E600" s="189" t="s">
        <v>1059</v>
      </c>
      <c r="F600" s="189" t="s">
        <v>1059</v>
      </c>
      <c r="G600" s="189" t="s">
        <v>1060</v>
      </c>
      <c r="H600" s="188" t="n">
        <v>46022</v>
      </c>
      <c r="I600" s="189" t="s">
        <v>113</v>
      </c>
      <c r="J600" s="189" t="s">
        <v>108</v>
      </c>
      <c r="K600" s="189" t="s">
        <v>1061</v>
      </c>
      <c r="L600" s="189" t="s">
        <v>296</v>
      </c>
      <c r="M600" s="189" t="s">
        <v>973</v>
      </c>
      <c r="N600" s="189" t="s">
        <v>595</v>
      </c>
      <c r="O600" s="189" t="s">
        <v>244</v>
      </c>
      <c r="P600" s="189" t="s">
        <v>111</v>
      </c>
      <c r="Q600" s="189" t="s">
        <v>112</v>
      </c>
      <c r="R600" s="189" t="s">
        <v>22</v>
      </c>
      <c r="S600" s="189" t="s">
        <v>120</v>
      </c>
      <c r="T600" s="189" t="s">
        <v>180</v>
      </c>
      <c r="U600" s="189" t="s">
        <v>1063</v>
      </c>
      <c r="V600" s="189" t="s">
        <v>167</v>
      </c>
      <c r="W600" s="189" t="s">
        <v>124</v>
      </c>
      <c r="X600" s="189" t="s">
        <v>381</v>
      </c>
      <c r="Y600" s="189" t="s">
        <v>3066</v>
      </c>
      <c r="Z600" s="0" t="n">
        <v>1</v>
      </c>
      <c r="AA600" s="189" t="s">
        <v>3250</v>
      </c>
    </row>
    <row r="601" customFormat="false" ht="15" hidden="false" customHeight="false" outlineLevel="0" collapsed="false">
      <c r="A601" s="0" t="n">
        <v>121</v>
      </c>
      <c r="B601" s="188" t="n">
        <v>46039.0472124819</v>
      </c>
      <c r="C601" s="188" t="n">
        <v>46039.0551870189</v>
      </c>
      <c r="D601" s="189" t="s">
        <v>1058</v>
      </c>
      <c r="E601" s="189" t="s">
        <v>1059</v>
      </c>
      <c r="F601" s="189" t="s">
        <v>1059</v>
      </c>
      <c r="G601" s="189" t="s">
        <v>1060</v>
      </c>
      <c r="H601" s="188" t="n">
        <v>46022</v>
      </c>
      <c r="I601" s="189" t="s">
        <v>113</v>
      </c>
      <c r="J601" s="189" t="s">
        <v>108</v>
      </c>
      <c r="K601" s="189" t="s">
        <v>1061</v>
      </c>
      <c r="L601" s="189" t="s">
        <v>296</v>
      </c>
      <c r="M601" s="189" t="s">
        <v>973</v>
      </c>
      <c r="N601" s="189" t="s">
        <v>595</v>
      </c>
      <c r="O601" s="189" t="s">
        <v>244</v>
      </c>
      <c r="P601" s="189" t="s">
        <v>111</v>
      </c>
      <c r="Q601" s="189" t="s">
        <v>112</v>
      </c>
      <c r="R601" s="189" t="s">
        <v>22</v>
      </c>
      <c r="S601" s="189" t="s">
        <v>120</v>
      </c>
      <c r="T601" s="189" t="s">
        <v>180</v>
      </c>
      <c r="U601" s="189" t="s">
        <v>1063</v>
      </c>
      <c r="V601" s="189" t="s">
        <v>167</v>
      </c>
      <c r="W601" s="189" t="s">
        <v>124</v>
      </c>
      <c r="X601" s="189" t="s">
        <v>381</v>
      </c>
      <c r="Y601" s="189" t="s">
        <v>3066</v>
      </c>
      <c r="Z601" s="0" t="n">
        <v>2</v>
      </c>
      <c r="AA601" s="189" t="s">
        <v>3160</v>
      </c>
    </row>
    <row r="602" customFormat="false" ht="15" hidden="false" customHeight="false" outlineLevel="0" collapsed="false">
      <c r="A602" s="0" t="n">
        <v>121</v>
      </c>
      <c r="B602" s="188" t="n">
        <v>46039.0472124819</v>
      </c>
      <c r="C602" s="188" t="n">
        <v>46039.0551870189</v>
      </c>
      <c r="D602" s="189" t="s">
        <v>1058</v>
      </c>
      <c r="E602" s="189" t="s">
        <v>1059</v>
      </c>
      <c r="F602" s="189" t="s">
        <v>1059</v>
      </c>
      <c r="G602" s="189" t="s">
        <v>1060</v>
      </c>
      <c r="H602" s="188" t="n">
        <v>46022</v>
      </c>
      <c r="I602" s="189" t="s">
        <v>113</v>
      </c>
      <c r="J602" s="189" t="s">
        <v>108</v>
      </c>
      <c r="K602" s="189" t="s">
        <v>1061</v>
      </c>
      <c r="L602" s="189" t="s">
        <v>296</v>
      </c>
      <c r="M602" s="189" t="s">
        <v>973</v>
      </c>
      <c r="N602" s="189" t="s">
        <v>595</v>
      </c>
      <c r="O602" s="189" t="s">
        <v>244</v>
      </c>
      <c r="P602" s="189" t="s">
        <v>111</v>
      </c>
      <c r="Q602" s="189" t="s">
        <v>112</v>
      </c>
      <c r="R602" s="189" t="s">
        <v>22</v>
      </c>
      <c r="S602" s="189" t="s">
        <v>120</v>
      </c>
      <c r="T602" s="189" t="s">
        <v>180</v>
      </c>
      <c r="U602" s="189" t="s">
        <v>1063</v>
      </c>
      <c r="V602" s="189" t="s">
        <v>167</v>
      </c>
      <c r="W602" s="189" t="s">
        <v>124</v>
      </c>
      <c r="X602" s="189" t="s">
        <v>381</v>
      </c>
      <c r="Y602" s="189" t="s">
        <v>3069</v>
      </c>
      <c r="Z602" s="0" t="n">
        <v>1</v>
      </c>
      <c r="AA602" s="189" t="s">
        <v>3181</v>
      </c>
    </row>
    <row r="603" customFormat="false" ht="15" hidden="false" customHeight="false" outlineLevel="0" collapsed="false">
      <c r="A603" s="0" t="n">
        <v>122</v>
      </c>
      <c r="B603" s="188" t="n">
        <v>46179.4292506572</v>
      </c>
      <c r="C603" s="188" t="n">
        <v>46179.443915009</v>
      </c>
      <c r="D603" s="189" t="s">
        <v>1064</v>
      </c>
      <c r="E603" s="189" t="s">
        <v>1065</v>
      </c>
      <c r="F603" s="189" t="s">
        <v>1065</v>
      </c>
      <c r="G603" s="189" t="s">
        <v>1066</v>
      </c>
      <c r="H603" s="188" t="n">
        <v>46164</v>
      </c>
      <c r="I603" s="189" t="s">
        <v>113</v>
      </c>
      <c r="J603" s="189" t="s">
        <v>108</v>
      </c>
      <c r="K603" s="189" t="s">
        <v>462</v>
      </c>
      <c r="L603" s="189" t="s">
        <v>184</v>
      </c>
      <c r="M603" s="189" t="s">
        <v>864</v>
      </c>
      <c r="N603" s="189" t="s">
        <v>1067</v>
      </c>
      <c r="O603" s="189" t="s">
        <v>278</v>
      </c>
      <c r="P603" s="189" t="s">
        <v>111</v>
      </c>
      <c r="Q603" s="189" t="s">
        <v>112</v>
      </c>
      <c r="R603" s="189" t="s">
        <v>22</v>
      </c>
      <c r="S603" s="189" t="s">
        <v>152</v>
      </c>
      <c r="T603" s="189" t="s">
        <v>121</v>
      </c>
      <c r="U603" s="189" t="s">
        <v>1070</v>
      </c>
      <c r="V603" s="189" t="s">
        <v>123</v>
      </c>
      <c r="W603" s="189" t="s">
        <v>168</v>
      </c>
      <c r="X603" s="189" t="s">
        <v>271</v>
      </c>
      <c r="Y603" s="189" t="s">
        <v>3064</v>
      </c>
      <c r="Z603" s="0" t="n">
        <v>1</v>
      </c>
      <c r="AA603" s="189" t="s">
        <v>3115</v>
      </c>
    </row>
    <row r="604" customFormat="false" ht="15" hidden="false" customHeight="false" outlineLevel="0" collapsed="false">
      <c r="A604" s="0" t="n">
        <v>122</v>
      </c>
      <c r="B604" s="188" t="n">
        <v>46179.4292506572</v>
      </c>
      <c r="C604" s="188" t="n">
        <v>46179.443915009</v>
      </c>
      <c r="D604" s="189" t="s">
        <v>1064</v>
      </c>
      <c r="E604" s="189" t="s">
        <v>1065</v>
      </c>
      <c r="F604" s="189" t="s">
        <v>1065</v>
      </c>
      <c r="G604" s="189" t="s">
        <v>1066</v>
      </c>
      <c r="H604" s="188" t="n">
        <v>46164</v>
      </c>
      <c r="I604" s="189" t="s">
        <v>113</v>
      </c>
      <c r="J604" s="189" t="s">
        <v>108</v>
      </c>
      <c r="K604" s="189" t="s">
        <v>462</v>
      </c>
      <c r="L604" s="189" t="s">
        <v>184</v>
      </c>
      <c r="M604" s="189" t="s">
        <v>864</v>
      </c>
      <c r="N604" s="189" t="s">
        <v>1067</v>
      </c>
      <c r="O604" s="189" t="s">
        <v>278</v>
      </c>
      <c r="P604" s="189" t="s">
        <v>111</v>
      </c>
      <c r="Q604" s="189" t="s">
        <v>112</v>
      </c>
      <c r="R604" s="189" t="s">
        <v>22</v>
      </c>
      <c r="S604" s="189" t="s">
        <v>152</v>
      </c>
      <c r="T604" s="189" t="s">
        <v>121</v>
      </c>
      <c r="U604" s="189" t="s">
        <v>1070</v>
      </c>
      <c r="V604" s="189" t="s">
        <v>123</v>
      </c>
      <c r="W604" s="189" t="s">
        <v>168</v>
      </c>
      <c r="X604" s="189" t="s">
        <v>271</v>
      </c>
      <c r="Y604" s="189" t="s">
        <v>3064</v>
      </c>
      <c r="Z604" s="0" t="n">
        <v>2</v>
      </c>
      <c r="AA604" s="189" t="s">
        <v>3114</v>
      </c>
    </row>
    <row r="605" customFormat="false" ht="15" hidden="false" customHeight="false" outlineLevel="0" collapsed="false">
      <c r="A605" s="0" t="n">
        <v>122</v>
      </c>
      <c r="B605" s="188" t="n">
        <v>46179.4292506572</v>
      </c>
      <c r="C605" s="188" t="n">
        <v>46179.443915009</v>
      </c>
      <c r="D605" s="189" t="s">
        <v>1064</v>
      </c>
      <c r="E605" s="189" t="s">
        <v>1065</v>
      </c>
      <c r="F605" s="189" t="s">
        <v>1065</v>
      </c>
      <c r="G605" s="189" t="s">
        <v>1066</v>
      </c>
      <c r="H605" s="188" t="n">
        <v>46164</v>
      </c>
      <c r="I605" s="189" t="s">
        <v>113</v>
      </c>
      <c r="J605" s="189" t="s">
        <v>108</v>
      </c>
      <c r="K605" s="189" t="s">
        <v>462</v>
      </c>
      <c r="L605" s="189" t="s">
        <v>184</v>
      </c>
      <c r="M605" s="189" t="s">
        <v>864</v>
      </c>
      <c r="N605" s="189" t="s">
        <v>1067</v>
      </c>
      <c r="O605" s="189" t="s">
        <v>278</v>
      </c>
      <c r="P605" s="189" t="s">
        <v>111</v>
      </c>
      <c r="Q605" s="189" t="s">
        <v>112</v>
      </c>
      <c r="R605" s="189" t="s">
        <v>22</v>
      </c>
      <c r="S605" s="189" t="s">
        <v>152</v>
      </c>
      <c r="T605" s="189" t="s">
        <v>121</v>
      </c>
      <c r="U605" s="189" t="s">
        <v>1070</v>
      </c>
      <c r="V605" s="189" t="s">
        <v>123</v>
      </c>
      <c r="W605" s="189" t="s">
        <v>168</v>
      </c>
      <c r="X605" s="189" t="s">
        <v>271</v>
      </c>
      <c r="Y605" s="189" t="s">
        <v>3064</v>
      </c>
      <c r="Z605" s="0" t="n">
        <v>3</v>
      </c>
      <c r="AA605" s="189" t="s">
        <v>3135</v>
      </c>
    </row>
    <row r="606" customFormat="false" ht="15" hidden="false" customHeight="false" outlineLevel="0" collapsed="false">
      <c r="A606" s="0" t="n">
        <v>122</v>
      </c>
      <c r="B606" s="188" t="n">
        <v>46179.4292506572</v>
      </c>
      <c r="C606" s="188" t="n">
        <v>46179.443915009</v>
      </c>
      <c r="D606" s="189" t="s">
        <v>1064</v>
      </c>
      <c r="E606" s="189" t="s">
        <v>1065</v>
      </c>
      <c r="F606" s="189" t="s">
        <v>1065</v>
      </c>
      <c r="G606" s="189" t="s">
        <v>1066</v>
      </c>
      <c r="H606" s="188" t="n">
        <v>46164</v>
      </c>
      <c r="I606" s="189" t="s">
        <v>113</v>
      </c>
      <c r="J606" s="189" t="s">
        <v>108</v>
      </c>
      <c r="K606" s="189" t="s">
        <v>462</v>
      </c>
      <c r="L606" s="189" t="s">
        <v>184</v>
      </c>
      <c r="M606" s="189" t="s">
        <v>864</v>
      </c>
      <c r="N606" s="189" t="s">
        <v>1067</v>
      </c>
      <c r="O606" s="189" t="s">
        <v>278</v>
      </c>
      <c r="P606" s="189" t="s">
        <v>111</v>
      </c>
      <c r="Q606" s="189" t="s">
        <v>112</v>
      </c>
      <c r="R606" s="189" t="s">
        <v>22</v>
      </c>
      <c r="S606" s="189" t="s">
        <v>152</v>
      </c>
      <c r="T606" s="189" t="s">
        <v>121</v>
      </c>
      <c r="U606" s="189" t="s">
        <v>1070</v>
      </c>
      <c r="V606" s="189" t="s">
        <v>123</v>
      </c>
      <c r="W606" s="189" t="s">
        <v>168</v>
      </c>
      <c r="X606" s="189" t="s">
        <v>271</v>
      </c>
      <c r="Y606" s="189" t="s">
        <v>3066</v>
      </c>
      <c r="Z606" s="0" t="n">
        <v>1</v>
      </c>
      <c r="AA606" s="189" t="s">
        <v>3117</v>
      </c>
    </row>
    <row r="607" customFormat="false" ht="15" hidden="false" customHeight="false" outlineLevel="0" collapsed="false">
      <c r="A607" s="0" t="n">
        <v>122</v>
      </c>
      <c r="B607" s="188" t="n">
        <v>46179.4292506572</v>
      </c>
      <c r="C607" s="188" t="n">
        <v>46179.443915009</v>
      </c>
      <c r="D607" s="189" t="s">
        <v>1064</v>
      </c>
      <c r="E607" s="189" t="s">
        <v>1065</v>
      </c>
      <c r="F607" s="189" t="s">
        <v>1065</v>
      </c>
      <c r="G607" s="189" t="s">
        <v>1066</v>
      </c>
      <c r="H607" s="188" t="n">
        <v>46164</v>
      </c>
      <c r="I607" s="189" t="s">
        <v>113</v>
      </c>
      <c r="J607" s="189" t="s">
        <v>108</v>
      </c>
      <c r="K607" s="189" t="s">
        <v>462</v>
      </c>
      <c r="L607" s="189" t="s">
        <v>184</v>
      </c>
      <c r="M607" s="189" t="s">
        <v>864</v>
      </c>
      <c r="N607" s="189" t="s">
        <v>1067</v>
      </c>
      <c r="O607" s="189" t="s">
        <v>278</v>
      </c>
      <c r="P607" s="189" t="s">
        <v>111</v>
      </c>
      <c r="Q607" s="189" t="s">
        <v>112</v>
      </c>
      <c r="R607" s="189" t="s">
        <v>22</v>
      </c>
      <c r="S607" s="189" t="s">
        <v>152</v>
      </c>
      <c r="T607" s="189" t="s">
        <v>121</v>
      </c>
      <c r="U607" s="189" t="s">
        <v>1070</v>
      </c>
      <c r="V607" s="189" t="s">
        <v>123</v>
      </c>
      <c r="W607" s="189" t="s">
        <v>168</v>
      </c>
      <c r="X607" s="189" t="s">
        <v>271</v>
      </c>
      <c r="Y607" s="189" t="s">
        <v>3066</v>
      </c>
      <c r="Z607" s="0" t="n">
        <v>2</v>
      </c>
      <c r="AA607" s="189" t="s">
        <v>3266</v>
      </c>
    </row>
    <row r="608" customFormat="false" ht="15" hidden="false" customHeight="false" outlineLevel="0" collapsed="false">
      <c r="A608" s="0" t="n">
        <v>122</v>
      </c>
      <c r="B608" s="188" t="n">
        <v>46179.4292506572</v>
      </c>
      <c r="C608" s="188" t="n">
        <v>46179.443915009</v>
      </c>
      <c r="D608" s="189" t="s">
        <v>1064</v>
      </c>
      <c r="E608" s="189" t="s">
        <v>1065</v>
      </c>
      <c r="F608" s="189" t="s">
        <v>1065</v>
      </c>
      <c r="G608" s="189" t="s">
        <v>1066</v>
      </c>
      <c r="H608" s="188" t="n">
        <v>46164</v>
      </c>
      <c r="I608" s="189" t="s">
        <v>113</v>
      </c>
      <c r="J608" s="189" t="s">
        <v>108</v>
      </c>
      <c r="K608" s="189" t="s">
        <v>462</v>
      </c>
      <c r="L608" s="189" t="s">
        <v>184</v>
      </c>
      <c r="M608" s="189" t="s">
        <v>864</v>
      </c>
      <c r="N608" s="189" t="s">
        <v>1067</v>
      </c>
      <c r="O608" s="189" t="s">
        <v>278</v>
      </c>
      <c r="P608" s="189" t="s">
        <v>111</v>
      </c>
      <c r="Q608" s="189" t="s">
        <v>112</v>
      </c>
      <c r="R608" s="189" t="s">
        <v>22</v>
      </c>
      <c r="S608" s="189" t="s">
        <v>152</v>
      </c>
      <c r="T608" s="189" t="s">
        <v>121</v>
      </c>
      <c r="U608" s="189" t="s">
        <v>1070</v>
      </c>
      <c r="V608" s="189" t="s">
        <v>123</v>
      </c>
      <c r="W608" s="189" t="s">
        <v>168</v>
      </c>
      <c r="X608" s="189" t="s">
        <v>271</v>
      </c>
      <c r="Y608" s="189" t="s">
        <v>3069</v>
      </c>
      <c r="Z608" s="0" t="n">
        <v>1</v>
      </c>
      <c r="AA608" s="189" t="s">
        <v>3119</v>
      </c>
    </row>
    <row r="609" customFormat="false" ht="15" hidden="false" customHeight="false" outlineLevel="0" collapsed="false">
      <c r="A609" s="0" t="n">
        <v>123</v>
      </c>
      <c r="B609" s="188" t="n">
        <v>46135.2518673048</v>
      </c>
      <c r="C609" s="188" t="n">
        <v>46135.2543557307</v>
      </c>
      <c r="D609" s="189" t="s">
        <v>1071</v>
      </c>
      <c r="E609" s="189" t="s">
        <v>1072</v>
      </c>
      <c r="F609" s="189" t="s">
        <v>1072</v>
      </c>
      <c r="G609" s="189" t="s">
        <v>1073</v>
      </c>
      <c r="H609" s="188" t="n">
        <v>46117</v>
      </c>
      <c r="I609" s="189" t="s">
        <v>113</v>
      </c>
      <c r="J609" s="189" t="s">
        <v>128</v>
      </c>
      <c r="K609" s="189" t="s">
        <v>364</v>
      </c>
      <c r="L609" s="189" t="s">
        <v>389</v>
      </c>
      <c r="M609" s="189" t="s">
        <v>1074</v>
      </c>
      <c r="N609" s="189" t="s">
        <v>638</v>
      </c>
      <c r="O609" s="189" t="s">
        <v>107</v>
      </c>
      <c r="P609" s="189" t="s">
        <v>111</v>
      </c>
      <c r="Q609" s="189" t="s">
        <v>145</v>
      </c>
      <c r="R609" s="189" t="s">
        <v>22</v>
      </c>
      <c r="S609" s="189" t="s">
        <v>120</v>
      </c>
      <c r="T609" s="189" t="s">
        <v>180</v>
      </c>
      <c r="U609" s="189" t="s">
        <v>122</v>
      </c>
      <c r="V609" s="189" t="s">
        <v>123</v>
      </c>
      <c r="W609" s="189" t="s">
        <v>124</v>
      </c>
      <c r="X609" s="189" t="s">
        <v>116</v>
      </c>
      <c r="Y609" s="189" t="s">
        <v>3064</v>
      </c>
      <c r="Z609" s="0" t="n">
        <v>1</v>
      </c>
      <c r="AA609" s="189" t="s">
        <v>3065</v>
      </c>
    </row>
    <row r="610" customFormat="false" ht="15" hidden="false" customHeight="false" outlineLevel="0" collapsed="false">
      <c r="A610" s="0" t="n">
        <v>123</v>
      </c>
      <c r="B610" s="188" t="n">
        <v>46135.2518673048</v>
      </c>
      <c r="C610" s="188" t="n">
        <v>46135.2543557307</v>
      </c>
      <c r="D610" s="189" t="s">
        <v>1071</v>
      </c>
      <c r="E610" s="189" t="s">
        <v>1072</v>
      </c>
      <c r="F610" s="189" t="s">
        <v>1072</v>
      </c>
      <c r="G610" s="189" t="s">
        <v>1073</v>
      </c>
      <c r="H610" s="188" t="n">
        <v>46117</v>
      </c>
      <c r="I610" s="189" t="s">
        <v>113</v>
      </c>
      <c r="J610" s="189" t="s">
        <v>128</v>
      </c>
      <c r="K610" s="189" t="s">
        <v>364</v>
      </c>
      <c r="L610" s="189" t="s">
        <v>389</v>
      </c>
      <c r="M610" s="189" t="s">
        <v>1074</v>
      </c>
      <c r="N610" s="189" t="s">
        <v>638</v>
      </c>
      <c r="O610" s="189" t="s">
        <v>107</v>
      </c>
      <c r="P610" s="189" t="s">
        <v>111</v>
      </c>
      <c r="Q610" s="189" t="s">
        <v>145</v>
      </c>
      <c r="R610" s="189" t="s">
        <v>22</v>
      </c>
      <c r="S610" s="189" t="s">
        <v>120</v>
      </c>
      <c r="T610" s="189" t="s">
        <v>180</v>
      </c>
      <c r="U610" s="189" t="s">
        <v>122</v>
      </c>
      <c r="V610" s="189" t="s">
        <v>123</v>
      </c>
      <c r="W610" s="189" t="s">
        <v>124</v>
      </c>
      <c r="X610" s="189" t="s">
        <v>116</v>
      </c>
      <c r="Y610" s="189" t="s">
        <v>3066</v>
      </c>
      <c r="Z610" s="0" t="n">
        <v>1</v>
      </c>
      <c r="AA610" s="189" t="s">
        <v>3067</v>
      </c>
    </row>
    <row r="611" customFormat="false" ht="15" hidden="false" customHeight="false" outlineLevel="0" collapsed="false">
      <c r="A611" s="0" t="n">
        <v>123</v>
      </c>
      <c r="B611" s="188" t="n">
        <v>46135.2518673048</v>
      </c>
      <c r="C611" s="188" t="n">
        <v>46135.2543557307</v>
      </c>
      <c r="D611" s="189" t="s">
        <v>1071</v>
      </c>
      <c r="E611" s="189" t="s">
        <v>1072</v>
      </c>
      <c r="F611" s="189" t="s">
        <v>1072</v>
      </c>
      <c r="G611" s="189" t="s">
        <v>1073</v>
      </c>
      <c r="H611" s="188" t="n">
        <v>46117</v>
      </c>
      <c r="I611" s="189" t="s">
        <v>113</v>
      </c>
      <c r="J611" s="189" t="s">
        <v>128</v>
      </c>
      <c r="K611" s="189" t="s">
        <v>364</v>
      </c>
      <c r="L611" s="189" t="s">
        <v>389</v>
      </c>
      <c r="M611" s="189" t="s">
        <v>1074</v>
      </c>
      <c r="N611" s="189" t="s">
        <v>638</v>
      </c>
      <c r="O611" s="189" t="s">
        <v>107</v>
      </c>
      <c r="P611" s="189" t="s">
        <v>111</v>
      </c>
      <c r="Q611" s="189" t="s">
        <v>145</v>
      </c>
      <c r="R611" s="189" t="s">
        <v>22</v>
      </c>
      <c r="S611" s="189" t="s">
        <v>120</v>
      </c>
      <c r="T611" s="189" t="s">
        <v>180</v>
      </c>
      <c r="U611" s="189" t="s">
        <v>122</v>
      </c>
      <c r="V611" s="189" t="s">
        <v>123</v>
      </c>
      <c r="W611" s="189" t="s">
        <v>124</v>
      </c>
      <c r="X611" s="189" t="s">
        <v>116</v>
      </c>
      <c r="Y611" s="189" t="s">
        <v>3069</v>
      </c>
      <c r="Z611" s="0" t="n">
        <v>1</v>
      </c>
      <c r="AA611" s="189" t="s">
        <v>3083</v>
      </c>
    </row>
    <row r="612" customFormat="false" ht="15" hidden="false" customHeight="false" outlineLevel="0" collapsed="false">
      <c r="A612" s="0" t="n">
        <v>124</v>
      </c>
      <c r="B612" s="188" t="n">
        <v>46165.2369165812</v>
      </c>
      <c r="C612" s="188" t="n">
        <v>46165.2464304701</v>
      </c>
      <c r="D612" s="189" t="s">
        <v>1075</v>
      </c>
      <c r="E612" s="189" t="s">
        <v>1076</v>
      </c>
      <c r="F612" s="189" t="s">
        <v>1076</v>
      </c>
      <c r="G612" s="189" t="s">
        <v>1077</v>
      </c>
      <c r="H612" s="188" t="n">
        <v>46161</v>
      </c>
      <c r="I612" s="189" t="s">
        <v>113</v>
      </c>
      <c r="J612" s="189" t="s">
        <v>108</v>
      </c>
      <c r="K612" s="189" t="s">
        <v>232</v>
      </c>
      <c r="L612" s="189" t="s">
        <v>144</v>
      </c>
      <c r="M612" s="189" t="s">
        <v>797</v>
      </c>
      <c r="N612" s="189" t="s">
        <v>1078</v>
      </c>
      <c r="O612" s="189" t="s">
        <v>107</v>
      </c>
      <c r="P612" s="189" t="s">
        <v>111</v>
      </c>
      <c r="Q612" s="189" t="s">
        <v>247</v>
      </c>
      <c r="R612" s="189" t="s">
        <v>22</v>
      </c>
      <c r="S612" s="189" t="s">
        <v>120</v>
      </c>
      <c r="T612" s="189" t="s">
        <v>180</v>
      </c>
      <c r="U612" s="189" t="s">
        <v>122</v>
      </c>
      <c r="V612" s="189" t="s">
        <v>192</v>
      </c>
      <c r="W612" s="189" t="s">
        <v>124</v>
      </c>
      <c r="X612" s="189" t="s">
        <v>715</v>
      </c>
      <c r="Y612" s="189" t="s">
        <v>3064</v>
      </c>
      <c r="Z612" s="0" t="n">
        <v>1</v>
      </c>
      <c r="AA612" s="189" t="s">
        <v>3251</v>
      </c>
    </row>
    <row r="613" customFormat="false" ht="15" hidden="false" customHeight="false" outlineLevel="0" collapsed="false">
      <c r="A613" s="0" t="n">
        <v>124</v>
      </c>
      <c r="B613" s="188" t="n">
        <v>46165.2369165812</v>
      </c>
      <c r="C613" s="188" t="n">
        <v>46165.2464304701</v>
      </c>
      <c r="D613" s="189" t="s">
        <v>1075</v>
      </c>
      <c r="E613" s="189" t="s">
        <v>1076</v>
      </c>
      <c r="F613" s="189" t="s">
        <v>1076</v>
      </c>
      <c r="G613" s="189" t="s">
        <v>1077</v>
      </c>
      <c r="H613" s="188" t="n">
        <v>46161</v>
      </c>
      <c r="I613" s="189" t="s">
        <v>113</v>
      </c>
      <c r="J613" s="189" t="s">
        <v>108</v>
      </c>
      <c r="K613" s="189" t="s">
        <v>232</v>
      </c>
      <c r="L613" s="189" t="s">
        <v>144</v>
      </c>
      <c r="M613" s="189" t="s">
        <v>797</v>
      </c>
      <c r="N613" s="189" t="s">
        <v>1078</v>
      </c>
      <c r="O613" s="189" t="s">
        <v>107</v>
      </c>
      <c r="P613" s="189" t="s">
        <v>111</v>
      </c>
      <c r="Q613" s="189" t="s">
        <v>247</v>
      </c>
      <c r="R613" s="189" t="s">
        <v>22</v>
      </c>
      <c r="S613" s="189" t="s">
        <v>120</v>
      </c>
      <c r="T613" s="189" t="s">
        <v>180</v>
      </c>
      <c r="U613" s="189" t="s">
        <v>122</v>
      </c>
      <c r="V613" s="189" t="s">
        <v>192</v>
      </c>
      <c r="W613" s="189" t="s">
        <v>124</v>
      </c>
      <c r="X613" s="189" t="s">
        <v>715</v>
      </c>
      <c r="Y613" s="189" t="s">
        <v>3064</v>
      </c>
      <c r="Z613" s="0" t="n">
        <v>2</v>
      </c>
      <c r="AA613" s="189" t="s">
        <v>3255</v>
      </c>
    </row>
    <row r="614" customFormat="false" ht="15" hidden="false" customHeight="false" outlineLevel="0" collapsed="false">
      <c r="A614" s="0" t="n">
        <v>124</v>
      </c>
      <c r="B614" s="188" t="n">
        <v>46165.2369165812</v>
      </c>
      <c r="C614" s="188" t="n">
        <v>46165.2464304701</v>
      </c>
      <c r="D614" s="189" t="s">
        <v>1075</v>
      </c>
      <c r="E614" s="189" t="s">
        <v>1076</v>
      </c>
      <c r="F614" s="189" t="s">
        <v>1076</v>
      </c>
      <c r="G614" s="189" t="s">
        <v>1077</v>
      </c>
      <c r="H614" s="188" t="n">
        <v>46161</v>
      </c>
      <c r="I614" s="189" t="s">
        <v>113</v>
      </c>
      <c r="J614" s="189" t="s">
        <v>108</v>
      </c>
      <c r="K614" s="189" t="s">
        <v>232</v>
      </c>
      <c r="L614" s="189" t="s">
        <v>144</v>
      </c>
      <c r="M614" s="189" t="s">
        <v>797</v>
      </c>
      <c r="N614" s="189" t="s">
        <v>1078</v>
      </c>
      <c r="O614" s="189" t="s">
        <v>107</v>
      </c>
      <c r="P614" s="189" t="s">
        <v>111</v>
      </c>
      <c r="Q614" s="189" t="s">
        <v>247</v>
      </c>
      <c r="R614" s="189" t="s">
        <v>22</v>
      </c>
      <c r="S614" s="189" t="s">
        <v>120</v>
      </c>
      <c r="T614" s="189" t="s">
        <v>180</v>
      </c>
      <c r="U614" s="189" t="s">
        <v>122</v>
      </c>
      <c r="V614" s="189" t="s">
        <v>192</v>
      </c>
      <c r="W614" s="189" t="s">
        <v>124</v>
      </c>
      <c r="X614" s="189" t="s">
        <v>715</v>
      </c>
      <c r="Y614" s="189" t="s">
        <v>3064</v>
      </c>
      <c r="Z614" s="0" t="n">
        <v>3</v>
      </c>
      <c r="AA614" s="189" t="s">
        <v>3224</v>
      </c>
    </row>
    <row r="615" customFormat="false" ht="15" hidden="false" customHeight="false" outlineLevel="0" collapsed="false">
      <c r="A615" s="0" t="n">
        <v>124</v>
      </c>
      <c r="B615" s="188" t="n">
        <v>46165.2369165812</v>
      </c>
      <c r="C615" s="188" t="n">
        <v>46165.2464304701</v>
      </c>
      <c r="D615" s="189" t="s">
        <v>1075</v>
      </c>
      <c r="E615" s="189" t="s">
        <v>1076</v>
      </c>
      <c r="F615" s="189" t="s">
        <v>1076</v>
      </c>
      <c r="G615" s="189" t="s">
        <v>1077</v>
      </c>
      <c r="H615" s="188" t="n">
        <v>46161</v>
      </c>
      <c r="I615" s="189" t="s">
        <v>113</v>
      </c>
      <c r="J615" s="189" t="s">
        <v>108</v>
      </c>
      <c r="K615" s="189" t="s">
        <v>232</v>
      </c>
      <c r="L615" s="189" t="s">
        <v>144</v>
      </c>
      <c r="M615" s="189" t="s">
        <v>797</v>
      </c>
      <c r="N615" s="189" t="s">
        <v>1078</v>
      </c>
      <c r="O615" s="189" t="s">
        <v>107</v>
      </c>
      <c r="P615" s="189" t="s">
        <v>111</v>
      </c>
      <c r="Q615" s="189" t="s">
        <v>247</v>
      </c>
      <c r="R615" s="189" t="s">
        <v>22</v>
      </c>
      <c r="S615" s="189" t="s">
        <v>120</v>
      </c>
      <c r="T615" s="189" t="s">
        <v>180</v>
      </c>
      <c r="U615" s="189" t="s">
        <v>122</v>
      </c>
      <c r="V615" s="189" t="s">
        <v>192</v>
      </c>
      <c r="W615" s="189" t="s">
        <v>124</v>
      </c>
      <c r="X615" s="189" t="s">
        <v>715</v>
      </c>
      <c r="Y615" s="189" t="s">
        <v>3066</v>
      </c>
      <c r="Z615" s="0" t="n">
        <v>1</v>
      </c>
      <c r="AA615" s="189" t="s">
        <v>2531</v>
      </c>
    </row>
    <row r="616" customFormat="false" ht="15" hidden="false" customHeight="false" outlineLevel="0" collapsed="false">
      <c r="A616" s="0" t="n">
        <v>124</v>
      </c>
      <c r="B616" s="188" t="n">
        <v>46165.2369165812</v>
      </c>
      <c r="C616" s="188" t="n">
        <v>46165.2464304701</v>
      </c>
      <c r="D616" s="189" t="s">
        <v>1075</v>
      </c>
      <c r="E616" s="189" t="s">
        <v>1076</v>
      </c>
      <c r="F616" s="189" t="s">
        <v>1076</v>
      </c>
      <c r="G616" s="189" t="s">
        <v>1077</v>
      </c>
      <c r="H616" s="188" t="n">
        <v>46161</v>
      </c>
      <c r="I616" s="189" t="s">
        <v>113</v>
      </c>
      <c r="J616" s="189" t="s">
        <v>108</v>
      </c>
      <c r="K616" s="189" t="s">
        <v>232</v>
      </c>
      <c r="L616" s="189" t="s">
        <v>144</v>
      </c>
      <c r="M616" s="189" t="s">
        <v>797</v>
      </c>
      <c r="N616" s="189" t="s">
        <v>1078</v>
      </c>
      <c r="O616" s="189" t="s">
        <v>107</v>
      </c>
      <c r="P616" s="189" t="s">
        <v>111</v>
      </c>
      <c r="Q616" s="189" t="s">
        <v>247</v>
      </c>
      <c r="R616" s="189" t="s">
        <v>22</v>
      </c>
      <c r="S616" s="189" t="s">
        <v>120</v>
      </c>
      <c r="T616" s="189" t="s">
        <v>180</v>
      </c>
      <c r="U616" s="189" t="s">
        <v>122</v>
      </c>
      <c r="V616" s="189" t="s">
        <v>192</v>
      </c>
      <c r="W616" s="189" t="s">
        <v>124</v>
      </c>
      <c r="X616" s="189" t="s">
        <v>715</v>
      </c>
      <c r="Y616" s="189" t="s">
        <v>3069</v>
      </c>
      <c r="Z616" s="0" t="n">
        <v>1</v>
      </c>
      <c r="AA616" s="189" t="s">
        <v>3256</v>
      </c>
    </row>
    <row r="617" customFormat="false" ht="15" hidden="false" customHeight="false" outlineLevel="0" collapsed="false">
      <c r="A617" s="0" t="n">
        <v>124</v>
      </c>
      <c r="B617" s="188" t="n">
        <v>46165.2369165812</v>
      </c>
      <c r="C617" s="188" t="n">
        <v>46165.2464304701</v>
      </c>
      <c r="D617" s="189" t="s">
        <v>1075</v>
      </c>
      <c r="E617" s="189" t="s">
        <v>1076</v>
      </c>
      <c r="F617" s="189" t="s">
        <v>1076</v>
      </c>
      <c r="G617" s="189" t="s">
        <v>1077</v>
      </c>
      <c r="H617" s="188" t="n">
        <v>46161</v>
      </c>
      <c r="I617" s="189" t="s">
        <v>113</v>
      </c>
      <c r="J617" s="189" t="s">
        <v>108</v>
      </c>
      <c r="K617" s="189" t="s">
        <v>232</v>
      </c>
      <c r="L617" s="189" t="s">
        <v>144</v>
      </c>
      <c r="M617" s="189" t="s">
        <v>797</v>
      </c>
      <c r="N617" s="189" t="s">
        <v>1078</v>
      </c>
      <c r="O617" s="189" t="s">
        <v>107</v>
      </c>
      <c r="P617" s="189" t="s">
        <v>111</v>
      </c>
      <c r="Q617" s="189" t="s">
        <v>247</v>
      </c>
      <c r="R617" s="189" t="s">
        <v>22</v>
      </c>
      <c r="S617" s="189" t="s">
        <v>120</v>
      </c>
      <c r="T617" s="189" t="s">
        <v>180</v>
      </c>
      <c r="U617" s="189" t="s">
        <v>122</v>
      </c>
      <c r="V617" s="189" t="s">
        <v>192</v>
      </c>
      <c r="W617" s="189" t="s">
        <v>124</v>
      </c>
      <c r="X617" s="189" t="s">
        <v>715</v>
      </c>
      <c r="Y617" s="189" t="s">
        <v>3069</v>
      </c>
      <c r="Z617" s="0" t="n">
        <v>2</v>
      </c>
      <c r="AA617" s="189" t="s">
        <v>3253</v>
      </c>
    </row>
    <row r="618" customFormat="false" ht="15" hidden="false" customHeight="false" outlineLevel="0" collapsed="false">
      <c r="A618" s="0" t="n">
        <v>125</v>
      </c>
      <c r="B618" s="188" t="n">
        <v>46151.6990861496</v>
      </c>
      <c r="C618" s="188" t="n">
        <v>46151.7104866126</v>
      </c>
      <c r="D618" s="189" t="s">
        <v>1081</v>
      </c>
      <c r="E618" s="189" t="s">
        <v>1082</v>
      </c>
      <c r="F618" s="189" t="s">
        <v>1083</v>
      </c>
      <c r="G618" s="189" t="s">
        <v>1084</v>
      </c>
      <c r="H618" s="188" t="n">
        <v>46148</v>
      </c>
      <c r="I618" s="189" t="s">
        <v>113</v>
      </c>
      <c r="J618" s="189" t="s">
        <v>108</v>
      </c>
      <c r="K618" s="189" t="s">
        <v>143</v>
      </c>
      <c r="L618" s="189" t="s">
        <v>346</v>
      </c>
      <c r="M618" s="189" t="s">
        <v>774</v>
      </c>
      <c r="N618" s="189" t="s">
        <v>337</v>
      </c>
      <c r="O618" s="189" t="s">
        <v>107</v>
      </c>
      <c r="P618" s="189" t="s">
        <v>111</v>
      </c>
      <c r="Q618" s="189" t="s">
        <v>112</v>
      </c>
      <c r="R618" s="189" t="s">
        <v>24</v>
      </c>
      <c r="S618" s="189" t="s">
        <v>120</v>
      </c>
      <c r="T618" s="189" t="s">
        <v>180</v>
      </c>
      <c r="U618" s="189" t="s">
        <v>122</v>
      </c>
      <c r="V618" s="189" t="s">
        <v>192</v>
      </c>
      <c r="W618" s="189" t="s">
        <v>124</v>
      </c>
      <c r="X618" s="189" t="s">
        <v>448</v>
      </c>
      <c r="Y618" s="189" t="s">
        <v>3064</v>
      </c>
      <c r="Z618" s="0" t="n">
        <v>1</v>
      </c>
      <c r="AA618" s="189" t="s">
        <v>3173</v>
      </c>
    </row>
    <row r="619" customFormat="false" ht="15" hidden="false" customHeight="false" outlineLevel="0" collapsed="false">
      <c r="A619" s="0" t="n">
        <v>125</v>
      </c>
      <c r="B619" s="188" t="n">
        <v>46151.6990861496</v>
      </c>
      <c r="C619" s="188" t="n">
        <v>46151.7104866126</v>
      </c>
      <c r="D619" s="189" t="s">
        <v>1081</v>
      </c>
      <c r="E619" s="189" t="s">
        <v>1082</v>
      </c>
      <c r="F619" s="189" t="s">
        <v>1083</v>
      </c>
      <c r="G619" s="189" t="s">
        <v>1084</v>
      </c>
      <c r="H619" s="188" t="n">
        <v>46148</v>
      </c>
      <c r="I619" s="189" t="s">
        <v>113</v>
      </c>
      <c r="J619" s="189" t="s">
        <v>108</v>
      </c>
      <c r="K619" s="189" t="s">
        <v>143</v>
      </c>
      <c r="L619" s="189" t="s">
        <v>346</v>
      </c>
      <c r="M619" s="189" t="s">
        <v>774</v>
      </c>
      <c r="N619" s="189" t="s">
        <v>337</v>
      </c>
      <c r="O619" s="189" t="s">
        <v>107</v>
      </c>
      <c r="P619" s="189" t="s">
        <v>111</v>
      </c>
      <c r="Q619" s="189" t="s">
        <v>112</v>
      </c>
      <c r="R619" s="189" t="s">
        <v>24</v>
      </c>
      <c r="S619" s="189" t="s">
        <v>120</v>
      </c>
      <c r="T619" s="189" t="s">
        <v>180</v>
      </c>
      <c r="U619" s="189" t="s">
        <v>122</v>
      </c>
      <c r="V619" s="189" t="s">
        <v>192</v>
      </c>
      <c r="W619" s="189" t="s">
        <v>124</v>
      </c>
      <c r="X619" s="189" t="s">
        <v>448</v>
      </c>
      <c r="Y619" s="189" t="s">
        <v>3066</v>
      </c>
      <c r="Z619" s="0" t="n">
        <v>1</v>
      </c>
      <c r="AA619" s="189" t="s">
        <v>3279</v>
      </c>
    </row>
    <row r="620" customFormat="false" ht="15" hidden="false" customHeight="false" outlineLevel="0" collapsed="false">
      <c r="A620" s="0" t="n">
        <v>125</v>
      </c>
      <c r="B620" s="188" t="n">
        <v>46151.6990861496</v>
      </c>
      <c r="C620" s="188" t="n">
        <v>46151.7104866126</v>
      </c>
      <c r="D620" s="189" t="s">
        <v>1081</v>
      </c>
      <c r="E620" s="189" t="s">
        <v>1082</v>
      </c>
      <c r="F620" s="189" t="s">
        <v>1083</v>
      </c>
      <c r="G620" s="189" t="s">
        <v>1084</v>
      </c>
      <c r="H620" s="188" t="n">
        <v>46148</v>
      </c>
      <c r="I620" s="189" t="s">
        <v>113</v>
      </c>
      <c r="J620" s="189" t="s">
        <v>108</v>
      </c>
      <c r="K620" s="189" t="s">
        <v>143</v>
      </c>
      <c r="L620" s="189" t="s">
        <v>346</v>
      </c>
      <c r="M620" s="189" t="s">
        <v>774</v>
      </c>
      <c r="N620" s="189" t="s">
        <v>337</v>
      </c>
      <c r="O620" s="189" t="s">
        <v>107</v>
      </c>
      <c r="P620" s="189" t="s">
        <v>111</v>
      </c>
      <c r="Q620" s="189" t="s">
        <v>112</v>
      </c>
      <c r="R620" s="189" t="s">
        <v>24</v>
      </c>
      <c r="S620" s="189" t="s">
        <v>120</v>
      </c>
      <c r="T620" s="189" t="s">
        <v>180</v>
      </c>
      <c r="U620" s="189" t="s">
        <v>122</v>
      </c>
      <c r="V620" s="189" t="s">
        <v>192</v>
      </c>
      <c r="W620" s="189" t="s">
        <v>124</v>
      </c>
      <c r="X620" s="189" t="s">
        <v>448</v>
      </c>
      <c r="Y620" s="189" t="s">
        <v>3069</v>
      </c>
      <c r="Z620" s="0" t="n">
        <v>1</v>
      </c>
      <c r="AA620" s="189" t="s">
        <v>3178</v>
      </c>
    </row>
    <row r="621" customFormat="false" ht="15" hidden="false" customHeight="false" outlineLevel="0" collapsed="false">
      <c r="A621" s="0" t="n">
        <v>125</v>
      </c>
      <c r="B621" s="188" t="n">
        <v>46151.6990861496</v>
      </c>
      <c r="C621" s="188" t="n">
        <v>46151.7104866126</v>
      </c>
      <c r="D621" s="189" t="s">
        <v>1081</v>
      </c>
      <c r="E621" s="189" t="s">
        <v>1082</v>
      </c>
      <c r="F621" s="189" t="s">
        <v>1083</v>
      </c>
      <c r="G621" s="189" t="s">
        <v>1084</v>
      </c>
      <c r="H621" s="188" t="n">
        <v>46148</v>
      </c>
      <c r="I621" s="189" t="s">
        <v>113</v>
      </c>
      <c r="J621" s="189" t="s">
        <v>108</v>
      </c>
      <c r="K621" s="189" t="s">
        <v>143</v>
      </c>
      <c r="L621" s="189" t="s">
        <v>346</v>
      </c>
      <c r="M621" s="189" t="s">
        <v>774</v>
      </c>
      <c r="N621" s="189" t="s">
        <v>337</v>
      </c>
      <c r="O621" s="189" t="s">
        <v>107</v>
      </c>
      <c r="P621" s="189" t="s">
        <v>111</v>
      </c>
      <c r="Q621" s="189" t="s">
        <v>112</v>
      </c>
      <c r="R621" s="189" t="s">
        <v>24</v>
      </c>
      <c r="S621" s="189" t="s">
        <v>120</v>
      </c>
      <c r="T621" s="189" t="s">
        <v>180</v>
      </c>
      <c r="U621" s="189" t="s">
        <v>122</v>
      </c>
      <c r="V621" s="189" t="s">
        <v>192</v>
      </c>
      <c r="W621" s="189" t="s">
        <v>124</v>
      </c>
      <c r="X621" s="189" t="s">
        <v>448</v>
      </c>
      <c r="Y621" s="189" t="s">
        <v>3069</v>
      </c>
      <c r="Z621" s="0" t="n">
        <v>2</v>
      </c>
      <c r="AA621" s="189" t="s">
        <v>3190</v>
      </c>
    </row>
    <row r="622" customFormat="false" ht="15" hidden="false" customHeight="false" outlineLevel="0" collapsed="false">
      <c r="A622" s="0" t="n">
        <v>126</v>
      </c>
      <c r="B622" s="188" t="n">
        <v>46107.6201828952</v>
      </c>
      <c r="C622" s="188" t="n">
        <v>46107.6402523396</v>
      </c>
      <c r="D622" s="189" t="s">
        <v>1087</v>
      </c>
      <c r="E622" s="189" t="s">
        <v>1088</v>
      </c>
      <c r="F622" s="189" t="s">
        <v>1088</v>
      </c>
      <c r="G622" s="189" t="s">
        <v>1089</v>
      </c>
      <c r="H622" s="188" t="n">
        <v>46090</v>
      </c>
      <c r="I622" s="189" t="s">
        <v>325</v>
      </c>
      <c r="J622" s="189" t="s">
        <v>295</v>
      </c>
      <c r="K622" s="189" t="s">
        <v>1090</v>
      </c>
      <c r="L622" s="189" t="s">
        <v>296</v>
      </c>
      <c r="M622" s="189" t="s">
        <v>789</v>
      </c>
      <c r="N622" s="189" t="s">
        <v>227</v>
      </c>
      <c r="O622" s="189" t="s">
        <v>107</v>
      </c>
      <c r="P622" s="189" t="s">
        <v>131</v>
      </c>
      <c r="Q622" s="189" t="s">
        <v>145</v>
      </c>
      <c r="R622" s="189" t="s">
        <v>23</v>
      </c>
      <c r="S622" s="189" t="s">
        <v>152</v>
      </c>
      <c r="T622" s="189" t="s">
        <v>121</v>
      </c>
      <c r="U622" s="189" t="s">
        <v>1002</v>
      </c>
      <c r="V622" s="189" t="s">
        <v>167</v>
      </c>
      <c r="W622" s="189" t="s">
        <v>124</v>
      </c>
      <c r="X622" s="189" t="s">
        <v>442</v>
      </c>
      <c r="Y622" s="189" t="s">
        <v>3172</v>
      </c>
      <c r="Z622" s="0" t="n">
        <v>1</v>
      </c>
      <c r="AA622" s="189" t="s">
        <v>441</v>
      </c>
    </row>
    <row r="623" customFormat="false" ht="15" hidden="false" customHeight="false" outlineLevel="0" collapsed="false">
      <c r="A623" s="0" t="n">
        <v>127</v>
      </c>
      <c r="B623" s="188" t="n">
        <v>46130.7127597616</v>
      </c>
      <c r="C623" s="188" t="n">
        <v>46130.7204102246</v>
      </c>
      <c r="D623" s="189" t="s">
        <v>1091</v>
      </c>
      <c r="E623" s="189" t="s">
        <v>1092</v>
      </c>
      <c r="F623" s="189" t="s">
        <v>1092</v>
      </c>
      <c r="G623" s="189" t="s">
        <v>1093</v>
      </c>
      <c r="H623" s="188" t="n">
        <v>46122</v>
      </c>
      <c r="I623" s="189" t="s">
        <v>325</v>
      </c>
      <c r="J623" s="189" t="s">
        <v>108</v>
      </c>
      <c r="K623" s="189" t="s">
        <v>173</v>
      </c>
      <c r="L623" s="189" t="s">
        <v>431</v>
      </c>
      <c r="M623" s="189" t="s">
        <v>337</v>
      </c>
      <c r="N623" s="189" t="s">
        <v>1094</v>
      </c>
      <c r="O623" s="189" t="s">
        <v>107</v>
      </c>
      <c r="P623" s="189" t="s">
        <v>211</v>
      </c>
      <c r="Q623" s="189" t="s">
        <v>112</v>
      </c>
      <c r="R623" s="189" t="s">
        <v>24</v>
      </c>
      <c r="S623" s="189" t="s">
        <v>152</v>
      </c>
      <c r="T623" s="189" t="s">
        <v>352</v>
      </c>
      <c r="U623" s="189" t="s">
        <v>122</v>
      </c>
      <c r="V623" s="189" t="s">
        <v>123</v>
      </c>
      <c r="W623" s="189" t="s">
        <v>124</v>
      </c>
      <c r="X623" s="189" t="s">
        <v>448</v>
      </c>
      <c r="Y623" s="189" t="s">
        <v>3064</v>
      </c>
      <c r="Z623" s="0" t="n">
        <v>1</v>
      </c>
      <c r="AA623" s="189" t="s">
        <v>3173</v>
      </c>
    </row>
    <row r="624" customFormat="false" ht="15" hidden="false" customHeight="false" outlineLevel="0" collapsed="false">
      <c r="A624" s="0" t="n">
        <v>127</v>
      </c>
      <c r="B624" s="188" t="n">
        <v>46130.7127597616</v>
      </c>
      <c r="C624" s="188" t="n">
        <v>46130.7204102246</v>
      </c>
      <c r="D624" s="189" t="s">
        <v>1091</v>
      </c>
      <c r="E624" s="189" t="s">
        <v>1092</v>
      </c>
      <c r="F624" s="189" t="s">
        <v>1092</v>
      </c>
      <c r="G624" s="189" t="s">
        <v>1093</v>
      </c>
      <c r="H624" s="188" t="n">
        <v>46122</v>
      </c>
      <c r="I624" s="189" t="s">
        <v>325</v>
      </c>
      <c r="J624" s="189" t="s">
        <v>108</v>
      </c>
      <c r="K624" s="189" t="s">
        <v>173</v>
      </c>
      <c r="L624" s="189" t="s">
        <v>431</v>
      </c>
      <c r="M624" s="189" t="s">
        <v>337</v>
      </c>
      <c r="N624" s="189" t="s">
        <v>1094</v>
      </c>
      <c r="O624" s="189" t="s">
        <v>107</v>
      </c>
      <c r="P624" s="189" t="s">
        <v>211</v>
      </c>
      <c r="Q624" s="189" t="s">
        <v>112</v>
      </c>
      <c r="R624" s="189" t="s">
        <v>24</v>
      </c>
      <c r="S624" s="189" t="s">
        <v>152</v>
      </c>
      <c r="T624" s="189" t="s">
        <v>352</v>
      </c>
      <c r="U624" s="189" t="s">
        <v>122</v>
      </c>
      <c r="V624" s="189" t="s">
        <v>123</v>
      </c>
      <c r="W624" s="189" t="s">
        <v>124</v>
      </c>
      <c r="X624" s="189" t="s">
        <v>448</v>
      </c>
      <c r="Y624" s="189" t="s">
        <v>3064</v>
      </c>
      <c r="Z624" s="0" t="n">
        <v>2</v>
      </c>
      <c r="AA624" s="189" t="s">
        <v>3174</v>
      </c>
    </row>
    <row r="625" customFormat="false" ht="15" hidden="false" customHeight="false" outlineLevel="0" collapsed="false">
      <c r="A625" s="0" t="n">
        <v>127</v>
      </c>
      <c r="B625" s="188" t="n">
        <v>46130.7127597616</v>
      </c>
      <c r="C625" s="188" t="n">
        <v>46130.7204102246</v>
      </c>
      <c r="D625" s="189" t="s">
        <v>1091</v>
      </c>
      <c r="E625" s="189" t="s">
        <v>1092</v>
      </c>
      <c r="F625" s="189" t="s">
        <v>1092</v>
      </c>
      <c r="G625" s="189" t="s">
        <v>1093</v>
      </c>
      <c r="H625" s="188" t="n">
        <v>46122</v>
      </c>
      <c r="I625" s="189" t="s">
        <v>325</v>
      </c>
      <c r="J625" s="189" t="s">
        <v>108</v>
      </c>
      <c r="K625" s="189" t="s">
        <v>173</v>
      </c>
      <c r="L625" s="189" t="s">
        <v>431</v>
      </c>
      <c r="M625" s="189" t="s">
        <v>337</v>
      </c>
      <c r="N625" s="189" t="s">
        <v>1094</v>
      </c>
      <c r="O625" s="189" t="s">
        <v>107</v>
      </c>
      <c r="P625" s="189" t="s">
        <v>211</v>
      </c>
      <c r="Q625" s="189" t="s">
        <v>112</v>
      </c>
      <c r="R625" s="189" t="s">
        <v>24</v>
      </c>
      <c r="S625" s="189" t="s">
        <v>152</v>
      </c>
      <c r="T625" s="189" t="s">
        <v>352</v>
      </c>
      <c r="U625" s="189" t="s">
        <v>122</v>
      </c>
      <c r="V625" s="189" t="s">
        <v>123</v>
      </c>
      <c r="W625" s="189" t="s">
        <v>124</v>
      </c>
      <c r="X625" s="189" t="s">
        <v>448</v>
      </c>
      <c r="Y625" s="189" t="s">
        <v>3066</v>
      </c>
      <c r="Z625" s="0" t="n">
        <v>1</v>
      </c>
      <c r="AA625" s="189" t="s">
        <v>3279</v>
      </c>
    </row>
    <row r="626" customFormat="false" ht="15" hidden="false" customHeight="false" outlineLevel="0" collapsed="false">
      <c r="A626" s="0" t="n">
        <v>127</v>
      </c>
      <c r="B626" s="188" t="n">
        <v>46130.7127597616</v>
      </c>
      <c r="C626" s="188" t="n">
        <v>46130.7204102246</v>
      </c>
      <c r="D626" s="189" t="s">
        <v>1091</v>
      </c>
      <c r="E626" s="189" t="s">
        <v>1092</v>
      </c>
      <c r="F626" s="189" t="s">
        <v>1092</v>
      </c>
      <c r="G626" s="189" t="s">
        <v>1093</v>
      </c>
      <c r="H626" s="188" t="n">
        <v>46122</v>
      </c>
      <c r="I626" s="189" t="s">
        <v>325</v>
      </c>
      <c r="J626" s="189" t="s">
        <v>108</v>
      </c>
      <c r="K626" s="189" t="s">
        <v>173</v>
      </c>
      <c r="L626" s="189" t="s">
        <v>431</v>
      </c>
      <c r="M626" s="189" t="s">
        <v>337</v>
      </c>
      <c r="N626" s="189" t="s">
        <v>1094</v>
      </c>
      <c r="O626" s="189" t="s">
        <v>107</v>
      </c>
      <c r="P626" s="189" t="s">
        <v>211</v>
      </c>
      <c r="Q626" s="189" t="s">
        <v>112</v>
      </c>
      <c r="R626" s="189" t="s">
        <v>24</v>
      </c>
      <c r="S626" s="189" t="s">
        <v>152</v>
      </c>
      <c r="T626" s="189" t="s">
        <v>352</v>
      </c>
      <c r="U626" s="189" t="s">
        <v>122</v>
      </c>
      <c r="V626" s="189" t="s">
        <v>123</v>
      </c>
      <c r="W626" s="189" t="s">
        <v>124</v>
      </c>
      <c r="X626" s="189" t="s">
        <v>448</v>
      </c>
      <c r="Y626" s="189" t="s">
        <v>3069</v>
      </c>
      <c r="Z626" s="0" t="n">
        <v>1</v>
      </c>
      <c r="AA626" s="189" t="s">
        <v>3178</v>
      </c>
    </row>
    <row r="627" customFormat="false" ht="15" hidden="false" customHeight="false" outlineLevel="0" collapsed="false">
      <c r="A627" s="0" t="n">
        <v>128</v>
      </c>
      <c r="B627" s="188" t="n">
        <v>46162.0939729366</v>
      </c>
      <c r="C627" s="188" t="n">
        <v>46162.102317844</v>
      </c>
      <c r="D627" s="189" t="s">
        <v>1097</v>
      </c>
      <c r="E627" s="189" t="s">
        <v>1098</v>
      </c>
      <c r="F627" s="189" t="s">
        <v>1098</v>
      </c>
      <c r="G627" s="189" t="s">
        <v>1099</v>
      </c>
      <c r="H627" s="188" t="n">
        <v>46143</v>
      </c>
      <c r="I627" s="189" t="s">
        <v>305</v>
      </c>
      <c r="J627" s="189" t="s">
        <v>128</v>
      </c>
      <c r="K627" s="189" t="s">
        <v>173</v>
      </c>
      <c r="L627" s="189" t="s">
        <v>114</v>
      </c>
      <c r="M627" s="189" t="s">
        <v>515</v>
      </c>
      <c r="N627" s="189" t="s">
        <v>1100</v>
      </c>
      <c r="O627" s="189" t="s">
        <v>244</v>
      </c>
      <c r="P627" s="189" t="s">
        <v>111</v>
      </c>
      <c r="Q627" s="189" t="s">
        <v>112</v>
      </c>
      <c r="R627" s="189" t="s">
        <v>22</v>
      </c>
      <c r="S627" s="189" t="s">
        <v>120</v>
      </c>
      <c r="T627" s="189" t="s">
        <v>121</v>
      </c>
      <c r="U627" s="189" t="s">
        <v>682</v>
      </c>
      <c r="V627" s="189" t="s">
        <v>192</v>
      </c>
      <c r="W627" s="189" t="s">
        <v>124</v>
      </c>
      <c r="X627" s="189" t="s">
        <v>135</v>
      </c>
      <c r="Y627" s="189" t="s">
        <v>3064</v>
      </c>
      <c r="Z627" s="0" t="n">
        <v>1</v>
      </c>
      <c r="AA627" s="189" t="s">
        <v>3072</v>
      </c>
    </row>
    <row r="628" customFormat="false" ht="15" hidden="false" customHeight="false" outlineLevel="0" collapsed="false">
      <c r="A628" s="0" t="n">
        <v>128</v>
      </c>
      <c r="B628" s="188" t="n">
        <v>46162.0939729366</v>
      </c>
      <c r="C628" s="188" t="n">
        <v>46162.102317844</v>
      </c>
      <c r="D628" s="189" t="s">
        <v>1097</v>
      </c>
      <c r="E628" s="189" t="s">
        <v>1098</v>
      </c>
      <c r="F628" s="189" t="s">
        <v>1098</v>
      </c>
      <c r="G628" s="189" t="s">
        <v>1099</v>
      </c>
      <c r="H628" s="188" t="n">
        <v>46143</v>
      </c>
      <c r="I628" s="189" t="s">
        <v>305</v>
      </c>
      <c r="J628" s="189" t="s">
        <v>128</v>
      </c>
      <c r="K628" s="189" t="s">
        <v>173</v>
      </c>
      <c r="L628" s="189" t="s">
        <v>114</v>
      </c>
      <c r="M628" s="189" t="s">
        <v>515</v>
      </c>
      <c r="N628" s="189" t="s">
        <v>1100</v>
      </c>
      <c r="O628" s="189" t="s">
        <v>244</v>
      </c>
      <c r="P628" s="189" t="s">
        <v>111</v>
      </c>
      <c r="Q628" s="189" t="s">
        <v>112</v>
      </c>
      <c r="R628" s="189" t="s">
        <v>22</v>
      </c>
      <c r="S628" s="189" t="s">
        <v>120</v>
      </c>
      <c r="T628" s="189" t="s">
        <v>121</v>
      </c>
      <c r="U628" s="189" t="s">
        <v>682</v>
      </c>
      <c r="V628" s="189" t="s">
        <v>192</v>
      </c>
      <c r="W628" s="189" t="s">
        <v>124</v>
      </c>
      <c r="X628" s="189" t="s">
        <v>135</v>
      </c>
      <c r="Y628" s="189" t="s">
        <v>3064</v>
      </c>
      <c r="Z628" s="0" t="n">
        <v>2</v>
      </c>
      <c r="AA628" s="189" t="s">
        <v>3183</v>
      </c>
    </row>
    <row r="629" customFormat="false" ht="15" hidden="false" customHeight="false" outlineLevel="0" collapsed="false">
      <c r="A629" s="0" t="n">
        <v>128</v>
      </c>
      <c r="B629" s="188" t="n">
        <v>46162.0939729366</v>
      </c>
      <c r="C629" s="188" t="n">
        <v>46162.102317844</v>
      </c>
      <c r="D629" s="189" t="s">
        <v>1097</v>
      </c>
      <c r="E629" s="189" t="s">
        <v>1098</v>
      </c>
      <c r="F629" s="189" t="s">
        <v>1098</v>
      </c>
      <c r="G629" s="189" t="s">
        <v>1099</v>
      </c>
      <c r="H629" s="188" t="n">
        <v>46143</v>
      </c>
      <c r="I629" s="189" t="s">
        <v>305</v>
      </c>
      <c r="J629" s="189" t="s">
        <v>128</v>
      </c>
      <c r="K629" s="189" t="s">
        <v>173</v>
      </c>
      <c r="L629" s="189" t="s">
        <v>114</v>
      </c>
      <c r="M629" s="189" t="s">
        <v>515</v>
      </c>
      <c r="N629" s="189" t="s">
        <v>1100</v>
      </c>
      <c r="O629" s="189" t="s">
        <v>244</v>
      </c>
      <c r="P629" s="189" t="s">
        <v>111</v>
      </c>
      <c r="Q629" s="189" t="s">
        <v>112</v>
      </c>
      <c r="R629" s="189" t="s">
        <v>22</v>
      </c>
      <c r="S629" s="189" t="s">
        <v>120</v>
      </c>
      <c r="T629" s="189" t="s">
        <v>121</v>
      </c>
      <c r="U629" s="189" t="s">
        <v>682</v>
      </c>
      <c r="V629" s="189" t="s">
        <v>192</v>
      </c>
      <c r="W629" s="189" t="s">
        <v>124</v>
      </c>
      <c r="X629" s="189" t="s">
        <v>135</v>
      </c>
      <c r="Y629" s="189" t="s">
        <v>3064</v>
      </c>
      <c r="Z629" s="0" t="n">
        <v>3</v>
      </c>
      <c r="AA629" s="189" t="s">
        <v>3073</v>
      </c>
    </row>
    <row r="630" customFormat="false" ht="15" hidden="false" customHeight="false" outlineLevel="0" collapsed="false">
      <c r="A630" s="0" t="n">
        <v>128</v>
      </c>
      <c r="B630" s="188" t="n">
        <v>46162.0939729366</v>
      </c>
      <c r="C630" s="188" t="n">
        <v>46162.102317844</v>
      </c>
      <c r="D630" s="189" t="s">
        <v>1097</v>
      </c>
      <c r="E630" s="189" t="s">
        <v>1098</v>
      </c>
      <c r="F630" s="189" t="s">
        <v>1098</v>
      </c>
      <c r="G630" s="189" t="s">
        <v>1099</v>
      </c>
      <c r="H630" s="188" t="n">
        <v>46143</v>
      </c>
      <c r="I630" s="189" t="s">
        <v>305</v>
      </c>
      <c r="J630" s="189" t="s">
        <v>128</v>
      </c>
      <c r="K630" s="189" t="s">
        <v>173</v>
      </c>
      <c r="L630" s="189" t="s">
        <v>114</v>
      </c>
      <c r="M630" s="189" t="s">
        <v>515</v>
      </c>
      <c r="N630" s="189" t="s">
        <v>1100</v>
      </c>
      <c r="O630" s="189" t="s">
        <v>244</v>
      </c>
      <c r="P630" s="189" t="s">
        <v>111</v>
      </c>
      <c r="Q630" s="189" t="s">
        <v>112</v>
      </c>
      <c r="R630" s="189" t="s">
        <v>22</v>
      </c>
      <c r="S630" s="189" t="s">
        <v>120</v>
      </c>
      <c r="T630" s="189" t="s">
        <v>121</v>
      </c>
      <c r="U630" s="189" t="s">
        <v>682</v>
      </c>
      <c r="V630" s="189" t="s">
        <v>192</v>
      </c>
      <c r="W630" s="189" t="s">
        <v>124</v>
      </c>
      <c r="X630" s="189" t="s">
        <v>135</v>
      </c>
      <c r="Y630" s="189" t="s">
        <v>3066</v>
      </c>
      <c r="Z630" s="0" t="n">
        <v>1</v>
      </c>
      <c r="AA630" s="189" t="s">
        <v>122</v>
      </c>
    </row>
    <row r="631" customFormat="false" ht="15" hidden="false" customHeight="false" outlineLevel="0" collapsed="false">
      <c r="A631" s="0" t="n">
        <v>128</v>
      </c>
      <c r="B631" s="188" t="n">
        <v>46162.0939729366</v>
      </c>
      <c r="C631" s="188" t="n">
        <v>46162.102317844</v>
      </c>
      <c r="D631" s="189" t="s">
        <v>1097</v>
      </c>
      <c r="E631" s="189" t="s">
        <v>1098</v>
      </c>
      <c r="F631" s="189" t="s">
        <v>1098</v>
      </c>
      <c r="G631" s="189" t="s">
        <v>1099</v>
      </c>
      <c r="H631" s="188" t="n">
        <v>46143</v>
      </c>
      <c r="I631" s="189" t="s">
        <v>305</v>
      </c>
      <c r="J631" s="189" t="s">
        <v>128</v>
      </c>
      <c r="K631" s="189" t="s">
        <v>173</v>
      </c>
      <c r="L631" s="189" t="s">
        <v>114</v>
      </c>
      <c r="M631" s="189" t="s">
        <v>515</v>
      </c>
      <c r="N631" s="189" t="s">
        <v>1100</v>
      </c>
      <c r="O631" s="189" t="s">
        <v>244</v>
      </c>
      <c r="P631" s="189" t="s">
        <v>111</v>
      </c>
      <c r="Q631" s="189" t="s">
        <v>112</v>
      </c>
      <c r="R631" s="189" t="s">
        <v>22</v>
      </c>
      <c r="S631" s="189" t="s">
        <v>120</v>
      </c>
      <c r="T631" s="189" t="s">
        <v>121</v>
      </c>
      <c r="U631" s="189" t="s">
        <v>682</v>
      </c>
      <c r="V631" s="189" t="s">
        <v>192</v>
      </c>
      <c r="W631" s="189" t="s">
        <v>124</v>
      </c>
      <c r="X631" s="189" t="s">
        <v>135</v>
      </c>
      <c r="Y631" s="189" t="s">
        <v>3066</v>
      </c>
      <c r="Z631" s="0" t="n">
        <v>2</v>
      </c>
      <c r="AA631" s="189" t="s">
        <v>3151</v>
      </c>
    </row>
    <row r="632" customFormat="false" ht="15" hidden="false" customHeight="false" outlineLevel="0" collapsed="false">
      <c r="A632" s="0" t="n">
        <v>128</v>
      </c>
      <c r="B632" s="188" t="n">
        <v>46162.0939729366</v>
      </c>
      <c r="C632" s="188" t="n">
        <v>46162.102317844</v>
      </c>
      <c r="D632" s="189" t="s">
        <v>1097</v>
      </c>
      <c r="E632" s="189" t="s">
        <v>1098</v>
      </c>
      <c r="F632" s="189" t="s">
        <v>1098</v>
      </c>
      <c r="G632" s="189" t="s">
        <v>1099</v>
      </c>
      <c r="H632" s="188" t="n">
        <v>46143</v>
      </c>
      <c r="I632" s="189" t="s">
        <v>305</v>
      </c>
      <c r="J632" s="189" t="s">
        <v>128</v>
      </c>
      <c r="K632" s="189" t="s">
        <v>173</v>
      </c>
      <c r="L632" s="189" t="s">
        <v>114</v>
      </c>
      <c r="M632" s="189" t="s">
        <v>515</v>
      </c>
      <c r="N632" s="189" t="s">
        <v>1100</v>
      </c>
      <c r="O632" s="189" t="s">
        <v>244</v>
      </c>
      <c r="P632" s="189" t="s">
        <v>111</v>
      </c>
      <c r="Q632" s="189" t="s">
        <v>112</v>
      </c>
      <c r="R632" s="189" t="s">
        <v>22</v>
      </c>
      <c r="S632" s="189" t="s">
        <v>120</v>
      </c>
      <c r="T632" s="189" t="s">
        <v>121</v>
      </c>
      <c r="U632" s="189" t="s">
        <v>682</v>
      </c>
      <c r="V632" s="189" t="s">
        <v>192</v>
      </c>
      <c r="W632" s="189" t="s">
        <v>124</v>
      </c>
      <c r="X632" s="189" t="s">
        <v>135</v>
      </c>
      <c r="Y632" s="189" t="s">
        <v>3069</v>
      </c>
      <c r="Z632" s="0" t="n">
        <v>1</v>
      </c>
      <c r="AA632" s="189" t="s">
        <v>3203</v>
      </c>
    </row>
    <row r="633" customFormat="false" ht="15" hidden="false" customHeight="false" outlineLevel="0" collapsed="false">
      <c r="A633" s="0" t="n">
        <v>128</v>
      </c>
      <c r="B633" s="188" t="n">
        <v>46162.0939729366</v>
      </c>
      <c r="C633" s="188" t="n">
        <v>46162.102317844</v>
      </c>
      <c r="D633" s="189" t="s">
        <v>1097</v>
      </c>
      <c r="E633" s="189" t="s">
        <v>1098</v>
      </c>
      <c r="F633" s="189" t="s">
        <v>1098</v>
      </c>
      <c r="G633" s="189" t="s">
        <v>1099</v>
      </c>
      <c r="H633" s="188" t="n">
        <v>46143</v>
      </c>
      <c r="I633" s="189" t="s">
        <v>305</v>
      </c>
      <c r="J633" s="189" t="s">
        <v>128</v>
      </c>
      <c r="K633" s="189" t="s">
        <v>173</v>
      </c>
      <c r="L633" s="189" t="s">
        <v>114</v>
      </c>
      <c r="M633" s="189" t="s">
        <v>515</v>
      </c>
      <c r="N633" s="189" t="s">
        <v>1100</v>
      </c>
      <c r="O633" s="189" t="s">
        <v>244</v>
      </c>
      <c r="P633" s="189" t="s">
        <v>111</v>
      </c>
      <c r="Q633" s="189" t="s">
        <v>112</v>
      </c>
      <c r="R633" s="189" t="s">
        <v>22</v>
      </c>
      <c r="S633" s="189" t="s">
        <v>120</v>
      </c>
      <c r="T633" s="189" t="s">
        <v>121</v>
      </c>
      <c r="U633" s="189" t="s">
        <v>682</v>
      </c>
      <c r="V633" s="189" t="s">
        <v>192</v>
      </c>
      <c r="W633" s="189" t="s">
        <v>124</v>
      </c>
      <c r="X633" s="189" t="s">
        <v>135</v>
      </c>
      <c r="Y633" s="189" t="s">
        <v>3069</v>
      </c>
      <c r="Z633" s="0" t="n">
        <v>2</v>
      </c>
      <c r="AA633" s="189" t="s">
        <v>3152</v>
      </c>
    </row>
    <row r="634" customFormat="false" ht="15" hidden="false" customHeight="false" outlineLevel="0" collapsed="false">
      <c r="A634" s="0" t="n">
        <v>129</v>
      </c>
      <c r="B634" s="188" t="n">
        <v>46075.8866921867</v>
      </c>
      <c r="C634" s="188" t="n">
        <v>46075.8903495941</v>
      </c>
      <c r="D634" s="189" t="s">
        <v>1103</v>
      </c>
      <c r="E634" s="189" t="s">
        <v>1104</v>
      </c>
      <c r="F634" s="189" t="s">
        <v>1104</v>
      </c>
      <c r="G634" s="189" t="s">
        <v>1105</v>
      </c>
      <c r="H634" s="188" t="n">
        <v>46058</v>
      </c>
      <c r="I634" s="189" t="s">
        <v>113</v>
      </c>
      <c r="J634" s="189" t="s">
        <v>108</v>
      </c>
      <c r="K634" s="189" t="s">
        <v>1106</v>
      </c>
      <c r="L634" s="189" t="s">
        <v>286</v>
      </c>
      <c r="M634" s="189" t="s">
        <v>578</v>
      </c>
      <c r="N634" s="189" t="s">
        <v>306</v>
      </c>
      <c r="O634" s="189" t="s">
        <v>244</v>
      </c>
      <c r="P634" s="189" t="s">
        <v>131</v>
      </c>
      <c r="Q634" s="189" t="s">
        <v>112</v>
      </c>
      <c r="R634" s="189" t="s">
        <v>24</v>
      </c>
      <c r="S634" s="189" t="s">
        <v>152</v>
      </c>
      <c r="T634" s="189" t="s">
        <v>352</v>
      </c>
      <c r="U634" s="189" t="s">
        <v>122</v>
      </c>
      <c r="V634" s="189" t="s">
        <v>123</v>
      </c>
      <c r="W634" s="189" t="s">
        <v>124</v>
      </c>
      <c r="X634" s="189" t="s">
        <v>214</v>
      </c>
      <c r="Y634" s="189" t="s">
        <v>3064</v>
      </c>
      <c r="Z634" s="0" t="n">
        <v>1</v>
      </c>
      <c r="AA634" s="189" t="s">
        <v>3081</v>
      </c>
    </row>
    <row r="635" customFormat="false" ht="15" hidden="false" customHeight="false" outlineLevel="0" collapsed="false">
      <c r="A635" s="0" t="n">
        <v>129</v>
      </c>
      <c r="B635" s="188" t="n">
        <v>46075.8866921867</v>
      </c>
      <c r="C635" s="188" t="n">
        <v>46075.8903495941</v>
      </c>
      <c r="D635" s="189" t="s">
        <v>1103</v>
      </c>
      <c r="E635" s="189" t="s">
        <v>1104</v>
      </c>
      <c r="F635" s="189" t="s">
        <v>1104</v>
      </c>
      <c r="G635" s="189" t="s">
        <v>1105</v>
      </c>
      <c r="H635" s="188" t="n">
        <v>46058</v>
      </c>
      <c r="I635" s="189" t="s">
        <v>113</v>
      </c>
      <c r="J635" s="189" t="s">
        <v>108</v>
      </c>
      <c r="K635" s="189" t="s">
        <v>1106</v>
      </c>
      <c r="L635" s="189" t="s">
        <v>286</v>
      </c>
      <c r="M635" s="189" t="s">
        <v>578</v>
      </c>
      <c r="N635" s="189" t="s">
        <v>306</v>
      </c>
      <c r="O635" s="189" t="s">
        <v>244</v>
      </c>
      <c r="P635" s="189" t="s">
        <v>131</v>
      </c>
      <c r="Q635" s="189" t="s">
        <v>112</v>
      </c>
      <c r="R635" s="189" t="s">
        <v>24</v>
      </c>
      <c r="S635" s="189" t="s">
        <v>152</v>
      </c>
      <c r="T635" s="189" t="s">
        <v>352</v>
      </c>
      <c r="U635" s="189" t="s">
        <v>122</v>
      </c>
      <c r="V635" s="189" t="s">
        <v>123</v>
      </c>
      <c r="W635" s="189" t="s">
        <v>124</v>
      </c>
      <c r="X635" s="189" t="s">
        <v>214</v>
      </c>
      <c r="Y635" s="189" t="s">
        <v>3064</v>
      </c>
      <c r="Z635" s="0" t="n">
        <v>2</v>
      </c>
      <c r="AA635" s="189" t="s">
        <v>3107</v>
      </c>
    </row>
    <row r="636" customFormat="false" ht="15" hidden="false" customHeight="false" outlineLevel="0" collapsed="false">
      <c r="A636" s="0" t="n">
        <v>129</v>
      </c>
      <c r="B636" s="188" t="n">
        <v>46075.8866921867</v>
      </c>
      <c r="C636" s="188" t="n">
        <v>46075.8903495941</v>
      </c>
      <c r="D636" s="189" t="s">
        <v>1103</v>
      </c>
      <c r="E636" s="189" t="s">
        <v>1104</v>
      </c>
      <c r="F636" s="189" t="s">
        <v>1104</v>
      </c>
      <c r="G636" s="189" t="s">
        <v>1105</v>
      </c>
      <c r="H636" s="188" t="n">
        <v>46058</v>
      </c>
      <c r="I636" s="189" t="s">
        <v>113</v>
      </c>
      <c r="J636" s="189" t="s">
        <v>108</v>
      </c>
      <c r="K636" s="189" t="s">
        <v>1106</v>
      </c>
      <c r="L636" s="189" t="s">
        <v>286</v>
      </c>
      <c r="M636" s="189" t="s">
        <v>578</v>
      </c>
      <c r="N636" s="189" t="s">
        <v>306</v>
      </c>
      <c r="O636" s="189" t="s">
        <v>244</v>
      </c>
      <c r="P636" s="189" t="s">
        <v>131</v>
      </c>
      <c r="Q636" s="189" t="s">
        <v>112</v>
      </c>
      <c r="R636" s="189" t="s">
        <v>24</v>
      </c>
      <c r="S636" s="189" t="s">
        <v>152</v>
      </c>
      <c r="T636" s="189" t="s">
        <v>352</v>
      </c>
      <c r="U636" s="189" t="s">
        <v>122</v>
      </c>
      <c r="V636" s="189" t="s">
        <v>123</v>
      </c>
      <c r="W636" s="189" t="s">
        <v>124</v>
      </c>
      <c r="X636" s="189" t="s">
        <v>214</v>
      </c>
      <c r="Y636" s="189" t="s">
        <v>3064</v>
      </c>
      <c r="Z636" s="0" t="n">
        <v>3</v>
      </c>
      <c r="AA636" s="189" t="s">
        <v>3065</v>
      </c>
    </row>
    <row r="637" customFormat="false" ht="15" hidden="false" customHeight="false" outlineLevel="0" collapsed="false">
      <c r="A637" s="0" t="n">
        <v>129</v>
      </c>
      <c r="B637" s="188" t="n">
        <v>46075.8866921867</v>
      </c>
      <c r="C637" s="188" t="n">
        <v>46075.8903495941</v>
      </c>
      <c r="D637" s="189" t="s">
        <v>1103</v>
      </c>
      <c r="E637" s="189" t="s">
        <v>1104</v>
      </c>
      <c r="F637" s="189" t="s">
        <v>1104</v>
      </c>
      <c r="G637" s="189" t="s">
        <v>1105</v>
      </c>
      <c r="H637" s="188" t="n">
        <v>46058</v>
      </c>
      <c r="I637" s="189" t="s">
        <v>113</v>
      </c>
      <c r="J637" s="189" t="s">
        <v>108</v>
      </c>
      <c r="K637" s="189" t="s">
        <v>1106</v>
      </c>
      <c r="L637" s="189" t="s">
        <v>286</v>
      </c>
      <c r="M637" s="189" t="s">
        <v>578</v>
      </c>
      <c r="N637" s="189" t="s">
        <v>306</v>
      </c>
      <c r="O637" s="189" t="s">
        <v>244</v>
      </c>
      <c r="P637" s="189" t="s">
        <v>131</v>
      </c>
      <c r="Q637" s="189" t="s">
        <v>112</v>
      </c>
      <c r="R637" s="189" t="s">
        <v>24</v>
      </c>
      <c r="S637" s="189" t="s">
        <v>152</v>
      </c>
      <c r="T637" s="189" t="s">
        <v>352</v>
      </c>
      <c r="U637" s="189" t="s">
        <v>122</v>
      </c>
      <c r="V637" s="189" t="s">
        <v>123</v>
      </c>
      <c r="W637" s="189" t="s">
        <v>124</v>
      </c>
      <c r="X637" s="189" t="s">
        <v>214</v>
      </c>
      <c r="Y637" s="189" t="s">
        <v>3066</v>
      </c>
      <c r="Z637" s="0" t="n">
        <v>1</v>
      </c>
      <c r="AA637" s="189" t="s">
        <v>3082</v>
      </c>
    </row>
    <row r="638" customFormat="false" ht="15" hidden="false" customHeight="false" outlineLevel="0" collapsed="false">
      <c r="A638" s="0" t="n">
        <v>129</v>
      </c>
      <c r="B638" s="188" t="n">
        <v>46075.8866921867</v>
      </c>
      <c r="C638" s="188" t="n">
        <v>46075.8903495941</v>
      </c>
      <c r="D638" s="189" t="s">
        <v>1103</v>
      </c>
      <c r="E638" s="189" t="s">
        <v>1104</v>
      </c>
      <c r="F638" s="189" t="s">
        <v>1104</v>
      </c>
      <c r="G638" s="189" t="s">
        <v>1105</v>
      </c>
      <c r="H638" s="188" t="n">
        <v>46058</v>
      </c>
      <c r="I638" s="189" t="s">
        <v>113</v>
      </c>
      <c r="J638" s="189" t="s">
        <v>108</v>
      </c>
      <c r="K638" s="189" t="s">
        <v>1106</v>
      </c>
      <c r="L638" s="189" t="s">
        <v>286</v>
      </c>
      <c r="M638" s="189" t="s">
        <v>578</v>
      </c>
      <c r="N638" s="189" t="s">
        <v>306</v>
      </c>
      <c r="O638" s="189" t="s">
        <v>244</v>
      </c>
      <c r="P638" s="189" t="s">
        <v>131</v>
      </c>
      <c r="Q638" s="189" t="s">
        <v>112</v>
      </c>
      <c r="R638" s="189" t="s">
        <v>24</v>
      </c>
      <c r="S638" s="189" t="s">
        <v>152</v>
      </c>
      <c r="T638" s="189" t="s">
        <v>352</v>
      </c>
      <c r="U638" s="189" t="s">
        <v>122</v>
      </c>
      <c r="V638" s="189" t="s">
        <v>123</v>
      </c>
      <c r="W638" s="189" t="s">
        <v>124</v>
      </c>
      <c r="X638" s="189" t="s">
        <v>214</v>
      </c>
      <c r="Y638" s="189" t="s">
        <v>3066</v>
      </c>
      <c r="Z638" s="0" t="n">
        <v>2</v>
      </c>
      <c r="AA638" s="189" t="s">
        <v>122</v>
      </c>
    </row>
    <row r="639" customFormat="false" ht="15" hidden="false" customHeight="false" outlineLevel="0" collapsed="false">
      <c r="A639" s="0" t="n">
        <v>129</v>
      </c>
      <c r="B639" s="188" t="n">
        <v>46075.8866921867</v>
      </c>
      <c r="C639" s="188" t="n">
        <v>46075.8903495941</v>
      </c>
      <c r="D639" s="189" t="s">
        <v>1103</v>
      </c>
      <c r="E639" s="189" t="s">
        <v>1104</v>
      </c>
      <c r="F639" s="189" t="s">
        <v>1104</v>
      </c>
      <c r="G639" s="189" t="s">
        <v>1105</v>
      </c>
      <c r="H639" s="188" t="n">
        <v>46058</v>
      </c>
      <c r="I639" s="189" t="s">
        <v>113</v>
      </c>
      <c r="J639" s="189" t="s">
        <v>108</v>
      </c>
      <c r="K639" s="189" t="s">
        <v>1106</v>
      </c>
      <c r="L639" s="189" t="s">
        <v>286</v>
      </c>
      <c r="M639" s="189" t="s">
        <v>578</v>
      </c>
      <c r="N639" s="189" t="s">
        <v>306</v>
      </c>
      <c r="O639" s="189" t="s">
        <v>244</v>
      </c>
      <c r="P639" s="189" t="s">
        <v>131</v>
      </c>
      <c r="Q639" s="189" t="s">
        <v>112</v>
      </c>
      <c r="R639" s="189" t="s">
        <v>24</v>
      </c>
      <c r="S639" s="189" t="s">
        <v>152</v>
      </c>
      <c r="T639" s="189" t="s">
        <v>352</v>
      </c>
      <c r="U639" s="189" t="s">
        <v>122</v>
      </c>
      <c r="V639" s="189" t="s">
        <v>123</v>
      </c>
      <c r="W639" s="189" t="s">
        <v>124</v>
      </c>
      <c r="X639" s="189" t="s">
        <v>214</v>
      </c>
      <c r="Y639" s="189" t="s">
        <v>3069</v>
      </c>
      <c r="Z639" s="0" t="n">
        <v>1</v>
      </c>
      <c r="AA639" s="189" t="s">
        <v>122</v>
      </c>
    </row>
    <row r="640" customFormat="false" ht="15" hidden="false" customHeight="false" outlineLevel="0" collapsed="false">
      <c r="A640" s="0" t="n">
        <v>130</v>
      </c>
      <c r="B640" s="188" t="n">
        <v>46073.3034133595</v>
      </c>
      <c r="C640" s="188" t="n">
        <v>46073.3051957669</v>
      </c>
      <c r="D640" s="189" t="s">
        <v>1108</v>
      </c>
      <c r="E640" s="189" t="s">
        <v>1109</v>
      </c>
      <c r="F640" s="189" t="s">
        <v>1109</v>
      </c>
      <c r="G640" s="189" t="s">
        <v>1110</v>
      </c>
      <c r="H640" s="188" t="n">
        <v>46056</v>
      </c>
      <c r="I640" s="189" t="s">
        <v>863</v>
      </c>
      <c r="J640" s="189" t="s">
        <v>295</v>
      </c>
      <c r="K640" s="189" t="s">
        <v>1111</v>
      </c>
      <c r="L640" s="189" t="s">
        <v>197</v>
      </c>
      <c r="M640" s="189" t="s">
        <v>1112</v>
      </c>
      <c r="N640" s="189" t="s">
        <v>1067</v>
      </c>
      <c r="O640" s="189" t="s">
        <v>107</v>
      </c>
      <c r="P640" s="189" t="s">
        <v>111</v>
      </c>
      <c r="Q640" s="189" t="s">
        <v>112</v>
      </c>
      <c r="R640" s="189" t="s">
        <v>24</v>
      </c>
      <c r="S640" s="189" t="s">
        <v>152</v>
      </c>
      <c r="T640" s="189" t="s">
        <v>121</v>
      </c>
      <c r="U640" s="189" t="s">
        <v>614</v>
      </c>
      <c r="V640" s="189" t="s">
        <v>123</v>
      </c>
      <c r="W640" s="189" t="s">
        <v>124</v>
      </c>
      <c r="X640" s="189" t="s">
        <v>448</v>
      </c>
      <c r="Y640" s="189" t="s">
        <v>3064</v>
      </c>
      <c r="Z640" s="0" t="n">
        <v>1</v>
      </c>
      <c r="AA640" s="189" t="s">
        <v>3175</v>
      </c>
    </row>
    <row r="641" customFormat="false" ht="15" hidden="false" customHeight="false" outlineLevel="0" collapsed="false">
      <c r="A641" s="0" t="n">
        <v>130</v>
      </c>
      <c r="B641" s="188" t="n">
        <v>46073.3034133595</v>
      </c>
      <c r="C641" s="188" t="n">
        <v>46073.3051957669</v>
      </c>
      <c r="D641" s="189" t="s">
        <v>1108</v>
      </c>
      <c r="E641" s="189" t="s">
        <v>1109</v>
      </c>
      <c r="F641" s="189" t="s">
        <v>1109</v>
      </c>
      <c r="G641" s="189" t="s">
        <v>1110</v>
      </c>
      <c r="H641" s="188" t="n">
        <v>46056</v>
      </c>
      <c r="I641" s="189" t="s">
        <v>863</v>
      </c>
      <c r="J641" s="189" t="s">
        <v>295</v>
      </c>
      <c r="K641" s="189" t="s">
        <v>1111</v>
      </c>
      <c r="L641" s="189" t="s">
        <v>197</v>
      </c>
      <c r="M641" s="189" t="s">
        <v>1112</v>
      </c>
      <c r="N641" s="189" t="s">
        <v>1067</v>
      </c>
      <c r="O641" s="189" t="s">
        <v>107</v>
      </c>
      <c r="P641" s="189" t="s">
        <v>111</v>
      </c>
      <c r="Q641" s="189" t="s">
        <v>112</v>
      </c>
      <c r="R641" s="189" t="s">
        <v>24</v>
      </c>
      <c r="S641" s="189" t="s">
        <v>152</v>
      </c>
      <c r="T641" s="189" t="s">
        <v>121</v>
      </c>
      <c r="U641" s="189" t="s">
        <v>614</v>
      </c>
      <c r="V641" s="189" t="s">
        <v>123</v>
      </c>
      <c r="W641" s="189" t="s">
        <v>124</v>
      </c>
      <c r="X641" s="189" t="s">
        <v>448</v>
      </c>
      <c r="Y641" s="189" t="s">
        <v>3064</v>
      </c>
      <c r="Z641" s="0" t="n">
        <v>2</v>
      </c>
      <c r="AA641" s="189" t="s">
        <v>3174</v>
      </c>
    </row>
    <row r="642" customFormat="false" ht="15" hidden="false" customHeight="false" outlineLevel="0" collapsed="false">
      <c r="A642" s="0" t="n">
        <v>130</v>
      </c>
      <c r="B642" s="188" t="n">
        <v>46073.3034133595</v>
      </c>
      <c r="C642" s="188" t="n">
        <v>46073.3051957669</v>
      </c>
      <c r="D642" s="189" t="s">
        <v>1108</v>
      </c>
      <c r="E642" s="189" t="s">
        <v>1109</v>
      </c>
      <c r="F642" s="189" t="s">
        <v>1109</v>
      </c>
      <c r="G642" s="189" t="s">
        <v>1110</v>
      </c>
      <c r="H642" s="188" t="n">
        <v>46056</v>
      </c>
      <c r="I642" s="189" t="s">
        <v>863</v>
      </c>
      <c r="J642" s="189" t="s">
        <v>295</v>
      </c>
      <c r="K642" s="189" t="s">
        <v>1111</v>
      </c>
      <c r="L642" s="189" t="s">
        <v>197</v>
      </c>
      <c r="M642" s="189" t="s">
        <v>1112</v>
      </c>
      <c r="N642" s="189" t="s">
        <v>1067</v>
      </c>
      <c r="O642" s="189" t="s">
        <v>107</v>
      </c>
      <c r="P642" s="189" t="s">
        <v>111</v>
      </c>
      <c r="Q642" s="189" t="s">
        <v>112</v>
      </c>
      <c r="R642" s="189" t="s">
        <v>24</v>
      </c>
      <c r="S642" s="189" t="s">
        <v>152</v>
      </c>
      <c r="T642" s="189" t="s">
        <v>121</v>
      </c>
      <c r="U642" s="189" t="s">
        <v>614</v>
      </c>
      <c r="V642" s="189" t="s">
        <v>123</v>
      </c>
      <c r="W642" s="189" t="s">
        <v>124</v>
      </c>
      <c r="X642" s="189" t="s">
        <v>448</v>
      </c>
      <c r="Y642" s="189" t="s">
        <v>3064</v>
      </c>
      <c r="Z642" s="0" t="n">
        <v>3</v>
      </c>
      <c r="AA642" s="189" t="s">
        <v>3189</v>
      </c>
    </row>
    <row r="643" customFormat="false" ht="15" hidden="false" customHeight="false" outlineLevel="0" collapsed="false">
      <c r="A643" s="0" t="n">
        <v>130</v>
      </c>
      <c r="B643" s="188" t="n">
        <v>46073.3034133595</v>
      </c>
      <c r="C643" s="188" t="n">
        <v>46073.3051957669</v>
      </c>
      <c r="D643" s="189" t="s">
        <v>1108</v>
      </c>
      <c r="E643" s="189" t="s">
        <v>1109</v>
      </c>
      <c r="F643" s="189" t="s">
        <v>1109</v>
      </c>
      <c r="G643" s="189" t="s">
        <v>1110</v>
      </c>
      <c r="H643" s="188" t="n">
        <v>46056</v>
      </c>
      <c r="I643" s="189" t="s">
        <v>863</v>
      </c>
      <c r="J643" s="189" t="s">
        <v>295</v>
      </c>
      <c r="K643" s="189" t="s">
        <v>1111</v>
      </c>
      <c r="L643" s="189" t="s">
        <v>197</v>
      </c>
      <c r="M643" s="189" t="s">
        <v>1112</v>
      </c>
      <c r="N643" s="189" t="s">
        <v>1067</v>
      </c>
      <c r="O643" s="189" t="s">
        <v>107</v>
      </c>
      <c r="P643" s="189" t="s">
        <v>111</v>
      </c>
      <c r="Q643" s="189" t="s">
        <v>112</v>
      </c>
      <c r="R643" s="189" t="s">
        <v>24</v>
      </c>
      <c r="S643" s="189" t="s">
        <v>152</v>
      </c>
      <c r="T643" s="189" t="s">
        <v>121</v>
      </c>
      <c r="U643" s="189" t="s">
        <v>614</v>
      </c>
      <c r="V643" s="189" t="s">
        <v>123</v>
      </c>
      <c r="W643" s="189" t="s">
        <v>124</v>
      </c>
      <c r="X643" s="189" t="s">
        <v>448</v>
      </c>
      <c r="Y643" s="189" t="s">
        <v>3066</v>
      </c>
      <c r="Z643" s="0" t="n">
        <v>1</v>
      </c>
      <c r="AA643" s="189" t="s">
        <v>3176</v>
      </c>
    </row>
    <row r="644" customFormat="false" ht="15" hidden="false" customHeight="false" outlineLevel="0" collapsed="false">
      <c r="A644" s="0" t="n">
        <v>130</v>
      </c>
      <c r="B644" s="188" t="n">
        <v>46073.3034133595</v>
      </c>
      <c r="C644" s="188" t="n">
        <v>46073.3051957669</v>
      </c>
      <c r="D644" s="189" t="s">
        <v>1108</v>
      </c>
      <c r="E644" s="189" t="s">
        <v>1109</v>
      </c>
      <c r="F644" s="189" t="s">
        <v>1109</v>
      </c>
      <c r="G644" s="189" t="s">
        <v>1110</v>
      </c>
      <c r="H644" s="188" t="n">
        <v>46056</v>
      </c>
      <c r="I644" s="189" t="s">
        <v>863</v>
      </c>
      <c r="J644" s="189" t="s">
        <v>295</v>
      </c>
      <c r="K644" s="189" t="s">
        <v>1111</v>
      </c>
      <c r="L644" s="189" t="s">
        <v>197</v>
      </c>
      <c r="M644" s="189" t="s">
        <v>1112</v>
      </c>
      <c r="N644" s="189" t="s">
        <v>1067</v>
      </c>
      <c r="O644" s="189" t="s">
        <v>107</v>
      </c>
      <c r="P644" s="189" t="s">
        <v>111</v>
      </c>
      <c r="Q644" s="189" t="s">
        <v>112</v>
      </c>
      <c r="R644" s="189" t="s">
        <v>24</v>
      </c>
      <c r="S644" s="189" t="s">
        <v>152</v>
      </c>
      <c r="T644" s="189" t="s">
        <v>121</v>
      </c>
      <c r="U644" s="189" t="s">
        <v>614</v>
      </c>
      <c r="V644" s="189" t="s">
        <v>123</v>
      </c>
      <c r="W644" s="189" t="s">
        <v>124</v>
      </c>
      <c r="X644" s="189" t="s">
        <v>448</v>
      </c>
      <c r="Y644" s="189" t="s">
        <v>3066</v>
      </c>
      <c r="Z644" s="0" t="n">
        <v>2</v>
      </c>
      <c r="AA644" s="189" t="s">
        <v>3279</v>
      </c>
    </row>
    <row r="645" customFormat="false" ht="15" hidden="false" customHeight="false" outlineLevel="0" collapsed="false">
      <c r="A645" s="0" t="n">
        <v>130</v>
      </c>
      <c r="B645" s="188" t="n">
        <v>46073.3034133595</v>
      </c>
      <c r="C645" s="188" t="n">
        <v>46073.3051957669</v>
      </c>
      <c r="D645" s="189" t="s">
        <v>1108</v>
      </c>
      <c r="E645" s="189" t="s">
        <v>1109</v>
      </c>
      <c r="F645" s="189" t="s">
        <v>1109</v>
      </c>
      <c r="G645" s="189" t="s">
        <v>1110</v>
      </c>
      <c r="H645" s="188" t="n">
        <v>46056</v>
      </c>
      <c r="I645" s="189" t="s">
        <v>863</v>
      </c>
      <c r="J645" s="189" t="s">
        <v>295</v>
      </c>
      <c r="K645" s="189" t="s">
        <v>1111</v>
      </c>
      <c r="L645" s="189" t="s">
        <v>197</v>
      </c>
      <c r="M645" s="189" t="s">
        <v>1112</v>
      </c>
      <c r="N645" s="189" t="s">
        <v>1067</v>
      </c>
      <c r="O645" s="189" t="s">
        <v>107</v>
      </c>
      <c r="P645" s="189" t="s">
        <v>111</v>
      </c>
      <c r="Q645" s="189" t="s">
        <v>112</v>
      </c>
      <c r="R645" s="189" t="s">
        <v>24</v>
      </c>
      <c r="S645" s="189" t="s">
        <v>152</v>
      </c>
      <c r="T645" s="189" t="s">
        <v>121</v>
      </c>
      <c r="U645" s="189" t="s">
        <v>614</v>
      </c>
      <c r="V645" s="189" t="s">
        <v>123</v>
      </c>
      <c r="W645" s="189" t="s">
        <v>124</v>
      </c>
      <c r="X645" s="189" t="s">
        <v>448</v>
      </c>
      <c r="Y645" s="189" t="s">
        <v>3069</v>
      </c>
      <c r="Z645" s="0" t="n">
        <v>1</v>
      </c>
      <c r="AA645" s="189" t="s">
        <v>3179</v>
      </c>
    </row>
    <row r="646" customFormat="false" ht="15" hidden="false" customHeight="false" outlineLevel="0" collapsed="false">
      <c r="A646" s="0" t="n">
        <v>131</v>
      </c>
      <c r="B646" s="188" t="n">
        <v>46185.7802177633</v>
      </c>
      <c r="C646" s="188" t="n">
        <v>46185.7988867448</v>
      </c>
      <c r="D646" s="189" t="s">
        <v>1116</v>
      </c>
      <c r="E646" s="189" t="s">
        <v>1117</v>
      </c>
      <c r="F646" s="189" t="s">
        <v>1117</v>
      </c>
      <c r="G646" s="189" t="s">
        <v>1118</v>
      </c>
      <c r="H646" s="188" t="n">
        <v>46185</v>
      </c>
      <c r="I646" s="189" t="s">
        <v>113</v>
      </c>
      <c r="J646" s="189" t="s">
        <v>108</v>
      </c>
      <c r="K646" s="189" t="s">
        <v>1119</v>
      </c>
      <c r="L646" s="189" t="s">
        <v>246</v>
      </c>
      <c r="M646" s="189" t="s">
        <v>1120</v>
      </c>
      <c r="N646" s="189" t="s">
        <v>175</v>
      </c>
      <c r="O646" s="189" t="s">
        <v>244</v>
      </c>
      <c r="P646" s="189" t="s">
        <v>111</v>
      </c>
      <c r="Q646" s="189" t="s">
        <v>112</v>
      </c>
      <c r="R646" s="189" t="s">
        <v>22</v>
      </c>
      <c r="S646" s="189" t="s">
        <v>152</v>
      </c>
      <c r="T646" s="189" t="s">
        <v>121</v>
      </c>
      <c r="U646" s="189" t="s">
        <v>122</v>
      </c>
      <c r="V646" s="189" t="s">
        <v>192</v>
      </c>
      <c r="W646" s="189" t="s">
        <v>124</v>
      </c>
      <c r="X646" s="189" t="s">
        <v>271</v>
      </c>
      <c r="Y646" s="189" t="s">
        <v>3064</v>
      </c>
      <c r="Z646" s="0" t="n">
        <v>1</v>
      </c>
      <c r="AA646" s="189" t="s">
        <v>3135</v>
      </c>
    </row>
    <row r="647" customFormat="false" ht="15" hidden="false" customHeight="false" outlineLevel="0" collapsed="false">
      <c r="A647" s="0" t="n">
        <v>131</v>
      </c>
      <c r="B647" s="188" t="n">
        <v>46185.7802177633</v>
      </c>
      <c r="C647" s="188" t="n">
        <v>46185.7988867448</v>
      </c>
      <c r="D647" s="189" t="s">
        <v>1116</v>
      </c>
      <c r="E647" s="189" t="s">
        <v>1117</v>
      </c>
      <c r="F647" s="189" t="s">
        <v>1117</v>
      </c>
      <c r="G647" s="189" t="s">
        <v>1118</v>
      </c>
      <c r="H647" s="188" t="n">
        <v>46185</v>
      </c>
      <c r="I647" s="189" t="s">
        <v>113</v>
      </c>
      <c r="J647" s="189" t="s">
        <v>108</v>
      </c>
      <c r="K647" s="189" t="s">
        <v>1119</v>
      </c>
      <c r="L647" s="189" t="s">
        <v>246</v>
      </c>
      <c r="M647" s="189" t="s">
        <v>1120</v>
      </c>
      <c r="N647" s="189" t="s">
        <v>175</v>
      </c>
      <c r="O647" s="189" t="s">
        <v>244</v>
      </c>
      <c r="P647" s="189" t="s">
        <v>111</v>
      </c>
      <c r="Q647" s="189" t="s">
        <v>112</v>
      </c>
      <c r="R647" s="189" t="s">
        <v>22</v>
      </c>
      <c r="S647" s="189" t="s">
        <v>152</v>
      </c>
      <c r="T647" s="189" t="s">
        <v>121</v>
      </c>
      <c r="U647" s="189" t="s">
        <v>122</v>
      </c>
      <c r="V647" s="189" t="s">
        <v>192</v>
      </c>
      <c r="W647" s="189" t="s">
        <v>124</v>
      </c>
      <c r="X647" s="189" t="s">
        <v>271</v>
      </c>
      <c r="Y647" s="189" t="s">
        <v>3066</v>
      </c>
      <c r="Z647" s="0" t="n">
        <v>1</v>
      </c>
      <c r="AA647" s="189" t="s">
        <v>3117</v>
      </c>
    </row>
    <row r="648" customFormat="false" ht="15" hidden="false" customHeight="false" outlineLevel="0" collapsed="false">
      <c r="A648" s="0" t="n">
        <v>131</v>
      </c>
      <c r="B648" s="188" t="n">
        <v>46185.7802177633</v>
      </c>
      <c r="C648" s="188" t="n">
        <v>46185.7988867448</v>
      </c>
      <c r="D648" s="189" t="s">
        <v>1116</v>
      </c>
      <c r="E648" s="189" t="s">
        <v>1117</v>
      </c>
      <c r="F648" s="189" t="s">
        <v>1117</v>
      </c>
      <c r="G648" s="189" t="s">
        <v>1118</v>
      </c>
      <c r="H648" s="188" t="n">
        <v>46185</v>
      </c>
      <c r="I648" s="189" t="s">
        <v>113</v>
      </c>
      <c r="J648" s="189" t="s">
        <v>108</v>
      </c>
      <c r="K648" s="189" t="s">
        <v>1119</v>
      </c>
      <c r="L648" s="189" t="s">
        <v>246</v>
      </c>
      <c r="M648" s="189" t="s">
        <v>1120</v>
      </c>
      <c r="N648" s="189" t="s">
        <v>175</v>
      </c>
      <c r="O648" s="189" t="s">
        <v>244</v>
      </c>
      <c r="P648" s="189" t="s">
        <v>111</v>
      </c>
      <c r="Q648" s="189" t="s">
        <v>112</v>
      </c>
      <c r="R648" s="189" t="s">
        <v>22</v>
      </c>
      <c r="S648" s="189" t="s">
        <v>152</v>
      </c>
      <c r="T648" s="189" t="s">
        <v>121</v>
      </c>
      <c r="U648" s="189" t="s">
        <v>122</v>
      </c>
      <c r="V648" s="189" t="s">
        <v>192</v>
      </c>
      <c r="W648" s="189" t="s">
        <v>124</v>
      </c>
      <c r="X648" s="189" t="s">
        <v>271</v>
      </c>
      <c r="Y648" s="189" t="s">
        <v>3069</v>
      </c>
      <c r="Z648" s="0" t="n">
        <v>1</v>
      </c>
      <c r="AA648" s="189" t="s">
        <v>3118</v>
      </c>
    </row>
    <row r="649" customFormat="false" ht="15" hidden="false" customHeight="false" outlineLevel="0" collapsed="false">
      <c r="A649" s="0" t="n">
        <v>132</v>
      </c>
      <c r="B649" s="188" t="n">
        <v>46036.3912488805</v>
      </c>
      <c r="C649" s="188" t="n">
        <v>46036.4079155471</v>
      </c>
      <c r="D649" s="189" t="s">
        <v>1122</v>
      </c>
      <c r="E649" s="189" t="s">
        <v>1123</v>
      </c>
      <c r="F649" s="189" t="s">
        <v>1124</v>
      </c>
      <c r="G649" s="189" t="s">
        <v>1125</v>
      </c>
      <c r="H649" s="188" t="n">
        <v>46034</v>
      </c>
      <c r="I649" s="189" t="s">
        <v>113</v>
      </c>
      <c r="J649" s="189" t="s">
        <v>108</v>
      </c>
      <c r="K649" s="189" t="s">
        <v>257</v>
      </c>
      <c r="L649" s="189" t="s">
        <v>491</v>
      </c>
      <c r="M649" s="189" t="s">
        <v>515</v>
      </c>
      <c r="N649" s="189" t="s">
        <v>407</v>
      </c>
      <c r="O649" s="189" t="s">
        <v>107</v>
      </c>
      <c r="P649" s="189" t="s">
        <v>111</v>
      </c>
      <c r="Q649" s="189" t="s">
        <v>112</v>
      </c>
      <c r="R649" s="189" t="s">
        <v>24</v>
      </c>
      <c r="S649" s="189" t="s">
        <v>152</v>
      </c>
      <c r="T649" s="189" t="s">
        <v>121</v>
      </c>
      <c r="U649" s="189" t="s">
        <v>1129</v>
      </c>
      <c r="V649" s="189" t="s">
        <v>123</v>
      </c>
      <c r="W649" s="189" t="s">
        <v>168</v>
      </c>
      <c r="X649" s="189" t="s">
        <v>448</v>
      </c>
      <c r="Y649" s="189" t="s">
        <v>3064</v>
      </c>
      <c r="Z649" s="0" t="n">
        <v>1</v>
      </c>
      <c r="AA649" s="189" t="s">
        <v>3191</v>
      </c>
    </row>
    <row r="650" customFormat="false" ht="15" hidden="false" customHeight="false" outlineLevel="0" collapsed="false">
      <c r="A650" s="0" t="n">
        <v>132</v>
      </c>
      <c r="B650" s="188" t="n">
        <v>46036.3912488805</v>
      </c>
      <c r="C650" s="188" t="n">
        <v>46036.4079155471</v>
      </c>
      <c r="D650" s="189" t="s">
        <v>1122</v>
      </c>
      <c r="E650" s="189" t="s">
        <v>1123</v>
      </c>
      <c r="F650" s="189" t="s">
        <v>1124</v>
      </c>
      <c r="G650" s="189" t="s">
        <v>1125</v>
      </c>
      <c r="H650" s="188" t="n">
        <v>46034</v>
      </c>
      <c r="I650" s="189" t="s">
        <v>113</v>
      </c>
      <c r="J650" s="189" t="s">
        <v>108</v>
      </c>
      <c r="K650" s="189" t="s">
        <v>257</v>
      </c>
      <c r="L650" s="189" t="s">
        <v>491</v>
      </c>
      <c r="M650" s="189" t="s">
        <v>515</v>
      </c>
      <c r="N650" s="189" t="s">
        <v>407</v>
      </c>
      <c r="O650" s="189" t="s">
        <v>107</v>
      </c>
      <c r="P650" s="189" t="s">
        <v>111</v>
      </c>
      <c r="Q650" s="189" t="s">
        <v>112</v>
      </c>
      <c r="R650" s="189" t="s">
        <v>24</v>
      </c>
      <c r="S650" s="189" t="s">
        <v>152</v>
      </c>
      <c r="T650" s="189" t="s">
        <v>121</v>
      </c>
      <c r="U650" s="189" t="s">
        <v>1129</v>
      </c>
      <c r="V650" s="189" t="s">
        <v>123</v>
      </c>
      <c r="W650" s="189" t="s">
        <v>168</v>
      </c>
      <c r="X650" s="189" t="s">
        <v>448</v>
      </c>
      <c r="Y650" s="189" t="s">
        <v>3064</v>
      </c>
      <c r="Z650" s="0" t="n">
        <v>2</v>
      </c>
      <c r="AA650" s="189" t="s">
        <v>3174</v>
      </c>
    </row>
    <row r="651" customFormat="false" ht="15" hidden="false" customHeight="false" outlineLevel="0" collapsed="false">
      <c r="A651" s="0" t="n">
        <v>132</v>
      </c>
      <c r="B651" s="188" t="n">
        <v>46036.3912488805</v>
      </c>
      <c r="C651" s="188" t="n">
        <v>46036.4079155471</v>
      </c>
      <c r="D651" s="189" t="s">
        <v>1122</v>
      </c>
      <c r="E651" s="189" t="s">
        <v>1123</v>
      </c>
      <c r="F651" s="189" t="s">
        <v>1124</v>
      </c>
      <c r="G651" s="189" t="s">
        <v>1125</v>
      </c>
      <c r="H651" s="188" t="n">
        <v>46034</v>
      </c>
      <c r="I651" s="189" t="s">
        <v>113</v>
      </c>
      <c r="J651" s="189" t="s">
        <v>108</v>
      </c>
      <c r="K651" s="189" t="s">
        <v>257</v>
      </c>
      <c r="L651" s="189" t="s">
        <v>491</v>
      </c>
      <c r="M651" s="189" t="s">
        <v>515</v>
      </c>
      <c r="N651" s="189" t="s">
        <v>407</v>
      </c>
      <c r="O651" s="189" t="s">
        <v>107</v>
      </c>
      <c r="P651" s="189" t="s">
        <v>111</v>
      </c>
      <c r="Q651" s="189" t="s">
        <v>112</v>
      </c>
      <c r="R651" s="189" t="s">
        <v>24</v>
      </c>
      <c r="S651" s="189" t="s">
        <v>152</v>
      </c>
      <c r="T651" s="189" t="s">
        <v>121</v>
      </c>
      <c r="U651" s="189" t="s">
        <v>1129</v>
      </c>
      <c r="V651" s="189" t="s">
        <v>123</v>
      </c>
      <c r="W651" s="189" t="s">
        <v>168</v>
      </c>
      <c r="X651" s="189" t="s">
        <v>448</v>
      </c>
      <c r="Y651" s="189" t="s">
        <v>3066</v>
      </c>
      <c r="Z651" s="0" t="n">
        <v>1</v>
      </c>
      <c r="AA651" s="189" t="s">
        <v>3177</v>
      </c>
    </row>
    <row r="652" customFormat="false" ht="15" hidden="false" customHeight="false" outlineLevel="0" collapsed="false">
      <c r="A652" s="0" t="n">
        <v>132</v>
      </c>
      <c r="B652" s="188" t="n">
        <v>46036.3912488805</v>
      </c>
      <c r="C652" s="188" t="n">
        <v>46036.4079155471</v>
      </c>
      <c r="D652" s="189" t="s">
        <v>1122</v>
      </c>
      <c r="E652" s="189" t="s">
        <v>1123</v>
      </c>
      <c r="F652" s="189" t="s">
        <v>1124</v>
      </c>
      <c r="G652" s="189" t="s">
        <v>1125</v>
      </c>
      <c r="H652" s="188" t="n">
        <v>46034</v>
      </c>
      <c r="I652" s="189" t="s">
        <v>113</v>
      </c>
      <c r="J652" s="189" t="s">
        <v>108</v>
      </c>
      <c r="K652" s="189" t="s">
        <v>257</v>
      </c>
      <c r="L652" s="189" t="s">
        <v>491</v>
      </c>
      <c r="M652" s="189" t="s">
        <v>515</v>
      </c>
      <c r="N652" s="189" t="s">
        <v>407</v>
      </c>
      <c r="O652" s="189" t="s">
        <v>107</v>
      </c>
      <c r="P652" s="189" t="s">
        <v>111</v>
      </c>
      <c r="Q652" s="189" t="s">
        <v>112</v>
      </c>
      <c r="R652" s="189" t="s">
        <v>24</v>
      </c>
      <c r="S652" s="189" t="s">
        <v>152</v>
      </c>
      <c r="T652" s="189" t="s">
        <v>121</v>
      </c>
      <c r="U652" s="189" t="s">
        <v>1129</v>
      </c>
      <c r="V652" s="189" t="s">
        <v>123</v>
      </c>
      <c r="W652" s="189" t="s">
        <v>168</v>
      </c>
      <c r="X652" s="189" t="s">
        <v>448</v>
      </c>
      <c r="Y652" s="189" t="s">
        <v>3066</v>
      </c>
      <c r="Z652" s="0" t="n">
        <v>2</v>
      </c>
      <c r="AA652" s="189" t="s">
        <v>3279</v>
      </c>
    </row>
    <row r="653" customFormat="false" ht="15" hidden="false" customHeight="false" outlineLevel="0" collapsed="false">
      <c r="A653" s="0" t="n">
        <v>132</v>
      </c>
      <c r="B653" s="188" t="n">
        <v>46036.3912488805</v>
      </c>
      <c r="C653" s="188" t="n">
        <v>46036.4079155471</v>
      </c>
      <c r="D653" s="189" t="s">
        <v>1122</v>
      </c>
      <c r="E653" s="189" t="s">
        <v>1123</v>
      </c>
      <c r="F653" s="189" t="s">
        <v>1124</v>
      </c>
      <c r="G653" s="189" t="s">
        <v>1125</v>
      </c>
      <c r="H653" s="188" t="n">
        <v>46034</v>
      </c>
      <c r="I653" s="189" t="s">
        <v>113</v>
      </c>
      <c r="J653" s="189" t="s">
        <v>108</v>
      </c>
      <c r="K653" s="189" t="s">
        <v>257</v>
      </c>
      <c r="L653" s="189" t="s">
        <v>491</v>
      </c>
      <c r="M653" s="189" t="s">
        <v>515</v>
      </c>
      <c r="N653" s="189" t="s">
        <v>407</v>
      </c>
      <c r="O653" s="189" t="s">
        <v>107</v>
      </c>
      <c r="P653" s="189" t="s">
        <v>111</v>
      </c>
      <c r="Q653" s="189" t="s">
        <v>112</v>
      </c>
      <c r="R653" s="189" t="s">
        <v>24</v>
      </c>
      <c r="S653" s="189" t="s">
        <v>152</v>
      </c>
      <c r="T653" s="189" t="s">
        <v>121</v>
      </c>
      <c r="U653" s="189" t="s">
        <v>1129</v>
      </c>
      <c r="V653" s="189" t="s">
        <v>123</v>
      </c>
      <c r="W653" s="189" t="s">
        <v>168</v>
      </c>
      <c r="X653" s="189" t="s">
        <v>448</v>
      </c>
      <c r="Y653" s="189" t="s">
        <v>3069</v>
      </c>
      <c r="Z653" s="0" t="n">
        <v>1</v>
      </c>
      <c r="AA653" s="189" t="s">
        <v>3179</v>
      </c>
    </row>
    <row r="654" customFormat="false" ht="15" hidden="false" customHeight="false" outlineLevel="0" collapsed="false">
      <c r="A654" s="0" t="n">
        <v>132</v>
      </c>
      <c r="B654" s="188" t="n">
        <v>46036.3912488805</v>
      </c>
      <c r="C654" s="188" t="n">
        <v>46036.4079155471</v>
      </c>
      <c r="D654" s="189" t="s">
        <v>1122</v>
      </c>
      <c r="E654" s="189" t="s">
        <v>1123</v>
      </c>
      <c r="F654" s="189" t="s">
        <v>1124</v>
      </c>
      <c r="G654" s="189" t="s">
        <v>1125</v>
      </c>
      <c r="H654" s="188" t="n">
        <v>46034</v>
      </c>
      <c r="I654" s="189" t="s">
        <v>113</v>
      </c>
      <c r="J654" s="189" t="s">
        <v>108</v>
      </c>
      <c r="K654" s="189" t="s">
        <v>257</v>
      </c>
      <c r="L654" s="189" t="s">
        <v>491</v>
      </c>
      <c r="M654" s="189" t="s">
        <v>515</v>
      </c>
      <c r="N654" s="189" t="s">
        <v>407</v>
      </c>
      <c r="O654" s="189" t="s">
        <v>107</v>
      </c>
      <c r="P654" s="189" t="s">
        <v>111</v>
      </c>
      <c r="Q654" s="189" t="s">
        <v>112</v>
      </c>
      <c r="R654" s="189" t="s">
        <v>24</v>
      </c>
      <c r="S654" s="189" t="s">
        <v>152</v>
      </c>
      <c r="T654" s="189" t="s">
        <v>121</v>
      </c>
      <c r="U654" s="189" t="s">
        <v>1129</v>
      </c>
      <c r="V654" s="189" t="s">
        <v>123</v>
      </c>
      <c r="W654" s="189" t="s">
        <v>168</v>
      </c>
      <c r="X654" s="189" t="s">
        <v>448</v>
      </c>
      <c r="Y654" s="189" t="s">
        <v>3069</v>
      </c>
      <c r="Z654" s="0" t="n">
        <v>2</v>
      </c>
      <c r="AA654" s="189" t="s">
        <v>3190</v>
      </c>
    </row>
    <row r="655" customFormat="false" ht="15" hidden="false" customHeight="false" outlineLevel="0" collapsed="false">
      <c r="A655" s="0" t="n">
        <v>133</v>
      </c>
      <c r="B655" s="188" t="n">
        <v>46150.2328583388</v>
      </c>
      <c r="C655" s="188" t="n">
        <v>46150.2452078759</v>
      </c>
      <c r="D655" s="189" t="s">
        <v>1130</v>
      </c>
      <c r="E655" s="189" t="s">
        <v>1131</v>
      </c>
      <c r="F655" s="189" t="s">
        <v>1131</v>
      </c>
      <c r="G655" s="189" t="s">
        <v>1132</v>
      </c>
      <c r="H655" s="188" t="n">
        <v>46141</v>
      </c>
      <c r="I655" s="189" t="s">
        <v>113</v>
      </c>
      <c r="J655" s="189" t="s">
        <v>108</v>
      </c>
      <c r="K655" s="189" t="s">
        <v>462</v>
      </c>
      <c r="L655" s="189" t="s">
        <v>346</v>
      </c>
      <c r="M655" s="189" t="s">
        <v>774</v>
      </c>
      <c r="N655" s="189" t="s">
        <v>200</v>
      </c>
      <c r="O655" s="189" t="s">
        <v>172</v>
      </c>
      <c r="P655" s="189" t="s">
        <v>131</v>
      </c>
      <c r="Q655" s="189" t="s">
        <v>112</v>
      </c>
      <c r="R655" s="189" t="s">
        <v>24</v>
      </c>
      <c r="S655" s="189" t="s">
        <v>152</v>
      </c>
      <c r="T655" s="189" t="s">
        <v>121</v>
      </c>
      <c r="U655" s="189" t="s">
        <v>562</v>
      </c>
      <c r="V655" s="189" t="s">
        <v>192</v>
      </c>
      <c r="W655" s="189" t="s">
        <v>124</v>
      </c>
      <c r="X655" s="189" t="s">
        <v>260</v>
      </c>
      <c r="Y655" s="189" t="s">
        <v>3064</v>
      </c>
      <c r="Z655" s="0" t="n">
        <v>1</v>
      </c>
      <c r="AA655" s="189" t="s">
        <v>3262</v>
      </c>
    </row>
    <row r="656" customFormat="false" ht="15" hidden="false" customHeight="false" outlineLevel="0" collapsed="false">
      <c r="A656" s="0" t="n">
        <v>133</v>
      </c>
      <c r="B656" s="188" t="n">
        <v>46150.2328583388</v>
      </c>
      <c r="C656" s="188" t="n">
        <v>46150.2452078759</v>
      </c>
      <c r="D656" s="189" t="s">
        <v>1130</v>
      </c>
      <c r="E656" s="189" t="s">
        <v>1131</v>
      </c>
      <c r="F656" s="189" t="s">
        <v>1131</v>
      </c>
      <c r="G656" s="189" t="s">
        <v>1132</v>
      </c>
      <c r="H656" s="188" t="n">
        <v>46141</v>
      </c>
      <c r="I656" s="189" t="s">
        <v>113</v>
      </c>
      <c r="J656" s="189" t="s">
        <v>108</v>
      </c>
      <c r="K656" s="189" t="s">
        <v>462</v>
      </c>
      <c r="L656" s="189" t="s">
        <v>346</v>
      </c>
      <c r="M656" s="189" t="s">
        <v>774</v>
      </c>
      <c r="N656" s="189" t="s">
        <v>200</v>
      </c>
      <c r="O656" s="189" t="s">
        <v>172</v>
      </c>
      <c r="P656" s="189" t="s">
        <v>131</v>
      </c>
      <c r="Q656" s="189" t="s">
        <v>112</v>
      </c>
      <c r="R656" s="189" t="s">
        <v>24</v>
      </c>
      <c r="S656" s="189" t="s">
        <v>152</v>
      </c>
      <c r="T656" s="189" t="s">
        <v>121</v>
      </c>
      <c r="U656" s="189" t="s">
        <v>562</v>
      </c>
      <c r="V656" s="189" t="s">
        <v>192</v>
      </c>
      <c r="W656" s="189" t="s">
        <v>124</v>
      </c>
      <c r="X656" s="189" t="s">
        <v>260</v>
      </c>
      <c r="Y656" s="189" t="s">
        <v>3064</v>
      </c>
      <c r="Z656" s="0" t="n">
        <v>2</v>
      </c>
      <c r="AA656" s="189" t="s">
        <v>3109</v>
      </c>
    </row>
    <row r="657" customFormat="false" ht="15" hidden="false" customHeight="false" outlineLevel="0" collapsed="false">
      <c r="A657" s="0" t="n">
        <v>133</v>
      </c>
      <c r="B657" s="188" t="n">
        <v>46150.2328583388</v>
      </c>
      <c r="C657" s="188" t="n">
        <v>46150.2452078759</v>
      </c>
      <c r="D657" s="189" t="s">
        <v>1130</v>
      </c>
      <c r="E657" s="189" t="s">
        <v>1131</v>
      </c>
      <c r="F657" s="189" t="s">
        <v>1131</v>
      </c>
      <c r="G657" s="189" t="s">
        <v>1132</v>
      </c>
      <c r="H657" s="188" t="n">
        <v>46141</v>
      </c>
      <c r="I657" s="189" t="s">
        <v>113</v>
      </c>
      <c r="J657" s="189" t="s">
        <v>108</v>
      </c>
      <c r="K657" s="189" t="s">
        <v>462</v>
      </c>
      <c r="L657" s="189" t="s">
        <v>346</v>
      </c>
      <c r="M657" s="189" t="s">
        <v>774</v>
      </c>
      <c r="N657" s="189" t="s">
        <v>200</v>
      </c>
      <c r="O657" s="189" t="s">
        <v>172</v>
      </c>
      <c r="P657" s="189" t="s">
        <v>131</v>
      </c>
      <c r="Q657" s="189" t="s">
        <v>112</v>
      </c>
      <c r="R657" s="189" t="s">
        <v>24</v>
      </c>
      <c r="S657" s="189" t="s">
        <v>152</v>
      </c>
      <c r="T657" s="189" t="s">
        <v>121</v>
      </c>
      <c r="U657" s="189" t="s">
        <v>562</v>
      </c>
      <c r="V657" s="189" t="s">
        <v>192</v>
      </c>
      <c r="W657" s="189" t="s">
        <v>124</v>
      </c>
      <c r="X657" s="189" t="s">
        <v>260</v>
      </c>
      <c r="Y657" s="189" t="s">
        <v>3064</v>
      </c>
      <c r="Z657" s="0" t="n">
        <v>3</v>
      </c>
      <c r="AA657" s="189" t="s">
        <v>606</v>
      </c>
    </row>
    <row r="658" customFormat="false" ht="15" hidden="false" customHeight="false" outlineLevel="0" collapsed="false">
      <c r="A658" s="0" t="n">
        <v>133</v>
      </c>
      <c r="B658" s="188" t="n">
        <v>46150.2328583388</v>
      </c>
      <c r="C658" s="188" t="n">
        <v>46150.2452078759</v>
      </c>
      <c r="D658" s="189" t="s">
        <v>1130</v>
      </c>
      <c r="E658" s="189" t="s">
        <v>1131</v>
      </c>
      <c r="F658" s="189" t="s">
        <v>1131</v>
      </c>
      <c r="G658" s="189" t="s">
        <v>1132</v>
      </c>
      <c r="H658" s="188" t="n">
        <v>46141</v>
      </c>
      <c r="I658" s="189" t="s">
        <v>113</v>
      </c>
      <c r="J658" s="189" t="s">
        <v>108</v>
      </c>
      <c r="K658" s="189" t="s">
        <v>462</v>
      </c>
      <c r="L658" s="189" t="s">
        <v>346</v>
      </c>
      <c r="M658" s="189" t="s">
        <v>774</v>
      </c>
      <c r="N658" s="189" t="s">
        <v>200</v>
      </c>
      <c r="O658" s="189" t="s">
        <v>172</v>
      </c>
      <c r="P658" s="189" t="s">
        <v>131</v>
      </c>
      <c r="Q658" s="189" t="s">
        <v>112</v>
      </c>
      <c r="R658" s="189" t="s">
        <v>24</v>
      </c>
      <c r="S658" s="189" t="s">
        <v>152</v>
      </c>
      <c r="T658" s="189" t="s">
        <v>121</v>
      </c>
      <c r="U658" s="189" t="s">
        <v>562</v>
      </c>
      <c r="V658" s="189" t="s">
        <v>192</v>
      </c>
      <c r="W658" s="189" t="s">
        <v>124</v>
      </c>
      <c r="X658" s="189" t="s">
        <v>260</v>
      </c>
      <c r="Y658" s="189" t="s">
        <v>3066</v>
      </c>
      <c r="Z658" s="0" t="n">
        <v>1</v>
      </c>
      <c r="AA658" s="189" t="s">
        <v>606</v>
      </c>
    </row>
    <row r="659" customFormat="false" ht="15" hidden="false" customHeight="false" outlineLevel="0" collapsed="false">
      <c r="A659" s="0" t="n">
        <v>133</v>
      </c>
      <c r="B659" s="188" t="n">
        <v>46150.2328583388</v>
      </c>
      <c r="C659" s="188" t="n">
        <v>46150.2452078759</v>
      </c>
      <c r="D659" s="189" t="s">
        <v>1130</v>
      </c>
      <c r="E659" s="189" t="s">
        <v>1131</v>
      </c>
      <c r="F659" s="189" t="s">
        <v>1131</v>
      </c>
      <c r="G659" s="189" t="s">
        <v>1132</v>
      </c>
      <c r="H659" s="188" t="n">
        <v>46141</v>
      </c>
      <c r="I659" s="189" t="s">
        <v>113</v>
      </c>
      <c r="J659" s="189" t="s">
        <v>108</v>
      </c>
      <c r="K659" s="189" t="s">
        <v>462</v>
      </c>
      <c r="L659" s="189" t="s">
        <v>346</v>
      </c>
      <c r="M659" s="189" t="s">
        <v>774</v>
      </c>
      <c r="N659" s="189" t="s">
        <v>200</v>
      </c>
      <c r="O659" s="189" t="s">
        <v>172</v>
      </c>
      <c r="P659" s="189" t="s">
        <v>131</v>
      </c>
      <c r="Q659" s="189" t="s">
        <v>112</v>
      </c>
      <c r="R659" s="189" t="s">
        <v>24</v>
      </c>
      <c r="S659" s="189" t="s">
        <v>152</v>
      </c>
      <c r="T659" s="189" t="s">
        <v>121</v>
      </c>
      <c r="U659" s="189" t="s">
        <v>562</v>
      </c>
      <c r="V659" s="189" t="s">
        <v>192</v>
      </c>
      <c r="W659" s="189" t="s">
        <v>124</v>
      </c>
      <c r="X659" s="189" t="s">
        <v>260</v>
      </c>
      <c r="Y659" s="189" t="s">
        <v>3069</v>
      </c>
      <c r="Z659" s="0" t="n">
        <v>1</v>
      </c>
      <c r="AA659" s="189" t="s">
        <v>3280</v>
      </c>
    </row>
    <row r="660" customFormat="false" ht="15" hidden="false" customHeight="false" outlineLevel="0" collapsed="false">
      <c r="A660" s="0" t="n">
        <v>134</v>
      </c>
      <c r="B660" s="188" t="n">
        <v>46138.5870902551</v>
      </c>
      <c r="C660" s="188" t="n">
        <v>46138.5953657181</v>
      </c>
      <c r="D660" s="189" t="s">
        <v>1136</v>
      </c>
      <c r="E660" s="189" t="s">
        <v>1137</v>
      </c>
      <c r="F660" s="189" t="s">
        <v>1137</v>
      </c>
      <c r="G660" s="189" t="s">
        <v>1138</v>
      </c>
      <c r="H660" s="188" t="n">
        <v>46122</v>
      </c>
      <c r="I660" s="189" t="s">
        <v>113</v>
      </c>
      <c r="J660" s="189" t="s">
        <v>108</v>
      </c>
      <c r="K660" s="189" t="s">
        <v>1139</v>
      </c>
      <c r="L660" s="189" t="s">
        <v>184</v>
      </c>
      <c r="M660" s="189" t="s">
        <v>944</v>
      </c>
      <c r="N660" s="189" t="s">
        <v>1140</v>
      </c>
      <c r="O660" s="189" t="s">
        <v>107</v>
      </c>
      <c r="P660" s="189" t="s">
        <v>131</v>
      </c>
      <c r="Q660" s="189" t="s">
        <v>145</v>
      </c>
      <c r="R660" s="189" t="s">
        <v>22</v>
      </c>
      <c r="S660" s="189" t="s">
        <v>152</v>
      </c>
      <c r="T660" s="189" t="s">
        <v>121</v>
      </c>
      <c r="V660" s="189" t="s">
        <v>123</v>
      </c>
      <c r="W660" s="189" t="s">
        <v>124</v>
      </c>
      <c r="X660" s="189" t="s">
        <v>381</v>
      </c>
      <c r="Y660" s="189" t="s">
        <v>3064</v>
      </c>
      <c r="Z660" s="0" t="n">
        <v>1</v>
      </c>
      <c r="AA660" s="189" t="s">
        <v>3249</v>
      </c>
    </row>
    <row r="661" customFormat="false" ht="15" hidden="false" customHeight="false" outlineLevel="0" collapsed="false">
      <c r="A661" s="0" t="n">
        <v>134</v>
      </c>
      <c r="B661" s="188" t="n">
        <v>46138.5870902551</v>
      </c>
      <c r="C661" s="188" t="n">
        <v>46138.5953657181</v>
      </c>
      <c r="D661" s="189" t="s">
        <v>1136</v>
      </c>
      <c r="E661" s="189" t="s">
        <v>1137</v>
      </c>
      <c r="F661" s="189" t="s">
        <v>1137</v>
      </c>
      <c r="G661" s="189" t="s">
        <v>1138</v>
      </c>
      <c r="H661" s="188" t="n">
        <v>46122</v>
      </c>
      <c r="I661" s="189" t="s">
        <v>113</v>
      </c>
      <c r="J661" s="189" t="s">
        <v>108</v>
      </c>
      <c r="K661" s="189" t="s">
        <v>1139</v>
      </c>
      <c r="L661" s="189" t="s">
        <v>184</v>
      </c>
      <c r="M661" s="189" t="s">
        <v>944</v>
      </c>
      <c r="N661" s="189" t="s">
        <v>1140</v>
      </c>
      <c r="O661" s="189" t="s">
        <v>107</v>
      </c>
      <c r="P661" s="189" t="s">
        <v>131</v>
      </c>
      <c r="Q661" s="189" t="s">
        <v>145</v>
      </c>
      <c r="R661" s="189" t="s">
        <v>22</v>
      </c>
      <c r="S661" s="189" t="s">
        <v>152</v>
      </c>
      <c r="T661" s="189" t="s">
        <v>121</v>
      </c>
      <c r="V661" s="189" t="s">
        <v>123</v>
      </c>
      <c r="W661" s="189" t="s">
        <v>124</v>
      </c>
      <c r="X661" s="189" t="s">
        <v>381</v>
      </c>
      <c r="Y661" s="189" t="s">
        <v>3066</v>
      </c>
      <c r="Z661" s="0" t="n">
        <v>1</v>
      </c>
      <c r="AA661" s="189" t="s">
        <v>3160</v>
      </c>
    </row>
    <row r="662" customFormat="false" ht="15" hidden="false" customHeight="false" outlineLevel="0" collapsed="false">
      <c r="A662" s="0" t="n">
        <v>134</v>
      </c>
      <c r="B662" s="188" t="n">
        <v>46138.5870902551</v>
      </c>
      <c r="C662" s="188" t="n">
        <v>46138.5953657181</v>
      </c>
      <c r="D662" s="189" t="s">
        <v>1136</v>
      </c>
      <c r="E662" s="189" t="s">
        <v>1137</v>
      </c>
      <c r="F662" s="189" t="s">
        <v>1137</v>
      </c>
      <c r="G662" s="189" t="s">
        <v>1138</v>
      </c>
      <c r="H662" s="188" t="n">
        <v>46122</v>
      </c>
      <c r="I662" s="189" t="s">
        <v>113</v>
      </c>
      <c r="J662" s="189" t="s">
        <v>108</v>
      </c>
      <c r="K662" s="189" t="s">
        <v>1139</v>
      </c>
      <c r="L662" s="189" t="s">
        <v>184</v>
      </c>
      <c r="M662" s="189" t="s">
        <v>944</v>
      </c>
      <c r="N662" s="189" t="s">
        <v>1140</v>
      </c>
      <c r="O662" s="189" t="s">
        <v>107</v>
      </c>
      <c r="P662" s="189" t="s">
        <v>131</v>
      </c>
      <c r="Q662" s="189" t="s">
        <v>145</v>
      </c>
      <c r="R662" s="189" t="s">
        <v>22</v>
      </c>
      <c r="S662" s="189" t="s">
        <v>152</v>
      </c>
      <c r="T662" s="189" t="s">
        <v>121</v>
      </c>
      <c r="V662" s="189" t="s">
        <v>123</v>
      </c>
      <c r="W662" s="189" t="s">
        <v>124</v>
      </c>
      <c r="X662" s="189" t="s">
        <v>381</v>
      </c>
      <c r="Y662" s="189" t="s">
        <v>3069</v>
      </c>
      <c r="Z662" s="0" t="n">
        <v>1</v>
      </c>
      <c r="AA662" s="189" t="s">
        <v>3181</v>
      </c>
    </row>
    <row r="663" customFormat="false" ht="15" hidden="false" customHeight="false" outlineLevel="0" collapsed="false">
      <c r="A663" s="0" t="n">
        <v>134</v>
      </c>
      <c r="B663" s="188" t="n">
        <v>46138.5870902551</v>
      </c>
      <c r="C663" s="188" t="n">
        <v>46138.5953657181</v>
      </c>
      <c r="D663" s="189" t="s">
        <v>1136</v>
      </c>
      <c r="E663" s="189" t="s">
        <v>1137</v>
      </c>
      <c r="F663" s="189" t="s">
        <v>1137</v>
      </c>
      <c r="G663" s="189" t="s">
        <v>1138</v>
      </c>
      <c r="H663" s="188" t="n">
        <v>46122</v>
      </c>
      <c r="I663" s="189" t="s">
        <v>113</v>
      </c>
      <c r="J663" s="189" t="s">
        <v>108</v>
      </c>
      <c r="K663" s="189" t="s">
        <v>1139</v>
      </c>
      <c r="L663" s="189" t="s">
        <v>184</v>
      </c>
      <c r="M663" s="189" t="s">
        <v>944</v>
      </c>
      <c r="N663" s="189" t="s">
        <v>1140</v>
      </c>
      <c r="O663" s="189" t="s">
        <v>107</v>
      </c>
      <c r="P663" s="189" t="s">
        <v>131</v>
      </c>
      <c r="Q663" s="189" t="s">
        <v>145</v>
      </c>
      <c r="R663" s="189" t="s">
        <v>22</v>
      </c>
      <c r="S663" s="189" t="s">
        <v>152</v>
      </c>
      <c r="T663" s="189" t="s">
        <v>121</v>
      </c>
      <c r="V663" s="189" t="s">
        <v>123</v>
      </c>
      <c r="W663" s="189" t="s">
        <v>124</v>
      </c>
      <c r="X663" s="189" t="s">
        <v>381</v>
      </c>
      <c r="Y663" s="189" t="s">
        <v>3069</v>
      </c>
      <c r="Z663" s="0" t="n">
        <v>2</v>
      </c>
      <c r="AA663" s="189" t="s">
        <v>3162</v>
      </c>
    </row>
    <row r="664" customFormat="false" ht="15" hidden="false" customHeight="false" outlineLevel="0" collapsed="false">
      <c r="A664" s="0" t="n">
        <v>135</v>
      </c>
      <c r="B664" s="188" t="n">
        <v>46210.0315187145</v>
      </c>
      <c r="C664" s="188" t="n">
        <v>46210.0340071404</v>
      </c>
      <c r="D664" s="189" t="s">
        <v>1141</v>
      </c>
      <c r="E664" s="189" t="s">
        <v>1142</v>
      </c>
      <c r="F664" s="189" t="s">
        <v>1142</v>
      </c>
      <c r="G664" s="189" t="s">
        <v>1143</v>
      </c>
      <c r="H664" s="188" t="n">
        <v>46200</v>
      </c>
      <c r="I664" s="189" t="s">
        <v>113</v>
      </c>
      <c r="J664" s="189" t="s">
        <v>128</v>
      </c>
      <c r="K664" s="189" t="s">
        <v>232</v>
      </c>
      <c r="L664" s="189" t="s">
        <v>346</v>
      </c>
      <c r="M664" s="189" t="s">
        <v>212</v>
      </c>
      <c r="N664" s="189" t="s">
        <v>1144</v>
      </c>
      <c r="O664" s="189" t="s">
        <v>107</v>
      </c>
      <c r="P664" s="189" t="s">
        <v>111</v>
      </c>
      <c r="Q664" s="189" t="s">
        <v>112</v>
      </c>
      <c r="R664" s="189" t="s">
        <v>22</v>
      </c>
      <c r="S664" s="189" t="s">
        <v>152</v>
      </c>
      <c r="T664" s="189" t="s">
        <v>264</v>
      </c>
      <c r="V664" s="189" t="s">
        <v>192</v>
      </c>
      <c r="W664" s="189" t="s">
        <v>124</v>
      </c>
      <c r="X664" s="189" t="s">
        <v>148</v>
      </c>
      <c r="Y664" s="189" t="s">
        <v>3064</v>
      </c>
      <c r="Z664" s="0" t="n">
        <v>1</v>
      </c>
      <c r="AA664" s="189" t="s">
        <v>3186</v>
      </c>
    </row>
    <row r="665" customFormat="false" ht="15" hidden="false" customHeight="false" outlineLevel="0" collapsed="false">
      <c r="A665" s="0" t="n">
        <v>135</v>
      </c>
      <c r="B665" s="188" t="n">
        <v>46210.0315187145</v>
      </c>
      <c r="C665" s="188" t="n">
        <v>46210.0340071404</v>
      </c>
      <c r="D665" s="189" t="s">
        <v>1141</v>
      </c>
      <c r="E665" s="189" t="s">
        <v>1142</v>
      </c>
      <c r="F665" s="189" t="s">
        <v>1142</v>
      </c>
      <c r="G665" s="189" t="s">
        <v>1143</v>
      </c>
      <c r="H665" s="188" t="n">
        <v>46200</v>
      </c>
      <c r="I665" s="189" t="s">
        <v>113</v>
      </c>
      <c r="J665" s="189" t="s">
        <v>128</v>
      </c>
      <c r="K665" s="189" t="s">
        <v>232</v>
      </c>
      <c r="L665" s="189" t="s">
        <v>346</v>
      </c>
      <c r="M665" s="189" t="s">
        <v>212</v>
      </c>
      <c r="N665" s="189" t="s">
        <v>1144</v>
      </c>
      <c r="O665" s="189" t="s">
        <v>107</v>
      </c>
      <c r="P665" s="189" t="s">
        <v>111</v>
      </c>
      <c r="Q665" s="189" t="s">
        <v>112</v>
      </c>
      <c r="R665" s="189" t="s">
        <v>22</v>
      </c>
      <c r="S665" s="189" t="s">
        <v>152</v>
      </c>
      <c r="T665" s="189" t="s">
        <v>264</v>
      </c>
      <c r="V665" s="189" t="s">
        <v>192</v>
      </c>
      <c r="W665" s="189" t="s">
        <v>124</v>
      </c>
      <c r="X665" s="189" t="s">
        <v>148</v>
      </c>
      <c r="Y665" s="189" t="s">
        <v>3064</v>
      </c>
      <c r="Z665" s="0" t="n">
        <v>2</v>
      </c>
      <c r="AA665" s="189" t="s">
        <v>3122</v>
      </c>
    </row>
    <row r="666" customFormat="false" ht="15" hidden="false" customHeight="false" outlineLevel="0" collapsed="false">
      <c r="A666" s="0" t="n">
        <v>135</v>
      </c>
      <c r="B666" s="188" t="n">
        <v>46210.0315187145</v>
      </c>
      <c r="C666" s="188" t="n">
        <v>46210.0340071404</v>
      </c>
      <c r="D666" s="189" t="s">
        <v>1141</v>
      </c>
      <c r="E666" s="189" t="s">
        <v>1142</v>
      </c>
      <c r="F666" s="189" t="s">
        <v>1142</v>
      </c>
      <c r="G666" s="189" t="s">
        <v>1143</v>
      </c>
      <c r="H666" s="188" t="n">
        <v>46200</v>
      </c>
      <c r="I666" s="189" t="s">
        <v>113</v>
      </c>
      <c r="J666" s="189" t="s">
        <v>128</v>
      </c>
      <c r="K666" s="189" t="s">
        <v>232</v>
      </c>
      <c r="L666" s="189" t="s">
        <v>346</v>
      </c>
      <c r="M666" s="189" t="s">
        <v>212</v>
      </c>
      <c r="N666" s="189" t="s">
        <v>1144</v>
      </c>
      <c r="O666" s="189" t="s">
        <v>107</v>
      </c>
      <c r="P666" s="189" t="s">
        <v>111</v>
      </c>
      <c r="Q666" s="189" t="s">
        <v>112</v>
      </c>
      <c r="R666" s="189" t="s">
        <v>22</v>
      </c>
      <c r="S666" s="189" t="s">
        <v>152</v>
      </c>
      <c r="T666" s="189" t="s">
        <v>264</v>
      </c>
      <c r="V666" s="189" t="s">
        <v>192</v>
      </c>
      <c r="W666" s="189" t="s">
        <v>124</v>
      </c>
      <c r="X666" s="189" t="s">
        <v>148</v>
      </c>
      <c r="Y666" s="189" t="s">
        <v>3064</v>
      </c>
      <c r="Z666" s="0" t="n">
        <v>3</v>
      </c>
      <c r="AA666" s="189" t="s">
        <v>3281</v>
      </c>
    </row>
    <row r="667" customFormat="false" ht="15" hidden="false" customHeight="false" outlineLevel="0" collapsed="false">
      <c r="A667" s="0" t="n">
        <v>135</v>
      </c>
      <c r="B667" s="188" t="n">
        <v>46210.0315187145</v>
      </c>
      <c r="C667" s="188" t="n">
        <v>46210.0340071404</v>
      </c>
      <c r="D667" s="189" t="s">
        <v>1141</v>
      </c>
      <c r="E667" s="189" t="s">
        <v>1142</v>
      </c>
      <c r="F667" s="189" t="s">
        <v>1142</v>
      </c>
      <c r="G667" s="189" t="s">
        <v>1143</v>
      </c>
      <c r="H667" s="188" t="n">
        <v>46200</v>
      </c>
      <c r="I667" s="189" t="s">
        <v>113</v>
      </c>
      <c r="J667" s="189" t="s">
        <v>128</v>
      </c>
      <c r="K667" s="189" t="s">
        <v>232</v>
      </c>
      <c r="L667" s="189" t="s">
        <v>346</v>
      </c>
      <c r="M667" s="189" t="s">
        <v>212</v>
      </c>
      <c r="N667" s="189" t="s">
        <v>1144</v>
      </c>
      <c r="O667" s="189" t="s">
        <v>107</v>
      </c>
      <c r="P667" s="189" t="s">
        <v>111</v>
      </c>
      <c r="Q667" s="189" t="s">
        <v>112</v>
      </c>
      <c r="R667" s="189" t="s">
        <v>22</v>
      </c>
      <c r="S667" s="189" t="s">
        <v>152</v>
      </c>
      <c r="T667" s="189" t="s">
        <v>264</v>
      </c>
      <c r="V667" s="189" t="s">
        <v>192</v>
      </c>
      <c r="W667" s="189" t="s">
        <v>124</v>
      </c>
      <c r="X667" s="189" t="s">
        <v>148</v>
      </c>
      <c r="Y667" s="189" t="s">
        <v>3066</v>
      </c>
      <c r="Z667" s="0" t="n">
        <v>1</v>
      </c>
      <c r="AA667" s="189" t="s">
        <v>3187</v>
      </c>
    </row>
    <row r="668" customFormat="false" ht="15" hidden="false" customHeight="false" outlineLevel="0" collapsed="false">
      <c r="A668" s="0" t="n">
        <v>135</v>
      </c>
      <c r="B668" s="188" t="n">
        <v>46210.0315187145</v>
      </c>
      <c r="C668" s="188" t="n">
        <v>46210.0340071404</v>
      </c>
      <c r="D668" s="189" t="s">
        <v>1141</v>
      </c>
      <c r="E668" s="189" t="s">
        <v>1142</v>
      </c>
      <c r="F668" s="189" t="s">
        <v>1142</v>
      </c>
      <c r="G668" s="189" t="s">
        <v>1143</v>
      </c>
      <c r="H668" s="188" t="n">
        <v>46200</v>
      </c>
      <c r="I668" s="189" t="s">
        <v>113</v>
      </c>
      <c r="J668" s="189" t="s">
        <v>128</v>
      </c>
      <c r="K668" s="189" t="s">
        <v>232</v>
      </c>
      <c r="L668" s="189" t="s">
        <v>346</v>
      </c>
      <c r="M668" s="189" t="s">
        <v>212</v>
      </c>
      <c r="N668" s="189" t="s">
        <v>1144</v>
      </c>
      <c r="O668" s="189" t="s">
        <v>107</v>
      </c>
      <c r="P668" s="189" t="s">
        <v>111</v>
      </c>
      <c r="Q668" s="189" t="s">
        <v>112</v>
      </c>
      <c r="R668" s="189" t="s">
        <v>22</v>
      </c>
      <c r="S668" s="189" t="s">
        <v>152</v>
      </c>
      <c r="T668" s="189" t="s">
        <v>264</v>
      </c>
      <c r="V668" s="189" t="s">
        <v>192</v>
      </c>
      <c r="W668" s="189" t="s">
        <v>124</v>
      </c>
      <c r="X668" s="189" t="s">
        <v>148</v>
      </c>
      <c r="Y668" s="189" t="s">
        <v>3066</v>
      </c>
      <c r="Z668" s="0" t="n">
        <v>2</v>
      </c>
      <c r="AA668" s="189" t="s">
        <v>122</v>
      </c>
    </row>
    <row r="669" customFormat="false" ht="15" hidden="false" customHeight="false" outlineLevel="0" collapsed="false">
      <c r="A669" s="0" t="n">
        <v>135</v>
      </c>
      <c r="B669" s="188" t="n">
        <v>46210.0315187145</v>
      </c>
      <c r="C669" s="188" t="n">
        <v>46210.0340071404</v>
      </c>
      <c r="D669" s="189" t="s">
        <v>1141</v>
      </c>
      <c r="E669" s="189" t="s">
        <v>1142</v>
      </c>
      <c r="F669" s="189" t="s">
        <v>1142</v>
      </c>
      <c r="G669" s="189" t="s">
        <v>1143</v>
      </c>
      <c r="H669" s="188" t="n">
        <v>46200</v>
      </c>
      <c r="I669" s="189" t="s">
        <v>113</v>
      </c>
      <c r="J669" s="189" t="s">
        <v>128</v>
      </c>
      <c r="K669" s="189" t="s">
        <v>232</v>
      </c>
      <c r="L669" s="189" t="s">
        <v>346</v>
      </c>
      <c r="M669" s="189" t="s">
        <v>212</v>
      </c>
      <c r="N669" s="189" t="s">
        <v>1144</v>
      </c>
      <c r="O669" s="189" t="s">
        <v>107</v>
      </c>
      <c r="P669" s="189" t="s">
        <v>111</v>
      </c>
      <c r="Q669" s="189" t="s">
        <v>112</v>
      </c>
      <c r="R669" s="189" t="s">
        <v>22</v>
      </c>
      <c r="S669" s="189" t="s">
        <v>152</v>
      </c>
      <c r="T669" s="189" t="s">
        <v>264</v>
      </c>
      <c r="V669" s="189" t="s">
        <v>192</v>
      </c>
      <c r="W669" s="189" t="s">
        <v>124</v>
      </c>
      <c r="X669" s="189" t="s">
        <v>148</v>
      </c>
      <c r="Y669" s="189" t="s">
        <v>3069</v>
      </c>
      <c r="Z669" s="0" t="n">
        <v>1</v>
      </c>
      <c r="AA669" s="189" t="s">
        <v>3080</v>
      </c>
    </row>
    <row r="670" customFormat="false" ht="15" hidden="false" customHeight="false" outlineLevel="0" collapsed="false">
      <c r="A670" s="0" t="n">
        <v>135</v>
      </c>
      <c r="B670" s="188" t="n">
        <v>46210.0315187145</v>
      </c>
      <c r="C670" s="188" t="n">
        <v>46210.0340071404</v>
      </c>
      <c r="D670" s="189" t="s">
        <v>1141</v>
      </c>
      <c r="E670" s="189" t="s">
        <v>1142</v>
      </c>
      <c r="F670" s="189" t="s">
        <v>1142</v>
      </c>
      <c r="G670" s="189" t="s">
        <v>1143</v>
      </c>
      <c r="H670" s="188" t="n">
        <v>46200</v>
      </c>
      <c r="I670" s="189" t="s">
        <v>113</v>
      </c>
      <c r="J670" s="189" t="s">
        <v>128</v>
      </c>
      <c r="K670" s="189" t="s">
        <v>232</v>
      </c>
      <c r="L670" s="189" t="s">
        <v>346</v>
      </c>
      <c r="M670" s="189" t="s">
        <v>212</v>
      </c>
      <c r="N670" s="189" t="s">
        <v>1144</v>
      </c>
      <c r="O670" s="189" t="s">
        <v>107</v>
      </c>
      <c r="P670" s="189" t="s">
        <v>111</v>
      </c>
      <c r="Q670" s="189" t="s">
        <v>112</v>
      </c>
      <c r="R670" s="189" t="s">
        <v>22</v>
      </c>
      <c r="S670" s="189" t="s">
        <v>152</v>
      </c>
      <c r="T670" s="189" t="s">
        <v>264</v>
      </c>
      <c r="V670" s="189" t="s">
        <v>192</v>
      </c>
      <c r="W670" s="189" t="s">
        <v>124</v>
      </c>
      <c r="X670" s="189" t="s">
        <v>148</v>
      </c>
      <c r="Y670" s="189" t="s">
        <v>3069</v>
      </c>
      <c r="Z670" s="0" t="n">
        <v>2</v>
      </c>
      <c r="AA670" s="189" t="s">
        <v>3282</v>
      </c>
    </row>
    <row r="671" customFormat="false" ht="15" hidden="false" customHeight="false" outlineLevel="0" collapsed="false">
      <c r="A671" s="0" t="n">
        <v>136</v>
      </c>
      <c r="B671" s="188" t="n">
        <v>46183.861436469</v>
      </c>
      <c r="C671" s="188" t="n">
        <v>46183.8821887838</v>
      </c>
      <c r="D671" s="189" t="s">
        <v>1148</v>
      </c>
      <c r="E671" s="189" t="s">
        <v>1149</v>
      </c>
      <c r="F671" s="189" t="s">
        <v>1149</v>
      </c>
      <c r="G671" s="189" t="s">
        <v>1150</v>
      </c>
      <c r="H671" s="188" t="n">
        <v>46170</v>
      </c>
      <c r="I671" s="189" t="s">
        <v>132</v>
      </c>
      <c r="J671" s="189" t="s">
        <v>295</v>
      </c>
      <c r="K671" s="189" t="s">
        <v>196</v>
      </c>
      <c r="L671" s="189" t="s">
        <v>389</v>
      </c>
      <c r="M671" s="189" t="s">
        <v>1151</v>
      </c>
      <c r="N671" s="189" t="s">
        <v>758</v>
      </c>
      <c r="O671" s="189" t="s">
        <v>278</v>
      </c>
      <c r="P671" s="189" t="s">
        <v>111</v>
      </c>
      <c r="Q671" s="189" t="s">
        <v>112</v>
      </c>
      <c r="R671" s="189" t="s">
        <v>21</v>
      </c>
      <c r="S671" s="189" t="s">
        <v>152</v>
      </c>
      <c r="T671" s="189" t="s">
        <v>228</v>
      </c>
      <c r="V671" s="189" t="s">
        <v>167</v>
      </c>
      <c r="W671" s="189" t="s">
        <v>124</v>
      </c>
      <c r="X671" s="189" t="s">
        <v>457</v>
      </c>
      <c r="Y671" s="189" t="s">
        <v>3064</v>
      </c>
      <c r="Z671" s="0" t="n">
        <v>1</v>
      </c>
      <c r="AA671" s="189" t="s">
        <v>3107</v>
      </c>
    </row>
    <row r="672" customFormat="false" ht="15" hidden="false" customHeight="false" outlineLevel="0" collapsed="false">
      <c r="A672" s="0" t="n">
        <v>136</v>
      </c>
      <c r="B672" s="188" t="n">
        <v>46183.861436469</v>
      </c>
      <c r="C672" s="188" t="n">
        <v>46183.8821887838</v>
      </c>
      <c r="D672" s="189" t="s">
        <v>1148</v>
      </c>
      <c r="E672" s="189" t="s">
        <v>1149</v>
      </c>
      <c r="F672" s="189" t="s">
        <v>1149</v>
      </c>
      <c r="G672" s="189" t="s">
        <v>1150</v>
      </c>
      <c r="H672" s="188" t="n">
        <v>46170</v>
      </c>
      <c r="I672" s="189" t="s">
        <v>132</v>
      </c>
      <c r="J672" s="189" t="s">
        <v>295</v>
      </c>
      <c r="K672" s="189" t="s">
        <v>196</v>
      </c>
      <c r="L672" s="189" t="s">
        <v>389</v>
      </c>
      <c r="M672" s="189" t="s">
        <v>1151</v>
      </c>
      <c r="N672" s="189" t="s">
        <v>758</v>
      </c>
      <c r="O672" s="189" t="s">
        <v>278</v>
      </c>
      <c r="P672" s="189" t="s">
        <v>111</v>
      </c>
      <c r="Q672" s="189" t="s">
        <v>112</v>
      </c>
      <c r="R672" s="189" t="s">
        <v>21</v>
      </c>
      <c r="S672" s="189" t="s">
        <v>152</v>
      </c>
      <c r="T672" s="189" t="s">
        <v>228</v>
      </c>
      <c r="V672" s="189" t="s">
        <v>167</v>
      </c>
      <c r="W672" s="189" t="s">
        <v>124</v>
      </c>
      <c r="X672" s="189" t="s">
        <v>457</v>
      </c>
      <c r="Y672" s="189" t="s">
        <v>3064</v>
      </c>
      <c r="Z672" s="0" t="n">
        <v>2</v>
      </c>
      <c r="AA672" s="189" t="s">
        <v>3065</v>
      </c>
    </row>
    <row r="673" customFormat="false" ht="15" hidden="false" customHeight="false" outlineLevel="0" collapsed="false">
      <c r="A673" s="0" t="n">
        <v>136</v>
      </c>
      <c r="B673" s="188" t="n">
        <v>46183.861436469</v>
      </c>
      <c r="C673" s="188" t="n">
        <v>46183.8821887838</v>
      </c>
      <c r="D673" s="189" t="s">
        <v>1148</v>
      </c>
      <c r="E673" s="189" t="s">
        <v>1149</v>
      </c>
      <c r="F673" s="189" t="s">
        <v>1149</v>
      </c>
      <c r="G673" s="189" t="s">
        <v>1150</v>
      </c>
      <c r="H673" s="188" t="n">
        <v>46170</v>
      </c>
      <c r="I673" s="189" t="s">
        <v>132</v>
      </c>
      <c r="J673" s="189" t="s">
        <v>295</v>
      </c>
      <c r="K673" s="189" t="s">
        <v>196</v>
      </c>
      <c r="L673" s="189" t="s">
        <v>389</v>
      </c>
      <c r="M673" s="189" t="s">
        <v>1151</v>
      </c>
      <c r="N673" s="189" t="s">
        <v>758</v>
      </c>
      <c r="O673" s="189" t="s">
        <v>278</v>
      </c>
      <c r="P673" s="189" t="s">
        <v>111</v>
      </c>
      <c r="Q673" s="189" t="s">
        <v>112</v>
      </c>
      <c r="R673" s="189" t="s">
        <v>21</v>
      </c>
      <c r="S673" s="189" t="s">
        <v>152</v>
      </c>
      <c r="T673" s="189" t="s">
        <v>228</v>
      </c>
      <c r="V673" s="189" t="s">
        <v>167</v>
      </c>
      <c r="W673" s="189" t="s">
        <v>124</v>
      </c>
      <c r="X673" s="189" t="s">
        <v>457</v>
      </c>
      <c r="Y673" s="189" t="s">
        <v>3064</v>
      </c>
      <c r="Z673" s="0" t="n">
        <v>3</v>
      </c>
      <c r="AA673" s="189" t="s">
        <v>3139</v>
      </c>
    </row>
    <row r="674" customFormat="false" ht="15" hidden="false" customHeight="false" outlineLevel="0" collapsed="false">
      <c r="A674" s="0" t="n">
        <v>136</v>
      </c>
      <c r="B674" s="188" t="n">
        <v>46183.861436469</v>
      </c>
      <c r="C674" s="188" t="n">
        <v>46183.8821887838</v>
      </c>
      <c r="D674" s="189" t="s">
        <v>1148</v>
      </c>
      <c r="E674" s="189" t="s">
        <v>1149</v>
      </c>
      <c r="F674" s="189" t="s">
        <v>1149</v>
      </c>
      <c r="G674" s="189" t="s">
        <v>1150</v>
      </c>
      <c r="H674" s="188" t="n">
        <v>46170</v>
      </c>
      <c r="I674" s="189" t="s">
        <v>132</v>
      </c>
      <c r="J674" s="189" t="s">
        <v>295</v>
      </c>
      <c r="K674" s="189" t="s">
        <v>196</v>
      </c>
      <c r="L674" s="189" t="s">
        <v>389</v>
      </c>
      <c r="M674" s="189" t="s">
        <v>1151</v>
      </c>
      <c r="N674" s="189" t="s">
        <v>758</v>
      </c>
      <c r="O674" s="189" t="s">
        <v>278</v>
      </c>
      <c r="P674" s="189" t="s">
        <v>111</v>
      </c>
      <c r="Q674" s="189" t="s">
        <v>112</v>
      </c>
      <c r="R674" s="189" t="s">
        <v>21</v>
      </c>
      <c r="S674" s="189" t="s">
        <v>152</v>
      </c>
      <c r="T674" s="189" t="s">
        <v>228</v>
      </c>
      <c r="V674" s="189" t="s">
        <v>167</v>
      </c>
      <c r="W674" s="189" t="s">
        <v>124</v>
      </c>
      <c r="X674" s="189" t="s">
        <v>457</v>
      </c>
      <c r="Y674" s="189" t="s">
        <v>3066</v>
      </c>
      <c r="Z674" s="0" t="n">
        <v>1</v>
      </c>
      <c r="AA674" s="189" t="s">
        <v>3211</v>
      </c>
    </row>
    <row r="675" customFormat="false" ht="15" hidden="false" customHeight="false" outlineLevel="0" collapsed="false">
      <c r="A675" s="0" t="n">
        <v>136</v>
      </c>
      <c r="B675" s="188" t="n">
        <v>46183.861436469</v>
      </c>
      <c r="C675" s="188" t="n">
        <v>46183.8821887838</v>
      </c>
      <c r="D675" s="189" t="s">
        <v>1148</v>
      </c>
      <c r="E675" s="189" t="s">
        <v>1149</v>
      </c>
      <c r="F675" s="189" t="s">
        <v>1149</v>
      </c>
      <c r="G675" s="189" t="s">
        <v>1150</v>
      </c>
      <c r="H675" s="188" t="n">
        <v>46170</v>
      </c>
      <c r="I675" s="189" t="s">
        <v>132</v>
      </c>
      <c r="J675" s="189" t="s">
        <v>295</v>
      </c>
      <c r="K675" s="189" t="s">
        <v>196</v>
      </c>
      <c r="L675" s="189" t="s">
        <v>389</v>
      </c>
      <c r="M675" s="189" t="s">
        <v>1151</v>
      </c>
      <c r="N675" s="189" t="s">
        <v>758</v>
      </c>
      <c r="O675" s="189" t="s">
        <v>278</v>
      </c>
      <c r="P675" s="189" t="s">
        <v>111</v>
      </c>
      <c r="Q675" s="189" t="s">
        <v>112</v>
      </c>
      <c r="R675" s="189" t="s">
        <v>21</v>
      </c>
      <c r="S675" s="189" t="s">
        <v>152</v>
      </c>
      <c r="T675" s="189" t="s">
        <v>228</v>
      </c>
      <c r="V675" s="189" t="s">
        <v>167</v>
      </c>
      <c r="W675" s="189" t="s">
        <v>124</v>
      </c>
      <c r="X675" s="189" t="s">
        <v>457</v>
      </c>
      <c r="Y675" s="189" t="s">
        <v>3069</v>
      </c>
      <c r="Z675" s="0" t="n">
        <v>1</v>
      </c>
      <c r="AA675" s="189" t="s">
        <v>122</v>
      </c>
    </row>
    <row r="676" customFormat="false" ht="15" hidden="false" customHeight="false" outlineLevel="0" collapsed="false">
      <c r="A676" s="0" t="n">
        <v>137</v>
      </c>
      <c r="B676" s="188" t="n">
        <v>46139.1267903679</v>
      </c>
      <c r="C676" s="188" t="n">
        <v>46139.1302047198</v>
      </c>
      <c r="D676" s="189" t="s">
        <v>1153</v>
      </c>
      <c r="E676" s="189" t="s">
        <v>1154</v>
      </c>
      <c r="F676" s="189" t="s">
        <v>1154</v>
      </c>
      <c r="G676" s="189" t="s">
        <v>1155</v>
      </c>
      <c r="H676" s="188" t="n">
        <v>46124</v>
      </c>
      <c r="I676" s="189" t="s">
        <v>113</v>
      </c>
      <c r="J676" s="189" t="s">
        <v>108</v>
      </c>
      <c r="K676" s="189" t="s">
        <v>364</v>
      </c>
      <c r="L676" s="189" t="s">
        <v>268</v>
      </c>
      <c r="M676" s="189" t="s">
        <v>594</v>
      </c>
      <c r="N676" s="189" t="s">
        <v>1156</v>
      </c>
      <c r="O676" s="189" t="s">
        <v>157</v>
      </c>
      <c r="P676" s="189" t="s">
        <v>111</v>
      </c>
      <c r="Q676" s="189" t="s">
        <v>112</v>
      </c>
      <c r="R676" s="189" t="s">
        <v>24</v>
      </c>
      <c r="S676" s="189" t="s">
        <v>152</v>
      </c>
      <c r="T676" s="189" t="s">
        <v>121</v>
      </c>
      <c r="V676" s="189" t="s">
        <v>167</v>
      </c>
      <c r="W676" s="189" t="s">
        <v>124</v>
      </c>
      <c r="X676" s="189" t="s">
        <v>19</v>
      </c>
      <c r="Y676" s="189" t="s">
        <v>3172</v>
      </c>
      <c r="Z676" s="0" t="n">
        <v>1</v>
      </c>
      <c r="AA676" s="189" t="s">
        <v>880</v>
      </c>
    </row>
    <row r="677" customFormat="false" ht="15" hidden="false" customHeight="false" outlineLevel="0" collapsed="false">
      <c r="A677" s="0" t="n">
        <v>138</v>
      </c>
      <c r="B677" s="188" t="n">
        <v>46181.8585406506</v>
      </c>
      <c r="C677" s="188" t="n">
        <v>46181.8712026877</v>
      </c>
      <c r="D677" s="189" t="s">
        <v>1157</v>
      </c>
      <c r="E677" s="189" t="s">
        <v>1158</v>
      </c>
      <c r="F677" s="189" t="s">
        <v>1158</v>
      </c>
      <c r="G677" s="189" t="s">
        <v>1159</v>
      </c>
      <c r="H677" s="188" t="n">
        <v>46164</v>
      </c>
      <c r="I677" s="189" t="s">
        <v>113</v>
      </c>
      <c r="J677" s="189" t="s">
        <v>108</v>
      </c>
      <c r="K677" s="189" t="s">
        <v>364</v>
      </c>
      <c r="L677" s="189" t="s">
        <v>246</v>
      </c>
      <c r="M677" s="189" t="s">
        <v>144</v>
      </c>
      <c r="N677" s="189" t="s">
        <v>1160</v>
      </c>
      <c r="O677" s="189" t="s">
        <v>172</v>
      </c>
      <c r="P677" s="189" t="s">
        <v>131</v>
      </c>
      <c r="Q677" s="189" t="s">
        <v>145</v>
      </c>
      <c r="R677" s="189" t="s">
        <v>22</v>
      </c>
      <c r="S677" s="189" t="s">
        <v>152</v>
      </c>
      <c r="T677" s="189" t="s">
        <v>121</v>
      </c>
      <c r="U677" s="189" t="s">
        <v>122</v>
      </c>
      <c r="V677" s="189" t="s">
        <v>123</v>
      </c>
      <c r="W677" s="189" t="s">
        <v>168</v>
      </c>
      <c r="X677" s="189" t="s">
        <v>135</v>
      </c>
      <c r="Y677" s="189" t="s">
        <v>3064</v>
      </c>
      <c r="Z677" s="0" t="n">
        <v>1</v>
      </c>
      <c r="AA677" s="189" t="s">
        <v>3201</v>
      </c>
    </row>
    <row r="678" customFormat="false" ht="15" hidden="false" customHeight="false" outlineLevel="0" collapsed="false">
      <c r="A678" s="0" t="n">
        <v>138</v>
      </c>
      <c r="B678" s="188" t="n">
        <v>46181.8585406506</v>
      </c>
      <c r="C678" s="188" t="n">
        <v>46181.8712026877</v>
      </c>
      <c r="D678" s="189" t="s">
        <v>1157</v>
      </c>
      <c r="E678" s="189" t="s">
        <v>1158</v>
      </c>
      <c r="F678" s="189" t="s">
        <v>1158</v>
      </c>
      <c r="G678" s="189" t="s">
        <v>1159</v>
      </c>
      <c r="H678" s="188" t="n">
        <v>46164</v>
      </c>
      <c r="I678" s="189" t="s">
        <v>113</v>
      </c>
      <c r="J678" s="189" t="s">
        <v>108</v>
      </c>
      <c r="K678" s="189" t="s">
        <v>364</v>
      </c>
      <c r="L678" s="189" t="s">
        <v>246</v>
      </c>
      <c r="M678" s="189" t="s">
        <v>144</v>
      </c>
      <c r="N678" s="189" t="s">
        <v>1160</v>
      </c>
      <c r="O678" s="189" t="s">
        <v>172</v>
      </c>
      <c r="P678" s="189" t="s">
        <v>131</v>
      </c>
      <c r="Q678" s="189" t="s">
        <v>145</v>
      </c>
      <c r="R678" s="189" t="s">
        <v>22</v>
      </c>
      <c r="S678" s="189" t="s">
        <v>152</v>
      </c>
      <c r="T678" s="189" t="s">
        <v>121</v>
      </c>
      <c r="U678" s="189" t="s">
        <v>122</v>
      </c>
      <c r="V678" s="189" t="s">
        <v>123</v>
      </c>
      <c r="W678" s="189" t="s">
        <v>168</v>
      </c>
      <c r="X678" s="189" t="s">
        <v>135</v>
      </c>
      <c r="Y678" s="189" t="s">
        <v>3064</v>
      </c>
      <c r="Z678" s="0" t="n">
        <v>2</v>
      </c>
      <c r="AA678" s="189" t="s">
        <v>3183</v>
      </c>
    </row>
    <row r="679" customFormat="false" ht="15" hidden="false" customHeight="false" outlineLevel="0" collapsed="false">
      <c r="A679" s="0" t="n">
        <v>138</v>
      </c>
      <c r="B679" s="188" t="n">
        <v>46181.8585406506</v>
      </c>
      <c r="C679" s="188" t="n">
        <v>46181.8712026877</v>
      </c>
      <c r="D679" s="189" t="s">
        <v>1157</v>
      </c>
      <c r="E679" s="189" t="s">
        <v>1158</v>
      </c>
      <c r="F679" s="189" t="s">
        <v>1158</v>
      </c>
      <c r="G679" s="189" t="s">
        <v>1159</v>
      </c>
      <c r="H679" s="188" t="n">
        <v>46164</v>
      </c>
      <c r="I679" s="189" t="s">
        <v>113</v>
      </c>
      <c r="J679" s="189" t="s">
        <v>108</v>
      </c>
      <c r="K679" s="189" t="s">
        <v>364</v>
      </c>
      <c r="L679" s="189" t="s">
        <v>246</v>
      </c>
      <c r="M679" s="189" t="s">
        <v>144</v>
      </c>
      <c r="N679" s="189" t="s">
        <v>1160</v>
      </c>
      <c r="O679" s="189" t="s">
        <v>172</v>
      </c>
      <c r="P679" s="189" t="s">
        <v>131</v>
      </c>
      <c r="Q679" s="189" t="s">
        <v>145</v>
      </c>
      <c r="R679" s="189" t="s">
        <v>22</v>
      </c>
      <c r="S679" s="189" t="s">
        <v>152</v>
      </c>
      <c r="T679" s="189" t="s">
        <v>121</v>
      </c>
      <c r="U679" s="189" t="s">
        <v>122</v>
      </c>
      <c r="V679" s="189" t="s">
        <v>123</v>
      </c>
      <c r="W679" s="189" t="s">
        <v>168</v>
      </c>
      <c r="X679" s="189" t="s">
        <v>135</v>
      </c>
      <c r="Y679" s="189" t="s">
        <v>3064</v>
      </c>
      <c r="Z679" s="0" t="n">
        <v>3</v>
      </c>
      <c r="AA679" s="189" t="s">
        <v>3071</v>
      </c>
    </row>
    <row r="680" customFormat="false" ht="15" hidden="false" customHeight="false" outlineLevel="0" collapsed="false">
      <c r="A680" s="0" t="n">
        <v>138</v>
      </c>
      <c r="B680" s="188" t="n">
        <v>46181.8585406506</v>
      </c>
      <c r="C680" s="188" t="n">
        <v>46181.8712026877</v>
      </c>
      <c r="D680" s="189" t="s">
        <v>1157</v>
      </c>
      <c r="E680" s="189" t="s">
        <v>1158</v>
      </c>
      <c r="F680" s="189" t="s">
        <v>1158</v>
      </c>
      <c r="G680" s="189" t="s">
        <v>1159</v>
      </c>
      <c r="H680" s="188" t="n">
        <v>46164</v>
      </c>
      <c r="I680" s="189" t="s">
        <v>113</v>
      </c>
      <c r="J680" s="189" t="s">
        <v>108</v>
      </c>
      <c r="K680" s="189" t="s">
        <v>364</v>
      </c>
      <c r="L680" s="189" t="s">
        <v>246</v>
      </c>
      <c r="M680" s="189" t="s">
        <v>144</v>
      </c>
      <c r="N680" s="189" t="s">
        <v>1160</v>
      </c>
      <c r="O680" s="189" t="s">
        <v>172</v>
      </c>
      <c r="P680" s="189" t="s">
        <v>131</v>
      </c>
      <c r="Q680" s="189" t="s">
        <v>145</v>
      </c>
      <c r="R680" s="189" t="s">
        <v>22</v>
      </c>
      <c r="S680" s="189" t="s">
        <v>152</v>
      </c>
      <c r="T680" s="189" t="s">
        <v>121</v>
      </c>
      <c r="U680" s="189" t="s">
        <v>122</v>
      </c>
      <c r="V680" s="189" t="s">
        <v>123</v>
      </c>
      <c r="W680" s="189" t="s">
        <v>168</v>
      </c>
      <c r="X680" s="189" t="s">
        <v>135</v>
      </c>
      <c r="Y680" s="189" t="s">
        <v>3066</v>
      </c>
      <c r="Z680" s="0" t="n">
        <v>1</v>
      </c>
      <c r="AA680" s="189" t="s">
        <v>3184</v>
      </c>
    </row>
    <row r="681" customFormat="false" ht="15" hidden="false" customHeight="false" outlineLevel="0" collapsed="false">
      <c r="A681" s="0" t="n">
        <v>138</v>
      </c>
      <c r="B681" s="188" t="n">
        <v>46181.8585406506</v>
      </c>
      <c r="C681" s="188" t="n">
        <v>46181.8712026877</v>
      </c>
      <c r="D681" s="189" t="s">
        <v>1157</v>
      </c>
      <c r="E681" s="189" t="s">
        <v>1158</v>
      </c>
      <c r="F681" s="189" t="s">
        <v>1158</v>
      </c>
      <c r="G681" s="189" t="s">
        <v>1159</v>
      </c>
      <c r="H681" s="188" t="n">
        <v>46164</v>
      </c>
      <c r="I681" s="189" t="s">
        <v>113</v>
      </c>
      <c r="J681" s="189" t="s">
        <v>108</v>
      </c>
      <c r="K681" s="189" t="s">
        <v>364</v>
      </c>
      <c r="L681" s="189" t="s">
        <v>246</v>
      </c>
      <c r="M681" s="189" t="s">
        <v>144</v>
      </c>
      <c r="N681" s="189" t="s">
        <v>1160</v>
      </c>
      <c r="O681" s="189" t="s">
        <v>172</v>
      </c>
      <c r="P681" s="189" t="s">
        <v>131</v>
      </c>
      <c r="Q681" s="189" t="s">
        <v>145</v>
      </c>
      <c r="R681" s="189" t="s">
        <v>22</v>
      </c>
      <c r="S681" s="189" t="s">
        <v>152</v>
      </c>
      <c r="T681" s="189" t="s">
        <v>121</v>
      </c>
      <c r="U681" s="189" t="s">
        <v>122</v>
      </c>
      <c r="V681" s="189" t="s">
        <v>123</v>
      </c>
      <c r="W681" s="189" t="s">
        <v>168</v>
      </c>
      <c r="X681" s="189" t="s">
        <v>135</v>
      </c>
      <c r="Y681" s="189" t="s">
        <v>3066</v>
      </c>
      <c r="Z681" s="0" t="n">
        <v>2</v>
      </c>
      <c r="AA681" s="189" t="s">
        <v>3192</v>
      </c>
    </row>
    <row r="682" customFormat="false" ht="15" hidden="false" customHeight="false" outlineLevel="0" collapsed="false">
      <c r="A682" s="0" t="n">
        <v>138</v>
      </c>
      <c r="B682" s="188" t="n">
        <v>46181.8585406506</v>
      </c>
      <c r="C682" s="188" t="n">
        <v>46181.8712026877</v>
      </c>
      <c r="D682" s="189" t="s">
        <v>1157</v>
      </c>
      <c r="E682" s="189" t="s">
        <v>1158</v>
      </c>
      <c r="F682" s="189" t="s">
        <v>1158</v>
      </c>
      <c r="G682" s="189" t="s">
        <v>1159</v>
      </c>
      <c r="H682" s="188" t="n">
        <v>46164</v>
      </c>
      <c r="I682" s="189" t="s">
        <v>113</v>
      </c>
      <c r="J682" s="189" t="s">
        <v>108</v>
      </c>
      <c r="K682" s="189" t="s">
        <v>364</v>
      </c>
      <c r="L682" s="189" t="s">
        <v>246</v>
      </c>
      <c r="M682" s="189" t="s">
        <v>144</v>
      </c>
      <c r="N682" s="189" t="s">
        <v>1160</v>
      </c>
      <c r="O682" s="189" t="s">
        <v>172</v>
      </c>
      <c r="P682" s="189" t="s">
        <v>131</v>
      </c>
      <c r="Q682" s="189" t="s">
        <v>145</v>
      </c>
      <c r="R682" s="189" t="s">
        <v>22</v>
      </c>
      <c r="S682" s="189" t="s">
        <v>152</v>
      </c>
      <c r="T682" s="189" t="s">
        <v>121</v>
      </c>
      <c r="U682" s="189" t="s">
        <v>122</v>
      </c>
      <c r="V682" s="189" t="s">
        <v>123</v>
      </c>
      <c r="W682" s="189" t="s">
        <v>168</v>
      </c>
      <c r="X682" s="189" t="s">
        <v>135</v>
      </c>
      <c r="Y682" s="189" t="s">
        <v>3069</v>
      </c>
      <c r="Z682" s="0" t="n">
        <v>1</v>
      </c>
      <c r="AA682" s="189" t="s">
        <v>122</v>
      </c>
    </row>
    <row r="683" customFormat="false" ht="15" hidden="false" customHeight="false" outlineLevel="0" collapsed="false">
      <c r="A683" s="0" t="n">
        <v>139</v>
      </c>
      <c r="B683" s="188" t="n">
        <v>46055.4286680237</v>
      </c>
      <c r="C683" s="188" t="n">
        <v>46055.4487606163</v>
      </c>
      <c r="D683" s="189" t="s">
        <v>1163</v>
      </c>
      <c r="E683" s="189" t="s">
        <v>1164</v>
      </c>
      <c r="F683" s="189" t="s">
        <v>1164</v>
      </c>
      <c r="G683" s="189" t="s">
        <v>1165</v>
      </c>
      <c r="H683" s="188" t="n">
        <v>46052</v>
      </c>
      <c r="I683" s="189" t="s">
        <v>113</v>
      </c>
      <c r="J683" s="189" t="s">
        <v>108</v>
      </c>
      <c r="K683" s="189" t="s">
        <v>1166</v>
      </c>
      <c r="L683" s="189" t="s">
        <v>144</v>
      </c>
      <c r="M683" s="189" t="s">
        <v>185</v>
      </c>
      <c r="N683" s="189" t="s">
        <v>1028</v>
      </c>
      <c r="O683" s="189" t="s">
        <v>244</v>
      </c>
      <c r="P683" s="189" t="s">
        <v>111</v>
      </c>
      <c r="Q683" s="189" t="s">
        <v>112</v>
      </c>
      <c r="R683" s="189" t="s">
        <v>22</v>
      </c>
      <c r="S683" s="189" t="s">
        <v>152</v>
      </c>
      <c r="T683" s="189" t="s">
        <v>180</v>
      </c>
      <c r="U683" s="189" t="s">
        <v>122</v>
      </c>
      <c r="V683" s="189" t="s">
        <v>192</v>
      </c>
      <c r="W683" s="189" t="s">
        <v>168</v>
      </c>
      <c r="X683" s="189" t="s">
        <v>116</v>
      </c>
      <c r="Y683" s="189" t="s">
        <v>3064</v>
      </c>
      <c r="Z683" s="0" t="n">
        <v>1</v>
      </c>
      <c r="AA683" s="189" t="s">
        <v>3065</v>
      </c>
    </row>
    <row r="684" customFormat="false" ht="15" hidden="false" customHeight="false" outlineLevel="0" collapsed="false">
      <c r="A684" s="0" t="n">
        <v>139</v>
      </c>
      <c r="B684" s="188" t="n">
        <v>46055.4286680237</v>
      </c>
      <c r="C684" s="188" t="n">
        <v>46055.4487606163</v>
      </c>
      <c r="D684" s="189" t="s">
        <v>1163</v>
      </c>
      <c r="E684" s="189" t="s">
        <v>1164</v>
      </c>
      <c r="F684" s="189" t="s">
        <v>1164</v>
      </c>
      <c r="G684" s="189" t="s">
        <v>1165</v>
      </c>
      <c r="H684" s="188" t="n">
        <v>46052</v>
      </c>
      <c r="I684" s="189" t="s">
        <v>113</v>
      </c>
      <c r="J684" s="189" t="s">
        <v>108</v>
      </c>
      <c r="K684" s="189" t="s">
        <v>1166</v>
      </c>
      <c r="L684" s="189" t="s">
        <v>144</v>
      </c>
      <c r="M684" s="189" t="s">
        <v>185</v>
      </c>
      <c r="N684" s="189" t="s">
        <v>1028</v>
      </c>
      <c r="O684" s="189" t="s">
        <v>244</v>
      </c>
      <c r="P684" s="189" t="s">
        <v>111</v>
      </c>
      <c r="Q684" s="189" t="s">
        <v>112</v>
      </c>
      <c r="R684" s="189" t="s">
        <v>22</v>
      </c>
      <c r="S684" s="189" t="s">
        <v>152</v>
      </c>
      <c r="T684" s="189" t="s">
        <v>180</v>
      </c>
      <c r="U684" s="189" t="s">
        <v>122</v>
      </c>
      <c r="V684" s="189" t="s">
        <v>192</v>
      </c>
      <c r="W684" s="189" t="s">
        <v>168</v>
      </c>
      <c r="X684" s="189" t="s">
        <v>116</v>
      </c>
      <c r="Y684" s="189" t="s">
        <v>3064</v>
      </c>
      <c r="Z684" s="0" t="n">
        <v>2</v>
      </c>
      <c r="AA684" s="189" t="s">
        <v>3139</v>
      </c>
    </row>
    <row r="685" customFormat="false" ht="15" hidden="false" customHeight="false" outlineLevel="0" collapsed="false">
      <c r="A685" s="0" t="n">
        <v>139</v>
      </c>
      <c r="B685" s="188" t="n">
        <v>46055.4286680237</v>
      </c>
      <c r="C685" s="188" t="n">
        <v>46055.4487606163</v>
      </c>
      <c r="D685" s="189" t="s">
        <v>1163</v>
      </c>
      <c r="E685" s="189" t="s">
        <v>1164</v>
      </c>
      <c r="F685" s="189" t="s">
        <v>1164</v>
      </c>
      <c r="G685" s="189" t="s">
        <v>1165</v>
      </c>
      <c r="H685" s="188" t="n">
        <v>46052</v>
      </c>
      <c r="I685" s="189" t="s">
        <v>113</v>
      </c>
      <c r="J685" s="189" t="s">
        <v>108</v>
      </c>
      <c r="K685" s="189" t="s">
        <v>1166</v>
      </c>
      <c r="L685" s="189" t="s">
        <v>144</v>
      </c>
      <c r="M685" s="189" t="s">
        <v>185</v>
      </c>
      <c r="N685" s="189" t="s">
        <v>1028</v>
      </c>
      <c r="O685" s="189" t="s">
        <v>244</v>
      </c>
      <c r="P685" s="189" t="s">
        <v>111</v>
      </c>
      <c r="Q685" s="189" t="s">
        <v>112</v>
      </c>
      <c r="R685" s="189" t="s">
        <v>22</v>
      </c>
      <c r="S685" s="189" t="s">
        <v>152</v>
      </c>
      <c r="T685" s="189" t="s">
        <v>180</v>
      </c>
      <c r="U685" s="189" t="s">
        <v>122</v>
      </c>
      <c r="V685" s="189" t="s">
        <v>192</v>
      </c>
      <c r="W685" s="189" t="s">
        <v>168</v>
      </c>
      <c r="X685" s="189" t="s">
        <v>116</v>
      </c>
      <c r="Y685" s="189" t="s">
        <v>3066</v>
      </c>
      <c r="Z685" s="0" t="n">
        <v>1</v>
      </c>
      <c r="AA685" s="189" t="s">
        <v>3068</v>
      </c>
    </row>
    <row r="686" customFormat="false" ht="15" hidden="false" customHeight="false" outlineLevel="0" collapsed="false">
      <c r="A686" s="0" t="n">
        <v>139</v>
      </c>
      <c r="B686" s="188" t="n">
        <v>46055.4286680237</v>
      </c>
      <c r="C686" s="188" t="n">
        <v>46055.4487606163</v>
      </c>
      <c r="D686" s="189" t="s">
        <v>1163</v>
      </c>
      <c r="E686" s="189" t="s">
        <v>1164</v>
      </c>
      <c r="F686" s="189" t="s">
        <v>1164</v>
      </c>
      <c r="G686" s="189" t="s">
        <v>1165</v>
      </c>
      <c r="H686" s="188" t="n">
        <v>46052</v>
      </c>
      <c r="I686" s="189" t="s">
        <v>113</v>
      </c>
      <c r="J686" s="189" t="s">
        <v>108</v>
      </c>
      <c r="K686" s="189" t="s">
        <v>1166</v>
      </c>
      <c r="L686" s="189" t="s">
        <v>144</v>
      </c>
      <c r="M686" s="189" t="s">
        <v>185</v>
      </c>
      <c r="N686" s="189" t="s">
        <v>1028</v>
      </c>
      <c r="O686" s="189" t="s">
        <v>244</v>
      </c>
      <c r="P686" s="189" t="s">
        <v>111</v>
      </c>
      <c r="Q686" s="189" t="s">
        <v>112</v>
      </c>
      <c r="R686" s="189" t="s">
        <v>22</v>
      </c>
      <c r="S686" s="189" t="s">
        <v>152</v>
      </c>
      <c r="T686" s="189" t="s">
        <v>180</v>
      </c>
      <c r="U686" s="189" t="s">
        <v>122</v>
      </c>
      <c r="V686" s="189" t="s">
        <v>192</v>
      </c>
      <c r="W686" s="189" t="s">
        <v>168</v>
      </c>
      <c r="X686" s="189" t="s">
        <v>116</v>
      </c>
      <c r="Y686" s="189" t="s">
        <v>3066</v>
      </c>
      <c r="Z686" s="0" t="n">
        <v>2</v>
      </c>
      <c r="AA686" s="189" t="s">
        <v>3067</v>
      </c>
    </row>
    <row r="687" customFormat="false" ht="15" hidden="false" customHeight="false" outlineLevel="0" collapsed="false">
      <c r="A687" s="0" t="n">
        <v>139</v>
      </c>
      <c r="B687" s="188" t="n">
        <v>46055.4286680237</v>
      </c>
      <c r="C687" s="188" t="n">
        <v>46055.4487606163</v>
      </c>
      <c r="D687" s="189" t="s">
        <v>1163</v>
      </c>
      <c r="E687" s="189" t="s">
        <v>1164</v>
      </c>
      <c r="F687" s="189" t="s">
        <v>1164</v>
      </c>
      <c r="G687" s="189" t="s">
        <v>1165</v>
      </c>
      <c r="H687" s="188" t="n">
        <v>46052</v>
      </c>
      <c r="I687" s="189" t="s">
        <v>113</v>
      </c>
      <c r="J687" s="189" t="s">
        <v>108</v>
      </c>
      <c r="K687" s="189" t="s">
        <v>1166</v>
      </c>
      <c r="L687" s="189" t="s">
        <v>144</v>
      </c>
      <c r="M687" s="189" t="s">
        <v>185</v>
      </c>
      <c r="N687" s="189" t="s">
        <v>1028</v>
      </c>
      <c r="O687" s="189" t="s">
        <v>244</v>
      </c>
      <c r="P687" s="189" t="s">
        <v>111</v>
      </c>
      <c r="Q687" s="189" t="s">
        <v>112</v>
      </c>
      <c r="R687" s="189" t="s">
        <v>22</v>
      </c>
      <c r="S687" s="189" t="s">
        <v>152</v>
      </c>
      <c r="T687" s="189" t="s">
        <v>180</v>
      </c>
      <c r="U687" s="189" t="s">
        <v>122</v>
      </c>
      <c r="V687" s="189" t="s">
        <v>192</v>
      </c>
      <c r="W687" s="189" t="s">
        <v>168</v>
      </c>
      <c r="X687" s="189" t="s">
        <v>116</v>
      </c>
      <c r="Y687" s="189" t="s">
        <v>3069</v>
      </c>
      <c r="Z687" s="0" t="n">
        <v>1</v>
      </c>
      <c r="AA687" s="189" t="s">
        <v>3140</v>
      </c>
    </row>
    <row r="688" customFormat="false" ht="15" hidden="false" customHeight="false" outlineLevel="0" collapsed="false">
      <c r="A688" s="0" t="n">
        <v>139</v>
      </c>
      <c r="B688" s="188" t="n">
        <v>46055.4286680237</v>
      </c>
      <c r="C688" s="188" t="n">
        <v>46055.4487606163</v>
      </c>
      <c r="D688" s="189" t="s">
        <v>1163</v>
      </c>
      <c r="E688" s="189" t="s">
        <v>1164</v>
      </c>
      <c r="F688" s="189" t="s">
        <v>1164</v>
      </c>
      <c r="G688" s="189" t="s">
        <v>1165</v>
      </c>
      <c r="H688" s="188" t="n">
        <v>46052</v>
      </c>
      <c r="I688" s="189" t="s">
        <v>113</v>
      </c>
      <c r="J688" s="189" t="s">
        <v>108</v>
      </c>
      <c r="K688" s="189" t="s">
        <v>1166</v>
      </c>
      <c r="L688" s="189" t="s">
        <v>144</v>
      </c>
      <c r="M688" s="189" t="s">
        <v>185</v>
      </c>
      <c r="N688" s="189" t="s">
        <v>1028</v>
      </c>
      <c r="O688" s="189" t="s">
        <v>244</v>
      </c>
      <c r="P688" s="189" t="s">
        <v>111</v>
      </c>
      <c r="Q688" s="189" t="s">
        <v>112</v>
      </c>
      <c r="R688" s="189" t="s">
        <v>22</v>
      </c>
      <c r="S688" s="189" t="s">
        <v>152</v>
      </c>
      <c r="T688" s="189" t="s">
        <v>180</v>
      </c>
      <c r="U688" s="189" t="s">
        <v>122</v>
      </c>
      <c r="V688" s="189" t="s">
        <v>192</v>
      </c>
      <c r="W688" s="189" t="s">
        <v>168</v>
      </c>
      <c r="X688" s="189" t="s">
        <v>116</v>
      </c>
      <c r="Y688" s="189" t="s">
        <v>3069</v>
      </c>
      <c r="Z688" s="0" t="n">
        <v>2</v>
      </c>
      <c r="AA688" s="189" t="s">
        <v>3083</v>
      </c>
    </row>
    <row r="689" customFormat="false" ht="15" hidden="false" customHeight="false" outlineLevel="0" collapsed="false">
      <c r="A689" s="0" t="n">
        <v>140</v>
      </c>
      <c r="B689" s="188" t="n">
        <v>46199.6291078928</v>
      </c>
      <c r="C689" s="188" t="n">
        <v>46199.6333092817</v>
      </c>
      <c r="D689" s="189" t="s">
        <v>1169</v>
      </c>
      <c r="E689" s="189" t="s">
        <v>1170</v>
      </c>
      <c r="F689" s="189" t="s">
        <v>1170</v>
      </c>
      <c r="G689" s="189" t="s">
        <v>1171</v>
      </c>
      <c r="H689" s="188" t="n">
        <v>46194</v>
      </c>
      <c r="I689" s="189" t="s">
        <v>132</v>
      </c>
      <c r="J689" s="189" t="s">
        <v>108</v>
      </c>
      <c r="K689" s="189" t="s">
        <v>173</v>
      </c>
      <c r="L689" s="189" t="s">
        <v>268</v>
      </c>
      <c r="M689" s="189" t="s">
        <v>484</v>
      </c>
      <c r="N689" s="189" t="s">
        <v>337</v>
      </c>
      <c r="O689" s="189" t="s">
        <v>107</v>
      </c>
      <c r="P689" s="189" t="s">
        <v>111</v>
      </c>
      <c r="Q689" s="189" t="s">
        <v>112</v>
      </c>
      <c r="R689" s="189" t="s">
        <v>22</v>
      </c>
      <c r="S689" s="189" t="s">
        <v>152</v>
      </c>
      <c r="T689" s="189" t="s">
        <v>121</v>
      </c>
      <c r="U689" s="189" t="s">
        <v>1174</v>
      </c>
      <c r="V689" s="189" t="s">
        <v>192</v>
      </c>
      <c r="W689" s="189" t="s">
        <v>124</v>
      </c>
      <c r="X689" s="189" t="s">
        <v>339</v>
      </c>
      <c r="Y689" s="189" t="s">
        <v>3064</v>
      </c>
      <c r="Z689" s="0" t="n">
        <v>1</v>
      </c>
      <c r="AA689" s="189" t="s">
        <v>3216</v>
      </c>
    </row>
    <row r="690" customFormat="false" ht="15" hidden="false" customHeight="false" outlineLevel="0" collapsed="false">
      <c r="A690" s="0" t="n">
        <v>140</v>
      </c>
      <c r="B690" s="188" t="n">
        <v>46199.6291078928</v>
      </c>
      <c r="C690" s="188" t="n">
        <v>46199.6333092817</v>
      </c>
      <c r="D690" s="189" t="s">
        <v>1169</v>
      </c>
      <c r="E690" s="189" t="s">
        <v>1170</v>
      </c>
      <c r="F690" s="189" t="s">
        <v>1170</v>
      </c>
      <c r="G690" s="189" t="s">
        <v>1171</v>
      </c>
      <c r="H690" s="188" t="n">
        <v>46194</v>
      </c>
      <c r="I690" s="189" t="s">
        <v>132</v>
      </c>
      <c r="J690" s="189" t="s">
        <v>108</v>
      </c>
      <c r="K690" s="189" t="s">
        <v>173</v>
      </c>
      <c r="L690" s="189" t="s">
        <v>268</v>
      </c>
      <c r="M690" s="189" t="s">
        <v>484</v>
      </c>
      <c r="N690" s="189" t="s">
        <v>337</v>
      </c>
      <c r="O690" s="189" t="s">
        <v>107</v>
      </c>
      <c r="P690" s="189" t="s">
        <v>111</v>
      </c>
      <c r="Q690" s="189" t="s">
        <v>112</v>
      </c>
      <c r="R690" s="189" t="s">
        <v>22</v>
      </c>
      <c r="S690" s="189" t="s">
        <v>152</v>
      </c>
      <c r="T690" s="189" t="s">
        <v>121</v>
      </c>
      <c r="U690" s="189" t="s">
        <v>1174</v>
      </c>
      <c r="V690" s="189" t="s">
        <v>192</v>
      </c>
      <c r="W690" s="189" t="s">
        <v>124</v>
      </c>
      <c r="X690" s="189" t="s">
        <v>339</v>
      </c>
      <c r="Y690" s="189" t="s">
        <v>3066</v>
      </c>
      <c r="Z690" s="0" t="n">
        <v>1</v>
      </c>
      <c r="AA690" s="189" t="s">
        <v>3260</v>
      </c>
    </row>
    <row r="691" customFormat="false" ht="15" hidden="false" customHeight="false" outlineLevel="0" collapsed="false">
      <c r="A691" s="0" t="n">
        <v>140</v>
      </c>
      <c r="B691" s="188" t="n">
        <v>46199.6291078928</v>
      </c>
      <c r="C691" s="188" t="n">
        <v>46199.6333092817</v>
      </c>
      <c r="D691" s="189" t="s">
        <v>1169</v>
      </c>
      <c r="E691" s="189" t="s">
        <v>1170</v>
      </c>
      <c r="F691" s="189" t="s">
        <v>1170</v>
      </c>
      <c r="G691" s="189" t="s">
        <v>1171</v>
      </c>
      <c r="H691" s="188" t="n">
        <v>46194</v>
      </c>
      <c r="I691" s="189" t="s">
        <v>132</v>
      </c>
      <c r="J691" s="189" t="s">
        <v>108</v>
      </c>
      <c r="K691" s="189" t="s">
        <v>173</v>
      </c>
      <c r="L691" s="189" t="s">
        <v>268</v>
      </c>
      <c r="M691" s="189" t="s">
        <v>484</v>
      </c>
      <c r="N691" s="189" t="s">
        <v>337</v>
      </c>
      <c r="O691" s="189" t="s">
        <v>107</v>
      </c>
      <c r="P691" s="189" t="s">
        <v>111</v>
      </c>
      <c r="Q691" s="189" t="s">
        <v>112</v>
      </c>
      <c r="R691" s="189" t="s">
        <v>22</v>
      </c>
      <c r="S691" s="189" t="s">
        <v>152</v>
      </c>
      <c r="T691" s="189" t="s">
        <v>121</v>
      </c>
      <c r="U691" s="189" t="s">
        <v>1174</v>
      </c>
      <c r="V691" s="189" t="s">
        <v>192</v>
      </c>
      <c r="W691" s="189" t="s">
        <v>124</v>
      </c>
      <c r="X691" s="189" t="s">
        <v>339</v>
      </c>
      <c r="Y691" s="189" t="s">
        <v>3066</v>
      </c>
      <c r="Z691" s="0" t="n">
        <v>2</v>
      </c>
      <c r="AA691" s="189" t="s">
        <v>122</v>
      </c>
    </row>
    <row r="692" customFormat="false" ht="15" hidden="false" customHeight="false" outlineLevel="0" collapsed="false">
      <c r="A692" s="0" t="n">
        <v>140</v>
      </c>
      <c r="B692" s="188" t="n">
        <v>46199.6291078928</v>
      </c>
      <c r="C692" s="188" t="n">
        <v>46199.6333092817</v>
      </c>
      <c r="D692" s="189" t="s">
        <v>1169</v>
      </c>
      <c r="E692" s="189" t="s">
        <v>1170</v>
      </c>
      <c r="F692" s="189" t="s">
        <v>1170</v>
      </c>
      <c r="G692" s="189" t="s">
        <v>1171</v>
      </c>
      <c r="H692" s="188" t="n">
        <v>46194</v>
      </c>
      <c r="I692" s="189" t="s">
        <v>132</v>
      </c>
      <c r="J692" s="189" t="s">
        <v>108</v>
      </c>
      <c r="K692" s="189" t="s">
        <v>173</v>
      </c>
      <c r="L692" s="189" t="s">
        <v>268</v>
      </c>
      <c r="M692" s="189" t="s">
        <v>484</v>
      </c>
      <c r="N692" s="189" t="s">
        <v>337</v>
      </c>
      <c r="O692" s="189" t="s">
        <v>107</v>
      </c>
      <c r="P692" s="189" t="s">
        <v>111</v>
      </c>
      <c r="Q692" s="189" t="s">
        <v>112</v>
      </c>
      <c r="R692" s="189" t="s">
        <v>22</v>
      </c>
      <c r="S692" s="189" t="s">
        <v>152</v>
      </c>
      <c r="T692" s="189" t="s">
        <v>121</v>
      </c>
      <c r="U692" s="189" t="s">
        <v>1174</v>
      </c>
      <c r="V692" s="189" t="s">
        <v>192</v>
      </c>
      <c r="W692" s="189" t="s">
        <v>124</v>
      </c>
      <c r="X692" s="189" t="s">
        <v>339</v>
      </c>
      <c r="Y692" s="189" t="s">
        <v>3069</v>
      </c>
      <c r="Z692" s="0" t="n">
        <v>1</v>
      </c>
      <c r="AA692" s="189" t="s">
        <v>122</v>
      </c>
    </row>
    <row r="693" customFormat="false" ht="15" hidden="false" customHeight="false" outlineLevel="0" collapsed="false">
      <c r="A693" s="0" t="n">
        <v>141</v>
      </c>
      <c r="B693" s="188" t="n">
        <v>46137.5951398672</v>
      </c>
      <c r="C693" s="188" t="n">
        <v>46137.6117023672</v>
      </c>
      <c r="D693" s="189" t="s">
        <v>1176</v>
      </c>
      <c r="E693" s="189" t="s">
        <v>1177</v>
      </c>
      <c r="F693" s="189" t="s">
        <v>1177</v>
      </c>
      <c r="G693" s="189" t="s">
        <v>1178</v>
      </c>
      <c r="H693" s="188" t="n">
        <v>46131</v>
      </c>
      <c r="I693" s="189" t="s">
        <v>113</v>
      </c>
      <c r="J693" s="189" t="s">
        <v>128</v>
      </c>
      <c r="K693" s="189" t="s">
        <v>143</v>
      </c>
      <c r="L693" s="189" t="s">
        <v>197</v>
      </c>
      <c r="M693" s="189" t="s">
        <v>515</v>
      </c>
      <c r="N693" s="189" t="s">
        <v>939</v>
      </c>
      <c r="O693" s="189" t="s">
        <v>157</v>
      </c>
      <c r="P693" s="189" t="s">
        <v>111</v>
      </c>
      <c r="Q693" s="189" t="s">
        <v>112</v>
      </c>
      <c r="R693" s="189" t="s">
        <v>22</v>
      </c>
      <c r="S693" s="189" t="s">
        <v>120</v>
      </c>
      <c r="T693" s="189" t="s">
        <v>121</v>
      </c>
      <c r="V693" s="189" t="s">
        <v>192</v>
      </c>
      <c r="W693" s="189" t="s">
        <v>139</v>
      </c>
      <c r="X693" s="189" t="s">
        <v>271</v>
      </c>
      <c r="Y693" s="189" t="s">
        <v>3064</v>
      </c>
      <c r="Z693" s="0" t="n">
        <v>1</v>
      </c>
      <c r="AA693" s="189" t="s">
        <v>3115</v>
      </c>
    </row>
    <row r="694" customFormat="false" ht="15" hidden="false" customHeight="false" outlineLevel="0" collapsed="false">
      <c r="A694" s="0" t="n">
        <v>141</v>
      </c>
      <c r="B694" s="188" t="n">
        <v>46137.5951398672</v>
      </c>
      <c r="C694" s="188" t="n">
        <v>46137.6117023672</v>
      </c>
      <c r="D694" s="189" t="s">
        <v>1176</v>
      </c>
      <c r="E694" s="189" t="s">
        <v>1177</v>
      </c>
      <c r="F694" s="189" t="s">
        <v>1177</v>
      </c>
      <c r="G694" s="189" t="s">
        <v>1178</v>
      </c>
      <c r="H694" s="188" t="n">
        <v>46131</v>
      </c>
      <c r="I694" s="189" t="s">
        <v>113</v>
      </c>
      <c r="J694" s="189" t="s">
        <v>128</v>
      </c>
      <c r="K694" s="189" t="s">
        <v>143</v>
      </c>
      <c r="L694" s="189" t="s">
        <v>197</v>
      </c>
      <c r="M694" s="189" t="s">
        <v>515</v>
      </c>
      <c r="N694" s="189" t="s">
        <v>939</v>
      </c>
      <c r="O694" s="189" t="s">
        <v>157</v>
      </c>
      <c r="P694" s="189" t="s">
        <v>111</v>
      </c>
      <c r="Q694" s="189" t="s">
        <v>112</v>
      </c>
      <c r="R694" s="189" t="s">
        <v>22</v>
      </c>
      <c r="S694" s="189" t="s">
        <v>120</v>
      </c>
      <c r="T694" s="189" t="s">
        <v>121</v>
      </c>
      <c r="V694" s="189" t="s">
        <v>192</v>
      </c>
      <c r="W694" s="189" t="s">
        <v>139</v>
      </c>
      <c r="X694" s="189" t="s">
        <v>271</v>
      </c>
      <c r="Y694" s="189" t="s">
        <v>3066</v>
      </c>
      <c r="Z694" s="0" t="n">
        <v>1</v>
      </c>
      <c r="AA694" s="189" t="s">
        <v>3138</v>
      </c>
    </row>
    <row r="695" customFormat="false" ht="15" hidden="false" customHeight="false" outlineLevel="0" collapsed="false">
      <c r="A695" s="0" t="n">
        <v>141</v>
      </c>
      <c r="B695" s="188" t="n">
        <v>46137.5951398672</v>
      </c>
      <c r="C695" s="188" t="n">
        <v>46137.6117023672</v>
      </c>
      <c r="D695" s="189" t="s">
        <v>1176</v>
      </c>
      <c r="E695" s="189" t="s">
        <v>1177</v>
      </c>
      <c r="F695" s="189" t="s">
        <v>1177</v>
      </c>
      <c r="G695" s="189" t="s">
        <v>1178</v>
      </c>
      <c r="H695" s="188" t="n">
        <v>46131</v>
      </c>
      <c r="I695" s="189" t="s">
        <v>113</v>
      </c>
      <c r="J695" s="189" t="s">
        <v>128</v>
      </c>
      <c r="K695" s="189" t="s">
        <v>143</v>
      </c>
      <c r="L695" s="189" t="s">
        <v>197</v>
      </c>
      <c r="M695" s="189" t="s">
        <v>515</v>
      </c>
      <c r="N695" s="189" t="s">
        <v>939</v>
      </c>
      <c r="O695" s="189" t="s">
        <v>157</v>
      </c>
      <c r="P695" s="189" t="s">
        <v>111</v>
      </c>
      <c r="Q695" s="189" t="s">
        <v>112</v>
      </c>
      <c r="R695" s="189" t="s">
        <v>22</v>
      </c>
      <c r="S695" s="189" t="s">
        <v>120</v>
      </c>
      <c r="T695" s="189" t="s">
        <v>121</v>
      </c>
      <c r="V695" s="189" t="s">
        <v>192</v>
      </c>
      <c r="W695" s="189" t="s">
        <v>139</v>
      </c>
      <c r="X695" s="189" t="s">
        <v>271</v>
      </c>
      <c r="Y695" s="189" t="s">
        <v>3069</v>
      </c>
      <c r="Z695" s="0" t="n">
        <v>1</v>
      </c>
      <c r="AA695" s="189" t="s">
        <v>3119</v>
      </c>
    </row>
    <row r="696" customFormat="false" ht="15" hidden="false" customHeight="false" outlineLevel="0" collapsed="false">
      <c r="A696" s="0" t="n">
        <v>141</v>
      </c>
      <c r="B696" s="188" t="n">
        <v>46137.5951398672</v>
      </c>
      <c r="C696" s="188" t="n">
        <v>46137.6117023672</v>
      </c>
      <c r="D696" s="189" t="s">
        <v>1176</v>
      </c>
      <c r="E696" s="189" t="s">
        <v>1177</v>
      </c>
      <c r="F696" s="189" t="s">
        <v>1177</v>
      </c>
      <c r="G696" s="189" t="s">
        <v>1178</v>
      </c>
      <c r="H696" s="188" t="n">
        <v>46131</v>
      </c>
      <c r="I696" s="189" t="s">
        <v>113</v>
      </c>
      <c r="J696" s="189" t="s">
        <v>128</v>
      </c>
      <c r="K696" s="189" t="s">
        <v>143</v>
      </c>
      <c r="L696" s="189" t="s">
        <v>197</v>
      </c>
      <c r="M696" s="189" t="s">
        <v>515</v>
      </c>
      <c r="N696" s="189" t="s">
        <v>939</v>
      </c>
      <c r="O696" s="189" t="s">
        <v>157</v>
      </c>
      <c r="P696" s="189" t="s">
        <v>111</v>
      </c>
      <c r="Q696" s="189" t="s">
        <v>112</v>
      </c>
      <c r="R696" s="189" t="s">
        <v>22</v>
      </c>
      <c r="S696" s="189" t="s">
        <v>120</v>
      </c>
      <c r="T696" s="189" t="s">
        <v>121</v>
      </c>
      <c r="V696" s="189" t="s">
        <v>192</v>
      </c>
      <c r="W696" s="189" t="s">
        <v>139</v>
      </c>
      <c r="X696" s="189" t="s">
        <v>271</v>
      </c>
      <c r="Y696" s="189" t="s">
        <v>3069</v>
      </c>
      <c r="Z696" s="0" t="n">
        <v>2</v>
      </c>
      <c r="AA696" s="189" t="s">
        <v>122</v>
      </c>
    </row>
    <row r="697" customFormat="false" ht="15" hidden="false" customHeight="false" outlineLevel="0" collapsed="false">
      <c r="A697" s="0" t="n">
        <v>142</v>
      </c>
      <c r="B697" s="188" t="n">
        <v>46147.9778922387</v>
      </c>
      <c r="C697" s="188" t="n">
        <v>46147.993088998</v>
      </c>
      <c r="D697" s="189" t="s">
        <v>1182</v>
      </c>
      <c r="E697" s="189" t="s">
        <v>1183</v>
      </c>
      <c r="F697" s="189" t="s">
        <v>1183</v>
      </c>
      <c r="G697" s="189" t="s">
        <v>1184</v>
      </c>
      <c r="H697" s="188" t="n">
        <v>46139</v>
      </c>
      <c r="I697" s="189" t="s">
        <v>113</v>
      </c>
      <c r="J697" s="189" t="s">
        <v>128</v>
      </c>
      <c r="K697" s="189" t="s">
        <v>245</v>
      </c>
      <c r="L697" s="189" t="s">
        <v>246</v>
      </c>
      <c r="M697" s="189" t="s">
        <v>365</v>
      </c>
      <c r="N697" s="189" t="s">
        <v>115</v>
      </c>
      <c r="O697" s="189" t="s">
        <v>107</v>
      </c>
      <c r="P697" s="189" t="s">
        <v>111</v>
      </c>
      <c r="Q697" s="189" t="s">
        <v>112</v>
      </c>
      <c r="R697" s="189" t="s">
        <v>22</v>
      </c>
      <c r="S697" s="189" t="s">
        <v>227</v>
      </c>
      <c r="T697" s="189" t="s">
        <v>121</v>
      </c>
      <c r="U697" s="189" t="s">
        <v>122</v>
      </c>
      <c r="V697" s="189" t="s">
        <v>123</v>
      </c>
      <c r="W697" s="189" t="s">
        <v>124</v>
      </c>
      <c r="X697" s="189" t="s">
        <v>148</v>
      </c>
      <c r="Y697" s="189" t="s">
        <v>3064</v>
      </c>
      <c r="Z697" s="0" t="n">
        <v>1</v>
      </c>
      <c r="AA697" s="189" t="s">
        <v>3186</v>
      </c>
    </row>
    <row r="698" customFormat="false" ht="15" hidden="false" customHeight="false" outlineLevel="0" collapsed="false">
      <c r="A698" s="0" t="n">
        <v>142</v>
      </c>
      <c r="B698" s="188" t="n">
        <v>46147.9778922387</v>
      </c>
      <c r="C698" s="188" t="n">
        <v>46147.993088998</v>
      </c>
      <c r="D698" s="189" t="s">
        <v>1182</v>
      </c>
      <c r="E698" s="189" t="s">
        <v>1183</v>
      </c>
      <c r="F698" s="189" t="s">
        <v>1183</v>
      </c>
      <c r="G698" s="189" t="s">
        <v>1184</v>
      </c>
      <c r="H698" s="188" t="n">
        <v>46139</v>
      </c>
      <c r="I698" s="189" t="s">
        <v>113</v>
      </c>
      <c r="J698" s="189" t="s">
        <v>128</v>
      </c>
      <c r="K698" s="189" t="s">
        <v>245</v>
      </c>
      <c r="L698" s="189" t="s">
        <v>246</v>
      </c>
      <c r="M698" s="189" t="s">
        <v>365</v>
      </c>
      <c r="N698" s="189" t="s">
        <v>115</v>
      </c>
      <c r="O698" s="189" t="s">
        <v>107</v>
      </c>
      <c r="P698" s="189" t="s">
        <v>111</v>
      </c>
      <c r="Q698" s="189" t="s">
        <v>112</v>
      </c>
      <c r="R698" s="189" t="s">
        <v>22</v>
      </c>
      <c r="S698" s="189" t="s">
        <v>227</v>
      </c>
      <c r="T698" s="189" t="s">
        <v>121</v>
      </c>
      <c r="U698" s="189" t="s">
        <v>122</v>
      </c>
      <c r="V698" s="189" t="s">
        <v>123</v>
      </c>
      <c r="W698" s="189" t="s">
        <v>124</v>
      </c>
      <c r="X698" s="189" t="s">
        <v>148</v>
      </c>
      <c r="Y698" s="189" t="s">
        <v>3064</v>
      </c>
      <c r="Z698" s="0" t="n">
        <v>2</v>
      </c>
      <c r="AA698" s="189" t="s">
        <v>3076</v>
      </c>
    </row>
    <row r="699" customFormat="false" ht="15" hidden="false" customHeight="false" outlineLevel="0" collapsed="false">
      <c r="A699" s="0" t="n">
        <v>142</v>
      </c>
      <c r="B699" s="188" t="n">
        <v>46147.9778922387</v>
      </c>
      <c r="C699" s="188" t="n">
        <v>46147.993088998</v>
      </c>
      <c r="D699" s="189" t="s">
        <v>1182</v>
      </c>
      <c r="E699" s="189" t="s">
        <v>1183</v>
      </c>
      <c r="F699" s="189" t="s">
        <v>1183</v>
      </c>
      <c r="G699" s="189" t="s">
        <v>1184</v>
      </c>
      <c r="H699" s="188" t="n">
        <v>46139</v>
      </c>
      <c r="I699" s="189" t="s">
        <v>113</v>
      </c>
      <c r="J699" s="189" t="s">
        <v>128</v>
      </c>
      <c r="K699" s="189" t="s">
        <v>245</v>
      </c>
      <c r="L699" s="189" t="s">
        <v>246</v>
      </c>
      <c r="M699" s="189" t="s">
        <v>365</v>
      </c>
      <c r="N699" s="189" t="s">
        <v>115</v>
      </c>
      <c r="O699" s="189" t="s">
        <v>107</v>
      </c>
      <c r="P699" s="189" t="s">
        <v>111</v>
      </c>
      <c r="Q699" s="189" t="s">
        <v>112</v>
      </c>
      <c r="R699" s="189" t="s">
        <v>22</v>
      </c>
      <c r="S699" s="189" t="s">
        <v>227</v>
      </c>
      <c r="T699" s="189" t="s">
        <v>121</v>
      </c>
      <c r="U699" s="189" t="s">
        <v>122</v>
      </c>
      <c r="V699" s="189" t="s">
        <v>123</v>
      </c>
      <c r="W699" s="189" t="s">
        <v>124</v>
      </c>
      <c r="X699" s="189" t="s">
        <v>148</v>
      </c>
      <c r="Y699" s="189" t="s">
        <v>3064</v>
      </c>
      <c r="Z699" s="0" t="n">
        <v>3</v>
      </c>
      <c r="AA699" s="189" t="s">
        <v>3122</v>
      </c>
    </row>
    <row r="700" customFormat="false" ht="15" hidden="false" customHeight="false" outlineLevel="0" collapsed="false">
      <c r="A700" s="0" t="n">
        <v>142</v>
      </c>
      <c r="B700" s="188" t="n">
        <v>46147.9778922387</v>
      </c>
      <c r="C700" s="188" t="n">
        <v>46147.993088998</v>
      </c>
      <c r="D700" s="189" t="s">
        <v>1182</v>
      </c>
      <c r="E700" s="189" t="s">
        <v>1183</v>
      </c>
      <c r="F700" s="189" t="s">
        <v>1183</v>
      </c>
      <c r="G700" s="189" t="s">
        <v>1184</v>
      </c>
      <c r="H700" s="188" t="n">
        <v>46139</v>
      </c>
      <c r="I700" s="189" t="s">
        <v>113</v>
      </c>
      <c r="J700" s="189" t="s">
        <v>128</v>
      </c>
      <c r="K700" s="189" t="s">
        <v>245</v>
      </c>
      <c r="L700" s="189" t="s">
        <v>246</v>
      </c>
      <c r="M700" s="189" t="s">
        <v>365</v>
      </c>
      <c r="N700" s="189" t="s">
        <v>115</v>
      </c>
      <c r="O700" s="189" t="s">
        <v>107</v>
      </c>
      <c r="P700" s="189" t="s">
        <v>111</v>
      </c>
      <c r="Q700" s="189" t="s">
        <v>112</v>
      </c>
      <c r="R700" s="189" t="s">
        <v>22</v>
      </c>
      <c r="S700" s="189" t="s">
        <v>227</v>
      </c>
      <c r="T700" s="189" t="s">
        <v>121</v>
      </c>
      <c r="U700" s="189" t="s">
        <v>122</v>
      </c>
      <c r="V700" s="189" t="s">
        <v>123</v>
      </c>
      <c r="W700" s="189" t="s">
        <v>124</v>
      </c>
      <c r="X700" s="189" t="s">
        <v>148</v>
      </c>
      <c r="Y700" s="189" t="s">
        <v>3066</v>
      </c>
      <c r="Z700" s="0" t="n">
        <v>1</v>
      </c>
      <c r="AA700" s="189" t="s">
        <v>3078</v>
      </c>
    </row>
    <row r="701" customFormat="false" ht="15" hidden="false" customHeight="false" outlineLevel="0" collapsed="false">
      <c r="A701" s="0" t="n">
        <v>142</v>
      </c>
      <c r="B701" s="188" t="n">
        <v>46147.9778922387</v>
      </c>
      <c r="C701" s="188" t="n">
        <v>46147.993088998</v>
      </c>
      <c r="D701" s="189" t="s">
        <v>1182</v>
      </c>
      <c r="E701" s="189" t="s">
        <v>1183</v>
      </c>
      <c r="F701" s="189" t="s">
        <v>1183</v>
      </c>
      <c r="G701" s="189" t="s">
        <v>1184</v>
      </c>
      <c r="H701" s="188" t="n">
        <v>46139</v>
      </c>
      <c r="I701" s="189" t="s">
        <v>113</v>
      </c>
      <c r="J701" s="189" t="s">
        <v>128</v>
      </c>
      <c r="K701" s="189" t="s">
        <v>245</v>
      </c>
      <c r="L701" s="189" t="s">
        <v>246</v>
      </c>
      <c r="M701" s="189" t="s">
        <v>365</v>
      </c>
      <c r="N701" s="189" t="s">
        <v>115</v>
      </c>
      <c r="O701" s="189" t="s">
        <v>107</v>
      </c>
      <c r="P701" s="189" t="s">
        <v>111</v>
      </c>
      <c r="Q701" s="189" t="s">
        <v>112</v>
      </c>
      <c r="R701" s="189" t="s">
        <v>22</v>
      </c>
      <c r="S701" s="189" t="s">
        <v>227</v>
      </c>
      <c r="T701" s="189" t="s">
        <v>121</v>
      </c>
      <c r="U701" s="189" t="s">
        <v>122</v>
      </c>
      <c r="V701" s="189" t="s">
        <v>123</v>
      </c>
      <c r="W701" s="189" t="s">
        <v>124</v>
      </c>
      <c r="X701" s="189" t="s">
        <v>148</v>
      </c>
      <c r="Y701" s="189" t="s">
        <v>3066</v>
      </c>
      <c r="Z701" s="0" t="n">
        <v>2</v>
      </c>
      <c r="AA701" s="189" t="s">
        <v>3093</v>
      </c>
    </row>
    <row r="702" customFormat="false" ht="15" hidden="false" customHeight="false" outlineLevel="0" collapsed="false">
      <c r="A702" s="0" t="n">
        <v>142</v>
      </c>
      <c r="B702" s="188" t="n">
        <v>46147.9778922387</v>
      </c>
      <c r="C702" s="188" t="n">
        <v>46147.993088998</v>
      </c>
      <c r="D702" s="189" t="s">
        <v>1182</v>
      </c>
      <c r="E702" s="189" t="s">
        <v>1183</v>
      </c>
      <c r="F702" s="189" t="s">
        <v>1183</v>
      </c>
      <c r="G702" s="189" t="s">
        <v>1184</v>
      </c>
      <c r="H702" s="188" t="n">
        <v>46139</v>
      </c>
      <c r="I702" s="189" t="s">
        <v>113</v>
      </c>
      <c r="J702" s="189" t="s">
        <v>128</v>
      </c>
      <c r="K702" s="189" t="s">
        <v>245</v>
      </c>
      <c r="L702" s="189" t="s">
        <v>246</v>
      </c>
      <c r="M702" s="189" t="s">
        <v>365</v>
      </c>
      <c r="N702" s="189" t="s">
        <v>115</v>
      </c>
      <c r="O702" s="189" t="s">
        <v>107</v>
      </c>
      <c r="P702" s="189" t="s">
        <v>111</v>
      </c>
      <c r="Q702" s="189" t="s">
        <v>112</v>
      </c>
      <c r="R702" s="189" t="s">
        <v>22</v>
      </c>
      <c r="S702" s="189" t="s">
        <v>227</v>
      </c>
      <c r="T702" s="189" t="s">
        <v>121</v>
      </c>
      <c r="U702" s="189" t="s">
        <v>122</v>
      </c>
      <c r="V702" s="189" t="s">
        <v>123</v>
      </c>
      <c r="W702" s="189" t="s">
        <v>124</v>
      </c>
      <c r="X702" s="189" t="s">
        <v>148</v>
      </c>
      <c r="Y702" s="189" t="s">
        <v>3069</v>
      </c>
      <c r="Z702" s="0" t="n">
        <v>1</v>
      </c>
      <c r="AA702" s="189" t="s">
        <v>3094</v>
      </c>
    </row>
    <row r="703" customFormat="false" ht="15" hidden="false" customHeight="false" outlineLevel="0" collapsed="false">
      <c r="A703" s="0" t="n">
        <v>142</v>
      </c>
      <c r="B703" s="188" t="n">
        <v>46147.9778922387</v>
      </c>
      <c r="C703" s="188" t="n">
        <v>46147.993088998</v>
      </c>
      <c r="D703" s="189" t="s">
        <v>1182</v>
      </c>
      <c r="E703" s="189" t="s">
        <v>1183</v>
      </c>
      <c r="F703" s="189" t="s">
        <v>1183</v>
      </c>
      <c r="G703" s="189" t="s">
        <v>1184</v>
      </c>
      <c r="H703" s="188" t="n">
        <v>46139</v>
      </c>
      <c r="I703" s="189" t="s">
        <v>113</v>
      </c>
      <c r="J703" s="189" t="s">
        <v>128</v>
      </c>
      <c r="K703" s="189" t="s">
        <v>245</v>
      </c>
      <c r="L703" s="189" t="s">
        <v>246</v>
      </c>
      <c r="M703" s="189" t="s">
        <v>365</v>
      </c>
      <c r="N703" s="189" t="s">
        <v>115</v>
      </c>
      <c r="O703" s="189" t="s">
        <v>107</v>
      </c>
      <c r="P703" s="189" t="s">
        <v>111</v>
      </c>
      <c r="Q703" s="189" t="s">
        <v>112</v>
      </c>
      <c r="R703" s="189" t="s">
        <v>22</v>
      </c>
      <c r="S703" s="189" t="s">
        <v>227</v>
      </c>
      <c r="T703" s="189" t="s">
        <v>121</v>
      </c>
      <c r="U703" s="189" t="s">
        <v>122</v>
      </c>
      <c r="V703" s="189" t="s">
        <v>123</v>
      </c>
      <c r="W703" s="189" t="s">
        <v>124</v>
      </c>
      <c r="X703" s="189" t="s">
        <v>148</v>
      </c>
      <c r="Y703" s="189" t="s">
        <v>3069</v>
      </c>
      <c r="Z703" s="0" t="n">
        <v>2</v>
      </c>
      <c r="AA703" s="189" t="s">
        <v>122</v>
      </c>
    </row>
    <row r="704" customFormat="false" ht="15" hidden="false" customHeight="false" outlineLevel="0" collapsed="false">
      <c r="A704" s="0" t="n">
        <v>143</v>
      </c>
      <c r="B704" s="188" t="n">
        <v>46077.5890811181</v>
      </c>
      <c r="C704" s="188" t="n">
        <v>46077.6065116736</v>
      </c>
      <c r="D704" s="189" t="s">
        <v>1188</v>
      </c>
      <c r="E704" s="189" t="s">
        <v>1189</v>
      </c>
      <c r="F704" s="189" t="s">
        <v>1189</v>
      </c>
      <c r="G704" s="189" t="s">
        <v>1190</v>
      </c>
      <c r="H704" s="188" t="n">
        <v>46067</v>
      </c>
      <c r="I704" s="189" t="s">
        <v>325</v>
      </c>
      <c r="J704" s="189" t="s">
        <v>108</v>
      </c>
      <c r="K704" s="189" t="s">
        <v>232</v>
      </c>
      <c r="L704" s="189" t="s">
        <v>184</v>
      </c>
      <c r="M704" s="189" t="s">
        <v>612</v>
      </c>
      <c r="N704" s="189" t="s">
        <v>1006</v>
      </c>
      <c r="O704" s="189" t="s">
        <v>172</v>
      </c>
      <c r="P704" s="189" t="s">
        <v>111</v>
      </c>
      <c r="Q704" s="189" t="s">
        <v>112</v>
      </c>
      <c r="R704" s="189" t="s">
        <v>22</v>
      </c>
      <c r="S704" s="189" t="s">
        <v>120</v>
      </c>
      <c r="T704" s="189" t="s">
        <v>228</v>
      </c>
      <c r="V704" s="189" t="s">
        <v>192</v>
      </c>
      <c r="W704" s="189" t="s">
        <v>168</v>
      </c>
      <c r="X704" s="189" t="s">
        <v>298</v>
      </c>
      <c r="Y704" s="189" t="s">
        <v>3064</v>
      </c>
      <c r="Z704" s="0" t="n">
        <v>1</v>
      </c>
      <c r="AA704" s="189" t="s">
        <v>3207</v>
      </c>
    </row>
    <row r="705" customFormat="false" ht="15" hidden="false" customHeight="false" outlineLevel="0" collapsed="false">
      <c r="A705" s="0" t="n">
        <v>143</v>
      </c>
      <c r="B705" s="188" t="n">
        <v>46077.5890811181</v>
      </c>
      <c r="C705" s="188" t="n">
        <v>46077.6065116736</v>
      </c>
      <c r="D705" s="189" t="s">
        <v>1188</v>
      </c>
      <c r="E705" s="189" t="s">
        <v>1189</v>
      </c>
      <c r="F705" s="189" t="s">
        <v>1189</v>
      </c>
      <c r="G705" s="189" t="s">
        <v>1190</v>
      </c>
      <c r="H705" s="188" t="n">
        <v>46067</v>
      </c>
      <c r="I705" s="189" t="s">
        <v>325</v>
      </c>
      <c r="J705" s="189" t="s">
        <v>108</v>
      </c>
      <c r="K705" s="189" t="s">
        <v>232</v>
      </c>
      <c r="L705" s="189" t="s">
        <v>184</v>
      </c>
      <c r="M705" s="189" t="s">
        <v>612</v>
      </c>
      <c r="N705" s="189" t="s">
        <v>1006</v>
      </c>
      <c r="O705" s="189" t="s">
        <v>172</v>
      </c>
      <c r="P705" s="189" t="s">
        <v>111</v>
      </c>
      <c r="Q705" s="189" t="s">
        <v>112</v>
      </c>
      <c r="R705" s="189" t="s">
        <v>22</v>
      </c>
      <c r="S705" s="189" t="s">
        <v>120</v>
      </c>
      <c r="T705" s="189" t="s">
        <v>228</v>
      </c>
      <c r="V705" s="189" t="s">
        <v>192</v>
      </c>
      <c r="W705" s="189" t="s">
        <v>168</v>
      </c>
      <c r="X705" s="189" t="s">
        <v>298</v>
      </c>
      <c r="Y705" s="189" t="s">
        <v>3064</v>
      </c>
      <c r="Z705" s="0" t="n">
        <v>2</v>
      </c>
      <c r="AA705" s="189" t="s">
        <v>3124</v>
      </c>
    </row>
    <row r="706" customFormat="false" ht="15" hidden="false" customHeight="false" outlineLevel="0" collapsed="false">
      <c r="A706" s="0" t="n">
        <v>143</v>
      </c>
      <c r="B706" s="188" t="n">
        <v>46077.5890811181</v>
      </c>
      <c r="C706" s="188" t="n">
        <v>46077.6065116736</v>
      </c>
      <c r="D706" s="189" t="s">
        <v>1188</v>
      </c>
      <c r="E706" s="189" t="s">
        <v>1189</v>
      </c>
      <c r="F706" s="189" t="s">
        <v>1189</v>
      </c>
      <c r="G706" s="189" t="s">
        <v>1190</v>
      </c>
      <c r="H706" s="188" t="n">
        <v>46067</v>
      </c>
      <c r="I706" s="189" t="s">
        <v>325</v>
      </c>
      <c r="J706" s="189" t="s">
        <v>108</v>
      </c>
      <c r="K706" s="189" t="s">
        <v>232</v>
      </c>
      <c r="L706" s="189" t="s">
        <v>184</v>
      </c>
      <c r="M706" s="189" t="s">
        <v>612</v>
      </c>
      <c r="N706" s="189" t="s">
        <v>1006</v>
      </c>
      <c r="O706" s="189" t="s">
        <v>172</v>
      </c>
      <c r="P706" s="189" t="s">
        <v>111</v>
      </c>
      <c r="Q706" s="189" t="s">
        <v>112</v>
      </c>
      <c r="R706" s="189" t="s">
        <v>22</v>
      </c>
      <c r="S706" s="189" t="s">
        <v>120</v>
      </c>
      <c r="T706" s="189" t="s">
        <v>228</v>
      </c>
      <c r="V706" s="189" t="s">
        <v>192</v>
      </c>
      <c r="W706" s="189" t="s">
        <v>168</v>
      </c>
      <c r="X706" s="189" t="s">
        <v>298</v>
      </c>
      <c r="Y706" s="189" t="s">
        <v>3066</v>
      </c>
      <c r="Z706" s="0" t="n">
        <v>1</v>
      </c>
      <c r="AA706" s="189" t="s">
        <v>3196</v>
      </c>
    </row>
    <row r="707" customFormat="false" ht="15" hidden="false" customHeight="false" outlineLevel="0" collapsed="false">
      <c r="A707" s="0" t="n">
        <v>143</v>
      </c>
      <c r="B707" s="188" t="n">
        <v>46077.5890811181</v>
      </c>
      <c r="C707" s="188" t="n">
        <v>46077.6065116736</v>
      </c>
      <c r="D707" s="189" t="s">
        <v>1188</v>
      </c>
      <c r="E707" s="189" t="s">
        <v>1189</v>
      </c>
      <c r="F707" s="189" t="s">
        <v>1189</v>
      </c>
      <c r="G707" s="189" t="s">
        <v>1190</v>
      </c>
      <c r="H707" s="188" t="n">
        <v>46067</v>
      </c>
      <c r="I707" s="189" t="s">
        <v>325</v>
      </c>
      <c r="J707" s="189" t="s">
        <v>108</v>
      </c>
      <c r="K707" s="189" t="s">
        <v>232</v>
      </c>
      <c r="L707" s="189" t="s">
        <v>184</v>
      </c>
      <c r="M707" s="189" t="s">
        <v>612</v>
      </c>
      <c r="N707" s="189" t="s">
        <v>1006</v>
      </c>
      <c r="O707" s="189" t="s">
        <v>172</v>
      </c>
      <c r="P707" s="189" t="s">
        <v>111</v>
      </c>
      <c r="Q707" s="189" t="s">
        <v>112</v>
      </c>
      <c r="R707" s="189" t="s">
        <v>22</v>
      </c>
      <c r="S707" s="189" t="s">
        <v>120</v>
      </c>
      <c r="T707" s="189" t="s">
        <v>228</v>
      </c>
      <c r="V707" s="189" t="s">
        <v>192</v>
      </c>
      <c r="W707" s="189" t="s">
        <v>168</v>
      </c>
      <c r="X707" s="189" t="s">
        <v>298</v>
      </c>
      <c r="Y707" s="189" t="s">
        <v>3069</v>
      </c>
      <c r="Z707" s="0" t="n">
        <v>1</v>
      </c>
      <c r="AA707" s="189" t="s">
        <v>3215</v>
      </c>
    </row>
    <row r="708" customFormat="false" ht="15" hidden="false" customHeight="false" outlineLevel="0" collapsed="false">
      <c r="A708" s="0" t="n">
        <v>143</v>
      </c>
      <c r="B708" s="188" t="n">
        <v>46077.5890811181</v>
      </c>
      <c r="C708" s="188" t="n">
        <v>46077.6065116736</v>
      </c>
      <c r="D708" s="189" t="s">
        <v>1188</v>
      </c>
      <c r="E708" s="189" t="s">
        <v>1189</v>
      </c>
      <c r="F708" s="189" t="s">
        <v>1189</v>
      </c>
      <c r="G708" s="189" t="s">
        <v>1190</v>
      </c>
      <c r="H708" s="188" t="n">
        <v>46067</v>
      </c>
      <c r="I708" s="189" t="s">
        <v>325</v>
      </c>
      <c r="J708" s="189" t="s">
        <v>108</v>
      </c>
      <c r="K708" s="189" t="s">
        <v>232</v>
      </c>
      <c r="L708" s="189" t="s">
        <v>184</v>
      </c>
      <c r="M708" s="189" t="s">
        <v>612</v>
      </c>
      <c r="N708" s="189" t="s">
        <v>1006</v>
      </c>
      <c r="O708" s="189" t="s">
        <v>172</v>
      </c>
      <c r="P708" s="189" t="s">
        <v>111</v>
      </c>
      <c r="Q708" s="189" t="s">
        <v>112</v>
      </c>
      <c r="R708" s="189" t="s">
        <v>22</v>
      </c>
      <c r="S708" s="189" t="s">
        <v>120</v>
      </c>
      <c r="T708" s="189" t="s">
        <v>228</v>
      </c>
      <c r="V708" s="189" t="s">
        <v>192</v>
      </c>
      <c r="W708" s="189" t="s">
        <v>168</v>
      </c>
      <c r="X708" s="189" t="s">
        <v>298</v>
      </c>
      <c r="Y708" s="189" t="s">
        <v>3069</v>
      </c>
      <c r="Z708" s="0" t="n">
        <v>2</v>
      </c>
      <c r="AA708" s="189" t="s">
        <v>3268</v>
      </c>
    </row>
    <row r="709" customFormat="false" ht="28.35" hidden="false" customHeight="false" outlineLevel="0" collapsed="false">
      <c r="A709" s="0" t="n">
        <v>144</v>
      </c>
      <c r="B709" s="188" t="n">
        <v>46108.3715162508</v>
      </c>
      <c r="C709" s="188" t="n">
        <v>46108.3875579175</v>
      </c>
      <c r="D709" s="189" t="s">
        <v>1193</v>
      </c>
      <c r="E709" s="189" t="s">
        <v>1194</v>
      </c>
      <c r="F709" s="189" t="s">
        <v>1194</v>
      </c>
      <c r="G709" s="189" t="s">
        <v>1195</v>
      </c>
      <c r="H709" s="188" t="n">
        <v>46105</v>
      </c>
      <c r="I709" s="189" t="s">
        <v>113</v>
      </c>
      <c r="J709" s="189" t="s">
        <v>108</v>
      </c>
      <c r="K709" s="189" t="s">
        <v>196</v>
      </c>
      <c r="L709" s="189" t="s">
        <v>246</v>
      </c>
      <c r="M709" s="189" t="s">
        <v>492</v>
      </c>
      <c r="N709" s="189" t="s">
        <v>227</v>
      </c>
      <c r="O709" s="189" t="s">
        <v>107</v>
      </c>
      <c r="P709" s="189" t="s">
        <v>111</v>
      </c>
      <c r="Q709" s="189" t="s">
        <v>112</v>
      </c>
      <c r="R709" s="189" t="s">
        <v>22</v>
      </c>
      <c r="S709" s="189" t="s">
        <v>152</v>
      </c>
      <c r="T709" s="189" t="s">
        <v>121</v>
      </c>
      <c r="U709" s="132" t="s">
        <v>969</v>
      </c>
      <c r="V709" s="189" t="s">
        <v>192</v>
      </c>
      <c r="W709" s="189" t="s">
        <v>124</v>
      </c>
      <c r="X709" s="189" t="s">
        <v>381</v>
      </c>
      <c r="Y709" s="189" t="s">
        <v>3064</v>
      </c>
      <c r="Z709" s="0" t="n">
        <v>1</v>
      </c>
      <c r="AA709" s="189" t="s">
        <v>3180</v>
      </c>
    </row>
    <row r="710" customFormat="false" ht="28.35" hidden="false" customHeight="false" outlineLevel="0" collapsed="false">
      <c r="A710" s="0" t="n">
        <v>144</v>
      </c>
      <c r="B710" s="188" t="n">
        <v>46108.3715162508</v>
      </c>
      <c r="C710" s="188" t="n">
        <v>46108.3875579175</v>
      </c>
      <c r="D710" s="189" t="s">
        <v>1193</v>
      </c>
      <c r="E710" s="189" t="s">
        <v>1194</v>
      </c>
      <c r="F710" s="189" t="s">
        <v>1194</v>
      </c>
      <c r="G710" s="189" t="s">
        <v>1195</v>
      </c>
      <c r="H710" s="188" t="n">
        <v>46105</v>
      </c>
      <c r="I710" s="189" t="s">
        <v>113</v>
      </c>
      <c r="J710" s="189" t="s">
        <v>108</v>
      </c>
      <c r="K710" s="189" t="s">
        <v>196</v>
      </c>
      <c r="L710" s="189" t="s">
        <v>246</v>
      </c>
      <c r="M710" s="189" t="s">
        <v>492</v>
      </c>
      <c r="N710" s="189" t="s">
        <v>227</v>
      </c>
      <c r="O710" s="189" t="s">
        <v>107</v>
      </c>
      <c r="P710" s="189" t="s">
        <v>111</v>
      </c>
      <c r="Q710" s="189" t="s">
        <v>112</v>
      </c>
      <c r="R710" s="189" t="s">
        <v>22</v>
      </c>
      <c r="S710" s="189" t="s">
        <v>152</v>
      </c>
      <c r="T710" s="189" t="s">
        <v>121</v>
      </c>
      <c r="U710" s="132" t="s">
        <v>969</v>
      </c>
      <c r="V710" s="189" t="s">
        <v>192</v>
      </c>
      <c r="W710" s="189" t="s">
        <v>124</v>
      </c>
      <c r="X710" s="189" t="s">
        <v>381</v>
      </c>
      <c r="Y710" s="189" t="s">
        <v>3064</v>
      </c>
      <c r="Z710" s="0" t="n">
        <v>2</v>
      </c>
      <c r="AA710" s="189" t="s">
        <v>3249</v>
      </c>
    </row>
    <row r="711" customFormat="false" ht="28.35" hidden="false" customHeight="false" outlineLevel="0" collapsed="false">
      <c r="A711" s="0" t="n">
        <v>144</v>
      </c>
      <c r="B711" s="188" t="n">
        <v>46108.3715162508</v>
      </c>
      <c r="C711" s="188" t="n">
        <v>46108.3875579175</v>
      </c>
      <c r="D711" s="189" t="s">
        <v>1193</v>
      </c>
      <c r="E711" s="189" t="s">
        <v>1194</v>
      </c>
      <c r="F711" s="189" t="s">
        <v>1194</v>
      </c>
      <c r="G711" s="189" t="s">
        <v>1195</v>
      </c>
      <c r="H711" s="188" t="n">
        <v>46105</v>
      </c>
      <c r="I711" s="189" t="s">
        <v>113</v>
      </c>
      <c r="J711" s="189" t="s">
        <v>108</v>
      </c>
      <c r="K711" s="189" t="s">
        <v>196</v>
      </c>
      <c r="L711" s="189" t="s">
        <v>246</v>
      </c>
      <c r="M711" s="189" t="s">
        <v>492</v>
      </c>
      <c r="N711" s="189" t="s">
        <v>227</v>
      </c>
      <c r="O711" s="189" t="s">
        <v>107</v>
      </c>
      <c r="P711" s="189" t="s">
        <v>111</v>
      </c>
      <c r="Q711" s="189" t="s">
        <v>112</v>
      </c>
      <c r="R711" s="189" t="s">
        <v>22</v>
      </c>
      <c r="S711" s="189" t="s">
        <v>152</v>
      </c>
      <c r="T711" s="189" t="s">
        <v>121</v>
      </c>
      <c r="U711" s="132" t="s">
        <v>969</v>
      </c>
      <c r="V711" s="189" t="s">
        <v>192</v>
      </c>
      <c r="W711" s="189" t="s">
        <v>124</v>
      </c>
      <c r="X711" s="189" t="s">
        <v>381</v>
      </c>
      <c r="Y711" s="189" t="s">
        <v>3064</v>
      </c>
      <c r="Z711" s="0" t="n">
        <v>3</v>
      </c>
      <c r="AA711" s="189" t="s">
        <v>3159</v>
      </c>
    </row>
    <row r="712" customFormat="false" ht="28.35" hidden="false" customHeight="false" outlineLevel="0" collapsed="false">
      <c r="A712" s="0" t="n">
        <v>144</v>
      </c>
      <c r="B712" s="188" t="n">
        <v>46108.3715162508</v>
      </c>
      <c r="C712" s="188" t="n">
        <v>46108.3875579175</v>
      </c>
      <c r="D712" s="189" t="s">
        <v>1193</v>
      </c>
      <c r="E712" s="189" t="s">
        <v>1194</v>
      </c>
      <c r="F712" s="189" t="s">
        <v>1194</v>
      </c>
      <c r="G712" s="189" t="s">
        <v>1195</v>
      </c>
      <c r="H712" s="188" t="n">
        <v>46105</v>
      </c>
      <c r="I712" s="189" t="s">
        <v>113</v>
      </c>
      <c r="J712" s="189" t="s">
        <v>108</v>
      </c>
      <c r="K712" s="189" t="s">
        <v>196</v>
      </c>
      <c r="L712" s="189" t="s">
        <v>246</v>
      </c>
      <c r="M712" s="189" t="s">
        <v>492</v>
      </c>
      <c r="N712" s="189" t="s">
        <v>227</v>
      </c>
      <c r="O712" s="189" t="s">
        <v>107</v>
      </c>
      <c r="P712" s="189" t="s">
        <v>111</v>
      </c>
      <c r="Q712" s="189" t="s">
        <v>112</v>
      </c>
      <c r="R712" s="189" t="s">
        <v>22</v>
      </c>
      <c r="S712" s="189" t="s">
        <v>152</v>
      </c>
      <c r="T712" s="189" t="s">
        <v>121</v>
      </c>
      <c r="U712" s="132" t="s">
        <v>969</v>
      </c>
      <c r="V712" s="189" t="s">
        <v>192</v>
      </c>
      <c r="W712" s="189" t="s">
        <v>124</v>
      </c>
      <c r="X712" s="189" t="s">
        <v>381</v>
      </c>
      <c r="Y712" s="189" t="s">
        <v>3066</v>
      </c>
      <c r="Z712" s="0" t="n">
        <v>1</v>
      </c>
      <c r="AA712" s="189" t="s">
        <v>3161</v>
      </c>
    </row>
    <row r="713" customFormat="false" ht="28.35" hidden="false" customHeight="false" outlineLevel="0" collapsed="false">
      <c r="A713" s="0" t="n">
        <v>144</v>
      </c>
      <c r="B713" s="188" t="n">
        <v>46108.3715162508</v>
      </c>
      <c r="C713" s="188" t="n">
        <v>46108.3875579175</v>
      </c>
      <c r="D713" s="189" t="s">
        <v>1193</v>
      </c>
      <c r="E713" s="189" t="s">
        <v>1194</v>
      </c>
      <c r="F713" s="189" t="s">
        <v>1194</v>
      </c>
      <c r="G713" s="189" t="s">
        <v>1195</v>
      </c>
      <c r="H713" s="188" t="n">
        <v>46105</v>
      </c>
      <c r="I713" s="189" t="s">
        <v>113</v>
      </c>
      <c r="J713" s="189" t="s">
        <v>108</v>
      </c>
      <c r="K713" s="189" t="s">
        <v>196</v>
      </c>
      <c r="L713" s="189" t="s">
        <v>246</v>
      </c>
      <c r="M713" s="189" t="s">
        <v>492</v>
      </c>
      <c r="N713" s="189" t="s">
        <v>227</v>
      </c>
      <c r="O713" s="189" t="s">
        <v>107</v>
      </c>
      <c r="P713" s="189" t="s">
        <v>111</v>
      </c>
      <c r="Q713" s="189" t="s">
        <v>112</v>
      </c>
      <c r="R713" s="189" t="s">
        <v>22</v>
      </c>
      <c r="S713" s="189" t="s">
        <v>152</v>
      </c>
      <c r="T713" s="189" t="s">
        <v>121</v>
      </c>
      <c r="U713" s="132" t="s">
        <v>969</v>
      </c>
      <c r="V713" s="189" t="s">
        <v>192</v>
      </c>
      <c r="W713" s="189" t="s">
        <v>124</v>
      </c>
      <c r="X713" s="189" t="s">
        <v>381</v>
      </c>
      <c r="Y713" s="189" t="s">
        <v>3066</v>
      </c>
      <c r="Z713" s="0" t="n">
        <v>2</v>
      </c>
      <c r="AA713" s="189" t="s">
        <v>3250</v>
      </c>
    </row>
    <row r="714" customFormat="false" ht="28.35" hidden="false" customHeight="false" outlineLevel="0" collapsed="false">
      <c r="A714" s="0" t="n">
        <v>144</v>
      </c>
      <c r="B714" s="188" t="n">
        <v>46108.3715162508</v>
      </c>
      <c r="C714" s="188" t="n">
        <v>46108.3875579175</v>
      </c>
      <c r="D714" s="189" t="s">
        <v>1193</v>
      </c>
      <c r="E714" s="189" t="s">
        <v>1194</v>
      </c>
      <c r="F714" s="189" t="s">
        <v>1194</v>
      </c>
      <c r="G714" s="189" t="s">
        <v>1195</v>
      </c>
      <c r="H714" s="188" t="n">
        <v>46105</v>
      </c>
      <c r="I714" s="189" t="s">
        <v>113</v>
      </c>
      <c r="J714" s="189" t="s">
        <v>108</v>
      </c>
      <c r="K714" s="189" t="s">
        <v>196</v>
      </c>
      <c r="L714" s="189" t="s">
        <v>246</v>
      </c>
      <c r="M714" s="189" t="s">
        <v>492</v>
      </c>
      <c r="N714" s="189" t="s">
        <v>227</v>
      </c>
      <c r="O714" s="189" t="s">
        <v>107</v>
      </c>
      <c r="P714" s="189" t="s">
        <v>111</v>
      </c>
      <c r="Q714" s="189" t="s">
        <v>112</v>
      </c>
      <c r="R714" s="189" t="s">
        <v>22</v>
      </c>
      <c r="S714" s="189" t="s">
        <v>152</v>
      </c>
      <c r="T714" s="189" t="s">
        <v>121</v>
      </c>
      <c r="U714" s="132" t="s">
        <v>969</v>
      </c>
      <c r="V714" s="189" t="s">
        <v>192</v>
      </c>
      <c r="W714" s="189" t="s">
        <v>124</v>
      </c>
      <c r="X714" s="189" t="s">
        <v>381</v>
      </c>
      <c r="Y714" s="189" t="s">
        <v>3069</v>
      </c>
      <c r="Z714" s="0" t="n">
        <v>1</v>
      </c>
      <c r="AA714" s="189" t="s">
        <v>3162</v>
      </c>
    </row>
    <row r="715" customFormat="false" ht="15" hidden="false" customHeight="false" outlineLevel="0" collapsed="false">
      <c r="A715" s="0" t="n">
        <v>145</v>
      </c>
      <c r="B715" s="188" t="n">
        <v>46076.0579312201</v>
      </c>
      <c r="C715" s="188" t="n">
        <v>46076.0758710349</v>
      </c>
      <c r="D715" s="189" t="s">
        <v>1198</v>
      </c>
      <c r="E715" s="189" t="s">
        <v>1199</v>
      </c>
      <c r="F715" s="189" t="s">
        <v>1199</v>
      </c>
      <c r="G715" s="189" t="s">
        <v>1200</v>
      </c>
      <c r="H715" s="188" t="n">
        <v>46076</v>
      </c>
      <c r="I715" s="189" t="s">
        <v>113</v>
      </c>
      <c r="J715" s="189" t="s">
        <v>108</v>
      </c>
      <c r="K715" s="189" t="s">
        <v>257</v>
      </c>
      <c r="L715" s="189" t="s">
        <v>491</v>
      </c>
      <c r="M715" s="189" t="s">
        <v>286</v>
      </c>
      <c r="N715" s="189" t="s">
        <v>357</v>
      </c>
      <c r="O715" s="189" t="s">
        <v>107</v>
      </c>
      <c r="P715" s="189" t="s">
        <v>111</v>
      </c>
      <c r="Q715" s="189" t="s">
        <v>112</v>
      </c>
      <c r="R715" s="189" t="s">
        <v>22</v>
      </c>
      <c r="S715" s="189" t="s">
        <v>152</v>
      </c>
      <c r="T715" s="189" t="s">
        <v>121</v>
      </c>
      <c r="U715" s="189" t="s">
        <v>122</v>
      </c>
      <c r="V715" s="189" t="s">
        <v>123</v>
      </c>
      <c r="W715" s="189" t="s">
        <v>124</v>
      </c>
      <c r="X715" s="189" t="s">
        <v>271</v>
      </c>
      <c r="Y715" s="189" t="s">
        <v>3064</v>
      </c>
      <c r="Z715" s="0" t="n">
        <v>1</v>
      </c>
      <c r="AA715" s="189" t="s">
        <v>3230</v>
      </c>
    </row>
    <row r="716" customFormat="false" ht="15" hidden="false" customHeight="false" outlineLevel="0" collapsed="false">
      <c r="A716" s="0" t="n">
        <v>145</v>
      </c>
      <c r="B716" s="188" t="n">
        <v>46076.0579312201</v>
      </c>
      <c r="C716" s="188" t="n">
        <v>46076.0758710349</v>
      </c>
      <c r="D716" s="189" t="s">
        <v>1198</v>
      </c>
      <c r="E716" s="189" t="s">
        <v>1199</v>
      </c>
      <c r="F716" s="189" t="s">
        <v>1199</v>
      </c>
      <c r="G716" s="189" t="s">
        <v>1200</v>
      </c>
      <c r="H716" s="188" t="n">
        <v>46076</v>
      </c>
      <c r="I716" s="189" t="s">
        <v>113</v>
      </c>
      <c r="J716" s="189" t="s">
        <v>108</v>
      </c>
      <c r="K716" s="189" t="s">
        <v>257</v>
      </c>
      <c r="L716" s="189" t="s">
        <v>491</v>
      </c>
      <c r="M716" s="189" t="s">
        <v>286</v>
      </c>
      <c r="N716" s="189" t="s">
        <v>357</v>
      </c>
      <c r="O716" s="189" t="s">
        <v>107</v>
      </c>
      <c r="P716" s="189" t="s">
        <v>111</v>
      </c>
      <c r="Q716" s="189" t="s">
        <v>112</v>
      </c>
      <c r="R716" s="189" t="s">
        <v>22</v>
      </c>
      <c r="S716" s="189" t="s">
        <v>152</v>
      </c>
      <c r="T716" s="189" t="s">
        <v>121</v>
      </c>
      <c r="U716" s="189" t="s">
        <v>122</v>
      </c>
      <c r="V716" s="189" t="s">
        <v>123</v>
      </c>
      <c r="W716" s="189" t="s">
        <v>124</v>
      </c>
      <c r="X716" s="189" t="s">
        <v>271</v>
      </c>
      <c r="Y716" s="189" t="s">
        <v>3064</v>
      </c>
      <c r="Z716" s="0" t="n">
        <v>2</v>
      </c>
      <c r="AA716" s="189" t="s">
        <v>3135</v>
      </c>
    </row>
    <row r="717" customFormat="false" ht="15" hidden="false" customHeight="false" outlineLevel="0" collapsed="false">
      <c r="A717" s="0" t="n">
        <v>145</v>
      </c>
      <c r="B717" s="188" t="n">
        <v>46076.0579312201</v>
      </c>
      <c r="C717" s="188" t="n">
        <v>46076.0758710349</v>
      </c>
      <c r="D717" s="189" t="s">
        <v>1198</v>
      </c>
      <c r="E717" s="189" t="s">
        <v>1199</v>
      </c>
      <c r="F717" s="189" t="s">
        <v>1199</v>
      </c>
      <c r="G717" s="189" t="s">
        <v>1200</v>
      </c>
      <c r="H717" s="188" t="n">
        <v>46076</v>
      </c>
      <c r="I717" s="189" t="s">
        <v>113</v>
      </c>
      <c r="J717" s="189" t="s">
        <v>108</v>
      </c>
      <c r="K717" s="189" t="s">
        <v>257</v>
      </c>
      <c r="L717" s="189" t="s">
        <v>491</v>
      </c>
      <c r="M717" s="189" t="s">
        <v>286</v>
      </c>
      <c r="N717" s="189" t="s">
        <v>357</v>
      </c>
      <c r="O717" s="189" t="s">
        <v>107</v>
      </c>
      <c r="P717" s="189" t="s">
        <v>111</v>
      </c>
      <c r="Q717" s="189" t="s">
        <v>112</v>
      </c>
      <c r="R717" s="189" t="s">
        <v>22</v>
      </c>
      <c r="S717" s="189" t="s">
        <v>152</v>
      </c>
      <c r="T717" s="189" t="s">
        <v>121</v>
      </c>
      <c r="U717" s="189" t="s">
        <v>122</v>
      </c>
      <c r="V717" s="189" t="s">
        <v>123</v>
      </c>
      <c r="W717" s="189" t="s">
        <v>124</v>
      </c>
      <c r="X717" s="189" t="s">
        <v>271</v>
      </c>
      <c r="Y717" s="189" t="s">
        <v>3066</v>
      </c>
      <c r="Z717" s="0" t="n">
        <v>1</v>
      </c>
      <c r="AA717" s="189" t="s">
        <v>3117</v>
      </c>
    </row>
    <row r="718" customFormat="false" ht="15" hidden="false" customHeight="false" outlineLevel="0" collapsed="false">
      <c r="A718" s="0" t="n">
        <v>145</v>
      </c>
      <c r="B718" s="188" t="n">
        <v>46076.0579312201</v>
      </c>
      <c r="C718" s="188" t="n">
        <v>46076.0758710349</v>
      </c>
      <c r="D718" s="189" t="s">
        <v>1198</v>
      </c>
      <c r="E718" s="189" t="s">
        <v>1199</v>
      </c>
      <c r="F718" s="189" t="s">
        <v>1199</v>
      </c>
      <c r="G718" s="189" t="s">
        <v>1200</v>
      </c>
      <c r="H718" s="188" t="n">
        <v>46076</v>
      </c>
      <c r="I718" s="189" t="s">
        <v>113</v>
      </c>
      <c r="J718" s="189" t="s">
        <v>108</v>
      </c>
      <c r="K718" s="189" t="s">
        <v>257</v>
      </c>
      <c r="L718" s="189" t="s">
        <v>491</v>
      </c>
      <c r="M718" s="189" t="s">
        <v>286</v>
      </c>
      <c r="N718" s="189" t="s">
        <v>357</v>
      </c>
      <c r="O718" s="189" t="s">
        <v>107</v>
      </c>
      <c r="P718" s="189" t="s">
        <v>111</v>
      </c>
      <c r="Q718" s="189" t="s">
        <v>112</v>
      </c>
      <c r="R718" s="189" t="s">
        <v>22</v>
      </c>
      <c r="S718" s="189" t="s">
        <v>152</v>
      </c>
      <c r="T718" s="189" t="s">
        <v>121</v>
      </c>
      <c r="U718" s="189" t="s">
        <v>122</v>
      </c>
      <c r="V718" s="189" t="s">
        <v>123</v>
      </c>
      <c r="W718" s="189" t="s">
        <v>124</v>
      </c>
      <c r="X718" s="189" t="s">
        <v>271</v>
      </c>
      <c r="Y718" s="189" t="s">
        <v>3066</v>
      </c>
      <c r="Z718" s="0" t="n">
        <v>2</v>
      </c>
      <c r="AA718" s="189" t="s">
        <v>3266</v>
      </c>
    </row>
    <row r="719" customFormat="false" ht="15" hidden="false" customHeight="false" outlineLevel="0" collapsed="false">
      <c r="A719" s="0" t="n">
        <v>145</v>
      </c>
      <c r="B719" s="188" t="n">
        <v>46076.0579312201</v>
      </c>
      <c r="C719" s="188" t="n">
        <v>46076.0758710349</v>
      </c>
      <c r="D719" s="189" t="s">
        <v>1198</v>
      </c>
      <c r="E719" s="189" t="s">
        <v>1199</v>
      </c>
      <c r="F719" s="189" t="s">
        <v>1199</v>
      </c>
      <c r="G719" s="189" t="s">
        <v>1200</v>
      </c>
      <c r="H719" s="188" t="n">
        <v>46076</v>
      </c>
      <c r="I719" s="189" t="s">
        <v>113</v>
      </c>
      <c r="J719" s="189" t="s">
        <v>108</v>
      </c>
      <c r="K719" s="189" t="s">
        <v>257</v>
      </c>
      <c r="L719" s="189" t="s">
        <v>491</v>
      </c>
      <c r="M719" s="189" t="s">
        <v>286</v>
      </c>
      <c r="N719" s="189" t="s">
        <v>357</v>
      </c>
      <c r="O719" s="189" t="s">
        <v>107</v>
      </c>
      <c r="P719" s="189" t="s">
        <v>111</v>
      </c>
      <c r="Q719" s="189" t="s">
        <v>112</v>
      </c>
      <c r="R719" s="189" t="s">
        <v>22</v>
      </c>
      <c r="S719" s="189" t="s">
        <v>152</v>
      </c>
      <c r="T719" s="189" t="s">
        <v>121</v>
      </c>
      <c r="U719" s="189" t="s">
        <v>122</v>
      </c>
      <c r="V719" s="189" t="s">
        <v>123</v>
      </c>
      <c r="W719" s="189" t="s">
        <v>124</v>
      </c>
      <c r="X719" s="189" t="s">
        <v>271</v>
      </c>
      <c r="Y719" s="189" t="s">
        <v>3069</v>
      </c>
      <c r="Z719" s="0" t="n">
        <v>1</v>
      </c>
      <c r="AA719" s="189" t="s">
        <v>3119</v>
      </c>
    </row>
    <row r="720" customFormat="false" ht="15" hidden="false" customHeight="false" outlineLevel="0" collapsed="false">
      <c r="A720" s="0" t="n">
        <v>145</v>
      </c>
      <c r="B720" s="188" t="n">
        <v>46076.0579312201</v>
      </c>
      <c r="C720" s="188" t="n">
        <v>46076.0758710349</v>
      </c>
      <c r="D720" s="189" t="s">
        <v>1198</v>
      </c>
      <c r="E720" s="189" t="s">
        <v>1199</v>
      </c>
      <c r="F720" s="189" t="s">
        <v>1199</v>
      </c>
      <c r="G720" s="189" t="s">
        <v>1200</v>
      </c>
      <c r="H720" s="188" t="n">
        <v>46076</v>
      </c>
      <c r="I720" s="189" t="s">
        <v>113</v>
      </c>
      <c r="J720" s="189" t="s">
        <v>108</v>
      </c>
      <c r="K720" s="189" t="s">
        <v>257</v>
      </c>
      <c r="L720" s="189" t="s">
        <v>491</v>
      </c>
      <c r="M720" s="189" t="s">
        <v>286</v>
      </c>
      <c r="N720" s="189" t="s">
        <v>357</v>
      </c>
      <c r="O720" s="189" t="s">
        <v>107</v>
      </c>
      <c r="P720" s="189" t="s">
        <v>111</v>
      </c>
      <c r="Q720" s="189" t="s">
        <v>112</v>
      </c>
      <c r="R720" s="189" t="s">
        <v>22</v>
      </c>
      <c r="S720" s="189" t="s">
        <v>152</v>
      </c>
      <c r="T720" s="189" t="s">
        <v>121</v>
      </c>
      <c r="U720" s="189" t="s">
        <v>122</v>
      </c>
      <c r="V720" s="189" t="s">
        <v>123</v>
      </c>
      <c r="W720" s="189" t="s">
        <v>124</v>
      </c>
      <c r="X720" s="189" t="s">
        <v>271</v>
      </c>
      <c r="Y720" s="189" t="s">
        <v>3069</v>
      </c>
      <c r="Z720" s="0" t="n">
        <v>2</v>
      </c>
      <c r="AA720" s="189" t="s">
        <v>122</v>
      </c>
    </row>
    <row r="721" customFormat="false" ht="15" hidden="false" customHeight="false" outlineLevel="0" collapsed="false">
      <c r="A721" s="0" t="n">
        <v>146</v>
      </c>
      <c r="B721" s="188" t="n">
        <v>46159.2703845003</v>
      </c>
      <c r="C721" s="188" t="n">
        <v>46159.280801167</v>
      </c>
      <c r="D721" s="189" t="s">
        <v>1202</v>
      </c>
      <c r="E721" s="189" t="s">
        <v>1203</v>
      </c>
      <c r="F721" s="189" t="s">
        <v>1204</v>
      </c>
      <c r="G721" s="189" t="s">
        <v>1205</v>
      </c>
      <c r="H721" s="188" t="n">
        <v>46155</v>
      </c>
      <c r="I721" s="189" t="s">
        <v>113</v>
      </c>
      <c r="J721" s="189" t="s">
        <v>108</v>
      </c>
      <c r="K721" s="189" t="s">
        <v>364</v>
      </c>
      <c r="L721" s="189" t="s">
        <v>233</v>
      </c>
      <c r="M721" s="189" t="s">
        <v>774</v>
      </c>
      <c r="N721" s="189" t="s">
        <v>347</v>
      </c>
      <c r="O721" s="189" t="s">
        <v>172</v>
      </c>
      <c r="P721" s="189" t="s">
        <v>111</v>
      </c>
      <c r="Q721" s="189" t="s">
        <v>112</v>
      </c>
      <c r="R721" s="189" t="s">
        <v>24</v>
      </c>
      <c r="S721" s="189" t="s">
        <v>120</v>
      </c>
      <c r="T721" s="189" t="s">
        <v>121</v>
      </c>
      <c r="V721" s="189" t="s">
        <v>192</v>
      </c>
      <c r="W721" s="189" t="s">
        <v>139</v>
      </c>
      <c r="X721" s="189" t="s">
        <v>260</v>
      </c>
      <c r="Y721" s="189" t="s">
        <v>3064</v>
      </c>
      <c r="Z721" s="0" t="n">
        <v>1</v>
      </c>
      <c r="AA721" s="189" t="s">
        <v>3262</v>
      </c>
    </row>
    <row r="722" customFormat="false" ht="15" hidden="false" customHeight="false" outlineLevel="0" collapsed="false">
      <c r="A722" s="0" t="n">
        <v>146</v>
      </c>
      <c r="B722" s="188" t="n">
        <v>46159.2703845003</v>
      </c>
      <c r="C722" s="188" t="n">
        <v>46159.280801167</v>
      </c>
      <c r="D722" s="189" t="s">
        <v>1202</v>
      </c>
      <c r="E722" s="189" t="s">
        <v>1203</v>
      </c>
      <c r="F722" s="189" t="s">
        <v>1204</v>
      </c>
      <c r="G722" s="189" t="s">
        <v>1205</v>
      </c>
      <c r="H722" s="188" t="n">
        <v>46155</v>
      </c>
      <c r="I722" s="189" t="s">
        <v>113</v>
      </c>
      <c r="J722" s="189" t="s">
        <v>108</v>
      </c>
      <c r="K722" s="189" t="s">
        <v>364</v>
      </c>
      <c r="L722" s="189" t="s">
        <v>233</v>
      </c>
      <c r="M722" s="189" t="s">
        <v>774</v>
      </c>
      <c r="N722" s="189" t="s">
        <v>347</v>
      </c>
      <c r="O722" s="189" t="s">
        <v>172</v>
      </c>
      <c r="P722" s="189" t="s">
        <v>111</v>
      </c>
      <c r="Q722" s="189" t="s">
        <v>112</v>
      </c>
      <c r="R722" s="189" t="s">
        <v>24</v>
      </c>
      <c r="S722" s="189" t="s">
        <v>120</v>
      </c>
      <c r="T722" s="189" t="s">
        <v>121</v>
      </c>
      <c r="V722" s="189" t="s">
        <v>192</v>
      </c>
      <c r="W722" s="189" t="s">
        <v>139</v>
      </c>
      <c r="X722" s="189" t="s">
        <v>260</v>
      </c>
      <c r="Y722" s="189" t="s">
        <v>3064</v>
      </c>
      <c r="Z722" s="0" t="n">
        <v>2</v>
      </c>
      <c r="AA722" s="189" t="s">
        <v>3258</v>
      </c>
    </row>
    <row r="723" customFormat="false" ht="15" hidden="false" customHeight="false" outlineLevel="0" collapsed="false">
      <c r="A723" s="0" t="n">
        <v>146</v>
      </c>
      <c r="B723" s="188" t="n">
        <v>46159.2703845003</v>
      </c>
      <c r="C723" s="188" t="n">
        <v>46159.280801167</v>
      </c>
      <c r="D723" s="189" t="s">
        <v>1202</v>
      </c>
      <c r="E723" s="189" t="s">
        <v>1203</v>
      </c>
      <c r="F723" s="189" t="s">
        <v>1204</v>
      </c>
      <c r="G723" s="189" t="s">
        <v>1205</v>
      </c>
      <c r="H723" s="188" t="n">
        <v>46155</v>
      </c>
      <c r="I723" s="189" t="s">
        <v>113</v>
      </c>
      <c r="J723" s="189" t="s">
        <v>108</v>
      </c>
      <c r="K723" s="189" t="s">
        <v>364</v>
      </c>
      <c r="L723" s="189" t="s">
        <v>233</v>
      </c>
      <c r="M723" s="189" t="s">
        <v>774</v>
      </c>
      <c r="N723" s="189" t="s">
        <v>347</v>
      </c>
      <c r="O723" s="189" t="s">
        <v>172</v>
      </c>
      <c r="P723" s="189" t="s">
        <v>111</v>
      </c>
      <c r="Q723" s="189" t="s">
        <v>112</v>
      </c>
      <c r="R723" s="189" t="s">
        <v>24</v>
      </c>
      <c r="S723" s="189" t="s">
        <v>120</v>
      </c>
      <c r="T723" s="189" t="s">
        <v>121</v>
      </c>
      <c r="V723" s="189" t="s">
        <v>192</v>
      </c>
      <c r="W723" s="189" t="s">
        <v>139</v>
      </c>
      <c r="X723" s="189" t="s">
        <v>260</v>
      </c>
      <c r="Y723" s="189" t="s">
        <v>3066</v>
      </c>
      <c r="Z723" s="0" t="n">
        <v>1</v>
      </c>
      <c r="AA723" s="189" t="s">
        <v>3111</v>
      </c>
    </row>
    <row r="724" customFormat="false" ht="15" hidden="false" customHeight="false" outlineLevel="0" collapsed="false">
      <c r="A724" s="0" t="n">
        <v>146</v>
      </c>
      <c r="B724" s="188" t="n">
        <v>46159.2703845003</v>
      </c>
      <c r="C724" s="188" t="n">
        <v>46159.280801167</v>
      </c>
      <c r="D724" s="189" t="s">
        <v>1202</v>
      </c>
      <c r="E724" s="189" t="s">
        <v>1203</v>
      </c>
      <c r="F724" s="189" t="s">
        <v>1204</v>
      </c>
      <c r="G724" s="189" t="s">
        <v>1205</v>
      </c>
      <c r="H724" s="188" t="n">
        <v>46155</v>
      </c>
      <c r="I724" s="189" t="s">
        <v>113</v>
      </c>
      <c r="J724" s="189" t="s">
        <v>108</v>
      </c>
      <c r="K724" s="189" t="s">
        <v>364</v>
      </c>
      <c r="L724" s="189" t="s">
        <v>233</v>
      </c>
      <c r="M724" s="189" t="s">
        <v>774</v>
      </c>
      <c r="N724" s="189" t="s">
        <v>347</v>
      </c>
      <c r="O724" s="189" t="s">
        <v>172</v>
      </c>
      <c r="P724" s="189" t="s">
        <v>111</v>
      </c>
      <c r="Q724" s="189" t="s">
        <v>112</v>
      </c>
      <c r="R724" s="189" t="s">
        <v>24</v>
      </c>
      <c r="S724" s="189" t="s">
        <v>120</v>
      </c>
      <c r="T724" s="189" t="s">
        <v>121</v>
      </c>
      <c r="V724" s="189" t="s">
        <v>192</v>
      </c>
      <c r="W724" s="189" t="s">
        <v>139</v>
      </c>
      <c r="X724" s="189" t="s">
        <v>260</v>
      </c>
      <c r="Y724" s="189" t="s">
        <v>3069</v>
      </c>
      <c r="Z724" s="0" t="n">
        <v>1</v>
      </c>
      <c r="AA724" s="189" t="s">
        <v>3259</v>
      </c>
    </row>
    <row r="725" customFormat="false" ht="15" hidden="false" customHeight="false" outlineLevel="0" collapsed="false">
      <c r="A725" s="0" t="n">
        <v>146</v>
      </c>
      <c r="B725" s="188" t="n">
        <v>46159.2703845003</v>
      </c>
      <c r="C725" s="188" t="n">
        <v>46159.280801167</v>
      </c>
      <c r="D725" s="189" t="s">
        <v>1202</v>
      </c>
      <c r="E725" s="189" t="s">
        <v>1203</v>
      </c>
      <c r="F725" s="189" t="s">
        <v>1204</v>
      </c>
      <c r="G725" s="189" t="s">
        <v>1205</v>
      </c>
      <c r="H725" s="188" t="n">
        <v>46155</v>
      </c>
      <c r="I725" s="189" t="s">
        <v>113</v>
      </c>
      <c r="J725" s="189" t="s">
        <v>108</v>
      </c>
      <c r="K725" s="189" t="s">
        <v>364</v>
      </c>
      <c r="L725" s="189" t="s">
        <v>233</v>
      </c>
      <c r="M725" s="189" t="s">
        <v>774</v>
      </c>
      <c r="N725" s="189" t="s">
        <v>347</v>
      </c>
      <c r="O725" s="189" t="s">
        <v>172</v>
      </c>
      <c r="P725" s="189" t="s">
        <v>111</v>
      </c>
      <c r="Q725" s="189" t="s">
        <v>112</v>
      </c>
      <c r="R725" s="189" t="s">
        <v>24</v>
      </c>
      <c r="S725" s="189" t="s">
        <v>120</v>
      </c>
      <c r="T725" s="189" t="s">
        <v>121</v>
      </c>
      <c r="V725" s="189" t="s">
        <v>192</v>
      </c>
      <c r="W725" s="189" t="s">
        <v>139</v>
      </c>
      <c r="X725" s="189" t="s">
        <v>260</v>
      </c>
      <c r="Y725" s="189" t="s">
        <v>3069</v>
      </c>
      <c r="Z725" s="0" t="n">
        <v>2</v>
      </c>
      <c r="AA725" s="189" t="s">
        <v>606</v>
      </c>
    </row>
    <row r="726" customFormat="false" ht="15" hidden="false" customHeight="false" outlineLevel="0" collapsed="false">
      <c r="A726" s="0" t="n">
        <v>147</v>
      </c>
      <c r="B726" s="188" t="n">
        <v>46199.6121458691</v>
      </c>
      <c r="C726" s="188" t="n">
        <v>46199.629634295</v>
      </c>
      <c r="D726" s="189" t="s">
        <v>1208</v>
      </c>
      <c r="E726" s="189" t="s">
        <v>1209</v>
      </c>
      <c r="F726" s="189" t="s">
        <v>1209</v>
      </c>
      <c r="G726" s="189" t="s">
        <v>1210</v>
      </c>
      <c r="H726" s="188" t="n">
        <v>46181</v>
      </c>
      <c r="I726" s="189" t="s">
        <v>325</v>
      </c>
      <c r="J726" s="189" t="s">
        <v>108</v>
      </c>
      <c r="K726" s="189" t="s">
        <v>232</v>
      </c>
      <c r="L726" s="189" t="s">
        <v>491</v>
      </c>
      <c r="M726" s="189" t="s">
        <v>130</v>
      </c>
      <c r="N726" s="189" t="s">
        <v>560</v>
      </c>
      <c r="O726" s="189" t="s">
        <v>244</v>
      </c>
      <c r="P726" s="189" t="s">
        <v>111</v>
      </c>
      <c r="Q726" s="189" t="s">
        <v>112</v>
      </c>
      <c r="R726" s="189" t="s">
        <v>22</v>
      </c>
      <c r="S726" s="189" t="s">
        <v>152</v>
      </c>
      <c r="T726" s="189" t="s">
        <v>121</v>
      </c>
      <c r="V726" s="189" t="s">
        <v>123</v>
      </c>
      <c r="W726" s="189" t="s">
        <v>124</v>
      </c>
      <c r="X726" s="189" t="s">
        <v>715</v>
      </c>
      <c r="Y726" s="189" t="s">
        <v>3064</v>
      </c>
      <c r="Z726" s="0" t="n">
        <v>1</v>
      </c>
      <c r="AA726" s="189" t="s">
        <v>3255</v>
      </c>
    </row>
    <row r="727" customFormat="false" ht="15" hidden="false" customHeight="false" outlineLevel="0" collapsed="false">
      <c r="A727" s="0" t="n">
        <v>147</v>
      </c>
      <c r="B727" s="188" t="n">
        <v>46199.6121458691</v>
      </c>
      <c r="C727" s="188" t="n">
        <v>46199.629634295</v>
      </c>
      <c r="D727" s="189" t="s">
        <v>1208</v>
      </c>
      <c r="E727" s="189" t="s">
        <v>1209</v>
      </c>
      <c r="F727" s="189" t="s">
        <v>1209</v>
      </c>
      <c r="G727" s="189" t="s">
        <v>1210</v>
      </c>
      <c r="H727" s="188" t="n">
        <v>46181</v>
      </c>
      <c r="I727" s="189" t="s">
        <v>325</v>
      </c>
      <c r="J727" s="189" t="s">
        <v>108</v>
      </c>
      <c r="K727" s="189" t="s">
        <v>232</v>
      </c>
      <c r="L727" s="189" t="s">
        <v>491</v>
      </c>
      <c r="M727" s="189" t="s">
        <v>130</v>
      </c>
      <c r="N727" s="189" t="s">
        <v>560</v>
      </c>
      <c r="O727" s="189" t="s">
        <v>244</v>
      </c>
      <c r="P727" s="189" t="s">
        <v>111</v>
      </c>
      <c r="Q727" s="189" t="s">
        <v>112</v>
      </c>
      <c r="R727" s="189" t="s">
        <v>22</v>
      </c>
      <c r="S727" s="189" t="s">
        <v>152</v>
      </c>
      <c r="T727" s="189" t="s">
        <v>121</v>
      </c>
      <c r="V727" s="189" t="s">
        <v>123</v>
      </c>
      <c r="W727" s="189" t="s">
        <v>124</v>
      </c>
      <c r="X727" s="189" t="s">
        <v>715</v>
      </c>
      <c r="Y727" s="189" t="s">
        <v>3064</v>
      </c>
      <c r="Z727" s="0" t="n">
        <v>2</v>
      </c>
      <c r="AA727" s="189" t="s">
        <v>3224</v>
      </c>
    </row>
    <row r="728" customFormat="false" ht="15" hidden="false" customHeight="false" outlineLevel="0" collapsed="false">
      <c r="A728" s="0" t="n">
        <v>147</v>
      </c>
      <c r="B728" s="188" t="n">
        <v>46199.6121458691</v>
      </c>
      <c r="C728" s="188" t="n">
        <v>46199.629634295</v>
      </c>
      <c r="D728" s="189" t="s">
        <v>1208</v>
      </c>
      <c r="E728" s="189" t="s">
        <v>1209</v>
      </c>
      <c r="F728" s="189" t="s">
        <v>1209</v>
      </c>
      <c r="G728" s="189" t="s">
        <v>1210</v>
      </c>
      <c r="H728" s="188" t="n">
        <v>46181</v>
      </c>
      <c r="I728" s="189" t="s">
        <v>325</v>
      </c>
      <c r="J728" s="189" t="s">
        <v>108</v>
      </c>
      <c r="K728" s="189" t="s">
        <v>232</v>
      </c>
      <c r="L728" s="189" t="s">
        <v>491</v>
      </c>
      <c r="M728" s="189" t="s">
        <v>130</v>
      </c>
      <c r="N728" s="189" t="s">
        <v>560</v>
      </c>
      <c r="O728" s="189" t="s">
        <v>244</v>
      </c>
      <c r="P728" s="189" t="s">
        <v>111</v>
      </c>
      <c r="Q728" s="189" t="s">
        <v>112</v>
      </c>
      <c r="R728" s="189" t="s">
        <v>22</v>
      </c>
      <c r="S728" s="189" t="s">
        <v>152</v>
      </c>
      <c r="T728" s="189" t="s">
        <v>121</v>
      </c>
      <c r="V728" s="189" t="s">
        <v>123</v>
      </c>
      <c r="W728" s="189" t="s">
        <v>124</v>
      </c>
      <c r="X728" s="189" t="s">
        <v>715</v>
      </c>
      <c r="Y728" s="189" t="s">
        <v>3066</v>
      </c>
      <c r="Z728" s="0" t="n">
        <v>1</v>
      </c>
      <c r="AA728" s="189" t="s">
        <v>3227</v>
      </c>
    </row>
    <row r="729" customFormat="false" ht="15" hidden="false" customHeight="false" outlineLevel="0" collapsed="false">
      <c r="A729" s="0" t="n">
        <v>147</v>
      </c>
      <c r="B729" s="188" t="n">
        <v>46199.6121458691</v>
      </c>
      <c r="C729" s="188" t="n">
        <v>46199.629634295</v>
      </c>
      <c r="D729" s="189" t="s">
        <v>1208</v>
      </c>
      <c r="E729" s="189" t="s">
        <v>1209</v>
      </c>
      <c r="F729" s="189" t="s">
        <v>1209</v>
      </c>
      <c r="G729" s="189" t="s">
        <v>1210</v>
      </c>
      <c r="H729" s="188" t="n">
        <v>46181</v>
      </c>
      <c r="I729" s="189" t="s">
        <v>325</v>
      </c>
      <c r="J729" s="189" t="s">
        <v>108</v>
      </c>
      <c r="K729" s="189" t="s">
        <v>232</v>
      </c>
      <c r="L729" s="189" t="s">
        <v>491</v>
      </c>
      <c r="M729" s="189" t="s">
        <v>130</v>
      </c>
      <c r="N729" s="189" t="s">
        <v>560</v>
      </c>
      <c r="O729" s="189" t="s">
        <v>244</v>
      </c>
      <c r="P729" s="189" t="s">
        <v>111</v>
      </c>
      <c r="Q729" s="189" t="s">
        <v>112</v>
      </c>
      <c r="R729" s="189" t="s">
        <v>22</v>
      </c>
      <c r="S729" s="189" t="s">
        <v>152</v>
      </c>
      <c r="T729" s="189" t="s">
        <v>121</v>
      </c>
      <c r="V729" s="189" t="s">
        <v>123</v>
      </c>
      <c r="W729" s="189" t="s">
        <v>124</v>
      </c>
      <c r="X729" s="189" t="s">
        <v>715</v>
      </c>
      <c r="Y729" s="189" t="s">
        <v>3066</v>
      </c>
      <c r="Z729" s="0" t="n">
        <v>2</v>
      </c>
      <c r="AA729" s="189" t="s">
        <v>2531</v>
      </c>
    </row>
    <row r="730" customFormat="false" ht="15" hidden="false" customHeight="false" outlineLevel="0" collapsed="false">
      <c r="A730" s="0" t="n">
        <v>147</v>
      </c>
      <c r="B730" s="188" t="n">
        <v>46199.6121458691</v>
      </c>
      <c r="C730" s="188" t="n">
        <v>46199.629634295</v>
      </c>
      <c r="D730" s="189" t="s">
        <v>1208</v>
      </c>
      <c r="E730" s="189" t="s">
        <v>1209</v>
      </c>
      <c r="F730" s="189" t="s">
        <v>1209</v>
      </c>
      <c r="G730" s="189" t="s">
        <v>1210</v>
      </c>
      <c r="H730" s="188" t="n">
        <v>46181</v>
      </c>
      <c r="I730" s="189" t="s">
        <v>325</v>
      </c>
      <c r="J730" s="189" t="s">
        <v>108</v>
      </c>
      <c r="K730" s="189" t="s">
        <v>232</v>
      </c>
      <c r="L730" s="189" t="s">
        <v>491</v>
      </c>
      <c r="M730" s="189" t="s">
        <v>130</v>
      </c>
      <c r="N730" s="189" t="s">
        <v>560</v>
      </c>
      <c r="O730" s="189" t="s">
        <v>244</v>
      </c>
      <c r="P730" s="189" t="s">
        <v>111</v>
      </c>
      <c r="Q730" s="189" t="s">
        <v>112</v>
      </c>
      <c r="R730" s="189" t="s">
        <v>22</v>
      </c>
      <c r="S730" s="189" t="s">
        <v>152</v>
      </c>
      <c r="T730" s="189" t="s">
        <v>121</v>
      </c>
      <c r="V730" s="189" t="s">
        <v>123</v>
      </c>
      <c r="W730" s="189" t="s">
        <v>124</v>
      </c>
      <c r="X730" s="189" t="s">
        <v>715</v>
      </c>
      <c r="Y730" s="189" t="s">
        <v>3069</v>
      </c>
      <c r="Z730" s="0" t="n">
        <v>1</v>
      </c>
      <c r="AA730" s="189" t="s">
        <v>3253</v>
      </c>
    </row>
    <row r="731" customFormat="false" ht="15" hidden="false" customHeight="false" outlineLevel="0" collapsed="false">
      <c r="A731" s="0" t="n">
        <v>148</v>
      </c>
      <c r="B731" s="188" t="n">
        <v>46064.0931163775</v>
      </c>
      <c r="C731" s="188" t="n">
        <v>46064.1031048034</v>
      </c>
      <c r="D731" s="189" t="s">
        <v>1213</v>
      </c>
      <c r="E731" s="189" t="s">
        <v>1214</v>
      </c>
      <c r="F731" s="189" t="s">
        <v>1214</v>
      </c>
      <c r="G731" s="189" t="s">
        <v>1215</v>
      </c>
      <c r="H731" s="188" t="n">
        <v>46050</v>
      </c>
      <c r="I731" s="189" t="s">
        <v>325</v>
      </c>
      <c r="J731" s="189" t="s">
        <v>108</v>
      </c>
      <c r="K731" s="189" t="s">
        <v>1216</v>
      </c>
      <c r="L731" s="189" t="s">
        <v>184</v>
      </c>
      <c r="M731" s="189" t="s">
        <v>1120</v>
      </c>
      <c r="N731" s="189" t="s">
        <v>1078</v>
      </c>
      <c r="O731" s="189" t="s">
        <v>172</v>
      </c>
      <c r="P731" s="189" t="s">
        <v>111</v>
      </c>
      <c r="Q731" s="189" t="s">
        <v>247</v>
      </c>
      <c r="R731" s="189" t="s">
        <v>22</v>
      </c>
      <c r="S731" s="189" t="s">
        <v>152</v>
      </c>
      <c r="T731" s="189" t="s">
        <v>814</v>
      </c>
      <c r="U731" s="189" t="s">
        <v>122</v>
      </c>
      <c r="V731" s="189" t="s">
        <v>123</v>
      </c>
      <c r="W731" s="189" t="s">
        <v>139</v>
      </c>
      <c r="X731" s="189" t="s">
        <v>148</v>
      </c>
      <c r="Y731" s="189" t="s">
        <v>3064</v>
      </c>
      <c r="Z731" s="0" t="n">
        <v>1</v>
      </c>
      <c r="AA731" s="189" t="s">
        <v>3281</v>
      </c>
    </row>
    <row r="732" customFormat="false" ht="15" hidden="false" customHeight="false" outlineLevel="0" collapsed="false">
      <c r="A732" s="0" t="n">
        <v>148</v>
      </c>
      <c r="B732" s="188" t="n">
        <v>46064.0931163775</v>
      </c>
      <c r="C732" s="188" t="n">
        <v>46064.1031048034</v>
      </c>
      <c r="D732" s="189" t="s">
        <v>1213</v>
      </c>
      <c r="E732" s="189" t="s">
        <v>1214</v>
      </c>
      <c r="F732" s="189" t="s">
        <v>1214</v>
      </c>
      <c r="G732" s="189" t="s">
        <v>1215</v>
      </c>
      <c r="H732" s="188" t="n">
        <v>46050</v>
      </c>
      <c r="I732" s="189" t="s">
        <v>325</v>
      </c>
      <c r="J732" s="189" t="s">
        <v>108</v>
      </c>
      <c r="K732" s="189" t="s">
        <v>1216</v>
      </c>
      <c r="L732" s="189" t="s">
        <v>184</v>
      </c>
      <c r="M732" s="189" t="s">
        <v>1120</v>
      </c>
      <c r="N732" s="189" t="s">
        <v>1078</v>
      </c>
      <c r="O732" s="189" t="s">
        <v>172</v>
      </c>
      <c r="P732" s="189" t="s">
        <v>111</v>
      </c>
      <c r="Q732" s="189" t="s">
        <v>247</v>
      </c>
      <c r="R732" s="189" t="s">
        <v>22</v>
      </c>
      <c r="S732" s="189" t="s">
        <v>152</v>
      </c>
      <c r="T732" s="189" t="s">
        <v>814</v>
      </c>
      <c r="U732" s="189" t="s">
        <v>122</v>
      </c>
      <c r="V732" s="189" t="s">
        <v>123</v>
      </c>
      <c r="W732" s="189" t="s">
        <v>139</v>
      </c>
      <c r="X732" s="189" t="s">
        <v>148</v>
      </c>
      <c r="Y732" s="189" t="s">
        <v>3066</v>
      </c>
      <c r="Z732" s="0" t="n">
        <v>1</v>
      </c>
      <c r="AA732" s="189" t="s">
        <v>3093</v>
      </c>
    </row>
    <row r="733" customFormat="false" ht="15" hidden="false" customHeight="false" outlineLevel="0" collapsed="false">
      <c r="A733" s="0" t="n">
        <v>148</v>
      </c>
      <c r="B733" s="188" t="n">
        <v>46064.0931163775</v>
      </c>
      <c r="C733" s="188" t="n">
        <v>46064.1031048034</v>
      </c>
      <c r="D733" s="189" t="s">
        <v>1213</v>
      </c>
      <c r="E733" s="189" t="s">
        <v>1214</v>
      </c>
      <c r="F733" s="189" t="s">
        <v>1214</v>
      </c>
      <c r="G733" s="189" t="s">
        <v>1215</v>
      </c>
      <c r="H733" s="188" t="n">
        <v>46050</v>
      </c>
      <c r="I733" s="189" t="s">
        <v>325</v>
      </c>
      <c r="J733" s="189" t="s">
        <v>108</v>
      </c>
      <c r="K733" s="189" t="s">
        <v>1216</v>
      </c>
      <c r="L733" s="189" t="s">
        <v>184</v>
      </c>
      <c r="M733" s="189" t="s">
        <v>1120</v>
      </c>
      <c r="N733" s="189" t="s">
        <v>1078</v>
      </c>
      <c r="O733" s="189" t="s">
        <v>172</v>
      </c>
      <c r="P733" s="189" t="s">
        <v>111</v>
      </c>
      <c r="Q733" s="189" t="s">
        <v>247</v>
      </c>
      <c r="R733" s="189" t="s">
        <v>22</v>
      </c>
      <c r="S733" s="189" t="s">
        <v>152</v>
      </c>
      <c r="T733" s="189" t="s">
        <v>814</v>
      </c>
      <c r="U733" s="189" t="s">
        <v>122</v>
      </c>
      <c r="V733" s="189" t="s">
        <v>123</v>
      </c>
      <c r="W733" s="189" t="s">
        <v>139</v>
      </c>
      <c r="X733" s="189" t="s">
        <v>148</v>
      </c>
      <c r="Y733" s="189" t="s">
        <v>3066</v>
      </c>
      <c r="Z733" s="0" t="n">
        <v>2</v>
      </c>
      <c r="AA733" s="189" t="s">
        <v>2818</v>
      </c>
    </row>
    <row r="734" customFormat="false" ht="15" hidden="false" customHeight="false" outlineLevel="0" collapsed="false">
      <c r="A734" s="0" t="n">
        <v>148</v>
      </c>
      <c r="B734" s="188" t="n">
        <v>46064.0931163775</v>
      </c>
      <c r="C734" s="188" t="n">
        <v>46064.1031048034</v>
      </c>
      <c r="D734" s="189" t="s">
        <v>1213</v>
      </c>
      <c r="E734" s="189" t="s">
        <v>1214</v>
      </c>
      <c r="F734" s="189" t="s">
        <v>1214</v>
      </c>
      <c r="G734" s="189" t="s">
        <v>1215</v>
      </c>
      <c r="H734" s="188" t="n">
        <v>46050</v>
      </c>
      <c r="I734" s="189" t="s">
        <v>325</v>
      </c>
      <c r="J734" s="189" t="s">
        <v>108</v>
      </c>
      <c r="K734" s="189" t="s">
        <v>1216</v>
      </c>
      <c r="L734" s="189" t="s">
        <v>184</v>
      </c>
      <c r="M734" s="189" t="s">
        <v>1120</v>
      </c>
      <c r="N734" s="189" t="s">
        <v>1078</v>
      </c>
      <c r="O734" s="189" t="s">
        <v>172</v>
      </c>
      <c r="P734" s="189" t="s">
        <v>111</v>
      </c>
      <c r="Q734" s="189" t="s">
        <v>247</v>
      </c>
      <c r="R734" s="189" t="s">
        <v>22</v>
      </c>
      <c r="S734" s="189" t="s">
        <v>152</v>
      </c>
      <c r="T734" s="189" t="s">
        <v>814</v>
      </c>
      <c r="U734" s="189" t="s">
        <v>122</v>
      </c>
      <c r="V734" s="189" t="s">
        <v>123</v>
      </c>
      <c r="W734" s="189" t="s">
        <v>139</v>
      </c>
      <c r="X734" s="189" t="s">
        <v>148</v>
      </c>
      <c r="Y734" s="189" t="s">
        <v>3069</v>
      </c>
      <c r="Z734" s="0" t="n">
        <v>1</v>
      </c>
      <c r="AA734" s="189" t="s">
        <v>3080</v>
      </c>
    </row>
    <row r="735" customFormat="false" ht="15" hidden="false" customHeight="false" outlineLevel="0" collapsed="false">
      <c r="A735" s="0" t="n">
        <v>149</v>
      </c>
      <c r="B735" s="188" t="n">
        <v>46159.5063958449</v>
      </c>
      <c r="C735" s="188" t="n">
        <v>46159.518282419</v>
      </c>
      <c r="D735" s="189" t="s">
        <v>1220</v>
      </c>
      <c r="E735" s="189" t="s">
        <v>1221</v>
      </c>
      <c r="F735" s="189" t="s">
        <v>1222</v>
      </c>
      <c r="G735" s="189" t="s">
        <v>1223</v>
      </c>
      <c r="H735" s="188" t="n">
        <v>46143</v>
      </c>
      <c r="I735" s="189" t="s">
        <v>863</v>
      </c>
      <c r="J735" s="189" t="s">
        <v>108</v>
      </c>
      <c r="K735" s="189" t="s">
        <v>257</v>
      </c>
      <c r="L735" s="189" t="s">
        <v>389</v>
      </c>
      <c r="M735" s="189" t="s">
        <v>757</v>
      </c>
      <c r="N735" s="189" t="s">
        <v>1224</v>
      </c>
      <c r="O735" s="189" t="s">
        <v>157</v>
      </c>
      <c r="P735" s="189" t="s">
        <v>111</v>
      </c>
      <c r="Q735" s="189" t="s">
        <v>145</v>
      </c>
      <c r="R735" s="189" t="s">
        <v>22</v>
      </c>
      <c r="S735" s="189" t="s">
        <v>152</v>
      </c>
      <c r="T735" s="189" t="s">
        <v>352</v>
      </c>
      <c r="V735" s="189" t="s">
        <v>123</v>
      </c>
      <c r="W735" s="189" t="s">
        <v>124</v>
      </c>
      <c r="X735" s="189" t="s">
        <v>116</v>
      </c>
      <c r="Y735" s="189" t="s">
        <v>3064</v>
      </c>
      <c r="Z735" s="0" t="n">
        <v>1</v>
      </c>
      <c r="AA735" s="189" t="s">
        <v>3065</v>
      </c>
    </row>
    <row r="736" customFormat="false" ht="15" hidden="false" customHeight="false" outlineLevel="0" collapsed="false">
      <c r="A736" s="0" t="n">
        <v>149</v>
      </c>
      <c r="B736" s="188" t="n">
        <v>46159.5063958449</v>
      </c>
      <c r="C736" s="188" t="n">
        <v>46159.518282419</v>
      </c>
      <c r="D736" s="189" t="s">
        <v>1220</v>
      </c>
      <c r="E736" s="189" t="s">
        <v>1221</v>
      </c>
      <c r="F736" s="189" t="s">
        <v>1222</v>
      </c>
      <c r="G736" s="189" t="s">
        <v>1223</v>
      </c>
      <c r="H736" s="188" t="n">
        <v>46143</v>
      </c>
      <c r="I736" s="189" t="s">
        <v>863</v>
      </c>
      <c r="J736" s="189" t="s">
        <v>108</v>
      </c>
      <c r="K736" s="189" t="s">
        <v>257</v>
      </c>
      <c r="L736" s="189" t="s">
        <v>389</v>
      </c>
      <c r="M736" s="189" t="s">
        <v>757</v>
      </c>
      <c r="N736" s="189" t="s">
        <v>1224</v>
      </c>
      <c r="O736" s="189" t="s">
        <v>157</v>
      </c>
      <c r="P736" s="189" t="s">
        <v>111</v>
      </c>
      <c r="Q736" s="189" t="s">
        <v>145</v>
      </c>
      <c r="R736" s="189" t="s">
        <v>22</v>
      </c>
      <c r="S736" s="189" t="s">
        <v>152</v>
      </c>
      <c r="T736" s="189" t="s">
        <v>352</v>
      </c>
      <c r="V736" s="189" t="s">
        <v>123</v>
      </c>
      <c r="W736" s="189" t="s">
        <v>124</v>
      </c>
      <c r="X736" s="189" t="s">
        <v>116</v>
      </c>
      <c r="Y736" s="189" t="s">
        <v>3066</v>
      </c>
      <c r="Z736" s="0" t="n">
        <v>1</v>
      </c>
      <c r="AA736" s="189" t="s">
        <v>3211</v>
      </c>
    </row>
    <row r="737" customFormat="false" ht="15" hidden="false" customHeight="false" outlineLevel="0" collapsed="false">
      <c r="A737" s="0" t="n">
        <v>149</v>
      </c>
      <c r="B737" s="188" t="n">
        <v>46159.5063958449</v>
      </c>
      <c r="C737" s="188" t="n">
        <v>46159.518282419</v>
      </c>
      <c r="D737" s="189" t="s">
        <v>1220</v>
      </c>
      <c r="E737" s="189" t="s">
        <v>1221</v>
      </c>
      <c r="F737" s="189" t="s">
        <v>1222</v>
      </c>
      <c r="G737" s="189" t="s">
        <v>1223</v>
      </c>
      <c r="H737" s="188" t="n">
        <v>46143</v>
      </c>
      <c r="I737" s="189" t="s">
        <v>863</v>
      </c>
      <c r="J737" s="189" t="s">
        <v>108</v>
      </c>
      <c r="K737" s="189" t="s">
        <v>257</v>
      </c>
      <c r="L737" s="189" t="s">
        <v>389</v>
      </c>
      <c r="M737" s="189" t="s">
        <v>757</v>
      </c>
      <c r="N737" s="189" t="s">
        <v>1224</v>
      </c>
      <c r="O737" s="189" t="s">
        <v>157</v>
      </c>
      <c r="P737" s="189" t="s">
        <v>111</v>
      </c>
      <c r="Q737" s="189" t="s">
        <v>145</v>
      </c>
      <c r="R737" s="189" t="s">
        <v>22</v>
      </c>
      <c r="S737" s="189" t="s">
        <v>152</v>
      </c>
      <c r="T737" s="189" t="s">
        <v>352</v>
      </c>
      <c r="V737" s="189" t="s">
        <v>123</v>
      </c>
      <c r="W737" s="189" t="s">
        <v>124</v>
      </c>
      <c r="X737" s="189" t="s">
        <v>116</v>
      </c>
      <c r="Y737" s="189" t="s">
        <v>3066</v>
      </c>
      <c r="Z737" s="0" t="n">
        <v>2</v>
      </c>
      <c r="AA737" s="189" t="s">
        <v>3068</v>
      </c>
    </row>
    <row r="738" customFormat="false" ht="15" hidden="false" customHeight="false" outlineLevel="0" collapsed="false">
      <c r="A738" s="0" t="n">
        <v>149</v>
      </c>
      <c r="B738" s="188" t="n">
        <v>46159.5063958449</v>
      </c>
      <c r="C738" s="188" t="n">
        <v>46159.518282419</v>
      </c>
      <c r="D738" s="189" t="s">
        <v>1220</v>
      </c>
      <c r="E738" s="189" t="s">
        <v>1221</v>
      </c>
      <c r="F738" s="189" t="s">
        <v>1222</v>
      </c>
      <c r="G738" s="189" t="s">
        <v>1223</v>
      </c>
      <c r="H738" s="188" t="n">
        <v>46143</v>
      </c>
      <c r="I738" s="189" t="s">
        <v>863</v>
      </c>
      <c r="J738" s="189" t="s">
        <v>108</v>
      </c>
      <c r="K738" s="189" t="s">
        <v>257</v>
      </c>
      <c r="L738" s="189" t="s">
        <v>389</v>
      </c>
      <c r="M738" s="189" t="s">
        <v>757</v>
      </c>
      <c r="N738" s="189" t="s">
        <v>1224</v>
      </c>
      <c r="O738" s="189" t="s">
        <v>157</v>
      </c>
      <c r="P738" s="189" t="s">
        <v>111</v>
      </c>
      <c r="Q738" s="189" t="s">
        <v>145</v>
      </c>
      <c r="R738" s="189" t="s">
        <v>22</v>
      </c>
      <c r="S738" s="189" t="s">
        <v>152</v>
      </c>
      <c r="T738" s="189" t="s">
        <v>352</v>
      </c>
      <c r="V738" s="189" t="s">
        <v>123</v>
      </c>
      <c r="W738" s="189" t="s">
        <v>124</v>
      </c>
      <c r="X738" s="189" t="s">
        <v>116</v>
      </c>
      <c r="Y738" s="189" t="s">
        <v>3069</v>
      </c>
      <c r="Z738" s="0" t="n">
        <v>1</v>
      </c>
      <c r="AA738" s="189" t="s">
        <v>3108</v>
      </c>
    </row>
    <row r="739" customFormat="false" ht="15" hidden="false" customHeight="false" outlineLevel="0" collapsed="false">
      <c r="A739" s="0" t="n">
        <v>149</v>
      </c>
      <c r="B739" s="188" t="n">
        <v>46159.5063958449</v>
      </c>
      <c r="C739" s="188" t="n">
        <v>46159.518282419</v>
      </c>
      <c r="D739" s="189" t="s">
        <v>1220</v>
      </c>
      <c r="E739" s="189" t="s">
        <v>1221</v>
      </c>
      <c r="F739" s="189" t="s">
        <v>1222</v>
      </c>
      <c r="G739" s="189" t="s">
        <v>1223</v>
      </c>
      <c r="H739" s="188" t="n">
        <v>46143</v>
      </c>
      <c r="I739" s="189" t="s">
        <v>863</v>
      </c>
      <c r="J739" s="189" t="s">
        <v>108</v>
      </c>
      <c r="K739" s="189" t="s">
        <v>257</v>
      </c>
      <c r="L739" s="189" t="s">
        <v>389</v>
      </c>
      <c r="M739" s="189" t="s">
        <v>757</v>
      </c>
      <c r="N739" s="189" t="s">
        <v>1224</v>
      </c>
      <c r="O739" s="189" t="s">
        <v>157</v>
      </c>
      <c r="P739" s="189" t="s">
        <v>111</v>
      </c>
      <c r="Q739" s="189" t="s">
        <v>145</v>
      </c>
      <c r="R739" s="189" t="s">
        <v>22</v>
      </c>
      <c r="S739" s="189" t="s">
        <v>152</v>
      </c>
      <c r="T739" s="189" t="s">
        <v>352</v>
      </c>
      <c r="V739" s="189" t="s">
        <v>123</v>
      </c>
      <c r="W739" s="189" t="s">
        <v>124</v>
      </c>
      <c r="X739" s="189" t="s">
        <v>116</v>
      </c>
      <c r="Y739" s="189" t="s">
        <v>3069</v>
      </c>
      <c r="Z739" s="0" t="n">
        <v>2</v>
      </c>
      <c r="AA739" s="189" t="s">
        <v>3083</v>
      </c>
    </row>
    <row r="740" customFormat="false" ht="15" hidden="false" customHeight="false" outlineLevel="0" collapsed="false">
      <c r="A740" s="0" t="n">
        <v>150</v>
      </c>
      <c r="B740" s="188" t="n">
        <v>46142.9625404446</v>
      </c>
      <c r="C740" s="188" t="n">
        <v>46142.9720774817</v>
      </c>
      <c r="D740" s="189" t="s">
        <v>1226</v>
      </c>
      <c r="E740" s="189" t="s">
        <v>1227</v>
      </c>
      <c r="F740" s="189" t="s">
        <v>1227</v>
      </c>
      <c r="G740" s="189" t="s">
        <v>1228</v>
      </c>
      <c r="H740" s="188" t="n">
        <v>46142</v>
      </c>
      <c r="I740" s="189" t="s">
        <v>113</v>
      </c>
      <c r="J740" s="189" t="s">
        <v>108</v>
      </c>
      <c r="K740" s="189" t="s">
        <v>232</v>
      </c>
      <c r="L740" s="189" t="s">
        <v>246</v>
      </c>
      <c r="M740" s="189" t="s">
        <v>447</v>
      </c>
      <c r="N740" s="189" t="s">
        <v>1229</v>
      </c>
      <c r="O740" s="189" t="s">
        <v>244</v>
      </c>
      <c r="P740" s="189" t="s">
        <v>111</v>
      </c>
      <c r="Q740" s="189" t="s">
        <v>145</v>
      </c>
      <c r="R740" s="189" t="s">
        <v>22</v>
      </c>
      <c r="S740" s="189" t="s">
        <v>152</v>
      </c>
      <c r="T740" s="189" t="s">
        <v>121</v>
      </c>
      <c r="U740" s="189" t="s">
        <v>122</v>
      </c>
      <c r="V740" s="189" t="s">
        <v>167</v>
      </c>
      <c r="W740" s="189" t="s">
        <v>168</v>
      </c>
      <c r="X740" s="189" t="s">
        <v>176</v>
      </c>
      <c r="Y740" s="189" t="s">
        <v>3064</v>
      </c>
      <c r="Z740" s="0" t="n">
        <v>1</v>
      </c>
      <c r="AA740" s="189" t="s">
        <v>3204</v>
      </c>
    </row>
    <row r="741" customFormat="false" ht="15" hidden="false" customHeight="false" outlineLevel="0" collapsed="false">
      <c r="A741" s="0" t="n">
        <v>150</v>
      </c>
      <c r="B741" s="188" t="n">
        <v>46142.9625404446</v>
      </c>
      <c r="C741" s="188" t="n">
        <v>46142.9720774817</v>
      </c>
      <c r="D741" s="189" t="s">
        <v>1226</v>
      </c>
      <c r="E741" s="189" t="s">
        <v>1227</v>
      </c>
      <c r="F741" s="189" t="s">
        <v>1227</v>
      </c>
      <c r="G741" s="189" t="s">
        <v>1228</v>
      </c>
      <c r="H741" s="188" t="n">
        <v>46142</v>
      </c>
      <c r="I741" s="189" t="s">
        <v>113</v>
      </c>
      <c r="J741" s="189" t="s">
        <v>108</v>
      </c>
      <c r="K741" s="189" t="s">
        <v>232</v>
      </c>
      <c r="L741" s="189" t="s">
        <v>246</v>
      </c>
      <c r="M741" s="189" t="s">
        <v>447</v>
      </c>
      <c r="N741" s="189" t="s">
        <v>1229</v>
      </c>
      <c r="O741" s="189" t="s">
        <v>244</v>
      </c>
      <c r="P741" s="189" t="s">
        <v>111</v>
      </c>
      <c r="Q741" s="189" t="s">
        <v>145</v>
      </c>
      <c r="R741" s="189" t="s">
        <v>22</v>
      </c>
      <c r="S741" s="189" t="s">
        <v>152</v>
      </c>
      <c r="T741" s="189" t="s">
        <v>121</v>
      </c>
      <c r="U741" s="189" t="s">
        <v>122</v>
      </c>
      <c r="V741" s="189" t="s">
        <v>167</v>
      </c>
      <c r="W741" s="189" t="s">
        <v>168</v>
      </c>
      <c r="X741" s="189" t="s">
        <v>176</v>
      </c>
      <c r="Y741" s="189" t="s">
        <v>3064</v>
      </c>
      <c r="Z741" s="0" t="n">
        <v>2</v>
      </c>
      <c r="AA741" s="189" t="s">
        <v>3244</v>
      </c>
    </row>
    <row r="742" customFormat="false" ht="15" hidden="false" customHeight="false" outlineLevel="0" collapsed="false">
      <c r="A742" s="0" t="n">
        <v>150</v>
      </c>
      <c r="B742" s="188" t="n">
        <v>46142.9625404446</v>
      </c>
      <c r="C742" s="188" t="n">
        <v>46142.9720774817</v>
      </c>
      <c r="D742" s="189" t="s">
        <v>1226</v>
      </c>
      <c r="E742" s="189" t="s">
        <v>1227</v>
      </c>
      <c r="F742" s="189" t="s">
        <v>1227</v>
      </c>
      <c r="G742" s="189" t="s">
        <v>1228</v>
      </c>
      <c r="H742" s="188" t="n">
        <v>46142</v>
      </c>
      <c r="I742" s="189" t="s">
        <v>113</v>
      </c>
      <c r="J742" s="189" t="s">
        <v>108</v>
      </c>
      <c r="K742" s="189" t="s">
        <v>232</v>
      </c>
      <c r="L742" s="189" t="s">
        <v>246</v>
      </c>
      <c r="M742" s="189" t="s">
        <v>447</v>
      </c>
      <c r="N742" s="189" t="s">
        <v>1229</v>
      </c>
      <c r="O742" s="189" t="s">
        <v>244</v>
      </c>
      <c r="P742" s="189" t="s">
        <v>111</v>
      </c>
      <c r="Q742" s="189" t="s">
        <v>145</v>
      </c>
      <c r="R742" s="189" t="s">
        <v>22</v>
      </c>
      <c r="S742" s="189" t="s">
        <v>152</v>
      </c>
      <c r="T742" s="189" t="s">
        <v>121</v>
      </c>
      <c r="U742" s="189" t="s">
        <v>122</v>
      </c>
      <c r="V742" s="189" t="s">
        <v>167</v>
      </c>
      <c r="W742" s="189" t="s">
        <v>168</v>
      </c>
      <c r="X742" s="189" t="s">
        <v>176</v>
      </c>
      <c r="Y742" s="189" t="s">
        <v>3066</v>
      </c>
      <c r="Z742" s="0" t="n">
        <v>1</v>
      </c>
      <c r="AA742" s="189" t="s">
        <v>3283</v>
      </c>
    </row>
    <row r="743" customFormat="false" ht="15" hidden="false" customHeight="false" outlineLevel="0" collapsed="false">
      <c r="A743" s="0" t="n">
        <v>150</v>
      </c>
      <c r="B743" s="188" t="n">
        <v>46142.9625404446</v>
      </c>
      <c r="C743" s="188" t="n">
        <v>46142.9720774817</v>
      </c>
      <c r="D743" s="189" t="s">
        <v>1226</v>
      </c>
      <c r="E743" s="189" t="s">
        <v>1227</v>
      </c>
      <c r="F743" s="189" t="s">
        <v>1227</v>
      </c>
      <c r="G743" s="189" t="s">
        <v>1228</v>
      </c>
      <c r="H743" s="188" t="n">
        <v>46142</v>
      </c>
      <c r="I743" s="189" t="s">
        <v>113</v>
      </c>
      <c r="J743" s="189" t="s">
        <v>108</v>
      </c>
      <c r="K743" s="189" t="s">
        <v>232</v>
      </c>
      <c r="L743" s="189" t="s">
        <v>246</v>
      </c>
      <c r="M743" s="189" t="s">
        <v>447</v>
      </c>
      <c r="N743" s="189" t="s">
        <v>1229</v>
      </c>
      <c r="O743" s="189" t="s">
        <v>244</v>
      </c>
      <c r="P743" s="189" t="s">
        <v>111</v>
      </c>
      <c r="Q743" s="189" t="s">
        <v>145</v>
      </c>
      <c r="R743" s="189" t="s">
        <v>22</v>
      </c>
      <c r="S743" s="189" t="s">
        <v>152</v>
      </c>
      <c r="T743" s="189" t="s">
        <v>121</v>
      </c>
      <c r="U743" s="189" t="s">
        <v>122</v>
      </c>
      <c r="V743" s="189" t="s">
        <v>167</v>
      </c>
      <c r="W743" s="189" t="s">
        <v>168</v>
      </c>
      <c r="X743" s="189" t="s">
        <v>176</v>
      </c>
      <c r="Y743" s="189" t="s">
        <v>3069</v>
      </c>
      <c r="Z743" s="0" t="n">
        <v>1</v>
      </c>
      <c r="AA743" s="189" t="s">
        <v>3284</v>
      </c>
    </row>
    <row r="744" customFormat="false" ht="15" hidden="false" customHeight="false" outlineLevel="0" collapsed="false">
      <c r="A744" s="0" t="n">
        <v>150</v>
      </c>
      <c r="B744" s="188" t="n">
        <v>46142.9625404446</v>
      </c>
      <c r="C744" s="188" t="n">
        <v>46142.9720774817</v>
      </c>
      <c r="D744" s="189" t="s">
        <v>1226</v>
      </c>
      <c r="E744" s="189" t="s">
        <v>1227</v>
      </c>
      <c r="F744" s="189" t="s">
        <v>1227</v>
      </c>
      <c r="G744" s="189" t="s">
        <v>1228</v>
      </c>
      <c r="H744" s="188" t="n">
        <v>46142</v>
      </c>
      <c r="I744" s="189" t="s">
        <v>113</v>
      </c>
      <c r="J744" s="189" t="s">
        <v>108</v>
      </c>
      <c r="K744" s="189" t="s">
        <v>232</v>
      </c>
      <c r="L744" s="189" t="s">
        <v>246</v>
      </c>
      <c r="M744" s="189" t="s">
        <v>447</v>
      </c>
      <c r="N744" s="189" t="s">
        <v>1229</v>
      </c>
      <c r="O744" s="189" t="s">
        <v>244</v>
      </c>
      <c r="P744" s="189" t="s">
        <v>111</v>
      </c>
      <c r="Q744" s="189" t="s">
        <v>145</v>
      </c>
      <c r="R744" s="189" t="s">
        <v>22</v>
      </c>
      <c r="S744" s="189" t="s">
        <v>152</v>
      </c>
      <c r="T744" s="189" t="s">
        <v>121</v>
      </c>
      <c r="U744" s="189" t="s">
        <v>122</v>
      </c>
      <c r="V744" s="189" t="s">
        <v>167</v>
      </c>
      <c r="W744" s="189" t="s">
        <v>168</v>
      </c>
      <c r="X744" s="189" t="s">
        <v>176</v>
      </c>
      <c r="Y744" s="189" t="s">
        <v>3069</v>
      </c>
      <c r="Z744" s="0" t="n">
        <v>2</v>
      </c>
      <c r="AA744" s="189" t="s">
        <v>3242</v>
      </c>
    </row>
    <row r="745" customFormat="false" ht="15" hidden="false" customHeight="false" outlineLevel="0" collapsed="false">
      <c r="A745" s="0" t="n">
        <v>151</v>
      </c>
      <c r="B745" s="188" t="n">
        <v>46038.5297490476</v>
      </c>
      <c r="C745" s="188" t="n">
        <v>46038.5503046032</v>
      </c>
      <c r="D745" s="189" t="s">
        <v>1233</v>
      </c>
      <c r="E745" s="189" t="s">
        <v>1234</v>
      </c>
      <c r="F745" s="189" t="s">
        <v>1234</v>
      </c>
      <c r="G745" s="189" t="s">
        <v>1235</v>
      </c>
      <c r="H745" s="188" t="n">
        <v>46036</v>
      </c>
      <c r="I745" s="189" t="s">
        <v>113</v>
      </c>
      <c r="J745" s="189" t="s">
        <v>108</v>
      </c>
      <c r="K745" s="189" t="s">
        <v>196</v>
      </c>
      <c r="L745" s="189" t="s">
        <v>346</v>
      </c>
      <c r="M745" s="189" t="s">
        <v>248</v>
      </c>
      <c r="N745" s="189" t="s">
        <v>945</v>
      </c>
      <c r="O745" s="189" t="s">
        <v>107</v>
      </c>
      <c r="P745" s="189" t="s">
        <v>111</v>
      </c>
      <c r="Q745" s="189" t="s">
        <v>112</v>
      </c>
      <c r="R745" s="189" t="s">
        <v>25</v>
      </c>
      <c r="S745" s="189" t="s">
        <v>152</v>
      </c>
      <c r="T745" s="189" t="s">
        <v>121</v>
      </c>
      <c r="V745" s="189" t="s">
        <v>192</v>
      </c>
      <c r="W745" s="189" t="s">
        <v>124</v>
      </c>
      <c r="X745" s="189" t="s">
        <v>327</v>
      </c>
      <c r="Y745" s="189" t="s">
        <v>3064</v>
      </c>
      <c r="Z745" s="0" t="n">
        <v>1</v>
      </c>
      <c r="AA745" s="189" t="s">
        <v>3081</v>
      </c>
    </row>
    <row r="746" customFormat="false" ht="15" hidden="false" customHeight="false" outlineLevel="0" collapsed="false">
      <c r="A746" s="0" t="n">
        <v>151</v>
      </c>
      <c r="B746" s="188" t="n">
        <v>46038.5297490476</v>
      </c>
      <c r="C746" s="188" t="n">
        <v>46038.5503046032</v>
      </c>
      <c r="D746" s="189" t="s">
        <v>1233</v>
      </c>
      <c r="E746" s="189" t="s">
        <v>1234</v>
      </c>
      <c r="F746" s="189" t="s">
        <v>1234</v>
      </c>
      <c r="G746" s="189" t="s">
        <v>1235</v>
      </c>
      <c r="H746" s="188" t="n">
        <v>46036</v>
      </c>
      <c r="I746" s="189" t="s">
        <v>113</v>
      </c>
      <c r="J746" s="189" t="s">
        <v>108</v>
      </c>
      <c r="K746" s="189" t="s">
        <v>196</v>
      </c>
      <c r="L746" s="189" t="s">
        <v>346</v>
      </c>
      <c r="M746" s="189" t="s">
        <v>248</v>
      </c>
      <c r="N746" s="189" t="s">
        <v>945</v>
      </c>
      <c r="O746" s="189" t="s">
        <v>107</v>
      </c>
      <c r="P746" s="189" t="s">
        <v>111</v>
      </c>
      <c r="Q746" s="189" t="s">
        <v>112</v>
      </c>
      <c r="R746" s="189" t="s">
        <v>25</v>
      </c>
      <c r="S746" s="189" t="s">
        <v>152</v>
      </c>
      <c r="T746" s="189" t="s">
        <v>121</v>
      </c>
      <c r="V746" s="189" t="s">
        <v>192</v>
      </c>
      <c r="W746" s="189" t="s">
        <v>124</v>
      </c>
      <c r="X746" s="189" t="s">
        <v>327</v>
      </c>
      <c r="Y746" s="189" t="s">
        <v>3066</v>
      </c>
      <c r="Z746" s="0" t="n">
        <v>1</v>
      </c>
      <c r="AA746" s="189" t="s">
        <v>3082</v>
      </c>
    </row>
    <row r="747" customFormat="false" ht="15" hidden="false" customHeight="false" outlineLevel="0" collapsed="false">
      <c r="A747" s="0" t="n">
        <v>151</v>
      </c>
      <c r="B747" s="188" t="n">
        <v>46038.5297490476</v>
      </c>
      <c r="C747" s="188" t="n">
        <v>46038.5503046032</v>
      </c>
      <c r="D747" s="189" t="s">
        <v>1233</v>
      </c>
      <c r="E747" s="189" t="s">
        <v>1234</v>
      </c>
      <c r="F747" s="189" t="s">
        <v>1234</v>
      </c>
      <c r="G747" s="189" t="s">
        <v>1235</v>
      </c>
      <c r="H747" s="188" t="n">
        <v>46036</v>
      </c>
      <c r="I747" s="189" t="s">
        <v>113</v>
      </c>
      <c r="J747" s="189" t="s">
        <v>108</v>
      </c>
      <c r="K747" s="189" t="s">
        <v>196</v>
      </c>
      <c r="L747" s="189" t="s">
        <v>346</v>
      </c>
      <c r="M747" s="189" t="s">
        <v>248</v>
      </c>
      <c r="N747" s="189" t="s">
        <v>945</v>
      </c>
      <c r="O747" s="189" t="s">
        <v>107</v>
      </c>
      <c r="P747" s="189" t="s">
        <v>111</v>
      </c>
      <c r="Q747" s="189" t="s">
        <v>112</v>
      </c>
      <c r="R747" s="189" t="s">
        <v>25</v>
      </c>
      <c r="S747" s="189" t="s">
        <v>152</v>
      </c>
      <c r="T747" s="189" t="s">
        <v>121</v>
      </c>
      <c r="V747" s="189" t="s">
        <v>192</v>
      </c>
      <c r="W747" s="189" t="s">
        <v>124</v>
      </c>
      <c r="X747" s="189" t="s">
        <v>327</v>
      </c>
      <c r="Y747" s="189" t="s">
        <v>3066</v>
      </c>
      <c r="Z747" s="0" t="n">
        <v>2</v>
      </c>
      <c r="AA747" s="189" t="s">
        <v>3067</v>
      </c>
    </row>
    <row r="748" customFormat="false" ht="15" hidden="false" customHeight="false" outlineLevel="0" collapsed="false">
      <c r="A748" s="0" t="n">
        <v>151</v>
      </c>
      <c r="B748" s="188" t="n">
        <v>46038.5297490476</v>
      </c>
      <c r="C748" s="188" t="n">
        <v>46038.5503046032</v>
      </c>
      <c r="D748" s="189" t="s">
        <v>1233</v>
      </c>
      <c r="E748" s="189" t="s">
        <v>1234</v>
      </c>
      <c r="F748" s="189" t="s">
        <v>1234</v>
      </c>
      <c r="G748" s="189" t="s">
        <v>1235</v>
      </c>
      <c r="H748" s="188" t="n">
        <v>46036</v>
      </c>
      <c r="I748" s="189" t="s">
        <v>113</v>
      </c>
      <c r="J748" s="189" t="s">
        <v>108</v>
      </c>
      <c r="K748" s="189" t="s">
        <v>196</v>
      </c>
      <c r="L748" s="189" t="s">
        <v>346</v>
      </c>
      <c r="M748" s="189" t="s">
        <v>248</v>
      </c>
      <c r="N748" s="189" t="s">
        <v>945</v>
      </c>
      <c r="O748" s="189" t="s">
        <v>107</v>
      </c>
      <c r="P748" s="189" t="s">
        <v>111</v>
      </c>
      <c r="Q748" s="189" t="s">
        <v>112</v>
      </c>
      <c r="R748" s="189" t="s">
        <v>25</v>
      </c>
      <c r="S748" s="189" t="s">
        <v>152</v>
      </c>
      <c r="T748" s="189" t="s">
        <v>121</v>
      </c>
      <c r="V748" s="189" t="s">
        <v>192</v>
      </c>
      <c r="W748" s="189" t="s">
        <v>124</v>
      </c>
      <c r="X748" s="189" t="s">
        <v>327</v>
      </c>
      <c r="Y748" s="189" t="s">
        <v>3069</v>
      </c>
      <c r="Z748" s="0" t="n">
        <v>1</v>
      </c>
      <c r="AA748" s="189" t="s">
        <v>122</v>
      </c>
    </row>
    <row r="749" customFormat="false" ht="15" hidden="false" customHeight="false" outlineLevel="0" collapsed="false">
      <c r="A749" s="0" t="n">
        <v>151</v>
      </c>
      <c r="B749" s="188" t="n">
        <v>46038.5297490476</v>
      </c>
      <c r="C749" s="188" t="n">
        <v>46038.5503046032</v>
      </c>
      <c r="D749" s="189" t="s">
        <v>1233</v>
      </c>
      <c r="E749" s="189" t="s">
        <v>1234</v>
      </c>
      <c r="F749" s="189" t="s">
        <v>1234</v>
      </c>
      <c r="G749" s="189" t="s">
        <v>1235</v>
      </c>
      <c r="H749" s="188" t="n">
        <v>46036</v>
      </c>
      <c r="I749" s="189" t="s">
        <v>113</v>
      </c>
      <c r="J749" s="189" t="s">
        <v>108</v>
      </c>
      <c r="K749" s="189" t="s">
        <v>196</v>
      </c>
      <c r="L749" s="189" t="s">
        <v>346</v>
      </c>
      <c r="M749" s="189" t="s">
        <v>248</v>
      </c>
      <c r="N749" s="189" t="s">
        <v>945</v>
      </c>
      <c r="O749" s="189" t="s">
        <v>107</v>
      </c>
      <c r="P749" s="189" t="s">
        <v>111</v>
      </c>
      <c r="Q749" s="189" t="s">
        <v>112</v>
      </c>
      <c r="R749" s="189" t="s">
        <v>25</v>
      </c>
      <c r="S749" s="189" t="s">
        <v>152</v>
      </c>
      <c r="T749" s="189" t="s">
        <v>121</v>
      </c>
      <c r="V749" s="189" t="s">
        <v>192</v>
      </c>
      <c r="W749" s="189" t="s">
        <v>124</v>
      </c>
      <c r="X749" s="189" t="s">
        <v>327</v>
      </c>
      <c r="Y749" s="189" t="s">
        <v>3069</v>
      </c>
      <c r="Z749" s="0" t="n">
        <v>2</v>
      </c>
      <c r="AA749" s="189" t="s">
        <v>3070</v>
      </c>
    </row>
    <row r="750" customFormat="false" ht="15" hidden="false" customHeight="false" outlineLevel="0" collapsed="false">
      <c r="A750" s="0" t="n">
        <v>152</v>
      </c>
      <c r="B750" s="188" t="n">
        <v>46138.9854885186</v>
      </c>
      <c r="C750" s="188" t="n">
        <v>46138.9887755556</v>
      </c>
      <c r="D750" s="189" t="s">
        <v>1236</v>
      </c>
      <c r="E750" s="189" t="s">
        <v>1237</v>
      </c>
      <c r="F750" s="189" t="s">
        <v>1237</v>
      </c>
      <c r="G750" s="189" t="s">
        <v>1238</v>
      </c>
      <c r="H750" s="188" t="n">
        <v>46134</v>
      </c>
      <c r="I750" s="189" t="s">
        <v>113</v>
      </c>
      <c r="J750" s="189" t="s">
        <v>295</v>
      </c>
      <c r="K750" s="189" t="s">
        <v>500</v>
      </c>
      <c r="L750" s="189" t="s">
        <v>389</v>
      </c>
      <c r="M750" s="189" t="s">
        <v>212</v>
      </c>
      <c r="N750" s="189" t="s">
        <v>432</v>
      </c>
      <c r="O750" s="189" t="s">
        <v>107</v>
      </c>
      <c r="P750" s="189" t="s">
        <v>111</v>
      </c>
      <c r="Q750" s="189" t="s">
        <v>145</v>
      </c>
      <c r="R750" s="189" t="s">
        <v>21</v>
      </c>
      <c r="S750" s="189" t="s">
        <v>152</v>
      </c>
      <c r="T750" s="189" t="s">
        <v>352</v>
      </c>
      <c r="U750" s="189" t="s">
        <v>122</v>
      </c>
      <c r="V750" s="189" t="s">
        <v>192</v>
      </c>
      <c r="W750" s="189" t="s">
        <v>124</v>
      </c>
      <c r="X750" s="189" t="s">
        <v>307</v>
      </c>
      <c r="Y750" s="189" t="s">
        <v>3064</v>
      </c>
      <c r="Z750" s="0" t="n">
        <v>1</v>
      </c>
      <c r="AA750" s="189" t="s">
        <v>3131</v>
      </c>
    </row>
    <row r="751" customFormat="false" ht="15" hidden="false" customHeight="false" outlineLevel="0" collapsed="false">
      <c r="A751" s="0" t="n">
        <v>152</v>
      </c>
      <c r="B751" s="188" t="n">
        <v>46138.9854885186</v>
      </c>
      <c r="C751" s="188" t="n">
        <v>46138.9887755556</v>
      </c>
      <c r="D751" s="189" t="s">
        <v>1236</v>
      </c>
      <c r="E751" s="189" t="s">
        <v>1237</v>
      </c>
      <c r="F751" s="189" t="s">
        <v>1237</v>
      </c>
      <c r="G751" s="189" t="s">
        <v>1238</v>
      </c>
      <c r="H751" s="188" t="n">
        <v>46134</v>
      </c>
      <c r="I751" s="189" t="s">
        <v>113</v>
      </c>
      <c r="J751" s="189" t="s">
        <v>295</v>
      </c>
      <c r="K751" s="189" t="s">
        <v>500</v>
      </c>
      <c r="L751" s="189" t="s">
        <v>389</v>
      </c>
      <c r="M751" s="189" t="s">
        <v>212</v>
      </c>
      <c r="N751" s="189" t="s">
        <v>432</v>
      </c>
      <c r="O751" s="189" t="s">
        <v>107</v>
      </c>
      <c r="P751" s="189" t="s">
        <v>111</v>
      </c>
      <c r="Q751" s="189" t="s">
        <v>145</v>
      </c>
      <c r="R751" s="189" t="s">
        <v>21</v>
      </c>
      <c r="S751" s="189" t="s">
        <v>152</v>
      </c>
      <c r="T751" s="189" t="s">
        <v>352</v>
      </c>
      <c r="U751" s="189" t="s">
        <v>122</v>
      </c>
      <c r="V751" s="189" t="s">
        <v>192</v>
      </c>
      <c r="W751" s="189" t="s">
        <v>124</v>
      </c>
      <c r="X751" s="189" t="s">
        <v>307</v>
      </c>
      <c r="Y751" s="189" t="s">
        <v>3064</v>
      </c>
      <c r="Z751" s="0" t="n">
        <v>2</v>
      </c>
      <c r="AA751" s="189" t="s">
        <v>3129</v>
      </c>
    </row>
    <row r="752" customFormat="false" ht="15" hidden="false" customHeight="false" outlineLevel="0" collapsed="false">
      <c r="A752" s="0" t="n">
        <v>152</v>
      </c>
      <c r="B752" s="188" t="n">
        <v>46138.9854885186</v>
      </c>
      <c r="C752" s="188" t="n">
        <v>46138.9887755556</v>
      </c>
      <c r="D752" s="189" t="s">
        <v>1236</v>
      </c>
      <c r="E752" s="189" t="s">
        <v>1237</v>
      </c>
      <c r="F752" s="189" t="s">
        <v>1237</v>
      </c>
      <c r="G752" s="189" t="s">
        <v>1238</v>
      </c>
      <c r="H752" s="188" t="n">
        <v>46134</v>
      </c>
      <c r="I752" s="189" t="s">
        <v>113</v>
      </c>
      <c r="J752" s="189" t="s">
        <v>295</v>
      </c>
      <c r="K752" s="189" t="s">
        <v>500</v>
      </c>
      <c r="L752" s="189" t="s">
        <v>389</v>
      </c>
      <c r="M752" s="189" t="s">
        <v>212</v>
      </c>
      <c r="N752" s="189" t="s">
        <v>432</v>
      </c>
      <c r="O752" s="189" t="s">
        <v>107</v>
      </c>
      <c r="P752" s="189" t="s">
        <v>111</v>
      </c>
      <c r="Q752" s="189" t="s">
        <v>145</v>
      </c>
      <c r="R752" s="189" t="s">
        <v>21</v>
      </c>
      <c r="S752" s="189" t="s">
        <v>152</v>
      </c>
      <c r="T752" s="189" t="s">
        <v>352</v>
      </c>
      <c r="U752" s="189" t="s">
        <v>122</v>
      </c>
      <c r="V752" s="189" t="s">
        <v>192</v>
      </c>
      <c r="W752" s="189" t="s">
        <v>124</v>
      </c>
      <c r="X752" s="189" t="s">
        <v>307</v>
      </c>
      <c r="Y752" s="189" t="s">
        <v>3064</v>
      </c>
      <c r="Z752" s="0" t="n">
        <v>3</v>
      </c>
      <c r="AA752" s="189" t="s">
        <v>3130</v>
      </c>
    </row>
    <row r="753" customFormat="false" ht="15" hidden="false" customHeight="false" outlineLevel="0" collapsed="false">
      <c r="A753" s="0" t="n">
        <v>152</v>
      </c>
      <c r="B753" s="188" t="n">
        <v>46138.9854885186</v>
      </c>
      <c r="C753" s="188" t="n">
        <v>46138.9887755556</v>
      </c>
      <c r="D753" s="189" t="s">
        <v>1236</v>
      </c>
      <c r="E753" s="189" t="s">
        <v>1237</v>
      </c>
      <c r="F753" s="189" t="s">
        <v>1237</v>
      </c>
      <c r="G753" s="189" t="s">
        <v>1238</v>
      </c>
      <c r="H753" s="188" t="n">
        <v>46134</v>
      </c>
      <c r="I753" s="189" t="s">
        <v>113</v>
      </c>
      <c r="J753" s="189" t="s">
        <v>295</v>
      </c>
      <c r="K753" s="189" t="s">
        <v>500</v>
      </c>
      <c r="L753" s="189" t="s">
        <v>389</v>
      </c>
      <c r="M753" s="189" t="s">
        <v>212</v>
      </c>
      <c r="N753" s="189" t="s">
        <v>432</v>
      </c>
      <c r="O753" s="189" t="s">
        <v>107</v>
      </c>
      <c r="P753" s="189" t="s">
        <v>111</v>
      </c>
      <c r="Q753" s="189" t="s">
        <v>145</v>
      </c>
      <c r="R753" s="189" t="s">
        <v>21</v>
      </c>
      <c r="S753" s="189" t="s">
        <v>152</v>
      </c>
      <c r="T753" s="189" t="s">
        <v>352</v>
      </c>
      <c r="U753" s="189" t="s">
        <v>122</v>
      </c>
      <c r="V753" s="189" t="s">
        <v>192</v>
      </c>
      <c r="W753" s="189" t="s">
        <v>124</v>
      </c>
      <c r="X753" s="189" t="s">
        <v>307</v>
      </c>
      <c r="Y753" s="189" t="s">
        <v>3066</v>
      </c>
      <c r="Z753" s="0" t="n">
        <v>1</v>
      </c>
      <c r="AA753" s="189" t="s">
        <v>1174</v>
      </c>
    </row>
    <row r="754" customFormat="false" ht="15" hidden="false" customHeight="false" outlineLevel="0" collapsed="false">
      <c r="A754" s="0" t="n">
        <v>152</v>
      </c>
      <c r="B754" s="188" t="n">
        <v>46138.9854885186</v>
      </c>
      <c r="C754" s="188" t="n">
        <v>46138.9887755556</v>
      </c>
      <c r="D754" s="189" t="s">
        <v>1236</v>
      </c>
      <c r="E754" s="189" t="s">
        <v>1237</v>
      </c>
      <c r="F754" s="189" t="s">
        <v>1237</v>
      </c>
      <c r="G754" s="189" t="s">
        <v>1238</v>
      </c>
      <c r="H754" s="188" t="n">
        <v>46134</v>
      </c>
      <c r="I754" s="189" t="s">
        <v>113</v>
      </c>
      <c r="J754" s="189" t="s">
        <v>295</v>
      </c>
      <c r="K754" s="189" t="s">
        <v>500</v>
      </c>
      <c r="L754" s="189" t="s">
        <v>389</v>
      </c>
      <c r="M754" s="189" t="s">
        <v>212</v>
      </c>
      <c r="N754" s="189" t="s">
        <v>432</v>
      </c>
      <c r="O754" s="189" t="s">
        <v>107</v>
      </c>
      <c r="P754" s="189" t="s">
        <v>111</v>
      </c>
      <c r="Q754" s="189" t="s">
        <v>145</v>
      </c>
      <c r="R754" s="189" t="s">
        <v>21</v>
      </c>
      <c r="S754" s="189" t="s">
        <v>152</v>
      </c>
      <c r="T754" s="189" t="s">
        <v>352</v>
      </c>
      <c r="U754" s="189" t="s">
        <v>122</v>
      </c>
      <c r="V754" s="189" t="s">
        <v>192</v>
      </c>
      <c r="W754" s="189" t="s">
        <v>124</v>
      </c>
      <c r="X754" s="189" t="s">
        <v>307</v>
      </c>
      <c r="Y754" s="189" t="s">
        <v>3069</v>
      </c>
      <c r="Z754" s="0" t="n">
        <v>1</v>
      </c>
      <c r="AA754" s="189" t="s">
        <v>3133</v>
      </c>
    </row>
    <row r="755" customFormat="false" ht="15" hidden="false" customHeight="false" outlineLevel="0" collapsed="false">
      <c r="A755" s="0" t="n">
        <v>153</v>
      </c>
      <c r="B755" s="188" t="n">
        <v>46066.9342880401</v>
      </c>
      <c r="C755" s="188" t="n">
        <v>46066.9366722993</v>
      </c>
      <c r="D755" s="189" t="s">
        <v>1239</v>
      </c>
      <c r="E755" s="189" t="s">
        <v>1240</v>
      </c>
      <c r="F755" s="189" t="s">
        <v>1240</v>
      </c>
      <c r="G755" s="189" t="s">
        <v>1241</v>
      </c>
      <c r="H755" s="188" t="n">
        <v>46050</v>
      </c>
      <c r="I755" s="189" t="s">
        <v>113</v>
      </c>
      <c r="J755" s="189" t="s">
        <v>108</v>
      </c>
      <c r="K755" s="189" t="s">
        <v>1242</v>
      </c>
      <c r="L755" s="189" t="s">
        <v>491</v>
      </c>
      <c r="M755" s="189" t="s">
        <v>566</v>
      </c>
      <c r="N755" s="189" t="s">
        <v>1243</v>
      </c>
      <c r="O755" s="189" t="s">
        <v>107</v>
      </c>
      <c r="P755" s="189" t="s">
        <v>131</v>
      </c>
      <c r="Q755" s="189" t="s">
        <v>145</v>
      </c>
      <c r="R755" s="189" t="s">
        <v>22</v>
      </c>
      <c r="S755" s="189" t="s">
        <v>227</v>
      </c>
      <c r="T755" s="189" t="s">
        <v>180</v>
      </c>
      <c r="U755" s="189" t="s">
        <v>1245</v>
      </c>
      <c r="V755" s="189" t="s">
        <v>123</v>
      </c>
      <c r="W755" s="189" t="s">
        <v>168</v>
      </c>
      <c r="X755" s="189" t="s">
        <v>271</v>
      </c>
      <c r="Y755" s="189" t="s">
        <v>3064</v>
      </c>
      <c r="Z755" s="0" t="n">
        <v>1</v>
      </c>
      <c r="AA755" s="189" t="s">
        <v>3230</v>
      </c>
    </row>
    <row r="756" customFormat="false" ht="15" hidden="false" customHeight="false" outlineLevel="0" collapsed="false">
      <c r="A756" s="0" t="n">
        <v>153</v>
      </c>
      <c r="B756" s="188" t="n">
        <v>46066.9342880401</v>
      </c>
      <c r="C756" s="188" t="n">
        <v>46066.9366722993</v>
      </c>
      <c r="D756" s="189" t="s">
        <v>1239</v>
      </c>
      <c r="E756" s="189" t="s">
        <v>1240</v>
      </c>
      <c r="F756" s="189" t="s">
        <v>1240</v>
      </c>
      <c r="G756" s="189" t="s">
        <v>1241</v>
      </c>
      <c r="H756" s="188" t="n">
        <v>46050</v>
      </c>
      <c r="I756" s="189" t="s">
        <v>113</v>
      </c>
      <c r="J756" s="189" t="s">
        <v>108</v>
      </c>
      <c r="K756" s="189" t="s">
        <v>1242</v>
      </c>
      <c r="L756" s="189" t="s">
        <v>491</v>
      </c>
      <c r="M756" s="189" t="s">
        <v>566</v>
      </c>
      <c r="N756" s="189" t="s">
        <v>1243</v>
      </c>
      <c r="O756" s="189" t="s">
        <v>107</v>
      </c>
      <c r="P756" s="189" t="s">
        <v>131</v>
      </c>
      <c r="Q756" s="189" t="s">
        <v>145</v>
      </c>
      <c r="R756" s="189" t="s">
        <v>22</v>
      </c>
      <c r="S756" s="189" t="s">
        <v>227</v>
      </c>
      <c r="T756" s="189" t="s">
        <v>180</v>
      </c>
      <c r="U756" s="189" t="s">
        <v>1245</v>
      </c>
      <c r="V756" s="189" t="s">
        <v>123</v>
      </c>
      <c r="W756" s="189" t="s">
        <v>168</v>
      </c>
      <c r="X756" s="189" t="s">
        <v>271</v>
      </c>
      <c r="Y756" s="189" t="s">
        <v>3066</v>
      </c>
      <c r="Z756" s="0" t="n">
        <v>1</v>
      </c>
      <c r="AA756" s="189" t="s">
        <v>3116</v>
      </c>
    </row>
    <row r="757" customFormat="false" ht="15" hidden="false" customHeight="false" outlineLevel="0" collapsed="false">
      <c r="A757" s="0" t="n">
        <v>153</v>
      </c>
      <c r="B757" s="188" t="n">
        <v>46066.9342880401</v>
      </c>
      <c r="C757" s="188" t="n">
        <v>46066.9366722993</v>
      </c>
      <c r="D757" s="189" t="s">
        <v>1239</v>
      </c>
      <c r="E757" s="189" t="s">
        <v>1240</v>
      </c>
      <c r="F757" s="189" t="s">
        <v>1240</v>
      </c>
      <c r="G757" s="189" t="s">
        <v>1241</v>
      </c>
      <c r="H757" s="188" t="n">
        <v>46050</v>
      </c>
      <c r="I757" s="189" t="s">
        <v>113</v>
      </c>
      <c r="J757" s="189" t="s">
        <v>108</v>
      </c>
      <c r="K757" s="189" t="s">
        <v>1242</v>
      </c>
      <c r="L757" s="189" t="s">
        <v>491</v>
      </c>
      <c r="M757" s="189" t="s">
        <v>566</v>
      </c>
      <c r="N757" s="189" t="s">
        <v>1243</v>
      </c>
      <c r="O757" s="189" t="s">
        <v>107</v>
      </c>
      <c r="P757" s="189" t="s">
        <v>131</v>
      </c>
      <c r="Q757" s="189" t="s">
        <v>145</v>
      </c>
      <c r="R757" s="189" t="s">
        <v>22</v>
      </c>
      <c r="S757" s="189" t="s">
        <v>227</v>
      </c>
      <c r="T757" s="189" t="s">
        <v>180</v>
      </c>
      <c r="U757" s="189" t="s">
        <v>1245</v>
      </c>
      <c r="V757" s="189" t="s">
        <v>123</v>
      </c>
      <c r="W757" s="189" t="s">
        <v>168</v>
      </c>
      <c r="X757" s="189" t="s">
        <v>271</v>
      </c>
      <c r="Y757" s="189" t="s">
        <v>3066</v>
      </c>
      <c r="Z757" s="0" t="n">
        <v>2</v>
      </c>
      <c r="AA757" s="189" t="s">
        <v>3138</v>
      </c>
    </row>
    <row r="758" customFormat="false" ht="15" hidden="false" customHeight="false" outlineLevel="0" collapsed="false">
      <c r="A758" s="0" t="n">
        <v>153</v>
      </c>
      <c r="B758" s="188" t="n">
        <v>46066.9342880401</v>
      </c>
      <c r="C758" s="188" t="n">
        <v>46066.9366722993</v>
      </c>
      <c r="D758" s="189" t="s">
        <v>1239</v>
      </c>
      <c r="E758" s="189" t="s">
        <v>1240</v>
      </c>
      <c r="F758" s="189" t="s">
        <v>1240</v>
      </c>
      <c r="G758" s="189" t="s">
        <v>1241</v>
      </c>
      <c r="H758" s="188" t="n">
        <v>46050</v>
      </c>
      <c r="I758" s="189" t="s">
        <v>113</v>
      </c>
      <c r="J758" s="189" t="s">
        <v>108</v>
      </c>
      <c r="K758" s="189" t="s">
        <v>1242</v>
      </c>
      <c r="L758" s="189" t="s">
        <v>491</v>
      </c>
      <c r="M758" s="189" t="s">
        <v>566</v>
      </c>
      <c r="N758" s="189" t="s">
        <v>1243</v>
      </c>
      <c r="O758" s="189" t="s">
        <v>107</v>
      </c>
      <c r="P758" s="189" t="s">
        <v>131</v>
      </c>
      <c r="Q758" s="189" t="s">
        <v>145</v>
      </c>
      <c r="R758" s="189" t="s">
        <v>22</v>
      </c>
      <c r="S758" s="189" t="s">
        <v>227</v>
      </c>
      <c r="T758" s="189" t="s">
        <v>180</v>
      </c>
      <c r="U758" s="189" t="s">
        <v>1245</v>
      </c>
      <c r="V758" s="189" t="s">
        <v>123</v>
      </c>
      <c r="W758" s="189" t="s">
        <v>168</v>
      </c>
      <c r="X758" s="189" t="s">
        <v>271</v>
      </c>
      <c r="Y758" s="189" t="s">
        <v>3069</v>
      </c>
      <c r="Z758" s="0" t="n">
        <v>1</v>
      </c>
      <c r="AA758" s="189" t="s">
        <v>3118</v>
      </c>
    </row>
    <row r="759" customFormat="false" ht="15" hidden="false" customHeight="false" outlineLevel="0" collapsed="false">
      <c r="A759" s="0" t="n">
        <v>153</v>
      </c>
      <c r="B759" s="188" t="n">
        <v>46066.9342880401</v>
      </c>
      <c r="C759" s="188" t="n">
        <v>46066.9366722993</v>
      </c>
      <c r="D759" s="189" t="s">
        <v>1239</v>
      </c>
      <c r="E759" s="189" t="s">
        <v>1240</v>
      </c>
      <c r="F759" s="189" t="s">
        <v>1240</v>
      </c>
      <c r="G759" s="189" t="s">
        <v>1241</v>
      </c>
      <c r="H759" s="188" t="n">
        <v>46050</v>
      </c>
      <c r="I759" s="189" t="s">
        <v>113</v>
      </c>
      <c r="J759" s="189" t="s">
        <v>108</v>
      </c>
      <c r="K759" s="189" t="s">
        <v>1242</v>
      </c>
      <c r="L759" s="189" t="s">
        <v>491</v>
      </c>
      <c r="M759" s="189" t="s">
        <v>566</v>
      </c>
      <c r="N759" s="189" t="s">
        <v>1243</v>
      </c>
      <c r="O759" s="189" t="s">
        <v>107</v>
      </c>
      <c r="P759" s="189" t="s">
        <v>131</v>
      </c>
      <c r="Q759" s="189" t="s">
        <v>145</v>
      </c>
      <c r="R759" s="189" t="s">
        <v>22</v>
      </c>
      <c r="S759" s="189" t="s">
        <v>227</v>
      </c>
      <c r="T759" s="189" t="s">
        <v>180</v>
      </c>
      <c r="U759" s="189" t="s">
        <v>1245</v>
      </c>
      <c r="V759" s="189" t="s">
        <v>123</v>
      </c>
      <c r="W759" s="189" t="s">
        <v>168</v>
      </c>
      <c r="X759" s="189" t="s">
        <v>271</v>
      </c>
      <c r="Y759" s="189" t="s">
        <v>3069</v>
      </c>
      <c r="Z759" s="0" t="n">
        <v>2</v>
      </c>
      <c r="AA759" s="189" t="s">
        <v>122</v>
      </c>
    </row>
    <row r="760" customFormat="false" ht="15" hidden="false" customHeight="false" outlineLevel="0" collapsed="false">
      <c r="A760" s="0" t="n">
        <v>154</v>
      </c>
      <c r="B760" s="188" t="n">
        <v>46108.3405829017</v>
      </c>
      <c r="C760" s="188" t="n">
        <v>46108.349992624</v>
      </c>
      <c r="D760" s="189" t="s">
        <v>1246</v>
      </c>
      <c r="E760" s="189" t="s">
        <v>1247</v>
      </c>
      <c r="F760" s="189" t="s">
        <v>1247</v>
      </c>
      <c r="G760" s="189" t="s">
        <v>1248</v>
      </c>
      <c r="H760" s="188" t="n">
        <v>46107</v>
      </c>
      <c r="I760" s="189" t="s">
        <v>113</v>
      </c>
      <c r="J760" s="189" t="s">
        <v>108</v>
      </c>
      <c r="K760" s="189" t="s">
        <v>462</v>
      </c>
      <c r="L760" s="189" t="s">
        <v>431</v>
      </c>
      <c r="M760" s="189" t="s">
        <v>789</v>
      </c>
      <c r="N760" s="189" t="s">
        <v>1140</v>
      </c>
      <c r="O760" s="189" t="s">
        <v>172</v>
      </c>
      <c r="P760" s="189" t="s">
        <v>111</v>
      </c>
      <c r="Q760" s="189" t="s">
        <v>112</v>
      </c>
      <c r="R760" s="189" t="s">
        <v>22</v>
      </c>
      <c r="S760" s="189" t="s">
        <v>120</v>
      </c>
      <c r="T760" s="189" t="s">
        <v>180</v>
      </c>
      <c r="V760" s="189" t="s">
        <v>192</v>
      </c>
      <c r="W760" s="189" t="s">
        <v>124</v>
      </c>
      <c r="X760" s="189" t="s">
        <v>381</v>
      </c>
      <c r="Y760" s="189" t="s">
        <v>3064</v>
      </c>
      <c r="Z760" s="0" t="n">
        <v>1</v>
      </c>
      <c r="AA760" s="189" t="s">
        <v>3249</v>
      </c>
    </row>
    <row r="761" customFormat="false" ht="15" hidden="false" customHeight="false" outlineLevel="0" collapsed="false">
      <c r="A761" s="0" t="n">
        <v>154</v>
      </c>
      <c r="B761" s="188" t="n">
        <v>46108.3405829017</v>
      </c>
      <c r="C761" s="188" t="n">
        <v>46108.349992624</v>
      </c>
      <c r="D761" s="189" t="s">
        <v>1246</v>
      </c>
      <c r="E761" s="189" t="s">
        <v>1247</v>
      </c>
      <c r="F761" s="189" t="s">
        <v>1247</v>
      </c>
      <c r="G761" s="189" t="s">
        <v>1248</v>
      </c>
      <c r="H761" s="188" t="n">
        <v>46107</v>
      </c>
      <c r="I761" s="189" t="s">
        <v>113</v>
      </c>
      <c r="J761" s="189" t="s">
        <v>108</v>
      </c>
      <c r="K761" s="189" t="s">
        <v>462</v>
      </c>
      <c r="L761" s="189" t="s">
        <v>431</v>
      </c>
      <c r="M761" s="189" t="s">
        <v>789</v>
      </c>
      <c r="N761" s="189" t="s">
        <v>1140</v>
      </c>
      <c r="O761" s="189" t="s">
        <v>172</v>
      </c>
      <c r="P761" s="189" t="s">
        <v>111</v>
      </c>
      <c r="Q761" s="189" t="s">
        <v>112</v>
      </c>
      <c r="R761" s="189" t="s">
        <v>22</v>
      </c>
      <c r="S761" s="189" t="s">
        <v>120</v>
      </c>
      <c r="T761" s="189" t="s">
        <v>180</v>
      </c>
      <c r="V761" s="189" t="s">
        <v>192</v>
      </c>
      <c r="W761" s="189" t="s">
        <v>124</v>
      </c>
      <c r="X761" s="189" t="s">
        <v>381</v>
      </c>
      <c r="Y761" s="189" t="s">
        <v>3064</v>
      </c>
      <c r="Z761" s="0" t="n">
        <v>2</v>
      </c>
      <c r="AA761" s="189" t="s">
        <v>3159</v>
      </c>
    </row>
    <row r="762" customFormat="false" ht="15" hidden="false" customHeight="false" outlineLevel="0" collapsed="false">
      <c r="A762" s="0" t="n">
        <v>154</v>
      </c>
      <c r="B762" s="188" t="n">
        <v>46108.3405829017</v>
      </c>
      <c r="C762" s="188" t="n">
        <v>46108.349992624</v>
      </c>
      <c r="D762" s="189" t="s">
        <v>1246</v>
      </c>
      <c r="E762" s="189" t="s">
        <v>1247</v>
      </c>
      <c r="F762" s="189" t="s">
        <v>1247</v>
      </c>
      <c r="G762" s="189" t="s">
        <v>1248</v>
      </c>
      <c r="H762" s="188" t="n">
        <v>46107</v>
      </c>
      <c r="I762" s="189" t="s">
        <v>113</v>
      </c>
      <c r="J762" s="189" t="s">
        <v>108</v>
      </c>
      <c r="K762" s="189" t="s">
        <v>462</v>
      </c>
      <c r="L762" s="189" t="s">
        <v>431</v>
      </c>
      <c r="M762" s="189" t="s">
        <v>789</v>
      </c>
      <c r="N762" s="189" t="s">
        <v>1140</v>
      </c>
      <c r="O762" s="189" t="s">
        <v>172</v>
      </c>
      <c r="P762" s="189" t="s">
        <v>111</v>
      </c>
      <c r="Q762" s="189" t="s">
        <v>112</v>
      </c>
      <c r="R762" s="189" t="s">
        <v>22</v>
      </c>
      <c r="S762" s="189" t="s">
        <v>120</v>
      </c>
      <c r="T762" s="189" t="s">
        <v>180</v>
      </c>
      <c r="V762" s="189" t="s">
        <v>192</v>
      </c>
      <c r="W762" s="189" t="s">
        <v>124</v>
      </c>
      <c r="X762" s="189" t="s">
        <v>381</v>
      </c>
      <c r="Y762" s="189" t="s">
        <v>3064</v>
      </c>
      <c r="Z762" s="0" t="n">
        <v>3</v>
      </c>
      <c r="AA762" s="189" t="s">
        <v>3233</v>
      </c>
    </row>
    <row r="763" customFormat="false" ht="15" hidden="false" customHeight="false" outlineLevel="0" collapsed="false">
      <c r="A763" s="0" t="n">
        <v>154</v>
      </c>
      <c r="B763" s="188" t="n">
        <v>46108.3405829017</v>
      </c>
      <c r="C763" s="188" t="n">
        <v>46108.349992624</v>
      </c>
      <c r="D763" s="189" t="s">
        <v>1246</v>
      </c>
      <c r="E763" s="189" t="s">
        <v>1247</v>
      </c>
      <c r="F763" s="189" t="s">
        <v>1247</v>
      </c>
      <c r="G763" s="189" t="s">
        <v>1248</v>
      </c>
      <c r="H763" s="188" t="n">
        <v>46107</v>
      </c>
      <c r="I763" s="189" t="s">
        <v>113</v>
      </c>
      <c r="J763" s="189" t="s">
        <v>108</v>
      </c>
      <c r="K763" s="189" t="s">
        <v>462</v>
      </c>
      <c r="L763" s="189" t="s">
        <v>431</v>
      </c>
      <c r="M763" s="189" t="s">
        <v>789</v>
      </c>
      <c r="N763" s="189" t="s">
        <v>1140</v>
      </c>
      <c r="O763" s="189" t="s">
        <v>172</v>
      </c>
      <c r="P763" s="189" t="s">
        <v>111</v>
      </c>
      <c r="Q763" s="189" t="s">
        <v>112</v>
      </c>
      <c r="R763" s="189" t="s">
        <v>22</v>
      </c>
      <c r="S763" s="189" t="s">
        <v>120</v>
      </c>
      <c r="T763" s="189" t="s">
        <v>180</v>
      </c>
      <c r="V763" s="189" t="s">
        <v>192</v>
      </c>
      <c r="W763" s="189" t="s">
        <v>124</v>
      </c>
      <c r="X763" s="189" t="s">
        <v>381</v>
      </c>
      <c r="Y763" s="189" t="s">
        <v>3066</v>
      </c>
      <c r="Z763" s="0" t="n">
        <v>1</v>
      </c>
      <c r="AA763" s="189" t="s">
        <v>3160</v>
      </c>
    </row>
    <row r="764" customFormat="false" ht="15" hidden="false" customHeight="false" outlineLevel="0" collapsed="false">
      <c r="A764" s="0" t="n">
        <v>154</v>
      </c>
      <c r="B764" s="188" t="n">
        <v>46108.3405829017</v>
      </c>
      <c r="C764" s="188" t="n">
        <v>46108.349992624</v>
      </c>
      <c r="D764" s="189" t="s">
        <v>1246</v>
      </c>
      <c r="E764" s="189" t="s">
        <v>1247</v>
      </c>
      <c r="F764" s="189" t="s">
        <v>1247</v>
      </c>
      <c r="G764" s="189" t="s">
        <v>1248</v>
      </c>
      <c r="H764" s="188" t="n">
        <v>46107</v>
      </c>
      <c r="I764" s="189" t="s">
        <v>113</v>
      </c>
      <c r="J764" s="189" t="s">
        <v>108</v>
      </c>
      <c r="K764" s="189" t="s">
        <v>462</v>
      </c>
      <c r="L764" s="189" t="s">
        <v>431</v>
      </c>
      <c r="M764" s="189" t="s">
        <v>789</v>
      </c>
      <c r="N764" s="189" t="s">
        <v>1140</v>
      </c>
      <c r="O764" s="189" t="s">
        <v>172</v>
      </c>
      <c r="P764" s="189" t="s">
        <v>111</v>
      </c>
      <c r="Q764" s="189" t="s">
        <v>112</v>
      </c>
      <c r="R764" s="189" t="s">
        <v>22</v>
      </c>
      <c r="S764" s="189" t="s">
        <v>120</v>
      </c>
      <c r="T764" s="189" t="s">
        <v>180</v>
      </c>
      <c r="V764" s="189" t="s">
        <v>192</v>
      </c>
      <c r="W764" s="189" t="s">
        <v>124</v>
      </c>
      <c r="X764" s="189" t="s">
        <v>381</v>
      </c>
      <c r="Y764" s="189" t="s">
        <v>3066</v>
      </c>
      <c r="Z764" s="0" t="n">
        <v>2</v>
      </c>
      <c r="AA764" s="189" t="s">
        <v>3250</v>
      </c>
    </row>
    <row r="765" customFormat="false" ht="15" hidden="false" customHeight="false" outlineLevel="0" collapsed="false">
      <c r="A765" s="0" t="n">
        <v>154</v>
      </c>
      <c r="B765" s="188" t="n">
        <v>46108.3405829017</v>
      </c>
      <c r="C765" s="188" t="n">
        <v>46108.349992624</v>
      </c>
      <c r="D765" s="189" t="s">
        <v>1246</v>
      </c>
      <c r="E765" s="189" t="s">
        <v>1247</v>
      </c>
      <c r="F765" s="189" t="s">
        <v>1247</v>
      </c>
      <c r="G765" s="189" t="s">
        <v>1248</v>
      </c>
      <c r="H765" s="188" t="n">
        <v>46107</v>
      </c>
      <c r="I765" s="189" t="s">
        <v>113</v>
      </c>
      <c r="J765" s="189" t="s">
        <v>108</v>
      </c>
      <c r="K765" s="189" t="s">
        <v>462</v>
      </c>
      <c r="L765" s="189" t="s">
        <v>431</v>
      </c>
      <c r="M765" s="189" t="s">
        <v>789</v>
      </c>
      <c r="N765" s="189" t="s">
        <v>1140</v>
      </c>
      <c r="O765" s="189" t="s">
        <v>172</v>
      </c>
      <c r="P765" s="189" t="s">
        <v>111</v>
      </c>
      <c r="Q765" s="189" t="s">
        <v>112</v>
      </c>
      <c r="R765" s="189" t="s">
        <v>22</v>
      </c>
      <c r="S765" s="189" t="s">
        <v>120</v>
      </c>
      <c r="T765" s="189" t="s">
        <v>180</v>
      </c>
      <c r="V765" s="189" t="s">
        <v>192</v>
      </c>
      <c r="W765" s="189" t="s">
        <v>124</v>
      </c>
      <c r="X765" s="189" t="s">
        <v>381</v>
      </c>
      <c r="Y765" s="189" t="s">
        <v>3069</v>
      </c>
      <c r="Z765" s="0" t="n">
        <v>1</v>
      </c>
      <c r="AA765" s="189" t="s">
        <v>3162</v>
      </c>
    </row>
    <row r="766" customFormat="false" ht="15" hidden="false" customHeight="false" outlineLevel="0" collapsed="false">
      <c r="A766" s="0" t="n">
        <v>154</v>
      </c>
      <c r="B766" s="188" t="n">
        <v>46108.3405829017</v>
      </c>
      <c r="C766" s="188" t="n">
        <v>46108.349992624</v>
      </c>
      <c r="D766" s="189" t="s">
        <v>1246</v>
      </c>
      <c r="E766" s="189" t="s">
        <v>1247</v>
      </c>
      <c r="F766" s="189" t="s">
        <v>1247</v>
      </c>
      <c r="G766" s="189" t="s">
        <v>1248</v>
      </c>
      <c r="H766" s="188" t="n">
        <v>46107</v>
      </c>
      <c r="I766" s="189" t="s">
        <v>113</v>
      </c>
      <c r="J766" s="189" t="s">
        <v>108</v>
      </c>
      <c r="K766" s="189" t="s">
        <v>462</v>
      </c>
      <c r="L766" s="189" t="s">
        <v>431</v>
      </c>
      <c r="M766" s="189" t="s">
        <v>789</v>
      </c>
      <c r="N766" s="189" t="s">
        <v>1140</v>
      </c>
      <c r="O766" s="189" t="s">
        <v>172</v>
      </c>
      <c r="P766" s="189" t="s">
        <v>111</v>
      </c>
      <c r="Q766" s="189" t="s">
        <v>112</v>
      </c>
      <c r="R766" s="189" t="s">
        <v>22</v>
      </c>
      <c r="S766" s="189" t="s">
        <v>120</v>
      </c>
      <c r="T766" s="189" t="s">
        <v>180</v>
      </c>
      <c r="V766" s="189" t="s">
        <v>192</v>
      </c>
      <c r="W766" s="189" t="s">
        <v>124</v>
      </c>
      <c r="X766" s="189" t="s">
        <v>381</v>
      </c>
      <c r="Y766" s="189" t="s">
        <v>3069</v>
      </c>
      <c r="Z766" s="0" t="n">
        <v>2</v>
      </c>
      <c r="AA766" s="189" t="s">
        <v>3234</v>
      </c>
    </row>
    <row r="767" customFormat="false" ht="15" hidden="false" customHeight="false" outlineLevel="0" collapsed="false">
      <c r="A767" s="0" t="n">
        <v>155</v>
      </c>
      <c r="B767" s="188" t="n">
        <v>46094.0046535653</v>
      </c>
      <c r="C767" s="188" t="n">
        <v>46094.020232269</v>
      </c>
      <c r="D767" s="189" t="s">
        <v>1251</v>
      </c>
      <c r="E767" s="189" t="s">
        <v>1252</v>
      </c>
      <c r="F767" s="189" t="s">
        <v>1252</v>
      </c>
      <c r="G767" s="189" t="s">
        <v>1253</v>
      </c>
      <c r="H767" s="188" t="n">
        <v>46078</v>
      </c>
      <c r="I767" s="189" t="s">
        <v>113</v>
      </c>
      <c r="J767" s="189" t="s">
        <v>108</v>
      </c>
      <c r="K767" s="189" t="s">
        <v>1254</v>
      </c>
      <c r="L767" s="189" t="s">
        <v>491</v>
      </c>
      <c r="M767" s="189" t="s">
        <v>885</v>
      </c>
      <c r="N767" s="189" t="s">
        <v>1255</v>
      </c>
      <c r="O767" s="189" t="s">
        <v>107</v>
      </c>
      <c r="P767" s="189" t="s">
        <v>111</v>
      </c>
      <c r="Q767" s="189" t="s">
        <v>145</v>
      </c>
      <c r="R767" s="189" t="s">
        <v>24</v>
      </c>
      <c r="S767" s="189" t="s">
        <v>120</v>
      </c>
      <c r="T767" s="189" t="s">
        <v>121</v>
      </c>
      <c r="U767" s="189" t="s">
        <v>994</v>
      </c>
      <c r="V767" s="189" t="s">
        <v>167</v>
      </c>
      <c r="W767" s="189" t="s">
        <v>168</v>
      </c>
      <c r="X767" s="189" t="s">
        <v>19</v>
      </c>
      <c r="Y767" s="189" t="s">
        <v>3172</v>
      </c>
      <c r="Z767" s="0" t="n">
        <v>1</v>
      </c>
      <c r="AA767" s="189" t="s">
        <v>880</v>
      </c>
    </row>
    <row r="768" customFormat="false" ht="15" hidden="false" customHeight="false" outlineLevel="0" collapsed="false">
      <c r="A768" s="0" t="n">
        <v>156</v>
      </c>
      <c r="B768" s="188" t="n">
        <v>46049.8815622663</v>
      </c>
      <c r="C768" s="188" t="n">
        <v>46049.8865969885</v>
      </c>
      <c r="D768" s="189" t="s">
        <v>1256</v>
      </c>
      <c r="E768" s="189" t="s">
        <v>1257</v>
      </c>
      <c r="F768" s="189" t="s">
        <v>1257</v>
      </c>
      <c r="G768" s="189" t="s">
        <v>1258</v>
      </c>
      <c r="H768" s="188" t="n">
        <v>46036</v>
      </c>
      <c r="I768" s="189" t="s">
        <v>305</v>
      </c>
      <c r="J768" s="189" t="s">
        <v>108</v>
      </c>
      <c r="K768" s="189" t="s">
        <v>462</v>
      </c>
      <c r="L768" s="189" t="s">
        <v>197</v>
      </c>
      <c r="M768" s="189" t="s">
        <v>797</v>
      </c>
      <c r="N768" s="189" t="s">
        <v>235</v>
      </c>
      <c r="O768" s="189" t="s">
        <v>244</v>
      </c>
      <c r="P768" s="189" t="s">
        <v>131</v>
      </c>
      <c r="Q768" s="189" t="s">
        <v>112</v>
      </c>
      <c r="R768" s="189" t="s">
        <v>22</v>
      </c>
      <c r="S768" s="189" t="s">
        <v>152</v>
      </c>
      <c r="T768" s="189" t="s">
        <v>352</v>
      </c>
      <c r="U768" s="189" t="s">
        <v>122</v>
      </c>
      <c r="V768" s="189" t="s">
        <v>192</v>
      </c>
      <c r="W768" s="189" t="s">
        <v>139</v>
      </c>
      <c r="X768" s="189" t="s">
        <v>148</v>
      </c>
      <c r="Y768" s="189" t="s">
        <v>3064</v>
      </c>
      <c r="Z768" s="0" t="n">
        <v>1</v>
      </c>
      <c r="AA768" s="189" t="s">
        <v>3076</v>
      </c>
    </row>
    <row r="769" customFormat="false" ht="15" hidden="false" customHeight="false" outlineLevel="0" collapsed="false">
      <c r="A769" s="0" t="n">
        <v>156</v>
      </c>
      <c r="B769" s="188" t="n">
        <v>46049.8815622663</v>
      </c>
      <c r="C769" s="188" t="n">
        <v>46049.8865969885</v>
      </c>
      <c r="D769" s="189" t="s">
        <v>1256</v>
      </c>
      <c r="E769" s="189" t="s">
        <v>1257</v>
      </c>
      <c r="F769" s="189" t="s">
        <v>1257</v>
      </c>
      <c r="G769" s="189" t="s">
        <v>1258</v>
      </c>
      <c r="H769" s="188" t="n">
        <v>46036</v>
      </c>
      <c r="I769" s="189" t="s">
        <v>305</v>
      </c>
      <c r="J769" s="189" t="s">
        <v>108</v>
      </c>
      <c r="K769" s="189" t="s">
        <v>462</v>
      </c>
      <c r="L769" s="189" t="s">
        <v>197</v>
      </c>
      <c r="M769" s="189" t="s">
        <v>797</v>
      </c>
      <c r="N769" s="189" t="s">
        <v>235</v>
      </c>
      <c r="O769" s="189" t="s">
        <v>244</v>
      </c>
      <c r="P769" s="189" t="s">
        <v>131</v>
      </c>
      <c r="Q769" s="189" t="s">
        <v>112</v>
      </c>
      <c r="R769" s="189" t="s">
        <v>22</v>
      </c>
      <c r="S769" s="189" t="s">
        <v>152</v>
      </c>
      <c r="T769" s="189" t="s">
        <v>352</v>
      </c>
      <c r="U769" s="189" t="s">
        <v>122</v>
      </c>
      <c r="V769" s="189" t="s">
        <v>192</v>
      </c>
      <c r="W769" s="189" t="s">
        <v>139</v>
      </c>
      <c r="X769" s="189" t="s">
        <v>148</v>
      </c>
      <c r="Y769" s="189" t="s">
        <v>3066</v>
      </c>
      <c r="Z769" s="0" t="n">
        <v>1</v>
      </c>
      <c r="AA769" s="189" t="s">
        <v>122</v>
      </c>
    </row>
    <row r="770" customFormat="false" ht="15" hidden="false" customHeight="false" outlineLevel="0" collapsed="false">
      <c r="A770" s="0" t="n">
        <v>156</v>
      </c>
      <c r="B770" s="188" t="n">
        <v>46049.8815622663</v>
      </c>
      <c r="C770" s="188" t="n">
        <v>46049.8865969885</v>
      </c>
      <c r="D770" s="189" t="s">
        <v>1256</v>
      </c>
      <c r="E770" s="189" t="s">
        <v>1257</v>
      </c>
      <c r="F770" s="189" t="s">
        <v>1257</v>
      </c>
      <c r="G770" s="189" t="s">
        <v>1258</v>
      </c>
      <c r="H770" s="188" t="n">
        <v>46036</v>
      </c>
      <c r="I770" s="189" t="s">
        <v>305</v>
      </c>
      <c r="J770" s="189" t="s">
        <v>108</v>
      </c>
      <c r="K770" s="189" t="s">
        <v>462</v>
      </c>
      <c r="L770" s="189" t="s">
        <v>197</v>
      </c>
      <c r="M770" s="189" t="s">
        <v>797</v>
      </c>
      <c r="N770" s="189" t="s">
        <v>235</v>
      </c>
      <c r="O770" s="189" t="s">
        <v>244</v>
      </c>
      <c r="P770" s="189" t="s">
        <v>131</v>
      </c>
      <c r="Q770" s="189" t="s">
        <v>112</v>
      </c>
      <c r="R770" s="189" t="s">
        <v>22</v>
      </c>
      <c r="S770" s="189" t="s">
        <v>152</v>
      </c>
      <c r="T770" s="189" t="s">
        <v>352</v>
      </c>
      <c r="U770" s="189" t="s">
        <v>122</v>
      </c>
      <c r="V770" s="189" t="s">
        <v>192</v>
      </c>
      <c r="W770" s="189" t="s">
        <v>139</v>
      </c>
      <c r="X770" s="189" t="s">
        <v>148</v>
      </c>
      <c r="Y770" s="189" t="s">
        <v>3066</v>
      </c>
      <c r="Z770" s="0" t="n">
        <v>2</v>
      </c>
      <c r="AA770" s="189" t="s">
        <v>3078</v>
      </c>
    </row>
    <row r="771" customFormat="false" ht="15" hidden="false" customHeight="false" outlineLevel="0" collapsed="false">
      <c r="A771" s="0" t="n">
        <v>156</v>
      </c>
      <c r="B771" s="188" t="n">
        <v>46049.8815622663</v>
      </c>
      <c r="C771" s="188" t="n">
        <v>46049.8865969885</v>
      </c>
      <c r="D771" s="189" t="s">
        <v>1256</v>
      </c>
      <c r="E771" s="189" t="s">
        <v>1257</v>
      </c>
      <c r="F771" s="189" t="s">
        <v>1257</v>
      </c>
      <c r="G771" s="189" t="s">
        <v>1258</v>
      </c>
      <c r="H771" s="188" t="n">
        <v>46036</v>
      </c>
      <c r="I771" s="189" t="s">
        <v>305</v>
      </c>
      <c r="J771" s="189" t="s">
        <v>108</v>
      </c>
      <c r="K771" s="189" t="s">
        <v>462</v>
      </c>
      <c r="L771" s="189" t="s">
        <v>197</v>
      </c>
      <c r="M771" s="189" t="s">
        <v>797</v>
      </c>
      <c r="N771" s="189" t="s">
        <v>235</v>
      </c>
      <c r="O771" s="189" t="s">
        <v>244</v>
      </c>
      <c r="P771" s="189" t="s">
        <v>131</v>
      </c>
      <c r="Q771" s="189" t="s">
        <v>112</v>
      </c>
      <c r="R771" s="189" t="s">
        <v>22</v>
      </c>
      <c r="S771" s="189" t="s">
        <v>152</v>
      </c>
      <c r="T771" s="189" t="s">
        <v>352</v>
      </c>
      <c r="U771" s="189" t="s">
        <v>122</v>
      </c>
      <c r="V771" s="189" t="s">
        <v>192</v>
      </c>
      <c r="W771" s="189" t="s">
        <v>139</v>
      </c>
      <c r="X771" s="189" t="s">
        <v>148</v>
      </c>
      <c r="Y771" s="189" t="s">
        <v>3069</v>
      </c>
      <c r="Z771" s="0" t="n">
        <v>1</v>
      </c>
      <c r="AA771" s="189" t="s">
        <v>3188</v>
      </c>
    </row>
    <row r="772" customFormat="false" ht="15" hidden="false" customHeight="false" outlineLevel="0" collapsed="false">
      <c r="A772" s="0" t="n">
        <v>156</v>
      </c>
      <c r="B772" s="188" t="n">
        <v>46049.8815622663</v>
      </c>
      <c r="C772" s="188" t="n">
        <v>46049.8865969885</v>
      </c>
      <c r="D772" s="189" t="s">
        <v>1256</v>
      </c>
      <c r="E772" s="189" t="s">
        <v>1257</v>
      </c>
      <c r="F772" s="189" t="s">
        <v>1257</v>
      </c>
      <c r="G772" s="189" t="s">
        <v>1258</v>
      </c>
      <c r="H772" s="188" t="n">
        <v>46036</v>
      </c>
      <c r="I772" s="189" t="s">
        <v>305</v>
      </c>
      <c r="J772" s="189" t="s">
        <v>108</v>
      </c>
      <c r="K772" s="189" t="s">
        <v>462</v>
      </c>
      <c r="L772" s="189" t="s">
        <v>197</v>
      </c>
      <c r="M772" s="189" t="s">
        <v>797</v>
      </c>
      <c r="N772" s="189" t="s">
        <v>235</v>
      </c>
      <c r="O772" s="189" t="s">
        <v>244</v>
      </c>
      <c r="P772" s="189" t="s">
        <v>131</v>
      </c>
      <c r="Q772" s="189" t="s">
        <v>112</v>
      </c>
      <c r="R772" s="189" t="s">
        <v>22</v>
      </c>
      <c r="S772" s="189" t="s">
        <v>152</v>
      </c>
      <c r="T772" s="189" t="s">
        <v>352</v>
      </c>
      <c r="U772" s="189" t="s">
        <v>122</v>
      </c>
      <c r="V772" s="189" t="s">
        <v>192</v>
      </c>
      <c r="W772" s="189" t="s">
        <v>139</v>
      </c>
      <c r="X772" s="189" t="s">
        <v>148</v>
      </c>
      <c r="Y772" s="189" t="s">
        <v>3069</v>
      </c>
      <c r="Z772" s="0" t="n">
        <v>2</v>
      </c>
      <c r="AA772" s="189" t="s">
        <v>122</v>
      </c>
    </row>
    <row r="773" customFormat="false" ht="15" hidden="false" customHeight="false" outlineLevel="0" collapsed="false">
      <c r="A773" s="0" t="n">
        <v>157</v>
      </c>
      <c r="B773" s="188" t="n">
        <v>46210.887005226</v>
      </c>
      <c r="C773" s="188" t="n">
        <v>46210.8969473556</v>
      </c>
      <c r="D773" s="189" t="s">
        <v>1261</v>
      </c>
      <c r="E773" s="189" t="s">
        <v>1262</v>
      </c>
      <c r="F773" s="189" t="s">
        <v>1262</v>
      </c>
      <c r="G773" s="189" t="s">
        <v>1263</v>
      </c>
      <c r="H773" s="188" t="n">
        <v>46197</v>
      </c>
      <c r="I773" s="189" t="s">
        <v>132</v>
      </c>
      <c r="J773" s="189" t="s">
        <v>295</v>
      </c>
      <c r="K773" s="189" t="s">
        <v>1264</v>
      </c>
      <c r="L773" s="189" t="s">
        <v>346</v>
      </c>
      <c r="M773" s="189" t="s">
        <v>365</v>
      </c>
      <c r="N773" s="189" t="s">
        <v>625</v>
      </c>
      <c r="O773" s="189" t="s">
        <v>278</v>
      </c>
      <c r="P773" s="189" t="s">
        <v>111</v>
      </c>
      <c r="Q773" s="189" t="s">
        <v>145</v>
      </c>
      <c r="R773" s="189" t="s">
        <v>25</v>
      </c>
      <c r="S773" s="189" t="s">
        <v>120</v>
      </c>
      <c r="T773" s="189" t="s">
        <v>121</v>
      </c>
      <c r="U773" s="189" t="s">
        <v>1032</v>
      </c>
      <c r="V773" s="189" t="s">
        <v>192</v>
      </c>
      <c r="W773" s="189" t="s">
        <v>168</v>
      </c>
      <c r="X773" s="189" t="s">
        <v>327</v>
      </c>
      <c r="Y773" s="189" t="s">
        <v>3064</v>
      </c>
      <c r="Z773" s="0" t="n">
        <v>1</v>
      </c>
      <c r="AA773" s="189" t="s">
        <v>3107</v>
      </c>
    </row>
    <row r="774" customFormat="false" ht="15" hidden="false" customHeight="false" outlineLevel="0" collapsed="false">
      <c r="A774" s="0" t="n">
        <v>157</v>
      </c>
      <c r="B774" s="188" t="n">
        <v>46210.887005226</v>
      </c>
      <c r="C774" s="188" t="n">
        <v>46210.8969473556</v>
      </c>
      <c r="D774" s="189" t="s">
        <v>1261</v>
      </c>
      <c r="E774" s="189" t="s">
        <v>1262</v>
      </c>
      <c r="F774" s="189" t="s">
        <v>1262</v>
      </c>
      <c r="G774" s="189" t="s">
        <v>1263</v>
      </c>
      <c r="H774" s="188" t="n">
        <v>46197</v>
      </c>
      <c r="I774" s="189" t="s">
        <v>132</v>
      </c>
      <c r="J774" s="189" t="s">
        <v>295</v>
      </c>
      <c r="K774" s="189" t="s">
        <v>1264</v>
      </c>
      <c r="L774" s="189" t="s">
        <v>346</v>
      </c>
      <c r="M774" s="189" t="s">
        <v>365</v>
      </c>
      <c r="N774" s="189" t="s">
        <v>625</v>
      </c>
      <c r="O774" s="189" t="s">
        <v>278</v>
      </c>
      <c r="P774" s="189" t="s">
        <v>111</v>
      </c>
      <c r="Q774" s="189" t="s">
        <v>145</v>
      </c>
      <c r="R774" s="189" t="s">
        <v>25</v>
      </c>
      <c r="S774" s="189" t="s">
        <v>120</v>
      </c>
      <c r="T774" s="189" t="s">
        <v>121</v>
      </c>
      <c r="U774" s="189" t="s">
        <v>1032</v>
      </c>
      <c r="V774" s="189" t="s">
        <v>192</v>
      </c>
      <c r="W774" s="189" t="s">
        <v>168</v>
      </c>
      <c r="X774" s="189" t="s">
        <v>327</v>
      </c>
      <c r="Y774" s="189" t="s">
        <v>3066</v>
      </c>
      <c r="Z774" s="0" t="n">
        <v>1</v>
      </c>
      <c r="AA774" s="189" t="s">
        <v>3067</v>
      </c>
    </row>
    <row r="775" customFormat="false" ht="15" hidden="false" customHeight="false" outlineLevel="0" collapsed="false">
      <c r="A775" s="0" t="n">
        <v>157</v>
      </c>
      <c r="B775" s="188" t="n">
        <v>46210.887005226</v>
      </c>
      <c r="C775" s="188" t="n">
        <v>46210.8969473556</v>
      </c>
      <c r="D775" s="189" t="s">
        <v>1261</v>
      </c>
      <c r="E775" s="189" t="s">
        <v>1262</v>
      </c>
      <c r="F775" s="189" t="s">
        <v>1262</v>
      </c>
      <c r="G775" s="189" t="s">
        <v>1263</v>
      </c>
      <c r="H775" s="188" t="n">
        <v>46197</v>
      </c>
      <c r="I775" s="189" t="s">
        <v>132</v>
      </c>
      <c r="J775" s="189" t="s">
        <v>295</v>
      </c>
      <c r="K775" s="189" t="s">
        <v>1264</v>
      </c>
      <c r="L775" s="189" t="s">
        <v>346</v>
      </c>
      <c r="M775" s="189" t="s">
        <v>365</v>
      </c>
      <c r="N775" s="189" t="s">
        <v>625</v>
      </c>
      <c r="O775" s="189" t="s">
        <v>278</v>
      </c>
      <c r="P775" s="189" t="s">
        <v>111</v>
      </c>
      <c r="Q775" s="189" t="s">
        <v>145</v>
      </c>
      <c r="R775" s="189" t="s">
        <v>25</v>
      </c>
      <c r="S775" s="189" t="s">
        <v>120</v>
      </c>
      <c r="T775" s="189" t="s">
        <v>121</v>
      </c>
      <c r="U775" s="189" t="s">
        <v>1032</v>
      </c>
      <c r="V775" s="189" t="s">
        <v>192</v>
      </c>
      <c r="W775" s="189" t="s">
        <v>168</v>
      </c>
      <c r="X775" s="189" t="s">
        <v>327</v>
      </c>
      <c r="Y775" s="189" t="s">
        <v>3066</v>
      </c>
      <c r="Z775" s="0" t="n">
        <v>2</v>
      </c>
      <c r="AA775" s="189" t="s">
        <v>3211</v>
      </c>
    </row>
    <row r="776" customFormat="false" ht="15" hidden="false" customHeight="false" outlineLevel="0" collapsed="false">
      <c r="A776" s="0" t="n">
        <v>157</v>
      </c>
      <c r="B776" s="188" t="n">
        <v>46210.887005226</v>
      </c>
      <c r="C776" s="188" t="n">
        <v>46210.8969473556</v>
      </c>
      <c r="D776" s="189" t="s">
        <v>1261</v>
      </c>
      <c r="E776" s="189" t="s">
        <v>1262</v>
      </c>
      <c r="F776" s="189" t="s">
        <v>1262</v>
      </c>
      <c r="G776" s="189" t="s">
        <v>1263</v>
      </c>
      <c r="H776" s="188" t="n">
        <v>46197</v>
      </c>
      <c r="I776" s="189" t="s">
        <v>132</v>
      </c>
      <c r="J776" s="189" t="s">
        <v>295</v>
      </c>
      <c r="K776" s="189" t="s">
        <v>1264</v>
      </c>
      <c r="L776" s="189" t="s">
        <v>346</v>
      </c>
      <c r="M776" s="189" t="s">
        <v>365</v>
      </c>
      <c r="N776" s="189" t="s">
        <v>625</v>
      </c>
      <c r="O776" s="189" t="s">
        <v>278</v>
      </c>
      <c r="P776" s="189" t="s">
        <v>111</v>
      </c>
      <c r="Q776" s="189" t="s">
        <v>145</v>
      </c>
      <c r="R776" s="189" t="s">
        <v>25</v>
      </c>
      <c r="S776" s="189" t="s">
        <v>120</v>
      </c>
      <c r="T776" s="189" t="s">
        <v>121</v>
      </c>
      <c r="U776" s="189" t="s">
        <v>1032</v>
      </c>
      <c r="V776" s="189" t="s">
        <v>192</v>
      </c>
      <c r="W776" s="189" t="s">
        <v>168</v>
      </c>
      <c r="X776" s="189" t="s">
        <v>327</v>
      </c>
      <c r="Y776" s="189" t="s">
        <v>3069</v>
      </c>
      <c r="Z776" s="0" t="n">
        <v>1</v>
      </c>
      <c r="AA776" s="189" t="s">
        <v>3140</v>
      </c>
    </row>
    <row r="777" customFormat="false" ht="15" hidden="false" customHeight="false" outlineLevel="0" collapsed="false">
      <c r="A777" s="0" t="n">
        <v>158</v>
      </c>
      <c r="B777" s="188" t="n">
        <v>46043.7022185519</v>
      </c>
      <c r="C777" s="188" t="n">
        <v>46043.7137231815</v>
      </c>
      <c r="D777" s="189" t="s">
        <v>1265</v>
      </c>
      <c r="E777" s="189" t="s">
        <v>1266</v>
      </c>
      <c r="F777" s="189" t="s">
        <v>1266</v>
      </c>
      <c r="G777" s="189" t="s">
        <v>1267</v>
      </c>
      <c r="H777" s="188" t="n">
        <v>46038</v>
      </c>
      <c r="I777" s="189" t="s">
        <v>1268</v>
      </c>
      <c r="J777" s="189" t="s">
        <v>108</v>
      </c>
      <c r="K777" s="189" t="s">
        <v>196</v>
      </c>
      <c r="L777" s="189" t="s">
        <v>491</v>
      </c>
      <c r="M777" s="189" t="s">
        <v>543</v>
      </c>
      <c r="N777" s="189" t="s">
        <v>227</v>
      </c>
      <c r="O777" s="189" t="s">
        <v>244</v>
      </c>
      <c r="P777" s="189" t="s">
        <v>211</v>
      </c>
      <c r="Q777" s="189" t="s">
        <v>112</v>
      </c>
      <c r="R777" s="189" t="s">
        <v>22</v>
      </c>
      <c r="S777" s="189" t="s">
        <v>152</v>
      </c>
      <c r="T777" s="189" t="s">
        <v>121</v>
      </c>
      <c r="U777" s="189" t="s">
        <v>853</v>
      </c>
      <c r="V777" s="189" t="s">
        <v>192</v>
      </c>
      <c r="W777" s="189" t="s">
        <v>124</v>
      </c>
      <c r="X777" s="189" t="s">
        <v>339</v>
      </c>
      <c r="Y777" s="189" t="s">
        <v>3064</v>
      </c>
      <c r="Z777" s="0" t="n">
        <v>1</v>
      </c>
      <c r="AA777" s="189" t="s">
        <v>3169</v>
      </c>
    </row>
    <row r="778" customFormat="false" ht="15" hidden="false" customHeight="false" outlineLevel="0" collapsed="false">
      <c r="A778" s="0" t="n">
        <v>158</v>
      </c>
      <c r="B778" s="188" t="n">
        <v>46043.7022185519</v>
      </c>
      <c r="C778" s="188" t="n">
        <v>46043.7137231815</v>
      </c>
      <c r="D778" s="189" t="s">
        <v>1265</v>
      </c>
      <c r="E778" s="189" t="s">
        <v>1266</v>
      </c>
      <c r="F778" s="189" t="s">
        <v>1266</v>
      </c>
      <c r="G778" s="189" t="s">
        <v>1267</v>
      </c>
      <c r="H778" s="188" t="n">
        <v>46038</v>
      </c>
      <c r="I778" s="189" t="s">
        <v>1268</v>
      </c>
      <c r="J778" s="189" t="s">
        <v>108</v>
      </c>
      <c r="K778" s="189" t="s">
        <v>196</v>
      </c>
      <c r="L778" s="189" t="s">
        <v>491</v>
      </c>
      <c r="M778" s="189" t="s">
        <v>543</v>
      </c>
      <c r="N778" s="189" t="s">
        <v>227</v>
      </c>
      <c r="O778" s="189" t="s">
        <v>244</v>
      </c>
      <c r="P778" s="189" t="s">
        <v>211</v>
      </c>
      <c r="Q778" s="189" t="s">
        <v>112</v>
      </c>
      <c r="R778" s="189" t="s">
        <v>22</v>
      </c>
      <c r="S778" s="189" t="s">
        <v>152</v>
      </c>
      <c r="T778" s="189" t="s">
        <v>121</v>
      </c>
      <c r="U778" s="189" t="s">
        <v>853</v>
      </c>
      <c r="V778" s="189" t="s">
        <v>192</v>
      </c>
      <c r="W778" s="189" t="s">
        <v>124</v>
      </c>
      <c r="X778" s="189" t="s">
        <v>339</v>
      </c>
      <c r="Y778" s="189" t="s">
        <v>3064</v>
      </c>
      <c r="Z778" s="0" t="n">
        <v>2</v>
      </c>
      <c r="AA778" s="189" t="s">
        <v>3168</v>
      </c>
    </row>
    <row r="779" customFormat="false" ht="15" hidden="false" customHeight="false" outlineLevel="0" collapsed="false">
      <c r="A779" s="0" t="n">
        <v>158</v>
      </c>
      <c r="B779" s="188" t="n">
        <v>46043.7022185519</v>
      </c>
      <c r="C779" s="188" t="n">
        <v>46043.7137231815</v>
      </c>
      <c r="D779" s="189" t="s">
        <v>1265</v>
      </c>
      <c r="E779" s="189" t="s">
        <v>1266</v>
      </c>
      <c r="F779" s="189" t="s">
        <v>1266</v>
      </c>
      <c r="G779" s="189" t="s">
        <v>1267</v>
      </c>
      <c r="H779" s="188" t="n">
        <v>46038</v>
      </c>
      <c r="I779" s="189" t="s">
        <v>1268</v>
      </c>
      <c r="J779" s="189" t="s">
        <v>108</v>
      </c>
      <c r="K779" s="189" t="s">
        <v>196</v>
      </c>
      <c r="L779" s="189" t="s">
        <v>491</v>
      </c>
      <c r="M779" s="189" t="s">
        <v>543</v>
      </c>
      <c r="N779" s="189" t="s">
        <v>227</v>
      </c>
      <c r="O779" s="189" t="s">
        <v>244</v>
      </c>
      <c r="P779" s="189" t="s">
        <v>211</v>
      </c>
      <c r="Q779" s="189" t="s">
        <v>112</v>
      </c>
      <c r="R779" s="189" t="s">
        <v>22</v>
      </c>
      <c r="S779" s="189" t="s">
        <v>152</v>
      </c>
      <c r="T779" s="189" t="s">
        <v>121</v>
      </c>
      <c r="U779" s="189" t="s">
        <v>853</v>
      </c>
      <c r="V779" s="189" t="s">
        <v>192</v>
      </c>
      <c r="W779" s="189" t="s">
        <v>124</v>
      </c>
      <c r="X779" s="189" t="s">
        <v>339</v>
      </c>
      <c r="Y779" s="189" t="s">
        <v>3064</v>
      </c>
      <c r="Z779" s="0" t="n">
        <v>3</v>
      </c>
      <c r="AA779" s="189" t="s">
        <v>3199</v>
      </c>
    </row>
    <row r="780" customFormat="false" ht="15" hidden="false" customHeight="false" outlineLevel="0" collapsed="false">
      <c r="A780" s="0" t="n">
        <v>158</v>
      </c>
      <c r="B780" s="188" t="n">
        <v>46043.7022185519</v>
      </c>
      <c r="C780" s="188" t="n">
        <v>46043.7137231815</v>
      </c>
      <c r="D780" s="189" t="s">
        <v>1265</v>
      </c>
      <c r="E780" s="189" t="s">
        <v>1266</v>
      </c>
      <c r="F780" s="189" t="s">
        <v>1266</v>
      </c>
      <c r="G780" s="189" t="s">
        <v>1267</v>
      </c>
      <c r="H780" s="188" t="n">
        <v>46038</v>
      </c>
      <c r="I780" s="189" t="s">
        <v>1268</v>
      </c>
      <c r="J780" s="189" t="s">
        <v>108</v>
      </c>
      <c r="K780" s="189" t="s">
        <v>196</v>
      </c>
      <c r="L780" s="189" t="s">
        <v>491</v>
      </c>
      <c r="M780" s="189" t="s">
        <v>543</v>
      </c>
      <c r="N780" s="189" t="s">
        <v>227</v>
      </c>
      <c r="O780" s="189" t="s">
        <v>244</v>
      </c>
      <c r="P780" s="189" t="s">
        <v>211</v>
      </c>
      <c r="Q780" s="189" t="s">
        <v>112</v>
      </c>
      <c r="R780" s="189" t="s">
        <v>22</v>
      </c>
      <c r="S780" s="189" t="s">
        <v>152</v>
      </c>
      <c r="T780" s="189" t="s">
        <v>121</v>
      </c>
      <c r="U780" s="189" t="s">
        <v>853</v>
      </c>
      <c r="V780" s="189" t="s">
        <v>192</v>
      </c>
      <c r="W780" s="189" t="s">
        <v>124</v>
      </c>
      <c r="X780" s="189" t="s">
        <v>339</v>
      </c>
      <c r="Y780" s="189" t="s">
        <v>3066</v>
      </c>
      <c r="Z780" s="0" t="n">
        <v>1</v>
      </c>
      <c r="AA780" s="189" t="s">
        <v>3243</v>
      </c>
    </row>
    <row r="781" customFormat="false" ht="15" hidden="false" customHeight="false" outlineLevel="0" collapsed="false">
      <c r="A781" s="0" t="n">
        <v>158</v>
      </c>
      <c r="B781" s="188" t="n">
        <v>46043.7022185519</v>
      </c>
      <c r="C781" s="188" t="n">
        <v>46043.7137231815</v>
      </c>
      <c r="D781" s="189" t="s">
        <v>1265</v>
      </c>
      <c r="E781" s="189" t="s">
        <v>1266</v>
      </c>
      <c r="F781" s="189" t="s">
        <v>1266</v>
      </c>
      <c r="G781" s="189" t="s">
        <v>1267</v>
      </c>
      <c r="H781" s="188" t="n">
        <v>46038</v>
      </c>
      <c r="I781" s="189" t="s">
        <v>1268</v>
      </c>
      <c r="J781" s="189" t="s">
        <v>108</v>
      </c>
      <c r="K781" s="189" t="s">
        <v>196</v>
      </c>
      <c r="L781" s="189" t="s">
        <v>491</v>
      </c>
      <c r="M781" s="189" t="s">
        <v>543</v>
      </c>
      <c r="N781" s="189" t="s">
        <v>227</v>
      </c>
      <c r="O781" s="189" t="s">
        <v>244</v>
      </c>
      <c r="P781" s="189" t="s">
        <v>211</v>
      </c>
      <c r="Q781" s="189" t="s">
        <v>112</v>
      </c>
      <c r="R781" s="189" t="s">
        <v>22</v>
      </c>
      <c r="S781" s="189" t="s">
        <v>152</v>
      </c>
      <c r="T781" s="189" t="s">
        <v>121</v>
      </c>
      <c r="U781" s="189" t="s">
        <v>853</v>
      </c>
      <c r="V781" s="189" t="s">
        <v>192</v>
      </c>
      <c r="W781" s="189" t="s">
        <v>124</v>
      </c>
      <c r="X781" s="189" t="s">
        <v>339</v>
      </c>
      <c r="Y781" s="189" t="s">
        <v>3069</v>
      </c>
      <c r="Z781" s="0" t="n">
        <v>1</v>
      </c>
      <c r="AA781" s="189" t="s">
        <v>3200</v>
      </c>
    </row>
    <row r="782" customFormat="false" ht="15" hidden="false" customHeight="false" outlineLevel="0" collapsed="false">
      <c r="A782" s="0" t="n">
        <v>158</v>
      </c>
      <c r="B782" s="188" t="n">
        <v>46043.7022185519</v>
      </c>
      <c r="C782" s="188" t="n">
        <v>46043.7137231815</v>
      </c>
      <c r="D782" s="189" t="s">
        <v>1265</v>
      </c>
      <c r="E782" s="189" t="s">
        <v>1266</v>
      </c>
      <c r="F782" s="189" t="s">
        <v>1266</v>
      </c>
      <c r="G782" s="189" t="s">
        <v>1267</v>
      </c>
      <c r="H782" s="188" t="n">
        <v>46038</v>
      </c>
      <c r="I782" s="189" t="s">
        <v>1268</v>
      </c>
      <c r="J782" s="189" t="s">
        <v>108</v>
      </c>
      <c r="K782" s="189" t="s">
        <v>196</v>
      </c>
      <c r="L782" s="189" t="s">
        <v>491</v>
      </c>
      <c r="M782" s="189" t="s">
        <v>543</v>
      </c>
      <c r="N782" s="189" t="s">
        <v>227</v>
      </c>
      <c r="O782" s="189" t="s">
        <v>244</v>
      </c>
      <c r="P782" s="189" t="s">
        <v>211</v>
      </c>
      <c r="Q782" s="189" t="s">
        <v>112</v>
      </c>
      <c r="R782" s="189" t="s">
        <v>22</v>
      </c>
      <c r="S782" s="189" t="s">
        <v>152</v>
      </c>
      <c r="T782" s="189" t="s">
        <v>121</v>
      </c>
      <c r="U782" s="189" t="s">
        <v>853</v>
      </c>
      <c r="V782" s="189" t="s">
        <v>192</v>
      </c>
      <c r="W782" s="189" t="s">
        <v>124</v>
      </c>
      <c r="X782" s="189" t="s">
        <v>339</v>
      </c>
      <c r="Y782" s="189" t="s">
        <v>3069</v>
      </c>
      <c r="Z782" s="0" t="n">
        <v>2</v>
      </c>
      <c r="AA782" s="189" t="s">
        <v>3144</v>
      </c>
    </row>
    <row r="783" customFormat="false" ht="15" hidden="false" customHeight="false" outlineLevel="0" collapsed="false">
      <c r="A783" s="0" t="n">
        <v>159</v>
      </c>
      <c r="B783" s="188" t="n">
        <v>46172.5223615307</v>
      </c>
      <c r="C783" s="188" t="n">
        <v>46172.5288314382</v>
      </c>
      <c r="D783" s="189" t="s">
        <v>1272</v>
      </c>
      <c r="E783" s="189" t="s">
        <v>1273</v>
      </c>
      <c r="F783" s="189" t="s">
        <v>1273</v>
      </c>
      <c r="G783" s="189" t="s">
        <v>1274</v>
      </c>
      <c r="H783" s="188" t="n">
        <v>46164</v>
      </c>
      <c r="I783" s="189" t="s">
        <v>113</v>
      </c>
      <c r="J783" s="189" t="s">
        <v>108</v>
      </c>
      <c r="K783" s="189" t="s">
        <v>364</v>
      </c>
      <c r="L783" s="189" t="s">
        <v>114</v>
      </c>
      <c r="M783" s="189" t="s">
        <v>501</v>
      </c>
      <c r="N783" s="189" t="s">
        <v>638</v>
      </c>
      <c r="O783" s="189" t="s">
        <v>713</v>
      </c>
      <c r="P783" s="189" t="s">
        <v>111</v>
      </c>
      <c r="Q783" s="189" t="s">
        <v>112</v>
      </c>
      <c r="R783" s="189" t="s">
        <v>22</v>
      </c>
      <c r="S783" s="189" t="s">
        <v>152</v>
      </c>
      <c r="T783" s="189" t="s">
        <v>264</v>
      </c>
      <c r="U783" s="189" t="s">
        <v>1278</v>
      </c>
      <c r="V783" s="189" t="s">
        <v>192</v>
      </c>
      <c r="W783" s="189" t="s">
        <v>124</v>
      </c>
      <c r="X783" s="189" t="s">
        <v>715</v>
      </c>
      <c r="Y783" s="189" t="s">
        <v>3064</v>
      </c>
      <c r="Z783" s="0" t="n">
        <v>1</v>
      </c>
      <c r="AA783" s="189" t="s">
        <v>3252</v>
      </c>
    </row>
    <row r="784" customFormat="false" ht="15" hidden="false" customHeight="false" outlineLevel="0" collapsed="false">
      <c r="A784" s="0" t="n">
        <v>159</v>
      </c>
      <c r="B784" s="188" t="n">
        <v>46172.5223615307</v>
      </c>
      <c r="C784" s="188" t="n">
        <v>46172.5288314382</v>
      </c>
      <c r="D784" s="189" t="s">
        <v>1272</v>
      </c>
      <c r="E784" s="189" t="s">
        <v>1273</v>
      </c>
      <c r="F784" s="189" t="s">
        <v>1273</v>
      </c>
      <c r="G784" s="189" t="s">
        <v>1274</v>
      </c>
      <c r="H784" s="188" t="n">
        <v>46164</v>
      </c>
      <c r="I784" s="189" t="s">
        <v>113</v>
      </c>
      <c r="J784" s="189" t="s">
        <v>108</v>
      </c>
      <c r="K784" s="189" t="s">
        <v>364</v>
      </c>
      <c r="L784" s="189" t="s">
        <v>114</v>
      </c>
      <c r="M784" s="189" t="s">
        <v>501</v>
      </c>
      <c r="N784" s="189" t="s">
        <v>638</v>
      </c>
      <c r="O784" s="189" t="s">
        <v>713</v>
      </c>
      <c r="P784" s="189" t="s">
        <v>111</v>
      </c>
      <c r="Q784" s="189" t="s">
        <v>112</v>
      </c>
      <c r="R784" s="189" t="s">
        <v>22</v>
      </c>
      <c r="S784" s="189" t="s">
        <v>152</v>
      </c>
      <c r="T784" s="189" t="s">
        <v>264</v>
      </c>
      <c r="U784" s="189" t="s">
        <v>1278</v>
      </c>
      <c r="V784" s="189" t="s">
        <v>192</v>
      </c>
      <c r="W784" s="189" t="s">
        <v>124</v>
      </c>
      <c r="X784" s="189" t="s">
        <v>715</v>
      </c>
      <c r="Y784" s="189" t="s">
        <v>3064</v>
      </c>
      <c r="Z784" s="0" t="n">
        <v>2</v>
      </c>
      <c r="AA784" s="189" t="s">
        <v>3225</v>
      </c>
    </row>
    <row r="785" customFormat="false" ht="15" hidden="false" customHeight="false" outlineLevel="0" collapsed="false">
      <c r="A785" s="0" t="n">
        <v>159</v>
      </c>
      <c r="B785" s="188" t="n">
        <v>46172.5223615307</v>
      </c>
      <c r="C785" s="188" t="n">
        <v>46172.5288314382</v>
      </c>
      <c r="D785" s="189" t="s">
        <v>1272</v>
      </c>
      <c r="E785" s="189" t="s">
        <v>1273</v>
      </c>
      <c r="F785" s="189" t="s">
        <v>1273</v>
      </c>
      <c r="G785" s="189" t="s">
        <v>1274</v>
      </c>
      <c r="H785" s="188" t="n">
        <v>46164</v>
      </c>
      <c r="I785" s="189" t="s">
        <v>113</v>
      </c>
      <c r="J785" s="189" t="s">
        <v>108</v>
      </c>
      <c r="K785" s="189" t="s">
        <v>364</v>
      </c>
      <c r="L785" s="189" t="s">
        <v>114</v>
      </c>
      <c r="M785" s="189" t="s">
        <v>501</v>
      </c>
      <c r="N785" s="189" t="s">
        <v>638</v>
      </c>
      <c r="O785" s="189" t="s">
        <v>713</v>
      </c>
      <c r="P785" s="189" t="s">
        <v>111</v>
      </c>
      <c r="Q785" s="189" t="s">
        <v>112</v>
      </c>
      <c r="R785" s="189" t="s">
        <v>22</v>
      </c>
      <c r="S785" s="189" t="s">
        <v>152</v>
      </c>
      <c r="T785" s="189" t="s">
        <v>264</v>
      </c>
      <c r="U785" s="189" t="s">
        <v>1278</v>
      </c>
      <c r="V785" s="189" t="s">
        <v>192</v>
      </c>
      <c r="W785" s="189" t="s">
        <v>124</v>
      </c>
      <c r="X785" s="189" t="s">
        <v>715</v>
      </c>
      <c r="Y785" s="189" t="s">
        <v>3066</v>
      </c>
      <c r="Z785" s="0" t="n">
        <v>1</v>
      </c>
      <c r="AA785" s="189" t="s">
        <v>3226</v>
      </c>
    </row>
    <row r="786" customFormat="false" ht="15" hidden="false" customHeight="false" outlineLevel="0" collapsed="false">
      <c r="A786" s="0" t="n">
        <v>159</v>
      </c>
      <c r="B786" s="188" t="n">
        <v>46172.5223615307</v>
      </c>
      <c r="C786" s="188" t="n">
        <v>46172.5288314382</v>
      </c>
      <c r="D786" s="189" t="s">
        <v>1272</v>
      </c>
      <c r="E786" s="189" t="s">
        <v>1273</v>
      </c>
      <c r="F786" s="189" t="s">
        <v>1273</v>
      </c>
      <c r="G786" s="189" t="s">
        <v>1274</v>
      </c>
      <c r="H786" s="188" t="n">
        <v>46164</v>
      </c>
      <c r="I786" s="189" t="s">
        <v>113</v>
      </c>
      <c r="J786" s="189" t="s">
        <v>108</v>
      </c>
      <c r="K786" s="189" t="s">
        <v>364</v>
      </c>
      <c r="L786" s="189" t="s">
        <v>114</v>
      </c>
      <c r="M786" s="189" t="s">
        <v>501</v>
      </c>
      <c r="N786" s="189" t="s">
        <v>638</v>
      </c>
      <c r="O786" s="189" t="s">
        <v>713</v>
      </c>
      <c r="P786" s="189" t="s">
        <v>111</v>
      </c>
      <c r="Q786" s="189" t="s">
        <v>112</v>
      </c>
      <c r="R786" s="189" t="s">
        <v>22</v>
      </c>
      <c r="S786" s="189" t="s">
        <v>152</v>
      </c>
      <c r="T786" s="189" t="s">
        <v>264</v>
      </c>
      <c r="U786" s="189" t="s">
        <v>1278</v>
      </c>
      <c r="V786" s="189" t="s">
        <v>192</v>
      </c>
      <c r="W786" s="189" t="s">
        <v>124</v>
      </c>
      <c r="X786" s="189" t="s">
        <v>715</v>
      </c>
      <c r="Y786" s="189" t="s">
        <v>3069</v>
      </c>
      <c r="Z786" s="0" t="n">
        <v>1</v>
      </c>
      <c r="AA786" s="189" t="s">
        <v>3285</v>
      </c>
    </row>
    <row r="787" customFormat="false" ht="15" hidden="false" customHeight="false" outlineLevel="0" collapsed="false">
      <c r="A787" s="0" t="n">
        <v>159</v>
      </c>
      <c r="B787" s="188" t="n">
        <v>46172.5223615307</v>
      </c>
      <c r="C787" s="188" t="n">
        <v>46172.5288314382</v>
      </c>
      <c r="D787" s="189" t="s">
        <v>1272</v>
      </c>
      <c r="E787" s="189" t="s">
        <v>1273</v>
      </c>
      <c r="F787" s="189" t="s">
        <v>1273</v>
      </c>
      <c r="G787" s="189" t="s">
        <v>1274</v>
      </c>
      <c r="H787" s="188" t="n">
        <v>46164</v>
      </c>
      <c r="I787" s="189" t="s">
        <v>113</v>
      </c>
      <c r="J787" s="189" t="s">
        <v>108</v>
      </c>
      <c r="K787" s="189" t="s">
        <v>364</v>
      </c>
      <c r="L787" s="189" t="s">
        <v>114</v>
      </c>
      <c r="M787" s="189" t="s">
        <v>501</v>
      </c>
      <c r="N787" s="189" t="s">
        <v>638</v>
      </c>
      <c r="O787" s="189" t="s">
        <v>713</v>
      </c>
      <c r="P787" s="189" t="s">
        <v>111</v>
      </c>
      <c r="Q787" s="189" t="s">
        <v>112</v>
      </c>
      <c r="R787" s="189" t="s">
        <v>22</v>
      </c>
      <c r="S787" s="189" t="s">
        <v>152</v>
      </c>
      <c r="T787" s="189" t="s">
        <v>264</v>
      </c>
      <c r="U787" s="189" t="s">
        <v>1278</v>
      </c>
      <c r="V787" s="189" t="s">
        <v>192</v>
      </c>
      <c r="W787" s="189" t="s">
        <v>124</v>
      </c>
      <c r="X787" s="189" t="s">
        <v>715</v>
      </c>
      <c r="Y787" s="189" t="s">
        <v>3069</v>
      </c>
      <c r="Z787" s="0" t="n">
        <v>2</v>
      </c>
      <c r="AA787" s="189" t="s">
        <v>3228</v>
      </c>
    </row>
    <row r="788" customFormat="false" ht="15" hidden="false" customHeight="false" outlineLevel="0" collapsed="false">
      <c r="A788" s="0" t="n">
        <v>160</v>
      </c>
      <c r="B788" s="188" t="n">
        <v>46203.1277211982</v>
      </c>
      <c r="C788" s="188" t="n">
        <v>46203.1304295316</v>
      </c>
      <c r="D788" s="189" t="s">
        <v>1279</v>
      </c>
      <c r="E788" s="189" t="s">
        <v>1280</v>
      </c>
      <c r="F788" s="189" t="s">
        <v>1280</v>
      </c>
      <c r="G788" s="189" t="s">
        <v>1281</v>
      </c>
      <c r="H788" s="188" t="n">
        <v>46190</v>
      </c>
      <c r="I788" s="189" t="s">
        <v>113</v>
      </c>
      <c r="J788" s="189" t="s">
        <v>128</v>
      </c>
      <c r="K788" s="189" t="s">
        <v>143</v>
      </c>
      <c r="L788" s="189" t="s">
        <v>246</v>
      </c>
      <c r="M788" s="189" t="s">
        <v>144</v>
      </c>
      <c r="N788" s="189" t="s">
        <v>1042</v>
      </c>
      <c r="O788" s="189" t="s">
        <v>172</v>
      </c>
      <c r="P788" s="189" t="s">
        <v>111</v>
      </c>
      <c r="Q788" s="189" t="s">
        <v>112</v>
      </c>
      <c r="R788" s="189" t="s">
        <v>22</v>
      </c>
      <c r="S788" s="189" t="s">
        <v>152</v>
      </c>
      <c r="T788" s="189" t="s">
        <v>121</v>
      </c>
      <c r="U788" s="189" t="s">
        <v>122</v>
      </c>
      <c r="V788" s="189" t="s">
        <v>123</v>
      </c>
      <c r="W788" s="189" t="s">
        <v>124</v>
      </c>
      <c r="X788" s="189" t="s">
        <v>298</v>
      </c>
      <c r="Y788" s="189" t="s">
        <v>3064</v>
      </c>
      <c r="Z788" s="0" t="n">
        <v>1</v>
      </c>
      <c r="AA788" s="189" t="s">
        <v>3124</v>
      </c>
    </row>
    <row r="789" customFormat="false" ht="15" hidden="false" customHeight="false" outlineLevel="0" collapsed="false">
      <c r="A789" s="0" t="n">
        <v>160</v>
      </c>
      <c r="B789" s="188" t="n">
        <v>46203.1277211982</v>
      </c>
      <c r="C789" s="188" t="n">
        <v>46203.1304295316</v>
      </c>
      <c r="D789" s="189" t="s">
        <v>1279</v>
      </c>
      <c r="E789" s="189" t="s">
        <v>1280</v>
      </c>
      <c r="F789" s="189" t="s">
        <v>1280</v>
      </c>
      <c r="G789" s="189" t="s">
        <v>1281</v>
      </c>
      <c r="H789" s="188" t="n">
        <v>46190</v>
      </c>
      <c r="I789" s="189" t="s">
        <v>113</v>
      </c>
      <c r="J789" s="189" t="s">
        <v>128</v>
      </c>
      <c r="K789" s="189" t="s">
        <v>143</v>
      </c>
      <c r="L789" s="189" t="s">
        <v>246</v>
      </c>
      <c r="M789" s="189" t="s">
        <v>144</v>
      </c>
      <c r="N789" s="189" t="s">
        <v>1042</v>
      </c>
      <c r="O789" s="189" t="s">
        <v>172</v>
      </c>
      <c r="P789" s="189" t="s">
        <v>111</v>
      </c>
      <c r="Q789" s="189" t="s">
        <v>112</v>
      </c>
      <c r="R789" s="189" t="s">
        <v>22</v>
      </c>
      <c r="S789" s="189" t="s">
        <v>152</v>
      </c>
      <c r="T789" s="189" t="s">
        <v>121</v>
      </c>
      <c r="U789" s="189" t="s">
        <v>122</v>
      </c>
      <c r="V789" s="189" t="s">
        <v>123</v>
      </c>
      <c r="W789" s="189" t="s">
        <v>124</v>
      </c>
      <c r="X789" s="189" t="s">
        <v>298</v>
      </c>
      <c r="Y789" s="189" t="s">
        <v>3064</v>
      </c>
      <c r="Z789" s="0" t="n">
        <v>2</v>
      </c>
      <c r="AA789" s="189" t="s">
        <v>3208</v>
      </c>
    </row>
    <row r="790" customFormat="false" ht="15" hidden="false" customHeight="false" outlineLevel="0" collapsed="false">
      <c r="A790" s="0" t="n">
        <v>160</v>
      </c>
      <c r="B790" s="188" t="n">
        <v>46203.1277211982</v>
      </c>
      <c r="C790" s="188" t="n">
        <v>46203.1304295316</v>
      </c>
      <c r="D790" s="189" t="s">
        <v>1279</v>
      </c>
      <c r="E790" s="189" t="s">
        <v>1280</v>
      </c>
      <c r="F790" s="189" t="s">
        <v>1280</v>
      </c>
      <c r="G790" s="189" t="s">
        <v>1281</v>
      </c>
      <c r="H790" s="188" t="n">
        <v>46190</v>
      </c>
      <c r="I790" s="189" t="s">
        <v>113</v>
      </c>
      <c r="J790" s="189" t="s">
        <v>128</v>
      </c>
      <c r="K790" s="189" t="s">
        <v>143</v>
      </c>
      <c r="L790" s="189" t="s">
        <v>246</v>
      </c>
      <c r="M790" s="189" t="s">
        <v>144</v>
      </c>
      <c r="N790" s="189" t="s">
        <v>1042</v>
      </c>
      <c r="O790" s="189" t="s">
        <v>172</v>
      </c>
      <c r="P790" s="189" t="s">
        <v>111</v>
      </c>
      <c r="Q790" s="189" t="s">
        <v>112</v>
      </c>
      <c r="R790" s="189" t="s">
        <v>22</v>
      </c>
      <c r="S790" s="189" t="s">
        <v>152</v>
      </c>
      <c r="T790" s="189" t="s">
        <v>121</v>
      </c>
      <c r="U790" s="189" t="s">
        <v>122</v>
      </c>
      <c r="V790" s="189" t="s">
        <v>123</v>
      </c>
      <c r="W790" s="189" t="s">
        <v>124</v>
      </c>
      <c r="X790" s="189" t="s">
        <v>298</v>
      </c>
      <c r="Y790" s="189" t="s">
        <v>3066</v>
      </c>
      <c r="Z790" s="0" t="n">
        <v>1</v>
      </c>
      <c r="AA790" s="189" t="s">
        <v>3286</v>
      </c>
    </row>
    <row r="791" customFormat="false" ht="15" hidden="false" customHeight="false" outlineLevel="0" collapsed="false">
      <c r="A791" s="0" t="n">
        <v>160</v>
      </c>
      <c r="B791" s="188" t="n">
        <v>46203.1277211982</v>
      </c>
      <c r="C791" s="188" t="n">
        <v>46203.1304295316</v>
      </c>
      <c r="D791" s="189" t="s">
        <v>1279</v>
      </c>
      <c r="E791" s="189" t="s">
        <v>1280</v>
      </c>
      <c r="F791" s="189" t="s">
        <v>1280</v>
      </c>
      <c r="G791" s="189" t="s">
        <v>1281</v>
      </c>
      <c r="H791" s="188" t="n">
        <v>46190</v>
      </c>
      <c r="I791" s="189" t="s">
        <v>113</v>
      </c>
      <c r="J791" s="189" t="s">
        <v>128</v>
      </c>
      <c r="K791" s="189" t="s">
        <v>143</v>
      </c>
      <c r="L791" s="189" t="s">
        <v>246</v>
      </c>
      <c r="M791" s="189" t="s">
        <v>144</v>
      </c>
      <c r="N791" s="189" t="s">
        <v>1042</v>
      </c>
      <c r="O791" s="189" t="s">
        <v>172</v>
      </c>
      <c r="P791" s="189" t="s">
        <v>111</v>
      </c>
      <c r="Q791" s="189" t="s">
        <v>112</v>
      </c>
      <c r="R791" s="189" t="s">
        <v>22</v>
      </c>
      <c r="S791" s="189" t="s">
        <v>152</v>
      </c>
      <c r="T791" s="189" t="s">
        <v>121</v>
      </c>
      <c r="U791" s="189" t="s">
        <v>122</v>
      </c>
      <c r="V791" s="189" t="s">
        <v>123</v>
      </c>
      <c r="W791" s="189" t="s">
        <v>124</v>
      </c>
      <c r="X791" s="189" t="s">
        <v>298</v>
      </c>
      <c r="Y791" s="189" t="s">
        <v>3069</v>
      </c>
      <c r="Z791" s="0" t="n">
        <v>1</v>
      </c>
      <c r="AA791" s="189" t="s">
        <v>3247</v>
      </c>
    </row>
    <row r="792" customFormat="false" ht="15" hidden="false" customHeight="false" outlineLevel="0" collapsed="false">
      <c r="A792" s="0" t="n">
        <v>160</v>
      </c>
      <c r="B792" s="188" t="n">
        <v>46203.1277211982</v>
      </c>
      <c r="C792" s="188" t="n">
        <v>46203.1304295316</v>
      </c>
      <c r="D792" s="189" t="s">
        <v>1279</v>
      </c>
      <c r="E792" s="189" t="s">
        <v>1280</v>
      </c>
      <c r="F792" s="189" t="s">
        <v>1280</v>
      </c>
      <c r="G792" s="189" t="s">
        <v>1281</v>
      </c>
      <c r="H792" s="188" t="n">
        <v>46190</v>
      </c>
      <c r="I792" s="189" t="s">
        <v>113</v>
      </c>
      <c r="J792" s="189" t="s">
        <v>128</v>
      </c>
      <c r="K792" s="189" t="s">
        <v>143</v>
      </c>
      <c r="L792" s="189" t="s">
        <v>246</v>
      </c>
      <c r="M792" s="189" t="s">
        <v>144</v>
      </c>
      <c r="N792" s="189" t="s">
        <v>1042</v>
      </c>
      <c r="O792" s="189" t="s">
        <v>172</v>
      </c>
      <c r="P792" s="189" t="s">
        <v>111</v>
      </c>
      <c r="Q792" s="189" t="s">
        <v>112</v>
      </c>
      <c r="R792" s="189" t="s">
        <v>22</v>
      </c>
      <c r="S792" s="189" t="s">
        <v>152</v>
      </c>
      <c r="T792" s="189" t="s">
        <v>121</v>
      </c>
      <c r="U792" s="189" t="s">
        <v>122</v>
      </c>
      <c r="V792" s="189" t="s">
        <v>123</v>
      </c>
      <c r="W792" s="189" t="s">
        <v>124</v>
      </c>
      <c r="X792" s="189" t="s">
        <v>298</v>
      </c>
      <c r="Y792" s="189" t="s">
        <v>3069</v>
      </c>
      <c r="Z792" s="0" t="n">
        <v>2</v>
      </c>
      <c r="AA792" s="189" t="s">
        <v>122</v>
      </c>
    </row>
    <row r="793" customFormat="false" ht="15" hidden="false" customHeight="false" outlineLevel="0" collapsed="false">
      <c r="A793" s="0" t="n">
        <v>161</v>
      </c>
      <c r="B793" s="188" t="n">
        <v>46039.0781395233</v>
      </c>
      <c r="C793" s="188" t="n">
        <v>46039.08574369</v>
      </c>
      <c r="D793" s="189" t="s">
        <v>1285</v>
      </c>
      <c r="E793" s="189" t="s">
        <v>1286</v>
      </c>
      <c r="F793" s="189" t="s">
        <v>1286</v>
      </c>
      <c r="G793" s="189" t="s">
        <v>1287</v>
      </c>
      <c r="H793" s="188" t="n">
        <v>46026</v>
      </c>
      <c r="I793" s="189" t="s">
        <v>113</v>
      </c>
      <c r="J793" s="189" t="s">
        <v>108</v>
      </c>
      <c r="K793" s="189" t="s">
        <v>1288</v>
      </c>
      <c r="L793" s="189" t="s">
        <v>286</v>
      </c>
      <c r="M793" s="189" t="s">
        <v>515</v>
      </c>
      <c r="N793" s="189" t="s">
        <v>893</v>
      </c>
      <c r="O793" s="189" t="s">
        <v>278</v>
      </c>
      <c r="P793" s="189" t="s">
        <v>111</v>
      </c>
      <c r="Q793" s="189" t="s">
        <v>112</v>
      </c>
      <c r="R793" s="189" t="s">
        <v>22</v>
      </c>
      <c r="S793" s="189" t="s">
        <v>152</v>
      </c>
      <c r="T793" s="189" t="s">
        <v>121</v>
      </c>
      <c r="V793" s="189" t="s">
        <v>192</v>
      </c>
      <c r="W793" s="189" t="s">
        <v>168</v>
      </c>
      <c r="X793" s="189" t="s">
        <v>176</v>
      </c>
      <c r="Y793" s="189" t="s">
        <v>3064</v>
      </c>
      <c r="Z793" s="0" t="n">
        <v>1</v>
      </c>
      <c r="AA793" s="189" t="s">
        <v>3287</v>
      </c>
    </row>
    <row r="794" customFormat="false" ht="15" hidden="false" customHeight="false" outlineLevel="0" collapsed="false">
      <c r="A794" s="0" t="n">
        <v>161</v>
      </c>
      <c r="B794" s="188" t="n">
        <v>46039.0781395233</v>
      </c>
      <c r="C794" s="188" t="n">
        <v>46039.08574369</v>
      </c>
      <c r="D794" s="189" t="s">
        <v>1285</v>
      </c>
      <c r="E794" s="189" t="s">
        <v>1286</v>
      </c>
      <c r="F794" s="189" t="s">
        <v>1286</v>
      </c>
      <c r="G794" s="189" t="s">
        <v>1287</v>
      </c>
      <c r="H794" s="188" t="n">
        <v>46026</v>
      </c>
      <c r="I794" s="189" t="s">
        <v>113</v>
      </c>
      <c r="J794" s="189" t="s">
        <v>108</v>
      </c>
      <c r="K794" s="189" t="s">
        <v>1288</v>
      </c>
      <c r="L794" s="189" t="s">
        <v>286</v>
      </c>
      <c r="M794" s="189" t="s">
        <v>515</v>
      </c>
      <c r="N794" s="189" t="s">
        <v>893</v>
      </c>
      <c r="O794" s="189" t="s">
        <v>278</v>
      </c>
      <c r="P794" s="189" t="s">
        <v>111</v>
      </c>
      <c r="Q794" s="189" t="s">
        <v>112</v>
      </c>
      <c r="R794" s="189" t="s">
        <v>22</v>
      </c>
      <c r="S794" s="189" t="s">
        <v>152</v>
      </c>
      <c r="T794" s="189" t="s">
        <v>121</v>
      </c>
      <c r="V794" s="189" t="s">
        <v>192</v>
      </c>
      <c r="W794" s="189" t="s">
        <v>168</v>
      </c>
      <c r="X794" s="189" t="s">
        <v>176</v>
      </c>
      <c r="Y794" s="189" t="s">
        <v>3066</v>
      </c>
      <c r="Z794" s="0" t="n">
        <v>1</v>
      </c>
      <c r="AA794" s="189" t="s">
        <v>3205</v>
      </c>
    </row>
    <row r="795" customFormat="false" ht="15" hidden="false" customHeight="false" outlineLevel="0" collapsed="false">
      <c r="A795" s="0" t="n">
        <v>161</v>
      </c>
      <c r="B795" s="188" t="n">
        <v>46039.0781395233</v>
      </c>
      <c r="C795" s="188" t="n">
        <v>46039.08574369</v>
      </c>
      <c r="D795" s="189" t="s">
        <v>1285</v>
      </c>
      <c r="E795" s="189" t="s">
        <v>1286</v>
      </c>
      <c r="F795" s="189" t="s">
        <v>1286</v>
      </c>
      <c r="G795" s="189" t="s">
        <v>1287</v>
      </c>
      <c r="H795" s="188" t="n">
        <v>46026</v>
      </c>
      <c r="I795" s="189" t="s">
        <v>113</v>
      </c>
      <c r="J795" s="189" t="s">
        <v>108</v>
      </c>
      <c r="K795" s="189" t="s">
        <v>1288</v>
      </c>
      <c r="L795" s="189" t="s">
        <v>286</v>
      </c>
      <c r="M795" s="189" t="s">
        <v>515</v>
      </c>
      <c r="N795" s="189" t="s">
        <v>893</v>
      </c>
      <c r="O795" s="189" t="s">
        <v>278</v>
      </c>
      <c r="P795" s="189" t="s">
        <v>111</v>
      </c>
      <c r="Q795" s="189" t="s">
        <v>112</v>
      </c>
      <c r="R795" s="189" t="s">
        <v>22</v>
      </c>
      <c r="S795" s="189" t="s">
        <v>152</v>
      </c>
      <c r="T795" s="189" t="s">
        <v>121</v>
      </c>
      <c r="V795" s="189" t="s">
        <v>192</v>
      </c>
      <c r="W795" s="189" t="s">
        <v>168</v>
      </c>
      <c r="X795" s="189" t="s">
        <v>176</v>
      </c>
      <c r="Y795" s="189" t="s">
        <v>3066</v>
      </c>
      <c r="Z795" s="0" t="n">
        <v>2</v>
      </c>
      <c r="AA795" s="189" t="s">
        <v>3087</v>
      </c>
    </row>
    <row r="796" customFormat="false" ht="15" hidden="false" customHeight="false" outlineLevel="0" collapsed="false">
      <c r="A796" s="0" t="n">
        <v>161</v>
      </c>
      <c r="B796" s="191" t="n">
        <v>46039.0781395233</v>
      </c>
      <c r="C796" s="191" t="n">
        <v>46039.08574369</v>
      </c>
      <c r="D796" s="189" t="s">
        <v>1285</v>
      </c>
      <c r="E796" s="189" t="s">
        <v>1286</v>
      </c>
      <c r="F796" s="189" t="s">
        <v>1286</v>
      </c>
      <c r="G796" s="189" t="s">
        <v>1287</v>
      </c>
      <c r="H796" s="191" t="n">
        <v>46026</v>
      </c>
      <c r="I796" s="189" t="s">
        <v>113</v>
      </c>
      <c r="J796" s="189" t="s">
        <v>108</v>
      </c>
      <c r="K796" s="189" t="s">
        <v>1288</v>
      </c>
      <c r="L796" s="189" t="s">
        <v>286</v>
      </c>
      <c r="M796" s="189" t="s">
        <v>515</v>
      </c>
      <c r="N796" s="189" t="s">
        <v>893</v>
      </c>
      <c r="O796" s="189" t="s">
        <v>278</v>
      </c>
      <c r="P796" s="189" t="s">
        <v>111</v>
      </c>
      <c r="Q796" s="189" t="s">
        <v>112</v>
      </c>
      <c r="R796" s="189" t="s">
        <v>22</v>
      </c>
      <c r="S796" s="189" t="s">
        <v>152</v>
      </c>
      <c r="T796" s="189" t="s">
        <v>121</v>
      </c>
      <c r="V796" s="189" t="s">
        <v>192</v>
      </c>
      <c r="W796" s="189" t="s">
        <v>168</v>
      </c>
      <c r="X796" s="189" t="s">
        <v>176</v>
      </c>
      <c r="Y796" s="189" t="s">
        <v>3069</v>
      </c>
      <c r="Z796" s="0" t="n">
        <v>1</v>
      </c>
      <c r="AA796" s="189" t="s">
        <v>3088</v>
      </c>
    </row>
    <row r="797" customFormat="false" ht="15" hidden="false" customHeight="false" outlineLevel="0" collapsed="false">
      <c r="A797" s="0" t="n">
        <v>162</v>
      </c>
      <c r="B797" s="191" t="n">
        <v>46108.275349133</v>
      </c>
      <c r="C797" s="191" t="n">
        <v>46108.2957657997</v>
      </c>
      <c r="D797" s="189" t="s">
        <v>1291</v>
      </c>
      <c r="E797" s="189" t="s">
        <v>1292</v>
      </c>
      <c r="F797" s="189" t="s">
        <v>1292</v>
      </c>
      <c r="G797" s="189" t="s">
        <v>1293</v>
      </c>
      <c r="H797" s="191" t="n">
        <v>46094</v>
      </c>
      <c r="I797" s="189" t="s">
        <v>113</v>
      </c>
      <c r="J797" s="189" t="s">
        <v>295</v>
      </c>
      <c r="K797" s="189" t="s">
        <v>1294</v>
      </c>
      <c r="L797" s="189" t="s">
        <v>491</v>
      </c>
      <c r="M797" s="189" t="s">
        <v>357</v>
      </c>
      <c r="N797" s="189" t="s">
        <v>945</v>
      </c>
      <c r="O797" s="189" t="s">
        <v>107</v>
      </c>
      <c r="P797" s="189" t="s">
        <v>111</v>
      </c>
      <c r="Q797" s="189" t="s">
        <v>145</v>
      </c>
      <c r="R797" s="189" t="s">
        <v>22</v>
      </c>
      <c r="S797" s="189" t="s">
        <v>152</v>
      </c>
      <c r="T797" s="189" t="s">
        <v>352</v>
      </c>
      <c r="U797" s="189" t="s">
        <v>122</v>
      </c>
      <c r="V797" s="189" t="s">
        <v>192</v>
      </c>
      <c r="W797" s="189" t="s">
        <v>124</v>
      </c>
      <c r="X797" s="189" t="s">
        <v>298</v>
      </c>
      <c r="Y797" s="189" t="s">
        <v>3064</v>
      </c>
      <c r="Z797" s="0" t="n">
        <v>1</v>
      </c>
      <c r="AA797" s="189" t="s">
        <v>3273</v>
      </c>
    </row>
    <row r="798" customFormat="false" ht="15" hidden="false" customHeight="false" outlineLevel="0" collapsed="false">
      <c r="A798" s="0" t="n">
        <v>162</v>
      </c>
      <c r="B798" s="191" t="n">
        <v>46108.275349133</v>
      </c>
      <c r="C798" s="191" t="n">
        <v>46108.2957657997</v>
      </c>
      <c r="D798" s="189" t="s">
        <v>1291</v>
      </c>
      <c r="E798" s="189" t="s">
        <v>1292</v>
      </c>
      <c r="F798" s="189" t="s">
        <v>1292</v>
      </c>
      <c r="G798" s="189" t="s">
        <v>1293</v>
      </c>
      <c r="H798" s="191" t="n">
        <v>46094</v>
      </c>
      <c r="I798" s="189" t="s">
        <v>113</v>
      </c>
      <c r="J798" s="189" t="s">
        <v>295</v>
      </c>
      <c r="K798" s="189" t="s">
        <v>1294</v>
      </c>
      <c r="L798" s="189" t="s">
        <v>491</v>
      </c>
      <c r="M798" s="189" t="s">
        <v>357</v>
      </c>
      <c r="N798" s="189" t="s">
        <v>945</v>
      </c>
      <c r="O798" s="189" t="s">
        <v>107</v>
      </c>
      <c r="P798" s="189" t="s">
        <v>111</v>
      </c>
      <c r="Q798" s="189" t="s">
        <v>145</v>
      </c>
      <c r="R798" s="189" t="s">
        <v>22</v>
      </c>
      <c r="S798" s="189" t="s">
        <v>152</v>
      </c>
      <c r="T798" s="189" t="s">
        <v>352</v>
      </c>
      <c r="U798" s="189" t="s">
        <v>122</v>
      </c>
      <c r="V798" s="189" t="s">
        <v>192</v>
      </c>
      <c r="W798" s="189" t="s">
        <v>124</v>
      </c>
      <c r="X798" s="189" t="s">
        <v>298</v>
      </c>
      <c r="Y798" s="189" t="s">
        <v>3064</v>
      </c>
      <c r="Z798" s="0" t="n">
        <v>2</v>
      </c>
      <c r="AA798" s="189" t="s">
        <v>3207</v>
      </c>
    </row>
    <row r="799" customFormat="false" ht="15" hidden="false" customHeight="false" outlineLevel="0" collapsed="false">
      <c r="A799" s="0" t="n">
        <v>162</v>
      </c>
      <c r="B799" s="191" t="n">
        <v>46108.275349133</v>
      </c>
      <c r="C799" s="191" t="n">
        <v>46108.2957657997</v>
      </c>
      <c r="D799" s="189" t="s">
        <v>1291</v>
      </c>
      <c r="E799" s="189" t="s">
        <v>1292</v>
      </c>
      <c r="F799" s="189" t="s">
        <v>1292</v>
      </c>
      <c r="G799" s="189" t="s">
        <v>1293</v>
      </c>
      <c r="H799" s="191" t="n">
        <v>46094</v>
      </c>
      <c r="I799" s="189" t="s">
        <v>113</v>
      </c>
      <c r="J799" s="189" t="s">
        <v>295</v>
      </c>
      <c r="K799" s="189" t="s">
        <v>1294</v>
      </c>
      <c r="L799" s="189" t="s">
        <v>491</v>
      </c>
      <c r="M799" s="189" t="s">
        <v>357</v>
      </c>
      <c r="N799" s="189" t="s">
        <v>945</v>
      </c>
      <c r="O799" s="189" t="s">
        <v>107</v>
      </c>
      <c r="P799" s="189" t="s">
        <v>111</v>
      </c>
      <c r="Q799" s="189" t="s">
        <v>145</v>
      </c>
      <c r="R799" s="189" t="s">
        <v>22</v>
      </c>
      <c r="S799" s="189" t="s">
        <v>152</v>
      </c>
      <c r="T799" s="189" t="s">
        <v>352</v>
      </c>
      <c r="U799" s="189" t="s">
        <v>122</v>
      </c>
      <c r="V799" s="189" t="s">
        <v>192</v>
      </c>
      <c r="W799" s="189" t="s">
        <v>124</v>
      </c>
      <c r="X799" s="189" t="s">
        <v>298</v>
      </c>
      <c r="Y799" s="189" t="s">
        <v>3066</v>
      </c>
      <c r="Z799" s="0" t="n">
        <v>1</v>
      </c>
      <c r="AA799" s="189" t="s">
        <v>3237</v>
      </c>
    </row>
    <row r="800" customFormat="false" ht="15" hidden="false" customHeight="false" outlineLevel="0" collapsed="false">
      <c r="A800" s="0" t="n">
        <v>162</v>
      </c>
      <c r="B800" s="191" t="n">
        <v>46108.275349133</v>
      </c>
      <c r="C800" s="191" t="n">
        <v>46108.2957657997</v>
      </c>
      <c r="D800" s="189" t="s">
        <v>1291</v>
      </c>
      <c r="E800" s="189" t="s">
        <v>1292</v>
      </c>
      <c r="F800" s="189" t="s">
        <v>1292</v>
      </c>
      <c r="G800" s="189" t="s">
        <v>1293</v>
      </c>
      <c r="H800" s="191" t="n">
        <v>46094</v>
      </c>
      <c r="I800" s="189" t="s">
        <v>113</v>
      </c>
      <c r="J800" s="189" t="s">
        <v>295</v>
      </c>
      <c r="K800" s="189" t="s">
        <v>1294</v>
      </c>
      <c r="L800" s="189" t="s">
        <v>491</v>
      </c>
      <c r="M800" s="189" t="s">
        <v>357</v>
      </c>
      <c r="N800" s="189" t="s">
        <v>945</v>
      </c>
      <c r="O800" s="189" t="s">
        <v>107</v>
      </c>
      <c r="P800" s="189" t="s">
        <v>111</v>
      </c>
      <c r="Q800" s="189" t="s">
        <v>145</v>
      </c>
      <c r="R800" s="189" t="s">
        <v>22</v>
      </c>
      <c r="S800" s="189" t="s">
        <v>152</v>
      </c>
      <c r="T800" s="189" t="s">
        <v>352</v>
      </c>
      <c r="U800" s="189" t="s">
        <v>122</v>
      </c>
      <c r="V800" s="189" t="s">
        <v>192</v>
      </c>
      <c r="W800" s="189" t="s">
        <v>124</v>
      </c>
      <c r="X800" s="189" t="s">
        <v>298</v>
      </c>
      <c r="Y800" s="189" t="s">
        <v>3069</v>
      </c>
      <c r="Z800" s="0" t="n">
        <v>1</v>
      </c>
      <c r="AA800" s="189" t="s">
        <v>3247</v>
      </c>
    </row>
    <row r="801" customFormat="false" ht="15" hidden="false" customHeight="false" outlineLevel="0" collapsed="false">
      <c r="A801" s="0" t="n">
        <v>162</v>
      </c>
      <c r="B801" s="191" t="n">
        <v>46108.275349133</v>
      </c>
      <c r="C801" s="191" t="n">
        <v>46108.2957657997</v>
      </c>
      <c r="D801" s="189" t="s">
        <v>1291</v>
      </c>
      <c r="E801" s="189" t="s">
        <v>1292</v>
      </c>
      <c r="F801" s="189" t="s">
        <v>1292</v>
      </c>
      <c r="G801" s="189" t="s">
        <v>1293</v>
      </c>
      <c r="H801" s="191" t="n">
        <v>46094</v>
      </c>
      <c r="I801" s="189" t="s">
        <v>113</v>
      </c>
      <c r="J801" s="189" t="s">
        <v>295</v>
      </c>
      <c r="K801" s="189" t="s">
        <v>1294</v>
      </c>
      <c r="L801" s="189" t="s">
        <v>491</v>
      </c>
      <c r="M801" s="189" t="s">
        <v>357</v>
      </c>
      <c r="N801" s="189" t="s">
        <v>945</v>
      </c>
      <c r="O801" s="189" t="s">
        <v>107</v>
      </c>
      <c r="P801" s="189" t="s">
        <v>111</v>
      </c>
      <c r="Q801" s="189" t="s">
        <v>145</v>
      </c>
      <c r="R801" s="189" t="s">
        <v>22</v>
      </c>
      <c r="S801" s="189" t="s">
        <v>152</v>
      </c>
      <c r="T801" s="189" t="s">
        <v>352</v>
      </c>
      <c r="U801" s="189" t="s">
        <v>122</v>
      </c>
      <c r="V801" s="189" t="s">
        <v>192</v>
      </c>
      <c r="W801" s="189" t="s">
        <v>124</v>
      </c>
      <c r="X801" s="189" t="s">
        <v>298</v>
      </c>
      <c r="Y801" s="189" t="s">
        <v>3069</v>
      </c>
      <c r="Z801" s="0" t="n">
        <v>2</v>
      </c>
      <c r="AA801" s="189" t="s">
        <v>3272</v>
      </c>
    </row>
    <row r="802" customFormat="false" ht="15" hidden="false" customHeight="false" outlineLevel="0" collapsed="false">
      <c r="A802" s="0" t="n">
        <v>163</v>
      </c>
      <c r="B802" s="191" t="n">
        <v>46124.772386008</v>
      </c>
      <c r="C802" s="191" t="n">
        <v>46124.7896082303</v>
      </c>
      <c r="D802" s="189" t="s">
        <v>1297</v>
      </c>
      <c r="E802" s="189" t="s">
        <v>1298</v>
      </c>
      <c r="F802" s="189" t="s">
        <v>1298</v>
      </c>
      <c r="G802" s="189" t="s">
        <v>1299</v>
      </c>
      <c r="H802" s="191" t="n">
        <v>46108</v>
      </c>
      <c r="I802" s="189" t="s">
        <v>113</v>
      </c>
      <c r="J802" s="189" t="s">
        <v>108</v>
      </c>
      <c r="K802" s="189" t="s">
        <v>1300</v>
      </c>
      <c r="L802" s="189" t="s">
        <v>346</v>
      </c>
      <c r="M802" s="189" t="s">
        <v>212</v>
      </c>
      <c r="N802" s="189" t="s">
        <v>775</v>
      </c>
      <c r="O802" s="189" t="s">
        <v>107</v>
      </c>
      <c r="P802" s="189" t="s">
        <v>111</v>
      </c>
      <c r="Q802" s="189" t="s">
        <v>112</v>
      </c>
      <c r="R802" s="189" t="s">
        <v>22</v>
      </c>
      <c r="S802" s="189" t="s">
        <v>120</v>
      </c>
      <c r="T802" s="189" t="s">
        <v>121</v>
      </c>
      <c r="V802" s="189" t="s">
        <v>123</v>
      </c>
      <c r="W802" s="189" t="s">
        <v>139</v>
      </c>
      <c r="X802" s="189" t="s">
        <v>271</v>
      </c>
      <c r="Y802" s="189" t="s">
        <v>3064</v>
      </c>
      <c r="Z802" s="0" t="n">
        <v>1</v>
      </c>
      <c r="AA802" s="189" t="s">
        <v>3115</v>
      </c>
    </row>
    <row r="803" customFormat="false" ht="15" hidden="false" customHeight="false" outlineLevel="0" collapsed="false">
      <c r="A803" s="0" t="n">
        <v>163</v>
      </c>
      <c r="B803" s="191" t="n">
        <v>46124.772386008</v>
      </c>
      <c r="C803" s="191" t="n">
        <v>46124.7896082303</v>
      </c>
      <c r="D803" s="189" t="s">
        <v>1297</v>
      </c>
      <c r="E803" s="189" t="s">
        <v>1298</v>
      </c>
      <c r="F803" s="189" t="s">
        <v>1298</v>
      </c>
      <c r="G803" s="189" t="s">
        <v>1299</v>
      </c>
      <c r="H803" s="191" t="n">
        <v>46108</v>
      </c>
      <c r="I803" s="189" t="s">
        <v>113</v>
      </c>
      <c r="J803" s="189" t="s">
        <v>108</v>
      </c>
      <c r="K803" s="189" t="s">
        <v>1300</v>
      </c>
      <c r="L803" s="189" t="s">
        <v>346</v>
      </c>
      <c r="M803" s="189" t="s">
        <v>212</v>
      </c>
      <c r="N803" s="189" t="s">
        <v>775</v>
      </c>
      <c r="O803" s="189" t="s">
        <v>107</v>
      </c>
      <c r="P803" s="189" t="s">
        <v>111</v>
      </c>
      <c r="Q803" s="189" t="s">
        <v>112</v>
      </c>
      <c r="R803" s="189" t="s">
        <v>22</v>
      </c>
      <c r="S803" s="189" t="s">
        <v>120</v>
      </c>
      <c r="T803" s="189" t="s">
        <v>121</v>
      </c>
      <c r="V803" s="189" t="s">
        <v>123</v>
      </c>
      <c r="W803" s="189" t="s">
        <v>139</v>
      </c>
      <c r="X803" s="189" t="s">
        <v>271</v>
      </c>
      <c r="Y803" s="189" t="s">
        <v>3066</v>
      </c>
      <c r="Z803" s="0" t="n">
        <v>1</v>
      </c>
      <c r="AA803" s="189" t="s">
        <v>3266</v>
      </c>
    </row>
    <row r="804" customFormat="false" ht="15" hidden="false" customHeight="false" outlineLevel="0" collapsed="false">
      <c r="A804" s="0" t="n">
        <v>163</v>
      </c>
      <c r="B804" s="191" t="n">
        <v>46124.772386008</v>
      </c>
      <c r="C804" s="191" t="n">
        <v>46124.7896082303</v>
      </c>
      <c r="D804" s="189" t="s">
        <v>1297</v>
      </c>
      <c r="E804" s="189" t="s">
        <v>1298</v>
      </c>
      <c r="F804" s="189" t="s">
        <v>1298</v>
      </c>
      <c r="G804" s="189" t="s">
        <v>1299</v>
      </c>
      <c r="H804" s="191" t="n">
        <v>46108</v>
      </c>
      <c r="I804" s="189" t="s">
        <v>113</v>
      </c>
      <c r="J804" s="189" t="s">
        <v>108</v>
      </c>
      <c r="K804" s="189" t="s">
        <v>1300</v>
      </c>
      <c r="L804" s="189" t="s">
        <v>346</v>
      </c>
      <c r="M804" s="189" t="s">
        <v>212</v>
      </c>
      <c r="N804" s="189" t="s">
        <v>775</v>
      </c>
      <c r="O804" s="189" t="s">
        <v>107</v>
      </c>
      <c r="P804" s="189" t="s">
        <v>111</v>
      </c>
      <c r="Q804" s="189" t="s">
        <v>112</v>
      </c>
      <c r="R804" s="189" t="s">
        <v>22</v>
      </c>
      <c r="S804" s="189" t="s">
        <v>120</v>
      </c>
      <c r="T804" s="189" t="s">
        <v>121</v>
      </c>
      <c r="V804" s="189" t="s">
        <v>123</v>
      </c>
      <c r="W804" s="189" t="s">
        <v>139</v>
      </c>
      <c r="X804" s="189" t="s">
        <v>271</v>
      </c>
      <c r="Y804" s="189" t="s">
        <v>3066</v>
      </c>
      <c r="Z804" s="0" t="n">
        <v>2</v>
      </c>
      <c r="AA804" s="189" t="s">
        <v>3117</v>
      </c>
    </row>
    <row r="805" customFormat="false" ht="15" hidden="false" customHeight="false" outlineLevel="0" collapsed="false">
      <c r="A805" s="0" t="n">
        <v>163</v>
      </c>
      <c r="B805" s="191" t="n">
        <v>46124.772386008</v>
      </c>
      <c r="C805" s="191" t="n">
        <v>46124.7896082303</v>
      </c>
      <c r="D805" s="189" t="s">
        <v>1297</v>
      </c>
      <c r="E805" s="189" t="s">
        <v>1298</v>
      </c>
      <c r="F805" s="189" t="s">
        <v>1298</v>
      </c>
      <c r="G805" s="189" t="s">
        <v>1299</v>
      </c>
      <c r="H805" s="191" t="n">
        <v>46108</v>
      </c>
      <c r="I805" s="189" t="s">
        <v>113</v>
      </c>
      <c r="J805" s="189" t="s">
        <v>108</v>
      </c>
      <c r="K805" s="189" t="s">
        <v>1300</v>
      </c>
      <c r="L805" s="189" t="s">
        <v>346</v>
      </c>
      <c r="M805" s="189" t="s">
        <v>212</v>
      </c>
      <c r="N805" s="189" t="s">
        <v>775</v>
      </c>
      <c r="O805" s="189" t="s">
        <v>107</v>
      </c>
      <c r="P805" s="189" t="s">
        <v>111</v>
      </c>
      <c r="Q805" s="189" t="s">
        <v>112</v>
      </c>
      <c r="R805" s="189" t="s">
        <v>22</v>
      </c>
      <c r="S805" s="189" t="s">
        <v>120</v>
      </c>
      <c r="T805" s="189" t="s">
        <v>121</v>
      </c>
      <c r="V805" s="189" t="s">
        <v>123</v>
      </c>
      <c r="W805" s="189" t="s">
        <v>139</v>
      </c>
      <c r="X805" s="189" t="s">
        <v>271</v>
      </c>
      <c r="Y805" s="189" t="s">
        <v>3069</v>
      </c>
      <c r="Z805" s="0" t="n">
        <v>1</v>
      </c>
      <c r="AA805" s="189" t="s">
        <v>122</v>
      </c>
    </row>
    <row r="806" customFormat="false" ht="15" hidden="false" customHeight="false" outlineLevel="0" collapsed="false">
      <c r="A806" s="0" t="n">
        <v>163</v>
      </c>
      <c r="B806" s="191" t="n">
        <v>46124.772386008</v>
      </c>
      <c r="C806" s="191" t="n">
        <v>46124.7896082303</v>
      </c>
      <c r="D806" s="189" t="s">
        <v>1297</v>
      </c>
      <c r="E806" s="189" t="s">
        <v>1298</v>
      </c>
      <c r="F806" s="189" t="s">
        <v>1298</v>
      </c>
      <c r="G806" s="189" t="s">
        <v>1299</v>
      </c>
      <c r="H806" s="191" t="n">
        <v>46108</v>
      </c>
      <c r="I806" s="189" t="s">
        <v>113</v>
      </c>
      <c r="J806" s="189" t="s">
        <v>108</v>
      </c>
      <c r="K806" s="189" t="s">
        <v>1300</v>
      </c>
      <c r="L806" s="189" t="s">
        <v>346</v>
      </c>
      <c r="M806" s="189" t="s">
        <v>212</v>
      </c>
      <c r="N806" s="189" t="s">
        <v>775</v>
      </c>
      <c r="O806" s="189" t="s">
        <v>107</v>
      </c>
      <c r="P806" s="189" t="s">
        <v>111</v>
      </c>
      <c r="Q806" s="189" t="s">
        <v>112</v>
      </c>
      <c r="R806" s="189" t="s">
        <v>22</v>
      </c>
      <c r="S806" s="189" t="s">
        <v>120</v>
      </c>
      <c r="T806" s="189" t="s">
        <v>121</v>
      </c>
      <c r="V806" s="189" t="s">
        <v>123</v>
      </c>
      <c r="W806" s="189" t="s">
        <v>139</v>
      </c>
      <c r="X806" s="189" t="s">
        <v>271</v>
      </c>
      <c r="Y806" s="189" t="s">
        <v>3069</v>
      </c>
      <c r="Z806" s="0" t="n">
        <v>2</v>
      </c>
      <c r="AA806" s="189" t="s">
        <v>3118</v>
      </c>
    </row>
    <row r="807" customFormat="false" ht="15" hidden="false" customHeight="false" outlineLevel="0" collapsed="false">
      <c r="A807" s="0" t="n">
        <v>164</v>
      </c>
      <c r="B807" s="191" t="n">
        <v>46212.7231392317</v>
      </c>
      <c r="C807" s="191" t="n">
        <v>46212.7370744168</v>
      </c>
      <c r="D807" s="189" t="s">
        <v>1303</v>
      </c>
      <c r="E807" s="189" t="s">
        <v>1304</v>
      </c>
      <c r="F807" s="189" t="s">
        <v>1304</v>
      </c>
      <c r="G807" s="189" t="s">
        <v>1305</v>
      </c>
      <c r="H807" s="191" t="n">
        <v>46200</v>
      </c>
      <c r="I807" s="189" t="s">
        <v>113</v>
      </c>
      <c r="J807" s="189" t="s">
        <v>108</v>
      </c>
      <c r="K807" s="189" t="s">
        <v>257</v>
      </c>
      <c r="L807" s="189" t="s">
        <v>130</v>
      </c>
      <c r="M807" s="189" t="s">
        <v>864</v>
      </c>
      <c r="N807" s="189" t="s">
        <v>1306</v>
      </c>
      <c r="O807" s="189" t="s">
        <v>278</v>
      </c>
      <c r="P807" s="189" t="s">
        <v>111</v>
      </c>
      <c r="Q807" s="189" t="s">
        <v>198</v>
      </c>
      <c r="R807" s="189" t="s">
        <v>22</v>
      </c>
      <c r="S807" s="189" t="s">
        <v>152</v>
      </c>
      <c r="T807" s="189" t="s">
        <v>121</v>
      </c>
      <c r="U807" s="189" t="s">
        <v>1174</v>
      </c>
      <c r="V807" s="189" t="s">
        <v>167</v>
      </c>
      <c r="W807" s="189" t="s">
        <v>124</v>
      </c>
      <c r="X807" s="189" t="s">
        <v>339</v>
      </c>
      <c r="Y807" s="189" t="s">
        <v>3064</v>
      </c>
      <c r="Z807" s="0" t="n">
        <v>1</v>
      </c>
      <c r="AA807" s="189" t="s">
        <v>3168</v>
      </c>
    </row>
    <row r="808" customFormat="false" ht="15" hidden="false" customHeight="false" outlineLevel="0" collapsed="false">
      <c r="A808" s="0" t="n">
        <v>164</v>
      </c>
      <c r="B808" s="191" t="n">
        <v>46212.7231392317</v>
      </c>
      <c r="C808" s="191" t="n">
        <v>46212.7370744168</v>
      </c>
      <c r="D808" s="189" t="s">
        <v>1303</v>
      </c>
      <c r="E808" s="189" t="s">
        <v>1304</v>
      </c>
      <c r="F808" s="189" t="s">
        <v>1304</v>
      </c>
      <c r="G808" s="189" t="s">
        <v>1305</v>
      </c>
      <c r="H808" s="191" t="n">
        <v>46200</v>
      </c>
      <c r="I808" s="189" t="s">
        <v>113</v>
      </c>
      <c r="J808" s="189" t="s">
        <v>108</v>
      </c>
      <c r="K808" s="189" t="s">
        <v>257</v>
      </c>
      <c r="L808" s="189" t="s">
        <v>130</v>
      </c>
      <c r="M808" s="189" t="s">
        <v>864</v>
      </c>
      <c r="N808" s="189" t="s">
        <v>1306</v>
      </c>
      <c r="O808" s="189" t="s">
        <v>278</v>
      </c>
      <c r="P808" s="189" t="s">
        <v>111</v>
      </c>
      <c r="Q808" s="189" t="s">
        <v>198</v>
      </c>
      <c r="R808" s="189" t="s">
        <v>22</v>
      </c>
      <c r="S808" s="189" t="s">
        <v>152</v>
      </c>
      <c r="T808" s="189" t="s">
        <v>121</v>
      </c>
      <c r="U808" s="189" t="s">
        <v>1174</v>
      </c>
      <c r="V808" s="189" t="s">
        <v>167</v>
      </c>
      <c r="W808" s="189" t="s">
        <v>124</v>
      </c>
      <c r="X808" s="189" t="s">
        <v>339</v>
      </c>
      <c r="Y808" s="189" t="s">
        <v>3066</v>
      </c>
      <c r="Z808" s="0" t="n">
        <v>1</v>
      </c>
      <c r="AA808" s="189" t="s">
        <v>3260</v>
      </c>
    </row>
    <row r="809" customFormat="false" ht="15" hidden="false" customHeight="false" outlineLevel="0" collapsed="false">
      <c r="A809" s="0" t="n">
        <v>164</v>
      </c>
      <c r="B809" s="191" t="n">
        <v>46212.7231392317</v>
      </c>
      <c r="C809" s="191" t="n">
        <v>46212.7370744168</v>
      </c>
      <c r="D809" s="189" t="s">
        <v>1303</v>
      </c>
      <c r="E809" s="189" t="s">
        <v>1304</v>
      </c>
      <c r="F809" s="189" t="s">
        <v>1304</v>
      </c>
      <c r="G809" s="189" t="s">
        <v>1305</v>
      </c>
      <c r="H809" s="191" t="n">
        <v>46200</v>
      </c>
      <c r="I809" s="189" t="s">
        <v>113</v>
      </c>
      <c r="J809" s="189" t="s">
        <v>108</v>
      </c>
      <c r="K809" s="189" t="s">
        <v>257</v>
      </c>
      <c r="L809" s="189" t="s">
        <v>130</v>
      </c>
      <c r="M809" s="189" t="s">
        <v>864</v>
      </c>
      <c r="N809" s="189" t="s">
        <v>1306</v>
      </c>
      <c r="O809" s="189" t="s">
        <v>278</v>
      </c>
      <c r="P809" s="189" t="s">
        <v>111</v>
      </c>
      <c r="Q809" s="189" t="s">
        <v>198</v>
      </c>
      <c r="R809" s="189" t="s">
        <v>22</v>
      </c>
      <c r="S809" s="189" t="s">
        <v>152</v>
      </c>
      <c r="T809" s="189" t="s">
        <v>121</v>
      </c>
      <c r="U809" s="189" t="s">
        <v>1174</v>
      </c>
      <c r="V809" s="189" t="s">
        <v>167</v>
      </c>
      <c r="W809" s="189" t="s">
        <v>124</v>
      </c>
      <c r="X809" s="189" t="s">
        <v>339</v>
      </c>
      <c r="Y809" s="189" t="s">
        <v>3066</v>
      </c>
      <c r="Z809" s="0" t="n">
        <v>2</v>
      </c>
      <c r="AA809" s="189" t="s">
        <v>3143</v>
      </c>
    </row>
    <row r="810" customFormat="false" ht="15" hidden="false" customHeight="false" outlineLevel="0" collapsed="false">
      <c r="A810" s="0" t="n">
        <v>164</v>
      </c>
      <c r="B810" s="191" t="n">
        <v>46212.7231392317</v>
      </c>
      <c r="C810" s="191" t="n">
        <v>46212.7370744168</v>
      </c>
      <c r="D810" s="189" t="s">
        <v>1303</v>
      </c>
      <c r="E810" s="189" t="s">
        <v>1304</v>
      </c>
      <c r="F810" s="189" t="s">
        <v>1304</v>
      </c>
      <c r="G810" s="189" t="s">
        <v>1305</v>
      </c>
      <c r="H810" s="191" t="n">
        <v>46200</v>
      </c>
      <c r="I810" s="189" t="s">
        <v>113</v>
      </c>
      <c r="J810" s="189" t="s">
        <v>108</v>
      </c>
      <c r="K810" s="189" t="s">
        <v>257</v>
      </c>
      <c r="L810" s="189" t="s">
        <v>130</v>
      </c>
      <c r="M810" s="189" t="s">
        <v>864</v>
      </c>
      <c r="N810" s="189" t="s">
        <v>1306</v>
      </c>
      <c r="O810" s="189" t="s">
        <v>278</v>
      </c>
      <c r="P810" s="189" t="s">
        <v>111</v>
      </c>
      <c r="Q810" s="189" t="s">
        <v>198</v>
      </c>
      <c r="R810" s="189" t="s">
        <v>22</v>
      </c>
      <c r="S810" s="189" t="s">
        <v>152</v>
      </c>
      <c r="T810" s="189" t="s">
        <v>121</v>
      </c>
      <c r="U810" s="189" t="s">
        <v>1174</v>
      </c>
      <c r="V810" s="189" t="s">
        <v>167</v>
      </c>
      <c r="W810" s="189" t="s">
        <v>124</v>
      </c>
      <c r="X810" s="189" t="s">
        <v>339</v>
      </c>
      <c r="Y810" s="189" t="s">
        <v>3069</v>
      </c>
      <c r="Z810" s="0" t="n">
        <v>1</v>
      </c>
      <c r="AA810" s="189" t="s">
        <v>3144</v>
      </c>
    </row>
    <row r="811" customFormat="false" ht="15" hidden="false" customHeight="false" outlineLevel="0" collapsed="false">
      <c r="A811" s="0" t="n">
        <v>164</v>
      </c>
      <c r="B811" s="191" t="n">
        <v>46212.7231392317</v>
      </c>
      <c r="C811" s="191" t="n">
        <v>46212.7370744168</v>
      </c>
      <c r="D811" s="189" t="s">
        <v>1303</v>
      </c>
      <c r="E811" s="189" t="s">
        <v>1304</v>
      </c>
      <c r="F811" s="189" t="s">
        <v>1304</v>
      </c>
      <c r="G811" s="189" t="s">
        <v>1305</v>
      </c>
      <c r="H811" s="191" t="n">
        <v>46200</v>
      </c>
      <c r="I811" s="189" t="s">
        <v>113</v>
      </c>
      <c r="J811" s="189" t="s">
        <v>108</v>
      </c>
      <c r="K811" s="189" t="s">
        <v>257</v>
      </c>
      <c r="L811" s="189" t="s">
        <v>130</v>
      </c>
      <c r="M811" s="189" t="s">
        <v>864</v>
      </c>
      <c r="N811" s="189" t="s">
        <v>1306</v>
      </c>
      <c r="O811" s="189" t="s">
        <v>278</v>
      </c>
      <c r="P811" s="189" t="s">
        <v>111</v>
      </c>
      <c r="Q811" s="189" t="s">
        <v>198</v>
      </c>
      <c r="R811" s="189" t="s">
        <v>22</v>
      </c>
      <c r="S811" s="189" t="s">
        <v>152</v>
      </c>
      <c r="T811" s="189" t="s">
        <v>121</v>
      </c>
      <c r="U811" s="189" t="s">
        <v>1174</v>
      </c>
      <c r="V811" s="189" t="s">
        <v>167</v>
      </c>
      <c r="W811" s="189" t="s">
        <v>124</v>
      </c>
      <c r="X811" s="189" t="s">
        <v>339</v>
      </c>
      <c r="Y811" s="189" t="s">
        <v>3069</v>
      </c>
      <c r="Z811" s="0" t="n">
        <v>2</v>
      </c>
      <c r="AA811" s="189" t="s">
        <v>3217</v>
      </c>
    </row>
    <row r="812" customFormat="false" ht="15" hidden="false" customHeight="false" outlineLevel="0" collapsed="false">
      <c r="A812" s="0" t="n">
        <v>165</v>
      </c>
      <c r="B812" s="191" t="n">
        <v>46103.8210080268</v>
      </c>
      <c r="C812" s="191" t="n">
        <v>46103.829792749</v>
      </c>
      <c r="D812" s="189" t="s">
        <v>1310</v>
      </c>
      <c r="E812" s="189" t="s">
        <v>1311</v>
      </c>
      <c r="F812" s="189" t="s">
        <v>1311</v>
      </c>
      <c r="G812" s="189" t="s">
        <v>1312</v>
      </c>
      <c r="H812" s="191" t="n">
        <v>46086</v>
      </c>
      <c r="I812" s="189" t="s">
        <v>113</v>
      </c>
      <c r="J812" s="189" t="s">
        <v>295</v>
      </c>
      <c r="K812" s="189" t="s">
        <v>143</v>
      </c>
      <c r="L812" s="189" t="s">
        <v>431</v>
      </c>
      <c r="M812" s="189" t="s">
        <v>1313</v>
      </c>
      <c r="N812" s="189" t="s">
        <v>270</v>
      </c>
      <c r="O812" s="189" t="s">
        <v>107</v>
      </c>
      <c r="P812" s="189" t="s">
        <v>111</v>
      </c>
      <c r="Q812" s="189" t="s">
        <v>145</v>
      </c>
      <c r="R812" s="189" t="s">
        <v>25</v>
      </c>
      <c r="S812" s="189" t="s">
        <v>152</v>
      </c>
      <c r="T812" s="189" t="s">
        <v>264</v>
      </c>
      <c r="U812" s="189" t="s">
        <v>1314</v>
      </c>
      <c r="V812" s="189" t="s">
        <v>167</v>
      </c>
      <c r="W812" s="189" t="s">
        <v>124</v>
      </c>
      <c r="X812" s="189" t="s">
        <v>327</v>
      </c>
      <c r="Y812" s="189" t="s">
        <v>3064</v>
      </c>
      <c r="Z812" s="0" t="n">
        <v>1</v>
      </c>
      <c r="AA812" s="189" t="s">
        <v>3065</v>
      </c>
    </row>
    <row r="813" customFormat="false" ht="15" hidden="false" customHeight="false" outlineLevel="0" collapsed="false">
      <c r="A813" s="0" t="n">
        <v>165</v>
      </c>
      <c r="B813" s="191" t="n">
        <v>46103.8210080268</v>
      </c>
      <c r="C813" s="191" t="n">
        <v>46103.829792749</v>
      </c>
      <c r="D813" s="189" t="s">
        <v>1310</v>
      </c>
      <c r="E813" s="189" t="s">
        <v>1311</v>
      </c>
      <c r="F813" s="189" t="s">
        <v>1311</v>
      </c>
      <c r="G813" s="189" t="s">
        <v>1312</v>
      </c>
      <c r="H813" s="191" t="n">
        <v>46086</v>
      </c>
      <c r="I813" s="189" t="s">
        <v>113</v>
      </c>
      <c r="J813" s="189" t="s">
        <v>295</v>
      </c>
      <c r="K813" s="189" t="s">
        <v>143</v>
      </c>
      <c r="L813" s="189" t="s">
        <v>431</v>
      </c>
      <c r="M813" s="189" t="s">
        <v>1313</v>
      </c>
      <c r="N813" s="189" t="s">
        <v>270</v>
      </c>
      <c r="O813" s="189" t="s">
        <v>107</v>
      </c>
      <c r="P813" s="189" t="s">
        <v>111</v>
      </c>
      <c r="Q813" s="189" t="s">
        <v>145</v>
      </c>
      <c r="R813" s="189" t="s">
        <v>25</v>
      </c>
      <c r="S813" s="189" t="s">
        <v>152</v>
      </c>
      <c r="T813" s="189" t="s">
        <v>264</v>
      </c>
      <c r="U813" s="189" t="s">
        <v>1314</v>
      </c>
      <c r="V813" s="189" t="s">
        <v>167</v>
      </c>
      <c r="W813" s="189" t="s">
        <v>124</v>
      </c>
      <c r="X813" s="189" t="s">
        <v>327</v>
      </c>
      <c r="Y813" s="189" t="s">
        <v>3064</v>
      </c>
      <c r="Z813" s="0" t="n">
        <v>2</v>
      </c>
      <c r="AA813" s="189" t="s">
        <v>3107</v>
      </c>
    </row>
    <row r="814" customFormat="false" ht="15" hidden="false" customHeight="false" outlineLevel="0" collapsed="false">
      <c r="A814" s="0" t="n">
        <v>165</v>
      </c>
      <c r="B814" s="191" t="n">
        <v>46103.8210080268</v>
      </c>
      <c r="C814" s="191" t="n">
        <v>46103.829792749</v>
      </c>
      <c r="D814" s="189" t="s">
        <v>1310</v>
      </c>
      <c r="E814" s="189" t="s">
        <v>1311</v>
      </c>
      <c r="F814" s="189" t="s">
        <v>1311</v>
      </c>
      <c r="G814" s="189" t="s">
        <v>1312</v>
      </c>
      <c r="H814" s="191" t="n">
        <v>46086</v>
      </c>
      <c r="I814" s="189" t="s">
        <v>113</v>
      </c>
      <c r="J814" s="189" t="s">
        <v>295</v>
      </c>
      <c r="K814" s="189" t="s">
        <v>143</v>
      </c>
      <c r="L814" s="189" t="s">
        <v>431</v>
      </c>
      <c r="M814" s="189" t="s">
        <v>1313</v>
      </c>
      <c r="N814" s="189" t="s">
        <v>270</v>
      </c>
      <c r="O814" s="189" t="s">
        <v>107</v>
      </c>
      <c r="P814" s="189" t="s">
        <v>111</v>
      </c>
      <c r="Q814" s="189" t="s">
        <v>145</v>
      </c>
      <c r="R814" s="189" t="s">
        <v>25</v>
      </c>
      <c r="S814" s="189" t="s">
        <v>152</v>
      </c>
      <c r="T814" s="189" t="s">
        <v>264</v>
      </c>
      <c r="U814" s="189" t="s">
        <v>1314</v>
      </c>
      <c r="V814" s="189" t="s">
        <v>167</v>
      </c>
      <c r="W814" s="189" t="s">
        <v>124</v>
      </c>
      <c r="X814" s="189" t="s">
        <v>327</v>
      </c>
      <c r="Y814" s="189" t="s">
        <v>3064</v>
      </c>
      <c r="Z814" s="0" t="n">
        <v>3</v>
      </c>
      <c r="AA814" s="189" t="s">
        <v>3095</v>
      </c>
    </row>
    <row r="815" customFormat="false" ht="15" hidden="false" customHeight="false" outlineLevel="0" collapsed="false">
      <c r="A815" s="0" t="n">
        <v>165</v>
      </c>
      <c r="B815" s="191" t="n">
        <v>46103.8210080268</v>
      </c>
      <c r="C815" s="191" t="n">
        <v>46103.829792749</v>
      </c>
      <c r="D815" s="189" t="s">
        <v>1310</v>
      </c>
      <c r="E815" s="189" t="s">
        <v>1311</v>
      </c>
      <c r="F815" s="189" t="s">
        <v>1311</v>
      </c>
      <c r="G815" s="189" t="s">
        <v>1312</v>
      </c>
      <c r="H815" s="191" t="n">
        <v>46086</v>
      </c>
      <c r="I815" s="189" t="s">
        <v>113</v>
      </c>
      <c r="J815" s="189" t="s">
        <v>295</v>
      </c>
      <c r="K815" s="189" t="s">
        <v>143</v>
      </c>
      <c r="L815" s="189" t="s">
        <v>431</v>
      </c>
      <c r="M815" s="189" t="s">
        <v>1313</v>
      </c>
      <c r="N815" s="189" t="s">
        <v>270</v>
      </c>
      <c r="O815" s="189" t="s">
        <v>107</v>
      </c>
      <c r="P815" s="189" t="s">
        <v>111</v>
      </c>
      <c r="Q815" s="189" t="s">
        <v>145</v>
      </c>
      <c r="R815" s="189" t="s">
        <v>25</v>
      </c>
      <c r="S815" s="189" t="s">
        <v>152</v>
      </c>
      <c r="T815" s="189" t="s">
        <v>264</v>
      </c>
      <c r="U815" s="189" t="s">
        <v>1314</v>
      </c>
      <c r="V815" s="189" t="s">
        <v>167</v>
      </c>
      <c r="W815" s="189" t="s">
        <v>124</v>
      </c>
      <c r="X815" s="189" t="s">
        <v>327</v>
      </c>
      <c r="Y815" s="189" t="s">
        <v>3066</v>
      </c>
      <c r="Z815" s="0" t="n">
        <v>1</v>
      </c>
      <c r="AA815" s="189" t="s">
        <v>3211</v>
      </c>
    </row>
    <row r="816" customFormat="false" ht="15" hidden="false" customHeight="false" outlineLevel="0" collapsed="false">
      <c r="A816" s="0" t="n">
        <v>165</v>
      </c>
      <c r="B816" s="191" t="n">
        <v>46103.8210080268</v>
      </c>
      <c r="C816" s="191" t="n">
        <v>46103.829792749</v>
      </c>
      <c r="D816" s="189" t="s">
        <v>1310</v>
      </c>
      <c r="E816" s="189" t="s">
        <v>1311</v>
      </c>
      <c r="F816" s="189" t="s">
        <v>1311</v>
      </c>
      <c r="G816" s="189" t="s">
        <v>1312</v>
      </c>
      <c r="H816" s="191" t="n">
        <v>46086</v>
      </c>
      <c r="I816" s="189" t="s">
        <v>113</v>
      </c>
      <c r="J816" s="189" t="s">
        <v>295</v>
      </c>
      <c r="K816" s="189" t="s">
        <v>143</v>
      </c>
      <c r="L816" s="189" t="s">
        <v>431</v>
      </c>
      <c r="M816" s="189" t="s">
        <v>1313</v>
      </c>
      <c r="N816" s="189" t="s">
        <v>270</v>
      </c>
      <c r="O816" s="189" t="s">
        <v>107</v>
      </c>
      <c r="P816" s="189" t="s">
        <v>111</v>
      </c>
      <c r="Q816" s="189" t="s">
        <v>145</v>
      </c>
      <c r="R816" s="189" t="s">
        <v>25</v>
      </c>
      <c r="S816" s="189" t="s">
        <v>152</v>
      </c>
      <c r="T816" s="189" t="s">
        <v>264</v>
      </c>
      <c r="U816" s="189" t="s">
        <v>1314</v>
      </c>
      <c r="V816" s="189" t="s">
        <v>167</v>
      </c>
      <c r="W816" s="189" t="s">
        <v>124</v>
      </c>
      <c r="X816" s="189" t="s">
        <v>327</v>
      </c>
      <c r="Y816" s="189" t="s">
        <v>3069</v>
      </c>
      <c r="Z816" s="0" t="n">
        <v>1</v>
      </c>
      <c r="AA816" s="189" t="s">
        <v>3070</v>
      </c>
    </row>
    <row r="817" customFormat="false" ht="15" hidden="false" customHeight="false" outlineLevel="0" collapsed="false">
      <c r="A817" s="0" t="n">
        <v>166</v>
      </c>
      <c r="B817" s="191" t="n">
        <v>46174.8375541051</v>
      </c>
      <c r="C817" s="191" t="n">
        <v>46174.8540355866</v>
      </c>
      <c r="D817" s="189" t="s">
        <v>1315</v>
      </c>
      <c r="E817" s="189" t="s">
        <v>1316</v>
      </c>
      <c r="F817" s="189" t="s">
        <v>1316</v>
      </c>
      <c r="G817" s="189" t="s">
        <v>1317</v>
      </c>
      <c r="H817" s="191" t="n">
        <v>46168</v>
      </c>
      <c r="I817" s="189" t="s">
        <v>113</v>
      </c>
      <c r="J817" s="189" t="s">
        <v>108</v>
      </c>
      <c r="K817" s="189" t="s">
        <v>232</v>
      </c>
      <c r="L817" s="189" t="s">
        <v>184</v>
      </c>
      <c r="M817" s="189" t="s">
        <v>1120</v>
      </c>
      <c r="N817" s="189" t="s">
        <v>1036</v>
      </c>
      <c r="O817" s="189" t="s">
        <v>107</v>
      </c>
      <c r="P817" s="189" t="s">
        <v>111</v>
      </c>
      <c r="Q817" s="189" t="s">
        <v>112</v>
      </c>
      <c r="R817" s="189" t="s">
        <v>24</v>
      </c>
      <c r="S817" s="189" t="s">
        <v>152</v>
      </c>
      <c r="T817" s="189" t="s">
        <v>121</v>
      </c>
      <c r="U817" s="189" t="s">
        <v>122</v>
      </c>
      <c r="V817" s="189" t="s">
        <v>167</v>
      </c>
      <c r="W817" s="189" t="s">
        <v>139</v>
      </c>
      <c r="X817" s="189" t="s">
        <v>223</v>
      </c>
      <c r="Y817" s="189" t="s">
        <v>3064</v>
      </c>
      <c r="Z817" s="0" t="n">
        <v>1</v>
      </c>
      <c r="AA817" s="189" t="s">
        <v>3104</v>
      </c>
    </row>
    <row r="818" customFormat="false" ht="15" hidden="false" customHeight="false" outlineLevel="0" collapsed="false">
      <c r="A818" s="0" t="n">
        <v>166</v>
      </c>
      <c r="B818" s="191" t="n">
        <v>46174.8375541051</v>
      </c>
      <c r="C818" s="191" t="n">
        <v>46174.8540355866</v>
      </c>
      <c r="D818" s="189" t="s">
        <v>1315</v>
      </c>
      <c r="E818" s="189" t="s">
        <v>1316</v>
      </c>
      <c r="F818" s="189" t="s">
        <v>1316</v>
      </c>
      <c r="G818" s="189" t="s">
        <v>1317</v>
      </c>
      <c r="H818" s="191" t="n">
        <v>46168</v>
      </c>
      <c r="I818" s="189" t="s">
        <v>113</v>
      </c>
      <c r="J818" s="189" t="s">
        <v>108</v>
      </c>
      <c r="K818" s="189" t="s">
        <v>232</v>
      </c>
      <c r="L818" s="189" t="s">
        <v>184</v>
      </c>
      <c r="M818" s="189" t="s">
        <v>1120</v>
      </c>
      <c r="N818" s="189" t="s">
        <v>1036</v>
      </c>
      <c r="O818" s="189" t="s">
        <v>107</v>
      </c>
      <c r="P818" s="189" t="s">
        <v>111</v>
      </c>
      <c r="Q818" s="189" t="s">
        <v>112</v>
      </c>
      <c r="R818" s="189" t="s">
        <v>24</v>
      </c>
      <c r="S818" s="189" t="s">
        <v>152</v>
      </c>
      <c r="T818" s="189" t="s">
        <v>121</v>
      </c>
      <c r="U818" s="189" t="s">
        <v>122</v>
      </c>
      <c r="V818" s="189" t="s">
        <v>167</v>
      </c>
      <c r="W818" s="189" t="s">
        <v>139</v>
      </c>
      <c r="X818" s="189" t="s">
        <v>223</v>
      </c>
      <c r="Y818" s="189" t="s">
        <v>3064</v>
      </c>
      <c r="Z818" s="0" t="n">
        <v>2</v>
      </c>
      <c r="AA818" s="189" t="s">
        <v>3120</v>
      </c>
    </row>
    <row r="819" customFormat="false" ht="15" hidden="false" customHeight="false" outlineLevel="0" collapsed="false">
      <c r="A819" s="0" t="n">
        <v>166</v>
      </c>
      <c r="B819" s="191" t="n">
        <v>46174.8375541051</v>
      </c>
      <c r="C819" s="191" t="n">
        <v>46174.8540355866</v>
      </c>
      <c r="D819" s="189" t="s">
        <v>1315</v>
      </c>
      <c r="E819" s="189" t="s">
        <v>1316</v>
      </c>
      <c r="F819" s="189" t="s">
        <v>1316</v>
      </c>
      <c r="G819" s="189" t="s">
        <v>1317</v>
      </c>
      <c r="H819" s="191" t="n">
        <v>46168</v>
      </c>
      <c r="I819" s="189" t="s">
        <v>113</v>
      </c>
      <c r="J819" s="189" t="s">
        <v>108</v>
      </c>
      <c r="K819" s="189" t="s">
        <v>232</v>
      </c>
      <c r="L819" s="189" t="s">
        <v>184</v>
      </c>
      <c r="M819" s="189" t="s">
        <v>1120</v>
      </c>
      <c r="N819" s="189" t="s">
        <v>1036</v>
      </c>
      <c r="O819" s="189" t="s">
        <v>107</v>
      </c>
      <c r="P819" s="189" t="s">
        <v>111</v>
      </c>
      <c r="Q819" s="189" t="s">
        <v>112</v>
      </c>
      <c r="R819" s="189" t="s">
        <v>24</v>
      </c>
      <c r="S819" s="189" t="s">
        <v>152</v>
      </c>
      <c r="T819" s="189" t="s">
        <v>121</v>
      </c>
      <c r="U819" s="189" t="s">
        <v>122</v>
      </c>
      <c r="V819" s="189" t="s">
        <v>167</v>
      </c>
      <c r="W819" s="189" t="s">
        <v>139</v>
      </c>
      <c r="X819" s="189" t="s">
        <v>223</v>
      </c>
      <c r="Y819" s="189" t="s">
        <v>3064</v>
      </c>
      <c r="Z819" s="0" t="n">
        <v>3</v>
      </c>
      <c r="AA819" s="189" t="s">
        <v>3121</v>
      </c>
    </row>
    <row r="820" customFormat="false" ht="15" hidden="false" customHeight="false" outlineLevel="0" collapsed="false">
      <c r="A820" s="0" t="n">
        <v>166</v>
      </c>
      <c r="B820" s="191" t="n">
        <v>46174.8375541051</v>
      </c>
      <c r="C820" s="191" t="n">
        <v>46174.8540355866</v>
      </c>
      <c r="D820" s="189" t="s">
        <v>1315</v>
      </c>
      <c r="E820" s="189" t="s">
        <v>1316</v>
      </c>
      <c r="F820" s="189" t="s">
        <v>1316</v>
      </c>
      <c r="G820" s="189" t="s">
        <v>1317</v>
      </c>
      <c r="H820" s="191" t="n">
        <v>46168</v>
      </c>
      <c r="I820" s="189" t="s">
        <v>113</v>
      </c>
      <c r="J820" s="189" t="s">
        <v>108</v>
      </c>
      <c r="K820" s="189" t="s">
        <v>232</v>
      </c>
      <c r="L820" s="189" t="s">
        <v>184</v>
      </c>
      <c r="M820" s="189" t="s">
        <v>1120</v>
      </c>
      <c r="N820" s="189" t="s">
        <v>1036</v>
      </c>
      <c r="O820" s="189" t="s">
        <v>107</v>
      </c>
      <c r="P820" s="189" t="s">
        <v>111</v>
      </c>
      <c r="Q820" s="189" t="s">
        <v>112</v>
      </c>
      <c r="R820" s="189" t="s">
        <v>24</v>
      </c>
      <c r="S820" s="189" t="s">
        <v>152</v>
      </c>
      <c r="T820" s="189" t="s">
        <v>121</v>
      </c>
      <c r="U820" s="189" t="s">
        <v>122</v>
      </c>
      <c r="V820" s="189" t="s">
        <v>167</v>
      </c>
      <c r="W820" s="189" t="s">
        <v>139</v>
      </c>
      <c r="X820" s="189" t="s">
        <v>223</v>
      </c>
      <c r="Y820" s="189" t="s">
        <v>3066</v>
      </c>
      <c r="Z820" s="0" t="n">
        <v>1</v>
      </c>
      <c r="AA820" s="189" t="s">
        <v>3100</v>
      </c>
    </row>
    <row r="821" customFormat="false" ht="15" hidden="false" customHeight="false" outlineLevel="0" collapsed="false">
      <c r="A821" s="0" t="n">
        <v>166</v>
      </c>
      <c r="B821" s="191" t="n">
        <v>46174.8375541051</v>
      </c>
      <c r="C821" s="191" t="n">
        <v>46174.8540355866</v>
      </c>
      <c r="D821" s="189" t="s">
        <v>1315</v>
      </c>
      <c r="E821" s="189" t="s">
        <v>1316</v>
      </c>
      <c r="F821" s="189" t="s">
        <v>1316</v>
      </c>
      <c r="G821" s="189" t="s">
        <v>1317</v>
      </c>
      <c r="H821" s="191" t="n">
        <v>46168</v>
      </c>
      <c r="I821" s="189" t="s">
        <v>113</v>
      </c>
      <c r="J821" s="189" t="s">
        <v>108</v>
      </c>
      <c r="K821" s="189" t="s">
        <v>232</v>
      </c>
      <c r="L821" s="189" t="s">
        <v>184</v>
      </c>
      <c r="M821" s="189" t="s">
        <v>1120</v>
      </c>
      <c r="N821" s="189" t="s">
        <v>1036</v>
      </c>
      <c r="O821" s="189" t="s">
        <v>107</v>
      </c>
      <c r="P821" s="189" t="s">
        <v>111</v>
      </c>
      <c r="Q821" s="189" t="s">
        <v>112</v>
      </c>
      <c r="R821" s="189" t="s">
        <v>24</v>
      </c>
      <c r="S821" s="189" t="s">
        <v>152</v>
      </c>
      <c r="T821" s="189" t="s">
        <v>121</v>
      </c>
      <c r="U821" s="189" t="s">
        <v>122</v>
      </c>
      <c r="V821" s="189" t="s">
        <v>167</v>
      </c>
      <c r="W821" s="189" t="s">
        <v>139</v>
      </c>
      <c r="X821" s="189" t="s">
        <v>223</v>
      </c>
      <c r="Y821" s="189" t="s">
        <v>3066</v>
      </c>
      <c r="Z821" s="0" t="n">
        <v>2</v>
      </c>
      <c r="AA821" s="189" t="s">
        <v>3099</v>
      </c>
    </row>
    <row r="822" customFormat="false" ht="15" hidden="false" customHeight="false" outlineLevel="0" collapsed="false">
      <c r="A822" s="0" t="n">
        <v>166</v>
      </c>
      <c r="B822" s="191" t="n">
        <v>46174.8375541051</v>
      </c>
      <c r="C822" s="191" t="n">
        <v>46174.8540355866</v>
      </c>
      <c r="D822" s="189" t="s">
        <v>1315</v>
      </c>
      <c r="E822" s="189" t="s">
        <v>1316</v>
      </c>
      <c r="F822" s="189" t="s">
        <v>1316</v>
      </c>
      <c r="G822" s="189" t="s">
        <v>1317</v>
      </c>
      <c r="H822" s="191" t="n">
        <v>46168</v>
      </c>
      <c r="I822" s="189" t="s">
        <v>113</v>
      </c>
      <c r="J822" s="189" t="s">
        <v>108</v>
      </c>
      <c r="K822" s="189" t="s">
        <v>232</v>
      </c>
      <c r="L822" s="189" t="s">
        <v>184</v>
      </c>
      <c r="M822" s="189" t="s">
        <v>1120</v>
      </c>
      <c r="N822" s="189" t="s">
        <v>1036</v>
      </c>
      <c r="O822" s="189" t="s">
        <v>107</v>
      </c>
      <c r="P822" s="189" t="s">
        <v>111</v>
      </c>
      <c r="Q822" s="189" t="s">
        <v>112</v>
      </c>
      <c r="R822" s="189" t="s">
        <v>24</v>
      </c>
      <c r="S822" s="189" t="s">
        <v>152</v>
      </c>
      <c r="T822" s="189" t="s">
        <v>121</v>
      </c>
      <c r="U822" s="189" t="s">
        <v>122</v>
      </c>
      <c r="V822" s="189" t="s">
        <v>167</v>
      </c>
      <c r="W822" s="189" t="s">
        <v>139</v>
      </c>
      <c r="X822" s="189" t="s">
        <v>223</v>
      </c>
      <c r="Y822" s="189" t="s">
        <v>3069</v>
      </c>
      <c r="Z822" s="0" t="n">
        <v>1</v>
      </c>
      <c r="AA822" s="189" t="s">
        <v>3101</v>
      </c>
    </row>
    <row r="823" customFormat="false" ht="15" hidden="false" customHeight="false" outlineLevel="0" collapsed="false">
      <c r="A823" s="0" t="n">
        <v>166</v>
      </c>
      <c r="B823" s="191" t="n">
        <v>46174.8375541051</v>
      </c>
      <c r="C823" s="191" t="n">
        <v>46174.8540355866</v>
      </c>
      <c r="D823" s="189" t="s">
        <v>1315</v>
      </c>
      <c r="E823" s="189" t="s">
        <v>1316</v>
      </c>
      <c r="F823" s="189" t="s">
        <v>1316</v>
      </c>
      <c r="G823" s="189" t="s">
        <v>1317</v>
      </c>
      <c r="H823" s="191" t="n">
        <v>46168</v>
      </c>
      <c r="I823" s="189" t="s">
        <v>113</v>
      </c>
      <c r="J823" s="189" t="s">
        <v>108</v>
      </c>
      <c r="K823" s="189" t="s">
        <v>232</v>
      </c>
      <c r="L823" s="189" t="s">
        <v>184</v>
      </c>
      <c r="M823" s="189" t="s">
        <v>1120</v>
      </c>
      <c r="N823" s="189" t="s">
        <v>1036</v>
      </c>
      <c r="O823" s="189" t="s">
        <v>107</v>
      </c>
      <c r="P823" s="189" t="s">
        <v>111</v>
      </c>
      <c r="Q823" s="189" t="s">
        <v>112</v>
      </c>
      <c r="R823" s="189" t="s">
        <v>24</v>
      </c>
      <c r="S823" s="189" t="s">
        <v>152</v>
      </c>
      <c r="T823" s="189" t="s">
        <v>121</v>
      </c>
      <c r="U823" s="189" t="s">
        <v>122</v>
      </c>
      <c r="V823" s="189" t="s">
        <v>167</v>
      </c>
      <c r="W823" s="189" t="s">
        <v>139</v>
      </c>
      <c r="X823" s="189" t="s">
        <v>223</v>
      </c>
      <c r="Y823" s="189" t="s">
        <v>3069</v>
      </c>
      <c r="Z823" s="0" t="n">
        <v>2</v>
      </c>
      <c r="AA823" s="189" t="s">
        <v>3150</v>
      </c>
    </row>
    <row r="824" customFormat="false" ht="15" hidden="false" customHeight="false" outlineLevel="0" collapsed="false">
      <c r="A824" s="0" t="n">
        <v>167</v>
      </c>
      <c r="B824" s="191" t="n">
        <v>46082.5732433519</v>
      </c>
      <c r="C824" s="191" t="n">
        <v>46082.5794702037</v>
      </c>
      <c r="D824" s="189" t="s">
        <v>1320</v>
      </c>
      <c r="E824" s="189" t="s">
        <v>1321</v>
      </c>
      <c r="F824" s="189" t="s">
        <v>1321</v>
      </c>
      <c r="G824" s="189" t="s">
        <v>1322</v>
      </c>
      <c r="H824" s="191" t="n">
        <v>46068</v>
      </c>
      <c r="I824" s="189" t="s">
        <v>113</v>
      </c>
      <c r="J824" s="189" t="s">
        <v>108</v>
      </c>
      <c r="K824" s="189" t="s">
        <v>196</v>
      </c>
      <c r="L824" s="189" t="s">
        <v>184</v>
      </c>
      <c r="M824" s="189" t="s">
        <v>484</v>
      </c>
      <c r="N824" s="189" t="s">
        <v>1323</v>
      </c>
      <c r="O824" s="189" t="s">
        <v>157</v>
      </c>
      <c r="P824" s="189" t="s">
        <v>111</v>
      </c>
      <c r="Q824" s="189" t="s">
        <v>145</v>
      </c>
      <c r="R824" s="189" t="s">
        <v>22</v>
      </c>
      <c r="S824" s="189" t="s">
        <v>152</v>
      </c>
      <c r="T824" s="189" t="s">
        <v>121</v>
      </c>
      <c r="U824" s="189" t="s">
        <v>1326</v>
      </c>
      <c r="V824" s="189" t="s">
        <v>123</v>
      </c>
      <c r="W824" s="189" t="s">
        <v>168</v>
      </c>
      <c r="X824" s="189" t="s">
        <v>339</v>
      </c>
      <c r="Y824" s="189" t="s">
        <v>3064</v>
      </c>
      <c r="Z824" s="0" t="n">
        <v>1</v>
      </c>
      <c r="AA824" s="189" t="s">
        <v>3141</v>
      </c>
    </row>
    <row r="825" customFormat="false" ht="15" hidden="false" customHeight="false" outlineLevel="0" collapsed="false">
      <c r="A825" s="0" t="n">
        <v>167</v>
      </c>
      <c r="B825" s="191" t="n">
        <v>46082.5732433519</v>
      </c>
      <c r="C825" s="191" t="n">
        <v>46082.5794702037</v>
      </c>
      <c r="D825" s="189" t="s">
        <v>1320</v>
      </c>
      <c r="E825" s="189" t="s">
        <v>1321</v>
      </c>
      <c r="F825" s="189" t="s">
        <v>1321</v>
      </c>
      <c r="G825" s="189" t="s">
        <v>1322</v>
      </c>
      <c r="H825" s="191" t="n">
        <v>46068</v>
      </c>
      <c r="I825" s="189" t="s">
        <v>113</v>
      </c>
      <c r="J825" s="189" t="s">
        <v>108</v>
      </c>
      <c r="K825" s="189" t="s">
        <v>196</v>
      </c>
      <c r="L825" s="189" t="s">
        <v>184</v>
      </c>
      <c r="M825" s="189" t="s">
        <v>484</v>
      </c>
      <c r="N825" s="189" t="s">
        <v>1323</v>
      </c>
      <c r="O825" s="189" t="s">
        <v>157</v>
      </c>
      <c r="P825" s="189" t="s">
        <v>111</v>
      </c>
      <c r="Q825" s="189" t="s">
        <v>145</v>
      </c>
      <c r="R825" s="189" t="s">
        <v>22</v>
      </c>
      <c r="S825" s="189" t="s">
        <v>152</v>
      </c>
      <c r="T825" s="189" t="s">
        <v>121</v>
      </c>
      <c r="U825" s="189" t="s">
        <v>1326</v>
      </c>
      <c r="V825" s="189" t="s">
        <v>123</v>
      </c>
      <c r="W825" s="189" t="s">
        <v>168</v>
      </c>
      <c r="X825" s="189" t="s">
        <v>339</v>
      </c>
      <c r="Y825" s="189" t="s">
        <v>3064</v>
      </c>
      <c r="Z825" s="0" t="n">
        <v>2</v>
      </c>
      <c r="AA825" s="189" t="s">
        <v>3168</v>
      </c>
    </row>
    <row r="826" customFormat="false" ht="15" hidden="false" customHeight="false" outlineLevel="0" collapsed="false">
      <c r="A826" s="0" t="n">
        <v>167</v>
      </c>
      <c r="B826" s="191" t="n">
        <v>46082.5732433519</v>
      </c>
      <c r="C826" s="191" t="n">
        <v>46082.5794702037</v>
      </c>
      <c r="D826" s="189" t="s">
        <v>1320</v>
      </c>
      <c r="E826" s="189" t="s">
        <v>1321</v>
      </c>
      <c r="F826" s="189" t="s">
        <v>1321</v>
      </c>
      <c r="G826" s="189" t="s">
        <v>1322</v>
      </c>
      <c r="H826" s="191" t="n">
        <v>46068</v>
      </c>
      <c r="I826" s="189" t="s">
        <v>113</v>
      </c>
      <c r="J826" s="189" t="s">
        <v>108</v>
      </c>
      <c r="K826" s="189" t="s">
        <v>196</v>
      </c>
      <c r="L826" s="189" t="s">
        <v>184</v>
      </c>
      <c r="M826" s="189" t="s">
        <v>484</v>
      </c>
      <c r="N826" s="189" t="s">
        <v>1323</v>
      </c>
      <c r="O826" s="189" t="s">
        <v>157</v>
      </c>
      <c r="P826" s="189" t="s">
        <v>111</v>
      </c>
      <c r="Q826" s="189" t="s">
        <v>145</v>
      </c>
      <c r="R826" s="189" t="s">
        <v>22</v>
      </c>
      <c r="S826" s="189" t="s">
        <v>152</v>
      </c>
      <c r="T826" s="189" t="s">
        <v>121</v>
      </c>
      <c r="U826" s="189" t="s">
        <v>1326</v>
      </c>
      <c r="V826" s="189" t="s">
        <v>123</v>
      </c>
      <c r="W826" s="189" t="s">
        <v>168</v>
      </c>
      <c r="X826" s="189" t="s">
        <v>339</v>
      </c>
      <c r="Y826" s="189" t="s">
        <v>3064</v>
      </c>
      <c r="Z826" s="0" t="n">
        <v>3</v>
      </c>
      <c r="AA826" s="189" t="s">
        <v>3216</v>
      </c>
    </row>
    <row r="827" customFormat="false" ht="15" hidden="false" customHeight="false" outlineLevel="0" collapsed="false">
      <c r="A827" s="0" t="n">
        <v>167</v>
      </c>
      <c r="B827" s="191" t="n">
        <v>46082.5732433519</v>
      </c>
      <c r="C827" s="191" t="n">
        <v>46082.5794702037</v>
      </c>
      <c r="D827" s="189" t="s">
        <v>1320</v>
      </c>
      <c r="E827" s="189" t="s">
        <v>1321</v>
      </c>
      <c r="F827" s="189" t="s">
        <v>1321</v>
      </c>
      <c r="G827" s="189" t="s">
        <v>1322</v>
      </c>
      <c r="H827" s="191" t="n">
        <v>46068</v>
      </c>
      <c r="I827" s="189" t="s">
        <v>113</v>
      </c>
      <c r="J827" s="189" t="s">
        <v>108</v>
      </c>
      <c r="K827" s="189" t="s">
        <v>196</v>
      </c>
      <c r="L827" s="189" t="s">
        <v>184</v>
      </c>
      <c r="M827" s="189" t="s">
        <v>484</v>
      </c>
      <c r="N827" s="189" t="s">
        <v>1323</v>
      </c>
      <c r="O827" s="189" t="s">
        <v>157</v>
      </c>
      <c r="P827" s="189" t="s">
        <v>111</v>
      </c>
      <c r="Q827" s="189" t="s">
        <v>145</v>
      </c>
      <c r="R827" s="189" t="s">
        <v>22</v>
      </c>
      <c r="S827" s="189" t="s">
        <v>152</v>
      </c>
      <c r="T827" s="189" t="s">
        <v>121</v>
      </c>
      <c r="U827" s="189" t="s">
        <v>1326</v>
      </c>
      <c r="V827" s="189" t="s">
        <v>123</v>
      </c>
      <c r="W827" s="189" t="s">
        <v>168</v>
      </c>
      <c r="X827" s="189" t="s">
        <v>339</v>
      </c>
      <c r="Y827" s="189" t="s">
        <v>3066</v>
      </c>
      <c r="Z827" s="0" t="n">
        <v>1</v>
      </c>
      <c r="AA827" s="189" t="s">
        <v>3243</v>
      </c>
    </row>
    <row r="828" customFormat="false" ht="15" hidden="false" customHeight="false" outlineLevel="0" collapsed="false">
      <c r="A828" s="0" t="n">
        <v>167</v>
      </c>
      <c r="B828" s="191" t="n">
        <v>46082.5732433519</v>
      </c>
      <c r="C828" s="191" t="n">
        <v>46082.5794702037</v>
      </c>
      <c r="D828" s="189" t="s">
        <v>1320</v>
      </c>
      <c r="E828" s="189" t="s">
        <v>1321</v>
      </c>
      <c r="F828" s="189" t="s">
        <v>1321</v>
      </c>
      <c r="G828" s="189" t="s">
        <v>1322</v>
      </c>
      <c r="H828" s="191" t="n">
        <v>46068</v>
      </c>
      <c r="I828" s="189" t="s">
        <v>113</v>
      </c>
      <c r="J828" s="189" t="s">
        <v>108</v>
      </c>
      <c r="K828" s="189" t="s">
        <v>196</v>
      </c>
      <c r="L828" s="189" t="s">
        <v>184</v>
      </c>
      <c r="M828" s="189" t="s">
        <v>484</v>
      </c>
      <c r="N828" s="189" t="s">
        <v>1323</v>
      </c>
      <c r="O828" s="189" t="s">
        <v>157</v>
      </c>
      <c r="P828" s="189" t="s">
        <v>111</v>
      </c>
      <c r="Q828" s="189" t="s">
        <v>145</v>
      </c>
      <c r="R828" s="189" t="s">
        <v>22</v>
      </c>
      <c r="S828" s="189" t="s">
        <v>152</v>
      </c>
      <c r="T828" s="189" t="s">
        <v>121</v>
      </c>
      <c r="U828" s="189" t="s">
        <v>1326</v>
      </c>
      <c r="V828" s="189" t="s">
        <v>123</v>
      </c>
      <c r="W828" s="189" t="s">
        <v>168</v>
      </c>
      <c r="X828" s="189" t="s">
        <v>339</v>
      </c>
      <c r="Y828" s="189" t="s">
        <v>3069</v>
      </c>
      <c r="Z828" s="0" t="n">
        <v>1</v>
      </c>
      <c r="AA828" s="189" t="s">
        <v>3235</v>
      </c>
    </row>
    <row r="829" customFormat="false" ht="15" hidden="false" customHeight="false" outlineLevel="0" collapsed="false">
      <c r="A829" s="0" t="n">
        <v>167</v>
      </c>
      <c r="B829" s="191" t="n">
        <v>46082.5732433519</v>
      </c>
      <c r="C829" s="191" t="n">
        <v>46082.5794702037</v>
      </c>
      <c r="D829" s="189" t="s">
        <v>1320</v>
      </c>
      <c r="E829" s="189" t="s">
        <v>1321</v>
      </c>
      <c r="F829" s="189" t="s">
        <v>1321</v>
      </c>
      <c r="G829" s="189" t="s">
        <v>1322</v>
      </c>
      <c r="H829" s="191" t="n">
        <v>46068</v>
      </c>
      <c r="I829" s="189" t="s">
        <v>113</v>
      </c>
      <c r="J829" s="189" t="s">
        <v>108</v>
      </c>
      <c r="K829" s="189" t="s">
        <v>196</v>
      </c>
      <c r="L829" s="189" t="s">
        <v>184</v>
      </c>
      <c r="M829" s="189" t="s">
        <v>484</v>
      </c>
      <c r="N829" s="189" t="s">
        <v>1323</v>
      </c>
      <c r="O829" s="189" t="s">
        <v>157</v>
      </c>
      <c r="P829" s="189" t="s">
        <v>111</v>
      </c>
      <c r="Q829" s="189" t="s">
        <v>145</v>
      </c>
      <c r="R829" s="189" t="s">
        <v>22</v>
      </c>
      <c r="S829" s="189" t="s">
        <v>152</v>
      </c>
      <c r="T829" s="189" t="s">
        <v>121</v>
      </c>
      <c r="U829" s="189" t="s">
        <v>1326</v>
      </c>
      <c r="V829" s="189" t="s">
        <v>123</v>
      </c>
      <c r="W829" s="189" t="s">
        <v>168</v>
      </c>
      <c r="X829" s="189" t="s">
        <v>339</v>
      </c>
      <c r="Y829" s="189" t="s">
        <v>3069</v>
      </c>
      <c r="Z829" s="0" t="n">
        <v>2</v>
      </c>
      <c r="AA829" s="189" t="s">
        <v>3217</v>
      </c>
    </row>
    <row r="830" customFormat="false" ht="15" hidden="false" customHeight="false" outlineLevel="0" collapsed="false">
      <c r="A830" s="0" t="n">
        <v>168</v>
      </c>
      <c r="B830" s="191" t="n">
        <v>46186.664994283</v>
      </c>
      <c r="C830" s="191" t="n">
        <v>46186.67359382</v>
      </c>
      <c r="D830" s="189" t="s">
        <v>1327</v>
      </c>
      <c r="E830" s="189" t="s">
        <v>1328</v>
      </c>
      <c r="F830" s="189" t="s">
        <v>1328</v>
      </c>
      <c r="G830" s="189" t="s">
        <v>1329</v>
      </c>
      <c r="H830" s="191" t="n">
        <v>46172</v>
      </c>
      <c r="I830" s="189" t="s">
        <v>325</v>
      </c>
      <c r="J830" s="189" t="s">
        <v>108</v>
      </c>
      <c r="K830" s="189" t="s">
        <v>364</v>
      </c>
      <c r="L830" s="189" t="s">
        <v>296</v>
      </c>
      <c r="M830" s="189" t="s">
        <v>566</v>
      </c>
      <c r="N830" s="189" t="s">
        <v>1255</v>
      </c>
      <c r="O830" s="189" t="s">
        <v>107</v>
      </c>
      <c r="P830" s="189" t="s">
        <v>131</v>
      </c>
      <c r="Q830" s="189" t="s">
        <v>112</v>
      </c>
      <c r="R830" s="189" t="s">
        <v>24</v>
      </c>
      <c r="S830" s="189" t="s">
        <v>152</v>
      </c>
      <c r="T830" s="189" t="s">
        <v>121</v>
      </c>
      <c r="V830" s="189" t="s">
        <v>167</v>
      </c>
      <c r="W830" s="189" t="s">
        <v>168</v>
      </c>
      <c r="X830" s="189" t="s">
        <v>19</v>
      </c>
      <c r="Y830" s="189" t="s">
        <v>3172</v>
      </c>
      <c r="Z830" s="0" t="n">
        <v>1</v>
      </c>
      <c r="AA830" s="189" t="s">
        <v>880</v>
      </c>
    </row>
    <row r="831" customFormat="false" ht="15" hidden="false" customHeight="false" outlineLevel="0" collapsed="false">
      <c r="A831" s="0" t="n">
        <v>169</v>
      </c>
      <c r="B831" s="191" t="n">
        <v>46132.1106159314</v>
      </c>
      <c r="C831" s="191" t="n">
        <v>46132.1273751907</v>
      </c>
      <c r="D831" s="189" t="s">
        <v>1330</v>
      </c>
      <c r="E831" s="189" t="s">
        <v>1331</v>
      </c>
      <c r="F831" s="189" t="s">
        <v>1331</v>
      </c>
      <c r="G831" s="189" t="s">
        <v>1332</v>
      </c>
      <c r="H831" s="191" t="n">
        <v>46129</v>
      </c>
      <c r="I831" s="189" t="s">
        <v>1333</v>
      </c>
      <c r="J831" s="189" t="s">
        <v>295</v>
      </c>
      <c r="K831" s="189" t="s">
        <v>462</v>
      </c>
      <c r="L831" s="189" t="s">
        <v>233</v>
      </c>
      <c r="M831" s="189" t="s">
        <v>515</v>
      </c>
      <c r="N831" s="189" t="s">
        <v>259</v>
      </c>
      <c r="O831" s="189" t="s">
        <v>107</v>
      </c>
      <c r="P831" s="189" t="s">
        <v>111</v>
      </c>
      <c r="Q831" s="189" t="s">
        <v>145</v>
      </c>
      <c r="R831" s="189" t="s">
        <v>22</v>
      </c>
      <c r="S831" s="189" t="s">
        <v>152</v>
      </c>
      <c r="T831" s="189" t="s">
        <v>352</v>
      </c>
      <c r="V831" s="189" t="s">
        <v>192</v>
      </c>
      <c r="W831" s="189" t="s">
        <v>124</v>
      </c>
      <c r="X831" s="189" t="s">
        <v>339</v>
      </c>
      <c r="Y831" s="189" t="s">
        <v>3064</v>
      </c>
      <c r="Z831" s="0" t="n">
        <v>1</v>
      </c>
      <c r="AA831" s="189" t="s">
        <v>3199</v>
      </c>
    </row>
    <row r="832" customFormat="false" ht="15" hidden="false" customHeight="false" outlineLevel="0" collapsed="false">
      <c r="A832" s="0" t="n">
        <v>169</v>
      </c>
      <c r="B832" s="191" t="n">
        <v>46132.1106159314</v>
      </c>
      <c r="C832" s="191" t="n">
        <v>46132.1273751907</v>
      </c>
      <c r="D832" s="189" t="s">
        <v>1330</v>
      </c>
      <c r="E832" s="189" t="s">
        <v>1331</v>
      </c>
      <c r="F832" s="189" t="s">
        <v>1331</v>
      </c>
      <c r="G832" s="189" t="s">
        <v>1332</v>
      </c>
      <c r="H832" s="191" t="n">
        <v>46129</v>
      </c>
      <c r="I832" s="189" t="s">
        <v>1333</v>
      </c>
      <c r="J832" s="189" t="s">
        <v>295</v>
      </c>
      <c r="K832" s="189" t="s">
        <v>462</v>
      </c>
      <c r="L832" s="189" t="s">
        <v>233</v>
      </c>
      <c r="M832" s="189" t="s">
        <v>515</v>
      </c>
      <c r="N832" s="189" t="s">
        <v>259</v>
      </c>
      <c r="O832" s="189" t="s">
        <v>107</v>
      </c>
      <c r="P832" s="189" t="s">
        <v>111</v>
      </c>
      <c r="Q832" s="189" t="s">
        <v>145</v>
      </c>
      <c r="R832" s="189" t="s">
        <v>22</v>
      </c>
      <c r="S832" s="189" t="s">
        <v>152</v>
      </c>
      <c r="T832" s="189" t="s">
        <v>352</v>
      </c>
      <c r="V832" s="189" t="s">
        <v>192</v>
      </c>
      <c r="W832" s="189" t="s">
        <v>124</v>
      </c>
      <c r="X832" s="189" t="s">
        <v>339</v>
      </c>
      <c r="Y832" s="189" t="s">
        <v>3066</v>
      </c>
      <c r="Z832" s="0" t="n">
        <v>1</v>
      </c>
      <c r="AA832" s="189" t="s">
        <v>3142</v>
      </c>
    </row>
    <row r="833" customFormat="false" ht="15" hidden="false" customHeight="false" outlineLevel="0" collapsed="false">
      <c r="A833" s="0" t="n">
        <v>169</v>
      </c>
      <c r="B833" s="191" t="n">
        <v>46132.1106159314</v>
      </c>
      <c r="C833" s="191" t="n">
        <v>46132.1273751907</v>
      </c>
      <c r="D833" s="189" t="s">
        <v>1330</v>
      </c>
      <c r="E833" s="189" t="s">
        <v>1331</v>
      </c>
      <c r="F833" s="189" t="s">
        <v>1331</v>
      </c>
      <c r="G833" s="189" t="s">
        <v>1332</v>
      </c>
      <c r="H833" s="191" t="n">
        <v>46129</v>
      </c>
      <c r="I833" s="189" t="s">
        <v>1333</v>
      </c>
      <c r="J833" s="189" t="s">
        <v>295</v>
      </c>
      <c r="K833" s="189" t="s">
        <v>462</v>
      </c>
      <c r="L833" s="189" t="s">
        <v>233</v>
      </c>
      <c r="M833" s="189" t="s">
        <v>515</v>
      </c>
      <c r="N833" s="189" t="s">
        <v>259</v>
      </c>
      <c r="O833" s="189" t="s">
        <v>107</v>
      </c>
      <c r="P833" s="189" t="s">
        <v>111</v>
      </c>
      <c r="Q833" s="189" t="s">
        <v>145</v>
      </c>
      <c r="R833" s="189" t="s">
        <v>22</v>
      </c>
      <c r="S833" s="189" t="s">
        <v>152</v>
      </c>
      <c r="T833" s="189" t="s">
        <v>352</v>
      </c>
      <c r="V833" s="189" t="s">
        <v>192</v>
      </c>
      <c r="W833" s="189" t="s">
        <v>124</v>
      </c>
      <c r="X833" s="189" t="s">
        <v>339</v>
      </c>
      <c r="Y833" s="189" t="s">
        <v>3066</v>
      </c>
      <c r="Z833" s="0" t="n">
        <v>2</v>
      </c>
      <c r="AA833" s="189" t="s">
        <v>3260</v>
      </c>
    </row>
    <row r="834" customFormat="false" ht="15" hidden="false" customHeight="false" outlineLevel="0" collapsed="false">
      <c r="A834" s="0" t="n">
        <v>169</v>
      </c>
      <c r="B834" s="191" t="n">
        <v>46132.1106159314</v>
      </c>
      <c r="C834" s="191" t="n">
        <v>46132.1273751907</v>
      </c>
      <c r="D834" s="189" t="s">
        <v>1330</v>
      </c>
      <c r="E834" s="189" t="s">
        <v>1331</v>
      </c>
      <c r="F834" s="189" t="s">
        <v>1331</v>
      </c>
      <c r="G834" s="189" t="s">
        <v>1332</v>
      </c>
      <c r="H834" s="191" t="n">
        <v>46129</v>
      </c>
      <c r="I834" s="189" t="s">
        <v>1333</v>
      </c>
      <c r="J834" s="189" t="s">
        <v>295</v>
      </c>
      <c r="K834" s="189" t="s">
        <v>462</v>
      </c>
      <c r="L834" s="189" t="s">
        <v>233</v>
      </c>
      <c r="M834" s="189" t="s">
        <v>515</v>
      </c>
      <c r="N834" s="189" t="s">
        <v>259</v>
      </c>
      <c r="O834" s="189" t="s">
        <v>107</v>
      </c>
      <c r="P834" s="189" t="s">
        <v>111</v>
      </c>
      <c r="Q834" s="189" t="s">
        <v>145</v>
      </c>
      <c r="R834" s="189" t="s">
        <v>22</v>
      </c>
      <c r="S834" s="189" t="s">
        <v>152</v>
      </c>
      <c r="T834" s="189" t="s">
        <v>352</v>
      </c>
      <c r="V834" s="189" t="s">
        <v>192</v>
      </c>
      <c r="W834" s="189" t="s">
        <v>124</v>
      </c>
      <c r="X834" s="189" t="s">
        <v>339</v>
      </c>
      <c r="Y834" s="189" t="s">
        <v>3069</v>
      </c>
      <c r="Z834" s="0" t="n">
        <v>1</v>
      </c>
      <c r="AA834" s="189" t="s">
        <v>3217</v>
      </c>
    </row>
    <row r="835" customFormat="false" ht="15" hidden="false" customHeight="false" outlineLevel="0" collapsed="false">
      <c r="A835" s="0" t="n">
        <v>170</v>
      </c>
      <c r="B835" s="191" t="n">
        <v>46116.9183883594</v>
      </c>
      <c r="C835" s="191" t="n">
        <v>46116.924580489</v>
      </c>
      <c r="D835" s="189" t="s">
        <v>1336</v>
      </c>
      <c r="E835" s="189" t="s">
        <v>1337</v>
      </c>
      <c r="F835" s="189" t="s">
        <v>1337</v>
      </c>
      <c r="G835" s="189" t="s">
        <v>1338</v>
      </c>
      <c r="H835" s="191" t="n">
        <v>46108</v>
      </c>
      <c r="I835" s="189" t="s">
        <v>113</v>
      </c>
      <c r="J835" s="189" t="s">
        <v>108</v>
      </c>
      <c r="K835" s="189" t="s">
        <v>173</v>
      </c>
      <c r="L835" s="189" t="s">
        <v>389</v>
      </c>
      <c r="M835" s="189" t="s">
        <v>279</v>
      </c>
      <c r="N835" s="189" t="s">
        <v>1224</v>
      </c>
      <c r="O835" s="189" t="s">
        <v>107</v>
      </c>
      <c r="P835" s="189" t="s">
        <v>111</v>
      </c>
      <c r="Q835" s="189" t="s">
        <v>112</v>
      </c>
      <c r="R835" s="189" t="s">
        <v>21</v>
      </c>
      <c r="S835" s="189" t="s">
        <v>152</v>
      </c>
      <c r="T835" s="189" t="s">
        <v>180</v>
      </c>
      <c r="U835" s="189" t="s">
        <v>122</v>
      </c>
      <c r="V835" s="189" t="s">
        <v>192</v>
      </c>
      <c r="W835" s="189" t="s">
        <v>168</v>
      </c>
      <c r="X835" s="189" t="s">
        <v>457</v>
      </c>
      <c r="Y835" s="189" t="s">
        <v>3064</v>
      </c>
      <c r="Z835" s="0" t="n">
        <v>1</v>
      </c>
      <c r="AA835" s="189" t="s">
        <v>3107</v>
      </c>
    </row>
    <row r="836" customFormat="false" ht="15" hidden="false" customHeight="false" outlineLevel="0" collapsed="false">
      <c r="A836" s="0" t="n">
        <v>170</v>
      </c>
      <c r="B836" s="191" t="n">
        <v>46116.9183883594</v>
      </c>
      <c r="C836" s="191" t="n">
        <v>46116.924580489</v>
      </c>
      <c r="D836" s="189" t="s">
        <v>1336</v>
      </c>
      <c r="E836" s="189" t="s">
        <v>1337</v>
      </c>
      <c r="F836" s="189" t="s">
        <v>1337</v>
      </c>
      <c r="G836" s="189" t="s">
        <v>1338</v>
      </c>
      <c r="H836" s="191" t="n">
        <v>46108</v>
      </c>
      <c r="I836" s="189" t="s">
        <v>113</v>
      </c>
      <c r="J836" s="189" t="s">
        <v>108</v>
      </c>
      <c r="K836" s="189" t="s">
        <v>173</v>
      </c>
      <c r="L836" s="189" t="s">
        <v>389</v>
      </c>
      <c r="M836" s="189" t="s">
        <v>279</v>
      </c>
      <c r="N836" s="189" t="s">
        <v>1224</v>
      </c>
      <c r="O836" s="189" t="s">
        <v>107</v>
      </c>
      <c r="P836" s="189" t="s">
        <v>111</v>
      </c>
      <c r="Q836" s="189" t="s">
        <v>112</v>
      </c>
      <c r="R836" s="189" t="s">
        <v>21</v>
      </c>
      <c r="S836" s="189" t="s">
        <v>152</v>
      </c>
      <c r="T836" s="189" t="s">
        <v>180</v>
      </c>
      <c r="U836" s="189" t="s">
        <v>122</v>
      </c>
      <c r="V836" s="189" t="s">
        <v>192</v>
      </c>
      <c r="W836" s="189" t="s">
        <v>168</v>
      </c>
      <c r="X836" s="189" t="s">
        <v>457</v>
      </c>
      <c r="Y836" s="189" t="s">
        <v>3066</v>
      </c>
      <c r="Z836" s="0" t="n">
        <v>1</v>
      </c>
      <c r="AA836" s="189" t="s">
        <v>3211</v>
      </c>
    </row>
    <row r="837" customFormat="false" ht="15" hidden="false" customHeight="false" outlineLevel="0" collapsed="false">
      <c r="A837" s="0" t="n">
        <v>170</v>
      </c>
      <c r="B837" s="191" t="n">
        <v>46116.9183883594</v>
      </c>
      <c r="C837" s="191" t="n">
        <v>46116.924580489</v>
      </c>
      <c r="D837" s="189" t="s">
        <v>1336</v>
      </c>
      <c r="E837" s="189" t="s">
        <v>1337</v>
      </c>
      <c r="F837" s="189" t="s">
        <v>1337</v>
      </c>
      <c r="G837" s="189" t="s">
        <v>1338</v>
      </c>
      <c r="H837" s="191" t="n">
        <v>46108</v>
      </c>
      <c r="I837" s="189" t="s">
        <v>113</v>
      </c>
      <c r="J837" s="189" t="s">
        <v>108</v>
      </c>
      <c r="K837" s="189" t="s">
        <v>173</v>
      </c>
      <c r="L837" s="189" t="s">
        <v>389</v>
      </c>
      <c r="M837" s="189" t="s">
        <v>279</v>
      </c>
      <c r="N837" s="189" t="s">
        <v>1224</v>
      </c>
      <c r="O837" s="189" t="s">
        <v>107</v>
      </c>
      <c r="P837" s="189" t="s">
        <v>111</v>
      </c>
      <c r="Q837" s="189" t="s">
        <v>112</v>
      </c>
      <c r="R837" s="189" t="s">
        <v>21</v>
      </c>
      <c r="S837" s="189" t="s">
        <v>152</v>
      </c>
      <c r="T837" s="189" t="s">
        <v>180</v>
      </c>
      <c r="U837" s="189" t="s">
        <v>122</v>
      </c>
      <c r="V837" s="189" t="s">
        <v>192</v>
      </c>
      <c r="W837" s="189" t="s">
        <v>168</v>
      </c>
      <c r="X837" s="189" t="s">
        <v>457</v>
      </c>
      <c r="Y837" s="189" t="s">
        <v>3066</v>
      </c>
      <c r="Z837" s="0" t="n">
        <v>2</v>
      </c>
      <c r="AA837" s="189" t="s">
        <v>3067</v>
      </c>
    </row>
    <row r="838" customFormat="false" ht="15" hidden="false" customHeight="false" outlineLevel="0" collapsed="false">
      <c r="A838" s="0" t="n">
        <v>170</v>
      </c>
      <c r="B838" s="191" t="n">
        <v>46116.9183883594</v>
      </c>
      <c r="C838" s="191" t="n">
        <v>46116.924580489</v>
      </c>
      <c r="D838" s="189" t="s">
        <v>1336</v>
      </c>
      <c r="E838" s="189" t="s">
        <v>1337</v>
      </c>
      <c r="F838" s="189" t="s">
        <v>1337</v>
      </c>
      <c r="G838" s="189" t="s">
        <v>1338</v>
      </c>
      <c r="H838" s="191" t="n">
        <v>46108</v>
      </c>
      <c r="I838" s="189" t="s">
        <v>113</v>
      </c>
      <c r="J838" s="189" t="s">
        <v>108</v>
      </c>
      <c r="K838" s="189" t="s">
        <v>173</v>
      </c>
      <c r="L838" s="189" t="s">
        <v>389</v>
      </c>
      <c r="M838" s="189" t="s">
        <v>279</v>
      </c>
      <c r="N838" s="189" t="s">
        <v>1224</v>
      </c>
      <c r="O838" s="189" t="s">
        <v>107</v>
      </c>
      <c r="P838" s="189" t="s">
        <v>111</v>
      </c>
      <c r="Q838" s="189" t="s">
        <v>112</v>
      </c>
      <c r="R838" s="189" t="s">
        <v>21</v>
      </c>
      <c r="S838" s="189" t="s">
        <v>152</v>
      </c>
      <c r="T838" s="189" t="s">
        <v>180</v>
      </c>
      <c r="U838" s="189" t="s">
        <v>122</v>
      </c>
      <c r="V838" s="189" t="s">
        <v>192</v>
      </c>
      <c r="W838" s="189" t="s">
        <v>168</v>
      </c>
      <c r="X838" s="189" t="s">
        <v>457</v>
      </c>
      <c r="Y838" s="189" t="s">
        <v>3069</v>
      </c>
      <c r="Z838" s="0" t="n">
        <v>1</v>
      </c>
      <c r="AA838" s="189" t="s">
        <v>3070</v>
      </c>
    </row>
    <row r="839" customFormat="false" ht="15" hidden="false" customHeight="false" outlineLevel="0" collapsed="false">
      <c r="A839" s="0" t="n">
        <v>171</v>
      </c>
      <c r="B839" s="191" t="n">
        <v>46138.173394504</v>
      </c>
      <c r="C839" s="191" t="n">
        <v>46138.1846560781</v>
      </c>
      <c r="D839" s="189" t="s">
        <v>1339</v>
      </c>
      <c r="E839" s="189" t="s">
        <v>1340</v>
      </c>
      <c r="F839" s="189" t="s">
        <v>1340</v>
      </c>
      <c r="G839" s="189" t="s">
        <v>1341</v>
      </c>
      <c r="H839" s="191" t="n">
        <v>46129</v>
      </c>
      <c r="I839" s="189" t="s">
        <v>113</v>
      </c>
      <c r="J839" s="189" t="s">
        <v>295</v>
      </c>
      <c r="K839" s="189" t="s">
        <v>364</v>
      </c>
      <c r="L839" s="189" t="s">
        <v>296</v>
      </c>
      <c r="M839" s="189" t="s">
        <v>326</v>
      </c>
      <c r="N839" s="189" t="s">
        <v>508</v>
      </c>
      <c r="O839" s="189" t="s">
        <v>244</v>
      </c>
      <c r="P839" s="189" t="s">
        <v>111</v>
      </c>
      <c r="Q839" s="189" t="s">
        <v>112</v>
      </c>
      <c r="R839" s="189" t="s">
        <v>22</v>
      </c>
      <c r="S839" s="189" t="s">
        <v>120</v>
      </c>
      <c r="T839" s="189" t="s">
        <v>121</v>
      </c>
      <c r="U839" s="189" t="s">
        <v>122</v>
      </c>
      <c r="V839" s="189" t="s">
        <v>192</v>
      </c>
      <c r="W839" s="189" t="s">
        <v>124</v>
      </c>
      <c r="X839" s="189" t="s">
        <v>339</v>
      </c>
      <c r="Y839" s="189" t="s">
        <v>3064</v>
      </c>
      <c r="Z839" s="0" t="n">
        <v>1</v>
      </c>
      <c r="AA839" s="189" t="s">
        <v>3198</v>
      </c>
    </row>
    <row r="840" customFormat="false" ht="15" hidden="false" customHeight="false" outlineLevel="0" collapsed="false">
      <c r="A840" s="0" t="n">
        <v>171</v>
      </c>
      <c r="B840" s="191" t="n">
        <v>46138.173394504</v>
      </c>
      <c r="C840" s="191" t="n">
        <v>46138.1846560781</v>
      </c>
      <c r="D840" s="189" t="s">
        <v>1339</v>
      </c>
      <c r="E840" s="189" t="s">
        <v>1340</v>
      </c>
      <c r="F840" s="189" t="s">
        <v>1340</v>
      </c>
      <c r="G840" s="189" t="s">
        <v>1341</v>
      </c>
      <c r="H840" s="191" t="n">
        <v>46129</v>
      </c>
      <c r="I840" s="189" t="s">
        <v>113</v>
      </c>
      <c r="J840" s="189" t="s">
        <v>295</v>
      </c>
      <c r="K840" s="189" t="s">
        <v>364</v>
      </c>
      <c r="L840" s="189" t="s">
        <v>296</v>
      </c>
      <c r="M840" s="189" t="s">
        <v>326</v>
      </c>
      <c r="N840" s="189" t="s">
        <v>508</v>
      </c>
      <c r="O840" s="189" t="s">
        <v>244</v>
      </c>
      <c r="P840" s="189" t="s">
        <v>111</v>
      </c>
      <c r="Q840" s="189" t="s">
        <v>112</v>
      </c>
      <c r="R840" s="189" t="s">
        <v>22</v>
      </c>
      <c r="S840" s="189" t="s">
        <v>120</v>
      </c>
      <c r="T840" s="189" t="s">
        <v>121</v>
      </c>
      <c r="U840" s="189" t="s">
        <v>122</v>
      </c>
      <c r="V840" s="189" t="s">
        <v>192</v>
      </c>
      <c r="W840" s="189" t="s">
        <v>124</v>
      </c>
      <c r="X840" s="189" t="s">
        <v>339</v>
      </c>
      <c r="Y840" s="189" t="s">
        <v>3066</v>
      </c>
      <c r="Z840" s="0" t="n">
        <v>1</v>
      </c>
      <c r="AA840" s="189" t="s">
        <v>122</v>
      </c>
    </row>
    <row r="841" customFormat="false" ht="15" hidden="false" customHeight="false" outlineLevel="0" collapsed="false">
      <c r="A841" s="0" t="n">
        <v>171</v>
      </c>
      <c r="B841" s="191" t="n">
        <v>46138.173394504</v>
      </c>
      <c r="C841" s="191" t="n">
        <v>46138.1846560781</v>
      </c>
      <c r="D841" s="189" t="s">
        <v>1339</v>
      </c>
      <c r="E841" s="189" t="s">
        <v>1340</v>
      </c>
      <c r="F841" s="189" t="s">
        <v>1340</v>
      </c>
      <c r="G841" s="189" t="s">
        <v>1341</v>
      </c>
      <c r="H841" s="191" t="n">
        <v>46129</v>
      </c>
      <c r="I841" s="189" t="s">
        <v>113</v>
      </c>
      <c r="J841" s="189" t="s">
        <v>295</v>
      </c>
      <c r="K841" s="189" t="s">
        <v>364</v>
      </c>
      <c r="L841" s="189" t="s">
        <v>296</v>
      </c>
      <c r="M841" s="189" t="s">
        <v>326</v>
      </c>
      <c r="N841" s="189" t="s">
        <v>508</v>
      </c>
      <c r="O841" s="189" t="s">
        <v>244</v>
      </c>
      <c r="P841" s="189" t="s">
        <v>111</v>
      </c>
      <c r="Q841" s="189" t="s">
        <v>112</v>
      </c>
      <c r="R841" s="189" t="s">
        <v>22</v>
      </c>
      <c r="S841" s="189" t="s">
        <v>120</v>
      </c>
      <c r="T841" s="189" t="s">
        <v>121</v>
      </c>
      <c r="U841" s="189" t="s">
        <v>122</v>
      </c>
      <c r="V841" s="189" t="s">
        <v>192</v>
      </c>
      <c r="W841" s="189" t="s">
        <v>124</v>
      </c>
      <c r="X841" s="189" t="s">
        <v>339</v>
      </c>
      <c r="Y841" s="189" t="s">
        <v>3069</v>
      </c>
      <c r="Z841" s="0" t="n">
        <v>1</v>
      </c>
      <c r="AA841" s="189" t="s">
        <v>3217</v>
      </c>
    </row>
    <row r="842" customFormat="false" ht="15" hidden="false" customHeight="false" outlineLevel="0" collapsed="false">
      <c r="A842" s="0" t="n">
        <v>171</v>
      </c>
      <c r="B842" s="191" t="n">
        <v>46138.173394504</v>
      </c>
      <c r="C842" s="191" t="n">
        <v>46138.1846560781</v>
      </c>
      <c r="D842" s="189" t="s">
        <v>1339</v>
      </c>
      <c r="E842" s="189" t="s">
        <v>1340</v>
      </c>
      <c r="F842" s="189" t="s">
        <v>1340</v>
      </c>
      <c r="G842" s="189" t="s">
        <v>1341</v>
      </c>
      <c r="H842" s="191" t="n">
        <v>46129</v>
      </c>
      <c r="I842" s="189" t="s">
        <v>113</v>
      </c>
      <c r="J842" s="189" t="s">
        <v>295</v>
      </c>
      <c r="K842" s="189" t="s">
        <v>364</v>
      </c>
      <c r="L842" s="189" t="s">
        <v>296</v>
      </c>
      <c r="M842" s="189" t="s">
        <v>326</v>
      </c>
      <c r="N842" s="189" t="s">
        <v>508</v>
      </c>
      <c r="O842" s="189" t="s">
        <v>244</v>
      </c>
      <c r="P842" s="189" t="s">
        <v>111</v>
      </c>
      <c r="Q842" s="189" t="s">
        <v>112</v>
      </c>
      <c r="R842" s="189" t="s">
        <v>22</v>
      </c>
      <c r="S842" s="189" t="s">
        <v>120</v>
      </c>
      <c r="T842" s="189" t="s">
        <v>121</v>
      </c>
      <c r="U842" s="189" t="s">
        <v>122</v>
      </c>
      <c r="V842" s="189" t="s">
        <v>192</v>
      </c>
      <c r="W842" s="189" t="s">
        <v>124</v>
      </c>
      <c r="X842" s="189" t="s">
        <v>339</v>
      </c>
      <c r="Y842" s="189" t="s">
        <v>3069</v>
      </c>
      <c r="Z842" s="0" t="n">
        <v>2</v>
      </c>
      <c r="AA842" s="189" t="s">
        <v>3235</v>
      </c>
    </row>
    <row r="843" customFormat="false" ht="15" hidden="false" customHeight="false" outlineLevel="0" collapsed="false">
      <c r="A843" s="0" t="n">
        <v>172</v>
      </c>
      <c r="B843" s="191" t="n">
        <v>46091.8824321356</v>
      </c>
      <c r="C843" s="191" t="n">
        <v>46091.8858927838</v>
      </c>
      <c r="D843" s="189" t="s">
        <v>1344</v>
      </c>
      <c r="E843" s="189" t="s">
        <v>1345</v>
      </c>
      <c r="F843" s="189" t="s">
        <v>1345</v>
      </c>
      <c r="G843" s="189" t="s">
        <v>1346</v>
      </c>
      <c r="H843" s="191" t="n">
        <v>46072</v>
      </c>
      <c r="I843" s="189" t="s">
        <v>113</v>
      </c>
      <c r="J843" s="189" t="s">
        <v>128</v>
      </c>
      <c r="K843" s="189" t="s">
        <v>1347</v>
      </c>
      <c r="L843" s="189" t="s">
        <v>144</v>
      </c>
      <c r="M843" s="189" t="s">
        <v>1313</v>
      </c>
      <c r="N843" s="189" t="s">
        <v>1094</v>
      </c>
      <c r="O843" s="189" t="s">
        <v>750</v>
      </c>
      <c r="P843" s="189" t="s">
        <v>111</v>
      </c>
      <c r="Q843" s="189" t="s">
        <v>112</v>
      </c>
      <c r="R843" s="189" t="s">
        <v>22</v>
      </c>
      <c r="S843" s="189" t="s">
        <v>152</v>
      </c>
      <c r="T843" s="189" t="s">
        <v>121</v>
      </c>
      <c r="U843" s="189" t="s">
        <v>122</v>
      </c>
      <c r="V843" s="189" t="s">
        <v>192</v>
      </c>
      <c r="W843" s="189" t="s">
        <v>139</v>
      </c>
      <c r="X843" s="189" t="s">
        <v>116</v>
      </c>
      <c r="Y843" s="189" t="s">
        <v>3064</v>
      </c>
      <c r="Z843" s="0" t="n">
        <v>1</v>
      </c>
      <c r="AA843" s="189" t="s">
        <v>3095</v>
      </c>
    </row>
    <row r="844" customFormat="false" ht="15" hidden="false" customHeight="false" outlineLevel="0" collapsed="false">
      <c r="A844" s="0" t="n">
        <v>172</v>
      </c>
      <c r="B844" s="191" t="n">
        <v>46091.8824321356</v>
      </c>
      <c r="C844" s="191" t="n">
        <v>46091.8858927838</v>
      </c>
      <c r="D844" s="189" t="s">
        <v>1344</v>
      </c>
      <c r="E844" s="189" t="s">
        <v>1345</v>
      </c>
      <c r="F844" s="189" t="s">
        <v>1345</v>
      </c>
      <c r="G844" s="189" t="s">
        <v>1346</v>
      </c>
      <c r="H844" s="191" t="n">
        <v>46072</v>
      </c>
      <c r="I844" s="189" t="s">
        <v>113</v>
      </c>
      <c r="J844" s="189" t="s">
        <v>128</v>
      </c>
      <c r="K844" s="189" t="s">
        <v>1347</v>
      </c>
      <c r="L844" s="189" t="s">
        <v>144</v>
      </c>
      <c r="M844" s="189" t="s">
        <v>1313</v>
      </c>
      <c r="N844" s="189" t="s">
        <v>1094</v>
      </c>
      <c r="O844" s="189" t="s">
        <v>750</v>
      </c>
      <c r="P844" s="189" t="s">
        <v>111</v>
      </c>
      <c r="Q844" s="189" t="s">
        <v>112</v>
      </c>
      <c r="R844" s="189" t="s">
        <v>22</v>
      </c>
      <c r="S844" s="189" t="s">
        <v>152</v>
      </c>
      <c r="T844" s="189" t="s">
        <v>121</v>
      </c>
      <c r="U844" s="189" t="s">
        <v>122</v>
      </c>
      <c r="V844" s="189" t="s">
        <v>192</v>
      </c>
      <c r="W844" s="189" t="s">
        <v>139</v>
      </c>
      <c r="X844" s="189" t="s">
        <v>116</v>
      </c>
      <c r="Y844" s="189" t="s">
        <v>3064</v>
      </c>
      <c r="Z844" s="0" t="n">
        <v>2</v>
      </c>
      <c r="AA844" s="189" t="s">
        <v>3065</v>
      </c>
    </row>
    <row r="845" customFormat="false" ht="15" hidden="false" customHeight="false" outlineLevel="0" collapsed="false">
      <c r="A845" s="0" t="n">
        <v>172</v>
      </c>
      <c r="B845" s="191" t="n">
        <v>46091.8824321356</v>
      </c>
      <c r="C845" s="191" t="n">
        <v>46091.8858927838</v>
      </c>
      <c r="D845" s="189" t="s">
        <v>1344</v>
      </c>
      <c r="E845" s="189" t="s">
        <v>1345</v>
      </c>
      <c r="F845" s="189" t="s">
        <v>1345</v>
      </c>
      <c r="G845" s="189" t="s">
        <v>1346</v>
      </c>
      <c r="H845" s="191" t="n">
        <v>46072</v>
      </c>
      <c r="I845" s="189" t="s">
        <v>113</v>
      </c>
      <c r="J845" s="189" t="s">
        <v>128</v>
      </c>
      <c r="K845" s="189" t="s">
        <v>1347</v>
      </c>
      <c r="L845" s="189" t="s">
        <v>144</v>
      </c>
      <c r="M845" s="189" t="s">
        <v>1313</v>
      </c>
      <c r="N845" s="189" t="s">
        <v>1094</v>
      </c>
      <c r="O845" s="189" t="s">
        <v>750</v>
      </c>
      <c r="P845" s="189" t="s">
        <v>111</v>
      </c>
      <c r="Q845" s="189" t="s">
        <v>112</v>
      </c>
      <c r="R845" s="189" t="s">
        <v>22</v>
      </c>
      <c r="S845" s="189" t="s">
        <v>152</v>
      </c>
      <c r="T845" s="189" t="s">
        <v>121</v>
      </c>
      <c r="U845" s="189" t="s">
        <v>122</v>
      </c>
      <c r="V845" s="189" t="s">
        <v>192</v>
      </c>
      <c r="W845" s="189" t="s">
        <v>139</v>
      </c>
      <c r="X845" s="189" t="s">
        <v>116</v>
      </c>
      <c r="Y845" s="189" t="s">
        <v>3064</v>
      </c>
      <c r="Z845" s="0" t="n">
        <v>3</v>
      </c>
      <c r="AA845" s="189" t="s">
        <v>3081</v>
      </c>
    </row>
    <row r="846" customFormat="false" ht="15" hidden="false" customHeight="false" outlineLevel="0" collapsed="false">
      <c r="A846" s="0" t="n">
        <v>172</v>
      </c>
      <c r="B846" s="191" t="n">
        <v>46091.8824321356</v>
      </c>
      <c r="C846" s="191" t="n">
        <v>46091.8858927838</v>
      </c>
      <c r="D846" s="189" t="s">
        <v>1344</v>
      </c>
      <c r="E846" s="189" t="s">
        <v>1345</v>
      </c>
      <c r="F846" s="189" t="s">
        <v>1345</v>
      </c>
      <c r="G846" s="189" t="s">
        <v>1346</v>
      </c>
      <c r="H846" s="191" t="n">
        <v>46072</v>
      </c>
      <c r="I846" s="189" t="s">
        <v>113</v>
      </c>
      <c r="J846" s="189" t="s">
        <v>128</v>
      </c>
      <c r="K846" s="189" t="s">
        <v>1347</v>
      </c>
      <c r="L846" s="189" t="s">
        <v>144</v>
      </c>
      <c r="M846" s="189" t="s">
        <v>1313</v>
      </c>
      <c r="N846" s="189" t="s">
        <v>1094</v>
      </c>
      <c r="O846" s="189" t="s">
        <v>750</v>
      </c>
      <c r="P846" s="189" t="s">
        <v>111</v>
      </c>
      <c r="Q846" s="189" t="s">
        <v>112</v>
      </c>
      <c r="R846" s="189" t="s">
        <v>22</v>
      </c>
      <c r="S846" s="189" t="s">
        <v>152</v>
      </c>
      <c r="T846" s="189" t="s">
        <v>121</v>
      </c>
      <c r="U846" s="189" t="s">
        <v>122</v>
      </c>
      <c r="V846" s="189" t="s">
        <v>192</v>
      </c>
      <c r="W846" s="189" t="s">
        <v>139</v>
      </c>
      <c r="X846" s="189" t="s">
        <v>116</v>
      </c>
      <c r="Y846" s="189" t="s">
        <v>3066</v>
      </c>
      <c r="Z846" s="0" t="n">
        <v>1</v>
      </c>
      <c r="AA846" s="189" t="s">
        <v>3082</v>
      </c>
    </row>
    <row r="847" customFormat="false" ht="15" hidden="false" customHeight="false" outlineLevel="0" collapsed="false">
      <c r="A847" s="0" t="n">
        <v>172</v>
      </c>
      <c r="B847" s="191" t="n">
        <v>46091.8824321356</v>
      </c>
      <c r="C847" s="191" t="n">
        <v>46091.8858927838</v>
      </c>
      <c r="D847" s="189" t="s">
        <v>1344</v>
      </c>
      <c r="E847" s="189" t="s">
        <v>1345</v>
      </c>
      <c r="F847" s="189" t="s">
        <v>1345</v>
      </c>
      <c r="G847" s="189" t="s">
        <v>1346</v>
      </c>
      <c r="H847" s="191" t="n">
        <v>46072</v>
      </c>
      <c r="I847" s="189" t="s">
        <v>113</v>
      </c>
      <c r="J847" s="189" t="s">
        <v>128</v>
      </c>
      <c r="K847" s="189" t="s">
        <v>1347</v>
      </c>
      <c r="L847" s="189" t="s">
        <v>144</v>
      </c>
      <c r="M847" s="189" t="s">
        <v>1313</v>
      </c>
      <c r="N847" s="189" t="s">
        <v>1094</v>
      </c>
      <c r="O847" s="189" t="s">
        <v>750</v>
      </c>
      <c r="P847" s="189" t="s">
        <v>111</v>
      </c>
      <c r="Q847" s="189" t="s">
        <v>112</v>
      </c>
      <c r="R847" s="189" t="s">
        <v>22</v>
      </c>
      <c r="S847" s="189" t="s">
        <v>152</v>
      </c>
      <c r="T847" s="189" t="s">
        <v>121</v>
      </c>
      <c r="U847" s="189" t="s">
        <v>122</v>
      </c>
      <c r="V847" s="189" t="s">
        <v>192</v>
      </c>
      <c r="W847" s="189" t="s">
        <v>139</v>
      </c>
      <c r="X847" s="189" t="s">
        <v>116</v>
      </c>
      <c r="Y847" s="189" t="s">
        <v>3069</v>
      </c>
      <c r="Z847" s="0" t="n">
        <v>1</v>
      </c>
      <c r="AA847" s="189" t="s">
        <v>122</v>
      </c>
    </row>
    <row r="848" customFormat="false" ht="15" hidden="false" customHeight="false" outlineLevel="0" collapsed="false">
      <c r="A848" s="0" t="n">
        <v>173</v>
      </c>
      <c r="B848" s="191" t="n">
        <v>46209.9086453804</v>
      </c>
      <c r="C848" s="191" t="n">
        <v>46209.9251384359</v>
      </c>
      <c r="D848" s="189" t="s">
        <v>1349</v>
      </c>
      <c r="E848" s="189" t="s">
        <v>1350</v>
      </c>
      <c r="F848" s="189" t="s">
        <v>1351</v>
      </c>
      <c r="G848" s="189" t="s">
        <v>1352</v>
      </c>
      <c r="H848" s="191" t="n">
        <v>46203</v>
      </c>
      <c r="I848" s="189" t="s">
        <v>113</v>
      </c>
      <c r="J848" s="189" t="s">
        <v>108</v>
      </c>
      <c r="K848" s="189" t="s">
        <v>1353</v>
      </c>
      <c r="L848" s="189" t="s">
        <v>130</v>
      </c>
      <c r="M848" s="189" t="s">
        <v>594</v>
      </c>
      <c r="N848" s="189" t="s">
        <v>905</v>
      </c>
      <c r="O848" s="189" t="s">
        <v>244</v>
      </c>
      <c r="P848" s="189" t="s">
        <v>111</v>
      </c>
      <c r="Q848" s="189" t="s">
        <v>112</v>
      </c>
      <c r="R848" s="189" t="s">
        <v>22</v>
      </c>
      <c r="S848" s="189" t="s">
        <v>120</v>
      </c>
      <c r="T848" s="189" t="s">
        <v>121</v>
      </c>
      <c r="U848" s="189" t="s">
        <v>153</v>
      </c>
      <c r="V848" s="189" t="s">
        <v>167</v>
      </c>
      <c r="W848" s="189" t="s">
        <v>124</v>
      </c>
      <c r="X848" s="189" t="s">
        <v>135</v>
      </c>
      <c r="Y848" s="189" t="s">
        <v>3064</v>
      </c>
      <c r="Z848" s="0" t="n">
        <v>1</v>
      </c>
      <c r="AA848" s="189" t="s">
        <v>3071</v>
      </c>
    </row>
    <row r="849" customFormat="false" ht="15" hidden="false" customHeight="false" outlineLevel="0" collapsed="false">
      <c r="A849" s="0" t="n">
        <v>173</v>
      </c>
      <c r="B849" s="191" t="n">
        <v>46209.9086453804</v>
      </c>
      <c r="C849" s="191" t="n">
        <v>46209.9251384359</v>
      </c>
      <c r="D849" s="189" t="s">
        <v>1349</v>
      </c>
      <c r="E849" s="189" t="s">
        <v>1350</v>
      </c>
      <c r="F849" s="189" t="s">
        <v>1351</v>
      </c>
      <c r="G849" s="189" t="s">
        <v>1352</v>
      </c>
      <c r="H849" s="191" t="n">
        <v>46203</v>
      </c>
      <c r="I849" s="189" t="s">
        <v>113</v>
      </c>
      <c r="J849" s="189" t="s">
        <v>108</v>
      </c>
      <c r="K849" s="189" t="s">
        <v>1353</v>
      </c>
      <c r="L849" s="189" t="s">
        <v>130</v>
      </c>
      <c r="M849" s="189" t="s">
        <v>594</v>
      </c>
      <c r="N849" s="189" t="s">
        <v>905</v>
      </c>
      <c r="O849" s="189" t="s">
        <v>244</v>
      </c>
      <c r="P849" s="189" t="s">
        <v>111</v>
      </c>
      <c r="Q849" s="189" t="s">
        <v>112</v>
      </c>
      <c r="R849" s="189" t="s">
        <v>22</v>
      </c>
      <c r="S849" s="189" t="s">
        <v>120</v>
      </c>
      <c r="T849" s="189" t="s">
        <v>121</v>
      </c>
      <c r="U849" s="189" t="s">
        <v>153</v>
      </c>
      <c r="V849" s="189" t="s">
        <v>167</v>
      </c>
      <c r="W849" s="189" t="s">
        <v>124</v>
      </c>
      <c r="X849" s="189" t="s">
        <v>135</v>
      </c>
      <c r="Y849" s="189" t="s">
        <v>3066</v>
      </c>
      <c r="Z849" s="0" t="n">
        <v>1</v>
      </c>
      <c r="AA849" s="189" t="s">
        <v>3185</v>
      </c>
    </row>
    <row r="850" customFormat="false" ht="15" hidden="false" customHeight="false" outlineLevel="0" collapsed="false">
      <c r="A850" s="0" t="n">
        <v>173</v>
      </c>
      <c r="B850" s="191" t="n">
        <v>46209.9086453804</v>
      </c>
      <c r="C850" s="191" t="n">
        <v>46209.9251384359</v>
      </c>
      <c r="D850" s="189" t="s">
        <v>1349</v>
      </c>
      <c r="E850" s="189" t="s">
        <v>1350</v>
      </c>
      <c r="F850" s="189" t="s">
        <v>1351</v>
      </c>
      <c r="G850" s="189" t="s">
        <v>1352</v>
      </c>
      <c r="H850" s="191" t="n">
        <v>46203</v>
      </c>
      <c r="I850" s="189" t="s">
        <v>113</v>
      </c>
      <c r="J850" s="189" t="s">
        <v>108</v>
      </c>
      <c r="K850" s="189" t="s">
        <v>1353</v>
      </c>
      <c r="L850" s="189" t="s">
        <v>130</v>
      </c>
      <c r="M850" s="189" t="s">
        <v>594</v>
      </c>
      <c r="N850" s="189" t="s">
        <v>905</v>
      </c>
      <c r="O850" s="189" t="s">
        <v>244</v>
      </c>
      <c r="P850" s="189" t="s">
        <v>111</v>
      </c>
      <c r="Q850" s="189" t="s">
        <v>112</v>
      </c>
      <c r="R850" s="189" t="s">
        <v>22</v>
      </c>
      <c r="S850" s="189" t="s">
        <v>120</v>
      </c>
      <c r="T850" s="189" t="s">
        <v>121</v>
      </c>
      <c r="U850" s="189" t="s">
        <v>153</v>
      </c>
      <c r="V850" s="189" t="s">
        <v>167</v>
      </c>
      <c r="W850" s="189" t="s">
        <v>124</v>
      </c>
      <c r="X850" s="189" t="s">
        <v>135</v>
      </c>
      <c r="Y850" s="189" t="s">
        <v>3066</v>
      </c>
      <c r="Z850" s="0" t="n">
        <v>2</v>
      </c>
      <c r="AA850" s="189" t="s">
        <v>3151</v>
      </c>
    </row>
    <row r="851" customFormat="false" ht="15" hidden="false" customHeight="false" outlineLevel="0" collapsed="false">
      <c r="A851" s="0" t="n">
        <v>173</v>
      </c>
      <c r="B851" s="191" t="n">
        <v>46209.9086453804</v>
      </c>
      <c r="C851" s="191" t="n">
        <v>46209.9251384359</v>
      </c>
      <c r="D851" s="189" t="s">
        <v>1349</v>
      </c>
      <c r="E851" s="189" t="s">
        <v>1350</v>
      </c>
      <c r="F851" s="189" t="s">
        <v>1351</v>
      </c>
      <c r="G851" s="189" t="s">
        <v>1352</v>
      </c>
      <c r="H851" s="191" t="n">
        <v>46203</v>
      </c>
      <c r="I851" s="189" t="s">
        <v>113</v>
      </c>
      <c r="J851" s="189" t="s">
        <v>108</v>
      </c>
      <c r="K851" s="189" t="s">
        <v>1353</v>
      </c>
      <c r="L851" s="189" t="s">
        <v>130</v>
      </c>
      <c r="M851" s="189" t="s">
        <v>594</v>
      </c>
      <c r="N851" s="189" t="s">
        <v>905</v>
      </c>
      <c r="O851" s="189" t="s">
        <v>244</v>
      </c>
      <c r="P851" s="189" t="s">
        <v>111</v>
      </c>
      <c r="Q851" s="189" t="s">
        <v>112</v>
      </c>
      <c r="R851" s="189" t="s">
        <v>22</v>
      </c>
      <c r="S851" s="189" t="s">
        <v>120</v>
      </c>
      <c r="T851" s="189" t="s">
        <v>121</v>
      </c>
      <c r="U851" s="189" t="s">
        <v>153</v>
      </c>
      <c r="V851" s="189" t="s">
        <v>167</v>
      </c>
      <c r="W851" s="189" t="s">
        <v>124</v>
      </c>
      <c r="X851" s="189" t="s">
        <v>135</v>
      </c>
      <c r="Y851" s="189" t="s">
        <v>3069</v>
      </c>
      <c r="Z851" s="0" t="n">
        <v>1</v>
      </c>
      <c r="AA851" s="189" t="s">
        <v>122</v>
      </c>
    </row>
    <row r="852" customFormat="false" ht="15" hidden="false" customHeight="false" outlineLevel="0" collapsed="false">
      <c r="A852" s="0" t="n">
        <v>173</v>
      </c>
      <c r="B852" s="191" t="n">
        <v>46209.9086453804</v>
      </c>
      <c r="C852" s="191" t="n">
        <v>46209.9251384359</v>
      </c>
      <c r="D852" s="189" t="s">
        <v>1349</v>
      </c>
      <c r="E852" s="189" t="s">
        <v>1350</v>
      </c>
      <c r="F852" s="189" t="s">
        <v>1351</v>
      </c>
      <c r="G852" s="189" t="s">
        <v>1352</v>
      </c>
      <c r="H852" s="191" t="n">
        <v>46203</v>
      </c>
      <c r="I852" s="189" t="s">
        <v>113</v>
      </c>
      <c r="J852" s="189" t="s">
        <v>108</v>
      </c>
      <c r="K852" s="189" t="s">
        <v>1353</v>
      </c>
      <c r="L852" s="189" t="s">
        <v>130</v>
      </c>
      <c r="M852" s="189" t="s">
        <v>594</v>
      </c>
      <c r="N852" s="189" t="s">
        <v>905</v>
      </c>
      <c r="O852" s="189" t="s">
        <v>244</v>
      </c>
      <c r="P852" s="189" t="s">
        <v>111</v>
      </c>
      <c r="Q852" s="189" t="s">
        <v>112</v>
      </c>
      <c r="R852" s="189" t="s">
        <v>22</v>
      </c>
      <c r="S852" s="189" t="s">
        <v>120</v>
      </c>
      <c r="T852" s="189" t="s">
        <v>121</v>
      </c>
      <c r="U852" s="189" t="s">
        <v>153</v>
      </c>
      <c r="V852" s="189" t="s">
        <v>167</v>
      </c>
      <c r="W852" s="189" t="s">
        <v>124</v>
      </c>
      <c r="X852" s="189" t="s">
        <v>135</v>
      </c>
      <c r="Y852" s="189" t="s">
        <v>3069</v>
      </c>
      <c r="Z852" s="0" t="n">
        <v>2</v>
      </c>
      <c r="AA852" s="189" t="s">
        <v>3203</v>
      </c>
    </row>
    <row r="853" customFormat="false" ht="15" hidden="false" customHeight="false" outlineLevel="0" collapsed="false">
      <c r="A853" s="0" t="n">
        <v>174</v>
      </c>
      <c r="B853" s="191" t="n">
        <v>46165.6693362971</v>
      </c>
      <c r="C853" s="191" t="n">
        <v>46165.683074723</v>
      </c>
      <c r="D853" s="189" t="s">
        <v>1356</v>
      </c>
      <c r="E853" s="189" t="s">
        <v>1357</v>
      </c>
      <c r="F853" s="189" t="s">
        <v>1357</v>
      </c>
      <c r="G853" s="189" t="s">
        <v>1358</v>
      </c>
      <c r="H853" s="191" t="n">
        <v>46155</v>
      </c>
      <c r="I853" s="189" t="s">
        <v>132</v>
      </c>
      <c r="J853" s="189" t="s">
        <v>108</v>
      </c>
      <c r="K853" s="189" t="s">
        <v>257</v>
      </c>
      <c r="L853" s="189" t="s">
        <v>491</v>
      </c>
      <c r="M853" s="189" t="s">
        <v>612</v>
      </c>
      <c r="N853" s="189" t="s">
        <v>1323</v>
      </c>
      <c r="O853" s="189" t="s">
        <v>244</v>
      </c>
      <c r="P853" s="189" t="s">
        <v>111</v>
      </c>
      <c r="Q853" s="189" t="s">
        <v>112</v>
      </c>
      <c r="R853" s="189" t="s">
        <v>22</v>
      </c>
      <c r="S853" s="189" t="s">
        <v>152</v>
      </c>
      <c r="T853" s="189" t="s">
        <v>121</v>
      </c>
      <c r="U853" s="189" t="s">
        <v>1361</v>
      </c>
      <c r="V853" s="189" t="s">
        <v>192</v>
      </c>
      <c r="W853" s="189" t="s">
        <v>139</v>
      </c>
      <c r="X853" s="189" t="s">
        <v>298</v>
      </c>
      <c r="Y853" s="189" t="s">
        <v>3064</v>
      </c>
      <c r="Z853" s="0" t="n">
        <v>1</v>
      </c>
      <c r="AA853" s="189" t="s">
        <v>3195</v>
      </c>
    </row>
    <row r="854" customFormat="false" ht="15" hidden="false" customHeight="false" outlineLevel="0" collapsed="false">
      <c r="A854" s="0" t="n">
        <v>174</v>
      </c>
      <c r="B854" s="191" t="n">
        <v>46165.6693362971</v>
      </c>
      <c r="C854" s="191" t="n">
        <v>46165.683074723</v>
      </c>
      <c r="D854" s="189" t="s">
        <v>1356</v>
      </c>
      <c r="E854" s="189" t="s">
        <v>1357</v>
      </c>
      <c r="F854" s="189" t="s">
        <v>1357</v>
      </c>
      <c r="G854" s="189" t="s">
        <v>1358</v>
      </c>
      <c r="H854" s="191" t="n">
        <v>46155</v>
      </c>
      <c r="I854" s="189" t="s">
        <v>132</v>
      </c>
      <c r="J854" s="189" t="s">
        <v>108</v>
      </c>
      <c r="K854" s="189" t="s">
        <v>257</v>
      </c>
      <c r="L854" s="189" t="s">
        <v>491</v>
      </c>
      <c r="M854" s="189" t="s">
        <v>612</v>
      </c>
      <c r="N854" s="189" t="s">
        <v>1323</v>
      </c>
      <c r="O854" s="189" t="s">
        <v>244</v>
      </c>
      <c r="P854" s="189" t="s">
        <v>111</v>
      </c>
      <c r="Q854" s="189" t="s">
        <v>112</v>
      </c>
      <c r="R854" s="189" t="s">
        <v>22</v>
      </c>
      <c r="S854" s="189" t="s">
        <v>152</v>
      </c>
      <c r="T854" s="189" t="s">
        <v>121</v>
      </c>
      <c r="U854" s="189" t="s">
        <v>1361</v>
      </c>
      <c r="V854" s="189" t="s">
        <v>192</v>
      </c>
      <c r="W854" s="189" t="s">
        <v>139</v>
      </c>
      <c r="X854" s="189" t="s">
        <v>298</v>
      </c>
      <c r="Y854" s="189" t="s">
        <v>3064</v>
      </c>
      <c r="Z854" s="0" t="n">
        <v>2</v>
      </c>
      <c r="AA854" s="189" t="s">
        <v>3125</v>
      </c>
    </row>
    <row r="855" customFormat="false" ht="15" hidden="false" customHeight="false" outlineLevel="0" collapsed="false">
      <c r="A855" s="0" t="n">
        <v>174</v>
      </c>
      <c r="B855" s="191" t="n">
        <v>46165.6693362971</v>
      </c>
      <c r="C855" s="191" t="n">
        <v>46165.683074723</v>
      </c>
      <c r="D855" s="189" t="s">
        <v>1356</v>
      </c>
      <c r="E855" s="189" t="s">
        <v>1357</v>
      </c>
      <c r="F855" s="189" t="s">
        <v>1357</v>
      </c>
      <c r="G855" s="189" t="s">
        <v>1358</v>
      </c>
      <c r="H855" s="191" t="n">
        <v>46155</v>
      </c>
      <c r="I855" s="189" t="s">
        <v>132</v>
      </c>
      <c r="J855" s="189" t="s">
        <v>108</v>
      </c>
      <c r="K855" s="189" t="s">
        <v>257</v>
      </c>
      <c r="L855" s="189" t="s">
        <v>491</v>
      </c>
      <c r="M855" s="189" t="s">
        <v>612</v>
      </c>
      <c r="N855" s="189" t="s">
        <v>1323</v>
      </c>
      <c r="O855" s="189" t="s">
        <v>244</v>
      </c>
      <c r="P855" s="189" t="s">
        <v>111</v>
      </c>
      <c r="Q855" s="189" t="s">
        <v>112</v>
      </c>
      <c r="R855" s="189" t="s">
        <v>22</v>
      </c>
      <c r="S855" s="189" t="s">
        <v>152</v>
      </c>
      <c r="T855" s="189" t="s">
        <v>121</v>
      </c>
      <c r="U855" s="189" t="s">
        <v>1361</v>
      </c>
      <c r="V855" s="189" t="s">
        <v>192</v>
      </c>
      <c r="W855" s="189" t="s">
        <v>139</v>
      </c>
      <c r="X855" s="189" t="s">
        <v>298</v>
      </c>
      <c r="Y855" s="189" t="s">
        <v>3064</v>
      </c>
      <c r="Z855" s="0" t="n">
        <v>3</v>
      </c>
      <c r="AA855" s="189" t="s">
        <v>3194</v>
      </c>
    </row>
    <row r="856" customFormat="false" ht="15" hidden="false" customHeight="false" outlineLevel="0" collapsed="false">
      <c r="A856" s="0" t="n">
        <v>174</v>
      </c>
      <c r="B856" s="191" t="n">
        <v>46165.6693362971</v>
      </c>
      <c r="C856" s="191" t="n">
        <v>46165.683074723</v>
      </c>
      <c r="D856" s="189" t="s">
        <v>1356</v>
      </c>
      <c r="E856" s="189" t="s">
        <v>1357</v>
      </c>
      <c r="F856" s="189" t="s">
        <v>1357</v>
      </c>
      <c r="G856" s="189" t="s">
        <v>1358</v>
      </c>
      <c r="H856" s="191" t="n">
        <v>46155</v>
      </c>
      <c r="I856" s="189" t="s">
        <v>132</v>
      </c>
      <c r="J856" s="189" t="s">
        <v>108</v>
      </c>
      <c r="K856" s="189" t="s">
        <v>257</v>
      </c>
      <c r="L856" s="189" t="s">
        <v>491</v>
      </c>
      <c r="M856" s="189" t="s">
        <v>612</v>
      </c>
      <c r="N856" s="189" t="s">
        <v>1323</v>
      </c>
      <c r="O856" s="189" t="s">
        <v>244</v>
      </c>
      <c r="P856" s="189" t="s">
        <v>111</v>
      </c>
      <c r="Q856" s="189" t="s">
        <v>112</v>
      </c>
      <c r="R856" s="189" t="s">
        <v>22</v>
      </c>
      <c r="S856" s="189" t="s">
        <v>152</v>
      </c>
      <c r="T856" s="189" t="s">
        <v>121</v>
      </c>
      <c r="U856" s="189" t="s">
        <v>1361</v>
      </c>
      <c r="V856" s="189" t="s">
        <v>192</v>
      </c>
      <c r="W856" s="189" t="s">
        <v>139</v>
      </c>
      <c r="X856" s="189" t="s">
        <v>298</v>
      </c>
      <c r="Y856" s="189" t="s">
        <v>3066</v>
      </c>
      <c r="Z856" s="0" t="n">
        <v>1</v>
      </c>
      <c r="AA856" s="189" t="s">
        <v>3237</v>
      </c>
    </row>
    <row r="857" customFormat="false" ht="15" hidden="false" customHeight="false" outlineLevel="0" collapsed="false">
      <c r="A857" s="0" t="n">
        <v>174</v>
      </c>
      <c r="B857" s="191" t="n">
        <v>46165.6693362971</v>
      </c>
      <c r="C857" s="191" t="n">
        <v>46165.683074723</v>
      </c>
      <c r="D857" s="189" t="s">
        <v>1356</v>
      </c>
      <c r="E857" s="189" t="s">
        <v>1357</v>
      </c>
      <c r="F857" s="189" t="s">
        <v>1357</v>
      </c>
      <c r="G857" s="189" t="s">
        <v>1358</v>
      </c>
      <c r="H857" s="191" t="n">
        <v>46155</v>
      </c>
      <c r="I857" s="189" t="s">
        <v>132</v>
      </c>
      <c r="J857" s="189" t="s">
        <v>108</v>
      </c>
      <c r="K857" s="189" t="s">
        <v>257</v>
      </c>
      <c r="L857" s="189" t="s">
        <v>491</v>
      </c>
      <c r="M857" s="189" t="s">
        <v>612</v>
      </c>
      <c r="N857" s="189" t="s">
        <v>1323</v>
      </c>
      <c r="O857" s="189" t="s">
        <v>244</v>
      </c>
      <c r="P857" s="189" t="s">
        <v>111</v>
      </c>
      <c r="Q857" s="189" t="s">
        <v>112</v>
      </c>
      <c r="R857" s="189" t="s">
        <v>22</v>
      </c>
      <c r="S857" s="189" t="s">
        <v>152</v>
      </c>
      <c r="T857" s="189" t="s">
        <v>121</v>
      </c>
      <c r="U857" s="189" t="s">
        <v>1361</v>
      </c>
      <c r="V857" s="189" t="s">
        <v>192</v>
      </c>
      <c r="W857" s="189" t="s">
        <v>139</v>
      </c>
      <c r="X857" s="189" t="s">
        <v>298</v>
      </c>
      <c r="Y857" s="189" t="s">
        <v>3069</v>
      </c>
      <c r="Z857" s="0" t="n">
        <v>1</v>
      </c>
      <c r="AA857" s="189" t="s">
        <v>3268</v>
      </c>
    </row>
    <row r="858" customFormat="false" ht="15" hidden="false" customHeight="false" outlineLevel="0" collapsed="false">
      <c r="A858" s="0" t="n">
        <v>174</v>
      </c>
      <c r="B858" s="191" t="n">
        <v>46165.6693362971</v>
      </c>
      <c r="C858" s="191" t="n">
        <v>46165.683074723</v>
      </c>
      <c r="D858" s="189" t="s">
        <v>1356</v>
      </c>
      <c r="E858" s="189" t="s">
        <v>1357</v>
      </c>
      <c r="F858" s="189" t="s">
        <v>1357</v>
      </c>
      <c r="G858" s="189" t="s">
        <v>1358</v>
      </c>
      <c r="H858" s="191" t="n">
        <v>46155</v>
      </c>
      <c r="I858" s="189" t="s">
        <v>132</v>
      </c>
      <c r="J858" s="189" t="s">
        <v>108</v>
      </c>
      <c r="K858" s="189" t="s">
        <v>257</v>
      </c>
      <c r="L858" s="189" t="s">
        <v>491</v>
      </c>
      <c r="M858" s="189" t="s">
        <v>612</v>
      </c>
      <c r="N858" s="189" t="s">
        <v>1323</v>
      </c>
      <c r="O858" s="189" t="s">
        <v>244</v>
      </c>
      <c r="P858" s="189" t="s">
        <v>111</v>
      </c>
      <c r="Q858" s="189" t="s">
        <v>112</v>
      </c>
      <c r="R858" s="189" t="s">
        <v>22</v>
      </c>
      <c r="S858" s="189" t="s">
        <v>152</v>
      </c>
      <c r="T858" s="189" t="s">
        <v>121</v>
      </c>
      <c r="U858" s="189" t="s">
        <v>1361</v>
      </c>
      <c r="V858" s="189" t="s">
        <v>192</v>
      </c>
      <c r="W858" s="189" t="s">
        <v>139</v>
      </c>
      <c r="X858" s="189" t="s">
        <v>298</v>
      </c>
      <c r="Y858" s="189" t="s">
        <v>3069</v>
      </c>
      <c r="Z858" s="0" t="n">
        <v>2</v>
      </c>
      <c r="AA858" s="189" t="s">
        <v>3272</v>
      </c>
    </row>
    <row r="859" customFormat="false" ht="15" hidden="false" customHeight="false" outlineLevel="0" collapsed="false">
      <c r="A859" s="0" t="n">
        <v>175</v>
      </c>
      <c r="B859" s="191" t="n">
        <v>46119.5003133806</v>
      </c>
      <c r="C859" s="191" t="n">
        <v>46119.5203018066</v>
      </c>
      <c r="D859" s="189" t="s">
        <v>1362</v>
      </c>
      <c r="E859" s="189" t="s">
        <v>1363</v>
      </c>
      <c r="F859" s="189" t="s">
        <v>1363</v>
      </c>
      <c r="G859" s="189" t="s">
        <v>1364</v>
      </c>
      <c r="H859" s="191" t="n">
        <v>46117</v>
      </c>
      <c r="I859" s="189" t="s">
        <v>305</v>
      </c>
      <c r="J859" s="189" t="s">
        <v>108</v>
      </c>
      <c r="K859" s="189" t="s">
        <v>364</v>
      </c>
      <c r="L859" s="189" t="s">
        <v>286</v>
      </c>
      <c r="M859" s="189" t="s">
        <v>477</v>
      </c>
      <c r="N859" s="189" t="s">
        <v>1050</v>
      </c>
      <c r="O859" s="189" t="s">
        <v>172</v>
      </c>
      <c r="P859" s="189" t="s">
        <v>111</v>
      </c>
      <c r="Q859" s="189" t="s">
        <v>112</v>
      </c>
      <c r="R859" s="189" t="s">
        <v>22</v>
      </c>
      <c r="S859" s="189" t="s">
        <v>152</v>
      </c>
      <c r="T859" s="189" t="s">
        <v>121</v>
      </c>
      <c r="U859" s="189" t="s">
        <v>122</v>
      </c>
      <c r="V859" s="189" t="s">
        <v>167</v>
      </c>
      <c r="W859" s="189" t="s">
        <v>124</v>
      </c>
      <c r="X859" s="189" t="s">
        <v>148</v>
      </c>
      <c r="Y859" s="189" t="s">
        <v>3064</v>
      </c>
      <c r="Z859" s="0" t="n">
        <v>1</v>
      </c>
      <c r="AA859" s="189" t="s">
        <v>3092</v>
      </c>
    </row>
    <row r="860" customFormat="false" ht="15" hidden="false" customHeight="false" outlineLevel="0" collapsed="false">
      <c r="A860" s="0" t="n">
        <v>175</v>
      </c>
      <c r="B860" s="191" t="n">
        <v>46119.5003133806</v>
      </c>
      <c r="C860" s="191" t="n">
        <v>46119.5203018066</v>
      </c>
      <c r="D860" s="189" t="s">
        <v>1362</v>
      </c>
      <c r="E860" s="189" t="s">
        <v>1363</v>
      </c>
      <c r="F860" s="189" t="s">
        <v>1363</v>
      </c>
      <c r="G860" s="189" t="s">
        <v>1364</v>
      </c>
      <c r="H860" s="191" t="n">
        <v>46117</v>
      </c>
      <c r="I860" s="189" t="s">
        <v>305</v>
      </c>
      <c r="J860" s="189" t="s">
        <v>108</v>
      </c>
      <c r="K860" s="189" t="s">
        <v>364</v>
      </c>
      <c r="L860" s="189" t="s">
        <v>286</v>
      </c>
      <c r="M860" s="189" t="s">
        <v>477</v>
      </c>
      <c r="N860" s="189" t="s">
        <v>1050</v>
      </c>
      <c r="O860" s="189" t="s">
        <v>172</v>
      </c>
      <c r="P860" s="189" t="s">
        <v>111</v>
      </c>
      <c r="Q860" s="189" t="s">
        <v>112</v>
      </c>
      <c r="R860" s="189" t="s">
        <v>22</v>
      </c>
      <c r="S860" s="189" t="s">
        <v>152</v>
      </c>
      <c r="T860" s="189" t="s">
        <v>121</v>
      </c>
      <c r="U860" s="189" t="s">
        <v>122</v>
      </c>
      <c r="V860" s="189" t="s">
        <v>167</v>
      </c>
      <c r="W860" s="189" t="s">
        <v>124</v>
      </c>
      <c r="X860" s="189" t="s">
        <v>148</v>
      </c>
      <c r="Y860" s="189" t="s">
        <v>3064</v>
      </c>
      <c r="Z860" s="0" t="n">
        <v>2</v>
      </c>
      <c r="AA860" s="189" t="s">
        <v>3076</v>
      </c>
    </row>
    <row r="861" customFormat="false" ht="15" hidden="false" customHeight="false" outlineLevel="0" collapsed="false">
      <c r="A861" s="0" t="n">
        <v>175</v>
      </c>
      <c r="B861" s="191" t="n">
        <v>46119.5003133806</v>
      </c>
      <c r="C861" s="191" t="n">
        <v>46119.5203018066</v>
      </c>
      <c r="D861" s="189" t="s">
        <v>1362</v>
      </c>
      <c r="E861" s="189" t="s">
        <v>1363</v>
      </c>
      <c r="F861" s="189" t="s">
        <v>1363</v>
      </c>
      <c r="G861" s="189" t="s">
        <v>1364</v>
      </c>
      <c r="H861" s="191" t="n">
        <v>46117</v>
      </c>
      <c r="I861" s="189" t="s">
        <v>305</v>
      </c>
      <c r="J861" s="189" t="s">
        <v>108</v>
      </c>
      <c r="K861" s="189" t="s">
        <v>364</v>
      </c>
      <c r="L861" s="189" t="s">
        <v>286</v>
      </c>
      <c r="M861" s="189" t="s">
        <v>477</v>
      </c>
      <c r="N861" s="189" t="s">
        <v>1050</v>
      </c>
      <c r="O861" s="189" t="s">
        <v>172</v>
      </c>
      <c r="P861" s="189" t="s">
        <v>111</v>
      </c>
      <c r="Q861" s="189" t="s">
        <v>112</v>
      </c>
      <c r="R861" s="189" t="s">
        <v>22</v>
      </c>
      <c r="S861" s="189" t="s">
        <v>152</v>
      </c>
      <c r="T861" s="189" t="s">
        <v>121</v>
      </c>
      <c r="U861" s="189" t="s">
        <v>122</v>
      </c>
      <c r="V861" s="189" t="s">
        <v>167</v>
      </c>
      <c r="W861" s="189" t="s">
        <v>124</v>
      </c>
      <c r="X861" s="189" t="s">
        <v>148</v>
      </c>
      <c r="Y861" s="189" t="s">
        <v>3064</v>
      </c>
      <c r="Z861" s="0" t="n">
        <v>3</v>
      </c>
      <c r="AA861" s="189" t="s">
        <v>3186</v>
      </c>
    </row>
    <row r="862" customFormat="false" ht="15" hidden="false" customHeight="false" outlineLevel="0" collapsed="false">
      <c r="A862" s="0" t="n">
        <v>175</v>
      </c>
      <c r="B862" s="191" t="n">
        <v>46119.5003133806</v>
      </c>
      <c r="C862" s="191" t="n">
        <v>46119.5203018066</v>
      </c>
      <c r="D862" s="189" t="s">
        <v>1362</v>
      </c>
      <c r="E862" s="189" t="s">
        <v>1363</v>
      </c>
      <c r="F862" s="189" t="s">
        <v>1363</v>
      </c>
      <c r="G862" s="189" t="s">
        <v>1364</v>
      </c>
      <c r="H862" s="191" t="n">
        <v>46117</v>
      </c>
      <c r="I862" s="189" t="s">
        <v>305</v>
      </c>
      <c r="J862" s="189" t="s">
        <v>108</v>
      </c>
      <c r="K862" s="189" t="s">
        <v>364</v>
      </c>
      <c r="L862" s="189" t="s">
        <v>286</v>
      </c>
      <c r="M862" s="189" t="s">
        <v>477</v>
      </c>
      <c r="N862" s="189" t="s">
        <v>1050</v>
      </c>
      <c r="O862" s="189" t="s">
        <v>172</v>
      </c>
      <c r="P862" s="189" t="s">
        <v>111</v>
      </c>
      <c r="Q862" s="189" t="s">
        <v>112</v>
      </c>
      <c r="R862" s="189" t="s">
        <v>22</v>
      </c>
      <c r="S862" s="189" t="s">
        <v>152</v>
      </c>
      <c r="T862" s="189" t="s">
        <v>121</v>
      </c>
      <c r="U862" s="189" t="s">
        <v>122</v>
      </c>
      <c r="V862" s="189" t="s">
        <v>167</v>
      </c>
      <c r="W862" s="189" t="s">
        <v>124</v>
      </c>
      <c r="X862" s="189" t="s">
        <v>148</v>
      </c>
      <c r="Y862" s="189" t="s">
        <v>3066</v>
      </c>
      <c r="Z862" s="0" t="n">
        <v>1</v>
      </c>
      <c r="AA862" s="189" t="s">
        <v>3078</v>
      </c>
    </row>
    <row r="863" customFormat="false" ht="15" hidden="false" customHeight="false" outlineLevel="0" collapsed="false">
      <c r="A863" s="0" t="n">
        <v>175</v>
      </c>
      <c r="B863" s="191" t="n">
        <v>46119.5003133806</v>
      </c>
      <c r="C863" s="191" t="n">
        <v>46119.5203018066</v>
      </c>
      <c r="D863" s="189" t="s">
        <v>1362</v>
      </c>
      <c r="E863" s="189" t="s">
        <v>1363</v>
      </c>
      <c r="F863" s="189" t="s">
        <v>1363</v>
      </c>
      <c r="G863" s="189" t="s">
        <v>1364</v>
      </c>
      <c r="H863" s="191" t="n">
        <v>46117</v>
      </c>
      <c r="I863" s="189" t="s">
        <v>305</v>
      </c>
      <c r="J863" s="189" t="s">
        <v>108</v>
      </c>
      <c r="K863" s="189" t="s">
        <v>364</v>
      </c>
      <c r="L863" s="189" t="s">
        <v>286</v>
      </c>
      <c r="M863" s="189" t="s">
        <v>477</v>
      </c>
      <c r="N863" s="189" t="s">
        <v>1050</v>
      </c>
      <c r="O863" s="189" t="s">
        <v>172</v>
      </c>
      <c r="P863" s="189" t="s">
        <v>111</v>
      </c>
      <c r="Q863" s="189" t="s">
        <v>112</v>
      </c>
      <c r="R863" s="189" t="s">
        <v>22</v>
      </c>
      <c r="S863" s="189" t="s">
        <v>152</v>
      </c>
      <c r="T863" s="189" t="s">
        <v>121</v>
      </c>
      <c r="U863" s="189" t="s">
        <v>122</v>
      </c>
      <c r="V863" s="189" t="s">
        <v>167</v>
      </c>
      <c r="W863" s="189" t="s">
        <v>124</v>
      </c>
      <c r="X863" s="189" t="s">
        <v>148</v>
      </c>
      <c r="Y863" s="189" t="s">
        <v>3069</v>
      </c>
      <c r="Z863" s="0" t="n">
        <v>1</v>
      </c>
      <c r="AA863" s="189" t="s">
        <v>3079</v>
      </c>
    </row>
    <row r="864" customFormat="false" ht="15" hidden="false" customHeight="false" outlineLevel="0" collapsed="false">
      <c r="A864" s="0" t="n">
        <v>175</v>
      </c>
      <c r="B864" s="191" t="n">
        <v>46119.5003133806</v>
      </c>
      <c r="C864" s="191" t="n">
        <v>46119.5203018066</v>
      </c>
      <c r="D864" s="189" t="s">
        <v>1362</v>
      </c>
      <c r="E864" s="189" t="s">
        <v>1363</v>
      </c>
      <c r="F864" s="189" t="s">
        <v>1363</v>
      </c>
      <c r="G864" s="189" t="s">
        <v>1364</v>
      </c>
      <c r="H864" s="191" t="n">
        <v>46117</v>
      </c>
      <c r="I864" s="189" t="s">
        <v>305</v>
      </c>
      <c r="J864" s="189" t="s">
        <v>108</v>
      </c>
      <c r="K864" s="189" t="s">
        <v>364</v>
      </c>
      <c r="L864" s="189" t="s">
        <v>286</v>
      </c>
      <c r="M864" s="189" t="s">
        <v>477</v>
      </c>
      <c r="N864" s="189" t="s">
        <v>1050</v>
      </c>
      <c r="O864" s="189" t="s">
        <v>172</v>
      </c>
      <c r="P864" s="189" t="s">
        <v>111</v>
      </c>
      <c r="Q864" s="189" t="s">
        <v>112</v>
      </c>
      <c r="R864" s="189" t="s">
        <v>22</v>
      </c>
      <c r="S864" s="189" t="s">
        <v>152</v>
      </c>
      <c r="T864" s="189" t="s">
        <v>121</v>
      </c>
      <c r="U864" s="189" t="s">
        <v>122</v>
      </c>
      <c r="V864" s="189" t="s">
        <v>167</v>
      </c>
      <c r="W864" s="189" t="s">
        <v>124</v>
      </c>
      <c r="X864" s="189" t="s">
        <v>148</v>
      </c>
      <c r="Y864" s="189" t="s">
        <v>3069</v>
      </c>
      <c r="Z864" s="0" t="n">
        <v>2</v>
      </c>
      <c r="AA864" s="189" t="s">
        <v>3282</v>
      </c>
    </row>
    <row r="865" customFormat="false" ht="15" hidden="false" customHeight="false" outlineLevel="0" collapsed="false">
      <c r="A865" s="0" t="n">
        <v>176</v>
      </c>
      <c r="B865" s="191" t="n">
        <v>46152.4170747177</v>
      </c>
      <c r="C865" s="191" t="n">
        <v>46152.4361256436</v>
      </c>
      <c r="D865" s="189" t="s">
        <v>1368</v>
      </c>
      <c r="E865" s="189" t="s">
        <v>1369</v>
      </c>
      <c r="F865" s="189" t="s">
        <v>1370</v>
      </c>
      <c r="G865" s="189" t="s">
        <v>1371</v>
      </c>
      <c r="H865" s="191" t="n">
        <v>46143</v>
      </c>
      <c r="I865" s="189" t="s">
        <v>113</v>
      </c>
      <c r="J865" s="189" t="s">
        <v>108</v>
      </c>
      <c r="K865" s="189" t="s">
        <v>1372</v>
      </c>
      <c r="L865" s="189" t="s">
        <v>130</v>
      </c>
      <c r="M865" s="189" t="s">
        <v>566</v>
      </c>
      <c r="N865" s="189" t="s">
        <v>357</v>
      </c>
      <c r="O865" s="189" t="s">
        <v>244</v>
      </c>
      <c r="P865" s="189" t="s">
        <v>111</v>
      </c>
      <c r="Q865" s="189" t="s">
        <v>112</v>
      </c>
      <c r="R865" s="189" t="s">
        <v>22</v>
      </c>
      <c r="S865" s="189" t="s">
        <v>152</v>
      </c>
      <c r="T865" s="189" t="s">
        <v>228</v>
      </c>
      <c r="U865" s="189" t="s">
        <v>1376</v>
      </c>
      <c r="V865" s="189" t="s">
        <v>123</v>
      </c>
      <c r="W865" s="189" t="s">
        <v>124</v>
      </c>
      <c r="X865" s="189" t="s">
        <v>715</v>
      </c>
      <c r="Y865" s="189" t="s">
        <v>3064</v>
      </c>
      <c r="Z865" s="0" t="n">
        <v>1</v>
      </c>
      <c r="AA865" s="189" t="s">
        <v>3252</v>
      </c>
    </row>
    <row r="866" customFormat="false" ht="15" hidden="false" customHeight="false" outlineLevel="0" collapsed="false">
      <c r="A866" s="0" t="n">
        <v>176</v>
      </c>
      <c r="B866" s="191" t="n">
        <v>46152.4170747177</v>
      </c>
      <c r="C866" s="191" t="n">
        <v>46152.4361256436</v>
      </c>
      <c r="D866" s="189" t="s">
        <v>1368</v>
      </c>
      <c r="E866" s="189" t="s">
        <v>1369</v>
      </c>
      <c r="F866" s="189" t="s">
        <v>1370</v>
      </c>
      <c r="G866" s="189" t="s">
        <v>1371</v>
      </c>
      <c r="H866" s="191" t="n">
        <v>46143</v>
      </c>
      <c r="I866" s="189" t="s">
        <v>113</v>
      </c>
      <c r="J866" s="189" t="s">
        <v>108</v>
      </c>
      <c r="K866" s="189" t="s">
        <v>1372</v>
      </c>
      <c r="L866" s="189" t="s">
        <v>130</v>
      </c>
      <c r="M866" s="189" t="s">
        <v>566</v>
      </c>
      <c r="N866" s="189" t="s">
        <v>357</v>
      </c>
      <c r="O866" s="189" t="s">
        <v>244</v>
      </c>
      <c r="P866" s="189" t="s">
        <v>111</v>
      </c>
      <c r="Q866" s="189" t="s">
        <v>112</v>
      </c>
      <c r="R866" s="189" t="s">
        <v>22</v>
      </c>
      <c r="S866" s="189" t="s">
        <v>152</v>
      </c>
      <c r="T866" s="189" t="s">
        <v>228</v>
      </c>
      <c r="U866" s="189" t="s">
        <v>1376</v>
      </c>
      <c r="V866" s="189" t="s">
        <v>123</v>
      </c>
      <c r="W866" s="189" t="s">
        <v>124</v>
      </c>
      <c r="X866" s="189" t="s">
        <v>715</v>
      </c>
      <c r="Y866" s="189" t="s">
        <v>3066</v>
      </c>
      <c r="Z866" s="0" t="n">
        <v>1</v>
      </c>
      <c r="AA866" s="189" t="s">
        <v>3231</v>
      </c>
    </row>
    <row r="867" customFormat="false" ht="15" hidden="false" customHeight="false" outlineLevel="0" collapsed="false">
      <c r="A867" s="0" t="n">
        <v>176</v>
      </c>
      <c r="B867" s="191" t="n">
        <v>46152.4170747177</v>
      </c>
      <c r="C867" s="191" t="n">
        <v>46152.4361256436</v>
      </c>
      <c r="D867" s="189" t="s">
        <v>1368</v>
      </c>
      <c r="E867" s="189" t="s">
        <v>1369</v>
      </c>
      <c r="F867" s="189" t="s">
        <v>1370</v>
      </c>
      <c r="G867" s="189" t="s">
        <v>1371</v>
      </c>
      <c r="H867" s="191" t="n">
        <v>46143</v>
      </c>
      <c r="I867" s="189" t="s">
        <v>113</v>
      </c>
      <c r="J867" s="189" t="s">
        <v>108</v>
      </c>
      <c r="K867" s="189" t="s">
        <v>1372</v>
      </c>
      <c r="L867" s="189" t="s">
        <v>130</v>
      </c>
      <c r="M867" s="189" t="s">
        <v>566</v>
      </c>
      <c r="N867" s="189" t="s">
        <v>357</v>
      </c>
      <c r="O867" s="189" t="s">
        <v>244</v>
      </c>
      <c r="P867" s="189" t="s">
        <v>111</v>
      </c>
      <c r="Q867" s="189" t="s">
        <v>112</v>
      </c>
      <c r="R867" s="189" t="s">
        <v>22</v>
      </c>
      <c r="S867" s="189" t="s">
        <v>152</v>
      </c>
      <c r="T867" s="189" t="s">
        <v>228</v>
      </c>
      <c r="U867" s="189" t="s">
        <v>1376</v>
      </c>
      <c r="V867" s="189" t="s">
        <v>123</v>
      </c>
      <c r="W867" s="189" t="s">
        <v>124</v>
      </c>
      <c r="X867" s="189" t="s">
        <v>715</v>
      </c>
      <c r="Y867" s="189" t="s">
        <v>3069</v>
      </c>
      <c r="Z867" s="0" t="n">
        <v>1</v>
      </c>
      <c r="AA867" s="189" t="s">
        <v>3232</v>
      </c>
    </row>
    <row r="868" customFormat="false" ht="15" hidden="false" customHeight="false" outlineLevel="0" collapsed="false">
      <c r="A868" s="0" t="n">
        <v>176</v>
      </c>
      <c r="B868" s="191" t="n">
        <v>46152.4170747177</v>
      </c>
      <c r="C868" s="191" t="n">
        <v>46152.4361256436</v>
      </c>
      <c r="D868" s="189" t="s">
        <v>1368</v>
      </c>
      <c r="E868" s="189" t="s">
        <v>1369</v>
      </c>
      <c r="F868" s="189" t="s">
        <v>1370</v>
      </c>
      <c r="G868" s="189" t="s">
        <v>1371</v>
      </c>
      <c r="H868" s="191" t="n">
        <v>46143</v>
      </c>
      <c r="I868" s="189" t="s">
        <v>113</v>
      </c>
      <c r="J868" s="189" t="s">
        <v>108</v>
      </c>
      <c r="K868" s="189" t="s">
        <v>1372</v>
      </c>
      <c r="L868" s="189" t="s">
        <v>130</v>
      </c>
      <c r="M868" s="189" t="s">
        <v>566</v>
      </c>
      <c r="N868" s="189" t="s">
        <v>357</v>
      </c>
      <c r="O868" s="189" t="s">
        <v>244</v>
      </c>
      <c r="P868" s="189" t="s">
        <v>111</v>
      </c>
      <c r="Q868" s="189" t="s">
        <v>112</v>
      </c>
      <c r="R868" s="189" t="s">
        <v>22</v>
      </c>
      <c r="S868" s="189" t="s">
        <v>152</v>
      </c>
      <c r="T868" s="189" t="s">
        <v>228</v>
      </c>
      <c r="U868" s="189" t="s">
        <v>1376</v>
      </c>
      <c r="V868" s="189" t="s">
        <v>123</v>
      </c>
      <c r="W868" s="189" t="s">
        <v>124</v>
      </c>
      <c r="X868" s="189" t="s">
        <v>715</v>
      </c>
      <c r="Y868" s="189" t="s">
        <v>3069</v>
      </c>
      <c r="Z868" s="0" t="n">
        <v>2</v>
      </c>
      <c r="AA868" s="189" t="s">
        <v>3229</v>
      </c>
    </row>
    <row r="869" customFormat="false" ht="15" hidden="false" customHeight="false" outlineLevel="0" collapsed="false">
      <c r="A869" s="0" t="n">
        <v>177</v>
      </c>
      <c r="B869" s="191" t="n">
        <v>46215.8590683469</v>
      </c>
      <c r="C869" s="191" t="n">
        <v>46215.8635359395</v>
      </c>
      <c r="D869" s="189" t="s">
        <v>1377</v>
      </c>
      <c r="E869" s="189" t="s">
        <v>1378</v>
      </c>
      <c r="F869" s="189" t="s">
        <v>1378</v>
      </c>
      <c r="G869" s="189" t="s">
        <v>1379</v>
      </c>
      <c r="H869" s="191" t="n">
        <v>46214</v>
      </c>
      <c r="I869" s="189" t="s">
        <v>132</v>
      </c>
      <c r="J869" s="189" t="s">
        <v>108</v>
      </c>
      <c r="K869" s="189" t="s">
        <v>364</v>
      </c>
      <c r="L869" s="189" t="s">
        <v>296</v>
      </c>
      <c r="M869" s="189" t="s">
        <v>1380</v>
      </c>
      <c r="N869" s="189" t="s">
        <v>1381</v>
      </c>
      <c r="O869" s="189" t="s">
        <v>107</v>
      </c>
      <c r="P869" s="189" t="s">
        <v>111</v>
      </c>
      <c r="Q869" s="189" t="s">
        <v>112</v>
      </c>
      <c r="R869" s="189" t="s">
        <v>22</v>
      </c>
      <c r="S869" s="189" t="s">
        <v>152</v>
      </c>
      <c r="T869" s="189" t="s">
        <v>180</v>
      </c>
      <c r="U869" s="189" t="s">
        <v>562</v>
      </c>
      <c r="V869" s="189" t="s">
        <v>123</v>
      </c>
      <c r="W869" s="189" t="s">
        <v>124</v>
      </c>
      <c r="X869" s="189" t="s">
        <v>116</v>
      </c>
      <c r="Y869" s="189" t="s">
        <v>3064</v>
      </c>
      <c r="Z869" s="0" t="n">
        <v>1</v>
      </c>
      <c r="AA869" s="189" t="s">
        <v>3095</v>
      </c>
    </row>
    <row r="870" customFormat="false" ht="15" hidden="false" customHeight="false" outlineLevel="0" collapsed="false">
      <c r="A870" s="0" t="n">
        <v>177</v>
      </c>
      <c r="B870" s="191" t="n">
        <v>46215.8590683469</v>
      </c>
      <c r="C870" s="191" t="n">
        <v>46215.8635359395</v>
      </c>
      <c r="D870" s="189" t="s">
        <v>1377</v>
      </c>
      <c r="E870" s="189" t="s">
        <v>1378</v>
      </c>
      <c r="F870" s="189" t="s">
        <v>1378</v>
      </c>
      <c r="G870" s="189" t="s">
        <v>1379</v>
      </c>
      <c r="H870" s="191" t="n">
        <v>46214</v>
      </c>
      <c r="I870" s="189" t="s">
        <v>132</v>
      </c>
      <c r="J870" s="189" t="s">
        <v>108</v>
      </c>
      <c r="K870" s="189" t="s">
        <v>364</v>
      </c>
      <c r="L870" s="189" t="s">
        <v>296</v>
      </c>
      <c r="M870" s="189" t="s">
        <v>1380</v>
      </c>
      <c r="N870" s="189" t="s">
        <v>1381</v>
      </c>
      <c r="O870" s="189" t="s">
        <v>107</v>
      </c>
      <c r="P870" s="189" t="s">
        <v>111</v>
      </c>
      <c r="Q870" s="189" t="s">
        <v>112</v>
      </c>
      <c r="R870" s="189" t="s">
        <v>22</v>
      </c>
      <c r="S870" s="189" t="s">
        <v>152</v>
      </c>
      <c r="T870" s="189" t="s">
        <v>180</v>
      </c>
      <c r="U870" s="189" t="s">
        <v>562</v>
      </c>
      <c r="V870" s="189" t="s">
        <v>123</v>
      </c>
      <c r="W870" s="189" t="s">
        <v>124</v>
      </c>
      <c r="X870" s="189" t="s">
        <v>116</v>
      </c>
      <c r="Y870" s="189" t="s">
        <v>3066</v>
      </c>
      <c r="Z870" s="0" t="n">
        <v>1</v>
      </c>
      <c r="AA870" s="189" t="s">
        <v>122</v>
      </c>
    </row>
    <row r="871" customFormat="false" ht="15" hidden="false" customHeight="false" outlineLevel="0" collapsed="false">
      <c r="A871" s="0" t="n">
        <v>177</v>
      </c>
      <c r="B871" s="191" t="n">
        <v>46215.8590683469</v>
      </c>
      <c r="C871" s="191" t="n">
        <v>46215.8635359395</v>
      </c>
      <c r="D871" s="189" t="s">
        <v>1377</v>
      </c>
      <c r="E871" s="189" t="s">
        <v>1378</v>
      </c>
      <c r="F871" s="189" t="s">
        <v>1378</v>
      </c>
      <c r="G871" s="189" t="s">
        <v>1379</v>
      </c>
      <c r="H871" s="191" t="n">
        <v>46214</v>
      </c>
      <c r="I871" s="189" t="s">
        <v>132</v>
      </c>
      <c r="J871" s="189" t="s">
        <v>108</v>
      </c>
      <c r="K871" s="189" t="s">
        <v>364</v>
      </c>
      <c r="L871" s="189" t="s">
        <v>296</v>
      </c>
      <c r="M871" s="189" t="s">
        <v>1380</v>
      </c>
      <c r="N871" s="189" t="s">
        <v>1381</v>
      </c>
      <c r="O871" s="189" t="s">
        <v>107</v>
      </c>
      <c r="P871" s="189" t="s">
        <v>111</v>
      </c>
      <c r="Q871" s="189" t="s">
        <v>112</v>
      </c>
      <c r="R871" s="189" t="s">
        <v>22</v>
      </c>
      <c r="S871" s="189" t="s">
        <v>152</v>
      </c>
      <c r="T871" s="189" t="s">
        <v>180</v>
      </c>
      <c r="U871" s="189" t="s">
        <v>562</v>
      </c>
      <c r="V871" s="189" t="s">
        <v>123</v>
      </c>
      <c r="W871" s="189" t="s">
        <v>124</v>
      </c>
      <c r="X871" s="189" t="s">
        <v>116</v>
      </c>
      <c r="Y871" s="189" t="s">
        <v>3069</v>
      </c>
      <c r="Z871" s="0" t="n">
        <v>1</v>
      </c>
      <c r="AA871" s="189" t="s">
        <v>122</v>
      </c>
    </row>
    <row r="872" customFormat="false" ht="15" hidden="false" customHeight="false" outlineLevel="0" collapsed="false">
      <c r="A872" s="0" t="n">
        <v>177</v>
      </c>
      <c r="B872" s="191" t="n">
        <v>46215.8590683469</v>
      </c>
      <c r="C872" s="191" t="n">
        <v>46215.8635359395</v>
      </c>
      <c r="D872" s="189" t="s">
        <v>1377</v>
      </c>
      <c r="E872" s="189" t="s">
        <v>1378</v>
      </c>
      <c r="F872" s="189" t="s">
        <v>1378</v>
      </c>
      <c r="G872" s="189" t="s">
        <v>1379</v>
      </c>
      <c r="H872" s="191" t="n">
        <v>46214</v>
      </c>
      <c r="I872" s="189" t="s">
        <v>132</v>
      </c>
      <c r="J872" s="189" t="s">
        <v>108</v>
      </c>
      <c r="K872" s="189" t="s">
        <v>364</v>
      </c>
      <c r="L872" s="189" t="s">
        <v>296</v>
      </c>
      <c r="M872" s="189" t="s">
        <v>1380</v>
      </c>
      <c r="N872" s="189" t="s">
        <v>1381</v>
      </c>
      <c r="O872" s="189" t="s">
        <v>107</v>
      </c>
      <c r="P872" s="189" t="s">
        <v>111</v>
      </c>
      <c r="Q872" s="189" t="s">
        <v>112</v>
      </c>
      <c r="R872" s="189" t="s">
        <v>22</v>
      </c>
      <c r="S872" s="189" t="s">
        <v>152</v>
      </c>
      <c r="T872" s="189" t="s">
        <v>180</v>
      </c>
      <c r="U872" s="189" t="s">
        <v>562</v>
      </c>
      <c r="V872" s="189" t="s">
        <v>123</v>
      </c>
      <c r="W872" s="189" t="s">
        <v>124</v>
      </c>
      <c r="X872" s="189" t="s">
        <v>116</v>
      </c>
      <c r="Y872" s="189" t="s">
        <v>3069</v>
      </c>
      <c r="Z872" s="0" t="n">
        <v>2</v>
      </c>
      <c r="AA872" s="189" t="s">
        <v>3083</v>
      </c>
    </row>
    <row r="873" customFormat="false" ht="15" hidden="false" customHeight="false" outlineLevel="0" collapsed="false">
      <c r="A873" s="0" t="n">
        <v>178</v>
      </c>
      <c r="B873" s="191" t="n">
        <v>46172.5915652542</v>
      </c>
      <c r="C873" s="191" t="n">
        <v>46172.6022365505</v>
      </c>
      <c r="D873" s="189" t="s">
        <v>1382</v>
      </c>
      <c r="E873" s="189" t="s">
        <v>1383</v>
      </c>
      <c r="F873" s="189" t="s">
        <v>1383</v>
      </c>
      <c r="G873" s="189" t="s">
        <v>1384</v>
      </c>
      <c r="H873" s="191" t="n">
        <v>46162</v>
      </c>
      <c r="I873" s="189" t="s">
        <v>113</v>
      </c>
      <c r="J873" s="189" t="s">
        <v>128</v>
      </c>
      <c r="K873" s="189" t="s">
        <v>173</v>
      </c>
      <c r="L873" s="189" t="s">
        <v>110</v>
      </c>
      <c r="M873" s="189" t="s">
        <v>944</v>
      </c>
      <c r="N873" s="189" t="s">
        <v>440</v>
      </c>
      <c r="O873" s="189" t="s">
        <v>278</v>
      </c>
      <c r="P873" s="189" t="s">
        <v>111</v>
      </c>
      <c r="Q873" s="189" t="s">
        <v>112</v>
      </c>
      <c r="R873" s="189" t="s">
        <v>23</v>
      </c>
      <c r="S873" s="189" t="s">
        <v>152</v>
      </c>
      <c r="T873" s="189" t="s">
        <v>352</v>
      </c>
      <c r="U873" s="189" t="s">
        <v>122</v>
      </c>
      <c r="V873" s="189" t="s">
        <v>123</v>
      </c>
      <c r="W873" s="189" t="s">
        <v>124</v>
      </c>
      <c r="X873" s="189" t="s">
        <v>442</v>
      </c>
      <c r="Y873" s="189" t="s">
        <v>3172</v>
      </c>
      <c r="Z873" s="0" t="n">
        <v>1</v>
      </c>
      <c r="AA873" s="189" t="s">
        <v>441</v>
      </c>
    </row>
    <row r="874" customFormat="false" ht="15" hidden="false" customHeight="false" outlineLevel="0" collapsed="false">
      <c r="A874" s="0" t="n">
        <v>179</v>
      </c>
      <c r="B874" s="191" t="n">
        <v>46160.4779811219</v>
      </c>
      <c r="C874" s="191" t="n">
        <v>46160.4851454738</v>
      </c>
      <c r="D874" s="189" t="s">
        <v>1385</v>
      </c>
      <c r="E874" s="189" t="s">
        <v>1386</v>
      </c>
      <c r="F874" s="189" t="s">
        <v>1386</v>
      </c>
      <c r="G874" s="189" t="s">
        <v>1387</v>
      </c>
      <c r="H874" s="191" t="n">
        <v>46145</v>
      </c>
      <c r="I874" s="189" t="s">
        <v>113</v>
      </c>
      <c r="J874" s="189" t="s">
        <v>108</v>
      </c>
      <c r="K874" s="189" t="s">
        <v>245</v>
      </c>
      <c r="L874" s="189" t="s">
        <v>159</v>
      </c>
      <c r="M874" s="189" t="s">
        <v>1388</v>
      </c>
      <c r="N874" s="189" t="s">
        <v>775</v>
      </c>
      <c r="O874" s="189" t="s">
        <v>172</v>
      </c>
      <c r="P874" s="189" t="s">
        <v>111</v>
      </c>
      <c r="Q874" s="189" t="s">
        <v>112</v>
      </c>
      <c r="R874" s="189" t="s">
        <v>22</v>
      </c>
      <c r="S874" s="189" t="s">
        <v>227</v>
      </c>
      <c r="T874" s="189" t="s">
        <v>121</v>
      </c>
      <c r="U874" s="189" t="s">
        <v>122</v>
      </c>
      <c r="V874" s="189" t="s">
        <v>192</v>
      </c>
      <c r="W874" s="189" t="s">
        <v>124</v>
      </c>
      <c r="X874" s="189" t="s">
        <v>381</v>
      </c>
      <c r="Y874" s="189" t="s">
        <v>3064</v>
      </c>
      <c r="Z874" s="0" t="n">
        <v>1</v>
      </c>
      <c r="AA874" s="189" t="s">
        <v>3233</v>
      </c>
    </row>
    <row r="875" customFormat="false" ht="15" hidden="false" customHeight="false" outlineLevel="0" collapsed="false">
      <c r="A875" s="0" t="n">
        <v>179</v>
      </c>
      <c r="B875" s="191" t="n">
        <v>46160.4779811219</v>
      </c>
      <c r="C875" s="191" t="n">
        <v>46160.4851454738</v>
      </c>
      <c r="D875" s="189" t="s">
        <v>1385</v>
      </c>
      <c r="E875" s="189" t="s">
        <v>1386</v>
      </c>
      <c r="F875" s="189" t="s">
        <v>1386</v>
      </c>
      <c r="G875" s="189" t="s">
        <v>1387</v>
      </c>
      <c r="H875" s="191" t="n">
        <v>46145</v>
      </c>
      <c r="I875" s="189" t="s">
        <v>113</v>
      </c>
      <c r="J875" s="189" t="s">
        <v>108</v>
      </c>
      <c r="K875" s="189" t="s">
        <v>245</v>
      </c>
      <c r="L875" s="189" t="s">
        <v>159</v>
      </c>
      <c r="M875" s="189" t="s">
        <v>1388</v>
      </c>
      <c r="N875" s="189" t="s">
        <v>775</v>
      </c>
      <c r="O875" s="189" t="s">
        <v>172</v>
      </c>
      <c r="P875" s="189" t="s">
        <v>111</v>
      </c>
      <c r="Q875" s="189" t="s">
        <v>112</v>
      </c>
      <c r="R875" s="189" t="s">
        <v>22</v>
      </c>
      <c r="S875" s="189" t="s">
        <v>227</v>
      </c>
      <c r="T875" s="189" t="s">
        <v>121</v>
      </c>
      <c r="U875" s="189" t="s">
        <v>122</v>
      </c>
      <c r="V875" s="189" t="s">
        <v>192</v>
      </c>
      <c r="W875" s="189" t="s">
        <v>124</v>
      </c>
      <c r="X875" s="189" t="s">
        <v>381</v>
      </c>
      <c r="Y875" s="189" t="s">
        <v>3066</v>
      </c>
      <c r="Z875" s="0" t="n">
        <v>1</v>
      </c>
      <c r="AA875" s="189" t="s">
        <v>3160</v>
      </c>
    </row>
    <row r="876" customFormat="false" ht="15" hidden="false" customHeight="false" outlineLevel="0" collapsed="false">
      <c r="A876" s="0" t="n">
        <v>179</v>
      </c>
      <c r="B876" s="191" t="n">
        <v>46160.4779811219</v>
      </c>
      <c r="C876" s="191" t="n">
        <v>46160.4851454738</v>
      </c>
      <c r="D876" s="189" t="s">
        <v>1385</v>
      </c>
      <c r="E876" s="189" t="s">
        <v>1386</v>
      </c>
      <c r="F876" s="189" t="s">
        <v>1386</v>
      </c>
      <c r="G876" s="189" t="s">
        <v>1387</v>
      </c>
      <c r="H876" s="191" t="n">
        <v>46145</v>
      </c>
      <c r="I876" s="189" t="s">
        <v>113</v>
      </c>
      <c r="J876" s="189" t="s">
        <v>108</v>
      </c>
      <c r="K876" s="189" t="s">
        <v>245</v>
      </c>
      <c r="L876" s="189" t="s">
        <v>159</v>
      </c>
      <c r="M876" s="189" t="s">
        <v>1388</v>
      </c>
      <c r="N876" s="189" t="s">
        <v>775</v>
      </c>
      <c r="O876" s="189" t="s">
        <v>172</v>
      </c>
      <c r="P876" s="189" t="s">
        <v>111</v>
      </c>
      <c r="Q876" s="189" t="s">
        <v>112</v>
      </c>
      <c r="R876" s="189" t="s">
        <v>22</v>
      </c>
      <c r="S876" s="189" t="s">
        <v>227</v>
      </c>
      <c r="T876" s="189" t="s">
        <v>121</v>
      </c>
      <c r="U876" s="189" t="s">
        <v>122</v>
      </c>
      <c r="V876" s="189" t="s">
        <v>192</v>
      </c>
      <c r="W876" s="189" t="s">
        <v>124</v>
      </c>
      <c r="X876" s="189" t="s">
        <v>381</v>
      </c>
      <c r="Y876" s="189" t="s">
        <v>3066</v>
      </c>
      <c r="Z876" s="0" t="n">
        <v>2</v>
      </c>
      <c r="AA876" s="189" t="s">
        <v>3250</v>
      </c>
    </row>
    <row r="877" customFormat="false" ht="15" hidden="false" customHeight="false" outlineLevel="0" collapsed="false">
      <c r="A877" s="0" t="n">
        <v>179</v>
      </c>
      <c r="B877" s="191" t="n">
        <v>46160.4779811219</v>
      </c>
      <c r="C877" s="191" t="n">
        <v>46160.4851454738</v>
      </c>
      <c r="D877" s="189" t="s">
        <v>1385</v>
      </c>
      <c r="E877" s="189" t="s">
        <v>1386</v>
      </c>
      <c r="F877" s="189" t="s">
        <v>1386</v>
      </c>
      <c r="G877" s="189" t="s">
        <v>1387</v>
      </c>
      <c r="H877" s="191" t="n">
        <v>46145</v>
      </c>
      <c r="I877" s="189" t="s">
        <v>113</v>
      </c>
      <c r="J877" s="189" t="s">
        <v>108</v>
      </c>
      <c r="K877" s="189" t="s">
        <v>245</v>
      </c>
      <c r="L877" s="189" t="s">
        <v>159</v>
      </c>
      <c r="M877" s="189" t="s">
        <v>1388</v>
      </c>
      <c r="N877" s="189" t="s">
        <v>775</v>
      </c>
      <c r="O877" s="189" t="s">
        <v>172</v>
      </c>
      <c r="P877" s="189" t="s">
        <v>111</v>
      </c>
      <c r="Q877" s="189" t="s">
        <v>112</v>
      </c>
      <c r="R877" s="189" t="s">
        <v>22</v>
      </c>
      <c r="S877" s="189" t="s">
        <v>227</v>
      </c>
      <c r="T877" s="189" t="s">
        <v>121</v>
      </c>
      <c r="U877" s="189" t="s">
        <v>122</v>
      </c>
      <c r="V877" s="189" t="s">
        <v>192</v>
      </c>
      <c r="W877" s="189" t="s">
        <v>124</v>
      </c>
      <c r="X877" s="189" t="s">
        <v>381</v>
      </c>
      <c r="Y877" s="189" t="s">
        <v>3069</v>
      </c>
      <c r="Z877" s="0" t="n">
        <v>1</v>
      </c>
      <c r="AA877" s="189" t="s">
        <v>3234</v>
      </c>
    </row>
    <row r="878" customFormat="false" ht="15" hidden="false" customHeight="false" outlineLevel="0" collapsed="false">
      <c r="A878" s="0" t="n">
        <v>179</v>
      </c>
      <c r="B878" s="191" t="n">
        <v>46160.4779811219</v>
      </c>
      <c r="C878" s="191" t="n">
        <v>46160.4851454738</v>
      </c>
      <c r="D878" s="189" t="s">
        <v>1385</v>
      </c>
      <c r="E878" s="189" t="s">
        <v>1386</v>
      </c>
      <c r="F878" s="189" t="s">
        <v>1386</v>
      </c>
      <c r="G878" s="189" t="s">
        <v>1387</v>
      </c>
      <c r="H878" s="191" t="n">
        <v>46145</v>
      </c>
      <c r="I878" s="189" t="s">
        <v>113</v>
      </c>
      <c r="J878" s="189" t="s">
        <v>108</v>
      </c>
      <c r="K878" s="189" t="s">
        <v>245</v>
      </c>
      <c r="L878" s="189" t="s">
        <v>159</v>
      </c>
      <c r="M878" s="189" t="s">
        <v>1388</v>
      </c>
      <c r="N878" s="189" t="s">
        <v>775</v>
      </c>
      <c r="O878" s="189" t="s">
        <v>172</v>
      </c>
      <c r="P878" s="189" t="s">
        <v>111</v>
      </c>
      <c r="Q878" s="189" t="s">
        <v>112</v>
      </c>
      <c r="R878" s="189" t="s">
        <v>22</v>
      </c>
      <c r="S878" s="189" t="s">
        <v>227</v>
      </c>
      <c r="T878" s="189" t="s">
        <v>121</v>
      </c>
      <c r="U878" s="189" t="s">
        <v>122</v>
      </c>
      <c r="V878" s="189" t="s">
        <v>192</v>
      </c>
      <c r="W878" s="189" t="s">
        <v>124</v>
      </c>
      <c r="X878" s="189" t="s">
        <v>381</v>
      </c>
      <c r="Y878" s="189" t="s">
        <v>3069</v>
      </c>
      <c r="Z878" s="0" t="n">
        <v>2</v>
      </c>
      <c r="AA878" s="189" t="s">
        <v>3163</v>
      </c>
    </row>
    <row r="879" customFormat="false" ht="15" hidden="false" customHeight="false" outlineLevel="0" collapsed="false">
      <c r="A879" s="0" t="n">
        <v>180</v>
      </c>
      <c r="B879" s="191" t="n">
        <v>46179.1209941503</v>
      </c>
      <c r="C879" s="191" t="n">
        <v>46179.1417464651</v>
      </c>
      <c r="D879" s="189" t="s">
        <v>1391</v>
      </c>
      <c r="E879" s="189" t="s">
        <v>1392</v>
      </c>
      <c r="F879" s="189" t="s">
        <v>1392</v>
      </c>
      <c r="G879" s="189" t="s">
        <v>1393</v>
      </c>
      <c r="H879" s="191" t="n">
        <v>46159</v>
      </c>
      <c r="I879" s="189" t="s">
        <v>113</v>
      </c>
      <c r="J879" s="189" t="s">
        <v>295</v>
      </c>
      <c r="K879" s="189" t="s">
        <v>196</v>
      </c>
      <c r="L879" s="189" t="s">
        <v>130</v>
      </c>
      <c r="M879" s="189" t="s">
        <v>594</v>
      </c>
      <c r="N879" s="189" t="s">
        <v>147</v>
      </c>
      <c r="O879" s="189" t="s">
        <v>278</v>
      </c>
      <c r="P879" s="189" t="s">
        <v>111</v>
      </c>
      <c r="Q879" s="189" t="s">
        <v>112</v>
      </c>
      <c r="R879" s="189" t="s">
        <v>22</v>
      </c>
      <c r="S879" s="189" t="s">
        <v>152</v>
      </c>
      <c r="T879" s="189" t="s">
        <v>264</v>
      </c>
      <c r="U879" s="189" t="s">
        <v>1395</v>
      </c>
      <c r="V879" s="189" t="s">
        <v>192</v>
      </c>
      <c r="W879" s="189" t="s">
        <v>168</v>
      </c>
      <c r="X879" s="189" t="s">
        <v>715</v>
      </c>
      <c r="Y879" s="189" t="s">
        <v>3064</v>
      </c>
      <c r="Z879" s="0" t="n">
        <v>1</v>
      </c>
      <c r="AA879" s="189" t="s">
        <v>3251</v>
      </c>
    </row>
    <row r="880" customFormat="false" ht="15" hidden="false" customHeight="false" outlineLevel="0" collapsed="false">
      <c r="A880" s="0" t="n">
        <v>180</v>
      </c>
      <c r="B880" s="191" t="n">
        <v>46179.1209941503</v>
      </c>
      <c r="C880" s="191" t="n">
        <v>46179.1417464651</v>
      </c>
      <c r="D880" s="189" t="s">
        <v>1391</v>
      </c>
      <c r="E880" s="189" t="s">
        <v>1392</v>
      </c>
      <c r="F880" s="189" t="s">
        <v>1392</v>
      </c>
      <c r="G880" s="189" t="s">
        <v>1393</v>
      </c>
      <c r="H880" s="191" t="n">
        <v>46159</v>
      </c>
      <c r="I880" s="189" t="s">
        <v>113</v>
      </c>
      <c r="J880" s="189" t="s">
        <v>295</v>
      </c>
      <c r="K880" s="189" t="s">
        <v>196</v>
      </c>
      <c r="L880" s="189" t="s">
        <v>130</v>
      </c>
      <c r="M880" s="189" t="s">
        <v>594</v>
      </c>
      <c r="N880" s="189" t="s">
        <v>147</v>
      </c>
      <c r="O880" s="189" t="s">
        <v>278</v>
      </c>
      <c r="P880" s="189" t="s">
        <v>111</v>
      </c>
      <c r="Q880" s="189" t="s">
        <v>112</v>
      </c>
      <c r="R880" s="189" t="s">
        <v>22</v>
      </c>
      <c r="S880" s="189" t="s">
        <v>152</v>
      </c>
      <c r="T880" s="189" t="s">
        <v>264</v>
      </c>
      <c r="U880" s="189" t="s">
        <v>1395</v>
      </c>
      <c r="V880" s="189" t="s">
        <v>192</v>
      </c>
      <c r="W880" s="189" t="s">
        <v>168</v>
      </c>
      <c r="X880" s="189" t="s">
        <v>715</v>
      </c>
      <c r="Y880" s="189" t="s">
        <v>3064</v>
      </c>
      <c r="Z880" s="0" t="n">
        <v>2</v>
      </c>
      <c r="AA880" s="189" t="s">
        <v>3252</v>
      </c>
    </row>
    <row r="881" customFormat="false" ht="15" hidden="false" customHeight="false" outlineLevel="0" collapsed="false">
      <c r="A881" s="0" t="n">
        <v>180</v>
      </c>
      <c r="B881" s="191" t="n">
        <v>46179.1209941503</v>
      </c>
      <c r="C881" s="191" t="n">
        <v>46179.1417464651</v>
      </c>
      <c r="D881" s="189" t="s">
        <v>1391</v>
      </c>
      <c r="E881" s="189" t="s">
        <v>1392</v>
      </c>
      <c r="F881" s="189" t="s">
        <v>1392</v>
      </c>
      <c r="G881" s="189" t="s">
        <v>1393</v>
      </c>
      <c r="H881" s="191" t="n">
        <v>46159</v>
      </c>
      <c r="I881" s="189" t="s">
        <v>113</v>
      </c>
      <c r="J881" s="189" t="s">
        <v>295</v>
      </c>
      <c r="K881" s="189" t="s">
        <v>196</v>
      </c>
      <c r="L881" s="189" t="s">
        <v>130</v>
      </c>
      <c r="M881" s="189" t="s">
        <v>594</v>
      </c>
      <c r="N881" s="189" t="s">
        <v>147</v>
      </c>
      <c r="O881" s="189" t="s">
        <v>278</v>
      </c>
      <c r="P881" s="189" t="s">
        <v>111</v>
      </c>
      <c r="Q881" s="189" t="s">
        <v>112</v>
      </c>
      <c r="R881" s="189" t="s">
        <v>22</v>
      </c>
      <c r="S881" s="189" t="s">
        <v>152</v>
      </c>
      <c r="T881" s="189" t="s">
        <v>264</v>
      </c>
      <c r="U881" s="189" t="s">
        <v>1395</v>
      </c>
      <c r="V881" s="189" t="s">
        <v>192</v>
      </c>
      <c r="W881" s="189" t="s">
        <v>168</v>
      </c>
      <c r="X881" s="189" t="s">
        <v>715</v>
      </c>
      <c r="Y881" s="189" t="s">
        <v>3066</v>
      </c>
      <c r="Z881" s="0" t="n">
        <v>1</v>
      </c>
      <c r="AA881" s="189" t="s">
        <v>2531</v>
      </c>
    </row>
    <row r="882" customFormat="false" ht="15" hidden="false" customHeight="false" outlineLevel="0" collapsed="false">
      <c r="A882" s="0" t="n">
        <v>180</v>
      </c>
      <c r="B882" s="191" t="n">
        <v>46179.1209941503</v>
      </c>
      <c r="C882" s="191" t="n">
        <v>46179.1417464651</v>
      </c>
      <c r="D882" s="189" t="s">
        <v>1391</v>
      </c>
      <c r="E882" s="189" t="s">
        <v>1392</v>
      </c>
      <c r="F882" s="189" t="s">
        <v>1392</v>
      </c>
      <c r="G882" s="189" t="s">
        <v>1393</v>
      </c>
      <c r="H882" s="191" t="n">
        <v>46159</v>
      </c>
      <c r="I882" s="189" t="s">
        <v>113</v>
      </c>
      <c r="J882" s="189" t="s">
        <v>295</v>
      </c>
      <c r="K882" s="189" t="s">
        <v>196</v>
      </c>
      <c r="L882" s="189" t="s">
        <v>130</v>
      </c>
      <c r="M882" s="189" t="s">
        <v>594</v>
      </c>
      <c r="N882" s="189" t="s">
        <v>147</v>
      </c>
      <c r="O882" s="189" t="s">
        <v>278</v>
      </c>
      <c r="P882" s="189" t="s">
        <v>111</v>
      </c>
      <c r="Q882" s="189" t="s">
        <v>112</v>
      </c>
      <c r="R882" s="189" t="s">
        <v>22</v>
      </c>
      <c r="S882" s="189" t="s">
        <v>152</v>
      </c>
      <c r="T882" s="189" t="s">
        <v>264</v>
      </c>
      <c r="U882" s="189" t="s">
        <v>1395</v>
      </c>
      <c r="V882" s="189" t="s">
        <v>192</v>
      </c>
      <c r="W882" s="189" t="s">
        <v>168</v>
      </c>
      <c r="X882" s="189" t="s">
        <v>715</v>
      </c>
      <c r="Y882" s="189" t="s">
        <v>3069</v>
      </c>
      <c r="Z882" s="0" t="n">
        <v>1</v>
      </c>
      <c r="AA882" s="189" t="s">
        <v>3228</v>
      </c>
    </row>
    <row r="883" customFormat="false" ht="15" hidden="false" customHeight="false" outlineLevel="0" collapsed="false">
      <c r="A883" s="0" t="n">
        <v>180</v>
      </c>
      <c r="B883" s="191" t="n">
        <v>46179.1209941503</v>
      </c>
      <c r="C883" s="191" t="n">
        <v>46179.1417464651</v>
      </c>
      <c r="D883" s="189" t="s">
        <v>1391</v>
      </c>
      <c r="E883" s="189" t="s">
        <v>1392</v>
      </c>
      <c r="F883" s="189" t="s">
        <v>1392</v>
      </c>
      <c r="G883" s="189" t="s">
        <v>1393</v>
      </c>
      <c r="H883" s="191" t="n">
        <v>46159</v>
      </c>
      <c r="I883" s="189" t="s">
        <v>113</v>
      </c>
      <c r="J883" s="189" t="s">
        <v>295</v>
      </c>
      <c r="K883" s="189" t="s">
        <v>196</v>
      </c>
      <c r="L883" s="189" t="s">
        <v>130</v>
      </c>
      <c r="M883" s="189" t="s">
        <v>594</v>
      </c>
      <c r="N883" s="189" t="s">
        <v>147</v>
      </c>
      <c r="O883" s="189" t="s">
        <v>278</v>
      </c>
      <c r="P883" s="189" t="s">
        <v>111</v>
      </c>
      <c r="Q883" s="189" t="s">
        <v>112</v>
      </c>
      <c r="R883" s="189" t="s">
        <v>22</v>
      </c>
      <c r="S883" s="189" t="s">
        <v>152</v>
      </c>
      <c r="T883" s="189" t="s">
        <v>264</v>
      </c>
      <c r="U883" s="189" t="s">
        <v>1395</v>
      </c>
      <c r="V883" s="189" t="s">
        <v>192</v>
      </c>
      <c r="W883" s="189" t="s">
        <v>168</v>
      </c>
      <c r="X883" s="189" t="s">
        <v>715</v>
      </c>
      <c r="Y883" s="189" t="s">
        <v>3069</v>
      </c>
      <c r="Z883" s="0" t="n">
        <v>2</v>
      </c>
      <c r="AA883" s="189" t="s">
        <v>3229</v>
      </c>
    </row>
    <row r="884" customFormat="false" ht="15" hidden="false" customHeight="false" outlineLevel="0" collapsed="false">
      <c r="A884" s="0" t="n">
        <v>181</v>
      </c>
      <c r="B884" s="191" t="n">
        <v>46112.4178414083</v>
      </c>
      <c r="C884" s="191" t="n">
        <v>46112.4247974268</v>
      </c>
      <c r="D884" s="189" t="s">
        <v>1396</v>
      </c>
      <c r="E884" s="189" t="s">
        <v>1397</v>
      </c>
      <c r="F884" s="189" t="s">
        <v>1397</v>
      </c>
      <c r="G884" s="189" t="s">
        <v>1398</v>
      </c>
      <c r="H884" s="191" t="n">
        <v>46100</v>
      </c>
      <c r="I884" s="189" t="s">
        <v>113</v>
      </c>
      <c r="J884" s="189" t="s">
        <v>295</v>
      </c>
      <c r="K884" s="189" t="s">
        <v>245</v>
      </c>
      <c r="L884" s="189" t="s">
        <v>286</v>
      </c>
      <c r="M884" s="189" t="s">
        <v>212</v>
      </c>
      <c r="N884" s="189" t="s">
        <v>1144</v>
      </c>
      <c r="O884" s="189" t="s">
        <v>244</v>
      </c>
      <c r="P884" s="189" t="s">
        <v>111</v>
      </c>
      <c r="Q884" s="189" t="s">
        <v>112</v>
      </c>
      <c r="R884" s="189" t="s">
        <v>24</v>
      </c>
      <c r="S884" s="189" t="s">
        <v>120</v>
      </c>
      <c r="T884" s="189" t="s">
        <v>121</v>
      </c>
      <c r="U884" s="189" t="s">
        <v>994</v>
      </c>
      <c r="V884" s="189" t="s">
        <v>123</v>
      </c>
      <c r="W884" s="189" t="s">
        <v>139</v>
      </c>
      <c r="X884" s="189" t="s">
        <v>223</v>
      </c>
      <c r="Y884" s="189" t="s">
        <v>3064</v>
      </c>
      <c r="Z884" s="0" t="n">
        <v>1</v>
      </c>
      <c r="AA884" s="189" t="s">
        <v>3104</v>
      </c>
    </row>
    <row r="885" customFormat="false" ht="15" hidden="false" customHeight="false" outlineLevel="0" collapsed="false">
      <c r="A885" s="0" t="n">
        <v>181</v>
      </c>
      <c r="B885" s="191" t="n">
        <v>46112.4178414083</v>
      </c>
      <c r="C885" s="191" t="n">
        <v>46112.4247974268</v>
      </c>
      <c r="D885" s="189" t="s">
        <v>1396</v>
      </c>
      <c r="E885" s="189" t="s">
        <v>1397</v>
      </c>
      <c r="F885" s="189" t="s">
        <v>1397</v>
      </c>
      <c r="G885" s="189" t="s">
        <v>1398</v>
      </c>
      <c r="H885" s="191" t="n">
        <v>46100</v>
      </c>
      <c r="I885" s="189" t="s">
        <v>113</v>
      </c>
      <c r="J885" s="189" t="s">
        <v>295</v>
      </c>
      <c r="K885" s="189" t="s">
        <v>245</v>
      </c>
      <c r="L885" s="189" t="s">
        <v>286</v>
      </c>
      <c r="M885" s="189" t="s">
        <v>212</v>
      </c>
      <c r="N885" s="189" t="s">
        <v>1144</v>
      </c>
      <c r="O885" s="189" t="s">
        <v>244</v>
      </c>
      <c r="P885" s="189" t="s">
        <v>111</v>
      </c>
      <c r="Q885" s="189" t="s">
        <v>112</v>
      </c>
      <c r="R885" s="189" t="s">
        <v>24</v>
      </c>
      <c r="S885" s="189" t="s">
        <v>120</v>
      </c>
      <c r="T885" s="189" t="s">
        <v>121</v>
      </c>
      <c r="U885" s="189" t="s">
        <v>994</v>
      </c>
      <c r="V885" s="189" t="s">
        <v>123</v>
      </c>
      <c r="W885" s="189" t="s">
        <v>139</v>
      </c>
      <c r="X885" s="189" t="s">
        <v>223</v>
      </c>
      <c r="Y885" s="189" t="s">
        <v>3064</v>
      </c>
      <c r="Z885" s="0" t="n">
        <v>2</v>
      </c>
      <c r="AA885" s="189" t="s">
        <v>3096</v>
      </c>
    </row>
    <row r="886" customFormat="false" ht="15" hidden="false" customHeight="false" outlineLevel="0" collapsed="false">
      <c r="A886" s="0" t="n">
        <v>181</v>
      </c>
      <c r="B886" s="191" t="n">
        <v>46112.4178414083</v>
      </c>
      <c r="C886" s="191" t="n">
        <v>46112.4247974268</v>
      </c>
      <c r="D886" s="189" t="s">
        <v>1396</v>
      </c>
      <c r="E886" s="189" t="s">
        <v>1397</v>
      </c>
      <c r="F886" s="189" t="s">
        <v>1397</v>
      </c>
      <c r="G886" s="189" t="s">
        <v>1398</v>
      </c>
      <c r="H886" s="191" t="n">
        <v>46100</v>
      </c>
      <c r="I886" s="189" t="s">
        <v>113</v>
      </c>
      <c r="J886" s="189" t="s">
        <v>295</v>
      </c>
      <c r="K886" s="189" t="s">
        <v>245</v>
      </c>
      <c r="L886" s="189" t="s">
        <v>286</v>
      </c>
      <c r="M886" s="189" t="s">
        <v>212</v>
      </c>
      <c r="N886" s="189" t="s">
        <v>1144</v>
      </c>
      <c r="O886" s="189" t="s">
        <v>244</v>
      </c>
      <c r="P886" s="189" t="s">
        <v>111</v>
      </c>
      <c r="Q886" s="189" t="s">
        <v>112</v>
      </c>
      <c r="R886" s="189" t="s">
        <v>24</v>
      </c>
      <c r="S886" s="189" t="s">
        <v>120</v>
      </c>
      <c r="T886" s="189" t="s">
        <v>121</v>
      </c>
      <c r="U886" s="189" t="s">
        <v>994</v>
      </c>
      <c r="V886" s="189" t="s">
        <v>123</v>
      </c>
      <c r="W886" s="189" t="s">
        <v>139</v>
      </c>
      <c r="X886" s="189" t="s">
        <v>223</v>
      </c>
      <c r="Y886" s="189" t="s">
        <v>3066</v>
      </c>
      <c r="Z886" s="0" t="n">
        <v>1</v>
      </c>
      <c r="AA886" s="189" t="s">
        <v>3100</v>
      </c>
    </row>
    <row r="887" customFormat="false" ht="15" hidden="false" customHeight="false" outlineLevel="0" collapsed="false">
      <c r="A887" s="0" t="n">
        <v>181</v>
      </c>
      <c r="B887" s="191" t="n">
        <v>46112.4178414083</v>
      </c>
      <c r="C887" s="191" t="n">
        <v>46112.4247974268</v>
      </c>
      <c r="D887" s="189" t="s">
        <v>1396</v>
      </c>
      <c r="E887" s="189" t="s">
        <v>1397</v>
      </c>
      <c r="F887" s="189" t="s">
        <v>1397</v>
      </c>
      <c r="G887" s="189" t="s">
        <v>1398</v>
      </c>
      <c r="H887" s="191" t="n">
        <v>46100</v>
      </c>
      <c r="I887" s="189" t="s">
        <v>113</v>
      </c>
      <c r="J887" s="189" t="s">
        <v>295</v>
      </c>
      <c r="K887" s="189" t="s">
        <v>245</v>
      </c>
      <c r="L887" s="189" t="s">
        <v>286</v>
      </c>
      <c r="M887" s="189" t="s">
        <v>212</v>
      </c>
      <c r="N887" s="189" t="s">
        <v>1144</v>
      </c>
      <c r="O887" s="189" t="s">
        <v>244</v>
      </c>
      <c r="P887" s="189" t="s">
        <v>111</v>
      </c>
      <c r="Q887" s="189" t="s">
        <v>112</v>
      </c>
      <c r="R887" s="189" t="s">
        <v>24</v>
      </c>
      <c r="S887" s="189" t="s">
        <v>120</v>
      </c>
      <c r="T887" s="189" t="s">
        <v>121</v>
      </c>
      <c r="U887" s="189" t="s">
        <v>994</v>
      </c>
      <c r="V887" s="189" t="s">
        <v>123</v>
      </c>
      <c r="W887" s="189" t="s">
        <v>139</v>
      </c>
      <c r="X887" s="189" t="s">
        <v>223</v>
      </c>
      <c r="Y887" s="189" t="s">
        <v>3069</v>
      </c>
      <c r="Z887" s="0" t="n">
        <v>1</v>
      </c>
      <c r="AA887" s="189" t="s">
        <v>3150</v>
      </c>
    </row>
    <row r="888" customFormat="false" ht="15" hidden="false" customHeight="false" outlineLevel="0" collapsed="false">
      <c r="A888" s="0" t="n">
        <v>182</v>
      </c>
      <c r="B888" s="191" t="n">
        <v>46064.8343045168</v>
      </c>
      <c r="C888" s="191" t="n">
        <v>46064.8464920168</v>
      </c>
      <c r="D888" s="189" t="s">
        <v>1401</v>
      </c>
      <c r="E888" s="189" t="s">
        <v>1402</v>
      </c>
      <c r="F888" s="189" t="s">
        <v>1402</v>
      </c>
      <c r="G888" s="189" t="s">
        <v>1403</v>
      </c>
      <c r="H888" s="191" t="n">
        <v>46051</v>
      </c>
      <c r="I888" s="189" t="s">
        <v>113</v>
      </c>
      <c r="J888" s="189" t="s">
        <v>108</v>
      </c>
      <c r="K888" s="189" t="s">
        <v>196</v>
      </c>
      <c r="L888" s="189" t="s">
        <v>210</v>
      </c>
      <c r="M888" s="189" t="s">
        <v>133</v>
      </c>
      <c r="N888" s="189" t="s">
        <v>567</v>
      </c>
      <c r="O888" s="189" t="s">
        <v>244</v>
      </c>
      <c r="P888" s="189" t="s">
        <v>111</v>
      </c>
      <c r="Q888" s="189" t="s">
        <v>112</v>
      </c>
      <c r="R888" s="189" t="s">
        <v>24</v>
      </c>
      <c r="S888" s="189" t="s">
        <v>152</v>
      </c>
      <c r="T888" s="189" t="s">
        <v>1406</v>
      </c>
      <c r="U888" s="189" t="s">
        <v>122</v>
      </c>
      <c r="V888" s="189" t="s">
        <v>192</v>
      </c>
      <c r="W888" s="189" t="s">
        <v>168</v>
      </c>
      <c r="X888" s="189" t="s">
        <v>223</v>
      </c>
      <c r="Y888" s="189" t="s">
        <v>3064</v>
      </c>
      <c r="Z888" s="0" t="n">
        <v>1</v>
      </c>
      <c r="AA888" s="189" t="s">
        <v>3120</v>
      </c>
    </row>
    <row r="889" customFormat="false" ht="15" hidden="false" customHeight="false" outlineLevel="0" collapsed="false">
      <c r="A889" s="0" t="n">
        <v>182</v>
      </c>
      <c r="B889" s="191" t="n">
        <v>46064.8343045168</v>
      </c>
      <c r="C889" s="191" t="n">
        <v>46064.8464920168</v>
      </c>
      <c r="D889" s="189" t="s">
        <v>1401</v>
      </c>
      <c r="E889" s="189" t="s">
        <v>1402</v>
      </c>
      <c r="F889" s="189" t="s">
        <v>1402</v>
      </c>
      <c r="G889" s="189" t="s">
        <v>1403</v>
      </c>
      <c r="H889" s="191" t="n">
        <v>46051</v>
      </c>
      <c r="I889" s="189" t="s">
        <v>113</v>
      </c>
      <c r="J889" s="189" t="s">
        <v>108</v>
      </c>
      <c r="K889" s="189" t="s">
        <v>196</v>
      </c>
      <c r="L889" s="189" t="s">
        <v>210</v>
      </c>
      <c r="M889" s="189" t="s">
        <v>133</v>
      </c>
      <c r="N889" s="189" t="s">
        <v>567</v>
      </c>
      <c r="O889" s="189" t="s">
        <v>244</v>
      </c>
      <c r="P889" s="189" t="s">
        <v>111</v>
      </c>
      <c r="Q889" s="189" t="s">
        <v>112</v>
      </c>
      <c r="R889" s="189" t="s">
        <v>24</v>
      </c>
      <c r="S889" s="189" t="s">
        <v>152</v>
      </c>
      <c r="T889" s="189" t="s">
        <v>1406</v>
      </c>
      <c r="U889" s="189" t="s">
        <v>122</v>
      </c>
      <c r="V889" s="189" t="s">
        <v>192</v>
      </c>
      <c r="W889" s="189" t="s">
        <v>168</v>
      </c>
      <c r="X889" s="189" t="s">
        <v>223</v>
      </c>
      <c r="Y889" s="189" t="s">
        <v>3064</v>
      </c>
      <c r="Z889" s="0" t="n">
        <v>2</v>
      </c>
      <c r="AA889" s="189" t="s">
        <v>3097</v>
      </c>
    </row>
    <row r="890" customFormat="false" ht="15" hidden="false" customHeight="false" outlineLevel="0" collapsed="false">
      <c r="A890" s="0" t="n">
        <v>182</v>
      </c>
      <c r="B890" s="191" t="n">
        <v>46064.8343045168</v>
      </c>
      <c r="C890" s="191" t="n">
        <v>46064.8464920168</v>
      </c>
      <c r="D890" s="189" t="s">
        <v>1401</v>
      </c>
      <c r="E890" s="189" t="s">
        <v>1402</v>
      </c>
      <c r="F890" s="189" t="s">
        <v>1402</v>
      </c>
      <c r="G890" s="189" t="s">
        <v>1403</v>
      </c>
      <c r="H890" s="191" t="n">
        <v>46051</v>
      </c>
      <c r="I890" s="189" t="s">
        <v>113</v>
      </c>
      <c r="J890" s="189" t="s">
        <v>108</v>
      </c>
      <c r="K890" s="189" t="s">
        <v>196</v>
      </c>
      <c r="L890" s="189" t="s">
        <v>210</v>
      </c>
      <c r="M890" s="189" t="s">
        <v>133</v>
      </c>
      <c r="N890" s="189" t="s">
        <v>567</v>
      </c>
      <c r="O890" s="189" t="s">
        <v>244</v>
      </c>
      <c r="P890" s="189" t="s">
        <v>111</v>
      </c>
      <c r="Q890" s="189" t="s">
        <v>112</v>
      </c>
      <c r="R890" s="189" t="s">
        <v>24</v>
      </c>
      <c r="S890" s="189" t="s">
        <v>152</v>
      </c>
      <c r="T890" s="189" t="s">
        <v>1406</v>
      </c>
      <c r="U890" s="189" t="s">
        <v>122</v>
      </c>
      <c r="V890" s="189" t="s">
        <v>192</v>
      </c>
      <c r="W890" s="189" t="s">
        <v>168</v>
      </c>
      <c r="X890" s="189" t="s">
        <v>223</v>
      </c>
      <c r="Y890" s="189" t="s">
        <v>3064</v>
      </c>
      <c r="Z890" s="0" t="n">
        <v>3</v>
      </c>
      <c r="AA890" s="189" t="s">
        <v>3121</v>
      </c>
    </row>
    <row r="891" customFormat="false" ht="15" hidden="false" customHeight="false" outlineLevel="0" collapsed="false">
      <c r="A891" s="0" t="n">
        <v>182</v>
      </c>
      <c r="B891" s="191" t="n">
        <v>46064.8343045168</v>
      </c>
      <c r="C891" s="191" t="n">
        <v>46064.8464920168</v>
      </c>
      <c r="D891" s="189" t="s">
        <v>1401</v>
      </c>
      <c r="E891" s="189" t="s">
        <v>1402</v>
      </c>
      <c r="F891" s="189" t="s">
        <v>1402</v>
      </c>
      <c r="G891" s="189" t="s">
        <v>1403</v>
      </c>
      <c r="H891" s="191" t="n">
        <v>46051</v>
      </c>
      <c r="I891" s="189" t="s">
        <v>113</v>
      </c>
      <c r="J891" s="189" t="s">
        <v>108</v>
      </c>
      <c r="K891" s="189" t="s">
        <v>196</v>
      </c>
      <c r="L891" s="189" t="s">
        <v>210</v>
      </c>
      <c r="M891" s="189" t="s">
        <v>133</v>
      </c>
      <c r="N891" s="189" t="s">
        <v>567</v>
      </c>
      <c r="O891" s="189" t="s">
        <v>244</v>
      </c>
      <c r="P891" s="189" t="s">
        <v>111</v>
      </c>
      <c r="Q891" s="189" t="s">
        <v>112</v>
      </c>
      <c r="R891" s="189" t="s">
        <v>24</v>
      </c>
      <c r="S891" s="189" t="s">
        <v>152</v>
      </c>
      <c r="T891" s="189" t="s">
        <v>1406</v>
      </c>
      <c r="U891" s="189" t="s">
        <v>122</v>
      </c>
      <c r="V891" s="189" t="s">
        <v>192</v>
      </c>
      <c r="W891" s="189" t="s">
        <v>168</v>
      </c>
      <c r="X891" s="189" t="s">
        <v>223</v>
      </c>
      <c r="Y891" s="189" t="s">
        <v>3066</v>
      </c>
      <c r="Z891" s="0" t="n">
        <v>1</v>
      </c>
      <c r="AA891" s="189" t="s">
        <v>3171</v>
      </c>
    </row>
    <row r="892" customFormat="false" ht="15" hidden="false" customHeight="false" outlineLevel="0" collapsed="false">
      <c r="A892" s="0" t="n">
        <v>182</v>
      </c>
      <c r="B892" s="191" t="n">
        <v>46064.8343045168</v>
      </c>
      <c r="C892" s="191" t="n">
        <v>46064.8464920168</v>
      </c>
      <c r="D892" s="189" t="s">
        <v>1401</v>
      </c>
      <c r="E892" s="189" t="s">
        <v>1402</v>
      </c>
      <c r="F892" s="189" t="s">
        <v>1402</v>
      </c>
      <c r="G892" s="189" t="s">
        <v>1403</v>
      </c>
      <c r="H892" s="191" t="n">
        <v>46051</v>
      </c>
      <c r="I892" s="189" t="s">
        <v>113</v>
      </c>
      <c r="J892" s="189" t="s">
        <v>108</v>
      </c>
      <c r="K892" s="189" t="s">
        <v>196</v>
      </c>
      <c r="L892" s="189" t="s">
        <v>210</v>
      </c>
      <c r="M892" s="189" t="s">
        <v>133</v>
      </c>
      <c r="N892" s="189" t="s">
        <v>567</v>
      </c>
      <c r="O892" s="189" t="s">
        <v>244</v>
      </c>
      <c r="P892" s="189" t="s">
        <v>111</v>
      </c>
      <c r="Q892" s="189" t="s">
        <v>112</v>
      </c>
      <c r="R892" s="189" t="s">
        <v>24</v>
      </c>
      <c r="S892" s="189" t="s">
        <v>152</v>
      </c>
      <c r="T892" s="189" t="s">
        <v>1406</v>
      </c>
      <c r="U892" s="189" t="s">
        <v>122</v>
      </c>
      <c r="V892" s="189" t="s">
        <v>192</v>
      </c>
      <c r="W892" s="189" t="s">
        <v>168</v>
      </c>
      <c r="X892" s="189" t="s">
        <v>223</v>
      </c>
      <c r="Y892" s="189" t="s">
        <v>3066</v>
      </c>
      <c r="Z892" s="0" t="n">
        <v>2</v>
      </c>
      <c r="AA892" s="189" t="s">
        <v>3170</v>
      </c>
    </row>
    <row r="893" customFormat="false" ht="15" hidden="false" customHeight="false" outlineLevel="0" collapsed="false">
      <c r="A893" s="0" t="n">
        <v>182</v>
      </c>
      <c r="B893" s="191" t="n">
        <v>46064.8343045168</v>
      </c>
      <c r="C893" s="191" t="n">
        <v>46064.8464920168</v>
      </c>
      <c r="D893" s="189" t="s">
        <v>1401</v>
      </c>
      <c r="E893" s="189" t="s">
        <v>1402</v>
      </c>
      <c r="F893" s="189" t="s">
        <v>1402</v>
      </c>
      <c r="G893" s="189" t="s">
        <v>1403</v>
      </c>
      <c r="H893" s="191" t="n">
        <v>46051</v>
      </c>
      <c r="I893" s="189" t="s">
        <v>113</v>
      </c>
      <c r="J893" s="189" t="s">
        <v>108</v>
      </c>
      <c r="K893" s="189" t="s">
        <v>196</v>
      </c>
      <c r="L893" s="189" t="s">
        <v>210</v>
      </c>
      <c r="M893" s="189" t="s">
        <v>133</v>
      </c>
      <c r="N893" s="189" t="s">
        <v>567</v>
      </c>
      <c r="O893" s="189" t="s">
        <v>244</v>
      </c>
      <c r="P893" s="189" t="s">
        <v>111</v>
      </c>
      <c r="Q893" s="189" t="s">
        <v>112</v>
      </c>
      <c r="R893" s="189" t="s">
        <v>24</v>
      </c>
      <c r="S893" s="189" t="s">
        <v>152</v>
      </c>
      <c r="T893" s="189" t="s">
        <v>1406</v>
      </c>
      <c r="U893" s="189" t="s">
        <v>122</v>
      </c>
      <c r="V893" s="189" t="s">
        <v>192</v>
      </c>
      <c r="W893" s="189" t="s">
        <v>168</v>
      </c>
      <c r="X893" s="189" t="s">
        <v>223</v>
      </c>
      <c r="Y893" s="189" t="s">
        <v>3069</v>
      </c>
      <c r="Z893" s="0" t="n">
        <v>1</v>
      </c>
      <c r="AA893" s="189" t="s">
        <v>3106</v>
      </c>
    </row>
    <row r="894" customFormat="false" ht="15" hidden="false" customHeight="false" outlineLevel="0" collapsed="false">
      <c r="A894" s="0" t="n">
        <v>182</v>
      </c>
      <c r="B894" s="191" t="n">
        <v>46064.8343045168</v>
      </c>
      <c r="C894" s="191" t="n">
        <v>46064.8464920168</v>
      </c>
      <c r="D894" s="189" t="s">
        <v>1401</v>
      </c>
      <c r="E894" s="189" t="s">
        <v>1402</v>
      </c>
      <c r="F894" s="189" t="s">
        <v>1402</v>
      </c>
      <c r="G894" s="189" t="s">
        <v>1403</v>
      </c>
      <c r="H894" s="191" t="n">
        <v>46051</v>
      </c>
      <c r="I894" s="189" t="s">
        <v>113</v>
      </c>
      <c r="J894" s="189" t="s">
        <v>108</v>
      </c>
      <c r="K894" s="189" t="s">
        <v>196</v>
      </c>
      <c r="L894" s="189" t="s">
        <v>210</v>
      </c>
      <c r="M894" s="189" t="s">
        <v>133</v>
      </c>
      <c r="N894" s="189" t="s">
        <v>567</v>
      </c>
      <c r="O894" s="189" t="s">
        <v>244</v>
      </c>
      <c r="P894" s="189" t="s">
        <v>111</v>
      </c>
      <c r="Q894" s="189" t="s">
        <v>112</v>
      </c>
      <c r="R894" s="189" t="s">
        <v>24</v>
      </c>
      <c r="S894" s="189" t="s">
        <v>152</v>
      </c>
      <c r="T894" s="189" t="s">
        <v>1406</v>
      </c>
      <c r="U894" s="189" t="s">
        <v>122</v>
      </c>
      <c r="V894" s="189" t="s">
        <v>192</v>
      </c>
      <c r="W894" s="189" t="s">
        <v>168</v>
      </c>
      <c r="X894" s="189" t="s">
        <v>223</v>
      </c>
      <c r="Y894" s="189" t="s">
        <v>3069</v>
      </c>
      <c r="Z894" s="0" t="n">
        <v>2</v>
      </c>
      <c r="AA894" s="189" t="s">
        <v>3150</v>
      </c>
    </row>
    <row r="895" customFormat="false" ht="15" hidden="false" customHeight="false" outlineLevel="0" collapsed="false">
      <c r="A895" s="0" t="n">
        <v>183</v>
      </c>
      <c r="B895" s="191" t="n">
        <v>46124.6431157911</v>
      </c>
      <c r="C895" s="191" t="n">
        <v>46124.6569005133</v>
      </c>
      <c r="D895" s="189" t="s">
        <v>1407</v>
      </c>
      <c r="E895" s="189" t="s">
        <v>1408</v>
      </c>
      <c r="F895" s="189" t="s">
        <v>1409</v>
      </c>
      <c r="G895" s="189" t="s">
        <v>1410</v>
      </c>
      <c r="H895" s="191" t="n">
        <v>46109</v>
      </c>
      <c r="I895" s="189" t="s">
        <v>113</v>
      </c>
      <c r="J895" s="189" t="s">
        <v>295</v>
      </c>
      <c r="K895" s="189" t="s">
        <v>232</v>
      </c>
      <c r="L895" s="189" t="s">
        <v>197</v>
      </c>
      <c r="M895" s="189" t="s">
        <v>160</v>
      </c>
      <c r="N895" s="189" t="s">
        <v>899</v>
      </c>
      <c r="O895" s="189" t="s">
        <v>244</v>
      </c>
      <c r="P895" s="189" t="s">
        <v>211</v>
      </c>
      <c r="Q895" s="189" t="s">
        <v>112</v>
      </c>
      <c r="R895" s="189" t="s">
        <v>24</v>
      </c>
      <c r="S895" s="189" t="s">
        <v>152</v>
      </c>
      <c r="T895" s="189" t="s">
        <v>165</v>
      </c>
      <c r="U895" s="189" t="s">
        <v>426</v>
      </c>
      <c r="V895" s="189" t="s">
        <v>123</v>
      </c>
      <c r="W895" s="189" t="s">
        <v>124</v>
      </c>
      <c r="X895" s="189" t="s">
        <v>19</v>
      </c>
      <c r="Y895" s="189" t="s">
        <v>3172</v>
      </c>
      <c r="Z895" s="0" t="n">
        <v>1</v>
      </c>
      <c r="AA895" s="189" t="s">
        <v>880</v>
      </c>
    </row>
    <row r="896" customFormat="false" ht="15" hidden="false" customHeight="false" outlineLevel="0" collapsed="false">
      <c r="A896" s="0" t="n">
        <v>184</v>
      </c>
      <c r="B896" s="191" t="n">
        <v>46155.5206566044</v>
      </c>
      <c r="C896" s="191" t="n">
        <v>46155.5282144747</v>
      </c>
      <c r="D896" s="189" t="s">
        <v>1411</v>
      </c>
      <c r="E896" s="189" t="s">
        <v>1412</v>
      </c>
      <c r="F896" s="189" t="s">
        <v>1412</v>
      </c>
      <c r="G896" s="189" t="s">
        <v>1413</v>
      </c>
      <c r="H896" s="191" t="n">
        <v>46137</v>
      </c>
      <c r="I896" s="189" t="s">
        <v>113</v>
      </c>
      <c r="J896" s="189" t="s">
        <v>108</v>
      </c>
      <c r="K896" s="189" t="s">
        <v>173</v>
      </c>
      <c r="L896" s="189" t="s">
        <v>130</v>
      </c>
      <c r="M896" s="189" t="s">
        <v>447</v>
      </c>
      <c r="N896" s="189" t="s">
        <v>819</v>
      </c>
      <c r="O896" s="189" t="s">
        <v>107</v>
      </c>
      <c r="P896" s="189" t="s">
        <v>111</v>
      </c>
      <c r="Q896" s="189" t="s">
        <v>112</v>
      </c>
      <c r="R896" s="189" t="s">
        <v>22</v>
      </c>
      <c r="S896" s="189" t="s">
        <v>120</v>
      </c>
      <c r="T896" s="189" t="s">
        <v>180</v>
      </c>
      <c r="V896" s="189" t="s">
        <v>192</v>
      </c>
      <c r="W896" s="189" t="s">
        <v>124</v>
      </c>
      <c r="X896" s="189" t="s">
        <v>715</v>
      </c>
      <c r="Y896" s="189" t="s">
        <v>3064</v>
      </c>
      <c r="Z896" s="0" t="n">
        <v>1</v>
      </c>
      <c r="AA896" s="189" t="s">
        <v>3251</v>
      </c>
    </row>
    <row r="897" customFormat="false" ht="15" hidden="false" customHeight="false" outlineLevel="0" collapsed="false">
      <c r="A897" s="0" t="n">
        <v>184</v>
      </c>
      <c r="B897" s="191" t="n">
        <v>46155.5206566044</v>
      </c>
      <c r="C897" s="191" t="n">
        <v>46155.5282144747</v>
      </c>
      <c r="D897" s="189" t="s">
        <v>1411</v>
      </c>
      <c r="E897" s="189" t="s">
        <v>1412</v>
      </c>
      <c r="F897" s="189" t="s">
        <v>1412</v>
      </c>
      <c r="G897" s="189" t="s">
        <v>1413</v>
      </c>
      <c r="H897" s="191" t="n">
        <v>46137</v>
      </c>
      <c r="I897" s="189" t="s">
        <v>113</v>
      </c>
      <c r="J897" s="189" t="s">
        <v>108</v>
      </c>
      <c r="K897" s="189" t="s">
        <v>173</v>
      </c>
      <c r="L897" s="189" t="s">
        <v>130</v>
      </c>
      <c r="M897" s="189" t="s">
        <v>447</v>
      </c>
      <c r="N897" s="189" t="s">
        <v>819</v>
      </c>
      <c r="O897" s="189" t="s">
        <v>107</v>
      </c>
      <c r="P897" s="189" t="s">
        <v>111</v>
      </c>
      <c r="Q897" s="189" t="s">
        <v>112</v>
      </c>
      <c r="R897" s="189" t="s">
        <v>22</v>
      </c>
      <c r="S897" s="189" t="s">
        <v>120</v>
      </c>
      <c r="T897" s="189" t="s">
        <v>180</v>
      </c>
      <c r="V897" s="189" t="s">
        <v>192</v>
      </c>
      <c r="W897" s="189" t="s">
        <v>124</v>
      </c>
      <c r="X897" s="189" t="s">
        <v>715</v>
      </c>
      <c r="Y897" s="189" t="s">
        <v>3064</v>
      </c>
      <c r="Z897" s="0" t="n">
        <v>2</v>
      </c>
      <c r="AA897" s="189" t="s">
        <v>3252</v>
      </c>
    </row>
    <row r="898" customFormat="false" ht="15" hidden="false" customHeight="false" outlineLevel="0" collapsed="false">
      <c r="A898" s="0" t="n">
        <v>184</v>
      </c>
      <c r="B898" s="191" t="n">
        <v>46155.5206566044</v>
      </c>
      <c r="C898" s="191" t="n">
        <v>46155.5282144747</v>
      </c>
      <c r="D898" s="189" t="s">
        <v>1411</v>
      </c>
      <c r="E898" s="189" t="s">
        <v>1412</v>
      </c>
      <c r="F898" s="189" t="s">
        <v>1412</v>
      </c>
      <c r="G898" s="189" t="s">
        <v>1413</v>
      </c>
      <c r="H898" s="191" t="n">
        <v>46137</v>
      </c>
      <c r="I898" s="189" t="s">
        <v>113</v>
      </c>
      <c r="J898" s="189" t="s">
        <v>108</v>
      </c>
      <c r="K898" s="189" t="s">
        <v>173</v>
      </c>
      <c r="L898" s="189" t="s">
        <v>130</v>
      </c>
      <c r="M898" s="189" t="s">
        <v>447</v>
      </c>
      <c r="N898" s="189" t="s">
        <v>819</v>
      </c>
      <c r="O898" s="189" t="s">
        <v>107</v>
      </c>
      <c r="P898" s="189" t="s">
        <v>111</v>
      </c>
      <c r="Q898" s="189" t="s">
        <v>112</v>
      </c>
      <c r="R898" s="189" t="s">
        <v>22</v>
      </c>
      <c r="S898" s="189" t="s">
        <v>120</v>
      </c>
      <c r="T898" s="189" t="s">
        <v>180</v>
      </c>
      <c r="V898" s="189" t="s">
        <v>192</v>
      </c>
      <c r="W898" s="189" t="s">
        <v>124</v>
      </c>
      <c r="X898" s="189" t="s">
        <v>715</v>
      </c>
      <c r="Y898" s="189" t="s">
        <v>3066</v>
      </c>
      <c r="Z898" s="0" t="n">
        <v>1</v>
      </c>
      <c r="AA898" s="189" t="s">
        <v>2531</v>
      </c>
    </row>
    <row r="899" customFormat="false" ht="15" hidden="false" customHeight="false" outlineLevel="0" collapsed="false">
      <c r="A899" s="0" t="n">
        <v>184</v>
      </c>
      <c r="B899" s="191" t="n">
        <v>46155.5206566044</v>
      </c>
      <c r="C899" s="191" t="n">
        <v>46155.5282144747</v>
      </c>
      <c r="D899" s="189" t="s">
        <v>1411</v>
      </c>
      <c r="E899" s="189" t="s">
        <v>1412</v>
      </c>
      <c r="F899" s="189" t="s">
        <v>1412</v>
      </c>
      <c r="G899" s="189" t="s">
        <v>1413</v>
      </c>
      <c r="H899" s="191" t="n">
        <v>46137</v>
      </c>
      <c r="I899" s="189" t="s">
        <v>113</v>
      </c>
      <c r="J899" s="189" t="s">
        <v>108</v>
      </c>
      <c r="K899" s="189" t="s">
        <v>173</v>
      </c>
      <c r="L899" s="189" t="s">
        <v>130</v>
      </c>
      <c r="M899" s="189" t="s">
        <v>447</v>
      </c>
      <c r="N899" s="189" t="s">
        <v>819</v>
      </c>
      <c r="O899" s="189" t="s">
        <v>107</v>
      </c>
      <c r="P899" s="189" t="s">
        <v>111</v>
      </c>
      <c r="Q899" s="189" t="s">
        <v>112</v>
      </c>
      <c r="R899" s="189" t="s">
        <v>22</v>
      </c>
      <c r="S899" s="189" t="s">
        <v>120</v>
      </c>
      <c r="T899" s="189" t="s">
        <v>180</v>
      </c>
      <c r="V899" s="189" t="s">
        <v>192</v>
      </c>
      <c r="W899" s="189" t="s">
        <v>124</v>
      </c>
      <c r="X899" s="189" t="s">
        <v>715</v>
      </c>
      <c r="Y899" s="189" t="s">
        <v>3069</v>
      </c>
      <c r="Z899" s="0" t="n">
        <v>1</v>
      </c>
      <c r="AA899" s="189" t="s">
        <v>3232</v>
      </c>
    </row>
    <row r="900" customFormat="false" ht="15" hidden="false" customHeight="false" outlineLevel="0" collapsed="false">
      <c r="A900" s="0" t="n">
        <v>185</v>
      </c>
      <c r="B900" s="191" t="n">
        <v>46047.2901629285</v>
      </c>
      <c r="C900" s="191" t="n">
        <v>46047.2935425582</v>
      </c>
      <c r="D900" s="189" t="s">
        <v>1414</v>
      </c>
      <c r="E900" s="189" t="s">
        <v>1415</v>
      </c>
      <c r="F900" s="189" t="s">
        <v>1415</v>
      </c>
      <c r="G900" s="189" t="s">
        <v>1416</v>
      </c>
      <c r="H900" s="191" t="n">
        <v>46043</v>
      </c>
      <c r="I900" s="189" t="s">
        <v>113</v>
      </c>
      <c r="J900" s="189" t="s">
        <v>295</v>
      </c>
      <c r="K900" s="189" t="s">
        <v>245</v>
      </c>
      <c r="L900" s="189" t="s">
        <v>184</v>
      </c>
      <c r="M900" s="189" t="s">
        <v>133</v>
      </c>
      <c r="N900" s="189" t="s">
        <v>200</v>
      </c>
      <c r="O900" s="189" t="s">
        <v>157</v>
      </c>
      <c r="P900" s="189" t="s">
        <v>111</v>
      </c>
      <c r="Q900" s="189" t="s">
        <v>145</v>
      </c>
      <c r="R900" s="189" t="s">
        <v>24</v>
      </c>
      <c r="S900" s="189" t="s">
        <v>152</v>
      </c>
      <c r="T900" s="189" t="s">
        <v>228</v>
      </c>
      <c r="U900" s="189" t="s">
        <v>1420</v>
      </c>
      <c r="V900" s="189" t="s">
        <v>123</v>
      </c>
      <c r="W900" s="189" t="s">
        <v>124</v>
      </c>
      <c r="X900" s="189" t="s">
        <v>260</v>
      </c>
      <c r="Y900" s="189" t="s">
        <v>3064</v>
      </c>
      <c r="Z900" s="0" t="n">
        <v>1</v>
      </c>
      <c r="AA900" s="189" t="s">
        <v>3288</v>
      </c>
    </row>
    <row r="901" customFormat="false" ht="15" hidden="false" customHeight="false" outlineLevel="0" collapsed="false">
      <c r="A901" s="0" t="n">
        <v>185</v>
      </c>
      <c r="B901" s="191" t="n">
        <v>46047.2901629285</v>
      </c>
      <c r="C901" s="191" t="n">
        <v>46047.2935425582</v>
      </c>
      <c r="D901" s="189" t="s">
        <v>1414</v>
      </c>
      <c r="E901" s="189" t="s">
        <v>1415</v>
      </c>
      <c r="F901" s="189" t="s">
        <v>1415</v>
      </c>
      <c r="G901" s="189" t="s">
        <v>1416</v>
      </c>
      <c r="H901" s="191" t="n">
        <v>46043</v>
      </c>
      <c r="I901" s="189" t="s">
        <v>113</v>
      </c>
      <c r="J901" s="189" t="s">
        <v>295</v>
      </c>
      <c r="K901" s="189" t="s">
        <v>245</v>
      </c>
      <c r="L901" s="189" t="s">
        <v>184</v>
      </c>
      <c r="M901" s="189" t="s">
        <v>133</v>
      </c>
      <c r="N901" s="189" t="s">
        <v>200</v>
      </c>
      <c r="O901" s="189" t="s">
        <v>157</v>
      </c>
      <c r="P901" s="189" t="s">
        <v>111</v>
      </c>
      <c r="Q901" s="189" t="s">
        <v>145</v>
      </c>
      <c r="R901" s="189" t="s">
        <v>24</v>
      </c>
      <c r="S901" s="189" t="s">
        <v>152</v>
      </c>
      <c r="T901" s="189" t="s">
        <v>228</v>
      </c>
      <c r="U901" s="189" t="s">
        <v>1420</v>
      </c>
      <c r="V901" s="189" t="s">
        <v>123</v>
      </c>
      <c r="W901" s="189" t="s">
        <v>124</v>
      </c>
      <c r="X901" s="189" t="s">
        <v>260</v>
      </c>
      <c r="Y901" s="189" t="s">
        <v>3064</v>
      </c>
      <c r="Z901" s="0" t="n">
        <v>2</v>
      </c>
      <c r="AA901" s="189" t="s">
        <v>3262</v>
      </c>
    </row>
    <row r="902" customFormat="false" ht="15" hidden="false" customHeight="false" outlineLevel="0" collapsed="false">
      <c r="A902" s="0" t="n">
        <v>185</v>
      </c>
      <c r="B902" s="191" t="n">
        <v>46047.2901629285</v>
      </c>
      <c r="C902" s="191" t="n">
        <v>46047.2935425582</v>
      </c>
      <c r="D902" s="189" t="s">
        <v>1414</v>
      </c>
      <c r="E902" s="189" t="s">
        <v>1415</v>
      </c>
      <c r="F902" s="189" t="s">
        <v>1415</v>
      </c>
      <c r="G902" s="189" t="s">
        <v>1416</v>
      </c>
      <c r="H902" s="191" t="n">
        <v>46043</v>
      </c>
      <c r="I902" s="189" t="s">
        <v>113</v>
      </c>
      <c r="J902" s="189" t="s">
        <v>295</v>
      </c>
      <c r="K902" s="189" t="s">
        <v>245</v>
      </c>
      <c r="L902" s="189" t="s">
        <v>184</v>
      </c>
      <c r="M902" s="189" t="s">
        <v>133</v>
      </c>
      <c r="N902" s="189" t="s">
        <v>200</v>
      </c>
      <c r="O902" s="189" t="s">
        <v>157</v>
      </c>
      <c r="P902" s="189" t="s">
        <v>111</v>
      </c>
      <c r="Q902" s="189" t="s">
        <v>145</v>
      </c>
      <c r="R902" s="189" t="s">
        <v>24</v>
      </c>
      <c r="S902" s="189" t="s">
        <v>152</v>
      </c>
      <c r="T902" s="189" t="s">
        <v>228</v>
      </c>
      <c r="U902" s="189" t="s">
        <v>1420</v>
      </c>
      <c r="V902" s="189" t="s">
        <v>123</v>
      </c>
      <c r="W902" s="189" t="s">
        <v>124</v>
      </c>
      <c r="X902" s="189" t="s">
        <v>260</v>
      </c>
      <c r="Y902" s="189" t="s">
        <v>3064</v>
      </c>
      <c r="Z902" s="0" t="n">
        <v>3</v>
      </c>
      <c r="AA902" s="189" t="s">
        <v>3109</v>
      </c>
    </row>
    <row r="903" customFormat="false" ht="15" hidden="false" customHeight="false" outlineLevel="0" collapsed="false">
      <c r="A903" s="0" t="n">
        <v>185</v>
      </c>
      <c r="B903" s="191" t="n">
        <v>46047.2901629285</v>
      </c>
      <c r="C903" s="191" t="n">
        <v>46047.2935425582</v>
      </c>
      <c r="D903" s="189" t="s">
        <v>1414</v>
      </c>
      <c r="E903" s="189" t="s">
        <v>1415</v>
      </c>
      <c r="F903" s="189" t="s">
        <v>1415</v>
      </c>
      <c r="G903" s="189" t="s">
        <v>1416</v>
      </c>
      <c r="H903" s="191" t="n">
        <v>46043</v>
      </c>
      <c r="I903" s="189" t="s">
        <v>113</v>
      </c>
      <c r="J903" s="189" t="s">
        <v>295</v>
      </c>
      <c r="K903" s="189" t="s">
        <v>245</v>
      </c>
      <c r="L903" s="189" t="s">
        <v>184</v>
      </c>
      <c r="M903" s="189" t="s">
        <v>133</v>
      </c>
      <c r="N903" s="189" t="s">
        <v>200</v>
      </c>
      <c r="O903" s="189" t="s">
        <v>157</v>
      </c>
      <c r="P903" s="189" t="s">
        <v>111</v>
      </c>
      <c r="Q903" s="189" t="s">
        <v>145</v>
      </c>
      <c r="R903" s="189" t="s">
        <v>24</v>
      </c>
      <c r="S903" s="189" t="s">
        <v>152</v>
      </c>
      <c r="T903" s="189" t="s">
        <v>228</v>
      </c>
      <c r="U903" s="189" t="s">
        <v>1420</v>
      </c>
      <c r="V903" s="189" t="s">
        <v>123</v>
      </c>
      <c r="W903" s="189" t="s">
        <v>124</v>
      </c>
      <c r="X903" s="189" t="s">
        <v>260</v>
      </c>
      <c r="Y903" s="189" t="s">
        <v>3066</v>
      </c>
      <c r="Z903" s="0" t="n">
        <v>1</v>
      </c>
      <c r="AA903" s="189" t="s">
        <v>3289</v>
      </c>
    </row>
    <row r="904" customFormat="false" ht="15" hidden="false" customHeight="false" outlineLevel="0" collapsed="false">
      <c r="A904" s="0" t="n">
        <v>185</v>
      </c>
      <c r="B904" s="191" t="n">
        <v>46047.2901629285</v>
      </c>
      <c r="C904" s="191" t="n">
        <v>46047.2935425582</v>
      </c>
      <c r="D904" s="189" t="s">
        <v>1414</v>
      </c>
      <c r="E904" s="189" t="s">
        <v>1415</v>
      </c>
      <c r="F904" s="189" t="s">
        <v>1415</v>
      </c>
      <c r="G904" s="189" t="s">
        <v>1416</v>
      </c>
      <c r="H904" s="191" t="n">
        <v>46043</v>
      </c>
      <c r="I904" s="189" t="s">
        <v>113</v>
      </c>
      <c r="J904" s="189" t="s">
        <v>295</v>
      </c>
      <c r="K904" s="189" t="s">
        <v>245</v>
      </c>
      <c r="L904" s="189" t="s">
        <v>184</v>
      </c>
      <c r="M904" s="189" t="s">
        <v>133</v>
      </c>
      <c r="N904" s="189" t="s">
        <v>200</v>
      </c>
      <c r="O904" s="189" t="s">
        <v>157</v>
      </c>
      <c r="P904" s="189" t="s">
        <v>111</v>
      </c>
      <c r="Q904" s="189" t="s">
        <v>145</v>
      </c>
      <c r="R904" s="189" t="s">
        <v>24</v>
      </c>
      <c r="S904" s="189" t="s">
        <v>152</v>
      </c>
      <c r="T904" s="189" t="s">
        <v>228</v>
      </c>
      <c r="U904" s="189" t="s">
        <v>1420</v>
      </c>
      <c r="V904" s="189" t="s">
        <v>123</v>
      </c>
      <c r="W904" s="189" t="s">
        <v>124</v>
      </c>
      <c r="X904" s="189" t="s">
        <v>260</v>
      </c>
      <c r="Y904" s="189" t="s">
        <v>3069</v>
      </c>
      <c r="Z904" s="0" t="n">
        <v>1</v>
      </c>
      <c r="AA904" s="189" t="s">
        <v>3259</v>
      </c>
    </row>
    <row r="905" customFormat="false" ht="15" hidden="false" customHeight="false" outlineLevel="0" collapsed="false">
      <c r="A905" s="0" t="n">
        <v>185</v>
      </c>
      <c r="B905" s="191" t="n">
        <v>46047.2901629285</v>
      </c>
      <c r="C905" s="191" t="n">
        <v>46047.2935425582</v>
      </c>
      <c r="D905" s="189" t="s">
        <v>1414</v>
      </c>
      <c r="E905" s="189" t="s">
        <v>1415</v>
      </c>
      <c r="F905" s="189" t="s">
        <v>1415</v>
      </c>
      <c r="G905" s="189" t="s">
        <v>1416</v>
      </c>
      <c r="H905" s="191" t="n">
        <v>46043</v>
      </c>
      <c r="I905" s="189" t="s">
        <v>113</v>
      </c>
      <c r="J905" s="189" t="s">
        <v>295</v>
      </c>
      <c r="K905" s="189" t="s">
        <v>245</v>
      </c>
      <c r="L905" s="189" t="s">
        <v>184</v>
      </c>
      <c r="M905" s="189" t="s">
        <v>133</v>
      </c>
      <c r="N905" s="189" t="s">
        <v>200</v>
      </c>
      <c r="O905" s="189" t="s">
        <v>157</v>
      </c>
      <c r="P905" s="189" t="s">
        <v>111</v>
      </c>
      <c r="Q905" s="189" t="s">
        <v>145</v>
      </c>
      <c r="R905" s="189" t="s">
        <v>24</v>
      </c>
      <c r="S905" s="189" t="s">
        <v>152</v>
      </c>
      <c r="T905" s="189" t="s">
        <v>228</v>
      </c>
      <c r="U905" s="189" t="s">
        <v>1420</v>
      </c>
      <c r="V905" s="189" t="s">
        <v>123</v>
      </c>
      <c r="W905" s="189" t="s">
        <v>124</v>
      </c>
      <c r="X905" s="189" t="s">
        <v>260</v>
      </c>
      <c r="Y905" s="189" t="s">
        <v>3069</v>
      </c>
      <c r="Z905" s="0" t="n">
        <v>2</v>
      </c>
      <c r="AA905" s="189" t="s">
        <v>3113</v>
      </c>
    </row>
    <row r="906" customFormat="false" ht="15" hidden="false" customHeight="false" outlineLevel="0" collapsed="false">
      <c r="A906" s="0" t="n">
        <v>186</v>
      </c>
      <c r="B906" s="191" t="n">
        <v>46159.8049111831</v>
      </c>
      <c r="C906" s="191" t="n">
        <v>46159.8065778498</v>
      </c>
      <c r="D906" s="189" t="s">
        <v>1421</v>
      </c>
      <c r="E906" s="189" t="s">
        <v>1422</v>
      </c>
      <c r="F906" s="189" t="s">
        <v>1422</v>
      </c>
      <c r="G906" s="189" t="s">
        <v>1423</v>
      </c>
      <c r="H906" s="191" t="n">
        <v>46145</v>
      </c>
      <c r="I906" s="189" t="s">
        <v>336</v>
      </c>
      <c r="J906" s="189" t="s">
        <v>108</v>
      </c>
      <c r="K906" s="189" t="s">
        <v>173</v>
      </c>
      <c r="L906" s="189" t="s">
        <v>114</v>
      </c>
      <c r="M906" s="189" t="s">
        <v>1074</v>
      </c>
      <c r="N906" s="189" t="s">
        <v>1094</v>
      </c>
      <c r="O906" s="189" t="s">
        <v>172</v>
      </c>
      <c r="P906" s="189" t="s">
        <v>211</v>
      </c>
      <c r="Q906" s="189" t="s">
        <v>112</v>
      </c>
      <c r="R906" s="189" t="s">
        <v>24</v>
      </c>
      <c r="S906" s="189" t="s">
        <v>120</v>
      </c>
      <c r="T906" s="189" t="s">
        <v>180</v>
      </c>
      <c r="V906" s="189" t="s">
        <v>192</v>
      </c>
      <c r="W906" s="189" t="s">
        <v>124</v>
      </c>
      <c r="X906" s="189" t="s">
        <v>448</v>
      </c>
      <c r="Y906" s="189" t="s">
        <v>3064</v>
      </c>
      <c r="Z906" s="0" t="n">
        <v>1</v>
      </c>
      <c r="AA906" s="189" t="s">
        <v>3174</v>
      </c>
    </row>
    <row r="907" customFormat="false" ht="15" hidden="false" customHeight="false" outlineLevel="0" collapsed="false">
      <c r="A907" s="0" t="n">
        <v>186</v>
      </c>
      <c r="B907" s="191" t="n">
        <v>46159.8049111831</v>
      </c>
      <c r="C907" s="191" t="n">
        <v>46159.8065778498</v>
      </c>
      <c r="D907" s="189" t="s">
        <v>1421</v>
      </c>
      <c r="E907" s="189" t="s">
        <v>1422</v>
      </c>
      <c r="F907" s="189" t="s">
        <v>1422</v>
      </c>
      <c r="G907" s="189" t="s">
        <v>1423</v>
      </c>
      <c r="H907" s="191" t="n">
        <v>46145</v>
      </c>
      <c r="I907" s="189" t="s">
        <v>336</v>
      </c>
      <c r="J907" s="189" t="s">
        <v>108</v>
      </c>
      <c r="K907" s="189" t="s">
        <v>173</v>
      </c>
      <c r="L907" s="189" t="s">
        <v>114</v>
      </c>
      <c r="M907" s="189" t="s">
        <v>1074</v>
      </c>
      <c r="N907" s="189" t="s">
        <v>1094</v>
      </c>
      <c r="O907" s="189" t="s">
        <v>172</v>
      </c>
      <c r="P907" s="189" t="s">
        <v>211</v>
      </c>
      <c r="Q907" s="189" t="s">
        <v>112</v>
      </c>
      <c r="R907" s="189" t="s">
        <v>24</v>
      </c>
      <c r="S907" s="189" t="s">
        <v>120</v>
      </c>
      <c r="T907" s="189" t="s">
        <v>180</v>
      </c>
      <c r="V907" s="189" t="s">
        <v>192</v>
      </c>
      <c r="W907" s="189" t="s">
        <v>124</v>
      </c>
      <c r="X907" s="189" t="s">
        <v>448</v>
      </c>
      <c r="Y907" s="189" t="s">
        <v>3064</v>
      </c>
      <c r="Z907" s="0" t="n">
        <v>2</v>
      </c>
      <c r="AA907" s="189" t="s">
        <v>3173</v>
      </c>
    </row>
    <row r="908" customFormat="false" ht="15" hidden="false" customHeight="false" outlineLevel="0" collapsed="false">
      <c r="A908" s="0" t="n">
        <v>186</v>
      </c>
      <c r="B908" s="191" t="n">
        <v>46159.8049111831</v>
      </c>
      <c r="C908" s="191" t="n">
        <v>46159.8065778498</v>
      </c>
      <c r="D908" s="189" t="s">
        <v>1421</v>
      </c>
      <c r="E908" s="189" t="s">
        <v>1422</v>
      </c>
      <c r="F908" s="189" t="s">
        <v>1422</v>
      </c>
      <c r="G908" s="189" t="s">
        <v>1423</v>
      </c>
      <c r="H908" s="191" t="n">
        <v>46145</v>
      </c>
      <c r="I908" s="189" t="s">
        <v>336</v>
      </c>
      <c r="J908" s="189" t="s">
        <v>108</v>
      </c>
      <c r="K908" s="189" t="s">
        <v>173</v>
      </c>
      <c r="L908" s="189" t="s">
        <v>114</v>
      </c>
      <c r="M908" s="189" t="s">
        <v>1074</v>
      </c>
      <c r="N908" s="189" t="s">
        <v>1094</v>
      </c>
      <c r="O908" s="189" t="s">
        <v>172</v>
      </c>
      <c r="P908" s="189" t="s">
        <v>211</v>
      </c>
      <c r="Q908" s="189" t="s">
        <v>112</v>
      </c>
      <c r="R908" s="189" t="s">
        <v>24</v>
      </c>
      <c r="S908" s="189" t="s">
        <v>120</v>
      </c>
      <c r="T908" s="189" t="s">
        <v>180</v>
      </c>
      <c r="V908" s="189" t="s">
        <v>192</v>
      </c>
      <c r="W908" s="189" t="s">
        <v>124</v>
      </c>
      <c r="X908" s="189" t="s">
        <v>448</v>
      </c>
      <c r="Y908" s="189" t="s">
        <v>3066</v>
      </c>
      <c r="Z908" s="0" t="n">
        <v>1</v>
      </c>
      <c r="AA908" s="189" t="s">
        <v>3279</v>
      </c>
    </row>
    <row r="909" customFormat="false" ht="15" hidden="false" customHeight="false" outlineLevel="0" collapsed="false">
      <c r="A909" s="0" t="n">
        <v>186</v>
      </c>
      <c r="B909" s="191" t="n">
        <v>46159.8049111831</v>
      </c>
      <c r="C909" s="191" t="n">
        <v>46159.8065778498</v>
      </c>
      <c r="D909" s="189" t="s">
        <v>1421</v>
      </c>
      <c r="E909" s="189" t="s">
        <v>1422</v>
      </c>
      <c r="F909" s="189" t="s">
        <v>1422</v>
      </c>
      <c r="G909" s="189" t="s">
        <v>1423</v>
      </c>
      <c r="H909" s="191" t="n">
        <v>46145</v>
      </c>
      <c r="I909" s="189" t="s">
        <v>336</v>
      </c>
      <c r="J909" s="189" t="s">
        <v>108</v>
      </c>
      <c r="K909" s="189" t="s">
        <v>173</v>
      </c>
      <c r="L909" s="189" t="s">
        <v>114</v>
      </c>
      <c r="M909" s="189" t="s">
        <v>1074</v>
      </c>
      <c r="N909" s="189" t="s">
        <v>1094</v>
      </c>
      <c r="O909" s="189" t="s">
        <v>172</v>
      </c>
      <c r="P909" s="189" t="s">
        <v>211</v>
      </c>
      <c r="Q909" s="189" t="s">
        <v>112</v>
      </c>
      <c r="R909" s="189" t="s">
        <v>24</v>
      </c>
      <c r="S909" s="189" t="s">
        <v>120</v>
      </c>
      <c r="T909" s="189" t="s">
        <v>180</v>
      </c>
      <c r="V909" s="189" t="s">
        <v>192</v>
      </c>
      <c r="W909" s="189" t="s">
        <v>124</v>
      </c>
      <c r="X909" s="189" t="s">
        <v>448</v>
      </c>
      <c r="Y909" s="189" t="s">
        <v>3069</v>
      </c>
      <c r="Z909" s="0" t="n">
        <v>1</v>
      </c>
      <c r="AA909" s="189" t="s">
        <v>3179</v>
      </c>
    </row>
    <row r="910" customFormat="false" ht="15" hidden="false" customHeight="false" outlineLevel="0" collapsed="false">
      <c r="A910" s="0" t="n">
        <v>186</v>
      </c>
      <c r="B910" s="191" t="n">
        <v>46159.8049111831</v>
      </c>
      <c r="C910" s="191" t="n">
        <v>46159.8065778498</v>
      </c>
      <c r="D910" s="189" t="s">
        <v>1421</v>
      </c>
      <c r="E910" s="189" t="s">
        <v>1422</v>
      </c>
      <c r="F910" s="189" t="s">
        <v>1422</v>
      </c>
      <c r="G910" s="189" t="s">
        <v>1423</v>
      </c>
      <c r="H910" s="191" t="n">
        <v>46145</v>
      </c>
      <c r="I910" s="189" t="s">
        <v>336</v>
      </c>
      <c r="J910" s="189" t="s">
        <v>108</v>
      </c>
      <c r="K910" s="189" t="s">
        <v>173</v>
      </c>
      <c r="L910" s="189" t="s">
        <v>114</v>
      </c>
      <c r="M910" s="189" t="s">
        <v>1074</v>
      </c>
      <c r="N910" s="189" t="s">
        <v>1094</v>
      </c>
      <c r="O910" s="189" t="s">
        <v>172</v>
      </c>
      <c r="P910" s="189" t="s">
        <v>211</v>
      </c>
      <c r="Q910" s="189" t="s">
        <v>112</v>
      </c>
      <c r="R910" s="189" t="s">
        <v>24</v>
      </c>
      <c r="S910" s="189" t="s">
        <v>120</v>
      </c>
      <c r="T910" s="189" t="s">
        <v>180</v>
      </c>
      <c r="V910" s="189" t="s">
        <v>192</v>
      </c>
      <c r="W910" s="189" t="s">
        <v>124</v>
      </c>
      <c r="X910" s="189" t="s">
        <v>448</v>
      </c>
      <c r="Y910" s="189" t="s">
        <v>3069</v>
      </c>
      <c r="Z910" s="0" t="n">
        <v>2</v>
      </c>
      <c r="AA910" s="189" t="s">
        <v>3178</v>
      </c>
    </row>
    <row r="911" customFormat="false" ht="15" hidden="false" customHeight="false" outlineLevel="0" collapsed="false">
      <c r="A911" s="0" t="n">
        <v>187</v>
      </c>
      <c r="B911" s="191" t="n">
        <v>46216.214552064</v>
      </c>
      <c r="C911" s="191" t="n">
        <v>46216.2162187307</v>
      </c>
      <c r="D911" s="189" t="s">
        <v>1426</v>
      </c>
      <c r="E911" s="189" t="s">
        <v>1427</v>
      </c>
      <c r="F911" s="189" t="s">
        <v>1428</v>
      </c>
      <c r="G911" s="189" t="s">
        <v>1429</v>
      </c>
      <c r="H911" s="191" t="n">
        <v>46213</v>
      </c>
      <c r="I911" s="189" t="s">
        <v>113</v>
      </c>
      <c r="J911" s="189" t="s">
        <v>108</v>
      </c>
      <c r="K911" s="189" t="s">
        <v>232</v>
      </c>
      <c r="L911" s="189" t="s">
        <v>286</v>
      </c>
      <c r="M911" s="189" t="s">
        <v>269</v>
      </c>
      <c r="N911" s="189" t="s">
        <v>775</v>
      </c>
      <c r="O911" s="189" t="s">
        <v>244</v>
      </c>
      <c r="P911" s="189" t="s">
        <v>111</v>
      </c>
      <c r="Q911" s="189" t="s">
        <v>112</v>
      </c>
      <c r="R911" s="189" t="s">
        <v>24</v>
      </c>
      <c r="S911" s="189" t="s">
        <v>120</v>
      </c>
      <c r="T911" s="189" t="s">
        <v>264</v>
      </c>
      <c r="U911" s="189" t="s">
        <v>122</v>
      </c>
      <c r="V911" s="189" t="s">
        <v>167</v>
      </c>
      <c r="W911" s="189" t="s">
        <v>124</v>
      </c>
      <c r="X911" s="189" t="s">
        <v>223</v>
      </c>
      <c r="Y911" s="189" t="s">
        <v>3064</v>
      </c>
      <c r="Z911" s="0" t="n">
        <v>1</v>
      </c>
      <c r="AA911" s="189" t="s">
        <v>3096</v>
      </c>
    </row>
    <row r="912" customFormat="false" ht="15" hidden="false" customHeight="false" outlineLevel="0" collapsed="false">
      <c r="A912" s="0" t="n">
        <v>187</v>
      </c>
      <c r="B912" s="191" t="n">
        <v>46216.214552064</v>
      </c>
      <c r="C912" s="191" t="n">
        <v>46216.2162187307</v>
      </c>
      <c r="D912" s="189" t="s">
        <v>1426</v>
      </c>
      <c r="E912" s="189" t="s">
        <v>1427</v>
      </c>
      <c r="F912" s="189" t="s">
        <v>1428</v>
      </c>
      <c r="G912" s="189" t="s">
        <v>1429</v>
      </c>
      <c r="H912" s="191" t="n">
        <v>46213</v>
      </c>
      <c r="I912" s="189" t="s">
        <v>113</v>
      </c>
      <c r="J912" s="189" t="s">
        <v>108</v>
      </c>
      <c r="K912" s="189" t="s">
        <v>232</v>
      </c>
      <c r="L912" s="189" t="s">
        <v>286</v>
      </c>
      <c r="M912" s="189" t="s">
        <v>269</v>
      </c>
      <c r="N912" s="189" t="s">
        <v>775</v>
      </c>
      <c r="O912" s="189" t="s">
        <v>244</v>
      </c>
      <c r="P912" s="189" t="s">
        <v>111</v>
      </c>
      <c r="Q912" s="189" t="s">
        <v>112</v>
      </c>
      <c r="R912" s="189" t="s">
        <v>24</v>
      </c>
      <c r="S912" s="189" t="s">
        <v>120</v>
      </c>
      <c r="T912" s="189" t="s">
        <v>264</v>
      </c>
      <c r="U912" s="189" t="s">
        <v>122</v>
      </c>
      <c r="V912" s="189" t="s">
        <v>167</v>
      </c>
      <c r="W912" s="189" t="s">
        <v>124</v>
      </c>
      <c r="X912" s="189" t="s">
        <v>223</v>
      </c>
      <c r="Y912" s="189" t="s">
        <v>3064</v>
      </c>
      <c r="Z912" s="0" t="n">
        <v>2</v>
      </c>
      <c r="AA912" s="189" t="s">
        <v>3103</v>
      </c>
    </row>
    <row r="913" customFormat="false" ht="15" hidden="false" customHeight="false" outlineLevel="0" collapsed="false">
      <c r="A913" s="0" t="n">
        <v>187</v>
      </c>
      <c r="B913" s="191" t="n">
        <v>46216.214552064</v>
      </c>
      <c r="C913" s="191" t="n">
        <v>46216.2162187307</v>
      </c>
      <c r="D913" s="189" t="s">
        <v>1426</v>
      </c>
      <c r="E913" s="189" t="s">
        <v>1427</v>
      </c>
      <c r="F913" s="189" t="s">
        <v>1428</v>
      </c>
      <c r="G913" s="189" t="s">
        <v>1429</v>
      </c>
      <c r="H913" s="191" t="n">
        <v>46213</v>
      </c>
      <c r="I913" s="189" t="s">
        <v>113</v>
      </c>
      <c r="J913" s="189" t="s">
        <v>108</v>
      </c>
      <c r="K913" s="189" t="s">
        <v>232</v>
      </c>
      <c r="L913" s="189" t="s">
        <v>286</v>
      </c>
      <c r="M913" s="189" t="s">
        <v>269</v>
      </c>
      <c r="N913" s="189" t="s">
        <v>775</v>
      </c>
      <c r="O913" s="189" t="s">
        <v>244</v>
      </c>
      <c r="P913" s="189" t="s">
        <v>111</v>
      </c>
      <c r="Q913" s="189" t="s">
        <v>112</v>
      </c>
      <c r="R913" s="189" t="s">
        <v>24</v>
      </c>
      <c r="S913" s="189" t="s">
        <v>120</v>
      </c>
      <c r="T913" s="189" t="s">
        <v>264</v>
      </c>
      <c r="U913" s="189" t="s">
        <v>122</v>
      </c>
      <c r="V913" s="189" t="s">
        <v>167</v>
      </c>
      <c r="W913" s="189" t="s">
        <v>124</v>
      </c>
      <c r="X913" s="189" t="s">
        <v>223</v>
      </c>
      <c r="Y913" s="189" t="s">
        <v>3064</v>
      </c>
      <c r="Z913" s="0" t="n">
        <v>3</v>
      </c>
      <c r="AA913" s="189" t="s">
        <v>3104</v>
      </c>
    </row>
    <row r="914" customFormat="false" ht="15" hidden="false" customHeight="false" outlineLevel="0" collapsed="false">
      <c r="A914" s="0" t="n">
        <v>187</v>
      </c>
      <c r="B914" s="191" t="n">
        <v>46216.214552064</v>
      </c>
      <c r="C914" s="191" t="n">
        <v>46216.2162187307</v>
      </c>
      <c r="D914" s="189" t="s">
        <v>1426</v>
      </c>
      <c r="E914" s="189" t="s">
        <v>1427</v>
      </c>
      <c r="F914" s="189" t="s">
        <v>1428</v>
      </c>
      <c r="G914" s="189" t="s">
        <v>1429</v>
      </c>
      <c r="H914" s="191" t="n">
        <v>46213</v>
      </c>
      <c r="I914" s="189" t="s">
        <v>113</v>
      </c>
      <c r="J914" s="189" t="s">
        <v>108</v>
      </c>
      <c r="K914" s="189" t="s">
        <v>232</v>
      </c>
      <c r="L914" s="189" t="s">
        <v>286</v>
      </c>
      <c r="M914" s="189" t="s">
        <v>269</v>
      </c>
      <c r="N914" s="189" t="s">
        <v>775</v>
      </c>
      <c r="O914" s="189" t="s">
        <v>244</v>
      </c>
      <c r="P914" s="189" t="s">
        <v>111</v>
      </c>
      <c r="Q914" s="189" t="s">
        <v>112</v>
      </c>
      <c r="R914" s="189" t="s">
        <v>24</v>
      </c>
      <c r="S914" s="189" t="s">
        <v>120</v>
      </c>
      <c r="T914" s="189" t="s">
        <v>264</v>
      </c>
      <c r="U914" s="189" t="s">
        <v>122</v>
      </c>
      <c r="V914" s="189" t="s">
        <v>167</v>
      </c>
      <c r="W914" s="189" t="s">
        <v>124</v>
      </c>
      <c r="X914" s="189" t="s">
        <v>223</v>
      </c>
      <c r="Y914" s="189" t="s">
        <v>3066</v>
      </c>
      <c r="Z914" s="0" t="n">
        <v>1</v>
      </c>
      <c r="AA914" s="189" t="s">
        <v>3170</v>
      </c>
    </row>
    <row r="915" customFormat="false" ht="15" hidden="false" customHeight="false" outlineLevel="0" collapsed="false">
      <c r="A915" s="0" t="n">
        <v>187</v>
      </c>
      <c r="B915" s="191" t="n">
        <v>46216.214552064</v>
      </c>
      <c r="C915" s="191" t="n">
        <v>46216.2162187307</v>
      </c>
      <c r="D915" s="189" t="s">
        <v>1426</v>
      </c>
      <c r="E915" s="189" t="s">
        <v>1427</v>
      </c>
      <c r="F915" s="189" t="s">
        <v>1428</v>
      </c>
      <c r="G915" s="189" t="s">
        <v>1429</v>
      </c>
      <c r="H915" s="191" t="n">
        <v>46213</v>
      </c>
      <c r="I915" s="189" t="s">
        <v>113</v>
      </c>
      <c r="J915" s="189" t="s">
        <v>108</v>
      </c>
      <c r="K915" s="189" t="s">
        <v>232</v>
      </c>
      <c r="L915" s="189" t="s">
        <v>286</v>
      </c>
      <c r="M915" s="189" t="s">
        <v>269</v>
      </c>
      <c r="N915" s="189" t="s">
        <v>775</v>
      </c>
      <c r="O915" s="189" t="s">
        <v>244</v>
      </c>
      <c r="P915" s="189" t="s">
        <v>111</v>
      </c>
      <c r="Q915" s="189" t="s">
        <v>112</v>
      </c>
      <c r="R915" s="189" t="s">
        <v>24</v>
      </c>
      <c r="S915" s="189" t="s">
        <v>120</v>
      </c>
      <c r="T915" s="189" t="s">
        <v>264</v>
      </c>
      <c r="U915" s="189" t="s">
        <v>122</v>
      </c>
      <c r="V915" s="189" t="s">
        <v>167</v>
      </c>
      <c r="W915" s="189" t="s">
        <v>124</v>
      </c>
      <c r="X915" s="189" t="s">
        <v>223</v>
      </c>
      <c r="Y915" s="189" t="s">
        <v>3069</v>
      </c>
      <c r="Z915" s="0" t="n">
        <v>1</v>
      </c>
      <c r="AA915" s="189" t="s">
        <v>3101</v>
      </c>
    </row>
    <row r="916" customFormat="false" ht="15" hidden="false" customHeight="false" outlineLevel="0" collapsed="false">
      <c r="A916" s="0" t="n">
        <v>188</v>
      </c>
      <c r="B916" s="191" t="n">
        <v>46214.9950406917</v>
      </c>
      <c r="C916" s="191" t="n">
        <v>46215.0115684695</v>
      </c>
      <c r="D916" s="189" t="s">
        <v>1433</v>
      </c>
      <c r="E916" s="189" t="s">
        <v>1434</v>
      </c>
      <c r="F916" s="189" t="s">
        <v>1434</v>
      </c>
      <c r="G916" s="189" t="s">
        <v>1435</v>
      </c>
      <c r="H916" s="191" t="n">
        <v>46206</v>
      </c>
      <c r="I916" s="189" t="s">
        <v>325</v>
      </c>
      <c r="J916" s="189" t="s">
        <v>295</v>
      </c>
      <c r="K916" s="189" t="s">
        <v>257</v>
      </c>
      <c r="L916" s="189" t="s">
        <v>346</v>
      </c>
      <c r="M916" s="189" t="s">
        <v>212</v>
      </c>
      <c r="N916" s="189" t="s">
        <v>743</v>
      </c>
      <c r="O916" s="189" t="s">
        <v>278</v>
      </c>
      <c r="P916" s="189" t="s">
        <v>111</v>
      </c>
      <c r="Q916" s="189" t="s">
        <v>112</v>
      </c>
      <c r="R916" s="189" t="s">
        <v>22</v>
      </c>
      <c r="S916" s="189" t="s">
        <v>152</v>
      </c>
      <c r="T916" s="189" t="s">
        <v>180</v>
      </c>
      <c r="U916" s="189" t="s">
        <v>122</v>
      </c>
      <c r="V916" s="189" t="s">
        <v>123</v>
      </c>
      <c r="W916" s="189" t="s">
        <v>124</v>
      </c>
      <c r="X916" s="189" t="s">
        <v>135</v>
      </c>
      <c r="Y916" s="189" t="s">
        <v>3064</v>
      </c>
      <c r="Z916" s="0" t="n">
        <v>1</v>
      </c>
      <c r="AA916" s="189" t="s">
        <v>3072</v>
      </c>
    </row>
    <row r="917" customFormat="false" ht="15" hidden="false" customHeight="false" outlineLevel="0" collapsed="false">
      <c r="A917" s="0" t="n">
        <v>188</v>
      </c>
      <c r="B917" s="191" t="n">
        <v>46214.9950406917</v>
      </c>
      <c r="C917" s="191" t="n">
        <v>46215.0115684695</v>
      </c>
      <c r="D917" s="189" t="s">
        <v>1433</v>
      </c>
      <c r="E917" s="189" t="s">
        <v>1434</v>
      </c>
      <c r="F917" s="189" t="s">
        <v>1434</v>
      </c>
      <c r="G917" s="189" t="s">
        <v>1435</v>
      </c>
      <c r="H917" s="191" t="n">
        <v>46206</v>
      </c>
      <c r="I917" s="189" t="s">
        <v>325</v>
      </c>
      <c r="J917" s="189" t="s">
        <v>295</v>
      </c>
      <c r="K917" s="189" t="s">
        <v>257</v>
      </c>
      <c r="L917" s="189" t="s">
        <v>346</v>
      </c>
      <c r="M917" s="189" t="s">
        <v>212</v>
      </c>
      <c r="N917" s="189" t="s">
        <v>743</v>
      </c>
      <c r="O917" s="189" t="s">
        <v>278</v>
      </c>
      <c r="P917" s="189" t="s">
        <v>111</v>
      </c>
      <c r="Q917" s="189" t="s">
        <v>112</v>
      </c>
      <c r="R917" s="189" t="s">
        <v>22</v>
      </c>
      <c r="S917" s="189" t="s">
        <v>152</v>
      </c>
      <c r="T917" s="189" t="s">
        <v>180</v>
      </c>
      <c r="U917" s="189" t="s">
        <v>122</v>
      </c>
      <c r="V917" s="189" t="s">
        <v>123</v>
      </c>
      <c r="W917" s="189" t="s">
        <v>124</v>
      </c>
      <c r="X917" s="189" t="s">
        <v>135</v>
      </c>
      <c r="Y917" s="189" t="s">
        <v>3064</v>
      </c>
      <c r="Z917" s="0" t="n">
        <v>2</v>
      </c>
      <c r="AA917" s="189" t="s">
        <v>3071</v>
      </c>
    </row>
    <row r="918" customFormat="false" ht="15" hidden="false" customHeight="false" outlineLevel="0" collapsed="false">
      <c r="A918" s="0" t="n">
        <v>188</v>
      </c>
      <c r="B918" s="191" t="n">
        <v>46214.9950406917</v>
      </c>
      <c r="C918" s="191" t="n">
        <v>46215.0115684695</v>
      </c>
      <c r="D918" s="189" t="s">
        <v>1433</v>
      </c>
      <c r="E918" s="189" t="s">
        <v>1434</v>
      </c>
      <c r="F918" s="189" t="s">
        <v>1434</v>
      </c>
      <c r="G918" s="189" t="s">
        <v>1435</v>
      </c>
      <c r="H918" s="191" t="n">
        <v>46206</v>
      </c>
      <c r="I918" s="189" t="s">
        <v>325</v>
      </c>
      <c r="J918" s="189" t="s">
        <v>295</v>
      </c>
      <c r="K918" s="189" t="s">
        <v>257</v>
      </c>
      <c r="L918" s="189" t="s">
        <v>346</v>
      </c>
      <c r="M918" s="189" t="s">
        <v>212</v>
      </c>
      <c r="N918" s="189" t="s">
        <v>743</v>
      </c>
      <c r="O918" s="189" t="s">
        <v>278</v>
      </c>
      <c r="P918" s="189" t="s">
        <v>111</v>
      </c>
      <c r="Q918" s="189" t="s">
        <v>112</v>
      </c>
      <c r="R918" s="189" t="s">
        <v>22</v>
      </c>
      <c r="S918" s="189" t="s">
        <v>152</v>
      </c>
      <c r="T918" s="189" t="s">
        <v>180</v>
      </c>
      <c r="U918" s="189" t="s">
        <v>122</v>
      </c>
      <c r="V918" s="189" t="s">
        <v>123</v>
      </c>
      <c r="W918" s="189" t="s">
        <v>124</v>
      </c>
      <c r="X918" s="189" t="s">
        <v>135</v>
      </c>
      <c r="Y918" s="189" t="s">
        <v>3066</v>
      </c>
      <c r="Z918" s="0" t="n">
        <v>1</v>
      </c>
      <c r="AA918" s="189" t="s">
        <v>3074</v>
      </c>
    </row>
    <row r="919" customFormat="false" ht="15" hidden="false" customHeight="false" outlineLevel="0" collapsed="false">
      <c r="A919" s="0" t="n">
        <v>188</v>
      </c>
      <c r="B919" s="191" t="n">
        <v>46214.9950406917</v>
      </c>
      <c r="C919" s="191" t="n">
        <v>46215.0115684695</v>
      </c>
      <c r="D919" s="189" t="s">
        <v>1433</v>
      </c>
      <c r="E919" s="189" t="s">
        <v>1434</v>
      </c>
      <c r="F919" s="189" t="s">
        <v>1434</v>
      </c>
      <c r="G919" s="189" t="s">
        <v>1435</v>
      </c>
      <c r="H919" s="191" t="n">
        <v>46206</v>
      </c>
      <c r="I919" s="189" t="s">
        <v>325</v>
      </c>
      <c r="J919" s="189" t="s">
        <v>295</v>
      </c>
      <c r="K919" s="189" t="s">
        <v>257</v>
      </c>
      <c r="L919" s="189" t="s">
        <v>346</v>
      </c>
      <c r="M919" s="189" t="s">
        <v>212</v>
      </c>
      <c r="N919" s="189" t="s">
        <v>743</v>
      </c>
      <c r="O919" s="189" t="s">
        <v>278</v>
      </c>
      <c r="P919" s="189" t="s">
        <v>111</v>
      </c>
      <c r="Q919" s="189" t="s">
        <v>112</v>
      </c>
      <c r="R919" s="189" t="s">
        <v>22</v>
      </c>
      <c r="S919" s="189" t="s">
        <v>152</v>
      </c>
      <c r="T919" s="189" t="s">
        <v>180</v>
      </c>
      <c r="U919" s="189" t="s">
        <v>122</v>
      </c>
      <c r="V919" s="189" t="s">
        <v>123</v>
      </c>
      <c r="W919" s="189" t="s">
        <v>124</v>
      </c>
      <c r="X919" s="189" t="s">
        <v>135</v>
      </c>
      <c r="Y919" s="189" t="s">
        <v>3066</v>
      </c>
      <c r="Z919" s="0" t="n">
        <v>2</v>
      </c>
      <c r="AA919" s="189" t="s">
        <v>3278</v>
      </c>
    </row>
    <row r="920" customFormat="false" ht="15" hidden="false" customHeight="false" outlineLevel="0" collapsed="false">
      <c r="A920" s="0" t="n">
        <v>188</v>
      </c>
      <c r="B920" s="191" t="n">
        <v>46214.9950406917</v>
      </c>
      <c r="C920" s="191" t="n">
        <v>46215.0115684695</v>
      </c>
      <c r="D920" s="189" t="s">
        <v>1433</v>
      </c>
      <c r="E920" s="189" t="s">
        <v>1434</v>
      </c>
      <c r="F920" s="189" t="s">
        <v>1434</v>
      </c>
      <c r="G920" s="189" t="s">
        <v>1435</v>
      </c>
      <c r="H920" s="191" t="n">
        <v>46206</v>
      </c>
      <c r="I920" s="189" t="s">
        <v>325</v>
      </c>
      <c r="J920" s="189" t="s">
        <v>295</v>
      </c>
      <c r="K920" s="189" t="s">
        <v>257</v>
      </c>
      <c r="L920" s="189" t="s">
        <v>346</v>
      </c>
      <c r="M920" s="189" t="s">
        <v>212</v>
      </c>
      <c r="N920" s="189" t="s">
        <v>743</v>
      </c>
      <c r="O920" s="189" t="s">
        <v>278</v>
      </c>
      <c r="P920" s="189" t="s">
        <v>111</v>
      </c>
      <c r="Q920" s="189" t="s">
        <v>112</v>
      </c>
      <c r="R920" s="189" t="s">
        <v>22</v>
      </c>
      <c r="S920" s="189" t="s">
        <v>152</v>
      </c>
      <c r="T920" s="189" t="s">
        <v>180</v>
      </c>
      <c r="U920" s="189" t="s">
        <v>122</v>
      </c>
      <c r="V920" s="189" t="s">
        <v>123</v>
      </c>
      <c r="W920" s="189" t="s">
        <v>124</v>
      </c>
      <c r="X920" s="189" t="s">
        <v>135</v>
      </c>
      <c r="Y920" s="189" t="s">
        <v>3069</v>
      </c>
      <c r="Z920" s="0" t="n">
        <v>1</v>
      </c>
      <c r="AA920" s="189" t="s">
        <v>3152</v>
      </c>
    </row>
    <row r="921" customFormat="false" ht="15" hidden="false" customHeight="false" outlineLevel="0" collapsed="false">
      <c r="A921" s="0" t="n">
        <v>189</v>
      </c>
      <c r="B921" s="191" t="n">
        <v>46083.907047879</v>
      </c>
      <c r="C921" s="191" t="n">
        <v>46083.9092585272</v>
      </c>
      <c r="D921" s="189" t="s">
        <v>1437</v>
      </c>
      <c r="E921" s="189" t="s">
        <v>1438</v>
      </c>
      <c r="F921" s="189" t="s">
        <v>1439</v>
      </c>
      <c r="G921" s="189" t="s">
        <v>1440</v>
      </c>
      <c r="H921" s="191" t="n">
        <v>46075</v>
      </c>
      <c r="I921" s="189" t="s">
        <v>325</v>
      </c>
      <c r="J921" s="189" t="s">
        <v>108</v>
      </c>
      <c r="K921" s="189" t="s">
        <v>173</v>
      </c>
      <c r="L921" s="189" t="s">
        <v>197</v>
      </c>
      <c r="M921" s="189" t="s">
        <v>439</v>
      </c>
      <c r="N921" s="189" t="s">
        <v>1441</v>
      </c>
      <c r="O921" s="189" t="s">
        <v>278</v>
      </c>
      <c r="P921" s="189" t="s">
        <v>111</v>
      </c>
      <c r="Q921" s="189" t="s">
        <v>112</v>
      </c>
      <c r="R921" s="189" t="s">
        <v>22</v>
      </c>
      <c r="S921" s="189" t="s">
        <v>227</v>
      </c>
      <c r="T921" s="189" t="s">
        <v>496</v>
      </c>
      <c r="U921" s="189" t="s">
        <v>122</v>
      </c>
      <c r="V921" s="189" t="s">
        <v>167</v>
      </c>
      <c r="W921" s="189" t="s">
        <v>124</v>
      </c>
      <c r="X921" s="189" t="s">
        <v>116</v>
      </c>
      <c r="Y921" s="189" t="s">
        <v>3064</v>
      </c>
      <c r="Z921" s="0" t="n">
        <v>1</v>
      </c>
      <c r="AA921" s="189" t="s">
        <v>3095</v>
      </c>
    </row>
    <row r="922" customFormat="false" ht="15" hidden="false" customHeight="false" outlineLevel="0" collapsed="false">
      <c r="A922" s="0" t="n">
        <v>189</v>
      </c>
      <c r="B922" s="191" t="n">
        <v>46083.907047879</v>
      </c>
      <c r="C922" s="191" t="n">
        <v>46083.9092585272</v>
      </c>
      <c r="D922" s="189" t="s">
        <v>1437</v>
      </c>
      <c r="E922" s="189" t="s">
        <v>1438</v>
      </c>
      <c r="F922" s="189" t="s">
        <v>1439</v>
      </c>
      <c r="G922" s="189" t="s">
        <v>1440</v>
      </c>
      <c r="H922" s="191" t="n">
        <v>46075</v>
      </c>
      <c r="I922" s="189" t="s">
        <v>325</v>
      </c>
      <c r="J922" s="189" t="s">
        <v>108</v>
      </c>
      <c r="K922" s="189" t="s">
        <v>173</v>
      </c>
      <c r="L922" s="189" t="s">
        <v>197</v>
      </c>
      <c r="M922" s="189" t="s">
        <v>439</v>
      </c>
      <c r="N922" s="189" t="s">
        <v>1441</v>
      </c>
      <c r="O922" s="189" t="s">
        <v>278</v>
      </c>
      <c r="P922" s="189" t="s">
        <v>111</v>
      </c>
      <c r="Q922" s="189" t="s">
        <v>112</v>
      </c>
      <c r="R922" s="189" t="s">
        <v>22</v>
      </c>
      <c r="S922" s="189" t="s">
        <v>227</v>
      </c>
      <c r="T922" s="189" t="s">
        <v>496</v>
      </c>
      <c r="U922" s="189" t="s">
        <v>122</v>
      </c>
      <c r="V922" s="189" t="s">
        <v>167</v>
      </c>
      <c r="W922" s="189" t="s">
        <v>124</v>
      </c>
      <c r="X922" s="189" t="s">
        <v>116</v>
      </c>
      <c r="Y922" s="189" t="s">
        <v>3064</v>
      </c>
      <c r="Z922" s="0" t="n">
        <v>2</v>
      </c>
      <c r="AA922" s="189" t="s">
        <v>3065</v>
      </c>
    </row>
    <row r="923" customFormat="false" ht="15" hidden="false" customHeight="false" outlineLevel="0" collapsed="false">
      <c r="A923" s="0" t="n">
        <v>189</v>
      </c>
      <c r="B923" s="191" t="n">
        <v>46083.907047879</v>
      </c>
      <c r="C923" s="191" t="n">
        <v>46083.9092585272</v>
      </c>
      <c r="D923" s="189" t="s">
        <v>1437</v>
      </c>
      <c r="E923" s="189" t="s">
        <v>1438</v>
      </c>
      <c r="F923" s="189" t="s">
        <v>1439</v>
      </c>
      <c r="G923" s="189" t="s">
        <v>1440</v>
      </c>
      <c r="H923" s="191" t="n">
        <v>46075</v>
      </c>
      <c r="I923" s="189" t="s">
        <v>325</v>
      </c>
      <c r="J923" s="189" t="s">
        <v>108</v>
      </c>
      <c r="K923" s="189" t="s">
        <v>173</v>
      </c>
      <c r="L923" s="189" t="s">
        <v>197</v>
      </c>
      <c r="M923" s="189" t="s">
        <v>439</v>
      </c>
      <c r="N923" s="189" t="s">
        <v>1441</v>
      </c>
      <c r="O923" s="189" t="s">
        <v>278</v>
      </c>
      <c r="P923" s="189" t="s">
        <v>111</v>
      </c>
      <c r="Q923" s="189" t="s">
        <v>112</v>
      </c>
      <c r="R923" s="189" t="s">
        <v>22</v>
      </c>
      <c r="S923" s="189" t="s">
        <v>227</v>
      </c>
      <c r="T923" s="189" t="s">
        <v>496</v>
      </c>
      <c r="U923" s="189" t="s">
        <v>122</v>
      </c>
      <c r="V923" s="189" t="s">
        <v>167</v>
      </c>
      <c r="W923" s="189" t="s">
        <v>124</v>
      </c>
      <c r="X923" s="189" t="s">
        <v>116</v>
      </c>
      <c r="Y923" s="189" t="s">
        <v>3064</v>
      </c>
      <c r="Z923" s="0" t="n">
        <v>3</v>
      </c>
      <c r="AA923" s="189" t="s">
        <v>3107</v>
      </c>
    </row>
    <row r="924" customFormat="false" ht="15" hidden="false" customHeight="false" outlineLevel="0" collapsed="false">
      <c r="A924" s="0" t="n">
        <v>189</v>
      </c>
      <c r="B924" s="191" t="n">
        <v>46083.907047879</v>
      </c>
      <c r="C924" s="191" t="n">
        <v>46083.9092585272</v>
      </c>
      <c r="D924" s="189" t="s">
        <v>1437</v>
      </c>
      <c r="E924" s="189" t="s">
        <v>1438</v>
      </c>
      <c r="F924" s="189" t="s">
        <v>1439</v>
      </c>
      <c r="G924" s="189" t="s">
        <v>1440</v>
      </c>
      <c r="H924" s="191" t="n">
        <v>46075</v>
      </c>
      <c r="I924" s="189" t="s">
        <v>325</v>
      </c>
      <c r="J924" s="189" t="s">
        <v>108</v>
      </c>
      <c r="K924" s="189" t="s">
        <v>173</v>
      </c>
      <c r="L924" s="189" t="s">
        <v>197</v>
      </c>
      <c r="M924" s="189" t="s">
        <v>439</v>
      </c>
      <c r="N924" s="189" t="s">
        <v>1441</v>
      </c>
      <c r="O924" s="189" t="s">
        <v>278</v>
      </c>
      <c r="P924" s="189" t="s">
        <v>111</v>
      </c>
      <c r="Q924" s="189" t="s">
        <v>112</v>
      </c>
      <c r="R924" s="189" t="s">
        <v>22</v>
      </c>
      <c r="S924" s="189" t="s">
        <v>227</v>
      </c>
      <c r="T924" s="189" t="s">
        <v>496</v>
      </c>
      <c r="U924" s="189" t="s">
        <v>122</v>
      </c>
      <c r="V924" s="189" t="s">
        <v>167</v>
      </c>
      <c r="W924" s="189" t="s">
        <v>124</v>
      </c>
      <c r="X924" s="189" t="s">
        <v>116</v>
      </c>
      <c r="Y924" s="189" t="s">
        <v>3066</v>
      </c>
      <c r="Z924" s="0" t="n">
        <v>1</v>
      </c>
      <c r="AA924" s="189" t="s">
        <v>122</v>
      </c>
    </row>
    <row r="925" customFormat="false" ht="15" hidden="false" customHeight="false" outlineLevel="0" collapsed="false">
      <c r="A925" s="0" t="n">
        <v>189</v>
      </c>
      <c r="B925" s="191" t="n">
        <v>46083.907047879</v>
      </c>
      <c r="C925" s="191" t="n">
        <v>46083.9092585272</v>
      </c>
      <c r="D925" s="189" t="s">
        <v>1437</v>
      </c>
      <c r="E925" s="189" t="s">
        <v>1438</v>
      </c>
      <c r="F925" s="189" t="s">
        <v>1439</v>
      </c>
      <c r="G925" s="189" t="s">
        <v>1440</v>
      </c>
      <c r="H925" s="191" t="n">
        <v>46075</v>
      </c>
      <c r="I925" s="189" t="s">
        <v>325</v>
      </c>
      <c r="J925" s="189" t="s">
        <v>108</v>
      </c>
      <c r="K925" s="189" t="s">
        <v>173</v>
      </c>
      <c r="L925" s="189" t="s">
        <v>197</v>
      </c>
      <c r="M925" s="189" t="s">
        <v>439</v>
      </c>
      <c r="N925" s="189" t="s">
        <v>1441</v>
      </c>
      <c r="O925" s="189" t="s">
        <v>278</v>
      </c>
      <c r="P925" s="189" t="s">
        <v>111</v>
      </c>
      <c r="Q925" s="189" t="s">
        <v>112</v>
      </c>
      <c r="R925" s="189" t="s">
        <v>22</v>
      </c>
      <c r="S925" s="189" t="s">
        <v>227</v>
      </c>
      <c r="T925" s="189" t="s">
        <v>496</v>
      </c>
      <c r="U925" s="189" t="s">
        <v>122</v>
      </c>
      <c r="V925" s="189" t="s">
        <v>167</v>
      </c>
      <c r="W925" s="189" t="s">
        <v>124</v>
      </c>
      <c r="X925" s="189" t="s">
        <v>116</v>
      </c>
      <c r="Y925" s="189" t="s">
        <v>3066</v>
      </c>
      <c r="Z925" s="0" t="n">
        <v>2</v>
      </c>
      <c r="AA925" s="189" t="s">
        <v>3067</v>
      </c>
    </row>
    <row r="926" customFormat="false" ht="15" hidden="false" customHeight="false" outlineLevel="0" collapsed="false">
      <c r="A926" s="0" t="n">
        <v>189</v>
      </c>
      <c r="B926" s="191" t="n">
        <v>46083.907047879</v>
      </c>
      <c r="C926" s="191" t="n">
        <v>46083.9092585272</v>
      </c>
      <c r="D926" s="189" t="s">
        <v>1437</v>
      </c>
      <c r="E926" s="189" t="s">
        <v>1438</v>
      </c>
      <c r="F926" s="189" t="s">
        <v>1439</v>
      </c>
      <c r="G926" s="189" t="s">
        <v>1440</v>
      </c>
      <c r="H926" s="191" t="n">
        <v>46075</v>
      </c>
      <c r="I926" s="189" t="s">
        <v>325</v>
      </c>
      <c r="J926" s="189" t="s">
        <v>108</v>
      </c>
      <c r="K926" s="189" t="s">
        <v>173</v>
      </c>
      <c r="L926" s="189" t="s">
        <v>197</v>
      </c>
      <c r="M926" s="189" t="s">
        <v>439</v>
      </c>
      <c r="N926" s="189" t="s">
        <v>1441</v>
      </c>
      <c r="O926" s="189" t="s">
        <v>278</v>
      </c>
      <c r="P926" s="189" t="s">
        <v>111</v>
      </c>
      <c r="Q926" s="189" t="s">
        <v>112</v>
      </c>
      <c r="R926" s="189" t="s">
        <v>22</v>
      </c>
      <c r="S926" s="189" t="s">
        <v>227</v>
      </c>
      <c r="T926" s="189" t="s">
        <v>496</v>
      </c>
      <c r="U926" s="189" t="s">
        <v>122</v>
      </c>
      <c r="V926" s="189" t="s">
        <v>167</v>
      </c>
      <c r="W926" s="189" t="s">
        <v>124</v>
      </c>
      <c r="X926" s="189" t="s">
        <v>116</v>
      </c>
      <c r="Y926" s="189" t="s">
        <v>3069</v>
      </c>
      <c r="Z926" s="0" t="n">
        <v>1</v>
      </c>
      <c r="AA926" s="189" t="s">
        <v>3083</v>
      </c>
    </row>
    <row r="927" customFormat="false" ht="15" hidden="false" customHeight="false" outlineLevel="0" collapsed="false">
      <c r="A927" s="0" t="n">
        <v>190</v>
      </c>
      <c r="B927" s="191" t="n">
        <v>46150.0043839825</v>
      </c>
      <c r="C927" s="191" t="n">
        <v>46150.0211085196</v>
      </c>
      <c r="D927" s="189" t="s">
        <v>1443</v>
      </c>
      <c r="E927" s="189" t="s">
        <v>1444</v>
      </c>
      <c r="F927" s="189" t="s">
        <v>1444</v>
      </c>
      <c r="G927" s="189" t="s">
        <v>1445</v>
      </c>
      <c r="H927" s="191" t="n">
        <v>46140</v>
      </c>
      <c r="I927" s="189" t="s">
        <v>113</v>
      </c>
      <c r="J927" s="189" t="s">
        <v>108</v>
      </c>
      <c r="K927" s="189" t="s">
        <v>143</v>
      </c>
      <c r="L927" s="189" t="s">
        <v>268</v>
      </c>
      <c r="M927" s="189" t="s">
        <v>477</v>
      </c>
      <c r="N927" s="189" t="s">
        <v>306</v>
      </c>
      <c r="O927" s="189" t="s">
        <v>107</v>
      </c>
      <c r="P927" s="189" t="s">
        <v>111</v>
      </c>
      <c r="Q927" s="189" t="s">
        <v>247</v>
      </c>
      <c r="R927" s="189" t="s">
        <v>22</v>
      </c>
      <c r="S927" s="189" t="s">
        <v>152</v>
      </c>
      <c r="T927" s="189" t="s">
        <v>352</v>
      </c>
      <c r="V927" s="189" t="s">
        <v>123</v>
      </c>
      <c r="W927" s="189" t="s">
        <v>124</v>
      </c>
      <c r="X927" s="189" t="s">
        <v>148</v>
      </c>
      <c r="Y927" s="189" t="s">
        <v>3064</v>
      </c>
      <c r="Z927" s="0" t="n">
        <v>1</v>
      </c>
      <c r="AA927" s="189" t="s">
        <v>3186</v>
      </c>
    </row>
    <row r="928" customFormat="false" ht="15" hidden="false" customHeight="false" outlineLevel="0" collapsed="false">
      <c r="A928" s="0" t="n">
        <v>190</v>
      </c>
      <c r="B928" s="191" t="n">
        <v>46150.0043839825</v>
      </c>
      <c r="C928" s="191" t="n">
        <v>46150.0211085196</v>
      </c>
      <c r="D928" s="189" t="s">
        <v>1443</v>
      </c>
      <c r="E928" s="189" t="s">
        <v>1444</v>
      </c>
      <c r="F928" s="189" t="s">
        <v>1444</v>
      </c>
      <c r="G928" s="189" t="s">
        <v>1445</v>
      </c>
      <c r="H928" s="191" t="n">
        <v>46140</v>
      </c>
      <c r="I928" s="189" t="s">
        <v>113</v>
      </c>
      <c r="J928" s="189" t="s">
        <v>108</v>
      </c>
      <c r="K928" s="189" t="s">
        <v>143</v>
      </c>
      <c r="L928" s="189" t="s">
        <v>268</v>
      </c>
      <c r="M928" s="189" t="s">
        <v>477</v>
      </c>
      <c r="N928" s="189" t="s">
        <v>306</v>
      </c>
      <c r="O928" s="189" t="s">
        <v>107</v>
      </c>
      <c r="P928" s="189" t="s">
        <v>111</v>
      </c>
      <c r="Q928" s="189" t="s">
        <v>247</v>
      </c>
      <c r="R928" s="189" t="s">
        <v>22</v>
      </c>
      <c r="S928" s="189" t="s">
        <v>152</v>
      </c>
      <c r="T928" s="189" t="s">
        <v>352</v>
      </c>
      <c r="V928" s="189" t="s">
        <v>123</v>
      </c>
      <c r="W928" s="189" t="s">
        <v>124</v>
      </c>
      <c r="X928" s="189" t="s">
        <v>148</v>
      </c>
      <c r="Y928" s="189" t="s">
        <v>3064</v>
      </c>
      <c r="Z928" s="0" t="n">
        <v>2</v>
      </c>
      <c r="AA928" s="189" t="s">
        <v>3122</v>
      </c>
    </row>
    <row r="929" customFormat="false" ht="15" hidden="false" customHeight="false" outlineLevel="0" collapsed="false">
      <c r="A929" s="0" t="n">
        <v>190</v>
      </c>
      <c r="B929" s="191" t="n">
        <v>46150.0043839825</v>
      </c>
      <c r="C929" s="191" t="n">
        <v>46150.0211085196</v>
      </c>
      <c r="D929" s="189" t="s">
        <v>1443</v>
      </c>
      <c r="E929" s="189" t="s">
        <v>1444</v>
      </c>
      <c r="F929" s="189" t="s">
        <v>1444</v>
      </c>
      <c r="G929" s="189" t="s">
        <v>1445</v>
      </c>
      <c r="H929" s="191" t="n">
        <v>46140</v>
      </c>
      <c r="I929" s="189" t="s">
        <v>113</v>
      </c>
      <c r="J929" s="189" t="s">
        <v>108</v>
      </c>
      <c r="K929" s="189" t="s">
        <v>143</v>
      </c>
      <c r="L929" s="189" t="s">
        <v>268</v>
      </c>
      <c r="M929" s="189" t="s">
        <v>477</v>
      </c>
      <c r="N929" s="189" t="s">
        <v>306</v>
      </c>
      <c r="O929" s="189" t="s">
        <v>107</v>
      </c>
      <c r="P929" s="189" t="s">
        <v>111</v>
      </c>
      <c r="Q929" s="189" t="s">
        <v>247</v>
      </c>
      <c r="R929" s="189" t="s">
        <v>22</v>
      </c>
      <c r="S929" s="189" t="s">
        <v>152</v>
      </c>
      <c r="T929" s="189" t="s">
        <v>352</v>
      </c>
      <c r="V929" s="189" t="s">
        <v>123</v>
      </c>
      <c r="W929" s="189" t="s">
        <v>124</v>
      </c>
      <c r="X929" s="189" t="s">
        <v>148</v>
      </c>
      <c r="Y929" s="189" t="s">
        <v>3064</v>
      </c>
      <c r="Z929" s="0" t="n">
        <v>3</v>
      </c>
      <c r="AA929" s="189" t="s">
        <v>3281</v>
      </c>
    </row>
    <row r="930" customFormat="false" ht="15" hidden="false" customHeight="false" outlineLevel="0" collapsed="false">
      <c r="A930" s="0" t="n">
        <v>190</v>
      </c>
      <c r="B930" s="191" t="n">
        <v>46150.0043839825</v>
      </c>
      <c r="C930" s="191" t="n">
        <v>46150.0211085196</v>
      </c>
      <c r="D930" s="189" t="s">
        <v>1443</v>
      </c>
      <c r="E930" s="189" t="s">
        <v>1444</v>
      </c>
      <c r="F930" s="189" t="s">
        <v>1444</v>
      </c>
      <c r="G930" s="189" t="s">
        <v>1445</v>
      </c>
      <c r="H930" s="191" t="n">
        <v>46140</v>
      </c>
      <c r="I930" s="189" t="s">
        <v>113</v>
      </c>
      <c r="J930" s="189" t="s">
        <v>108</v>
      </c>
      <c r="K930" s="189" t="s">
        <v>143</v>
      </c>
      <c r="L930" s="189" t="s">
        <v>268</v>
      </c>
      <c r="M930" s="189" t="s">
        <v>477</v>
      </c>
      <c r="N930" s="189" t="s">
        <v>306</v>
      </c>
      <c r="O930" s="189" t="s">
        <v>107</v>
      </c>
      <c r="P930" s="189" t="s">
        <v>111</v>
      </c>
      <c r="Q930" s="189" t="s">
        <v>247</v>
      </c>
      <c r="R930" s="189" t="s">
        <v>22</v>
      </c>
      <c r="S930" s="189" t="s">
        <v>152</v>
      </c>
      <c r="T930" s="189" t="s">
        <v>352</v>
      </c>
      <c r="V930" s="189" t="s">
        <v>123</v>
      </c>
      <c r="W930" s="189" t="s">
        <v>124</v>
      </c>
      <c r="X930" s="189" t="s">
        <v>148</v>
      </c>
      <c r="Y930" s="189" t="s">
        <v>3066</v>
      </c>
      <c r="Z930" s="0" t="n">
        <v>1</v>
      </c>
      <c r="AA930" s="189" t="s">
        <v>122</v>
      </c>
    </row>
    <row r="931" customFormat="false" ht="15" hidden="false" customHeight="false" outlineLevel="0" collapsed="false">
      <c r="A931" s="0" t="n">
        <v>190</v>
      </c>
      <c r="B931" s="191" t="n">
        <v>46150.0043839825</v>
      </c>
      <c r="C931" s="191" t="n">
        <v>46150.0211085196</v>
      </c>
      <c r="D931" s="189" t="s">
        <v>1443</v>
      </c>
      <c r="E931" s="189" t="s">
        <v>1444</v>
      </c>
      <c r="F931" s="189" t="s">
        <v>1444</v>
      </c>
      <c r="G931" s="189" t="s">
        <v>1445</v>
      </c>
      <c r="H931" s="191" t="n">
        <v>46140</v>
      </c>
      <c r="I931" s="189" t="s">
        <v>113</v>
      </c>
      <c r="J931" s="189" t="s">
        <v>108</v>
      </c>
      <c r="K931" s="189" t="s">
        <v>143</v>
      </c>
      <c r="L931" s="189" t="s">
        <v>268</v>
      </c>
      <c r="M931" s="189" t="s">
        <v>477</v>
      </c>
      <c r="N931" s="189" t="s">
        <v>306</v>
      </c>
      <c r="O931" s="189" t="s">
        <v>107</v>
      </c>
      <c r="P931" s="189" t="s">
        <v>111</v>
      </c>
      <c r="Q931" s="189" t="s">
        <v>247</v>
      </c>
      <c r="R931" s="189" t="s">
        <v>22</v>
      </c>
      <c r="S931" s="189" t="s">
        <v>152</v>
      </c>
      <c r="T931" s="189" t="s">
        <v>352</v>
      </c>
      <c r="V931" s="189" t="s">
        <v>123</v>
      </c>
      <c r="W931" s="189" t="s">
        <v>124</v>
      </c>
      <c r="X931" s="189" t="s">
        <v>148</v>
      </c>
      <c r="Y931" s="189" t="s">
        <v>3066</v>
      </c>
      <c r="Z931" s="0" t="n">
        <v>2</v>
      </c>
      <c r="AA931" s="189" t="s">
        <v>3077</v>
      </c>
    </row>
    <row r="932" customFormat="false" ht="15" hidden="false" customHeight="false" outlineLevel="0" collapsed="false">
      <c r="A932" s="0" t="n">
        <v>190</v>
      </c>
      <c r="B932" s="191" t="n">
        <v>46150.0043839825</v>
      </c>
      <c r="C932" s="191" t="n">
        <v>46150.0211085196</v>
      </c>
      <c r="D932" s="189" t="s">
        <v>1443</v>
      </c>
      <c r="E932" s="189" t="s">
        <v>1444</v>
      </c>
      <c r="F932" s="189" t="s">
        <v>1444</v>
      </c>
      <c r="G932" s="189" t="s">
        <v>1445</v>
      </c>
      <c r="H932" s="191" t="n">
        <v>46140</v>
      </c>
      <c r="I932" s="189" t="s">
        <v>113</v>
      </c>
      <c r="J932" s="189" t="s">
        <v>108</v>
      </c>
      <c r="K932" s="189" t="s">
        <v>143</v>
      </c>
      <c r="L932" s="189" t="s">
        <v>268</v>
      </c>
      <c r="M932" s="189" t="s">
        <v>477</v>
      </c>
      <c r="N932" s="189" t="s">
        <v>306</v>
      </c>
      <c r="O932" s="189" t="s">
        <v>107</v>
      </c>
      <c r="P932" s="189" t="s">
        <v>111</v>
      </c>
      <c r="Q932" s="189" t="s">
        <v>247</v>
      </c>
      <c r="R932" s="189" t="s">
        <v>22</v>
      </c>
      <c r="S932" s="189" t="s">
        <v>152</v>
      </c>
      <c r="T932" s="189" t="s">
        <v>352</v>
      </c>
      <c r="V932" s="189" t="s">
        <v>123</v>
      </c>
      <c r="W932" s="189" t="s">
        <v>124</v>
      </c>
      <c r="X932" s="189" t="s">
        <v>148</v>
      </c>
      <c r="Y932" s="189" t="s">
        <v>3069</v>
      </c>
      <c r="Z932" s="0" t="n">
        <v>1</v>
      </c>
      <c r="AA932" s="189" t="s">
        <v>3188</v>
      </c>
    </row>
    <row r="933" customFormat="false" ht="15" hidden="false" customHeight="false" outlineLevel="0" collapsed="false">
      <c r="A933" s="0" t="n">
        <v>191</v>
      </c>
      <c r="B933" s="191" t="n">
        <v>46198.6981329563</v>
      </c>
      <c r="C933" s="191" t="n">
        <v>46198.7101699933</v>
      </c>
      <c r="D933" s="189" t="s">
        <v>1447</v>
      </c>
      <c r="E933" s="189" t="s">
        <v>1448</v>
      </c>
      <c r="F933" s="189" t="s">
        <v>1449</v>
      </c>
      <c r="G933" s="189" t="s">
        <v>1450</v>
      </c>
      <c r="H933" s="191" t="n">
        <v>46197</v>
      </c>
      <c r="I933" s="189" t="s">
        <v>305</v>
      </c>
      <c r="J933" s="189" t="s">
        <v>295</v>
      </c>
      <c r="K933" s="189" t="s">
        <v>143</v>
      </c>
      <c r="L933" s="189" t="s">
        <v>233</v>
      </c>
      <c r="M933" s="189" t="s">
        <v>248</v>
      </c>
      <c r="N933" s="189" t="s">
        <v>893</v>
      </c>
      <c r="O933" s="189" t="s">
        <v>172</v>
      </c>
      <c r="P933" s="189" t="s">
        <v>111</v>
      </c>
      <c r="Q933" s="189" t="s">
        <v>112</v>
      </c>
      <c r="R933" s="189" t="s">
        <v>22</v>
      </c>
      <c r="S933" s="189" t="s">
        <v>152</v>
      </c>
      <c r="T933" s="189" t="s">
        <v>180</v>
      </c>
      <c r="U933" s="189" t="s">
        <v>122</v>
      </c>
      <c r="V933" s="189" t="s">
        <v>167</v>
      </c>
      <c r="W933" s="189" t="s">
        <v>168</v>
      </c>
      <c r="X933" s="189" t="s">
        <v>148</v>
      </c>
      <c r="Y933" s="189" t="s">
        <v>3064</v>
      </c>
      <c r="Z933" s="0" t="n">
        <v>1</v>
      </c>
      <c r="AA933" s="189" t="s">
        <v>3092</v>
      </c>
    </row>
    <row r="934" customFormat="false" ht="15" hidden="false" customHeight="false" outlineLevel="0" collapsed="false">
      <c r="A934" s="0" t="n">
        <v>191</v>
      </c>
      <c r="B934" s="191" t="n">
        <v>46198.6981329563</v>
      </c>
      <c r="C934" s="191" t="n">
        <v>46198.7101699933</v>
      </c>
      <c r="D934" s="189" t="s">
        <v>1447</v>
      </c>
      <c r="E934" s="189" t="s">
        <v>1448</v>
      </c>
      <c r="F934" s="189" t="s">
        <v>1449</v>
      </c>
      <c r="G934" s="189" t="s">
        <v>1450</v>
      </c>
      <c r="H934" s="191" t="n">
        <v>46197</v>
      </c>
      <c r="I934" s="189" t="s">
        <v>305</v>
      </c>
      <c r="J934" s="189" t="s">
        <v>295</v>
      </c>
      <c r="K934" s="189" t="s">
        <v>143</v>
      </c>
      <c r="L934" s="189" t="s">
        <v>233</v>
      </c>
      <c r="M934" s="189" t="s">
        <v>248</v>
      </c>
      <c r="N934" s="189" t="s">
        <v>893</v>
      </c>
      <c r="O934" s="189" t="s">
        <v>172</v>
      </c>
      <c r="P934" s="189" t="s">
        <v>111</v>
      </c>
      <c r="Q934" s="189" t="s">
        <v>112</v>
      </c>
      <c r="R934" s="189" t="s">
        <v>22</v>
      </c>
      <c r="S934" s="189" t="s">
        <v>152</v>
      </c>
      <c r="T934" s="189" t="s">
        <v>180</v>
      </c>
      <c r="U934" s="189" t="s">
        <v>122</v>
      </c>
      <c r="V934" s="189" t="s">
        <v>167</v>
      </c>
      <c r="W934" s="189" t="s">
        <v>168</v>
      </c>
      <c r="X934" s="189" t="s">
        <v>148</v>
      </c>
      <c r="Y934" s="189" t="s">
        <v>3066</v>
      </c>
      <c r="Z934" s="0" t="n">
        <v>1</v>
      </c>
      <c r="AA934" s="189" t="s">
        <v>122</v>
      </c>
    </row>
    <row r="935" customFormat="false" ht="15" hidden="false" customHeight="false" outlineLevel="0" collapsed="false">
      <c r="A935" s="0" t="n">
        <v>191</v>
      </c>
      <c r="B935" s="191" t="n">
        <v>46198.6981329563</v>
      </c>
      <c r="C935" s="191" t="n">
        <v>46198.7101699933</v>
      </c>
      <c r="D935" s="189" t="s">
        <v>1447</v>
      </c>
      <c r="E935" s="189" t="s">
        <v>1448</v>
      </c>
      <c r="F935" s="189" t="s">
        <v>1449</v>
      </c>
      <c r="G935" s="189" t="s">
        <v>1450</v>
      </c>
      <c r="H935" s="191" t="n">
        <v>46197</v>
      </c>
      <c r="I935" s="189" t="s">
        <v>305</v>
      </c>
      <c r="J935" s="189" t="s">
        <v>295</v>
      </c>
      <c r="K935" s="189" t="s">
        <v>143</v>
      </c>
      <c r="L935" s="189" t="s">
        <v>233</v>
      </c>
      <c r="M935" s="189" t="s">
        <v>248</v>
      </c>
      <c r="N935" s="189" t="s">
        <v>893</v>
      </c>
      <c r="O935" s="189" t="s">
        <v>172</v>
      </c>
      <c r="P935" s="189" t="s">
        <v>111</v>
      </c>
      <c r="Q935" s="189" t="s">
        <v>112</v>
      </c>
      <c r="R935" s="189" t="s">
        <v>22</v>
      </c>
      <c r="S935" s="189" t="s">
        <v>152</v>
      </c>
      <c r="T935" s="189" t="s">
        <v>180</v>
      </c>
      <c r="U935" s="189" t="s">
        <v>122</v>
      </c>
      <c r="V935" s="189" t="s">
        <v>167</v>
      </c>
      <c r="W935" s="189" t="s">
        <v>168</v>
      </c>
      <c r="X935" s="189" t="s">
        <v>148</v>
      </c>
      <c r="Y935" s="189" t="s">
        <v>3066</v>
      </c>
      <c r="Z935" s="0" t="n">
        <v>2</v>
      </c>
      <c r="AA935" s="189" t="s">
        <v>2818</v>
      </c>
    </row>
    <row r="936" customFormat="false" ht="15" hidden="false" customHeight="false" outlineLevel="0" collapsed="false">
      <c r="A936" s="0" t="n">
        <v>191</v>
      </c>
      <c r="B936" s="191" t="n">
        <v>46198.6981329563</v>
      </c>
      <c r="C936" s="191" t="n">
        <v>46198.7101699933</v>
      </c>
      <c r="D936" s="189" t="s">
        <v>1447</v>
      </c>
      <c r="E936" s="189" t="s">
        <v>1448</v>
      </c>
      <c r="F936" s="189" t="s">
        <v>1449</v>
      </c>
      <c r="G936" s="189" t="s">
        <v>1450</v>
      </c>
      <c r="H936" s="191" t="n">
        <v>46197</v>
      </c>
      <c r="I936" s="189" t="s">
        <v>305</v>
      </c>
      <c r="J936" s="189" t="s">
        <v>295</v>
      </c>
      <c r="K936" s="189" t="s">
        <v>143</v>
      </c>
      <c r="L936" s="189" t="s">
        <v>233</v>
      </c>
      <c r="M936" s="189" t="s">
        <v>248</v>
      </c>
      <c r="N936" s="189" t="s">
        <v>893</v>
      </c>
      <c r="O936" s="189" t="s">
        <v>172</v>
      </c>
      <c r="P936" s="189" t="s">
        <v>111</v>
      </c>
      <c r="Q936" s="189" t="s">
        <v>112</v>
      </c>
      <c r="R936" s="189" t="s">
        <v>22</v>
      </c>
      <c r="S936" s="189" t="s">
        <v>152</v>
      </c>
      <c r="T936" s="189" t="s">
        <v>180</v>
      </c>
      <c r="U936" s="189" t="s">
        <v>122</v>
      </c>
      <c r="V936" s="189" t="s">
        <v>167</v>
      </c>
      <c r="W936" s="189" t="s">
        <v>168</v>
      </c>
      <c r="X936" s="189" t="s">
        <v>148</v>
      </c>
      <c r="Y936" s="189" t="s">
        <v>3069</v>
      </c>
      <c r="Z936" s="0" t="n">
        <v>1</v>
      </c>
      <c r="AA936" s="189" t="s">
        <v>3282</v>
      </c>
    </row>
    <row r="937" customFormat="false" ht="15" hidden="false" customHeight="false" outlineLevel="0" collapsed="false">
      <c r="A937" s="0" t="n">
        <v>191</v>
      </c>
      <c r="B937" s="191" t="n">
        <v>46198.6981329563</v>
      </c>
      <c r="C937" s="191" t="n">
        <v>46198.7101699933</v>
      </c>
      <c r="D937" s="189" t="s">
        <v>1447</v>
      </c>
      <c r="E937" s="189" t="s">
        <v>1448</v>
      </c>
      <c r="F937" s="189" t="s">
        <v>1449</v>
      </c>
      <c r="G937" s="189" t="s">
        <v>1450</v>
      </c>
      <c r="H937" s="191" t="n">
        <v>46197</v>
      </c>
      <c r="I937" s="189" t="s">
        <v>305</v>
      </c>
      <c r="J937" s="189" t="s">
        <v>295</v>
      </c>
      <c r="K937" s="189" t="s">
        <v>143</v>
      </c>
      <c r="L937" s="189" t="s">
        <v>233</v>
      </c>
      <c r="M937" s="189" t="s">
        <v>248</v>
      </c>
      <c r="N937" s="189" t="s">
        <v>893</v>
      </c>
      <c r="O937" s="189" t="s">
        <v>172</v>
      </c>
      <c r="P937" s="189" t="s">
        <v>111</v>
      </c>
      <c r="Q937" s="189" t="s">
        <v>112</v>
      </c>
      <c r="R937" s="189" t="s">
        <v>22</v>
      </c>
      <c r="S937" s="189" t="s">
        <v>152</v>
      </c>
      <c r="T937" s="189" t="s">
        <v>180</v>
      </c>
      <c r="U937" s="189" t="s">
        <v>122</v>
      </c>
      <c r="V937" s="189" t="s">
        <v>167</v>
      </c>
      <c r="W937" s="189" t="s">
        <v>168</v>
      </c>
      <c r="X937" s="189" t="s">
        <v>148</v>
      </c>
      <c r="Y937" s="189" t="s">
        <v>3069</v>
      </c>
      <c r="Z937" s="0" t="n">
        <v>2</v>
      </c>
      <c r="AA937" s="189" t="s">
        <v>3188</v>
      </c>
    </row>
    <row r="938" customFormat="false" ht="15" hidden="false" customHeight="false" outlineLevel="0" collapsed="false">
      <c r="A938" s="0" t="n">
        <v>192</v>
      </c>
      <c r="B938" s="191" t="n">
        <v>46050.2600326301</v>
      </c>
      <c r="C938" s="191" t="n">
        <v>46050.2629261486</v>
      </c>
      <c r="D938" s="189" t="s">
        <v>1453</v>
      </c>
      <c r="E938" s="189" t="s">
        <v>1454</v>
      </c>
      <c r="F938" s="189" t="s">
        <v>1454</v>
      </c>
      <c r="G938" s="189" t="s">
        <v>1455</v>
      </c>
      <c r="H938" s="191" t="n">
        <v>46047</v>
      </c>
      <c r="I938" s="189" t="s">
        <v>551</v>
      </c>
      <c r="J938" s="189" t="s">
        <v>295</v>
      </c>
      <c r="K938" s="189" t="s">
        <v>1456</v>
      </c>
      <c r="L938" s="189" t="s">
        <v>286</v>
      </c>
      <c r="M938" s="189" t="s">
        <v>594</v>
      </c>
      <c r="N938" s="189" t="s">
        <v>174</v>
      </c>
      <c r="O938" s="189" t="s">
        <v>172</v>
      </c>
      <c r="P938" s="189" t="s">
        <v>111</v>
      </c>
      <c r="Q938" s="189" t="s">
        <v>145</v>
      </c>
      <c r="R938" s="189" t="s">
        <v>22</v>
      </c>
      <c r="S938" s="189" t="s">
        <v>152</v>
      </c>
      <c r="T938" s="189" t="s">
        <v>121</v>
      </c>
      <c r="U938" s="189" t="s">
        <v>547</v>
      </c>
      <c r="V938" s="189" t="s">
        <v>192</v>
      </c>
      <c r="W938" s="189" t="s">
        <v>124</v>
      </c>
      <c r="X938" s="189" t="s">
        <v>116</v>
      </c>
      <c r="Y938" s="189" t="s">
        <v>3064</v>
      </c>
      <c r="Z938" s="0" t="n">
        <v>1</v>
      </c>
      <c r="AA938" s="189" t="s">
        <v>3139</v>
      </c>
    </row>
    <row r="939" customFormat="false" ht="15" hidden="false" customHeight="false" outlineLevel="0" collapsed="false">
      <c r="A939" s="0" t="n">
        <v>192</v>
      </c>
      <c r="B939" s="191" t="n">
        <v>46050.2600326301</v>
      </c>
      <c r="C939" s="191" t="n">
        <v>46050.2629261486</v>
      </c>
      <c r="D939" s="189" t="s">
        <v>1453</v>
      </c>
      <c r="E939" s="189" t="s">
        <v>1454</v>
      </c>
      <c r="F939" s="189" t="s">
        <v>1454</v>
      </c>
      <c r="G939" s="189" t="s">
        <v>1455</v>
      </c>
      <c r="H939" s="191" t="n">
        <v>46047</v>
      </c>
      <c r="I939" s="189" t="s">
        <v>551</v>
      </c>
      <c r="J939" s="189" t="s">
        <v>295</v>
      </c>
      <c r="K939" s="189" t="s">
        <v>1456</v>
      </c>
      <c r="L939" s="189" t="s">
        <v>286</v>
      </c>
      <c r="M939" s="189" t="s">
        <v>594</v>
      </c>
      <c r="N939" s="189" t="s">
        <v>174</v>
      </c>
      <c r="O939" s="189" t="s">
        <v>172</v>
      </c>
      <c r="P939" s="189" t="s">
        <v>111</v>
      </c>
      <c r="Q939" s="189" t="s">
        <v>145</v>
      </c>
      <c r="R939" s="189" t="s">
        <v>22</v>
      </c>
      <c r="S939" s="189" t="s">
        <v>152</v>
      </c>
      <c r="T939" s="189" t="s">
        <v>121</v>
      </c>
      <c r="U939" s="189" t="s">
        <v>547</v>
      </c>
      <c r="V939" s="189" t="s">
        <v>192</v>
      </c>
      <c r="W939" s="189" t="s">
        <v>124</v>
      </c>
      <c r="X939" s="189" t="s">
        <v>116</v>
      </c>
      <c r="Y939" s="189" t="s">
        <v>3066</v>
      </c>
      <c r="Z939" s="0" t="n">
        <v>1</v>
      </c>
      <c r="AA939" s="189" t="s">
        <v>122</v>
      </c>
    </row>
    <row r="940" customFormat="false" ht="15" hidden="false" customHeight="false" outlineLevel="0" collapsed="false">
      <c r="A940" s="0" t="n">
        <v>192</v>
      </c>
      <c r="B940" s="191" t="n">
        <v>46050.2600326301</v>
      </c>
      <c r="C940" s="191" t="n">
        <v>46050.2629261486</v>
      </c>
      <c r="D940" s="189" t="s">
        <v>1453</v>
      </c>
      <c r="E940" s="189" t="s">
        <v>1454</v>
      </c>
      <c r="F940" s="189" t="s">
        <v>1454</v>
      </c>
      <c r="G940" s="189" t="s">
        <v>1455</v>
      </c>
      <c r="H940" s="191" t="n">
        <v>46047</v>
      </c>
      <c r="I940" s="189" t="s">
        <v>551</v>
      </c>
      <c r="J940" s="189" t="s">
        <v>295</v>
      </c>
      <c r="K940" s="189" t="s">
        <v>1456</v>
      </c>
      <c r="L940" s="189" t="s">
        <v>286</v>
      </c>
      <c r="M940" s="189" t="s">
        <v>594</v>
      </c>
      <c r="N940" s="189" t="s">
        <v>174</v>
      </c>
      <c r="O940" s="189" t="s">
        <v>172</v>
      </c>
      <c r="P940" s="189" t="s">
        <v>111</v>
      </c>
      <c r="Q940" s="189" t="s">
        <v>145</v>
      </c>
      <c r="R940" s="189" t="s">
        <v>22</v>
      </c>
      <c r="S940" s="189" t="s">
        <v>152</v>
      </c>
      <c r="T940" s="189" t="s">
        <v>121</v>
      </c>
      <c r="U940" s="189" t="s">
        <v>547</v>
      </c>
      <c r="V940" s="189" t="s">
        <v>192</v>
      </c>
      <c r="W940" s="189" t="s">
        <v>124</v>
      </c>
      <c r="X940" s="189" t="s">
        <v>116</v>
      </c>
      <c r="Y940" s="189" t="s">
        <v>3069</v>
      </c>
      <c r="Z940" s="0" t="n">
        <v>1</v>
      </c>
      <c r="AA940" s="189" t="s">
        <v>3108</v>
      </c>
    </row>
    <row r="941" customFormat="false" ht="15" hidden="false" customHeight="false" outlineLevel="0" collapsed="false">
      <c r="A941" s="0" t="n">
        <v>193</v>
      </c>
      <c r="B941" s="191" t="n">
        <v>46057.9306951736</v>
      </c>
      <c r="C941" s="191" t="n">
        <v>46057.9344451736</v>
      </c>
      <c r="D941" s="189" t="s">
        <v>1458</v>
      </c>
      <c r="E941" s="189" t="s">
        <v>1459</v>
      </c>
      <c r="F941" s="189" t="s">
        <v>1459</v>
      </c>
      <c r="G941" s="189" t="s">
        <v>1460</v>
      </c>
      <c r="H941" s="191" t="n">
        <v>46038</v>
      </c>
      <c r="I941" s="189" t="s">
        <v>325</v>
      </c>
      <c r="J941" s="189" t="s">
        <v>108</v>
      </c>
      <c r="K941" s="189" t="s">
        <v>462</v>
      </c>
      <c r="L941" s="189" t="s">
        <v>246</v>
      </c>
      <c r="M941" s="189" t="s">
        <v>185</v>
      </c>
      <c r="N941" s="189" t="s">
        <v>440</v>
      </c>
      <c r="O941" s="189" t="s">
        <v>172</v>
      </c>
      <c r="P941" s="189" t="s">
        <v>111</v>
      </c>
      <c r="Q941" s="189" t="s">
        <v>247</v>
      </c>
      <c r="R941" s="189" t="s">
        <v>22</v>
      </c>
      <c r="S941" s="189" t="s">
        <v>152</v>
      </c>
      <c r="T941" s="189" t="s">
        <v>121</v>
      </c>
      <c r="V941" s="189" t="s">
        <v>167</v>
      </c>
      <c r="W941" s="189" t="s">
        <v>124</v>
      </c>
      <c r="X941" s="189" t="s">
        <v>381</v>
      </c>
      <c r="Y941" s="189" t="s">
        <v>3064</v>
      </c>
      <c r="Z941" s="0" t="n">
        <v>1</v>
      </c>
      <c r="AA941" s="189" t="s">
        <v>3249</v>
      </c>
    </row>
    <row r="942" customFormat="false" ht="15" hidden="false" customHeight="false" outlineLevel="0" collapsed="false">
      <c r="A942" s="0" t="n">
        <v>193</v>
      </c>
      <c r="B942" s="191" t="n">
        <v>46057.9306951736</v>
      </c>
      <c r="C942" s="191" t="n">
        <v>46057.9344451736</v>
      </c>
      <c r="D942" s="189" t="s">
        <v>1458</v>
      </c>
      <c r="E942" s="189" t="s">
        <v>1459</v>
      </c>
      <c r="F942" s="189" t="s">
        <v>1459</v>
      </c>
      <c r="G942" s="189" t="s">
        <v>1460</v>
      </c>
      <c r="H942" s="191" t="n">
        <v>46038</v>
      </c>
      <c r="I942" s="189" t="s">
        <v>325</v>
      </c>
      <c r="J942" s="189" t="s">
        <v>108</v>
      </c>
      <c r="K942" s="189" t="s">
        <v>462</v>
      </c>
      <c r="L942" s="189" t="s">
        <v>246</v>
      </c>
      <c r="M942" s="189" t="s">
        <v>185</v>
      </c>
      <c r="N942" s="189" t="s">
        <v>440</v>
      </c>
      <c r="O942" s="189" t="s">
        <v>172</v>
      </c>
      <c r="P942" s="189" t="s">
        <v>111</v>
      </c>
      <c r="Q942" s="189" t="s">
        <v>247</v>
      </c>
      <c r="R942" s="189" t="s">
        <v>22</v>
      </c>
      <c r="S942" s="189" t="s">
        <v>152</v>
      </c>
      <c r="T942" s="189" t="s">
        <v>121</v>
      </c>
      <c r="V942" s="189" t="s">
        <v>167</v>
      </c>
      <c r="W942" s="189" t="s">
        <v>124</v>
      </c>
      <c r="X942" s="189" t="s">
        <v>381</v>
      </c>
      <c r="Y942" s="189" t="s">
        <v>3064</v>
      </c>
      <c r="Z942" s="0" t="n">
        <v>2</v>
      </c>
      <c r="AA942" s="189" t="s">
        <v>3159</v>
      </c>
    </row>
    <row r="943" customFormat="false" ht="15" hidden="false" customHeight="false" outlineLevel="0" collapsed="false">
      <c r="A943" s="0" t="n">
        <v>193</v>
      </c>
      <c r="B943" s="191" t="n">
        <v>46057.9306951736</v>
      </c>
      <c r="C943" s="191" t="n">
        <v>46057.9344451736</v>
      </c>
      <c r="D943" s="189" t="s">
        <v>1458</v>
      </c>
      <c r="E943" s="189" t="s">
        <v>1459</v>
      </c>
      <c r="F943" s="189" t="s">
        <v>1459</v>
      </c>
      <c r="G943" s="189" t="s">
        <v>1460</v>
      </c>
      <c r="H943" s="191" t="n">
        <v>46038</v>
      </c>
      <c r="I943" s="189" t="s">
        <v>325</v>
      </c>
      <c r="J943" s="189" t="s">
        <v>108</v>
      </c>
      <c r="K943" s="189" t="s">
        <v>462</v>
      </c>
      <c r="L943" s="189" t="s">
        <v>246</v>
      </c>
      <c r="M943" s="189" t="s">
        <v>185</v>
      </c>
      <c r="N943" s="189" t="s">
        <v>440</v>
      </c>
      <c r="O943" s="189" t="s">
        <v>172</v>
      </c>
      <c r="P943" s="189" t="s">
        <v>111</v>
      </c>
      <c r="Q943" s="189" t="s">
        <v>247</v>
      </c>
      <c r="R943" s="189" t="s">
        <v>22</v>
      </c>
      <c r="S943" s="189" t="s">
        <v>152</v>
      </c>
      <c r="T943" s="189" t="s">
        <v>121</v>
      </c>
      <c r="V943" s="189" t="s">
        <v>167</v>
      </c>
      <c r="W943" s="189" t="s">
        <v>124</v>
      </c>
      <c r="X943" s="189" t="s">
        <v>381</v>
      </c>
      <c r="Y943" s="189" t="s">
        <v>3064</v>
      </c>
      <c r="Z943" s="0" t="n">
        <v>3</v>
      </c>
      <c r="AA943" s="189" t="s">
        <v>3180</v>
      </c>
    </row>
    <row r="944" customFormat="false" ht="15" hidden="false" customHeight="false" outlineLevel="0" collapsed="false">
      <c r="A944" s="0" t="n">
        <v>193</v>
      </c>
      <c r="B944" s="191" t="n">
        <v>46057.9306951736</v>
      </c>
      <c r="C944" s="191" t="n">
        <v>46057.9344451736</v>
      </c>
      <c r="D944" s="189" t="s">
        <v>1458</v>
      </c>
      <c r="E944" s="189" t="s">
        <v>1459</v>
      </c>
      <c r="F944" s="189" t="s">
        <v>1459</v>
      </c>
      <c r="G944" s="189" t="s">
        <v>1460</v>
      </c>
      <c r="H944" s="191" t="n">
        <v>46038</v>
      </c>
      <c r="I944" s="189" t="s">
        <v>325</v>
      </c>
      <c r="J944" s="189" t="s">
        <v>108</v>
      </c>
      <c r="K944" s="189" t="s">
        <v>462</v>
      </c>
      <c r="L944" s="189" t="s">
        <v>246</v>
      </c>
      <c r="M944" s="189" t="s">
        <v>185</v>
      </c>
      <c r="N944" s="189" t="s">
        <v>440</v>
      </c>
      <c r="O944" s="189" t="s">
        <v>172</v>
      </c>
      <c r="P944" s="189" t="s">
        <v>111</v>
      </c>
      <c r="Q944" s="189" t="s">
        <v>247</v>
      </c>
      <c r="R944" s="189" t="s">
        <v>22</v>
      </c>
      <c r="S944" s="189" t="s">
        <v>152</v>
      </c>
      <c r="T944" s="189" t="s">
        <v>121</v>
      </c>
      <c r="V944" s="189" t="s">
        <v>167</v>
      </c>
      <c r="W944" s="189" t="s">
        <v>124</v>
      </c>
      <c r="X944" s="189" t="s">
        <v>381</v>
      </c>
      <c r="Y944" s="189" t="s">
        <v>3066</v>
      </c>
      <c r="Z944" s="0" t="n">
        <v>1</v>
      </c>
      <c r="AA944" s="189" t="s">
        <v>3160</v>
      </c>
    </row>
    <row r="945" customFormat="false" ht="15" hidden="false" customHeight="false" outlineLevel="0" collapsed="false">
      <c r="A945" s="0" t="n">
        <v>193</v>
      </c>
      <c r="B945" s="191" t="n">
        <v>46057.9306951736</v>
      </c>
      <c r="C945" s="191" t="n">
        <v>46057.9344451736</v>
      </c>
      <c r="D945" s="189" t="s">
        <v>1458</v>
      </c>
      <c r="E945" s="189" t="s">
        <v>1459</v>
      </c>
      <c r="F945" s="189" t="s">
        <v>1459</v>
      </c>
      <c r="G945" s="189" t="s">
        <v>1460</v>
      </c>
      <c r="H945" s="191" t="n">
        <v>46038</v>
      </c>
      <c r="I945" s="189" t="s">
        <v>325</v>
      </c>
      <c r="J945" s="189" t="s">
        <v>108</v>
      </c>
      <c r="K945" s="189" t="s">
        <v>462</v>
      </c>
      <c r="L945" s="189" t="s">
        <v>246</v>
      </c>
      <c r="M945" s="189" t="s">
        <v>185</v>
      </c>
      <c r="N945" s="189" t="s">
        <v>440</v>
      </c>
      <c r="O945" s="189" t="s">
        <v>172</v>
      </c>
      <c r="P945" s="189" t="s">
        <v>111</v>
      </c>
      <c r="Q945" s="189" t="s">
        <v>247</v>
      </c>
      <c r="R945" s="189" t="s">
        <v>22</v>
      </c>
      <c r="S945" s="189" t="s">
        <v>152</v>
      </c>
      <c r="T945" s="189" t="s">
        <v>121</v>
      </c>
      <c r="V945" s="189" t="s">
        <v>167</v>
      </c>
      <c r="W945" s="189" t="s">
        <v>124</v>
      </c>
      <c r="X945" s="189" t="s">
        <v>381</v>
      </c>
      <c r="Y945" s="189" t="s">
        <v>3066</v>
      </c>
      <c r="Z945" s="0" t="n">
        <v>2</v>
      </c>
      <c r="AA945" s="189" t="s">
        <v>3161</v>
      </c>
    </row>
    <row r="946" customFormat="false" ht="15" hidden="false" customHeight="false" outlineLevel="0" collapsed="false">
      <c r="A946" s="0" t="n">
        <v>193</v>
      </c>
      <c r="B946" s="191" t="n">
        <v>46057.9306951736</v>
      </c>
      <c r="C946" s="191" t="n">
        <v>46057.9344451736</v>
      </c>
      <c r="D946" s="189" t="s">
        <v>1458</v>
      </c>
      <c r="E946" s="189" t="s">
        <v>1459</v>
      </c>
      <c r="F946" s="189" t="s">
        <v>1459</v>
      </c>
      <c r="G946" s="189" t="s">
        <v>1460</v>
      </c>
      <c r="H946" s="191" t="n">
        <v>46038</v>
      </c>
      <c r="I946" s="189" t="s">
        <v>325</v>
      </c>
      <c r="J946" s="189" t="s">
        <v>108</v>
      </c>
      <c r="K946" s="189" t="s">
        <v>462</v>
      </c>
      <c r="L946" s="189" t="s">
        <v>246</v>
      </c>
      <c r="M946" s="189" t="s">
        <v>185</v>
      </c>
      <c r="N946" s="189" t="s">
        <v>440</v>
      </c>
      <c r="O946" s="189" t="s">
        <v>172</v>
      </c>
      <c r="P946" s="189" t="s">
        <v>111</v>
      </c>
      <c r="Q946" s="189" t="s">
        <v>247</v>
      </c>
      <c r="R946" s="189" t="s">
        <v>22</v>
      </c>
      <c r="S946" s="189" t="s">
        <v>152</v>
      </c>
      <c r="T946" s="189" t="s">
        <v>121</v>
      </c>
      <c r="V946" s="189" t="s">
        <v>167</v>
      </c>
      <c r="W946" s="189" t="s">
        <v>124</v>
      </c>
      <c r="X946" s="189" t="s">
        <v>381</v>
      </c>
      <c r="Y946" s="189" t="s">
        <v>3069</v>
      </c>
      <c r="Z946" s="0" t="n">
        <v>1</v>
      </c>
      <c r="AA946" s="189" t="s">
        <v>3234</v>
      </c>
    </row>
    <row r="947" customFormat="false" ht="15" hidden="false" customHeight="false" outlineLevel="0" collapsed="false">
      <c r="A947" s="0" t="n">
        <v>193</v>
      </c>
      <c r="B947" s="191" t="n">
        <v>46057.9306951736</v>
      </c>
      <c r="C947" s="191" t="n">
        <v>46057.9344451736</v>
      </c>
      <c r="D947" s="189" t="s">
        <v>1458</v>
      </c>
      <c r="E947" s="189" t="s">
        <v>1459</v>
      </c>
      <c r="F947" s="189" t="s">
        <v>1459</v>
      </c>
      <c r="G947" s="189" t="s">
        <v>1460</v>
      </c>
      <c r="H947" s="191" t="n">
        <v>46038</v>
      </c>
      <c r="I947" s="189" t="s">
        <v>325</v>
      </c>
      <c r="J947" s="189" t="s">
        <v>108</v>
      </c>
      <c r="K947" s="189" t="s">
        <v>462</v>
      </c>
      <c r="L947" s="189" t="s">
        <v>246</v>
      </c>
      <c r="M947" s="189" t="s">
        <v>185</v>
      </c>
      <c r="N947" s="189" t="s">
        <v>440</v>
      </c>
      <c r="O947" s="189" t="s">
        <v>172</v>
      </c>
      <c r="P947" s="189" t="s">
        <v>111</v>
      </c>
      <c r="Q947" s="189" t="s">
        <v>247</v>
      </c>
      <c r="R947" s="189" t="s">
        <v>22</v>
      </c>
      <c r="S947" s="189" t="s">
        <v>152</v>
      </c>
      <c r="T947" s="189" t="s">
        <v>121</v>
      </c>
      <c r="V947" s="189" t="s">
        <v>167</v>
      </c>
      <c r="W947" s="189" t="s">
        <v>124</v>
      </c>
      <c r="X947" s="189" t="s">
        <v>381</v>
      </c>
      <c r="Y947" s="189" t="s">
        <v>3069</v>
      </c>
      <c r="Z947" s="0" t="n">
        <v>2</v>
      </c>
      <c r="AA947" s="189" t="s">
        <v>3162</v>
      </c>
    </row>
    <row r="948" customFormat="false" ht="15" hidden="false" customHeight="false" outlineLevel="0" collapsed="false">
      <c r="A948" s="0" t="n">
        <v>194</v>
      </c>
      <c r="B948" s="191" t="n">
        <v>46185.3867514123</v>
      </c>
      <c r="C948" s="191" t="n">
        <v>46185.3937190049</v>
      </c>
      <c r="D948" s="189" t="s">
        <v>1463</v>
      </c>
      <c r="E948" s="189" t="s">
        <v>1464</v>
      </c>
      <c r="F948" s="189" t="s">
        <v>1465</v>
      </c>
      <c r="G948" s="189" t="s">
        <v>1466</v>
      </c>
      <c r="H948" s="191" t="n">
        <v>46169</v>
      </c>
      <c r="I948" s="189" t="s">
        <v>113</v>
      </c>
      <c r="J948" s="189" t="s">
        <v>108</v>
      </c>
      <c r="K948" s="189" t="s">
        <v>143</v>
      </c>
      <c r="L948" s="189" t="s">
        <v>296</v>
      </c>
      <c r="M948" s="189" t="s">
        <v>797</v>
      </c>
      <c r="N948" s="189" t="s">
        <v>810</v>
      </c>
      <c r="O948" s="189" t="s">
        <v>405</v>
      </c>
      <c r="P948" s="189" t="s">
        <v>111</v>
      </c>
      <c r="Q948" s="189" t="s">
        <v>112</v>
      </c>
      <c r="R948" s="189" t="s">
        <v>24</v>
      </c>
      <c r="S948" s="189" t="s">
        <v>152</v>
      </c>
      <c r="T948" s="189" t="s">
        <v>121</v>
      </c>
      <c r="U948" s="189" t="s">
        <v>1063</v>
      </c>
      <c r="V948" s="189" t="s">
        <v>123</v>
      </c>
      <c r="W948" s="189" t="s">
        <v>124</v>
      </c>
      <c r="X948" s="189" t="s">
        <v>214</v>
      </c>
      <c r="Y948" s="189" t="s">
        <v>3064</v>
      </c>
      <c r="Z948" s="0" t="n">
        <v>1</v>
      </c>
      <c r="AA948" s="189" t="s">
        <v>3107</v>
      </c>
    </row>
    <row r="949" customFormat="false" ht="15" hidden="false" customHeight="false" outlineLevel="0" collapsed="false">
      <c r="A949" s="0" t="n">
        <v>194</v>
      </c>
      <c r="B949" s="191" t="n">
        <v>46185.3867514123</v>
      </c>
      <c r="C949" s="191" t="n">
        <v>46185.3937190049</v>
      </c>
      <c r="D949" s="189" t="s">
        <v>1463</v>
      </c>
      <c r="E949" s="189" t="s">
        <v>1464</v>
      </c>
      <c r="F949" s="189" t="s">
        <v>1465</v>
      </c>
      <c r="G949" s="189" t="s">
        <v>1466</v>
      </c>
      <c r="H949" s="191" t="n">
        <v>46169</v>
      </c>
      <c r="I949" s="189" t="s">
        <v>113</v>
      </c>
      <c r="J949" s="189" t="s">
        <v>108</v>
      </c>
      <c r="K949" s="189" t="s">
        <v>143</v>
      </c>
      <c r="L949" s="189" t="s">
        <v>296</v>
      </c>
      <c r="M949" s="189" t="s">
        <v>797</v>
      </c>
      <c r="N949" s="189" t="s">
        <v>810</v>
      </c>
      <c r="O949" s="189" t="s">
        <v>405</v>
      </c>
      <c r="P949" s="189" t="s">
        <v>111</v>
      </c>
      <c r="Q949" s="189" t="s">
        <v>112</v>
      </c>
      <c r="R949" s="189" t="s">
        <v>24</v>
      </c>
      <c r="S949" s="189" t="s">
        <v>152</v>
      </c>
      <c r="T949" s="189" t="s">
        <v>121</v>
      </c>
      <c r="U949" s="189" t="s">
        <v>1063</v>
      </c>
      <c r="V949" s="189" t="s">
        <v>123</v>
      </c>
      <c r="W949" s="189" t="s">
        <v>124</v>
      </c>
      <c r="X949" s="189" t="s">
        <v>214</v>
      </c>
      <c r="Y949" s="189" t="s">
        <v>3064</v>
      </c>
      <c r="Z949" s="0" t="n">
        <v>2</v>
      </c>
      <c r="AA949" s="189" t="s">
        <v>3065</v>
      </c>
    </row>
    <row r="950" customFormat="false" ht="15" hidden="false" customHeight="false" outlineLevel="0" collapsed="false">
      <c r="A950" s="0" t="n">
        <v>194</v>
      </c>
      <c r="B950" s="191" t="n">
        <v>46185.3867514123</v>
      </c>
      <c r="C950" s="191" t="n">
        <v>46185.3937190049</v>
      </c>
      <c r="D950" s="189" t="s">
        <v>1463</v>
      </c>
      <c r="E950" s="189" t="s">
        <v>1464</v>
      </c>
      <c r="F950" s="189" t="s">
        <v>1465</v>
      </c>
      <c r="G950" s="189" t="s">
        <v>1466</v>
      </c>
      <c r="H950" s="191" t="n">
        <v>46169</v>
      </c>
      <c r="I950" s="189" t="s">
        <v>113</v>
      </c>
      <c r="J950" s="189" t="s">
        <v>108</v>
      </c>
      <c r="K950" s="189" t="s">
        <v>143</v>
      </c>
      <c r="L950" s="189" t="s">
        <v>296</v>
      </c>
      <c r="M950" s="189" t="s">
        <v>797</v>
      </c>
      <c r="N950" s="189" t="s">
        <v>810</v>
      </c>
      <c r="O950" s="189" t="s">
        <v>405</v>
      </c>
      <c r="P950" s="189" t="s">
        <v>111</v>
      </c>
      <c r="Q950" s="189" t="s">
        <v>112</v>
      </c>
      <c r="R950" s="189" t="s">
        <v>24</v>
      </c>
      <c r="S950" s="189" t="s">
        <v>152</v>
      </c>
      <c r="T950" s="189" t="s">
        <v>121</v>
      </c>
      <c r="U950" s="189" t="s">
        <v>1063</v>
      </c>
      <c r="V950" s="189" t="s">
        <v>123</v>
      </c>
      <c r="W950" s="189" t="s">
        <v>124</v>
      </c>
      <c r="X950" s="189" t="s">
        <v>214</v>
      </c>
      <c r="Y950" s="189" t="s">
        <v>3066</v>
      </c>
      <c r="Z950" s="0" t="n">
        <v>1</v>
      </c>
      <c r="AA950" s="189" t="s">
        <v>122</v>
      </c>
    </row>
    <row r="951" customFormat="false" ht="15" hidden="false" customHeight="false" outlineLevel="0" collapsed="false">
      <c r="A951" s="0" t="n">
        <v>194</v>
      </c>
      <c r="B951" s="191" t="n">
        <v>46185.3867514123</v>
      </c>
      <c r="C951" s="191" t="n">
        <v>46185.3937190049</v>
      </c>
      <c r="D951" s="189" t="s">
        <v>1463</v>
      </c>
      <c r="E951" s="189" t="s">
        <v>1464</v>
      </c>
      <c r="F951" s="189" t="s">
        <v>1465</v>
      </c>
      <c r="G951" s="189" t="s">
        <v>1466</v>
      </c>
      <c r="H951" s="191" t="n">
        <v>46169</v>
      </c>
      <c r="I951" s="189" t="s">
        <v>113</v>
      </c>
      <c r="J951" s="189" t="s">
        <v>108</v>
      </c>
      <c r="K951" s="189" t="s">
        <v>143</v>
      </c>
      <c r="L951" s="189" t="s">
        <v>296</v>
      </c>
      <c r="M951" s="189" t="s">
        <v>797</v>
      </c>
      <c r="N951" s="189" t="s">
        <v>810</v>
      </c>
      <c r="O951" s="189" t="s">
        <v>405</v>
      </c>
      <c r="P951" s="189" t="s">
        <v>111</v>
      </c>
      <c r="Q951" s="189" t="s">
        <v>112</v>
      </c>
      <c r="R951" s="189" t="s">
        <v>24</v>
      </c>
      <c r="S951" s="189" t="s">
        <v>152</v>
      </c>
      <c r="T951" s="189" t="s">
        <v>121</v>
      </c>
      <c r="U951" s="189" t="s">
        <v>1063</v>
      </c>
      <c r="V951" s="189" t="s">
        <v>123</v>
      </c>
      <c r="W951" s="189" t="s">
        <v>124</v>
      </c>
      <c r="X951" s="189" t="s">
        <v>214</v>
      </c>
      <c r="Y951" s="189" t="s">
        <v>3069</v>
      </c>
      <c r="Z951" s="0" t="n">
        <v>1</v>
      </c>
      <c r="AA951" s="189" t="s">
        <v>3108</v>
      </c>
    </row>
    <row r="952" customFormat="false" ht="15" hidden="false" customHeight="false" outlineLevel="0" collapsed="false">
      <c r="A952" s="0" t="n">
        <v>194</v>
      </c>
      <c r="B952" s="191" t="n">
        <v>46185.3867514123</v>
      </c>
      <c r="C952" s="191" t="n">
        <v>46185.3937190049</v>
      </c>
      <c r="D952" s="189" t="s">
        <v>1463</v>
      </c>
      <c r="E952" s="189" t="s">
        <v>1464</v>
      </c>
      <c r="F952" s="189" t="s">
        <v>1465</v>
      </c>
      <c r="G952" s="189" t="s">
        <v>1466</v>
      </c>
      <c r="H952" s="191" t="n">
        <v>46169</v>
      </c>
      <c r="I952" s="189" t="s">
        <v>113</v>
      </c>
      <c r="J952" s="189" t="s">
        <v>108</v>
      </c>
      <c r="K952" s="189" t="s">
        <v>143</v>
      </c>
      <c r="L952" s="189" t="s">
        <v>296</v>
      </c>
      <c r="M952" s="189" t="s">
        <v>797</v>
      </c>
      <c r="N952" s="189" t="s">
        <v>810</v>
      </c>
      <c r="O952" s="189" t="s">
        <v>405</v>
      </c>
      <c r="P952" s="189" t="s">
        <v>111</v>
      </c>
      <c r="Q952" s="189" t="s">
        <v>112</v>
      </c>
      <c r="R952" s="189" t="s">
        <v>24</v>
      </c>
      <c r="S952" s="189" t="s">
        <v>152</v>
      </c>
      <c r="T952" s="189" t="s">
        <v>121</v>
      </c>
      <c r="U952" s="189" t="s">
        <v>1063</v>
      </c>
      <c r="V952" s="189" t="s">
        <v>123</v>
      </c>
      <c r="W952" s="189" t="s">
        <v>124</v>
      </c>
      <c r="X952" s="189" t="s">
        <v>214</v>
      </c>
      <c r="Y952" s="189" t="s">
        <v>3069</v>
      </c>
      <c r="Z952" s="0" t="n">
        <v>2</v>
      </c>
      <c r="AA952" s="189" t="s">
        <v>3070</v>
      </c>
    </row>
    <row r="953" customFormat="false" ht="15" hidden="false" customHeight="false" outlineLevel="0" collapsed="false">
      <c r="A953" s="0" t="n">
        <v>195</v>
      </c>
      <c r="B953" s="191" t="n">
        <v>46209.5561727033</v>
      </c>
      <c r="C953" s="191" t="n">
        <v>46209.5697606663</v>
      </c>
      <c r="D953" s="189" t="s">
        <v>1467</v>
      </c>
      <c r="E953" s="189" t="s">
        <v>1468</v>
      </c>
      <c r="F953" s="189" t="s">
        <v>1469</v>
      </c>
      <c r="G953" s="189" t="s">
        <v>1470</v>
      </c>
      <c r="H953" s="191" t="n">
        <v>46202</v>
      </c>
      <c r="I953" s="189" t="s">
        <v>113</v>
      </c>
      <c r="J953" s="189" t="s">
        <v>108</v>
      </c>
      <c r="K953" s="189" t="s">
        <v>143</v>
      </c>
      <c r="L953" s="189" t="s">
        <v>144</v>
      </c>
      <c r="M953" s="189" t="s">
        <v>286</v>
      </c>
      <c r="N953" s="189" t="s">
        <v>893</v>
      </c>
      <c r="O953" s="189" t="s">
        <v>278</v>
      </c>
      <c r="P953" s="189" t="s">
        <v>111</v>
      </c>
      <c r="Q953" s="189" t="s">
        <v>112</v>
      </c>
      <c r="R953" s="189" t="s">
        <v>22</v>
      </c>
      <c r="S953" s="189" t="s">
        <v>227</v>
      </c>
      <c r="T953" s="189" t="s">
        <v>121</v>
      </c>
      <c r="V953" s="189" t="s">
        <v>192</v>
      </c>
      <c r="W953" s="189" t="s">
        <v>124</v>
      </c>
      <c r="X953" s="189" t="s">
        <v>176</v>
      </c>
      <c r="Y953" s="189" t="s">
        <v>3064</v>
      </c>
      <c r="Z953" s="0" t="n">
        <v>1</v>
      </c>
      <c r="AA953" s="189" t="s">
        <v>3290</v>
      </c>
    </row>
    <row r="954" customFormat="false" ht="15" hidden="false" customHeight="false" outlineLevel="0" collapsed="false">
      <c r="A954" s="0" t="n">
        <v>195</v>
      </c>
      <c r="B954" s="191" t="n">
        <v>46209.5561727033</v>
      </c>
      <c r="C954" s="191" t="n">
        <v>46209.5697606663</v>
      </c>
      <c r="D954" s="189" t="s">
        <v>1467</v>
      </c>
      <c r="E954" s="189" t="s">
        <v>1468</v>
      </c>
      <c r="F954" s="189" t="s">
        <v>1469</v>
      </c>
      <c r="G954" s="189" t="s">
        <v>1470</v>
      </c>
      <c r="H954" s="191" t="n">
        <v>46202</v>
      </c>
      <c r="I954" s="189" t="s">
        <v>113</v>
      </c>
      <c r="J954" s="189" t="s">
        <v>108</v>
      </c>
      <c r="K954" s="189" t="s">
        <v>143</v>
      </c>
      <c r="L954" s="189" t="s">
        <v>144</v>
      </c>
      <c r="M954" s="189" t="s">
        <v>286</v>
      </c>
      <c r="N954" s="189" t="s">
        <v>893</v>
      </c>
      <c r="O954" s="189" t="s">
        <v>278</v>
      </c>
      <c r="P954" s="189" t="s">
        <v>111</v>
      </c>
      <c r="Q954" s="189" t="s">
        <v>112</v>
      </c>
      <c r="R954" s="189" t="s">
        <v>22</v>
      </c>
      <c r="S954" s="189" t="s">
        <v>227</v>
      </c>
      <c r="T954" s="189" t="s">
        <v>121</v>
      </c>
      <c r="V954" s="189" t="s">
        <v>192</v>
      </c>
      <c r="W954" s="189" t="s">
        <v>124</v>
      </c>
      <c r="X954" s="189" t="s">
        <v>176</v>
      </c>
      <c r="Y954" s="189" t="s">
        <v>3064</v>
      </c>
      <c r="Z954" s="0" t="n">
        <v>2</v>
      </c>
      <c r="AA954" s="189" t="s">
        <v>3085</v>
      </c>
    </row>
    <row r="955" customFormat="false" ht="15" hidden="false" customHeight="false" outlineLevel="0" collapsed="false">
      <c r="A955" s="0" t="n">
        <v>195</v>
      </c>
      <c r="B955" s="191" t="n">
        <v>46209.5561727033</v>
      </c>
      <c r="C955" s="191" t="n">
        <v>46209.5697606663</v>
      </c>
      <c r="D955" s="189" t="s">
        <v>1467</v>
      </c>
      <c r="E955" s="189" t="s">
        <v>1468</v>
      </c>
      <c r="F955" s="189" t="s">
        <v>1469</v>
      </c>
      <c r="G955" s="189" t="s">
        <v>1470</v>
      </c>
      <c r="H955" s="191" t="n">
        <v>46202</v>
      </c>
      <c r="I955" s="189" t="s">
        <v>113</v>
      </c>
      <c r="J955" s="189" t="s">
        <v>108</v>
      </c>
      <c r="K955" s="189" t="s">
        <v>143</v>
      </c>
      <c r="L955" s="189" t="s">
        <v>144</v>
      </c>
      <c r="M955" s="189" t="s">
        <v>286</v>
      </c>
      <c r="N955" s="189" t="s">
        <v>893</v>
      </c>
      <c r="O955" s="189" t="s">
        <v>278</v>
      </c>
      <c r="P955" s="189" t="s">
        <v>111</v>
      </c>
      <c r="Q955" s="189" t="s">
        <v>112</v>
      </c>
      <c r="R955" s="189" t="s">
        <v>22</v>
      </c>
      <c r="S955" s="189" t="s">
        <v>227</v>
      </c>
      <c r="T955" s="189" t="s">
        <v>121</v>
      </c>
      <c r="V955" s="189" t="s">
        <v>192</v>
      </c>
      <c r="W955" s="189" t="s">
        <v>124</v>
      </c>
      <c r="X955" s="189" t="s">
        <v>176</v>
      </c>
      <c r="Y955" s="189" t="s">
        <v>3066</v>
      </c>
      <c r="Z955" s="0" t="n">
        <v>1</v>
      </c>
      <c r="AA955" s="189" t="s">
        <v>3291</v>
      </c>
    </row>
    <row r="956" customFormat="false" ht="15" hidden="false" customHeight="false" outlineLevel="0" collapsed="false">
      <c r="A956" s="0" t="n">
        <v>195</v>
      </c>
      <c r="B956" s="191" t="n">
        <v>46209.5561727033</v>
      </c>
      <c r="C956" s="191" t="n">
        <v>46209.5697606663</v>
      </c>
      <c r="D956" s="189" t="s">
        <v>1467</v>
      </c>
      <c r="E956" s="189" t="s">
        <v>1468</v>
      </c>
      <c r="F956" s="189" t="s">
        <v>1469</v>
      </c>
      <c r="G956" s="189" t="s">
        <v>1470</v>
      </c>
      <c r="H956" s="191" t="n">
        <v>46202</v>
      </c>
      <c r="I956" s="189" t="s">
        <v>113</v>
      </c>
      <c r="J956" s="189" t="s">
        <v>108</v>
      </c>
      <c r="K956" s="189" t="s">
        <v>143</v>
      </c>
      <c r="L956" s="189" t="s">
        <v>144</v>
      </c>
      <c r="M956" s="189" t="s">
        <v>286</v>
      </c>
      <c r="N956" s="189" t="s">
        <v>893</v>
      </c>
      <c r="O956" s="189" t="s">
        <v>278</v>
      </c>
      <c r="P956" s="189" t="s">
        <v>111</v>
      </c>
      <c r="Q956" s="189" t="s">
        <v>112</v>
      </c>
      <c r="R956" s="189" t="s">
        <v>22</v>
      </c>
      <c r="S956" s="189" t="s">
        <v>227</v>
      </c>
      <c r="T956" s="189" t="s">
        <v>121</v>
      </c>
      <c r="V956" s="189" t="s">
        <v>192</v>
      </c>
      <c r="W956" s="189" t="s">
        <v>124</v>
      </c>
      <c r="X956" s="189" t="s">
        <v>176</v>
      </c>
      <c r="Y956" s="189" t="s">
        <v>3066</v>
      </c>
      <c r="Z956" s="0" t="n">
        <v>2</v>
      </c>
      <c r="AA956" s="189" t="s">
        <v>3084</v>
      </c>
    </row>
    <row r="957" customFormat="false" ht="15" hidden="false" customHeight="false" outlineLevel="0" collapsed="false">
      <c r="A957" s="0" t="n">
        <v>195</v>
      </c>
      <c r="B957" s="191" t="n">
        <v>46209.5561727033</v>
      </c>
      <c r="C957" s="191" t="n">
        <v>46209.5697606663</v>
      </c>
      <c r="D957" s="189" t="s">
        <v>1467</v>
      </c>
      <c r="E957" s="189" t="s">
        <v>1468</v>
      </c>
      <c r="F957" s="189" t="s">
        <v>1469</v>
      </c>
      <c r="G957" s="189" t="s">
        <v>1470</v>
      </c>
      <c r="H957" s="191" t="n">
        <v>46202</v>
      </c>
      <c r="I957" s="189" t="s">
        <v>113</v>
      </c>
      <c r="J957" s="189" t="s">
        <v>108</v>
      </c>
      <c r="K957" s="189" t="s">
        <v>143</v>
      </c>
      <c r="L957" s="189" t="s">
        <v>144</v>
      </c>
      <c r="M957" s="189" t="s">
        <v>286</v>
      </c>
      <c r="N957" s="189" t="s">
        <v>893</v>
      </c>
      <c r="O957" s="189" t="s">
        <v>278</v>
      </c>
      <c r="P957" s="189" t="s">
        <v>111</v>
      </c>
      <c r="Q957" s="189" t="s">
        <v>112</v>
      </c>
      <c r="R957" s="189" t="s">
        <v>22</v>
      </c>
      <c r="S957" s="189" t="s">
        <v>227</v>
      </c>
      <c r="T957" s="189" t="s">
        <v>121</v>
      </c>
      <c r="V957" s="189" t="s">
        <v>192</v>
      </c>
      <c r="W957" s="189" t="s">
        <v>124</v>
      </c>
      <c r="X957" s="189" t="s">
        <v>176</v>
      </c>
      <c r="Y957" s="189" t="s">
        <v>3069</v>
      </c>
      <c r="Z957" s="0" t="n">
        <v>1</v>
      </c>
      <c r="AA957" s="189" t="s">
        <v>3270</v>
      </c>
    </row>
    <row r="958" customFormat="false" ht="15" hidden="false" customHeight="false" outlineLevel="0" collapsed="false">
      <c r="A958" s="0" t="n">
        <v>195</v>
      </c>
      <c r="B958" s="191" t="n">
        <v>46209.5561727033</v>
      </c>
      <c r="C958" s="191" t="n">
        <v>46209.5697606663</v>
      </c>
      <c r="D958" s="189" t="s">
        <v>1467</v>
      </c>
      <c r="E958" s="189" t="s">
        <v>1468</v>
      </c>
      <c r="F958" s="189" t="s">
        <v>1469</v>
      </c>
      <c r="G958" s="189" t="s">
        <v>1470</v>
      </c>
      <c r="H958" s="191" t="n">
        <v>46202</v>
      </c>
      <c r="I958" s="189" t="s">
        <v>113</v>
      </c>
      <c r="J958" s="189" t="s">
        <v>108</v>
      </c>
      <c r="K958" s="189" t="s">
        <v>143</v>
      </c>
      <c r="L958" s="189" t="s">
        <v>144</v>
      </c>
      <c r="M958" s="189" t="s">
        <v>286</v>
      </c>
      <c r="N958" s="189" t="s">
        <v>893</v>
      </c>
      <c r="O958" s="189" t="s">
        <v>278</v>
      </c>
      <c r="P958" s="189" t="s">
        <v>111</v>
      </c>
      <c r="Q958" s="189" t="s">
        <v>112</v>
      </c>
      <c r="R958" s="189" t="s">
        <v>22</v>
      </c>
      <c r="S958" s="189" t="s">
        <v>227</v>
      </c>
      <c r="T958" s="189" t="s">
        <v>121</v>
      </c>
      <c r="V958" s="189" t="s">
        <v>192</v>
      </c>
      <c r="W958" s="189" t="s">
        <v>124</v>
      </c>
      <c r="X958" s="189" t="s">
        <v>176</v>
      </c>
      <c r="Y958" s="189" t="s">
        <v>3069</v>
      </c>
      <c r="Z958" s="0" t="n">
        <v>2</v>
      </c>
      <c r="AA958" s="189" t="s">
        <v>3242</v>
      </c>
    </row>
    <row r="959" customFormat="false" ht="15" hidden="false" customHeight="false" outlineLevel="0" collapsed="false">
      <c r="A959" s="0" t="n">
        <v>196</v>
      </c>
      <c r="B959" s="191" t="n">
        <v>46036.3493218179</v>
      </c>
      <c r="C959" s="191" t="n">
        <v>46036.364182929</v>
      </c>
      <c r="D959" s="189" t="s">
        <v>1474</v>
      </c>
      <c r="E959" s="189" t="s">
        <v>1475</v>
      </c>
      <c r="F959" s="189" t="s">
        <v>1475</v>
      </c>
      <c r="G959" s="189" t="s">
        <v>1476</v>
      </c>
      <c r="H959" s="191" t="n">
        <v>46033</v>
      </c>
      <c r="I959" s="189" t="s">
        <v>113</v>
      </c>
      <c r="J959" s="189" t="s">
        <v>108</v>
      </c>
      <c r="K959" s="189" t="s">
        <v>1477</v>
      </c>
      <c r="L959" s="189" t="s">
        <v>144</v>
      </c>
      <c r="M959" s="189" t="s">
        <v>447</v>
      </c>
      <c r="N959" s="189" t="s">
        <v>990</v>
      </c>
      <c r="O959" s="189" t="s">
        <v>157</v>
      </c>
      <c r="P959" s="189" t="s">
        <v>111</v>
      </c>
      <c r="Q959" s="189" t="s">
        <v>112</v>
      </c>
      <c r="R959" s="189" t="s">
        <v>24</v>
      </c>
      <c r="S959" s="189" t="s">
        <v>152</v>
      </c>
      <c r="T959" s="189" t="s">
        <v>121</v>
      </c>
      <c r="V959" s="189" t="s">
        <v>167</v>
      </c>
      <c r="W959" s="189" t="s">
        <v>124</v>
      </c>
      <c r="X959" s="189" t="s">
        <v>223</v>
      </c>
      <c r="Y959" s="189" t="s">
        <v>3064</v>
      </c>
      <c r="Z959" s="0" t="n">
        <v>1</v>
      </c>
      <c r="AA959" s="189" t="s">
        <v>3120</v>
      </c>
    </row>
    <row r="960" customFormat="false" ht="15" hidden="false" customHeight="false" outlineLevel="0" collapsed="false">
      <c r="A960" s="0" t="n">
        <v>196</v>
      </c>
      <c r="B960" s="191" t="n">
        <v>46036.3493218179</v>
      </c>
      <c r="C960" s="191" t="n">
        <v>46036.364182929</v>
      </c>
      <c r="D960" s="189" t="s">
        <v>1474</v>
      </c>
      <c r="E960" s="189" t="s">
        <v>1475</v>
      </c>
      <c r="F960" s="189" t="s">
        <v>1475</v>
      </c>
      <c r="G960" s="189" t="s">
        <v>1476</v>
      </c>
      <c r="H960" s="191" t="n">
        <v>46033</v>
      </c>
      <c r="I960" s="189" t="s">
        <v>113</v>
      </c>
      <c r="J960" s="189" t="s">
        <v>108</v>
      </c>
      <c r="K960" s="189" t="s">
        <v>1477</v>
      </c>
      <c r="L960" s="189" t="s">
        <v>144</v>
      </c>
      <c r="M960" s="189" t="s">
        <v>447</v>
      </c>
      <c r="N960" s="189" t="s">
        <v>990</v>
      </c>
      <c r="O960" s="189" t="s">
        <v>157</v>
      </c>
      <c r="P960" s="189" t="s">
        <v>111</v>
      </c>
      <c r="Q960" s="189" t="s">
        <v>112</v>
      </c>
      <c r="R960" s="189" t="s">
        <v>24</v>
      </c>
      <c r="S960" s="189" t="s">
        <v>152</v>
      </c>
      <c r="T960" s="189" t="s">
        <v>121</v>
      </c>
      <c r="V960" s="189" t="s">
        <v>167</v>
      </c>
      <c r="W960" s="189" t="s">
        <v>124</v>
      </c>
      <c r="X960" s="189" t="s">
        <v>223</v>
      </c>
      <c r="Y960" s="189" t="s">
        <v>3064</v>
      </c>
      <c r="Z960" s="0" t="n">
        <v>2</v>
      </c>
      <c r="AA960" s="189" t="s">
        <v>3098</v>
      </c>
    </row>
    <row r="961" customFormat="false" ht="15" hidden="false" customHeight="false" outlineLevel="0" collapsed="false">
      <c r="A961" s="0" t="n">
        <v>196</v>
      </c>
      <c r="B961" s="191" t="n">
        <v>46036.3493218179</v>
      </c>
      <c r="C961" s="191" t="n">
        <v>46036.364182929</v>
      </c>
      <c r="D961" s="189" t="s">
        <v>1474</v>
      </c>
      <c r="E961" s="189" t="s">
        <v>1475</v>
      </c>
      <c r="F961" s="189" t="s">
        <v>1475</v>
      </c>
      <c r="G961" s="189" t="s">
        <v>1476</v>
      </c>
      <c r="H961" s="191" t="n">
        <v>46033</v>
      </c>
      <c r="I961" s="189" t="s">
        <v>113</v>
      </c>
      <c r="J961" s="189" t="s">
        <v>108</v>
      </c>
      <c r="K961" s="189" t="s">
        <v>1477</v>
      </c>
      <c r="L961" s="189" t="s">
        <v>144</v>
      </c>
      <c r="M961" s="189" t="s">
        <v>447</v>
      </c>
      <c r="N961" s="189" t="s">
        <v>990</v>
      </c>
      <c r="O961" s="189" t="s">
        <v>157</v>
      </c>
      <c r="P961" s="189" t="s">
        <v>111</v>
      </c>
      <c r="Q961" s="189" t="s">
        <v>112</v>
      </c>
      <c r="R961" s="189" t="s">
        <v>24</v>
      </c>
      <c r="S961" s="189" t="s">
        <v>152</v>
      </c>
      <c r="T961" s="189" t="s">
        <v>121</v>
      </c>
      <c r="V961" s="189" t="s">
        <v>167</v>
      </c>
      <c r="W961" s="189" t="s">
        <v>124</v>
      </c>
      <c r="X961" s="189" t="s">
        <v>223</v>
      </c>
      <c r="Y961" s="189" t="s">
        <v>3064</v>
      </c>
      <c r="Z961" s="0" t="n">
        <v>3</v>
      </c>
      <c r="AA961" s="189" t="s">
        <v>3103</v>
      </c>
    </row>
    <row r="962" customFormat="false" ht="15" hidden="false" customHeight="false" outlineLevel="0" collapsed="false">
      <c r="A962" s="0" t="n">
        <v>196</v>
      </c>
      <c r="B962" s="191" t="n">
        <v>46036.3493218179</v>
      </c>
      <c r="C962" s="191" t="n">
        <v>46036.364182929</v>
      </c>
      <c r="D962" s="189" t="s">
        <v>1474</v>
      </c>
      <c r="E962" s="189" t="s">
        <v>1475</v>
      </c>
      <c r="F962" s="189" t="s">
        <v>1475</v>
      </c>
      <c r="G962" s="189" t="s">
        <v>1476</v>
      </c>
      <c r="H962" s="191" t="n">
        <v>46033</v>
      </c>
      <c r="I962" s="189" t="s">
        <v>113</v>
      </c>
      <c r="J962" s="189" t="s">
        <v>108</v>
      </c>
      <c r="K962" s="189" t="s">
        <v>1477</v>
      </c>
      <c r="L962" s="189" t="s">
        <v>144</v>
      </c>
      <c r="M962" s="189" t="s">
        <v>447</v>
      </c>
      <c r="N962" s="189" t="s">
        <v>990</v>
      </c>
      <c r="O962" s="189" t="s">
        <v>157</v>
      </c>
      <c r="P962" s="189" t="s">
        <v>111</v>
      </c>
      <c r="Q962" s="189" t="s">
        <v>112</v>
      </c>
      <c r="R962" s="189" t="s">
        <v>24</v>
      </c>
      <c r="S962" s="189" t="s">
        <v>152</v>
      </c>
      <c r="T962" s="189" t="s">
        <v>121</v>
      </c>
      <c r="V962" s="189" t="s">
        <v>167</v>
      </c>
      <c r="W962" s="189" t="s">
        <v>124</v>
      </c>
      <c r="X962" s="189" t="s">
        <v>223</v>
      </c>
      <c r="Y962" s="189" t="s">
        <v>3066</v>
      </c>
      <c r="Z962" s="0" t="n">
        <v>1</v>
      </c>
      <c r="AA962" s="189" t="s">
        <v>3170</v>
      </c>
    </row>
    <row r="963" customFormat="false" ht="15" hidden="false" customHeight="false" outlineLevel="0" collapsed="false">
      <c r="A963" s="0" t="n">
        <v>196</v>
      </c>
      <c r="B963" s="191" t="n">
        <v>46036.3493218179</v>
      </c>
      <c r="C963" s="191" t="n">
        <v>46036.364182929</v>
      </c>
      <c r="D963" s="189" t="s">
        <v>1474</v>
      </c>
      <c r="E963" s="189" t="s">
        <v>1475</v>
      </c>
      <c r="F963" s="189" t="s">
        <v>1475</v>
      </c>
      <c r="G963" s="189" t="s">
        <v>1476</v>
      </c>
      <c r="H963" s="191" t="n">
        <v>46033</v>
      </c>
      <c r="I963" s="189" t="s">
        <v>113</v>
      </c>
      <c r="J963" s="189" t="s">
        <v>108</v>
      </c>
      <c r="K963" s="189" t="s">
        <v>1477</v>
      </c>
      <c r="L963" s="189" t="s">
        <v>144</v>
      </c>
      <c r="M963" s="189" t="s">
        <v>447</v>
      </c>
      <c r="N963" s="189" t="s">
        <v>990</v>
      </c>
      <c r="O963" s="189" t="s">
        <v>157</v>
      </c>
      <c r="P963" s="189" t="s">
        <v>111</v>
      </c>
      <c r="Q963" s="189" t="s">
        <v>112</v>
      </c>
      <c r="R963" s="189" t="s">
        <v>24</v>
      </c>
      <c r="S963" s="189" t="s">
        <v>152</v>
      </c>
      <c r="T963" s="189" t="s">
        <v>121</v>
      </c>
      <c r="V963" s="189" t="s">
        <v>167</v>
      </c>
      <c r="W963" s="189" t="s">
        <v>124</v>
      </c>
      <c r="X963" s="189" t="s">
        <v>223</v>
      </c>
      <c r="Y963" s="189" t="s">
        <v>3066</v>
      </c>
      <c r="Z963" s="0" t="n">
        <v>2</v>
      </c>
      <c r="AA963" s="189" t="s">
        <v>3213</v>
      </c>
    </row>
    <row r="964" customFormat="false" ht="15" hidden="false" customHeight="false" outlineLevel="0" collapsed="false">
      <c r="A964" s="0" t="n">
        <v>196</v>
      </c>
      <c r="B964" s="191" t="n">
        <v>46036.3493218179</v>
      </c>
      <c r="C964" s="191" t="n">
        <v>46036.364182929</v>
      </c>
      <c r="D964" s="189" t="s">
        <v>1474</v>
      </c>
      <c r="E964" s="189" t="s">
        <v>1475</v>
      </c>
      <c r="F964" s="189" t="s">
        <v>1475</v>
      </c>
      <c r="G964" s="189" t="s">
        <v>1476</v>
      </c>
      <c r="H964" s="191" t="n">
        <v>46033</v>
      </c>
      <c r="I964" s="189" t="s">
        <v>113</v>
      </c>
      <c r="J964" s="189" t="s">
        <v>108</v>
      </c>
      <c r="K964" s="189" t="s">
        <v>1477</v>
      </c>
      <c r="L964" s="189" t="s">
        <v>144</v>
      </c>
      <c r="M964" s="189" t="s">
        <v>447</v>
      </c>
      <c r="N964" s="189" t="s">
        <v>990</v>
      </c>
      <c r="O964" s="189" t="s">
        <v>157</v>
      </c>
      <c r="P964" s="189" t="s">
        <v>111</v>
      </c>
      <c r="Q964" s="189" t="s">
        <v>112</v>
      </c>
      <c r="R964" s="189" t="s">
        <v>24</v>
      </c>
      <c r="S964" s="189" t="s">
        <v>152</v>
      </c>
      <c r="T964" s="189" t="s">
        <v>121</v>
      </c>
      <c r="V964" s="189" t="s">
        <v>167</v>
      </c>
      <c r="W964" s="189" t="s">
        <v>124</v>
      </c>
      <c r="X964" s="189" t="s">
        <v>223</v>
      </c>
      <c r="Y964" s="189" t="s">
        <v>3069</v>
      </c>
      <c r="Z964" s="0" t="n">
        <v>1</v>
      </c>
      <c r="AA964" s="189" t="s">
        <v>3102</v>
      </c>
    </row>
    <row r="965" customFormat="false" ht="15" hidden="false" customHeight="false" outlineLevel="0" collapsed="false">
      <c r="A965" s="0" t="n">
        <v>196</v>
      </c>
      <c r="B965" s="191" t="n">
        <v>46036.3493218179</v>
      </c>
      <c r="C965" s="191" t="n">
        <v>46036.364182929</v>
      </c>
      <c r="D965" s="189" t="s">
        <v>1474</v>
      </c>
      <c r="E965" s="189" t="s">
        <v>1475</v>
      </c>
      <c r="F965" s="189" t="s">
        <v>1475</v>
      </c>
      <c r="G965" s="189" t="s">
        <v>1476</v>
      </c>
      <c r="H965" s="191" t="n">
        <v>46033</v>
      </c>
      <c r="I965" s="189" t="s">
        <v>113</v>
      </c>
      <c r="J965" s="189" t="s">
        <v>108</v>
      </c>
      <c r="K965" s="189" t="s">
        <v>1477</v>
      </c>
      <c r="L965" s="189" t="s">
        <v>144</v>
      </c>
      <c r="M965" s="189" t="s">
        <v>447</v>
      </c>
      <c r="N965" s="189" t="s">
        <v>990</v>
      </c>
      <c r="O965" s="189" t="s">
        <v>157</v>
      </c>
      <c r="P965" s="189" t="s">
        <v>111</v>
      </c>
      <c r="Q965" s="189" t="s">
        <v>112</v>
      </c>
      <c r="R965" s="189" t="s">
        <v>24</v>
      </c>
      <c r="S965" s="189" t="s">
        <v>152</v>
      </c>
      <c r="T965" s="189" t="s">
        <v>121</v>
      </c>
      <c r="V965" s="189" t="s">
        <v>167</v>
      </c>
      <c r="W965" s="189" t="s">
        <v>124</v>
      </c>
      <c r="X965" s="189" t="s">
        <v>223</v>
      </c>
      <c r="Y965" s="189" t="s">
        <v>3069</v>
      </c>
      <c r="Z965" s="0" t="n">
        <v>2</v>
      </c>
      <c r="AA965" s="189" t="s">
        <v>3106</v>
      </c>
    </row>
    <row r="966" customFormat="false" ht="15" hidden="false" customHeight="false" outlineLevel="0" collapsed="false">
      <c r="A966" s="0" t="n">
        <v>197</v>
      </c>
      <c r="B966" s="191" t="n">
        <v>46103.3536630161</v>
      </c>
      <c r="C966" s="191" t="n">
        <v>46103.3585819976</v>
      </c>
      <c r="D966" s="189" t="s">
        <v>1480</v>
      </c>
      <c r="E966" s="189" t="s">
        <v>1481</v>
      </c>
      <c r="F966" s="189" t="s">
        <v>1481</v>
      </c>
      <c r="G966" s="189" t="s">
        <v>1482</v>
      </c>
      <c r="H966" s="191" t="n">
        <v>46090</v>
      </c>
      <c r="I966" s="189" t="s">
        <v>325</v>
      </c>
      <c r="J966" s="189" t="s">
        <v>108</v>
      </c>
      <c r="K966" s="189" t="s">
        <v>173</v>
      </c>
      <c r="L966" s="189" t="s">
        <v>159</v>
      </c>
      <c r="M966" s="189" t="s">
        <v>484</v>
      </c>
      <c r="N966" s="189" t="s">
        <v>849</v>
      </c>
      <c r="O966" s="189" t="s">
        <v>405</v>
      </c>
      <c r="P966" s="189" t="s">
        <v>111</v>
      </c>
      <c r="Q966" s="189" t="s">
        <v>112</v>
      </c>
      <c r="R966" s="189" t="s">
        <v>22</v>
      </c>
      <c r="S966" s="189" t="s">
        <v>120</v>
      </c>
      <c r="T966" s="189" t="s">
        <v>121</v>
      </c>
      <c r="V966" s="189" t="s">
        <v>192</v>
      </c>
      <c r="W966" s="189" t="s">
        <v>168</v>
      </c>
      <c r="X966" s="189" t="s">
        <v>176</v>
      </c>
      <c r="Y966" s="189" t="s">
        <v>3064</v>
      </c>
      <c r="Z966" s="0" t="n">
        <v>1</v>
      </c>
      <c r="AA966" s="189" t="s">
        <v>3292</v>
      </c>
    </row>
    <row r="967" customFormat="false" ht="15" hidden="false" customHeight="false" outlineLevel="0" collapsed="false">
      <c r="A967" s="0" t="n">
        <v>197</v>
      </c>
      <c r="B967" s="191" t="n">
        <v>46103.3536630161</v>
      </c>
      <c r="C967" s="191" t="n">
        <v>46103.3585819976</v>
      </c>
      <c r="D967" s="189" t="s">
        <v>1480</v>
      </c>
      <c r="E967" s="189" t="s">
        <v>1481</v>
      </c>
      <c r="F967" s="189" t="s">
        <v>1481</v>
      </c>
      <c r="G967" s="189" t="s">
        <v>1482</v>
      </c>
      <c r="H967" s="191" t="n">
        <v>46090</v>
      </c>
      <c r="I967" s="189" t="s">
        <v>325</v>
      </c>
      <c r="J967" s="189" t="s">
        <v>108</v>
      </c>
      <c r="K967" s="189" t="s">
        <v>173</v>
      </c>
      <c r="L967" s="189" t="s">
        <v>159</v>
      </c>
      <c r="M967" s="189" t="s">
        <v>484</v>
      </c>
      <c r="N967" s="189" t="s">
        <v>849</v>
      </c>
      <c r="O967" s="189" t="s">
        <v>405</v>
      </c>
      <c r="P967" s="189" t="s">
        <v>111</v>
      </c>
      <c r="Q967" s="189" t="s">
        <v>112</v>
      </c>
      <c r="R967" s="189" t="s">
        <v>22</v>
      </c>
      <c r="S967" s="189" t="s">
        <v>120</v>
      </c>
      <c r="T967" s="189" t="s">
        <v>121</v>
      </c>
      <c r="V967" s="189" t="s">
        <v>192</v>
      </c>
      <c r="W967" s="189" t="s">
        <v>168</v>
      </c>
      <c r="X967" s="189" t="s">
        <v>176</v>
      </c>
      <c r="Y967" s="189" t="s">
        <v>3066</v>
      </c>
      <c r="Z967" s="0" t="n">
        <v>1</v>
      </c>
      <c r="AA967" s="189" t="s">
        <v>3293</v>
      </c>
    </row>
    <row r="968" customFormat="false" ht="15" hidden="false" customHeight="false" outlineLevel="0" collapsed="false">
      <c r="A968" s="0" t="n">
        <v>197</v>
      </c>
      <c r="B968" s="191" t="n">
        <v>46103.3536630161</v>
      </c>
      <c r="C968" s="191" t="n">
        <v>46103.3585819976</v>
      </c>
      <c r="D968" s="189" t="s">
        <v>1480</v>
      </c>
      <c r="E968" s="189" t="s">
        <v>1481</v>
      </c>
      <c r="F968" s="189" t="s">
        <v>1481</v>
      </c>
      <c r="G968" s="189" t="s">
        <v>1482</v>
      </c>
      <c r="H968" s="191" t="n">
        <v>46090</v>
      </c>
      <c r="I968" s="189" t="s">
        <v>325</v>
      </c>
      <c r="J968" s="189" t="s">
        <v>108</v>
      </c>
      <c r="K968" s="189" t="s">
        <v>173</v>
      </c>
      <c r="L968" s="189" t="s">
        <v>159</v>
      </c>
      <c r="M968" s="189" t="s">
        <v>484</v>
      </c>
      <c r="N968" s="189" t="s">
        <v>849</v>
      </c>
      <c r="O968" s="189" t="s">
        <v>405</v>
      </c>
      <c r="P968" s="189" t="s">
        <v>111</v>
      </c>
      <c r="Q968" s="189" t="s">
        <v>112</v>
      </c>
      <c r="R968" s="189" t="s">
        <v>22</v>
      </c>
      <c r="S968" s="189" t="s">
        <v>120</v>
      </c>
      <c r="T968" s="189" t="s">
        <v>121</v>
      </c>
      <c r="V968" s="189" t="s">
        <v>192</v>
      </c>
      <c r="W968" s="189" t="s">
        <v>168</v>
      </c>
      <c r="X968" s="189" t="s">
        <v>176</v>
      </c>
      <c r="Y968" s="189" t="s">
        <v>3066</v>
      </c>
      <c r="Z968" s="0" t="n">
        <v>2</v>
      </c>
      <c r="AA968" s="189" t="s">
        <v>122</v>
      </c>
    </row>
    <row r="969" customFormat="false" ht="15" hidden="false" customHeight="false" outlineLevel="0" collapsed="false">
      <c r="A969" s="0" t="n">
        <v>197</v>
      </c>
      <c r="B969" s="191" t="n">
        <v>46103.3536630161</v>
      </c>
      <c r="C969" s="191" t="n">
        <v>46103.3585819976</v>
      </c>
      <c r="D969" s="189" t="s">
        <v>1480</v>
      </c>
      <c r="E969" s="189" t="s">
        <v>1481</v>
      </c>
      <c r="F969" s="189" t="s">
        <v>1481</v>
      </c>
      <c r="G969" s="189" t="s">
        <v>1482</v>
      </c>
      <c r="H969" s="191" t="n">
        <v>46090</v>
      </c>
      <c r="I969" s="189" t="s">
        <v>325</v>
      </c>
      <c r="J969" s="189" t="s">
        <v>108</v>
      </c>
      <c r="K969" s="189" t="s">
        <v>173</v>
      </c>
      <c r="L969" s="189" t="s">
        <v>159</v>
      </c>
      <c r="M969" s="189" t="s">
        <v>484</v>
      </c>
      <c r="N969" s="189" t="s">
        <v>849</v>
      </c>
      <c r="O969" s="189" t="s">
        <v>405</v>
      </c>
      <c r="P969" s="189" t="s">
        <v>111</v>
      </c>
      <c r="Q969" s="189" t="s">
        <v>112</v>
      </c>
      <c r="R969" s="189" t="s">
        <v>22</v>
      </c>
      <c r="S969" s="189" t="s">
        <v>120</v>
      </c>
      <c r="T969" s="189" t="s">
        <v>121</v>
      </c>
      <c r="V969" s="189" t="s">
        <v>192</v>
      </c>
      <c r="W969" s="189" t="s">
        <v>168</v>
      </c>
      <c r="X969" s="189" t="s">
        <v>176</v>
      </c>
      <c r="Y969" s="189" t="s">
        <v>3069</v>
      </c>
      <c r="Z969" s="0" t="n">
        <v>1</v>
      </c>
      <c r="AA969" s="189" t="s">
        <v>3294</v>
      </c>
    </row>
    <row r="970" customFormat="false" ht="15" hidden="false" customHeight="false" outlineLevel="0" collapsed="false">
      <c r="A970" s="0" t="n">
        <v>197</v>
      </c>
      <c r="B970" s="191" t="n">
        <v>46103.3536630161</v>
      </c>
      <c r="C970" s="191" t="n">
        <v>46103.3585819976</v>
      </c>
      <c r="D970" s="189" t="s">
        <v>1480</v>
      </c>
      <c r="E970" s="189" t="s">
        <v>1481</v>
      </c>
      <c r="F970" s="189" t="s">
        <v>1481</v>
      </c>
      <c r="G970" s="189" t="s">
        <v>1482</v>
      </c>
      <c r="H970" s="191" t="n">
        <v>46090</v>
      </c>
      <c r="I970" s="189" t="s">
        <v>325</v>
      </c>
      <c r="J970" s="189" t="s">
        <v>108</v>
      </c>
      <c r="K970" s="189" t="s">
        <v>173</v>
      </c>
      <c r="L970" s="189" t="s">
        <v>159</v>
      </c>
      <c r="M970" s="189" t="s">
        <v>484</v>
      </c>
      <c r="N970" s="189" t="s">
        <v>849</v>
      </c>
      <c r="O970" s="189" t="s">
        <v>405</v>
      </c>
      <c r="P970" s="189" t="s">
        <v>111</v>
      </c>
      <c r="Q970" s="189" t="s">
        <v>112</v>
      </c>
      <c r="R970" s="189" t="s">
        <v>22</v>
      </c>
      <c r="S970" s="189" t="s">
        <v>120</v>
      </c>
      <c r="T970" s="189" t="s">
        <v>121</v>
      </c>
      <c r="V970" s="189" t="s">
        <v>192</v>
      </c>
      <c r="W970" s="189" t="s">
        <v>168</v>
      </c>
      <c r="X970" s="189" t="s">
        <v>176</v>
      </c>
      <c r="Y970" s="189" t="s">
        <v>3069</v>
      </c>
      <c r="Z970" s="0" t="n">
        <v>2</v>
      </c>
      <c r="AA970" s="189" t="s">
        <v>3242</v>
      </c>
    </row>
    <row r="971" customFormat="false" ht="15" hidden="false" customHeight="false" outlineLevel="0" collapsed="false">
      <c r="A971" s="0" t="n">
        <v>198</v>
      </c>
      <c r="B971" s="191" t="n">
        <v>46119.8628468329</v>
      </c>
      <c r="C971" s="191" t="n">
        <v>46119.8825227588</v>
      </c>
      <c r="D971" s="189" t="s">
        <v>1486</v>
      </c>
      <c r="E971" s="189" t="s">
        <v>1487</v>
      </c>
      <c r="F971" s="189" t="s">
        <v>1487</v>
      </c>
      <c r="G971" s="189" t="s">
        <v>1488</v>
      </c>
      <c r="H971" s="191" t="n">
        <v>46107</v>
      </c>
      <c r="I971" s="189" t="s">
        <v>113</v>
      </c>
      <c r="J971" s="189" t="s">
        <v>128</v>
      </c>
      <c r="K971" s="189" t="s">
        <v>173</v>
      </c>
      <c r="L971" s="189" t="s">
        <v>110</v>
      </c>
      <c r="M971" s="189" t="s">
        <v>652</v>
      </c>
      <c r="N971" s="189" t="s">
        <v>841</v>
      </c>
      <c r="O971" s="189" t="s">
        <v>107</v>
      </c>
      <c r="P971" s="189" t="s">
        <v>111</v>
      </c>
      <c r="Q971" s="189" t="s">
        <v>145</v>
      </c>
      <c r="R971" s="189" t="s">
        <v>23</v>
      </c>
      <c r="S971" s="189" t="s">
        <v>120</v>
      </c>
      <c r="T971" s="189" t="s">
        <v>121</v>
      </c>
      <c r="U971" s="189" t="s">
        <v>1489</v>
      </c>
      <c r="V971" s="189" t="s">
        <v>167</v>
      </c>
      <c r="W971" s="189" t="s">
        <v>124</v>
      </c>
      <c r="X971" s="189" t="s">
        <v>442</v>
      </c>
      <c r="Y971" s="189" t="s">
        <v>3172</v>
      </c>
      <c r="Z971" s="0" t="n">
        <v>1</v>
      </c>
      <c r="AA971" s="189" t="s">
        <v>441</v>
      </c>
    </row>
    <row r="972" customFormat="false" ht="15" hidden="false" customHeight="false" outlineLevel="0" collapsed="false">
      <c r="A972" s="0" t="n">
        <v>199</v>
      </c>
      <c r="B972" s="191" t="n">
        <v>46149.7828128013</v>
      </c>
      <c r="C972" s="191" t="n">
        <v>46149.7988660421</v>
      </c>
      <c r="D972" s="189" t="s">
        <v>1490</v>
      </c>
      <c r="E972" s="189" t="s">
        <v>1491</v>
      </c>
      <c r="F972" s="189" t="s">
        <v>1491</v>
      </c>
      <c r="G972" s="189" t="s">
        <v>1492</v>
      </c>
      <c r="H972" s="191" t="n">
        <v>46144</v>
      </c>
      <c r="I972" s="189" t="s">
        <v>113</v>
      </c>
      <c r="J972" s="189" t="s">
        <v>295</v>
      </c>
      <c r="K972" s="189" t="s">
        <v>143</v>
      </c>
      <c r="L972" s="189" t="s">
        <v>431</v>
      </c>
      <c r="M972" s="189" t="s">
        <v>492</v>
      </c>
      <c r="N972" s="189" t="s">
        <v>893</v>
      </c>
      <c r="O972" s="189" t="s">
        <v>244</v>
      </c>
      <c r="P972" s="189" t="s">
        <v>390</v>
      </c>
      <c r="Q972" s="189" t="s">
        <v>112</v>
      </c>
      <c r="R972" s="189" t="s">
        <v>24</v>
      </c>
      <c r="S972" s="189" t="s">
        <v>120</v>
      </c>
      <c r="T972" s="189" t="s">
        <v>352</v>
      </c>
      <c r="U972" s="189" t="s">
        <v>122</v>
      </c>
      <c r="V972" s="189" t="s">
        <v>192</v>
      </c>
      <c r="W972" s="189" t="s">
        <v>124</v>
      </c>
      <c r="X972" s="189" t="s">
        <v>19</v>
      </c>
      <c r="Y972" s="189" t="s">
        <v>3172</v>
      </c>
      <c r="Z972" s="0" t="n">
        <v>1</v>
      </c>
      <c r="AA972" s="189" t="s">
        <v>880</v>
      </c>
    </row>
    <row r="973" customFormat="false" ht="15" hidden="false" customHeight="false" outlineLevel="0" collapsed="false">
      <c r="A973" s="0" t="n">
        <v>200</v>
      </c>
      <c r="B973" s="191" t="n">
        <v>46055.1045808603</v>
      </c>
      <c r="C973" s="191" t="n">
        <v>46055.1178447492</v>
      </c>
      <c r="D973" s="189" t="s">
        <v>1493</v>
      </c>
      <c r="E973" s="189" t="s">
        <v>1494</v>
      </c>
      <c r="F973" s="189" t="s">
        <v>1494</v>
      </c>
      <c r="G973" s="189" t="s">
        <v>1495</v>
      </c>
      <c r="H973" s="191" t="n">
        <v>46040</v>
      </c>
      <c r="I973" s="189" t="s">
        <v>336</v>
      </c>
      <c r="J973" s="189" t="s">
        <v>295</v>
      </c>
      <c r="K973" s="189" t="s">
        <v>232</v>
      </c>
      <c r="L973" s="189" t="s">
        <v>296</v>
      </c>
      <c r="M973" s="189" t="s">
        <v>864</v>
      </c>
      <c r="N973" s="189" t="s">
        <v>407</v>
      </c>
      <c r="O973" s="189" t="s">
        <v>278</v>
      </c>
      <c r="P973" s="189" t="s">
        <v>111</v>
      </c>
      <c r="Q973" s="189" t="s">
        <v>145</v>
      </c>
      <c r="R973" s="189" t="s">
        <v>22</v>
      </c>
      <c r="S973" s="189" t="s">
        <v>152</v>
      </c>
      <c r="T973" s="189" t="s">
        <v>121</v>
      </c>
      <c r="V973" s="189" t="s">
        <v>123</v>
      </c>
      <c r="W973" s="189" t="s">
        <v>139</v>
      </c>
      <c r="X973" s="189" t="s">
        <v>381</v>
      </c>
      <c r="Y973" s="189" t="s">
        <v>3064</v>
      </c>
      <c r="Z973" s="0" t="n">
        <v>1</v>
      </c>
      <c r="AA973" s="189" t="s">
        <v>3159</v>
      </c>
    </row>
    <row r="974" customFormat="false" ht="15" hidden="false" customHeight="false" outlineLevel="0" collapsed="false">
      <c r="A974" s="0" t="n">
        <v>200</v>
      </c>
      <c r="B974" s="191" t="n">
        <v>46055.1045808603</v>
      </c>
      <c r="C974" s="191" t="n">
        <v>46055.1178447492</v>
      </c>
      <c r="D974" s="189" t="s">
        <v>1493</v>
      </c>
      <c r="E974" s="189" t="s">
        <v>1494</v>
      </c>
      <c r="F974" s="189" t="s">
        <v>1494</v>
      </c>
      <c r="G974" s="189" t="s">
        <v>1495</v>
      </c>
      <c r="H974" s="191" t="n">
        <v>46040</v>
      </c>
      <c r="I974" s="189" t="s">
        <v>336</v>
      </c>
      <c r="J974" s="189" t="s">
        <v>295</v>
      </c>
      <c r="K974" s="189" t="s">
        <v>232</v>
      </c>
      <c r="L974" s="189" t="s">
        <v>296</v>
      </c>
      <c r="M974" s="189" t="s">
        <v>864</v>
      </c>
      <c r="N974" s="189" t="s">
        <v>407</v>
      </c>
      <c r="O974" s="189" t="s">
        <v>278</v>
      </c>
      <c r="P974" s="189" t="s">
        <v>111</v>
      </c>
      <c r="Q974" s="189" t="s">
        <v>145</v>
      </c>
      <c r="R974" s="189" t="s">
        <v>22</v>
      </c>
      <c r="S974" s="189" t="s">
        <v>152</v>
      </c>
      <c r="T974" s="189" t="s">
        <v>121</v>
      </c>
      <c r="V974" s="189" t="s">
        <v>123</v>
      </c>
      <c r="W974" s="189" t="s">
        <v>139</v>
      </c>
      <c r="X974" s="189" t="s">
        <v>381</v>
      </c>
      <c r="Y974" s="189" t="s">
        <v>3066</v>
      </c>
      <c r="Z974" s="0" t="n">
        <v>1</v>
      </c>
      <c r="AA974" s="189" t="s">
        <v>3250</v>
      </c>
    </row>
    <row r="975" customFormat="false" ht="15" hidden="false" customHeight="false" outlineLevel="0" collapsed="false">
      <c r="A975" s="0" t="n">
        <v>200</v>
      </c>
      <c r="B975" s="191" t="n">
        <v>46055.1045808603</v>
      </c>
      <c r="C975" s="191" t="n">
        <v>46055.1178447492</v>
      </c>
      <c r="D975" s="189" t="s">
        <v>1493</v>
      </c>
      <c r="E975" s="189" t="s">
        <v>1494</v>
      </c>
      <c r="F975" s="189" t="s">
        <v>1494</v>
      </c>
      <c r="G975" s="189" t="s">
        <v>1495</v>
      </c>
      <c r="H975" s="191" t="n">
        <v>46040</v>
      </c>
      <c r="I975" s="189" t="s">
        <v>336</v>
      </c>
      <c r="J975" s="189" t="s">
        <v>295</v>
      </c>
      <c r="K975" s="189" t="s">
        <v>232</v>
      </c>
      <c r="L975" s="189" t="s">
        <v>296</v>
      </c>
      <c r="M975" s="189" t="s">
        <v>864</v>
      </c>
      <c r="N975" s="189" t="s">
        <v>407</v>
      </c>
      <c r="O975" s="189" t="s">
        <v>278</v>
      </c>
      <c r="P975" s="189" t="s">
        <v>111</v>
      </c>
      <c r="Q975" s="189" t="s">
        <v>145</v>
      </c>
      <c r="R975" s="189" t="s">
        <v>22</v>
      </c>
      <c r="S975" s="189" t="s">
        <v>152</v>
      </c>
      <c r="T975" s="189" t="s">
        <v>121</v>
      </c>
      <c r="V975" s="189" t="s">
        <v>123</v>
      </c>
      <c r="W975" s="189" t="s">
        <v>139</v>
      </c>
      <c r="X975" s="189" t="s">
        <v>381</v>
      </c>
      <c r="Y975" s="189" t="s">
        <v>3066</v>
      </c>
      <c r="Z975" s="0" t="n">
        <v>2</v>
      </c>
      <c r="AA975" s="189" t="s">
        <v>3161</v>
      </c>
    </row>
    <row r="976" customFormat="false" ht="15" hidden="false" customHeight="false" outlineLevel="0" collapsed="false">
      <c r="A976" s="0" t="n">
        <v>200</v>
      </c>
      <c r="B976" s="191" t="n">
        <v>46055.1045808603</v>
      </c>
      <c r="C976" s="191" t="n">
        <v>46055.1178447492</v>
      </c>
      <c r="D976" s="189" t="s">
        <v>1493</v>
      </c>
      <c r="E976" s="189" t="s">
        <v>1494</v>
      </c>
      <c r="F976" s="189" t="s">
        <v>1494</v>
      </c>
      <c r="G976" s="189" t="s">
        <v>1495</v>
      </c>
      <c r="H976" s="191" t="n">
        <v>46040</v>
      </c>
      <c r="I976" s="189" t="s">
        <v>336</v>
      </c>
      <c r="J976" s="189" t="s">
        <v>295</v>
      </c>
      <c r="K976" s="189" t="s">
        <v>232</v>
      </c>
      <c r="L976" s="189" t="s">
        <v>296</v>
      </c>
      <c r="M976" s="189" t="s">
        <v>864</v>
      </c>
      <c r="N976" s="189" t="s">
        <v>407</v>
      </c>
      <c r="O976" s="189" t="s">
        <v>278</v>
      </c>
      <c r="P976" s="189" t="s">
        <v>111</v>
      </c>
      <c r="Q976" s="189" t="s">
        <v>145</v>
      </c>
      <c r="R976" s="189" t="s">
        <v>22</v>
      </c>
      <c r="S976" s="189" t="s">
        <v>152</v>
      </c>
      <c r="T976" s="189" t="s">
        <v>121</v>
      </c>
      <c r="V976" s="189" t="s">
        <v>123</v>
      </c>
      <c r="W976" s="189" t="s">
        <v>139</v>
      </c>
      <c r="X976" s="189" t="s">
        <v>381</v>
      </c>
      <c r="Y976" s="189" t="s">
        <v>3069</v>
      </c>
      <c r="Z976" s="0" t="n">
        <v>1</v>
      </c>
      <c r="AA976" s="189" t="s">
        <v>3162</v>
      </c>
    </row>
    <row r="977" customFormat="false" ht="15" hidden="false" customHeight="false" outlineLevel="0" collapsed="false">
      <c r="A977" s="0" t="n">
        <v>201</v>
      </c>
      <c r="B977" s="191" t="n">
        <v>46215.5855533292</v>
      </c>
      <c r="C977" s="191" t="n">
        <v>46215.5900672181</v>
      </c>
      <c r="D977" s="189" t="s">
        <v>1497</v>
      </c>
      <c r="E977" s="189" t="s">
        <v>1498</v>
      </c>
      <c r="F977" s="189" t="s">
        <v>1498</v>
      </c>
      <c r="G977" s="189" t="s">
        <v>1499</v>
      </c>
      <c r="H977" s="191" t="n">
        <v>46201</v>
      </c>
      <c r="I977" s="189" t="s">
        <v>336</v>
      </c>
      <c r="J977" s="189" t="s">
        <v>108</v>
      </c>
      <c r="K977" s="189" t="s">
        <v>1500</v>
      </c>
      <c r="L977" s="189" t="s">
        <v>246</v>
      </c>
      <c r="M977" s="189" t="s">
        <v>789</v>
      </c>
      <c r="N977" s="189" t="s">
        <v>905</v>
      </c>
      <c r="O977" s="189" t="s">
        <v>278</v>
      </c>
      <c r="P977" s="189" t="s">
        <v>131</v>
      </c>
      <c r="Q977" s="189" t="s">
        <v>112</v>
      </c>
      <c r="R977" s="189" t="s">
        <v>22</v>
      </c>
      <c r="S977" s="189" t="s">
        <v>152</v>
      </c>
      <c r="T977" s="189" t="s">
        <v>121</v>
      </c>
      <c r="U977" s="189" t="s">
        <v>122</v>
      </c>
      <c r="V977" s="189" t="s">
        <v>192</v>
      </c>
      <c r="W977" s="189" t="s">
        <v>124</v>
      </c>
      <c r="X977" s="189" t="s">
        <v>271</v>
      </c>
      <c r="Y977" s="189" t="s">
        <v>3064</v>
      </c>
      <c r="Z977" s="0" t="n">
        <v>1</v>
      </c>
      <c r="AA977" s="189" t="s">
        <v>3136</v>
      </c>
    </row>
    <row r="978" customFormat="false" ht="15" hidden="false" customHeight="false" outlineLevel="0" collapsed="false">
      <c r="A978" s="0" t="n">
        <v>201</v>
      </c>
      <c r="B978" s="191" t="n">
        <v>46215.5855533292</v>
      </c>
      <c r="C978" s="191" t="n">
        <v>46215.5900672181</v>
      </c>
      <c r="D978" s="189" t="s">
        <v>1497</v>
      </c>
      <c r="E978" s="189" t="s">
        <v>1498</v>
      </c>
      <c r="F978" s="189" t="s">
        <v>1498</v>
      </c>
      <c r="G978" s="189" t="s">
        <v>1499</v>
      </c>
      <c r="H978" s="191" t="n">
        <v>46201</v>
      </c>
      <c r="I978" s="189" t="s">
        <v>336</v>
      </c>
      <c r="J978" s="189" t="s">
        <v>108</v>
      </c>
      <c r="K978" s="189" t="s">
        <v>1500</v>
      </c>
      <c r="L978" s="189" t="s">
        <v>246</v>
      </c>
      <c r="M978" s="189" t="s">
        <v>789</v>
      </c>
      <c r="N978" s="189" t="s">
        <v>905</v>
      </c>
      <c r="O978" s="189" t="s">
        <v>278</v>
      </c>
      <c r="P978" s="189" t="s">
        <v>131</v>
      </c>
      <c r="Q978" s="189" t="s">
        <v>112</v>
      </c>
      <c r="R978" s="189" t="s">
        <v>22</v>
      </c>
      <c r="S978" s="189" t="s">
        <v>152</v>
      </c>
      <c r="T978" s="189" t="s">
        <v>121</v>
      </c>
      <c r="U978" s="189" t="s">
        <v>122</v>
      </c>
      <c r="V978" s="189" t="s">
        <v>192</v>
      </c>
      <c r="W978" s="189" t="s">
        <v>124</v>
      </c>
      <c r="X978" s="189" t="s">
        <v>271</v>
      </c>
      <c r="Y978" s="189" t="s">
        <v>3064</v>
      </c>
      <c r="Z978" s="0" t="n">
        <v>2</v>
      </c>
      <c r="AA978" s="189" t="s">
        <v>3135</v>
      </c>
    </row>
    <row r="979" customFormat="false" ht="15" hidden="false" customHeight="false" outlineLevel="0" collapsed="false">
      <c r="A979" s="0" t="n">
        <v>201</v>
      </c>
      <c r="B979" s="191" t="n">
        <v>46215.5855533292</v>
      </c>
      <c r="C979" s="191" t="n">
        <v>46215.5900672181</v>
      </c>
      <c r="D979" s="189" t="s">
        <v>1497</v>
      </c>
      <c r="E979" s="189" t="s">
        <v>1498</v>
      </c>
      <c r="F979" s="189" t="s">
        <v>1498</v>
      </c>
      <c r="G979" s="189" t="s">
        <v>1499</v>
      </c>
      <c r="H979" s="191" t="n">
        <v>46201</v>
      </c>
      <c r="I979" s="189" t="s">
        <v>336</v>
      </c>
      <c r="J979" s="189" t="s">
        <v>108</v>
      </c>
      <c r="K979" s="189" t="s">
        <v>1500</v>
      </c>
      <c r="L979" s="189" t="s">
        <v>246</v>
      </c>
      <c r="M979" s="189" t="s">
        <v>789</v>
      </c>
      <c r="N979" s="189" t="s">
        <v>905</v>
      </c>
      <c r="O979" s="189" t="s">
        <v>278</v>
      </c>
      <c r="P979" s="189" t="s">
        <v>131</v>
      </c>
      <c r="Q979" s="189" t="s">
        <v>112</v>
      </c>
      <c r="R979" s="189" t="s">
        <v>22</v>
      </c>
      <c r="S979" s="189" t="s">
        <v>152</v>
      </c>
      <c r="T979" s="189" t="s">
        <v>121</v>
      </c>
      <c r="U979" s="189" t="s">
        <v>122</v>
      </c>
      <c r="V979" s="189" t="s">
        <v>192</v>
      </c>
      <c r="W979" s="189" t="s">
        <v>124</v>
      </c>
      <c r="X979" s="189" t="s">
        <v>271</v>
      </c>
      <c r="Y979" s="189" t="s">
        <v>3064</v>
      </c>
      <c r="Z979" s="0" t="n">
        <v>3</v>
      </c>
      <c r="AA979" s="189" t="s">
        <v>3114</v>
      </c>
    </row>
    <row r="980" customFormat="false" ht="15" hidden="false" customHeight="false" outlineLevel="0" collapsed="false">
      <c r="A980" s="0" t="n">
        <v>201</v>
      </c>
      <c r="B980" s="191" t="n">
        <v>46215.5855533292</v>
      </c>
      <c r="C980" s="191" t="n">
        <v>46215.5900672181</v>
      </c>
      <c r="D980" s="189" t="s">
        <v>1497</v>
      </c>
      <c r="E980" s="189" t="s">
        <v>1498</v>
      </c>
      <c r="F980" s="189" t="s">
        <v>1498</v>
      </c>
      <c r="G980" s="189" t="s">
        <v>1499</v>
      </c>
      <c r="H980" s="191" t="n">
        <v>46201</v>
      </c>
      <c r="I980" s="189" t="s">
        <v>336</v>
      </c>
      <c r="J980" s="189" t="s">
        <v>108</v>
      </c>
      <c r="K980" s="189" t="s">
        <v>1500</v>
      </c>
      <c r="L980" s="189" t="s">
        <v>246</v>
      </c>
      <c r="M980" s="189" t="s">
        <v>789</v>
      </c>
      <c r="N980" s="189" t="s">
        <v>905</v>
      </c>
      <c r="O980" s="189" t="s">
        <v>278</v>
      </c>
      <c r="P980" s="189" t="s">
        <v>131</v>
      </c>
      <c r="Q980" s="189" t="s">
        <v>112</v>
      </c>
      <c r="R980" s="189" t="s">
        <v>22</v>
      </c>
      <c r="S980" s="189" t="s">
        <v>152</v>
      </c>
      <c r="T980" s="189" t="s">
        <v>121</v>
      </c>
      <c r="U980" s="189" t="s">
        <v>122</v>
      </c>
      <c r="V980" s="189" t="s">
        <v>192</v>
      </c>
      <c r="W980" s="189" t="s">
        <v>124</v>
      </c>
      <c r="X980" s="189" t="s">
        <v>271</v>
      </c>
      <c r="Y980" s="189" t="s">
        <v>3066</v>
      </c>
      <c r="Z980" s="0" t="n">
        <v>1</v>
      </c>
      <c r="AA980" s="189" t="s">
        <v>3266</v>
      </c>
    </row>
    <row r="981" customFormat="false" ht="15" hidden="false" customHeight="false" outlineLevel="0" collapsed="false">
      <c r="A981" s="0" t="n">
        <v>201</v>
      </c>
      <c r="B981" s="191" t="n">
        <v>46215.5855533292</v>
      </c>
      <c r="C981" s="191" t="n">
        <v>46215.5900672181</v>
      </c>
      <c r="D981" s="189" t="s">
        <v>1497</v>
      </c>
      <c r="E981" s="189" t="s">
        <v>1498</v>
      </c>
      <c r="F981" s="189" t="s">
        <v>1498</v>
      </c>
      <c r="G981" s="189" t="s">
        <v>1499</v>
      </c>
      <c r="H981" s="191" t="n">
        <v>46201</v>
      </c>
      <c r="I981" s="189" t="s">
        <v>336</v>
      </c>
      <c r="J981" s="189" t="s">
        <v>108</v>
      </c>
      <c r="K981" s="189" t="s">
        <v>1500</v>
      </c>
      <c r="L981" s="189" t="s">
        <v>246</v>
      </c>
      <c r="M981" s="189" t="s">
        <v>789</v>
      </c>
      <c r="N981" s="189" t="s">
        <v>905</v>
      </c>
      <c r="O981" s="189" t="s">
        <v>278</v>
      </c>
      <c r="P981" s="189" t="s">
        <v>131</v>
      </c>
      <c r="Q981" s="189" t="s">
        <v>112</v>
      </c>
      <c r="R981" s="189" t="s">
        <v>22</v>
      </c>
      <c r="S981" s="189" t="s">
        <v>152</v>
      </c>
      <c r="T981" s="189" t="s">
        <v>121</v>
      </c>
      <c r="U981" s="189" t="s">
        <v>122</v>
      </c>
      <c r="V981" s="189" t="s">
        <v>192</v>
      </c>
      <c r="W981" s="189" t="s">
        <v>124</v>
      </c>
      <c r="X981" s="189" t="s">
        <v>271</v>
      </c>
      <c r="Y981" s="189" t="s">
        <v>3066</v>
      </c>
      <c r="Z981" s="0" t="n">
        <v>2</v>
      </c>
      <c r="AA981" s="189" t="s">
        <v>3137</v>
      </c>
    </row>
    <row r="982" customFormat="false" ht="15" hidden="false" customHeight="false" outlineLevel="0" collapsed="false">
      <c r="A982" s="0" t="n">
        <v>201</v>
      </c>
      <c r="B982" s="191" t="n">
        <v>46215.5855533292</v>
      </c>
      <c r="C982" s="191" t="n">
        <v>46215.5900672181</v>
      </c>
      <c r="D982" s="189" t="s">
        <v>1497</v>
      </c>
      <c r="E982" s="189" t="s">
        <v>1498</v>
      </c>
      <c r="F982" s="189" t="s">
        <v>1498</v>
      </c>
      <c r="G982" s="189" t="s">
        <v>1499</v>
      </c>
      <c r="H982" s="191" t="n">
        <v>46201</v>
      </c>
      <c r="I982" s="189" t="s">
        <v>336</v>
      </c>
      <c r="J982" s="189" t="s">
        <v>108</v>
      </c>
      <c r="K982" s="189" t="s">
        <v>1500</v>
      </c>
      <c r="L982" s="189" t="s">
        <v>246</v>
      </c>
      <c r="M982" s="189" t="s">
        <v>789</v>
      </c>
      <c r="N982" s="189" t="s">
        <v>905</v>
      </c>
      <c r="O982" s="189" t="s">
        <v>278</v>
      </c>
      <c r="P982" s="189" t="s">
        <v>131</v>
      </c>
      <c r="Q982" s="189" t="s">
        <v>112</v>
      </c>
      <c r="R982" s="189" t="s">
        <v>22</v>
      </c>
      <c r="S982" s="189" t="s">
        <v>152</v>
      </c>
      <c r="T982" s="189" t="s">
        <v>121</v>
      </c>
      <c r="U982" s="189" t="s">
        <v>122</v>
      </c>
      <c r="V982" s="189" t="s">
        <v>192</v>
      </c>
      <c r="W982" s="189" t="s">
        <v>124</v>
      </c>
      <c r="X982" s="189" t="s">
        <v>271</v>
      </c>
      <c r="Y982" s="189" t="s">
        <v>3069</v>
      </c>
      <c r="Z982" s="0" t="n">
        <v>1</v>
      </c>
      <c r="AA982" s="189" t="s">
        <v>3119</v>
      </c>
    </row>
    <row r="983" customFormat="false" ht="15" hidden="false" customHeight="false" outlineLevel="0" collapsed="false">
      <c r="A983" s="0" t="n">
        <v>202</v>
      </c>
      <c r="B983" s="191" t="n">
        <v>46116.6079473963</v>
      </c>
      <c r="C983" s="191" t="n">
        <v>46116.6131441555</v>
      </c>
      <c r="D983" s="189" t="s">
        <v>1503</v>
      </c>
      <c r="E983" s="189" t="s">
        <v>1504</v>
      </c>
      <c r="F983" s="189" t="s">
        <v>1504</v>
      </c>
      <c r="G983" s="189" t="s">
        <v>1505</v>
      </c>
      <c r="H983" s="191" t="n">
        <v>46111</v>
      </c>
      <c r="I983" s="189" t="s">
        <v>113</v>
      </c>
      <c r="J983" s="189" t="s">
        <v>295</v>
      </c>
      <c r="K983" s="189" t="s">
        <v>364</v>
      </c>
      <c r="L983" s="189" t="s">
        <v>268</v>
      </c>
      <c r="M983" s="189" t="s">
        <v>1313</v>
      </c>
      <c r="N983" s="189" t="s">
        <v>1224</v>
      </c>
      <c r="O983" s="189" t="s">
        <v>1506</v>
      </c>
      <c r="P983" s="189" t="s">
        <v>111</v>
      </c>
      <c r="Q983" s="189" t="s">
        <v>112</v>
      </c>
      <c r="R983" s="189" t="s">
        <v>22</v>
      </c>
      <c r="S983" s="189" t="s">
        <v>152</v>
      </c>
      <c r="T983" s="189" t="s">
        <v>121</v>
      </c>
      <c r="V983" s="189" t="s">
        <v>167</v>
      </c>
      <c r="W983" s="189" t="s">
        <v>124</v>
      </c>
      <c r="X983" s="189" t="s">
        <v>298</v>
      </c>
      <c r="Y983" s="189" t="s">
        <v>3064</v>
      </c>
      <c r="Z983" s="0" t="n">
        <v>1</v>
      </c>
      <c r="AA983" s="189" t="s">
        <v>3124</v>
      </c>
    </row>
    <row r="984" customFormat="false" ht="15" hidden="false" customHeight="false" outlineLevel="0" collapsed="false">
      <c r="A984" s="0" t="n">
        <v>202</v>
      </c>
      <c r="B984" s="191" t="n">
        <v>46116.6079473963</v>
      </c>
      <c r="C984" s="191" t="n">
        <v>46116.6131441555</v>
      </c>
      <c r="D984" s="189" t="s">
        <v>1503</v>
      </c>
      <c r="E984" s="189" t="s">
        <v>1504</v>
      </c>
      <c r="F984" s="189" t="s">
        <v>1504</v>
      </c>
      <c r="G984" s="189" t="s">
        <v>1505</v>
      </c>
      <c r="H984" s="191" t="n">
        <v>46111</v>
      </c>
      <c r="I984" s="189" t="s">
        <v>113</v>
      </c>
      <c r="J984" s="189" t="s">
        <v>295</v>
      </c>
      <c r="K984" s="189" t="s">
        <v>364</v>
      </c>
      <c r="L984" s="189" t="s">
        <v>268</v>
      </c>
      <c r="M984" s="189" t="s">
        <v>1313</v>
      </c>
      <c r="N984" s="189" t="s">
        <v>1224</v>
      </c>
      <c r="O984" s="189" t="s">
        <v>1506</v>
      </c>
      <c r="P984" s="189" t="s">
        <v>111</v>
      </c>
      <c r="Q984" s="189" t="s">
        <v>112</v>
      </c>
      <c r="R984" s="189" t="s">
        <v>22</v>
      </c>
      <c r="S984" s="189" t="s">
        <v>152</v>
      </c>
      <c r="T984" s="189" t="s">
        <v>121</v>
      </c>
      <c r="V984" s="189" t="s">
        <v>167</v>
      </c>
      <c r="W984" s="189" t="s">
        <v>124</v>
      </c>
      <c r="X984" s="189" t="s">
        <v>298</v>
      </c>
      <c r="Y984" s="189" t="s">
        <v>3066</v>
      </c>
      <c r="Z984" s="0" t="n">
        <v>1</v>
      </c>
      <c r="AA984" s="189" t="s">
        <v>3126</v>
      </c>
    </row>
    <row r="985" customFormat="false" ht="15" hidden="false" customHeight="false" outlineLevel="0" collapsed="false">
      <c r="A985" s="0" t="n">
        <v>202</v>
      </c>
      <c r="B985" s="191" t="n">
        <v>46116.6079473963</v>
      </c>
      <c r="C985" s="191" t="n">
        <v>46116.6131441555</v>
      </c>
      <c r="D985" s="189" t="s">
        <v>1503</v>
      </c>
      <c r="E985" s="189" t="s">
        <v>1504</v>
      </c>
      <c r="F985" s="189" t="s">
        <v>1504</v>
      </c>
      <c r="G985" s="189" t="s">
        <v>1505</v>
      </c>
      <c r="H985" s="191" t="n">
        <v>46111</v>
      </c>
      <c r="I985" s="189" t="s">
        <v>113</v>
      </c>
      <c r="J985" s="189" t="s">
        <v>295</v>
      </c>
      <c r="K985" s="189" t="s">
        <v>364</v>
      </c>
      <c r="L985" s="189" t="s">
        <v>268</v>
      </c>
      <c r="M985" s="189" t="s">
        <v>1313</v>
      </c>
      <c r="N985" s="189" t="s">
        <v>1224</v>
      </c>
      <c r="O985" s="189" t="s">
        <v>1506</v>
      </c>
      <c r="P985" s="189" t="s">
        <v>111</v>
      </c>
      <c r="Q985" s="189" t="s">
        <v>112</v>
      </c>
      <c r="R985" s="189" t="s">
        <v>22</v>
      </c>
      <c r="S985" s="189" t="s">
        <v>152</v>
      </c>
      <c r="T985" s="189" t="s">
        <v>121</v>
      </c>
      <c r="V985" s="189" t="s">
        <v>167</v>
      </c>
      <c r="W985" s="189" t="s">
        <v>124</v>
      </c>
      <c r="X985" s="189" t="s">
        <v>298</v>
      </c>
      <c r="Y985" s="189" t="s">
        <v>3069</v>
      </c>
      <c r="Z985" s="0" t="n">
        <v>1</v>
      </c>
      <c r="AA985" s="189" t="s">
        <v>3295</v>
      </c>
    </row>
    <row r="986" customFormat="false" ht="15" hidden="false" customHeight="false" outlineLevel="0" collapsed="false">
      <c r="A986" s="0" t="n">
        <v>202</v>
      </c>
      <c r="B986" s="191" t="n">
        <v>46116.6079473963</v>
      </c>
      <c r="C986" s="191" t="n">
        <v>46116.6131441555</v>
      </c>
      <c r="D986" s="189" t="s">
        <v>1503</v>
      </c>
      <c r="E986" s="189" t="s">
        <v>1504</v>
      </c>
      <c r="F986" s="189" t="s">
        <v>1504</v>
      </c>
      <c r="G986" s="189" t="s">
        <v>1505</v>
      </c>
      <c r="H986" s="191" t="n">
        <v>46111</v>
      </c>
      <c r="I986" s="189" t="s">
        <v>113</v>
      </c>
      <c r="J986" s="189" t="s">
        <v>295</v>
      </c>
      <c r="K986" s="189" t="s">
        <v>364</v>
      </c>
      <c r="L986" s="189" t="s">
        <v>268</v>
      </c>
      <c r="M986" s="189" t="s">
        <v>1313</v>
      </c>
      <c r="N986" s="189" t="s">
        <v>1224</v>
      </c>
      <c r="O986" s="189" t="s">
        <v>1506</v>
      </c>
      <c r="P986" s="189" t="s">
        <v>111</v>
      </c>
      <c r="Q986" s="189" t="s">
        <v>112</v>
      </c>
      <c r="R986" s="189" t="s">
        <v>22</v>
      </c>
      <c r="S986" s="189" t="s">
        <v>152</v>
      </c>
      <c r="T986" s="189" t="s">
        <v>121</v>
      </c>
      <c r="V986" s="189" t="s">
        <v>167</v>
      </c>
      <c r="W986" s="189" t="s">
        <v>124</v>
      </c>
      <c r="X986" s="189" t="s">
        <v>298</v>
      </c>
      <c r="Y986" s="189" t="s">
        <v>3069</v>
      </c>
      <c r="Z986" s="0" t="n">
        <v>2</v>
      </c>
      <c r="AA986" s="189" t="s">
        <v>3215</v>
      </c>
    </row>
    <row r="987" customFormat="false" ht="15" hidden="false" customHeight="false" outlineLevel="0" collapsed="false">
      <c r="A987" s="0" t="n">
        <v>203</v>
      </c>
      <c r="B987" s="191" t="n">
        <v>46153.3452336194</v>
      </c>
      <c r="C987" s="191" t="n">
        <v>46153.3542035268</v>
      </c>
      <c r="D987" s="189" t="s">
        <v>1509</v>
      </c>
      <c r="E987" s="189" t="s">
        <v>1510</v>
      </c>
      <c r="F987" s="189" t="s">
        <v>1511</v>
      </c>
      <c r="G987" s="189" t="s">
        <v>1512</v>
      </c>
      <c r="H987" s="191" t="n">
        <v>46136</v>
      </c>
      <c r="I987" s="189" t="s">
        <v>1268</v>
      </c>
      <c r="J987" s="189" t="s">
        <v>108</v>
      </c>
      <c r="K987" s="189" t="s">
        <v>196</v>
      </c>
      <c r="L987" s="189" t="s">
        <v>130</v>
      </c>
      <c r="M987" s="189" t="s">
        <v>234</v>
      </c>
      <c r="N987" s="189" t="s">
        <v>337</v>
      </c>
      <c r="O987" s="189" t="s">
        <v>405</v>
      </c>
      <c r="P987" s="189" t="s">
        <v>390</v>
      </c>
      <c r="Q987" s="189" t="s">
        <v>145</v>
      </c>
      <c r="R987" s="189" t="s">
        <v>24</v>
      </c>
      <c r="S987" s="189" t="s">
        <v>152</v>
      </c>
      <c r="T987" s="189" t="s">
        <v>180</v>
      </c>
      <c r="V987" s="189" t="s">
        <v>123</v>
      </c>
      <c r="W987" s="189" t="s">
        <v>124</v>
      </c>
      <c r="X987" s="189" t="s">
        <v>214</v>
      </c>
      <c r="Y987" s="189" t="s">
        <v>3064</v>
      </c>
      <c r="Z987" s="0" t="n">
        <v>1</v>
      </c>
      <c r="AA987" s="189" t="s">
        <v>3081</v>
      </c>
    </row>
    <row r="988" customFormat="false" ht="15" hidden="false" customHeight="false" outlineLevel="0" collapsed="false">
      <c r="A988" s="0" t="n">
        <v>203</v>
      </c>
      <c r="B988" s="191" t="n">
        <v>46153.3452336194</v>
      </c>
      <c r="C988" s="191" t="n">
        <v>46153.3542035268</v>
      </c>
      <c r="D988" s="189" t="s">
        <v>1509</v>
      </c>
      <c r="E988" s="189" t="s">
        <v>1510</v>
      </c>
      <c r="F988" s="189" t="s">
        <v>1511</v>
      </c>
      <c r="G988" s="189" t="s">
        <v>1512</v>
      </c>
      <c r="H988" s="191" t="n">
        <v>46136</v>
      </c>
      <c r="I988" s="189" t="s">
        <v>1268</v>
      </c>
      <c r="J988" s="189" t="s">
        <v>108</v>
      </c>
      <c r="K988" s="189" t="s">
        <v>196</v>
      </c>
      <c r="L988" s="189" t="s">
        <v>130</v>
      </c>
      <c r="M988" s="189" t="s">
        <v>234</v>
      </c>
      <c r="N988" s="189" t="s">
        <v>337</v>
      </c>
      <c r="O988" s="189" t="s">
        <v>405</v>
      </c>
      <c r="P988" s="189" t="s">
        <v>390</v>
      </c>
      <c r="Q988" s="189" t="s">
        <v>145</v>
      </c>
      <c r="R988" s="189" t="s">
        <v>24</v>
      </c>
      <c r="S988" s="189" t="s">
        <v>152</v>
      </c>
      <c r="T988" s="189" t="s">
        <v>180</v>
      </c>
      <c r="V988" s="189" t="s">
        <v>123</v>
      </c>
      <c r="W988" s="189" t="s">
        <v>124</v>
      </c>
      <c r="X988" s="189" t="s">
        <v>214</v>
      </c>
      <c r="Y988" s="189" t="s">
        <v>3064</v>
      </c>
      <c r="Z988" s="0" t="n">
        <v>2</v>
      </c>
      <c r="AA988" s="189" t="s">
        <v>3095</v>
      </c>
    </row>
    <row r="989" customFormat="false" ht="15" hidden="false" customHeight="false" outlineLevel="0" collapsed="false">
      <c r="A989" s="0" t="n">
        <v>203</v>
      </c>
      <c r="B989" s="191" t="n">
        <v>46153.3452336194</v>
      </c>
      <c r="C989" s="191" t="n">
        <v>46153.3542035268</v>
      </c>
      <c r="D989" s="189" t="s">
        <v>1509</v>
      </c>
      <c r="E989" s="189" t="s">
        <v>1510</v>
      </c>
      <c r="F989" s="189" t="s">
        <v>1511</v>
      </c>
      <c r="G989" s="189" t="s">
        <v>1512</v>
      </c>
      <c r="H989" s="191" t="n">
        <v>46136</v>
      </c>
      <c r="I989" s="189" t="s">
        <v>1268</v>
      </c>
      <c r="J989" s="189" t="s">
        <v>108</v>
      </c>
      <c r="K989" s="189" t="s">
        <v>196</v>
      </c>
      <c r="L989" s="189" t="s">
        <v>130</v>
      </c>
      <c r="M989" s="189" t="s">
        <v>234</v>
      </c>
      <c r="N989" s="189" t="s">
        <v>337</v>
      </c>
      <c r="O989" s="189" t="s">
        <v>405</v>
      </c>
      <c r="P989" s="189" t="s">
        <v>390</v>
      </c>
      <c r="Q989" s="189" t="s">
        <v>145</v>
      </c>
      <c r="R989" s="189" t="s">
        <v>24</v>
      </c>
      <c r="S989" s="189" t="s">
        <v>152</v>
      </c>
      <c r="T989" s="189" t="s">
        <v>180</v>
      </c>
      <c r="V989" s="189" t="s">
        <v>123</v>
      </c>
      <c r="W989" s="189" t="s">
        <v>124</v>
      </c>
      <c r="X989" s="189" t="s">
        <v>214</v>
      </c>
      <c r="Y989" s="189" t="s">
        <v>3066</v>
      </c>
      <c r="Z989" s="0" t="n">
        <v>1</v>
      </c>
      <c r="AA989" s="189" t="s">
        <v>3067</v>
      </c>
    </row>
    <row r="990" customFormat="false" ht="15" hidden="false" customHeight="false" outlineLevel="0" collapsed="false">
      <c r="A990" s="0" t="n">
        <v>203</v>
      </c>
      <c r="B990" s="191" t="n">
        <v>46153.3452336194</v>
      </c>
      <c r="C990" s="191" t="n">
        <v>46153.3542035268</v>
      </c>
      <c r="D990" s="189" t="s">
        <v>1509</v>
      </c>
      <c r="E990" s="189" t="s">
        <v>1510</v>
      </c>
      <c r="F990" s="189" t="s">
        <v>1511</v>
      </c>
      <c r="G990" s="189" t="s">
        <v>1512</v>
      </c>
      <c r="H990" s="191" t="n">
        <v>46136</v>
      </c>
      <c r="I990" s="189" t="s">
        <v>1268</v>
      </c>
      <c r="J990" s="189" t="s">
        <v>108</v>
      </c>
      <c r="K990" s="189" t="s">
        <v>196</v>
      </c>
      <c r="L990" s="189" t="s">
        <v>130</v>
      </c>
      <c r="M990" s="189" t="s">
        <v>234</v>
      </c>
      <c r="N990" s="189" t="s">
        <v>337</v>
      </c>
      <c r="O990" s="189" t="s">
        <v>405</v>
      </c>
      <c r="P990" s="189" t="s">
        <v>390</v>
      </c>
      <c r="Q990" s="189" t="s">
        <v>145</v>
      </c>
      <c r="R990" s="189" t="s">
        <v>24</v>
      </c>
      <c r="S990" s="189" t="s">
        <v>152</v>
      </c>
      <c r="T990" s="189" t="s">
        <v>180</v>
      </c>
      <c r="V990" s="189" t="s">
        <v>123</v>
      </c>
      <c r="W990" s="189" t="s">
        <v>124</v>
      </c>
      <c r="X990" s="189" t="s">
        <v>214</v>
      </c>
      <c r="Y990" s="189" t="s">
        <v>3069</v>
      </c>
      <c r="Z990" s="0" t="n">
        <v>1</v>
      </c>
      <c r="AA990" s="189" t="s">
        <v>3108</v>
      </c>
    </row>
    <row r="991" customFormat="false" ht="15" hidden="false" customHeight="false" outlineLevel="0" collapsed="false">
      <c r="A991" s="0" t="n">
        <v>204</v>
      </c>
      <c r="B991" s="191" t="n">
        <v>46114.7351697567</v>
      </c>
      <c r="C991" s="191" t="n">
        <v>46114.754741516</v>
      </c>
      <c r="D991" s="189" t="s">
        <v>1514</v>
      </c>
      <c r="E991" s="189" t="s">
        <v>1515</v>
      </c>
      <c r="F991" s="189" t="s">
        <v>1515</v>
      </c>
      <c r="G991" s="189" t="s">
        <v>1516</v>
      </c>
      <c r="H991" s="191" t="n">
        <v>46112</v>
      </c>
      <c r="I991" s="189" t="s">
        <v>113</v>
      </c>
      <c r="J991" s="189" t="s">
        <v>108</v>
      </c>
      <c r="K991" s="189" t="s">
        <v>462</v>
      </c>
      <c r="L991" s="189" t="s">
        <v>233</v>
      </c>
      <c r="M991" s="189" t="s">
        <v>809</v>
      </c>
      <c r="N991" s="189" t="s">
        <v>1306</v>
      </c>
      <c r="O991" s="189" t="s">
        <v>244</v>
      </c>
      <c r="P991" s="189" t="s">
        <v>111</v>
      </c>
      <c r="Q991" s="189" t="s">
        <v>112</v>
      </c>
      <c r="R991" s="189" t="s">
        <v>24</v>
      </c>
      <c r="S991" s="189" t="s">
        <v>152</v>
      </c>
      <c r="T991" s="189" t="s">
        <v>121</v>
      </c>
      <c r="U991" s="189" t="s">
        <v>122</v>
      </c>
      <c r="V991" s="189" t="s">
        <v>123</v>
      </c>
      <c r="W991" s="189" t="s">
        <v>168</v>
      </c>
      <c r="X991" s="189" t="s">
        <v>448</v>
      </c>
      <c r="Y991" s="189" t="s">
        <v>3064</v>
      </c>
      <c r="Z991" s="0" t="n">
        <v>1</v>
      </c>
      <c r="AA991" s="189" t="s">
        <v>3189</v>
      </c>
    </row>
    <row r="992" customFormat="false" ht="15" hidden="false" customHeight="false" outlineLevel="0" collapsed="false">
      <c r="A992" s="0" t="n">
        <v>204</v>
      </c>
      <c r="B992" s="191" t="n">
        <v>46114.7351697567</v>
      </c>
      <c r="C992" s="191" t="n">
        <v>46114.754741516</v>
      </c>
      <c r="D992" s="189" t="s">
        <v>1514</v>
      </c>
      <c r="E992" s="189" t="s">
        <v>1515</v>
      </c>
      <c r="F992" s="189" t="s">
        <v>1515</v>
      </c>
      <c r="G992" s="189" t="s">
        <v>1516</v>
      </c>
      <c r="H992" s="191" t="n">
        <v>46112</v>
      </c>
      <c r="I992" s="189" t="s">
        <v>113</v>
      </c>
      <c r="J992" s="189" t="s">
        <v>108</v>
      </c>
      <c r="K992" s="189" t="s">
        <v>462</v>
      </c>
      <c r="L992" s="189" t="s">
        <v>233</v>
      </c>
      <c r="M992" s="189" t="s">
        <v>809</v>
      </c>
      <c r="N992" s="189" t="s">
        <v>1306</v>
      </c>
      <c r="O992" s="189" t="s">
        <v>244</v>
      </c>
      <c r="P992" s="189" t="s">
        <v>111</v>
      </c>
      <c r="Q992" s="189" t="s">
        <v>112</v>
      </c>
      <c r="R992" s="189" t="s">
        <v>24</v>
      </c>
      <c r="S992" s="189" t="s">
        <v>152</v>
      </c>
      <c r="T992" s="189" t="s">
        <v>121</v>
      </c>
      <c r="U992" s="189" t="s">
        <v>122</v>
      </c>
      <c r="V992" s="189" t="s">
        <v>123</v>
      </c>
      <c r="W992" s="189" t="s">
        <v>168</v>
      </c>
      <c r="X992" s="189" t="s">
        <v>448</v>
      </c>
      <c r="Y992" s="189" t="s">
        <v>3064</v>
      </c>
      <c r="Z992" s="0" t="n">
        <v>2</v>
      </c>
      <c r="AA992" s="189" t="s">
        <v>3191</v>
      </c>
    </row>
    <row r="993" customFormat="false" ht="15" hidden="false" customHeight="false" outlineLevel="0" collapsed="false">
      <c r="A993" s="0" t="n">
        <v>204</v>
      </c>
      <c r="B993" s="191" t="n">
        <v>46114.7351697567</v>
      </c>
      <c r="C993" s="191" t="n">
        <v>46114.754741516</v>
      </c>
      <c r="D993" s="189" t="s">
        <v>1514</v>
      </c>
      <c r="E993" s="189" t="s">
        <v>1515</v>
      </c>
      <c r="F993" s="189" t="s">
        <v>1515</v>
      </c>
      <c r="G993" s="189" t="s">
        <v>1516</v>
      </c>
      <c r="H993" s="191" t="n">
        <v>46112</v>
      </c>
      <c r="I993" s="189" t="s">
        <v>113</v>
      </c>
      <c r="J993" s="189" t="s">
        <v>108</v>
      </c>
      <c r="K993" s="189" t="s">
        <v>462</v>
      </c>
      <c r="L993" s="189" t="s">
        <v>233</v>
      </c>
      <c r="M993" s="189" t="s">
        <v>809</v>
      </c>
      <c r="N993" s="189" t="s">
        <v>1306</v>
      </c>
      <c r="O993" s="189" t="s">
        <v>244</v>
      </c>
      <c r="P993" s="189" t="s">
        <v>111</v>
      </c>
      <c r="Q993" s="189" t="s">
        <v>112</v>
      </c>
      <c r="R993" s="189" t="s">
        <v>24</v>
      </c>
      <c r="S993" s="189" t="s">
        <v>152</v>
      </c>
      <c r="T993" s="189" t="s">
        <v>121</v>
      </c>
      <c r="U993" s="189" t="s">
        <v>122</v>
      </c>
      <c r="V993" s="189" t="s">
        <v>123</v>
      </c>
      <c r="W993" s="189" t="s">
        <v>168</v>
      </c>
      <c r="X993" s="189" t="s">
        <v>448</v>
      </c>
      <c r="Y993" s="189" t="s">
        <v>3066</v>
      </c>
      <c r="Z993" s="0" t="n">
        <v>1</v>
      </c>
      <c r="AA993" s="189" t="s">
        <v>3176</v>
      </c>
    </row>
    <row r="994" customFormat="false" ht="15" hidden="false" customHeight="false" outlineLevel="0" collapsed="false">
      <c r="A994" s="0" t="n">
        <v>204</v>
      </c>
      <c r="B994" s="191" t="n">
        <v>46114.7351697567</v>
      </c>
      <c r="C994" s="191" t="n">
        <v>46114.754741516</v>
      </c>
      <c r="D994" s="189" t="s">
        <v>1514</v>
      </c>
      <c r="E994" s="189" t="s">
        <v>1515</v>
      </c>
      <c r="F994" s="189" t="s">
        <v>1515</v>
      </c>
      <c r="G994" s="189" t="s">
        <v>1516</v>
      </c>
      <c r="H994" s="191" t="n">
        <v>46112</v>
      </c>
      <c r="I994" s="189" t="s">
        <v>113</v>
      </c>
      <c r="J994" s="189" t="s">
        <v>108</v>
      </c>
      <c r="K994" s="189" t="s">
        <v>462</v>
      </c>
      <c r="L994" s="189" t="s">
        <v>233</v>
      </c>
      <c r="M994" s="189" t="s">
        <v>809</v>
      </c>
      <c r="N994" s="189" t="s">
        <v>1306</v>
      </c>
      <c r="O994" s="189" t="s">
        <v>244</v>
      </c>
      <c r="P994" s="189" t="s">
        <v>111</v>
      </c>
      <c r="Q994" s="189" t="s">
        <v>112</v>
      </c>
      <c r="R994" s="189" t="s">
        <v>24</v>
      </c>
      <c r="S994" s="189" t="s">
        <v>152</v>
      </c>
      <c r="T994" s="189" t="s">
        <v>121</v>
      </c>
      <c r="U994" s="189" t="s">
        <v>122</v>
      </c>
      <c r="V994" s="189" t="s">
        <v>123</v>
      </c>
      <c r="W994" s="189" t="s">
        <v>168</v>
      </c>
      <c r="X994" s="189" t="s">
        <v>448</v>
      </c>
      <c r="Y994" s="189" t="s">
        <v>3066</v>
      </c>
      <c r="Z994" s="0" t="n">
        <v>2</v>
      </c>
      <c r="AA994" s="189" t="s">
        <v>3177</v>
      </c>
    </row>
    <row r="995" customFormat="false" ht="15" hidden="false" customHeight="false" outlineLevel="0" collapsed="false">
      <c r="A995" s="0" t="n">
        <v>204</v>
      </c>
      <c r="B995" s="191" t="n">
        <v>46114.7351697567</v>
      </c>
      <c r="C995" s="191" t="n">
        <v>46114.754741516</v>
      </c>
      <c r="D995" s="189" t="s">
        <v>1514</v>
      </c>
      <c r="E995" s="189" t="s">
        <v>1515</v>
      </c>
      <c r="F995" s="189" t="s">
        <v>1515</v>
      </c>
      <c r="G995" s="189" t="s">
        <v>1516</v>
      </c>
      <c r="H995" s="191" t="n">
        <v>46112</v>
      </c>
      <c r="I995" s="189" t="s">
        <v>113</v>
      </c>
      <c r="J995" s="189" t="s">
        <v>108</v>
      </c>
      <c r="K995" s="189" t="s">
        <v>462</v>
      </c>
      <c r="L995" s="189" t="s">
        <v>233</v>
      </c>
      <c r="M995" s="189" t="s">
        <v>809</v>
      </c>
      <c r="N995" s="189" t="s">
        <v>1306</v>
      </c>
      <c r="O995" s="189" t="s">
        <v>244</v>
      </c>
      <c r="P995" s="189" t="s">
        <v>111</v>
      </c>
      <c r="Q995" s="189" t="s">
        <v>112</v>
      </c>
      <c r="R995" s="189" t="s">
        <v>24</v>
      </c>
      <c r="S995" s="189" t="s">
        <v>152</v>
      </c>
      <c r="T995" s="189" t="s">
        <v>121</v>
      </c>
      <c r="U995" s="189" t="s">
        <v>122</v>
      </c>
      <c r="V995" s="189" t="s">
        <v>123</v>
      </c>
      <c r="W995" s="189" t="s">
        <v>168</v>
      </c>
      <c r="X995" s="189" t="s">
        <v>448</v>
      </c>
      <c r="Y995" s="189" t="s">
        <v>3069</v>
      </c>
      <c r="Z995" s="0" t="n">
        <v>1</v>
      </c>
      <c r="AA995" s="189" t="s">
        <v>3179</v>
      </c>
    </row>
    <row r="996" customFormat="false" ht="15" hidden="false" customHeight="false" outlineLevel="0" collapsed="false">
      <c r="A996" s="0" t="n">
        <v>205</v>
      </c>
      <c r="B996" s="191" t="n">
        <v>46212.8478160374</v>
      </c>
      <c r="C996" s="191" t="n">
        <v>46212.8530822411</v>
      </c>
      <c r="D996" s="189" t="s">
        <v>1518</v>
      </c>
      <c r="E996" s="189" t="s">
        <v>1519</v>
      </c>
      <c r="F996" s="189" t="s">
        <v>1519</v>
      </c>
      <c r="G996" s="189" t="s">
        <v>1520</v>
      </c>
      <c r="H996" s="191" t="n">
        <v>46199</v>
      </c>
      <c r="I996" s="189" t="s">
        <v>305</v>
      </c>
      <c r="J996" s="189" t="s">
        <v>108</v>
      </c>
      <c r="K996" s="189" t="s">
        <v>462</v>
      </c>
      <c r="L996" s="189" t="s">
        <v>431</v>
      </c>
      <c r="M996" s="189" t="s">
        <v>612</v>
      </c>
      <c r="N996" s="189" t="s">
        <v>407</v>
      </c>
      <c r="O996" s="189" t="s">
        <v>278</v>
      </c>
      <c r="P996" s="189" t="s">
        <v>111</v>
      </c>
      <c r="Q996" s="189" t="s">
        <v>112</v>
      </c>
      <c r="R996" s="189" t="s">
        <v>24</v>
      </c>
      <c r="S996" s="189" t="s">
        <v>152</v>
      </c>
      <c r="T996" s="189" t="s">
        <v>121</v>
      </c>
      <c r="U996" s="189" t="s">
        <v>1032</v>
      </c>
      <c r="V996" s="189" t="s">
        <v>123</v>
      </c>
      <c r="W996" s="189" t="s">
        <v>124</v>
      </c>
      <c r="X996" s="189" t="s">
        <v>19</v>
      </c>
      <c r="Y996" s="189" t="s">
        <v>3172</v>
      </c>
      <c r="Z996" s="0" t="n">
        <v>1</v>
      </c>
      <c r="AA996" s="189" t="s">
        <v>880</v>
      </c>
    </row>
    <row r="997" customFormat="false" ht="15" hidden="false" customHeight="false" outlineLevel="0" collapsed="false">
      <c r="A997" s="0" t="n">
        <v>206</v>
      </c>
      <c r="B997" s="191" t="n">
        <v>46106.4773364826</v>
      </c>
      <c r="C997" s="191" t="n">
        <v>46106.4877647233</v>
      </c>
      <c r="D997" s="189" t="s">
        <v>1521</v>
      </c>
      <c r="E997" s="189" t="s">
        <v>1522</v>
      </c>
      <c r="F997" s="189" t="s">
        <v>1522</v>
      </c>
      <c r="G997" s="189" t="s">
        <v>1523</v>
      </c>
      <c r="H997" s="191" t="n">
        <v>46105</v>
      </c>
      <c r="I997" s="189" t="s">
        <v>113</v>
      </c>
      <c r="J997" s="189" t="s">
        <v>108</v>
      </c>
      <c r="K997" s="189" t="s">
        <v>196</v>
      </c>
      <c r="L997" s="189" t="s">
        <v>296</v>
      </c>
      <c r="M997" s="189" t="s">
        <v>477</v>
      </c>
      <c r="N997" s="189" t="s">
        <v>990</v>
      </c>
      <c r="O997" s="189" t="s">
        <v>278</v>
      </c>
      <c r="P997" s="189" t="s">
        <v>111</v>
      </c>
      <c r="Q997" s="189" t="s">
        <v>145</v>
      </c>
      <c r="R997" s="189" t="s">
        <v>24</v>
      </c>
      <c r="S997" s="189" t="s">
        <v>152</v>
      </c>
      <c r="T997" s="189" t="s">
        <v>121</v>
      </c>
      <c r="U997" s="189" t="s">
        <v>831</v>
      </c>
      <c r="V997" s="189" t="s">
        <v>192</v>
      </c>
      <c r="W997" s="189" t="s">
        <v>124</v>
      </c>
      <c r="X997" s="189" t="s">
        <v>214</v>
      </c>
      <c r="Y997" s="189" t="s">
        <v>3064</v>
      </c>
      <c r="Z997" s="0" t="n">
        <v>1</v>
      </c>
      <c r="AA997" s="189" t="s">
        <v>3139</v>
      </c>
    </row>
    <row r="998" customFormat="false" ht="15" hidden="false" customHeight="false" outlineLevel="0" collapsed="false">
      <c r="A998" s="0" t="n">
        <v>206</v>
      </c>
      <c r="B998" s="191" t="n">
        <v>46106.4773364826</v>
      </c>
      <c r="C998" s="191" t="n">
        <v>46106.4877647233</v>
      </c>
      <c r="D998" s="189" t="s">
        <v>1521</v>
      </c>
      <c r="E998" s="189" t="s">
        <v>1522</v>
      </c>
      <c r="F998" s="189" t="s">
        <v>1522</v>
      </c>
      <c r="G998" s="189" t="s">
        <v>1523</v>
      </c>
      <c r="H998" s="191" t="n">
        <v>46105</v>
      </c>
      <c r="I998" s="189" t="s">
        <v>113</v>
      </c>
      <c r="J998" s="189" t="s">
        <v>108</v>
      </c>
      <c r="K998" s="189" t="s">
        <v>196</v>
      </c>
      <c r="L998" s="189" t="s">
        <v>296</v>
      </c>
      <c r="M998" s="189" t="s">
        <v>477</v>
      </c>
      <c r="N998" s="189" t="s">
        <v>990</v>
      </c>
      <c r="O998" s="189" t="s">
        <v>278</v>
      </c>
      <c r="P998" s="189" t="s">
        <v>111</v>
      </c>
      <c r="Q998" s="189" t="s">
        <v>145</v>
      </c>
      <c r="R998" s="189" t="s">
        <v>24</v>
      </c>
      <c r="S998" s="189" t="s">
        <v>152</v>
      </c>
      <c r="T998" s="189" t="s">
        <v>121</v>
      </c>
      <c r="U998" s="189" t="s">
        <v>831</v>
      </c>
      <c r="V998" s="189" t="s">
        <v>192</v>
      </c>
      <c r="W998" s="189" t="s">
        <v>124</v>
      </c>
      <c r="X998" s="189" t="s">
        <v>214</v>
      </c>
      <c r="Y998" s="189" t="s">
        <v>3066</v>
      </c>
      <c r="Z998" s="0" t="n">
        <v>1</v>
      </c>
      <c r="AA998" s="189" t="s">
        <v>3067</v>
      </c>
    </row>
    <row r="999" customFormat="false" ht="15" hidden="false" customHeight="false" outlineLevel="0" collapsed="false">
      <c r="A999" s="0" t="n">
        <v>206</v>
      </c>
      <c r="B999" s="191" t="n">
        <v>46106.4773364826</v>
      </c>
      <c r="C999" s="191" t="n">
        <v>46106.4877647233</v>
      </c>
      <c r="D999" s="189" t="s">
        <v>1521</v>
      </c>
      <c r="E999" s="189" t="s">
        <v>1522</v>
      </c>
      <c r="F999" s="189" t="s">
        <v>1522</v>
      </c>
      <c r="G999" s="189" t="s">
        <v>1523</v>
      </c>
      <c r="H999" s="191" t="n">
        <v>46105</v>
      </c>
      <c r="I999" s="189" t="s">
        <v>113</v>
      </c>
      <c r="J999" s="189" t="s">
        <v>108</v>
      </c>
      <c r="K999" s="189" t="s">
        <v>196</v>
      </c>
      <c r="L999" s="189" t="s">
        <v>296</v>
      </c>
      <c r="M999" s="189" t="s">
        <v>477</v>
      </c>
      <c r="N999" s="189" t="s">
        <v>990</v>
      </c>
      <c r="O999" s="189" t="s">
        <v>278</v>
      </c>
      <c r="P999" s="189" t="s">
        <v>111</v>
      </c>
      <c r="Q999" s="189" t="s">
        <v>145</v>
      </c>
      <c r="R999" s="189" t="s">
        <v>24</v>
      </c>
      <c r="S999" s="189" t="s">
        <v>152</v>
      </c>
      <c r="T999" s="189" t="s">
        <v>121</v>
      </c>
      <c r="U999" s="189" t="s">
        <v>831</v>
      </c>
      <c r="V999" s="189" t="s">
        <v>192</v>
      </c>
      <c r="W999" s="189" t="s">
        <v>124</v>
      </c>
      <c r="X999" s="189" t="s">
        <v>214</v>
      </c>
      <c r="Y999" s="189" t="s">
        <v>3066</v>
      </c>
      <c r="Z999" s="0" t="n">
        <v>2</v>
      </c>
      <c r="AA999" s="189" t="s">
        <v>3068</v>
      </c>
    </row>
    <row r="1000" customFormat="false" ht="15" hidden="false" customHeight="false" outlineLevel="0" collapsed="false">
      <c r="A1000" s="0" t="n">
        <v>206</v>
      </c>
      <c r="B1000" s="191" t="n">
        <v>46106.4773364826</v>
      </c>
      <c r="C1000" s="191" t="n">
        <v>46106.4877647233</v>
      </c>
      <c r="D1000" s="189" t="s">
        <v>1521</v>
      </c>
      <c r="E1000" s="189" t="s">
        <v>1522</v>
      </c>
      <c r="F1000" s="189" t="s">
        <v>1522</v>
      </c>
      <c r="G1000" s="189" t="s">
        <v>1523</v>
      </c>
      <c r="H1000" s="191" t="n">
        <v>46105</v>
      </c>
      <c r="I1000" s="189" t="s">
        <v>113</v>
      </c>
      <c r="J1000" s="189" t="s">
        <v>108</v>
      </c>
      <c r="K1000" s="189" t="s">
        <v>196</v>
      </c>
      <c r="L1000" s="189" t="s">
        <v>296</v>
      </c>
      <c r="M1000" s="189" t="s">
        <v>477</v>
      </c>
      <c r="N1000" s="189" t="s">
        <v>990</v>
      </c>
      <c r="O1000" s="189" t="s">
        <v>278</v>
      </c>
      <c r="P1000" s="189" t="s">
        <v>111</v>
      </c>
      <c r="Q1000" s="189" t="s">
        <v>145</v>
      </c>
      <c r="R1000" s="189" t="s">
        <v>24</v>
      </c>
      <c r="S1000" s="189" t="s">
        <v>152</v>
      </c>
      <c r="T1000" s="189" t="s">
        <v>121</v>
      </c>
      <c r="U1000" s="189" t="s">
        <v>831</v>
      </c>
      <c r="V1000" s="189" t="s">
        <v>192</v>
      </c>
      <c r="W1000" s="189" t="s">
        <v>124</v>
      </c>
      <c r="X1000" s="189" t="s">
        <v>214</v>
      </c>
      <c r="Y1000" s="189" t="s">
        <v>3069</v>
      </c>
      <c r="Z1000" s="0" t="n">
        <v>1</v>
      </c>
      <c r="AA1000" s="189" t="s">
        <v>122</v>
      </c>
    </row>
    <row r="1001" customFormat="false" ht="15" hidden="false" customHeight="false" outlineLevel="0" collapsed="false">
      <c r="A1001" s="0" t="n">
        <v>207</v>
      </c>
      <c r="B1001" s="191" t="n">
        <v>46050.5411222041</v>
      </c>
      <c r="C1001" s="191" t="n">
        <v>46050.558761093</v>
      </c>
      <c r="D1001" s="189" t="s">
        <v>1524</v>
      </c>
      <c r="E1001" s="189" t="s">
        <v>1525</v>
      </c>
      <c r="F1001" s="189" t="s">
        <v>1525</v>
      </c>
      <c r="G1001" s="189" t="s">
        <v>1526</v>
      </c>
      <c r="H1001" s="191" t="n">
        <v>46047</v>
      </c>
      <c r="I1001" s="189" t="s">
        <v>113</v>
      </c>
      <c r="J1001" s="189" t="s">
        <v>295</v>
      </c>
      <c r="K1001" s="189" t="s">
        <v>1527</v>
      </c>
      <c r="L1001" s="189" t="s">
        <v>346</v>
      </c>
      <c r="M1001" s="189" t="s">
        <v>870</v>
      </c>
      <c r="N1001" s="189" t="s">
        <v>1036</v>
      </c>
      <c r="O1001" s="189" t="s">
        <v>172</v>
      </c>
      <c r="P1001" s="189" t="s">
        <v>111</v>
      </c>
      <c r="Q1001" s="189" t="s">
        <v>112</v>
      </c>
      <c r="R1001" s="189" t="s">
        <v>22</v>
      </c>
      <c r="S1001" s="189" t="s">
        <v>152</v>
      </c>
      <c r="T1001" s="189" t="s">
        <v>180</v>
      </c>
      <c r="V1001" s="189" t="s">
        <v>192</v>
      </c>
      <c r="W1001" s="189" t="s">
        <v>168</v>
      </c>
      <c r="X1001" s="189" t="s">
        <v>298</v>
      </c>
      <c r="Y1001" s="189" t="s">
        <v>3064</v>
      </c>
      <c r="Z1001" s="0" t="n">
        <v>1</v>
      </c>
      <c r="AA1001" s="189" t="s">
        <v>3194</v>
      </c>
    </row>
    <row r="1002" customFormat="false" ht="15" hidden="false" customHeight="false" outlineLevel="0" collapsed="false">
      <c r="A1002" s="0" t="n">
        <v>207</v>
      </c>
      <c r="B1002" s="191" t="n">
        <v>46050.5411222041</v>
      </c>
      <c r="C1002" s="191" t="n">
        <v>46050.558761093</v>
      </c>
      <c r="D1002" s="189" t="s">
        <v>1524</v>
      </c>
      <c r="E1002" s="189" t="s">
        <v>1525</v>
      </c>
      <c r="F1002" s="189" t="s">
        <v>1525</v>
      </c>
      <c r="G1002" s="189" t="s">
        <v>1526</v>
      </c>
      <c r="H1002" s="191" t="n">
        <v>46047</v>
      </c>
      <c r="I1002" s="189" t="s">
        <v>113</v>
      </c>
      <c r="J1002" s="189" t="s">
        <v>295</v>
      </c>
      <c r="K1002" s="189" t="s">
        <v>1527</v>
      </c>
      <c r="L1002" s="189" t="s">
        <v>346</v>
      </c>
      <c r="M1002" s="189" t="s">
        <v>870</v>
      </c>
      <c r="N1002" s="189" t="s">
        <v>1036</v>
      </c>
      <c r="O1002" s="189" t="s">
        <v>172</v>
      </c>
      <c r="P1002" s="189" t="s">
        <v>111</v>
      </c>
      <c r="Q1002" s="189" t="s">
        <v>112</v>
      </c>
      <c r="R1002" s="189" t="s">
        <v>22</v>
      </c>
      <c r="S1002" s="189" t="s">
        <v>152</v>
      </c>
      <c r="T1002" s="189" t="s">
        <v>180</v>
      </c>
      <c r="V1002" s="189" t="s">
        <v>192</v>
      </c>
      <c r="W1002" s="189" t="s">
        <v>168</v>
      </c>
      <c r="X1002" s="189" t="s">
        <v>298</v>
      </c>
      <c r="Y1002" s="189" t="s">
        <v>3066</v>
      </c>
      <c r="Z1002" s="0" t="n">
        <v>1</v>
      </c>
      <c r="AA1002" s="189" t="s">
        <v>3274</v>
      </c>
    </row>
    <row r="1003" customFormat="false" ht="15" hidden="false" customHeight="false" outlineLevel="0" collapsed="false">
      <c r="A1003" s="0" t="n">
        <v>207</v>
      </c>
      <c r="B1003" s="191" t="n">
        <v>46050.5411222041</v>
      </c>
      <c r="C1003" s="191" t="n">
        <v>46050.558761093</v>
      </c>
      <c r="D1003" s="189" t="s">
        <v>1524</v>
      </c>
      <c r="E1003" s="189" t="s">
        <v>1525</v>
      </c>
      <c r="F1003" s="189" t="s">
        <v>1525</v>
      </c>
      <c r="G1003" s="189" t="s">
        <v>1526</v>
      </c>
      <c r="H1003" s="191" t="n">
        <v>46047</v>
      </c>
      <c r="I1003" s="189" t="s">
        <v>113</v>
      </c>
      <c r="J1003" s="189" t="s">
        <v>295</v>
      </c>
      <c r="K1003" s="189" t="s">
        <v>1527</v>
      </c>
      <c r="L1003" s="189" t="s">
        <v>346</v>
      </c>
      <c r="M1003" s="189" t="s">
        <v>870</v>
      </c>
      <c r="N1003" s="189" t="s">
        <v>1036</v>
      </c>
      <c r="O1003" s="189" t="s">
        <v>172</v>
      </c>
      <c r="P1003" s="189" t="s">
        <v>111</v>
      </c>
      <c r="Q1003" s="189" t="s">
        <v>112</v>
      </c>
      <c r="R1003" s="189" t="s">
        <v>22</v>
      </c>
      <c r="S1003" s="189" t="s">
        <v>152</v>
      </c>
      <c r="T1003" s="189" t="s">
        <v>180</v>
      </c>
      <c r="V1003" s="189" t="s">
        <v>192</v>
      </c>
      <c r="W1003" s="189" t="s">
        <v>168</v>
      </c>
      <c r="X1003" s="189" t="s">
        <v>298</v>
      </c>
      <c r="Y1003" s="189" t="s">
        <v>3066</v>
      </c>
      <c r="Z1003" s="0" t="n">
        <v>2</v>
      </c>
      <c r="AA1003" s="189" t="s">
        <v>3126</v>
      </c>
    </row>
    <row r="1004" customFormat="false" ht="15" hidden="false" customHeight="false" outlineLevel="0" collapsed="false">
      <c r="A1004" s="0" t="n">
        <v>207</v>
      </c>
      <c r="B1004" s="191" t="n">
        <v>46050.5411222041</v>
      </c>
      <c r="C1004" s="191" t="n">
        <v>46050.558761093</v>
      </c>
      <c r="D1004" s="189" t="s">
        <v>1524</v>
      </c>
      <c r="E1004" s="189" t="s">
        <v>1525</v>
      </c>
      <c r="F1004" s="189" t="s">
        <v>1525</v>
      </c>
      <c r="G1004" s="189" t="s">
        <v>1526</v>
      </c>
      <c r="H1004" s="191" t="n">
        <v>46047</v>
      </c>
      <c r="I1004" s="189" t="s">
        <v>113</v>
      </c>
      <c r="J1004" s="189" t="s">
        <v>295</v>
      </c>
      <c r="K1004" s="189" t="s">
        <v>1527</v>
      </c>
      <c r="L1004" s="189" t="s">
        <v>346</v>
      </c>
      <c r="M1004" s="189" t="s">
        <v>870</v>
      </c>
      <c r="N1004" s="189" t="s">
        <v>1036</v>
      </c>
      <c r="O1004" s="189" t="s">
        <v>172</v>
      </c>
      <c r="P1004" s="189" t="s">
        <v>111</v>
      </c>
      <c r="Q1004" s="189" t="s">
        <v>112</v>
      </c>
      <c r="R1004" s="189" t="s">
        <v>22</v>
      </c>
      <c r="S1004" s="189" t="s">
        <v>152</v>
      </c>
      <c r="T1004" s="189" t="s">
        <v>180</v>
      </c>
      <c r="V1004" s="189" t="s">
        <v>192</v>
      </c>
      <c r="W1004" s="189" t="s">
        <v>168</v>
      </c>
      <c r="X1004" s="189" t="s">
        <v>298</v>
      </c>
      <c r="Y1004" s="189" t="s">
        <v>3069</v>
      </c>
      <c r="Z1004" s="0" t="n">
        <v>1</v>
      </c>
      <c r="AA1004" s="189" t="s">
        <v>3272</v>
      </c>
    </row>
    <row r="1005" customFormat="false" ht="15" hidden="false" customHeight="false" outlineLevel="0" collapsed="false">
      <c r="A1005" s="0" t="n">
        <v>207</v>
      </c>
      <c r="B1005" s="191" t="n">
        <v>46050.5411222041</v>
      </c>
      <c r="C1005" s="191" t="n">
        <v>46050.558761093</v>
      </c>
      <c r="D1005" s="189" t="s">
        <v>1524</v>
      </c>
      <c r="E1005" s="189" t="s">
        <v>1525</v>
      </c>
      <c r="F1005" s="189" t="s">
        <v>1525</v>
      </c>
      <c r="G1005" s="189" t="s">
        <v>1526</v>
      </c>
      <c r="H1005" s="191" t="n">
        <v>46047</v>
      </c>
      <c r="I1005" s="189" t="s">
        <v>113</v>
      </c>
      <c r="J1005" s="189" t="s">
        <v>295</v>
      </c>
      <c r="K1005" s="189" t="s">
        <v>1527</v>
      </c>
      <c r="L1005" s="189" t="s">
        <v>346</v>
      </c>
      <c r="M1005" s="189" t="s">
        <v>870</v>
      </c>
      <c r="N1005" s="189" t="s">
        <v>1036</v>
      </c>
      <c r="O1005" s="189" t="s">
        <v>172</v>
      </c>
      <c r="P1005" s="189" t="s">
        <v>111</v>
      </c>
      <c r="Q1005" s="189" t="s">
        <v>112</v>
      </c>
      <c r="R1005" s="189" t="s">
        <v>22</v>
      </c>
      <c r="S1005" s="189" t="s">
        <v>152</v>
      </c>
      <c r="T1005" s="189" t="s">
        <v>180</v>
      </c>
      <c r="V1005" s="189" t="s">
        <v>192</v>
      </c>
      <c r="W1005" s="189" t="s">
        <v>168</v>
      </c>
      <c r="X1005" s="189" t="s">
        <v>298</v>
      </c>
      <c r="Y1005" s="189" t="s">
        <v>3069</v>
      </c>
      <c r="Z1005" s="0" t="n">
        <v>2</v>
      </c>
      <c r="AA1005" s="189" t="s">
        <v>3197</v>
      </c>
    </row>
    <row r="1006" customFormat="false" ht="15" hidden="false" customHeight="false" outlineLevel="0" collapsed="false">
      <c r="A1006" s="0" t="n">
        <v>208</v>
      </c>
      <c r="B1006" s="191" t="n">
        <v>46214.2884802763</v>
      </c>
      <c r="C1006" s="191" t="n">
        <v>46214.2973575911</v>
      </c>
      <c r="D1006" s="189" t="s">
        <v>1530</v>
      </c>
      <c r="E1006" s="189" t="s">
        <v>1531</v>
      </c>
      <c r="F1006" s="189" t="s">
        <v>1531</v>
      </c>
      <c r="G1006" s="189" t="s">
        <v>1532</v>
      </c>
      <c r="H1006" s="191" t="n">
        <v>46205</v>
      </c>
      <c r="I1006" s="189" t="s">
        <v>113</v>
      </c>
      <c r="J1006" s="189" t="s">
        <v>295</v>
      </c>
      <c r="K1006" s="189" t="s">
        <v>257</v>
      </c>
      <c r="L1006" s="189" t="s">
        <v>431</v>
      </c>
      <c r="M1006" s="189" t="s">
        <v>973</v>
      </c>
      <c r="N1006" s="189" t="s">
        <v>701</v>
      </c>
      <c r="O1006" s="189" t="s">
        <v>107</v>
      </c>
      <c r="P1006" s="189" t="s">
        <v>111</v>
      </c>
      <c r="Q1006" s="189" t="s">
        <v>112</v>
      </c>
      <c r="R1006" s="189" t="s">
        <v>22</v>
      </c>
      <c r="S1006" s="189" t="s">
        <v>120</v>
      </c>
      <c r="T1006" s="189" t="s">
        <v>180</v>
      </c>
      <c r="U1006" s="189" t="s">
        <v>1015</v>
      </c>
      <c r="V1006" s="189" t="s">
        <v>167</v>
      </c>
      <c r="W1006" s="189" t="s">
        <v>124</v>
      </c>
      <c r="X1006" s="189" t="s">
        <v>298</v>
      </c>
      <c r="Y1006" s="189" t="s">
        <v>3064</v>
      </c>
      <c r="Z1006" s="0" t="n">
        <v>1</v>
      </c>
      <c r="AA1006" s="189" t="s">
        <v>3208</v>
      </c>
    </row>
    <row r="1007" customFormat="false" ht="15" hidden="false" customHeight="false" outlineLevel="0" collapsed="false">
      <c r="A1007" s="0" t="n">
        <v>208</v>
      </c>
      <c r="B1007" s="191" t="n">
        <v>46214.2884802763</v>
      </c>
      <c r="C1007" s="191" t="n">
        <v>46214.2973575911</v>
      </c>
      <c r="D1007" s="189" t="s">
        <v>1530</v>
      </c>
      <c r="E1007" s="189" t="s">
        <v>1531</v>
      </c>
      <c r="F1007" s="189" t="s">
        <v>1531</v>
      </c>
      <c r="G1007" s="189" t="s">
        <v>1532</v>
      </c>
      <c r="H1007" s="191" t="n">
        <v>46205</v>
      </c>
      <c r="I1007" s="189" t="s">
        <v>113</v>
      </c>
      <c r="J1007" s="189" t="s">
        <v>295</v>
      </c>
      <c r="K1007" s="189" t="s">
        <v>257</v>
      </c>
      <c r="L1007" s="189" t="s">
        <v>431</v>
      </c>
      <c r="M1007" s="189" t="s">
        <v>973</v>
      </c>
      <c r="N1007" s="189" t="s">
        <v>701</v>
      </c>
      <c r="O1007" s="189" t="s">
        <v>107</v>
      </c>
      <c r="P1007" s="189" t="s">
        <v>111</v>
      </c>
      <c r="Q1007" s="189" t="s">
        <v>112</v>
      </c>
      <c r="R1007" s="189" t="s">
        <v>22</v>
      </c>
      <c r="S1007" s="189" t="s">
        <v>120</v>
      </c>
      <c r="T1007" s="189" t="s">
        <v>180</v>
      </c>
      <c r="U1007" s="189" t="s">
        <v>1015</v>
      </c>
      <c r="V1007" s="189" t="s">
        <v>167</v>
      </c>
      <c r="W1007" s="189" t="s">
        <v>124</v>
      </c>
      <c r="X1007" s="189" t="s">
        <v>298</v>
      </c>
      <c r="Y1007" s="189" t="s">
        <v>3066</v>
      </c>
      <c r="Z1007" s="0" t="n">
        <v>1</v>
      </c>
      <c r="AA1007" s="189" t="s">
        <v>3254</v>
      </c>
    </row>
    <row r="1008" customFormat="false" ht="15" hidden="false" customHeight="false" outlineLevel="0" collapsed="false">
      <c r="A1008" s="0" t="n">
        <v>208</v>
      </c>
      <c r="B1008" s="191" t="n">
        <v>46214.2884802763</v>
      </c>
      <c r="C1008" s="191" t="n">
        <v>46214.2973575911</v>
      </c>
      <c r="D1008" s="189" t="s">
        <v>1530</v>
      </c>
      <c r="E1008" s="189" t="s">
        <v>1531</v>
      </c>
      <c r="F1008" s="189" t="s">
        <v>1531</v>
      </c>
      <c r="G1008" s="189" t="s">
        <v>1532</v>
      </c>
      <c r="H1008" s="191" t="n">
        <v>46205</v>
      </c>
      <c r="I1008" s="189" t="s">
        <v>113</v>
      </c>
      <c r="J1008" s="189" t="s">
        <v>295</v>
      </c>
      <c r="K1008" s="189" t="s">
        <v>257</v>
      </c>
      <c r="L1008" s="189" t="s">
        <v>431</v>
      </c>
      <c r="M1008" s="189" t="s">
        <v>973</v>
      </c>
      <c r="N1008" s="189" t="s">
        <v>701</v>
      </c>
      <c r="O1008" s="189" t="s">
        <v>107</v>
      </c>
      <c r="P1008" s="189" t="s">
        <v>111</v>
      </c>
      <c r="Q1008" s="189" t="s">
        <v>112</v>
      </c>
      <c r="R1008" s="189" t="s">
        <v>22</v>
      </c>
      <c r="S1008" s="189" t="s">
        <v>120</v>
      </c>
      <c r="T1008" s="189" t="s">
        <v>180</v>
      </c>
      <c r="U1008" s="189" t="s">
        <v>1015</v>
      </c>
      <c r="V1008" s="189" t="s">
        <v>167</v>
      </c>
      <c r="W1008" s="189" t="s">
        <v>124</v>
      </c>
      <c r="X1008" s="189" t="s">
        <v>298</v>
      </c>
      <c r="Y1008" s="189" t="s">
        <v>3069</v>
      </c>
      <c r="Z1008" s="0" t="n">
        <v>1</v>
      </c>
      <c r="AA1008" s="189" t="s">
        <v>3248</v>
      </c>
    </row>
    <row r="1009" customFormat="false" ht="15" hidden="false" customHeight="false" outlineLevel="0" collapsed="false">
      <c r="A1009" s="0" t="n">
        <v>209</v>
      </c>
      <c r="B1009" s="191" t="n">
        <v>46140.8355293042</v>
      </c>
      <c r="C1009" s="191" t="n">
        <v>46140.8387237487</v>
      </c>
      <c r="D1009" s="189" t="s">
        <v>1536</v>
      </c>
      <c r="E1009" s="189" t="s">
        <v>1537</v>
      </c>
      <c r="F1009" s="189" t="s">
        <v>1537</v>
      </c>
      <c r="G1009" s="189" t="s">
        <v>1538</v>
      </c>
      <c r="H1009" s="191" t="n">
        <v>46140</v>
      </c>
      <c r="I1009" s="189" t="s">
        <v>325</v>
      </c>
      <c r="J1009" s="189" t="s">
        <v>108</v>
      </c>
      <c r="K1009" s="189" t="s">
        <v>196</v>
      </c>
      <c r="L1009" s="189" t="s">
        <v>233</v>
      </c>
      <c r="M1009" s="189" t="s">
        <v>1151</v>
      </c>
      <c r="N1009" s="189" t="s">
        <v>1539</v>
      </c>
      <c r="O1009" s="189" t="s">
        <v>172</v>
      </c>
      <c r="P1009" s="189" t="s">
        <v>111</v>
      </c>
      <c r="Q1009" s="189" t="s">
        <v>112</v>
      </c>
      <c r="R1009" s="189" t="s">
        <v>24</v>
      </c>
      <c r="S1009" s="189" t="s">
        <v>152</v>
      </c>
      <c r="T1009" s="189" t="s">
        <v>121</v>
      </c>
      <c r="U1009" s="189" t="s">
        <v>122</v>
      </c>
      <c r="V1009" s="189" t="s">
        <v>192</v>
      </c>
      <c r="W1009" s="189" t="s">
        <v>124</v>
      </c>
      <c r="X1009" s="189" t="s">
        <v>223</v>
      </c>
      <c r="Y1009" s="189" t="s">
        <v>3064</v>
      </c>
      <c r="Z1009" s="0" t="n">
        <v>1</v>
      </c>
      <c r="AA1009" s="189" t="s">
        <v>3104</v>
      </c>
    </row>
    <row r="1010" customFormat="false" ht="15" hidden="false" customHeight="false" outlineLevel="0" collapsed="false">
      <c r="A1010" s="0" t="n">
        <v>209</v>
      </c>
      <c r="B1010" s="191" t="n">
        <v>46140.8355293042</v>
      </c>
      <c r="C1010" s="191" t="n">
        <v>46140.8387237487</v>
      </c>
      <c r="D1010" s="189" t="s">
        <v>1536</v>
      </c>
      <c r="E1010" s="189" t="s">
        <v>1537</v>
      </c>
      <c r="F1010" s="189" t="s">
        <v>1537</v>
      </c>
      <c r="G1010" s="189" t="s">
        <v>1538</v>
      </c>
      <c r="H1010" s="191" t="n">
        <v>46140</v>
      </c>
      <c r="I1010" s="189" t="s">
        <v>325</v>
      </c>
      <c r="J1010" s="189" t="s">
        <v>108</v>
      </c>
      <c r="K1010" s="189" t="s">
        <v>196</v>
      </c>
      <c r="L1010" s="189" t="s">
        <v>233</v>
      </c>
      <c r="M1010" s="189" t="s">
        <v>1151</v>
      </c>
      <c r="N1010" s="189" t="s">
        <v>1539</v>
      </c>
      <c r="O1010" s="189" t="s">
        <v>172</v>
      </c>
      <c r="P1010" s="189" t="s">
        <v>111</v>
      </c>
      <c r="Q1010" s="189" t="s">
        <v>112</v>
      </c>
      <c r="R1010" s="189" t="s">
        <v>24</v>
      </c>
      <c r="S1010" s="189" t="s">
        <v>152</v>
      </c>
      <c r="T1010" s="189" t="s">
        <v>121</v>
      </c>
      <c r="U1010" s="189" t="s">
        <v>122</v>
      </c>
      <c r="V1010" s="189" t="s">
        <v>192</v>
      </c>
      <c r="W1010" s="189" t="s">
        <v>124</v>
      </c>
      <c r="X1010" s="189" t="s">
        <v>223</v>
      </c>
      <c r="Y1010" s="189" t="s">
        <v>3066</v>
      </c>
      <c r="Z1010" s="0" t="n">
        <v>1</v>
      </c>
      <c r="AA1010" s="189" t="s">
        <v>3149</v>
      </c>
    </row>
    <row r="1011" customFormat="false" ht="15" hidden="false" customHeight="false" outlineLevel="0" collapsed="false">
      <c r="A1011" s="0" t="n">
        <v>209</v>
      </c>
      <c r="B1011" s="191" t="n">
        <v>46140.8355293042</v>
      </c>
      <c r="C1011" s="191" t="n">
        <v>46140.8387237487</v>
      </c>
      <c r="D1011" s="189" t="s">
        <v>1536</v>
      </c>
      <c r="E1011" s="189" t="s">
        <v>1537</v>
      </c>
      <c r="F1011" s="189" t="s">
        <v>1537</v>
      </c>
      <c r="G1011" s="189" t="s">
        <v>1538</v>
      </c>
      <c r="H1011" s="191" t="n">
        <v>46140</v>
      </c>
      <c r="I1011" s="189" t="s">
        <v>325</v>
      </c>
      <c r="J1011" s="189" t="s">
        <v>108</v>
      </c>
      <c r="K1011" s="189" t="s">
        <v>196</v>
      </c>
      <c r="L1011" s="189" t="s">
        <v>233</v>
      </c>
      <c r="M1011" s="189" t="s">
        <v>1151</v>
      </c>
      <c r="N1011" s="189" t="s">
        <v>1539</v>
      </c>
      <c r="O1011" s="189" t="s">
        <v>172</v>
      </c>
      <c r="P1011" s="189" t="s">
        <v>111</v>
      </c>
      <c r="Q1011" s="189" t="s">
        <v>112</v>
      </c>
      <c r="R1011" s="189" t="s">
        <v>24</v>
      </c>
      <c r="S1011" s="189" t="s">
        <v>152</v>
      </c>
      <c r="T1011" s="189" t="s">
        <v>121</v>
      </c>
      <c r="U1011" s="189" t="s">
        <v>122</v>
      </c>
      <c r="V1011" s="189" t="s">
        <v>192</v>
      </c>
      <c r="W1011" s="189" t="s">
        <v>124</v>
      </c>
      <c r="X1011" s="189" t="s">
        <v>223</v>
      </c>
      <c r="Y1011" s="189" t="s">
        <v>3069</v>
      </c>
      <c r="Z1011" s="0" t="n">
        <v>1</v>
      </c>
      <c r="AA1011" s="189" t="s">
        <v>3106</v>
      </c>
    </row>
    <row r="1012" customFormat="false" ht="15" hidden="false" customHeight="false" outlineLevel="0" collapsed="false">
      <c r="A1012" s="0" t="n">
        <v>210</v>
      </c>
      <c r="B1012" s="191" t="n">
        <v>46177.7521469196</v>
      </c>
      <c r="C1012" s="191" t="n">
        <v>46177.7560821048</v>
      </c>
      <c r="D1012" s="189" t="s">
        <v>1542</v>
      </c>
      <c r="E1012" s="189" t="s">
        <v>1543</v>
      </c>
      <c r="F1012" s="189" t="s">
        <v>1543</v>
      </c>
      <c r="G1012" s="189" t="s">
        <v>1544</v>
      </c>
      <c r="H1012" s="191" t="n">
        <v>46161</v>
      </c>
      <c r="I1012" s="189" t="s">
        <v>113</v>
      </c>
      <c r="J1012" s="189" t="s">
        <v>108</v>
      </c>
      <c r="K1012" s="189" t="s">
        <v>173</v>
      </c>
      <c r="L1012" s="189" t="s">
        <v>110</v>
      </c>
      <c r="M1012" s="189" t="s">
        <v>566</v>
      </c>
      <c r="N1012" s="189" t="s">
        <v>586</v>
      </c>
      <c r="O1012" s="189" t="s">
        <v>244</v>
      </c>
      <c r="P1012" s="189" t="s">
        <v>111</v>
      </c>
      <c r="Q1012" s="189" t="s">
        <v>112</v>
      </c>
      <c r="R1012" s="189" t="s">
        <v>22</v>
      </c>
      <c r="S1012" s="189" t="s">
        <v>227</v>
      </c>
      <c r="T1012" s="189" t="s">
        <v>165</v>
      </c>
      <c r="V1012" s="189" t="s">
        <v>192</v>
      </c>
      <c r="W1012" s="189" t="s">
        <v>124</v>
      </c>
      <c r="X1012" s="189" t="s">
        <v>176</v>
      </c>
      <c r="Y1012" s="189" t="s">
        <v>3064</v>
      </c>
      <c r="Z1012" s="0" t="n">
        <v>1</v>
      </c>
      <c r="AA1012" s="189" t="s">
        <v>3086</v>
      </c>
    </row>
    <row r="1013" customFormat="false" ht="15" hidden="false" customHeight="false" outlineLevel="0" collapsed="false">
      <c r="A1013" s="0" t="n">
        <v>210</v>
      </c>
      <c r="B1013" s="191" t="n">
        <v>46177.7521469196</v>
      </c>
      <c r="C1013" s="191" t="n">
        <v>46177.7560821048</v>
      </c>
      <c r="D1013" s="189" t="s">
        <v>1542</v>
      </c>
      <c r="E1013" s="189" t="s">
        <v>1543</v>
      </c>
      <c r="F1013" s="189" t="s">
        <v>1543</v>
      </c>
      <c r="G1013" s="189" t="s">
        <v>1544</v>
      </c>
      <c r="H1013" s="191" t="n">
        <v>46161</v>
      </c>
      <c r="I1013" s="189" t="s">
        <v>113</v>
      </c>
      <c r="J1013" s="189" t="s">
        <v>108</v>
      </c>
      <c r="K1013" s="189" t="s">
        <v>173</v>
      </c>
      <c r="L1013" s="189" t="s">
        <v>110</v>
      </c>
      <c r="M1013" s="189" t="s">
        <v>566</v>
      </c>
      <c r="N1013" s="189" t="s">
        <v>586</v>
      </c>
      <c r="O1013" s="189" t="s">
        <v>244</v>
      </c>
      <c r="P1013" s="189" t="s">
        <v>111</v>
      </c>
      <c r="Q1013" s="189" t="s">
        <v>112</v>
      </c>
      <c r="R1013" s="189" t="s">
        <v>22</v>
      </c>
      <c r="S1013" s="189" t="s">
        <v>227</v>
      </c>
      <c r="T1013" s="189" t="s">
        <v>165</v>
      </c>
      <c r="V1013" s="189" t="s">
        <v>192</v>
      </c>
      <c r="W1013" s="189" t="s">
        <v>124</v>
      </c>
      <c r="X1013" s="189" t="s">
        <v>176</v>
      </c>
      <c r="Y1013" s="189" t="s">
        <v>3066</v>
      </c>
      <c r="Z1013" s="0" t="n">
        <v>1</v>
      </c>
      <c r="AA1013" s="189" t="s">
        <v>3087</v>
      </c>
    </row>
    <row r="1014" customFormat="false" ht="15" hidden="false" customHeight="false" outlineLevel="0" collapsed="false">
      <c r="A1014" s="0" t="n">
        <v>210</v>
      </c>
      <c r="B1014" s="191" t="n">
        <v>46177.7521469196</v>
      </c>
      <c r="C1014" s="191" t="n">
        <v>46177.7560821048</v>
      </c>
      <c r="D1014" s="189" t="s">
        <v>1542</v>
      </c>
      <c r="E1014" s="189" t="s">
        <v>1543</v>
      </c>
      <c r="F1014" s="189" t="s">
        <v>1543</v>
      </c>
      <c r="G1014" s="189" t="s">
        <v>1544</v>
      </c>
      <c r="H1014" s="191" t="n">
        <v>46161</v>
      </c>
      <c r="I1014" s="189" t="s">
        <v>113</v>
      </c>
      <c r="J1014" s="189" t="s">
        <v>108</v>
      </c>
      <c r="K1014" s="189" t="s">
        <v>173</v>
      </c>
      <c r="L1014" s="189" t="s">
        <v>110</v>
      </c>
      <c r="M1014" s="189" t="s">
        <v>566</v>
      </c>
      <c r="N1014" s="189" t="s">
        <v>586</v>
      </c>
      <c r="O1014" s="189" t="s">
        <v>244</v>
      </c>
      <c r="P1014" s="189" t="s">
        <v>111</v>
      </c>
      <c r="Q1014" s="189" t="s">
        <v>112</v>
      </c>
      <c r="R1014" s="189" t="s">
        <v>22</v>
      </c>
      <c r="S1014" s="189" t="s">
        <v>227</v>
      </c>
      <c r="T1014" s="189" t="s">
        <v>165</v>
      </c>
      <c r="V1014" s="189" t="s">
        <v>192</v>
      </c>
      <c r="W1014" s="189" t="s">
        <v>124</v>
      </c>
      <c r="X1014" s="189" t="s">
        <v>176</v>
      </c>
      <c r="Y1014" s="189" t="s">
        <v>3069</v>
      </c>
      <c r="Z1014" s="0" t="n">
        <v>1</v>
      </c>
      <c r="AA1014" s="189" t="s">
        <v>3296</v>
      </c>
    </row>
    <row r="1015" customFormat="false" ht="15" hidden="false" customHeight="false" outlineLevel="0" collapsed="false">
      <c r="A1015" s="0" t="n">
        <v>211</v>
      </c>
      <c r="B1015" s="191" t="n">
        <v>46214.0523724818</v>
      </c>
      <c r="C1015" s="191" t="n">
        <v>46214.0674650744</v>
      </c>
      <c r="D1015" s="189" t="s">
        <v>1548</v>
      </c>
      <c r="E1015" s="189" t="s">
        <v>1549</v>
      </c>
      <c r="F1015" s="189" t="s">
        <v>1550</v>
      </c>
      <c r="G1015" s="189" t="s">
        <v>1551</v>
      </c>
      <c r="H1015" s="191" t="n">
        <v>46208</v>
      </c>
      <c r="I1015" s="189" t="s">
        <v>113</v>
      </c>
      <c r="J1015" s="189" t="s">
        <v>128</v>
      </c>
      <c r="K1015" s="189" t="s">
        <v>1552</v>
      </c>
      <c r="L1015" s="189" t="s">
        <v>246</v>
      </c>
      <c r="M1015" s="189" t="s">
        <v>809</v>
      </c>
      <c r="N1015" s="189" t="s">
        <v>1553</v>
      </c>
      <c r="O1015" s="189" t="s">
        <v>278</v>
      </c>
      <c r="P1015" s="189" t="s">
        <v>390</v>
      </c>
      <c r="Q1015" s="189" t="s">
        <v>112</v>
      </c>
      <c r="R1015" s="189" t="s">
        <v>22</v>
      </c>
      <c r="S1015" s="189" t="s">
        <v>152</v>
      </c>
      <c r="T1015" s="189" t="s">
        <v>121</v>
      </c>
      <c r="U1015" s="189" t="s">
        <v>1557</v>
      </c>
      <c r="V1015" s="189" t="s">
        <v>192</v>
      </c>
      <c r="W1015" s="189" t="s">
        <v>124</v>
      </c>
      <c r="X1015" s="189" t="s">
        <v>298</v>
      </c>
      <c r="Y1015" s="189" t="s">
        <v>3064</v>
      </c>
      <c r="Z1015" s="0" t="n">
        <v>1</v>
      </c>
      <c r="AA1015" s="189" t="s">
        <v>3236</v>
      </c>
    </row>
    <row r="1016" customFormat="false" ht="15" hidden="false" customHeight="false" outlineLevel="0" collapsed="false">
      <c r="A1016" s="0" t="n">
        <v>211</v>
      </c>
      <c r="B1016" s="191" t="n">
        <v>46214.0523724818</v>
      </c>
      <c r="C1016" s="191" t="n">
        <v>46214.0674650744</v>
      </c>
      <c r="D1016" s="189" t="s">
        <v>1548</v>
      </c>
      <c r="E1016" s="189" t="s">
        <v>1549</v>
      </c>
      <c r="F1016" s="189" t="s">
        <v>1550</v>
      </c>
      <c r="G1016" s="189" t="s">
        <v>1551</v>
      </c>
      <c r="H1016" s="191" t="n">
        <v>46208</v>
      </c>
      <c r="I1016" s="189" t="s">
        <v>113</v>
      </c>
      <c r="J1016" s="189" t="s">
        <v>128</v>
      </c>
      <c r="K1016" s="189" t="s">
        <v>1552</v>
      </c>
      <c r="L1016" s="189" t="s">
        <v>246</v>
      </c>
      <c r="M1016" s="189" t="s">
        <v>809</v>
      </c>
      <c r="N1016" s="189" t="s">
        <v>1553</v>
      </c>
      <c r="O1016" s="189" t="s">
        <v>278</v>
      </c>
      <c r="P1016" s="189" t="s">
        <v>390</v>
      </c>
      <c r="Q1016" s="189" t="s">
        <v>112</v>
      </c>
      <c r="R1016" s="189" t="s">
        <v>22</v>
      </c>
      <c r="S1016" s="189" t="s">
        <v>152</v>
      </c>
      <c r="T1016" s="189" t="s">
        <v>121</v>
      </c>
      <c r="U1016" s="189" t="s">
        <v>1557</v>
      </c>
      <c r="V1016" s="189" t="s">
        <v>192</v>
      </c>
      <c r="W1016" s="189" t="s">
        <v>124</v>
      </c>
      <c r="X1016" s="189" t="s">
        <v>298</v>
      </c>
      <c r="Y1016" s="189" t="s">
        <v>3064</v>
      </c>
      <c r="Z1016" s="0" t="n">
        <v>2</v>
      </c>
      <c r="AA1016" s="189" t="s">
        <v>3125</v>
      </c>
    </row>
    <row r="1017" customFormat="false" ht="15" hidden="false" customHeight="false" outlineLevel="0" collapsed="false">
      <c r="A1017" s="0" t="n">
        <v>211</v>
      </c>
      <c r="B1017" s="191" t="n">
        <v>46214.0523724818</v>
      </c>
      <c r="C1017" s="191" t="n">
        <v>46214.0674650744</v>
      </c>
      <c r="D1017" s="189" t="s">
        <v>1548</v>
      </c>
      <c r="E1017" s="189" t="s">
        <v>1549</v>
      </c>
      <c r="F1017" s="189" t="s">
        <v>1550</v>
      </c>
      <c r="G1017" s="189" t="s">
        <v>1551</v>
      </c>
      <c r="H1017" s="191" t="n">
        <v>46208</v>
      </c>
      <c r="I1017" s="189" t="s">
        <v>113</v>
      </c>
      <c r="J1017" s="189" t="s">
        <v>128</v>
      </c>
      <c r="K1017" s="189" t="s">
        <v>1552</v>
      </c>
      <c r="L1017" s="189" t="s">
        <v>246</v>
      </c>
      <c r="M1017" s="189" t="s">
        <v>809</v>
      </c>
      <c r="N1017" s="189" t="s">
        <v>1553</v>
      </c>
      <c r="O1017" s="189" t="s">
        <v>278</v>
      </c>
      <c r="P1017" s="189" t="s">
        <v>390</v>
      </c>
      <c r="Q1017" s="189" t="s">
        <v>112</v>
      </c>
      <c r="R1017" s="189" t="s">
        <v>22</v>
      </c>
      <c r="S1017" s="189" t="s">
        <v>152</v>
      </c>
      <c r="T1017" s="189" t="s">
        <v>121</v>
      </c>
      <c r="U1017" s="189" t="s">
        <v>1557</v>
      </c>
      <c r="V1017" s="189" t="s">
        <v>192</v>
      </c>
      <c r="W1017" s="189" t="s">
        <v>124</v>
      </c>
      <c r="X1017" s="189" t="s">
        <v>298</v>
      </c>
      <c r="Y1017" s="189" t="s">
        <v>3066</v>
      </c>
      <c r="Z1017" s="0" t="n">
        <v>1</v>
      </c>
      <c r="AA1017" s="189" t="s">
        <v>3274</v>
      </c>
    </row>
    <row r="1018" customFormat="false" ht="15" hidden="false" customHeight="false" outlineLevel="0" collapsed="false">
      <c r="A1018" s="0" t="n">
        <v>211</v>
      </c>
      <c r="B1018" s="191" t="n">
        <v>46214.0523724818</v>
      </c>
      <c r="C1018" s="191" t="n">
        <v>46214.0674650744</v>
      </c>
      <c r="D1018" s="189" t="s">
        <v>1548</v>
      </c>
      <c r="E1018" s="189" t="s">
        <v>1549</v>
      </c>
      <c r="F1018" s="189" t="s">
        <v>1550</v>
      </c>
      <c r="G1018" s="189" t="s">
        <v>1551</v>
      </c>
      <c r="H1018" s="191" t="n">
        <v>46208</v>
      </c>
      <c r="I1018" s="189" t="s">
        <v>113</v>
      </c>
      <c r="J1018" s="189" t="s">
        <v>128</v>
      </c>
      <c r="K1018" s="189" t="s">
        <v>1552</v>
      </c>
      <c r="L1018" s="189" t="s">
        <v>246</v>
      </c>
      <c r="M1018" s="189" t="s">
        <v>809</v>
      </c>
      <c r="N1018" s="189" t="s">
        <v>1553</v>
      </c>
      <c r="O1018" s="189" t="s">
        <v>278</v>
      </c>
      <c r="P1018" s="189" t="s">
        <v>390</v>
      </c>
      <c r="Q1018" s="189" t="s">
        <v>112</v>
      </c>
      <c r="R1018" s="189" t="s">
        <v>22</v>
      </c>
      <c r="S1018" s="189" t="s">
        <v>152</v>
      </c>
      <c r="T1018" s="189" t="s">
        <v>121</v>
      </c>
      <c r="U1018" s="189" t="s">
        <v>1557</v>
      </c>
      <c r="V1018" s="189" t="s">
        <v>192</v>
      </c>
      <c r="W1018" s="189" t="s">
        <v>124</v>
      </c>
      <c r="X1018" s="189" t="s">
        <v>298</v>
      </c>
      <c r="Y1018" s="189" t="s">
        <v>3066</v>
      </c>
      <c r="Z1018" s="0" t="n">
        <v>2</v>
      </c>
      <c r="AA1018" s="189" t="s">
        <v>3209</v>
      </c>
    </row>
    <row r="1019" customFormat="false" ht="15" hidden="false" customHeight="false" outlineLevel="0" collapsed="false">
      <c r="A1019" s="0" t="n">
        <v>211</v>
      </c>
      <c r="B1019" s="191" t="n">
        <v>46214.0523724818</v>
      </c>
      <c r="C1019" s="191" t="n">
        <v>46214.0674650744</v>
      </c>
      <c r="D1019" s="189" t="s">
        <v>1548</v>
      </c>
      <c r="E1019" s="189" t="s">
        <v>1549</v>
      </c>
      <c r="F1019" s="189" t="s">
        <v>1550</v>
      </c>
      <c r="G1019" s="189" t="s">
        <v>1551</v>
      </c>
      <c r="H1019" s="191" t="n">
        <v>46208</v>
      </c>
      <c r="I1019" s="189" t="s">
        <v>113</v>
      </c>
      <c r="J1019" s="189" t="s">
        <v>128</v>
      </c>
      <c r="K1019" s="189" t="s">
        <v>1552</v>
      </c>
      <c r="L1019" s="189" t="s">
        <v>246</v>
      </c>
      <c r="M1019" s="189" t="s">
        <v>809</v>
      </c>
      <c r="N1019" s="189" t="s">
        <v>1553</v>
      </c>
      <c r="O1019" s="189" t="s">
        <v>278</v>
      </c>
      <c r="P1019" s="189" t="s">
        <v>390</v>
      </c>
      <c r="Q1019" s="189" t="s">
        <v>112</v>
      </c>
      <c r="R1019" s="189" t="s">
        <v>22</v>
      </c>
      <c r="S1019" s="189" t="s">
        <v>152</v>
      </c>
      <c r="T1019" s="189" t="s">
        <v>121</v>
      </c>
      <c r="U1019" s="189" t="s">
        <v>1557</v>
      </c>
      <c r="V1019" s="189" t="s">
        <v>192</v>
      </c>
      <c r="W1019" s="189" t="s">
        <v>124</v>
      </c>
      <c r="X1019" s="189" t="s">
        <v>298</v>
      </c>
      <c r="Y1019" s="189" t="s">
        <v>3069</v>
      </c>
      <c r="Z1019" s="0" t="n">
        <v>1</v>
      </c>
      <c r="AA1019" s="189" t="s">
        <v>3128</v>
      </c>
    </row>
    <row r="1020" customFormat="false" ht="15" hidden="false" customHeight="false" outlineLevel="0" collapsed="false">
      <c r="A1020" s="0" t="n">
        <v>212</v>
      </c>
      <c r="B1020" s="191" t="n">
        <v>46141.2863242215</v>
      </c>
      <c r="C1020" s="191" t="n">
        <v>46141.3048195919</v>
      </c>
      <c r="D1020" s="189" t="s">
        <v>1558</v>
      </c>
      <c r="E1020" s="189" t="s">
        <v>1559</v>
      </c>
      <c r="F1020" s="189" t="s">
        <v>1560</v>
      </c>
      <c r="G1020" s="189" t="s">
        <v>1561</v>
      </c>
      <c r="H1020" s="191" t="n">
        <v>46126</v>
      </c>
      <c r="I1020" s="189" t="s">
        <v>551</v>
      </c>
      <c r="J1020" s="189" t="s">
        <v>108</v>
      </c>
      <c r="K1020" s="189" t="s">
        <v>232</v>
      </c>
      <c r="L1020" s="189" t="s">
        <v>296</v>
      </c>
      <c r="M1020" s="189" t="s">
        <v>1074</v>
      </c>
      <c r="N1020" s="189" t="s">
        <v>134</v>
      </c>
      <c r="O1020" s="189" t="s">
        <v>107</v>
      </c>
      <c r="P1020" s="189" t="s">
        <v>111</v>
      </c>
      <c r="Q1020" s="189" t="s">
        <v>112</v>
      </c>
      <c r="R1020" s="189" t="s">
        <v>24</v>
      </c>
      <c r="S1020" s="189" t="s">
        <v>152</v>
      </c>
      <c r="T1020" s="189" t="s">
        <v>121</v>
      </c>
      <c r="U1020" s="189" t="s">
        <v>291</v>
      </c>
      <c r="V1020" s="189" t="s">
        <v>192</v>
      </c>
      <c r="W1020" s="189" t="s">
        <v>168</v>
      </c>
      <c r="X1020" s="189" t="s">
        <v>214</v>
      </c>
      <c r="Y1020" s="189" t="s">
        <v>3064</v>
      </c>
      <c r="Z1020" s="0" t="n">
        <v>1</v>
      </c>
      <c r="AA1020" s="189" t="s">
        <v>3139</v>
      </c>
    </row>
    <row r="1021" customFormat="false" ht="15" hidden="false" customHeight="false" outlineLevel="0" collapsed="false">
      <c r="A1021" s="0" t="n">
        <v>212</v>
      </c>
      <c r="B1021" s="191" t="n">
        <v>46141.2863242215</v>
      </c>
      <c r="C1021" s="191" t="n">
        <v>46141.3048195919</v>
      </c>
      <c r="D1021" s="189" t="s">
        <v>1558</v>
      </c>
      <c r="E1021" s="189" t="s">
        <v>1559</v>
      </c>
      <c r="F1021" s="189" t="s">
        <v>1560</v>
      </c>
      <c r="G1021" s="189" t="s">
        <v>1561</v>
      </c>
      <c r="H1021" s="191" t="n">
        <v>46126</v>
      </c>
      <c r="I1021" s="189" t="s">
        <v>551</v>
      </c>
      <c r="J1021" s="189" t="s">
        <v>108</v>
      </c>
      <c r="K1021" s="189" t="s">
        <v>232</v>
      </c>
      <c r="L1021" s="189" t="s">
        <v>296</v>
      </c>
      <c r="M1021" s="189" t="s">
        <v>1074</v>
      </c>
      <c r="N1021" s="189" t="s">
        <v>134</v>
      </c>
      <c r="O1021" s="189" t="s">
        <v>107</v>
      </c>
      <c r="P1021" s="189" t="s">
        <v>111</v>
      </c>
      <c r="Q1021" s="189" t="s">
        <v>112</v>
      </c>
      <c r="R1021" s="189" t="s">
        <v>24</v>
      </c>
      <c r="S1021" s="189" t="s">
        <v>152</v>
      </c>
      <c r="T1021" s="189" t="s">
        <v>121</v>
      </c>
      <c r="U1021" s="189" t="s">
        <v>291</v>
      </c>
      <c r="V1021" s="189" t="s">
        <v>192</v>
      </c>
      <c r="W1021" s="189" t="s">
        <v>168</v>
      </c>
      <c r="X1021" s="189" t="s">
        <v>214</v>
      </c>
      <c r="Y1021" s="189" t="s">
        <v>3064</v>
      </c>
      <c r="Z1021" s="0" t="n">
        <v>2</v>
      </c>
      <c r="AA1021" s="189" t="s">
        <v>3107</v>
      </c>
    </row>
    <row r="1022" customFormat="false" ht="15" hidden="false" customHeight="false" outlineLevel="0" collapsed="false">
      <c r="A1022" s="0" t="n">
        <v>212</v>
      </c>
      <c r="B1022" s="191" t="n">
        <v>46141.2863242215</v>
      </c>
      <c r="C1022" s="191" t="n">
        <v>46141.3048195919</v>
      </c>
      <c r="D1022" s="189" t="s">
        <v>1558</v>
      </c>
      <c r="E1022" s="189" t="s">
        <v>1559</v>
      </c>
      <c r="F1022" s="189" t="s">
        <v>1560</v>
      </c>
      <c r="G1022" s="189" t="s">
        <v>1561</v>
      </c>
      <c r="H1022" s="191" t="n">
        <v>46126</v>
      </c>
      <c r="I1022" s="189" t="s">
        <v>551</v>
      </c>
      <c r="J1022" s="189" t="s">
        <v>108</v>
      </c>
      <c r="K1022" s="189" t="s">
        <v>232</v>
      </c>
      <c r="L1022" s="189" t="s">
        <v>296</v>
      </c>
      <c r="M1022" s="189" t="s">
        <v>1074</v>
      </c>
      <c r="N1022" s="189" t="s">
        <v>134</v>
      </c>
      <c r="O1022" s="189" t="s">
        <v>107</v>
      </c>
      <c r="P1022" s="189" t="s">
        <v>111</v>
      </c>
      <c r="Q1022" s="189" t="s">
        <v>112</v>
      </c>
      <c r="R1022" s="189" t="s">
        <v>24</v>
      </c>
      <c r="S1022" s="189" t="s">
        <v>152</v>
      </c>
      <c r="T1022" s="189" t="s">
        <v>121</v>
      </c>
      <c r="U1022" s="189" t="s">
        <v>291</v>
      </c>
      <c r="V1022" s="189" t="s">
        <v>192</v>
      </c>
      <c r="W1022" s="189" t="s">
        <v>168</v>
      </c>
      <c r="X1022" s="189" t="s">
        <v>214</v>
      </c>
      <c r="Y1022" s="189" t="s">
        <v>3064</v>
      </c>
      <c r="Z1022" s="0" t="n">
        <v>3</v>
      </c>
      <c r="AA1022" s="189" t="s">
        <v>3081</v>
      </c>
    </row>
    <row r="1023" customFormat="false" ht="15" hidden="false" customHeight="false" outlineLevel="0" collapsed="false">
      <c r="A1023" s="0" t="n">
        <v>212</v>
      </c>
      <c r="B1023" s="191" t="n">
        <v>46141.2863242215</v>
      </c>
      <c r="C1023" s="191" t="n">
        <v>46141.3048195919</v>
      </c>
      <c r="D1023" s="189" t="s">
        <v>1558</v>
      </c>
      <c r="E1023" s="189" t="s">
        <v>1559</v>
      </c>
      <c r="F1023" s="189" t="s">
        <v>1560</v>
      </c>
      <c r="G1023" s="189" t="s">
        <v>1561</v>
      </c>
      <c r="H1023" s="191" t="n">
        <v>46126</v>
      </c>
      <c r="I1023" s="189" t="s">
        <v>551</v>
      </c>
      <c r="J1023" s="189" t="s">
        <v>108</v>
      </c>
      <c r="K1023" s="189" t="s">
        <v>232</v>
      </c>
      <c r="L1023" s="189" t="s">
        <v>296</v>
      </c>
      <c r="M1023" s="189" t="s">
        <v>1074</v>
      </c>
      <c r="N1023" s="189" t="s">
        <v>134</v>
      </c>
      <c r="O1023" s="189" t="s">
        <v>107</v>
      </c>
      <c r="P1023" s="189" t="s">
        <v>111</v>
      </c>
      <c r="Q1023" s="189" t="s">
        <v>112</v>
      </c>
      <c r="R1023" s="189" t="s">
        <v>24</v>
      </c>
      <c r="S1023" s="189" t="s">
        <v>152</v>
      </c>
      <c r="T1023" s="189" t="s">
        <v>121</v>
      </c>
      <c r="U1023" s="189" t="s">
        <v>291</v>
      </c>
      <c r="V1023" s="189" t="s">
        <v>192</v>
      </c>
      <c r="W1023" s="189" t="s">
        <v>168</v>
      </c>
      <c r="X1023" s="189" t="s">
        <v>214</v>
      </c>
      <c r="Y1023" s="189" t="s">
        <v>3066</v>
      </c>
      <c r="Z1023" s="0" t="n">
        <v>1</v>
      </c>
      <c r="AA1023" s="189" t="s">
        <v>122</v>
      </c>
    </row>
    <row r="1024" customFormat="false" ht="15" hidden="false" customHeight="false" outlineLevel="0" collapsed="false">
      <c r="A1024" s="0" t="n">
        <v>212</v>
      </c>
      <c r="B1024" s="191" t="n">
        <v>46141.2863242215</v>
      </c>
      <c r="C1024" s="191" t="n">
        <v>46141.3048195919</v>
      </c>
      <c r="D1024" s="189" t="s">
        <v>1558</v>
      </c>
      <c r="E1024" s="189" t="s">
        <v>1559</v>
      </c>
      <c r="F1024" s="189" t="s">
        <v>1560</v>
      </c>
      <c r="G1024" s="189" t="s">
        <v>1561</v>
      </c>
      <c r="H1024" s="191" t="n">
        <v>46126</v>
      </c>
      <c r="I1024" s="189" t="s">
        <v>551</v>
      </c>
      <c r="J1024" s="189" t="s">
        <v>108</v>
      </c>
      <c r="K1024" s="189" t="s">
        <v>232</v>
      </c>
      <c r="L1024" s="189" t="s">
        <v>296</v>
      </c>
      <c r="M1024" s="189" t="s">
        <v>1074</v>
      </c>
      <c r="N1024" s="189" t="s">
        <v>134</v>
      </c>
      <c r="O1024" s="189" t="s">
        <v>107</v>
      </c>
      <c r="P1024" s="189" t="s">
        <v>111</v>
      </c>
      <c r="Q1024" s="189" t="s">
        <v>112</v>
      </c>
      <c r="R1024" s="189" t="s">
        <v>24</v>
      </c>
      <c r="S1024" s="189" t="s">
        <v>152</v>
      </c>
      <c r="T1024" s="189" t="s">
        <v>121</v>
      </c>
      <c r="U1024" s="189" t="s">
        <v>291</v>
      </c>
      <c r="V1024" s="189" t="s">
        <v>192</v>
      </c>
      <c r="W1024" s="189" t="s">
        <v>168</v>
      </c>
      <c r="X1024" s="189" t="s">
        <v>214</v>
      </c>
      <c r="Y1024" s="189" t="s">
        <v>3066</v>
      </c>
      <c r="Z1024" s="0" t="n">
        <v>2</v>
      </c>
      <c r="AA1024" s="189" t="s">
        <v>3068</v>
      </c>
    </row>
    <row r="1025" customFormat="false" ht="15" hidden="false" customHeight="false" outlineLevel="0" collapsed="false">
      <c r="A1025" s="0" t="n">
        <v>212</v>
      </c>
      <c r="B1025" s="191" t="n">
        <v>46141.2863242215</v>
      </c>
      <c r="C1025" s="191" t="n">
        <v>46141.3048195919</v>
      </c>
      <c r="D1025" s="189" t="s">
        <v>1558</v>
      </c>
      <c r="E1025" s="189" t="s">
        <v>1559</v>
      </c>
      <c r="F1025" s="189" t="s">
        <v>1560</v>
      </c>
      <c r="G1025" s="189" t="s">
        <v>1561</v>
      </c>
      <c r="H1025" s="191" t="n">
        <v>46126</v>
      </c>
      <c r="I1025" s="189" t="s">
        <v>551</v>
      </c>
      <c r="J1025" s="189" t="s">
        <v>108</v>
      </c>
      <c r="K1025" s="189" t="s">
        <v>232</v>
      </c>
      <c r="L1025" s="189" t="s">
        <v>296</v>
      </c>
      <c r="M1025" s="189" t="s">
        <v>1074</v>
      </c>
      <c r="N1025" s="189" t="s">
        <v>134</v>
      </c>
      <c r="O1025" s="189" t="s">
        <v>107</v>
      </c>
      <c r="P1025" s="189" t="s">
        <v>111</v>
      </c>
      <c r="Q1025" s="189" t="s">
        <v>112</v>
      </c>
      <c r="R1025" s="189" t="s">
        <v>24</v>
      </c>
      <c r="S1025" s="189" t="s">
        <v>152</v>
      </c>
      <c r="T1025" s="189" t="s">
        <v>121</v>
      </c>
      <c r="U1025" s="189" t="s">
        <v>291</v>
      </c>
      <c r="V1025" s="189" t="s">
        <v>192</v>
      </c>
      <c r="W1025" s="189" t="s">
        <v>168</v>
      </c>
      <c r="X1025" s="189" t="s">
        <v>214</v>
      </c>
      <c r="Y1025" s="189" t="s">
        <v>3069</v>
      </c>
      <c r="Z1025" s="0" t="n">
        <v>1</v>
      </c>
      <c r="AA1025" s="189" t="s">
        <v>3140</v>
      </c>
    </row>
    <row r="1026" customFormat="false" ht="15" hidden="false" customHeight="false" outlineLevel="0" collapsed="false">
      <c r="A1026" s="0" t="n">
        <v>212</v>
      </c>
      <c r="B1026" s="191" t="n">
        <v>46141.2863242215</v>
      </c>
      <c r="C1026" s="191" t="n">
        <v>46141.3048195919</v>
      </c>
      <c r="D1026" s="189" t="s">
        <v>1558</v>
      </c>
      <c r="E1026" s="189" t="s">
        <v>1559</v>
      </c>
      <c r="F1026" s="189" t="s">
        <v>1560</v>
      </c>
      <c r="G1026" s="189" t="s">
        <v>1561</v>
      </c>
      <c r="H1026" s="191" t="n">
        <v>46126</v>
      </c>
      <c r="I1026" s="189" t="s">
        <v>551</v>
      </c>
      <c r="J1026" s="189" t="s">
        <v>108</v>
      </c>
      <c r="K1026" s="189" t="s">
        <v>232</v>
      </c>
      <c r="L1026" s="189" t="s">
        <v>296</v>
      </c>
      <c r="M1026" s="189" t="s">
        <v>1074</v>
      </c>
      <c r="N1026" s="189" t="s">
        <v>134</v>
      </c>
      <c r="O1026" s="189" t="s">
        <v>107</v>
      </c>
      <c r="P1026" s="189" t="s">
        <v>111</v>
      </c>
      <c r="Q1026" s="189" t="s">
        <v>112</v>
      </c>
      <c r="R1026" s="189" t="s">
        <v>24</v>
      </c>
      <c r="S1026" s="189" t="s">
        <v>152</v>
      </c>
      <c r="T1026" s="189" t="s">
        <v>121</v>
      </c>
      <c r="U1026" s="189" t="s">
        <v>291</v>
      </c>
      <c r="V1026" s="189" t="s">
        <v>192</v>
      </c>
      <c r="W1026" s="189" t="s">
        <v>168</v>
      </c>
      <c r="X1026" s="189" t="s">
        <v>214</v>
      </c>
      <c r="Y1026" s="189" t="s">
        <v>3069</v>
      </c>
      <c r="Z1026" s="0" t="n">
        <v>2</v>
      </c>
      <c r="AA1026" s="189" t="s">
        <v>122</v>
      </c>
    </row>
    <row r="1027" customFormat="false" ht="15" hidden="false" customHeight="false" outlineLevel="0" collapsed="false">
      <c r="A1027" s="0" t="n">
        <v>213</v>
      </c>
      <c r="B1027" s="191" t="n">
        <v>46129.8300192035</v>
      </c>
      <c r="C1027" s="191" t="n">
        <v>46129.8361534628</v>
      </c>
      <c r="D1027" s="189" t="s">
        <v>1565</v>
      </c>
      <c r="E1027" s="189" t="s">
        <v>1566</v>
      </c>
      <c r="F1027" s="189" t="s">
        <v>1566</v>
      </c>
      <c r="G1027" s="189" t="s">
        <v>1567</v>
      </c>
      <c r="H1027" s="191" t="n">
        <v>46117</v>
      </c>
      <c r="I1027" s="189" t="s">
        <v>863</v>
      </c>
      <c r="J1027" s="189" t="s">
        <v>295</v>
      </c>
      <c r="K1027" s="189" t="s">
        <v>232</v>
      </c>
      <c r="L1027" s="189" t="s">
        <v>346</v>
      </c>
      <c r="M1027" s="189" t="s">
        <v>694</v>
      </c>
      <c r="N1027" s="189" t="s">
        <v>287</v>
      </c>
      <c r="O1027" s="189" t="s">
        <v>107</v>
      </c>
      <c r="P1027" s="189" t="s">
        <v>111</v>
      </c>
      <c r="Q1027" s="189" t="s">
        <v>145</v>
      </c>
      <c r="R1027" s="189" t="s">
        <v>22</v>
      </c>
      <c r="S1027" s="189" t="s">
        <v>152</v>
      </c>
      <c r="T1027" s="189" t="s">
        <v>121</v>
      </c>
      <c r="U1027" s="189" t="s">
        <v>1568</v>
      </c>
      <c r="V1027" s="189" t="s">
        <v>123</v>
      </c>
      <c r="W1027" s="189" t="s">
        <v>124</v>
      </c>
      <c r="X1027" s="189" t="s">
        <v>339</v>
      </c>
      <c r="Y1027" s="189" t="s">
        <v>3064</v>
      </c>
      <c r="Z1027" s="0" t="n">
        <v>1</v>
      </c>
      <c r="AA1027" s="189" t="s">
        <v>3168</v>
      </c>
    </row>
    <row r="1028" customFormat="false" ht="15" hidden="false" customHeight="false" outlineLevel="0" collapsed="false">
      <c r="A1028" s="0" t="n">
        <v>213</v>
      </c>
      <c r="B1028" s="191" t="n">
        <v>46129.8300192035</v>
      </c>
      <c r="C1028" s="191" t="n">
        <v>46129.8361534628</v>
      </c>
      <c r="D1028" s="189" t="s">
        <v>1565</v>
      </c>
      <c r="E1028" s="189" t="s">
        <v>1566</v>
      </c>
      <c r="F1028" s="189" t="s">
        <v>1566</v>
      </c>
      <c r="G1028" s="189" t="s">
        <v>1567</v>
      </c>
      <c r="H1028" s="191" t="n">
        <v>46117</v>
      </c>
      <c r="I1028" s="189" t="s">
        <v>863</v>
      </c>
      <c r="J1028" s="189" t="s">
        <v>295</v>
      </c>
      <c r="K1028" s="189" t="s">
        <v>232</v>
      </c>
      <c r="L1028" s="189" t="s">
        <v>346</v>
      </c>
      <c r="M1028" s="189" t="s">
        <v>694</v>
      </c>
      <c r="N1028" s="189" t="s">
        <v>287</v>
      </c>
      <c r="O1028" s="189" t="s">
        <v>107</v>
      </c>
      <c r="P1028" s="189" t="s">
        <v>111</v>
      </c>
      <c r="Q1028" s="189" t="s">
        <v>145</v>
      </c>
      <c r="R1028" s="189" t="s">
        <v>22</v>
      </c>
      <c r="S1028" s="189" t="s">
        <v>152</v>
      </c>
      <c r="T1028" s="189" t="s">
        <v>121</v>
      </c>
      <c r="U1028" s="189" t="s">
        <v>1568</v>
      </c>
      <c r="V1028" s="189" t="s">
        <v>123</v>
      </c>
      <c r="W1028" s="189" t="s">
        <v>124</v>
      </c>
      <c r="X1028" s="189" t="s">
        <v>339</v>
      </c>
      <c r="Y1028" s="189" t="s">
        <v>3064</v>
      </c>
      <c r="Z1028" s="0" t="n">
        <v>2</v>
      </c>
      <c r="AA1028" s="189" t="s">
        <v>3169</v>
      </c>
    </row>
    <row r="1029" customFormat="false" ht="15" hidden="false" customHeight="false" outlineLevel="0" collapsed="false">
      <c r="A1029" s="0" t="n">
        <v>213</v>
      </c>
      <c r="B1029" s="191" t="n">
        <v>46129.8300192035</v>
      </c>
      <c r="C1029" s="191" t="n">
        <v>46129.8361534628</v>
      </c>
      <c r="D1029" s="189" t="s">
        <v>1565</v>
      </c>
      <c r="E1029" s="189" t="s">
        <v>1566</v>
      </c>
      <c r="F1029" s="189" t="s">
        <v>1566</v>
      </c>
      <c r="G1029" s="189" t="s">
        <v>1567</v>
      </c>
      <c r="H1029" s="191" t="n">
        <v>46117</v>
      </c>
      <c r="I1029" s="189" t="s">
        <v>863</v>
      </c>
      <c r="J1029" s="189" t="s">
        <v>295</v>
      </c>
      <c r="K1029" s="189" t="s">
        <v>232</v>
      </c>
      <c r="L1029" s="189" t="s">
        <v>346</v>
      </c>
      <c r="M1029" s="189" t="s">
        <v>694</v>
      </c>
      <c r="N1029" s="189" t="s">
        <v>287</v>
      </c>
      <c r="O1029" s="189" t="s">
        <v>107</v>
      </c>
      <c r="P1029" s="189" t="s">
        <v>111</v>
      </c>
      <c r="Q1029" s="189" t="s">
        <v>145</v>
      </c>
      <c r="R1029" s="189" t="s">
        <v>22</v>
      </c>
      <c r="S1029" s="189" t="s">
        <v>152</v>
      </c>
      <c r="T1029" s="189" t="s">
        <v>121</v>
      </c>
      <c r="U1029" s="189" t="s">
        <v>1568</v>
      </c>
      <c r="V1029" s="189" t="s">
        <v>123</v>
      </c>
      <c r="W1029" s="189" t="s">
        <v>124</v>
      </c>
      <c r="X1029" s="189" t="s">
        <v>339</v>
      </c>
      <c r="Y1029" s="189" t="s">
        <v>3066</v>
      </c>
      <c r="Z1029" s="0" t="n">
        <v>1</v>
      </c>
      <c r="AA1029" s="189" t="s">
        <v>3243</v>
      </c>
    </row>
    <row r="1030" customFormat="false" ht="15" hidden="false" customHeight="false" outlineLevel="0" collapsed="false">
      <c r="A1030" s="0" t="n">
        <v>213</v>
      </c>
      <c r="B1030" s="191" t="n">
        <v>46129.8300192035</v>
      </c>
      <c r="C1030" s="191" t="n">
        <v>46129.8361534628</v>
      </c>
      <c r="D1030" s="189" t="s">
        <v>1565</v>
      </c>
      <c r="E1030" s="189" t="s">
        <v>1566</v>
      </c>
      <c r="F1030" s="189" t="s">
        <v>1566</v>
      </c>
      <c r="G1030" s="189" t="s">
        <v>1567</v>
      </c>
      <c r="H1030" s="191" t="n">
        <v>46117</v>
      </c>
      <c r="I1030" s="189" t="s">
        <v>863</v>
      </c>
      <c r="J1030" s="189" t="s">
        <v>295</v>
      </c>
      <c r="K1030" s="189" t="s">
        <v>232</v>
      </c>
      <c r="L1030" s="189" t="s">
        <v>346</v>
      </c>
      <c r="M1030" s="189" t="s">
        <v>694</v>
      </c>
      <c r="N1030" s="189" t="s">
        <v>287</v>
      </c>
      <c r="O1030" s="189" t="s">
        <v>107</v>
      </c>
      <c r="P1030" s="189" t="s">
        <v>111</v>
      </c>
      <c r="Q1030" s="189" t="s">
        <v>145</v>
      </c>
      <c r="R1030" s="189" t="s">
        <v>22</v>
      </c>
      <c r="S1030" s="189" t="s">
        <v>152</v>
      </c>
      <c r="T1030" s="189" t="s">
        <v>121</v>
      </c>
      <c r="U1030" s="189" t="s">
        <v>1568</v>
      </c>
      <c r="V1030" s="189" t="s">
        <v>123</v>
      </c>
      <c r="W1030" s="189" t="s">
        <v>124</v>
      </c>
      <c r="X1030" s="189" t="s">
        <v>339</v>
      </c>
      <c r="Y1030" s="189" t="s">
        <v>3069</v>
      </c>
      <c r="Z1030" s="0" t="n">
        <v>1</v>
      </c>
      <c r="AA1030" s="189" t="s">
        <v>3235</v>
      </c>
    </row>
    <row r="1031" customFormat="false" ht="15" hidden="false" customHeight="false" outlineLevel="0" collapsed="false">
      <c r="A1031" s="0" t="n">
        <v>214</v>
      </c>
      <c r="B1031" s="191" t="n">
        <v>46175.8125589045</v>
      </c>
      <c r="C1031" s="191" t="n">
        <v>46175.8181839045</v>
      </c>
      <c r="D1031" s="189" t="s">
        <v>1569</v>
      </c>
      <c r="E1031" s="189" t="s">
        <v>1570</v>
      </c>
      <c r="F1031" s="189" t="s">
        <v>1570</v>
      </c>
      <c r="G1031" s="189" t="s">
        <v>1571</v>
      </c>
      <c r="H1031" s="191" t="n">
        <v>46165</v>
      </c>
      <c r="I1031" s="189" t="s">
        <v>113</v>
      </c>
      <c r="J1031" s="189" t="s">
        <v>108</v>
      </c>
      <c r="K1031" s="189" t="s">
        <v>1572</v>
      </c>
      <c r="L1031" s="189" t="s">
        <v>110</v>
      </c>
      <c r="M1031" s="189" t="s">
        <v>160</v>
      </c>
      <c r="N1031" s="189" t="s">
        <v>1573</v>
      </c>
      <c r="O1031" s="189" t="s">
        <v>107</v>
      </c>
      <c r="P1031" s="189" t="s">
        <v>111</v>
      </c>
      <c r="Q1031" s="189" t="s">
        <v>112</v>
      </c>
      <c r="R1031" s="189" t="s">
        <v>22</v>
      </c>
      <c r="S1031" s="189" t="s">
        <v>120</v>
      </c>
      <c r="T1031" s="189" t="s">
        <v>121</v>
      </c>
      <c r="U1031" s="189" t="s">
        <v>122</v>
      </c>
      <c r="V1031" s="189" t="s">
        <v>123</v>
      </c>
      <c r="W1031" s="189" t="s">
        <v>124</v>
      </c>
      <c r="X1031" s="189" t="s">
        <v>381</v>
      </c>
      <c r="Y1031" s="189" t="s">
        <v>3064</v>
      </c>
      <c r="Z1031" s="0" t="n">
        <v>1</v>
      </c>
      <c r="AA1031" s="189" t="s">
        <v>3180</v>
      </c>
    </row>
    <row r="1032" customFormat="false" ht="15" hidden="false" customHeight="false" outlineLevel="0" collapsed="false">
      <c r="A1032" s="0" t="n">
        <v>214</v>
      </c>
      <c r="B1032" s="191" t="n">
        <v>46175.8125589045</v>
      </c>
      <c r="C1032" s="191" t="n">
        <v>46175.8181839045</v>
      </c>
      <c r="D1032" s="189" t="s">
        <v>1569</v>
      </c>
      <c r="E1032" s="189" t="s">
        <v>1570</v>
      </c>
      <c r="F1032" s="189" t="s">
        <v>1570</v>
      </c>
      <c r="G1032" s="189" t="s">
        <v>1571</v>
      </c>
      <c r="H1032" s="191" t="n">
        <v>46165</v>
      </c>
      <c r="I1032" s="189" t="s">
        <v>113</v>
      </c>
      <c r="J1032" s="189" t="s">
        <v>108</v>
      </c>
      <c r="K1032" s="189" t="s">
        <v>1572</v>
      </c>
      <c r="L1032" s="189" t="s">
        <v>110</v>
      </c>
      <c r="M1032" s="189" t="s">
        <v>160</v>
      </c>
      <c r="N1032" s="189" t="s">
        <v>1573</v>
      </c>
      <c r="O1032" s="189" t="s">
        <v>107</v>
      </c>
      <c r="P1032" s="189" t="s">
        <v>111</v>
      </c>
      <c r="Q1032" s="189" t="s">
        <v>112</v>
      </c>
      <c r="R1032" s="189" t="s">
        <v>22</v>
      </c>
      <c r="S1032" s="189" t="s">
        <v>120</v>
      </c>
      <c r="T1032" s="189" t="s">
        <v>121</v>
      </c>
      <c r="U1032" s="189" t="s">
        <v>122</v>
      </c>
      <c r="V1032" s="189" t="s">
        <v>123</v>
      </c>
      <c r="W1032" s="189" t="s">
        <v>124</v>
      </c>
      <c r="X1032" s="189" t="s">
        <v>381</v>
      </c>
      <c r="Y1032" s="189" t="s">
        <v>3064</v>
      </c>
      <c r="Z1032" s="0" t="n">
        <v>2</v>
      </c>
      <c r="AA1032" s="189" t="s">
        <v>3233</v>
      </c>
    </row>
    <row r="1033" customFormat="false" ht="15" hidden="false" customHeight="false" outlineLevel="0" collapsed="false">
      <c r="A1033" s="0" t="n">
        <v>214</v>
      </c>
      <c r="B1033" s="191" t="n">
        <v>46175.8125589045</v>
      </c>
      <c r="C1033" s="191" t="n">
        <v>46175.8181839045</v>
      </c>
      <c r="D1033" s="189" t="s">
        <v>1569</v>
      </c>
      <c r="E1033" s="189" t="s">
        <v>1570</v>
      </c>
      <c r="F1033" s="189" t="s">
        <v>1570</v>
      </c>
      <c r="G1033" s="189" t="s">
        <v>1571</v>
      </c>
      <c r="H1033" s="191" t="n">
        <v>46165</v>
      </c>
      <c r="I1033" s="189" t="s">
        <v>113</v>
      </c>
      <c r="J1033" s="189" t="s">
        <v>108</v>
      </c>
      <c r="K1033" s="189" t="s">
        <v>1572</v>
      </c>
      <c r="L1033" s="189" t="s">
        <v>110</v>
      </c>
      <c r="M1033" s="189" t="s">
        <v>160</v>
      </c>
      <c r="N1033" s="189" t="s">
        <v>1573</v>
      </c>
      <c r="O1033" s="189" t="s">
        <v>107</v>
      </c>
      <c r="P1033" s="189" t="s">
        <v>111</v>
      </c>
      <c r="Q1033" s="189" t="s">
        <v>112</v>
      </c>
      <c r="R1033" s="189" t="s">
        <v>22</v>
      </c>
      <c r="S1033" s="189" t="s">
        <v>120</v>
      </c>
      <c r="T1033" s="189" t="s">
        <v>121</v>
      </c>
      <c r="U1033" s="189" t="s">
        <v>122</v>
      </c>
      <c r="V1033" s="189" t="s">
        <v>123</v>
      </c>
      <c r="W1033" s="189" t="s">
        <v>124</v>
      </c>
      <c r="X1033" s="189" t="s">
        <v>381</v>
      </c>
      <c r="Y1033" s="189" t="s">
        <v>3066</v>
      </c>
      <c r="Z1033" s="0" t="n">
        <v>1</v>
      </c>
      <c r="AA1033" s="189" t="s">
        <v>3160</v>
      </c>
    </row>
    <row r="1034" customFormat="false" ht="15" hidden="false" customHeight="false" outlineLevel="0" collapsed="false">
      <c r="A1034" s="0" t="n">
        <v>214</v>
      </c>
      <c r="B1034" s="191" t="n">
        <v>46175.8125589045</v>
      </c>
      <c r="C1034" s="191" t="n">
        <v>46175.8181839045</v>
      </c>
      <c r="D1034" s="189" t="s">
        <v>1569</v>
      </c>
      <c r="E1034" s="189" t="s">
        <v>1570</v>
      </c>
      <c r="F1034" s="189" t="s">
        <v>1570</v>
      </c>
      <c r="G1034" s="189" t="s">
        <v>1571</v>
      </c>
      <c r="H1034" s="191" t="n">
        <v>46165</v>
      </c>
      <c r="I1034" s="189" t="s">
        <v>113</v>
      </c>
      <c r="J1034" s="189" t="s">
        <v>108</v>
      </c>
      <c r="K1034" s="189" t="s">
        <v>1572</v>
      </c>
      <c r="L1034" s="189" t="s">
        <v>110</v>
      </c>
      <c r="M1034" s="189" t="s">
        <v>160</v>
      </c>
      <c r="N1034" s="189" t="s">
        <v>1573</v>
      </c>
      <c r="O1034" s="189" t="s">
        <v>107</v>
      </c>
      <c r="P1034" s="189" t="s">
        <v>111</v>
      </c>
      <c r="Q1034" s="189" t="s">
        <v>112</v>
      </c>
      <c r="R1034" s="189" t="s">
        <v>22</v>
      </c>
      <c r="S1034" s="189" t="s">
        <v>120</v>
      </c>
      <c r="T1034" s="189" t="s">
        <v>121</v>
      </c>
      <c r="U1034" s="189" t="s">
        <v>122</v>
      </c>
      <c r="V1034" s="189" t="s">
        <v>123</v>
      </c>
      <c r="W1034" s="189" t="s">
        <v>124</v>
      </c>
      <c r="X1034" s="189" t="s">
        <v>381</v>
      </c>
      <c r="Y1034" s="189" t="s">
        <v>3066</v>
      </c>
      <c r="Z1034" s="0" t="n">
        <v>2</v>
      </c>
      <c r="AA1034" s="189" t="s">
        <v>3250</v>
      </c>
    </row>
    <row r="1035" customFormat="false" ht="15" hidden="false" customHeight="false" outlineLevel="0" collapsed="false">
      <c r="A1035" s="0" t="n">
        <v>214</v>
      </c>
      <c r="B1035" s="191" t="n">
        <v>46175.8125589045</v>
      </c>
      <c r="C1035" s="191" t="n">
        <v>46175.8181839045</v>
      </c>
      <c r="D1035" s="189" t="s">
        <v>1569</v>
      </c>
      <c r="E1035" s="189" t="s">
        <v>1570</v>
      </c>
      <c r="F1035" s="189" t="s">
        <v>1570</v>
      </c>
      <c r="G1035" s="189" t="s">
        <v>1571</v>
      </c>
      <c r="H1035" s="191" t="n">
        <v>46165</v>
      </c>
      <c r="I1035" s="189" t="s">
        <v>113</v>
      </c>
      <c r="J1035" s="189" t="s">
        <v>108</v>
      </c>
      <c r="K1035" s="189" t="s">
        <v>1572</v>
      </c>
      <c r="L1035" s="189" t="s">
        <v>110</v>
      </c>
      <c r="M1035" s="189" t="s">
        <v>160</v>
      </c>
      <c r="N1035" s="189" t="s">
        <v>1573</v>
      </c>
      <c r="O1035" s="189" t="s">
        <v>107</v>
      </c>
      <c r="P1035" s="189" t="s">
        <v>111</v>
      </c>
      <c r="Q1035" s="189" t="s">
        <v>112</v>
      </c>
      <c r="R1035" s="189" t="s">
        <v>22</v>
      </c>
      <c r="S1035" s="189" t="s">
        <v>120</v>
      </c>
      <c r="T1035" s="189" t="s">
        <v>121</v>
      </c>
      <c r="U1035" s="189" t="s">
        <v>122</v>
      </c>
      <c r="V1035" s="189" t="s">
        <v>123</v>
      </c>
      <c r="W1035" s="189" t="s">
        <v>124</v>
      </c>
      <c r="X1035" s="189" t="s">
        <v>381</v>
      </c>
      <c r="Y1035" s="189" t="s">
        <v>3069</v>
      </c>
      <c r="Z1035" s="0" t="n">
        <v>1</v>
      </c>
      <c r="AA1035" s="189" t="s">
        <v>3163</v>
      </c>
    </row>
    <row r="1036" customFormat="false" ht="15" hidden="false" customHeight="false" outlineLevel="0" collapsed="false">
      <c r="A1036" s="0" t="n">
        <v>215</v>
      </c>
      <c r="B1036" s="191" t="n">
        <v>46041.7238754237</v>
      </c>
      <c r="C1036" s="191" t="n">
        <v>46041.7420004237</v>
      </c>
      <c r="D1036" s="189" t="s">
        <v>1575</v>
      </c>
      <c r="E1036" s="189" t="s">
        <v>1576</v>
      </c>
      <c r="F1036" s="189" t="s">
        <v>1576</v>
      </c>
      <c r="G1036" s="189" t="s">
        <v>1577</v>
      </c>
      <c r="H1036" s="191" t="n">
        <v>46037</v>
      </c>
      <c r="I1036" s="189" t="s">
        <v>113</v>
      </c>
      <c r="J1036" s="189" t="s">
        <v>108</v>
      </c>
      <c r="K1036" s="189" t="s">
        <v>196</v>
      </c>
      <c r="L1036" s="189" t="s">
        <v>389</v>
      </c>
      <c r="M1036" s="189" t="s">
        <v>199</v>
      </c>
      <c r="N1036" s="189" t="s">
        <v>213</v>
      </c>
      <c r="O1036" s="189" t="s">
        <v>172</v>
      </c>
      <c r="P1036" s="189" t="s">
        <v>111</v>
      </c>
      <c r="Q1036" s="189" t="s">
        <v>145</v>
      </c>
      <c r="R1036" s="189" t="s">
        <v>22</v>
      </c>
      <c r="S1036" s="189" t="s">
        <v>120</v>
      </c>
      <c r="T1036" s="189" t="s">
        <v>121</v>
      </c>
      <c r="U1036" s="189" t="s">
        <v>1229</v>
      </c>
      <c r="V1036" s="189" t="s">
        <v>192</v>
      </c>
      <c r="W1036" s="189" t="s">
        <v>124</v>
      </c>
      <c r="X1036" s="189" t="s">
        <v>339</v>
      </c>
      <c r="Y1036" s="189" t="s">
        <v>3064</v>
      </c>
      <c r="Z1036" s="0" t="n">
        <v>1</v>
      </c>
      <c r="AA1036" s="189" t="s">
        <v>3141</v>
      </c>
    </row>
    <row r="1037" customFormat="false" ht="15" hidden="false" customHeight="false" outlineLevel="0" collapsed="false">
      <c r="A1037" s="0" t="n">
        <v>215</v>
      </c>
      <c r="B1037" s="191" t="n">
        <v>46041.7238754237</v>
      </c>
      <c r="C1037" s="191" t="n">
        <v>46041.7420004237</v>
      </c>
      <c r="D1037" s="189" t="s">
        <v>1575</v>
      </c>
      <c r="E1037" s="189" t="s">
        <v>1576</v>
      </c>
      <c r="F1037" s="189" t="s">
        <v>1576</v>
      </c>
      <c r="G1037" s="189" t="s">
        <v>1577</v>
      </c>
      <c r="H1037" s="191" t="n">
        <v>46037</v>
      </c>
      <c r="I1037" s="189" t="s">
        <v>113</v>
      </c>
      <c r="J1037" s="189" t="s">
        <v>108</v>
      </c>
      <c r="K1037" s="189" t="s">
        <v>196</v>
      </c>
      <c r="L1037" s="189" t="s">
        <v>389</v>
      </c>
      <c r="M1037" s="189" t="s">
        <v>199</v>
      </c>
      <c r="N1037" s="189" t="s">
        <v>213</v>
      </c>
      <c r="O1037" s="189" t="s">
        <v>172</v>
      </c>
      <c r="P1037" s="189" t="s">
        <v>111</v>
      </c>
      <c r="Q1037" s="189" t="s">
        <v>145</v>
      </c>
      <c r="R1037" s="189" t="s">
        <v>22</v>
      </c>
      <c r="S1037" s="189" t="s">
        <v>120</v>
      </c>
      <c r="T1037" s="189" t="s">
        <v>121</v>
      </c>
      <c r="U1037" s="189" t="s">
        <v>1229</v>
      </c>
      <c r="V1037" s="189" t="s">
        <v>192</v>
      </c>
      <c r="W1037" s="189" t="s">
        <v>124</v>
      </c>
      <c r="X1037" s="189" t="s">
        <v>339</v>
      </c>
      <c r="Y1037" s="189" t="s">
        <v>3064</v>
      </c>
      <c r="Z1037" s="0" t="n">
        <v>2</v>
      </c>
      <c r="AA1037" s="189" t="s">
        <v>3169</v>
      </c>
    </row>
    <row r="1038" customFormat="false" ht="15" hidden="false" customHeight="false" outlineLevel="0" collapsed="false">
      <c r="A1038" s="0" t="n">
        <v>215</v>
      </c>
      <c r="B1038" s="191" t="n">
        <v>46041.7238754237</v>
      </c>
      <c r="C1038" s="191" t="n">
        <v>46041.7420004237</v>
      </c>
      <c r="D1038" s="189" t="s">
        <v>1575</v>
      </c>
      <c r="E1038" s="189" t="s">
        <v>1576</v>
      </c>
      <c r="F1038" s="189" t="s">
        <v>1576</v>
      </c>
      <c r="G1038" s="189" t="s">
        <v>1577</v>
      </c>
      <c r="H1038" s="191" t="n">
        <v>46037</v>
      </c>
      <c r="I1038" s="189" t="s">
        <v>113</v>
      </c>
      <c r="J1038" s="189" t="s">
        <v>108</v>
      </c>
      <c r="K1038" s="189" t="s">
        <v>196</v>
      </c>
      <c r="L1038" s="189" t="s">
        <v>389</v>
      </c>
      <c r="M1038" s="189" t="s">
        <v>199</v>
      </c>
      <c r="N1038" s="189" t="s">
        <v>213</v>
      </c>
      <c r="O1038" s="189" t="s">
        <v>172</v>
      </c>
      <c r="P1038" s="189" t="s">
        <v>111</v>
      </c>
      <c r="Q1038" s="189" t="s">
        <v>145</v>
      </c>
      <c r="R1038" s="189" t="s">
        <v>22</v>
      </c>
      <c r="S1038" s="189" t="s">
        <v>120</v>
      </c>
      <c r="T1038" s="189" t="s">
        <v>121</v>
      </c>
      <c r="U1038" s="189" t="s">
        <v>1229</v>
      </c>
      <c r="V1038" s="189" t="s">
        <v>192</v>
      </c>
      <c r="W1038" s="189" t="s">
        <v>124</v>
      </c>
      <c r="X1038" s="189" t="s">
        <v>339</v>
      </c>
      <c r="Y1038" s="189" t="s">
        <v>3064</v>
      </c>
      <c r="Z1038" s="0" t="n">
        <v>3</v>
      </c>
      <c r="AA1038" s="189" t="s">
        <v>3168</v>
      </c>
    </row>
    <row r="1039" customFormat="false" ht="15" hidden="false" customHeight="false" outlineLevel="0" collapsed="false">
      <c r="A1039" s="0" t="n">
        <v>215</v>
      </c>
      <c r="B1039" s="191" t="n">
        <v>46041.7238754237</v>
      </c>
      <c r="C1039" s="191" t="n">
        <v>46041.7420004237</v>
      </c>
      <c r="D1039" s="189" t="s">
        <v>1575</v>
      </c>
      <c r="E1039" s="189" t="s">
        <v>1576</v>
      </c>
      <c r="F1039" s="189" t="s">
        <v>1576</v>
      </c>
      <c r="G1039" s="189" t="s">
        <v>1577</v>
      </c>
      <c r="H1039" s="191" t="n">
        <v>46037</v>
      </c>
      <c r="I1039" s="189" t="s">
        <v>113</v>
      </c>
      <c r="J1039" s="189" t="s">
        <v>108</v>
      </c>
      <c r="K1039" s="189" t="s">
        <v>196</v>
      </c>
      <c r="L1039" s="189" t="s">
        <v>389</v>
      </c>
      <c r="M1039" s="189" t="s">
        <v>199</v>
      </c>
      <c r="N1039" s="189" t="s">
        <v>213</v>
      </c>
      <c r="O1039" s="189" t="s">
        <v>172</v>
      </c>
      <c r="P1039" s="189" t="s">
        <v>111</v>
      </c>
      <c r="Q1039" s="189" t="s">
        <v>145</v>
      </c>
      <c r="R1039" s="189" t="s">
        <v>22</v>
      </c>
      <c r="S1039" s="189" t="s">
        <v>120</v>
      </c>
      <c r="T1039" s="189" t="s">
        <v>121</v>
      </c>
      <c r="U1039" s="189" t="s">
        <v>1229</v>
      </c>
      <c r="V1039" s="189" t="s">
        <v>192</v>
      </c>
      <c r="W1039" s="189" t="s">
        <v>124</v>
      </c>
      <c r="X1039" s="189" t="s">
        <v>339</v>
      </c>
      <c r="Y1039" s="189" t="s">
        <v>3066</v>
      </c>
      <c r="Z1039" s="0" t="n">
        <v>1</v>
      </c>
      <c r="AA1039" s="189" t="s">
        <v>3235</v>
      </c>
    </row>
    <row r="1040" customFormat="false" ht="15" hidden="false" customHeight="false" outlineLevel="0" collapsed="false">
      <c r="A1040" s="0" t="n">
        <v>215</v>
      </c>
      <c r="B1040" s="191" t="n">
        <v>46041.7238754237</v>
      </c>
      <c r="C1040" s="191" t="n">
        <v>46041.7420004237</v>
      </c>
      <c r="D1040" s="189" t="s">
        <v>1575</v>
      </c>
      <c r="E1040" s="189" t="s">
        <v>1576</v>
      </c>
      <c r="F1040" s="189" t="s">
        <v>1576</v>
      </c>
      <c r="G1040" s="189" t="s">
        <v>1577</v>
      </c>
      <c r="H1040" s="191" t="n">
        <v>46037</v>
      </c>
      <c r="I1040" s="189" t="s">
        <v>113</v>
      </c>
      <c r="J1040" s="189" t="s">
        <v>108</v>
      </c>
      <c r="K1040" s="189" t="s">
        <v>196</v>
      </c>
      <c r="L1040" s="189" t="s">
        <v>389</v>
      </c>
      <c r="M1040" s="189" t="s">
        <v>199</v>
      </c>
      <c r="N1040" s="189" t="s">
        <v>213</v>
      </c>
      <c r="O1040" s="189" t="s">
        <v>172</v>
      </c>
      <c r="P1040" s="189" t="s">
        <v>111</v>
      </c>
      <c r="Q1040" s="189" t="s">
        <v>145</v>
      </c>
      <c r="R1040" s="189" t="s">
        <v>22</v>
      </c>
      <c r="S1040" s="189" t="s">
        <v>120</v>
      </c>
      <c r="T1040" s="189" t="s">
        <v>121</v>
      </c>
      <c r="U1040" s="189" t="s">
        <v>1229</v>
      </c>
      <c r="V1040" s="189" t="s">
        <v>192</v>
      </c>
      <c r="W1040" s="189" t="s">
        <v>124</v>
      </c>
      <c r="X1040" s="189" t="s">
        <v>339</v>
      </c>
      <c r="Y1040" s="189" t="s">
        <v>3066</v>
      </c>
      <c r="Z1040" s="0" t="n">
        <v>2</v>
      </c>
      <c r="AA1040" s="189" t="s">
        <v>3143</v>
      </c>
    </row>
    <row r="1041" customFormat="false" ht="15" hidden="false" customHeight="false" outlineLevel="0" collapsed="false">
      <c r="A1041" s="0" t="n">
        <v>215</v>
      </c>
      <c r="B1041" s="191" t="n">
        <v>46041.7238754237</v>
      </c>
      <c r="C1041" s="191" t="n">
        <v>46041.7420004237</v>
      </c>
      <c r="D1041" s="189" t="s">
        <v>1575</v>
      </c>
      <c r="E1041" s="189" t="s">
        <v>1576</v>
      </c>
      <c r="F1041" s="189" t="s">
        <v>1576</v>
      </c>
      <c r="G1041" s="189" t="s">
        <v>1577</v>
      </c>
      <c r="H1041" s="191" t="n">
        <v>46037</v>
      </c>
      <c r="I1041" s="189" t="s">
        <v>113</v>
      </c>
      <c r="J1041" s="189" t="s">
        <v>108</v>
      </c>
      <c r="K1041" s="189" t="s">
        <v>196</v>
      </c>
      <c r="L1041" s="189" t="s">
        <v>389</v>
      </c>
      <c r="M1041" s="189" t="s">
        <v>199</v>
      </c>
      <c r="N1041" s="189" t="s">
        <v>213</v>
      </c>
      <c r="O1041" s="189" t="s">
        <v>172</v>
      </c>
      <c r="P1041" s="189" t="s">
        <v>111</v>
      </c>
      <c r="Q1041" s="189" t="s">
        <v>145</v>
      </c>
      <c r="R1041" s="189" t="s">
        <v>22</v>
      </c>
      <c r="S1041" s="189" t="s">
        <v>120</v>
      </c>
      <c r="T1041" s="189" t="s">
        <v>121</v>
      </c>
      <c r="U1041" s="189" t="s">
        <v>1229</v>
      </c>
      <c r="V1041" s="189" t="s">
        <v>192</v>
      </c>
      <c r="W1041" s="189" t="s">
        <v>124</v>
      </c>
      <c r="X1041" s="189" t="s">
        <v>339</v>
      </c>
      <c r="Y1041" s="189" t="s">
        <v>3069</v>
      </c>
      <c r="Z1041" s="0" t="n">
        <v>1</v>
      </c>
      <c r="AA1041" s="189" t="s">
        <v>3217</v>
      </c>
    </row>
    <row r="1042" customFormat="false" ht="15" hidden="false" customHeight="false" outlineLevel="0" collapsed="false">
      <c r="A1042" s="0" t="n">
        <v>216</v>
      </c>
      <c r="B1042" s="191" t="n">
        <v>46044.9107422648</v>
      </c>
      <c r="C1042" s="191" t="n">
        <v>46044.9218880981</v>
      </c>
      <c r="D1042" s="189" t="s">
        <v>1580</v>
      </c>
      <c r="E1042" s="189" t="s">
        <v>1581</v>
      </c>
      <c r="F1042" s="189" t="s">
        <v>1582</v>
      </c>
      <c r="G1042" s="189" t="s">
        <v>1583</v>
      </c>
      <c r="H1042" s="191" t="n">
        <v>46037</v>
      </c>
      <c r="I1042" s="189" t="s">
        <v>113</v>
      </c>
      <c r="J1042" s="189" t="s">
        <v>295</v>
      </c>
      <c r="K1042" s="189" t="s">
        <v>462</v>
      </c>
      <c r="L1042" s="189" t="s">
        <v>130</v>
      </c>
      <c r="M1042" s="189" t="s">
        <v>146</v>
      </c>
      <c r="N1042" s="189" t="s">
        <v>338</v>
      </c>
      <c r="O1042" s="189" t="s">
        <v>107</v>
      </c>
      <c r="P1042" s="189" t="s">
        <v>111</v>
      </c>
      <c r="Q1042" s="189" t="s">
        <v>112</v>
      </c>
      <c r="R1042" s="189" t="s">
        <v>22</v>
      </c>
      <c r="S1042" s="189" t="s">
        <v>227</v>
      </c>
      <c r="T1042" s="189" t="s">
        <v>121</v>
      </c>
      <c r="U1042" s="189" t="s">
        <v>122</v>
      </c>
      <c r="V1042" s="189" t="s">
        <v>167</v>
      </c>
      <c r="W1042" s="189" t="s">
        <v>124</v>
      </c>
      <c r="X1042" s="189" t="s">
        <v>339</v>
      </c>
      <c r="Y1042" s="189" t="s">
        <v>3064</v>
      </c>
      <c r="Z1042" s="0" t="n">
        <v>1</v>
      </c>
      <c r="AA1042" s="189" t="s">
        <v>3168</v>
      </c>
    </row>
    <row r="1043" customFormat="false" ht="15" hidden="false" customHeight="false" outlineLevel="0" collapsed="false">
      <c r="A1043" s="0" t="n">
        <v>216</v>
      </c>
      <c r="B1043" s="191" t="n">
        <v>46044.9107422648</v>
      </c>
      <c r="C1043" s="191" t="n">
        <v>46044.9218880981</v>
      </c>
      <c r="D1043" s="189" t="s">
        <v>1580</v>
      </c>
      <c r="E1043" s="189" t="s">
        <v>1581</v>
      </c>
      <c r="F1043" s="189" t="s">
        <v>1582</v>
      </c>
      <c r="G1043" s="189" t="s">
        <v>1583</v>
      </c>
      <c r="H1043" s="191" t="n">
        <v>46037</v>
      </c>
      <c r="I1043" s="189" t="s">
        <v>113</v>
      </c>
      <c r="J1043" s="189" t="s">
        <v>295</v>
      </c>
      <c r="K1043" s="189" t="s">
        <v>462</v>
      </c>
      <c r="L1043" s="189" t="s">
        <v>130</v>
      </c>
      <c r="M1043" s="189" t="s">
        <v>146</v>
      </c>
      <c r="N1043" s="189" t="s">
        <v>338</v>
      </c>
      <c r="O1043" s="189" t="s">
        <v>107</v>
      </c>
      <c r="P1043" s="189" t="s">
        <v>111</v>
      </c>
      <c r="Q1043" s="189" t="s">
        <v>112</v>
      </c>
      <c r="R1043" s="189" t="s">
        <v>22</v>
      </c>
      <c r="S1043" s="189" t="s">
        <v>227</v>
      </c>
      <c r="T1043" s="189" t="s">
        <v>121</v>
      </c>
      <c r="U1043" s="189" t="s">
        <v>122</v>
      </c>
      <c r="V1043" s="189" t="s">
        <v>167</v>
      </c>
      <c r="W1043" s="189" t="s">
        <v>124</v>
      </c>
      <c r="X1043" s="189" t="s">
        <v>339</v>
      </c>
      <c r="Y1043" s="189" t="s">
        <v>3064</v>
      </c>
      <c r="Z1043" s="0" t="n">
        <v>2</v>
      </c>
      <c r="AA1043" s="189" t="s">
        <v>3198</v>
      </c>
    </row>
    <row r="1044" customFormat="false" ht="15" hidden="false" customHeight="false" outlineLevel="0" collapsed="false">
      <c r="A1044" s="0" t="n">
        <v>216</v>
      </c>
      <c r="B1044" s="191" t="n">
        <v>46044.9107422648</v>
      </c>
      <c r="C1044" s="191" t="n">
        <v>46044.9218880981</v>
      </c>
      <c r="D1044" s="189" t="s">
        <v>1580</v>
      </c>
      <c r="E1044" s="189" t="s">
        <v>1581</v>
      </c>
      <c r="F1044" s="189" t="s">
        <v>1582</v>
      </c>
      <c r="G1044" s="189" t="s">
        <v>1583</v>
      </c>
      <c r="H1044" s="191" t="n">
        <v>46037</v>
      </c>
      <c r="I1044" s="189" t="s">
        <v>113</v>
      </c>
      <c r="J1044" s="189" t="s">
        <v>295</v>
      </c>
      <c r="K1044" s="189" t="s">
        <v>462</v>
      </c>
      <c r="L1044" s="189" t="s">
        <v>130</v>
      </c>
      <c r="M1044" s="189" t="s">
        <v>146</v>
      </c>
      <c r="N1044" s="189" t="s">
        <v>338</v>
      </c>
      <c r="O1044" s="189" t="s">
        <v>107</v>
      </c>
      <c r="P1044" s="189" t="s">
        <v>111</v>
      </c>
      <c r="Q1044" s="189" t="s">
        <v>112</v>
      </c>
      <c r="R1044" s="189" t="s">
        <v>22</v>
      </c>
      <c r="S1044" s="189" t="s">
        <v>227</v>
      </c>
      <c r="T1044" s="189" t="s">
        <v>121</v>
      </c>
      <c r="U1044" s="189" t="s">
        <v>122</v>
      </c>
      <c r="V1044" s="189" t="s">
        <v>167</v>
      </c>
      <c r="W1044" s="189" t="s">
        <v>124</v>
      </c>
      <c r="X1044" s="189" t="s">
        <v>339</v>
      </c>
      <c r="Y1044" s="189" t="s">
        <v>3064</v>
      </c>
      <c r="Z1044" s="0" t="n">
        <v>3</v>
      </c>
      <c r="AA1044" s="189" t="s">
        <v>3169</v>
      </c>
    </row>
    <row r="1045" customFormat="false" ht="15" hidden="false" customHeight="false" outlineLevel="0" collapsed="false">
      <c r="A1045" s="0" t="n">
        <v>216</v>
      </c>
      <c r="B1045" s="191" t="n">
        <v>46044.9107422648</v>
      </c>
      <c r="C1045" s="191" t="n">
        <v>46044.9218880981</v>
      </c>
      <c r="D1045" s="189" t="s">
        <v>1580</v>
      </c>
      <c r="E1045" s="189" t="s">
        <v>1581</v>
      </c>
      <c r="F1045" s="189" t="s">
        <v>1582</v>
      </c>
      <c r="G1045" s="189" t="s">
        <v>1583</v>
      </c>
      <c r="H1045" s="191" t="n">
        <v>46037</v>
      </c>
      <c r="I1045" s="189" t="s">
        <v>113</v>
      </c>
      <c r="J1045" s="189" t="s">
        <v>295</v>
      </c>
      <c r="K1045" s="189" t="s">
        <v>462</v>
      </c>
      <c r="L1045" s="189" t="s">
        <v>130</v>
      </c>
      <c r="M1045" s="189" t="s">
        <v>146</v>
      </c>
      <c r="N1045" s="189" t="s">
        <v>338</v>
      </c>
      <c r="O1045" s="189" t="s">
        <v>107</v>
      </c>
      <c r="P1045" s="189" t="s">
        <v>111</v>
      </c>
      <c r="Q1045" s="189" t="s">
        <v>112</v>
      </c>
      <c r="R1045" s="189" t="s">
        <v>22</v>
      </c>
      <c r="S1045" s="189" t="s">
        <v>227</v>
      </c>
      <c r="T1045" s="189" t="s">
        <v>121</v>
      </c>
      <c r="U1045" s="189" t="s">
        <v>122</v>
      </c>
      <c r="V1045" s="189" t="s">
        <v>167</v>
      </c>
      <c r="W1045" s="189" t="s">
        <v>124</v>
      </c>
      <c r="X1045" s="189" t="s">
        <v>339</v>
      </c>
      <c r="Y1045" s="189" t="s">
        <v>3066</v>
      </c>
      <c r="Z1045" s="0" t="n">
        <v>1</v>
      </c>
      <c r="AA1045" s="189" t="s">
        <v>3143</v>
      </c>
    </row>
    <row r="1046" customFormat="false" ht="15" hidden="false" customHeight="false" outlineLevel="0" collapsed="false">
      <c r="A1046" s="0" t="n">
        <v>216</v>
      </c>
      <c r="B1046" s="191" t="n">
        <v>46044.9107422648</v>
      </c>
      <c r="C1046" s="191" t="n">
        <v>46044.9218880981</v>
      </c>
      <c r="D1046" s="189" t="s">
        <v>1580</v>
      </c>
      <c r="E1046" s="189" t="s">
        <v>1581</v>
      </c>
      <c r="F1046" s="189" t="s">
        <v>1582</v>
      </c>
      <c r="G1046" s="189" t="s">
        <v>1583</v>
      </c>
      <c r="H1046" s="191" t="n">
        <v>46037</v>
      </c>
      <c r="I1046" s="189" t="s">
        <v>113</v>
      </c>
      <c r="J1046" s="189" t="s">
        <v>295</v>
      </c>
      <c r="K1046" s="189" t="s">
        <v>462</v>
      </c>
      <c r="L1046" s="189" t="s">
        <v>130</v>
      </c>
      <c r="M1046" s="189" t="s">
        <v>146</v>
      </c>
      <c r="N1046" s="189" t="s">
        <v>338</v>
      </c>
      <c r="O1046" s="189" t="s">
        <v>107</v>
      </c>
      <c r="P1046" s="189" t="s">
        <v>111</v>
      </c>
      <c r="Q1046" s="189" t="s">
        <v>112</v>
      </c>
      <c r="R1046" s="189" t="s">
        <v>22</v>
      </c>
      <c r="S1046" s="189" t="s">
        <v>227</v>
      </c>
      <c r="T1046" s="189" t="s">
        <v>121</v>
      </c>
      <c r="U1046" s="189" t="s">
        <v>122</v>
      </c>
      <c r="V1046" s="189" t="s">
        <v>167</v>
      </c>
      <c r="W1046" s="189" t="s">
        <v>124</v>
      </c>
      <c r="X1046" s="189" t="s">
        <v>339</v>
      </c>
      <c r="Y1046" s="189" t="s">
        <v>3069</v>
      </c>
      <c r="Z1046" s="0" t="n">
        <v>1</v>
      </c>
      <c r="AA1046" s="189" t="s">
        <v>122</v>
      </c>
    </row>
    <row r="1047" customFormat="false" ht="15" hidden="false" customHeight="false" outlineLevel="0" collapsed="false">
      <c r="A1047" s="0" t="n">
        <v>216</v>
      </c>
      <c r="B1047" s="191" t="n">
        <v>46044.9107422648</v>
      </c>
      <c r="C1047" s="191" t="n">
        <v>46044.9218880981</v>
      </c>
      <c r="D1047" s="189" t="s">
        <v>1580</v>
      </c>
      <c r="E1047" s="189" t="s">
        <v>1581</v>
      </c>
      <c r="F1047" s="189" t="s">
        <v>1582</v>
      </c>
      <c r="G1047" s="189" t="s">
        <v>1583</v>
      </c>
      <c r="H1047" s="191" t="n">
        <v>46037</v>
      </c>
      <c r="I1047" s="189" t="s">
        <v>113</v>
      </c>
      <c r="J1047" s="189" t="s">
        <v>295</v>
      </c>
      <c r="K1047" s="189" t="s">
        <v>462</v>
      </c>
      <c r="L1047" s="189" t="s">
        <v>130</v>
      </c>
      <c r="M1047" s="189" t="s">
        <v>146</v>
      </c>
      <c r="N1047" s="189" t="s">
        <v>338</v>
      </c>
      <c r="O1047" s="189" t="s">
        <v>107</v>
      </c>
      <c r="P1047" s="189" t="s">
        <v>111</v>
      </c>
      <c r="Q1047" s="189" t="s">
        <v>112</v>
      </c>
      <c r="R1047" s="189" t="s">
        <v>22</v>
      </c>
      <c r="S1047" s="189" t="s">
        <v>227</v>
      </c>
      <c r="T1047" s="189" t="s">
        <v>121</v>
      </c>
      <c r="U1047" s="189" t="s">
        <v>122</v>
      </c>
      <c r="V1047" s="189" t="s">
        <v>167</v>
      </c>
      <c r="W1047" s="189" t="s">
        <v>124</v>
      </c>
      <c r="X1047" s="189" t="s">
        <v>339</v>
      </c>
      <c r="Y1047" s="189" t="s">
        <v>3069</v>
      </c>
      <c r="Z1047" s="0" t="n">
        <v>2</v>
      </c>
      <c r="AA1047" s="189" t="s">
        <v>3235</v>
      </c>
    </row>
    <row r="1048" customFormat="false" ht="15" hidden="false" customHeight="false" outlineLevel="0" collapsed="false">
      <c r="A1048" s="0" t="n">
        <v>217</v>
      </c>
      <c r="B1048" s="191" t="n">
        <v>46047.2224143306</v>
      </c>
      <c r="C1048" s="191" t="n">
        <v>46047.2419282195</v>
      </c>
      <c r="D1048" s="189" t="s">
        <v>1586</v>
      </c>
      <c r="E1048" s="189" t="s">
        <v>1587</v>
      </c>
      <c r="F1048" s="189" t="s">
        <v>1587</v>
      </c>
      <c r="G1048" s="189" t="s">
        <v>1588</v>
      </c>
      <c r="H1048" s="191" t="n">
        <v>46028</v>
      </c>
      <c r="I1048" s="189" t="s">
        <v>113</v>
      </c>
      <c r="J1048" s="189" t="s">
        <v>128</v>
      </c>
      <c r="K1048" s="189" t="s">
        <v>1589</v>
      </c>
      <c r="L1048" s="189" t="s">
        <v>110</v>
      </c>
      <c r="M1048" s="189" t="s">
        <v>686</v>
      </c>
      <c r="N1048" s="189" t="s">
        <v>508</v>
      </c>
      <c r="O1048" s="189" t="s">
        <v>172</v>
      </c>
      <c r="P1048" s="189" t="s">
        <v>131</v>
      </c>
      <c r="Q1048" s="189" t="s">
        <v>112</v>
      </c>
      <c r="R1048" s="189" t="s">
        <v>25</v>
      </c>
      <c r="S1048" s="189" t="s">
        <v>152</v>
      </c>
      <c r="T1048" s="189" t="s">
        <v>121</v>
      </c>
      <c r="U1048" s="189" t="s">
        <v>122</v>
      </c>
      <c r="V1048" s="189" t="s">
        <v>192</v>
      </c>
      <c r="W1048" s="189" t="s">
        <v>124</v>
      </c>
      <c r="X1048" s="189" t="s">
        <v>687</v>
      </c>
      <c r="Y1048" s="189" t="s">
        <v>3064</v>
      </c>
      <c r="Z1048" s="0" t="n">
        <v>1</v>
      </c>
      <c r="AA1048" s="189" t="s">
        <v>3297</v>
      </c>
    </row>
    <row r="1049" customFormat="false" ht="15" hidden="false" customHeight="false" outlineLevel="0" collapsed="false">
      <c r="A1049" s="0" t="n">
        <v>217</v>
      </c>
      <c r="B1049" s="191" t="n">
        <v>46047.2224143306</v>
      </c>
      <c r="C1049" s="191" t="n">
        <v>46047.2419282195</v>
      </c>
      <c r="D1049" s="189" t="s">
        <v>1586</v>
      </c>
      <c r="E1049" s="189" t="s">
        <v>1587</v>
      </c>
      <c r="F1049" s="189" t="s">
        <v>1587</v>
      </c>
      <c r="G1049" s="189" t="s">
        <v>1588</v>
      </c>
      <c r="H1049" s="191" t="n">
        <v>46028</v>
      </c>
      <c r="I1049" s="189" t="s">
        <v>113</v>
      </c>
      <c r="J1049" s="189" t="s">
        <v>128</v>
      </c>
      <c r="K1049" s="189" t="s">
        <v>1589</v>
      </c>
      <c r="L1049" s="189" t="s">
        <v>110</v>
      </c>
      <c r="M1049" s="189" t="s">
        <v>686</v>
      </c>
      <c r="N1049" s="189" t="s">
        <v>508</v>
      </c>
      <c r="O1049" s="189" t="s">
        <v>172</v>
      </c>
      <c r="P1049" s="189" t="s">
        <v>131</v>
      </c>
      <c r="Q1049" s="189" t="s">
        <v>112</v>
      </c>
      <c r="R1049" s="189" t="s">
        <v>25</v>
      </c>
      <c r="S1049" s="189" t="s">
        <v>152</v>
      </c>
      <c r="T1049" s="189" t="s">
        <v>121</v>
      </c>
      <c r="U1049" s="189" t="s">
        <v>122</v>
      </c>
      <c r="V1049" s="189" t="s">
        <v>192</v>
      </c>
      <c r="W1049" s="189" t="s">
        <v>124</v>
      </c>
      <c r="X1049" s="189" t="s">
        <v>687</v>
      </c>
      <c r="Y1049" s="189" t="s">
        <v>3066</v>
      </c>
      <c r="Z1049" s="0" t="n">
        <v>1</v>
      </c>
      <c r="AA1049" s="189" t="s">
        <v>3298</v>
      </c>
    </row>
    <row r="1050" customFormat="false" ht="15" hidden="false" customHeight="false" outlineLevel="0" collapsed="false">
      <c r="A1050" s="0" t="n">
        <v>217</v>
      </c>
      <c r="B1050" s="191" t="n">
        <v>46047.2224143306</v>
      </c>
      <c r="C1050" s="191" t="n">
        <v>46047.2419282195</v>
      </c>
      <c r="D1050" s="189" t="s">
        <v>1586</v>
      </c>
      <c r="E1050" s="189" t="s">
        <v>1587</v>
      </c>
      <c r="F1050" s="189" t="s">
        <v>1587</v>
      </c>
      <c r="G1050" s="189" t="s">
        <v>1588</v>
      </c>
      <c r="H1050" s="191" t="n">
        <v>46028</v>
      </c>
      <c r="I1050" s="189" t="s">
        <v>113</v>
      </c>
      <c r="J1050" s="189" t="s">
        <v>128</v>
      </c>
      <c r="K1050" s="189" t="s">
        <v>1589</v>
      </c>
      <c r="L1050" s="189" t="s">
        <v>110</v>
      </c>
      <c r="M1050" s="189" t="s">
        <v>686</v>
      </c>
      <c r="N1050" s="189" t="s">
        <v>508</v>
      </c>
      <c r="O1050" s="189" t="s">
        <v>172</v>
      </c>
      <c r="P1050" s="189" t="s">
        <v>131</v>
      </c>
      <c r="Q1050" s="189" t="s">
        <v>112</v>
      </c>
      <c r="R1050" s="189" t="s">
        <v>25</v>
      </c>
      <c r="S1050" s="189" t="s">
        <v>152</v>
      </c>
      <c r="T1050" s="189" t="s">
        <v>121</v>
      </c>
      <c r="U1050" s="189" t="s">
        <v>122</v>
      </c>
      <c r="V1050" s="189" t="s">
        <v>192</v>
      </c>
      <c r="W1050" s="189" t="s">
        <v>124</v>
      </c>
      <c r="X1050" s="189" t="s">
        <v>687</v>
      </c>
      <c r="Y1050" s="189" t="s">
        <v>3069</v>
      </c>
      <c r="Z1050" s="0" t="n">
        <v>1</v>
      </c>
      <c r="AA1050" s="189" t="s">
        <v>3222</v>
      </c>
    </row>
    <row r="1051" customFormat="false" ht="15" hidden="false" customHeight="false" outlineLevel="0" collapsed="false">
      <c r="A1051" s="0" t="n">
        <v>217</v>
      </c>
      <c r="B1051" s="191" t="n">
        <v>46047.2224143306</v>
      </c>
      <c r="C1051" s="191" t="n">
        <v>46047.2419282195</v>
      </c>
      <c r="D1051" s="189" t="s">
        <v>1586</v>
      </c>
      <c r="E1051" s="189" t="s">
        <v>1587</v>
      </c>
      <c r="F1051" s="189" t="s">
        <v>1587</v>
      </c>
      <c r="G1051" s="189" t="s">
        <v>1588</v>
      </c>
      <c r="H1051" s="191" t="n">
        <v>46028</v>
      </c>
      <c r="I1051" s="189" t="s">
        <v>113</v>
      </c>
      <c r="J1051" s="189" t="s">
        <v>128</v>
      </c>
      <c r="K1051" s="189" t="s">
        <v>1589</v>
      </c>
      <c r="L1051" s="189" t="s">
        <v>110</v>
      </c>
      <c r="M1051" s="189" t="s">
        <v>686</v>
      </c>
      <c r="N1051" s="189" t="s">
        <v>508</v>
      </c>
      <c r="O1051" s="189" t="s">
        <v>172</v>
      </c>
      <c r="P1051" s="189" t="s">
        <v>131</v>
      </c>
      <c r="Q1051" s="189" t="s">
        <v>112</v>
      </c>
      <c r="R1051" s="189" t="s">
        <v>25</v>
      </c>
      <c r="S1051" s="189" t="s">
        <v>152</v>
      </c>
      <c r="T1051" s="189" t="s">
        <v>121</v>
      </c>
      <c r="U1051" s="189" t="s">
        <v>122</v>
      </c>
      <c r="V1051" s="189" t="s">
        <v>192</v>
      </c>
      <c r="W1051" s="189" t="s">
        <v>124</v>
      </c>
      <c r="X1051" s="189" t="s">
        <v>687</v>
      </c>
      <c r="Y1051" s="189" t="s">
        <v>3069</v>
      </c>
      <c r="Z1051" s="0" t="n">
        <v>2</v>
      </c>
      <c r="AA1051" s="189" t="s">
        <v>3221</v>
      </c>
    </row>
    <row r="1052" customFormat="false" ht="15" hidden="false" customHeight="false" outlineLevel="0" collapsed="false">
      <c r="A1052" s="0" t="n">
        <v>218</v>
      </c>
      <c r="B1052" s="191" t="n">
        <v>46084.0048091282</v>
      </c>
      <c r="C1052" s="191" t="n">
        <v>46084.0121470912</v>
      </c>
      <c r="D1052" s="189" t="s">
        <v>1593</v>
      </c>
      <c r="E1052" s="189" t="s">
        <v>1594</v>
      </c>
      <c r="F1052" s="189" t="s">
        <v>1594</v>
      </c>
      <c r="G1052" s="189" t="s">
        <v>1595</v>
      </c>
      <c r="H1052" s="191" t="n">
        <v>46067</v>
      </c>
      <c r="I1052" s="189" t="s">
        <v>325</v>
      </c>
      <c r="J1052" s="189" t="s">
        <v>108</v>
      </c>
      <c r="K1052" s="189" t="s">
        <v>364</v>
      </c>
      <c r="L1052" s="189" t="s">
        <v>389</v>
      </c>
      <c r="M1052" s="189" t="s">
        <v>160</v>
      </c>
      <c r="N1052" s="189" t="s">
        <v>357</v>
      </c>
      <c r="O1052" s="189" t="s">
        <v>107</v>
      </c>
      <c r="P1052" s="189" t="s">
        <v>111</v>
      </c>
      <c r="Q1052" s="189" t="s">
        <v>247</v>
      </c>
      <c r="R1052" s="189" t="s">
        <v>24</v>
      </c>
      <c r="S1052" s="189" t="s">
        <v>227</v>
      </c>
      <c r="T1052" s="189" t="s">
        <v>352</v>
      </c>
      <c r="V1052" s="189" t="s">
        <v>192</v>
      </c>
      <c r="W1052" s="189" t="s">
        <v>124</v>
      </c>
      <c r="X1052" s="189" t="s">
        <v>19</v>
      </c>
      <c r="Y1052" s="189" t="s">
        <v>3172</v>
      </c>
      <c r="Z1052" s="0" t="n">
        <v>1</v>
      </c>
      <c r="AA1052" s="189" t="s">
        <v>880</v>
      </c>
    </row>
    <row r="1053" customFormat="false" ht="15" hidden="false" customHeight="false" outlineLevel="0" collapsed="false">
      <c r="A1053" s="0" t="n">
        <v>219</v>
      </c>
      <c r="B1053" s="191" t="n">
        <v>46087.6336254797</v>
      </c>
      <c r="C1053" s="191" t="n">
        <v>46087.6447365908</v>
      </c>
      <c r="D1053" s="189" t="s">
        <v>1596</v>
      </c>
      <c r="E1053" s="189" t="s">
        <v>1597</v>
      </c>
      <c r="F1053" s="189" t="s">
        <v>1597</v>
      </c>
      <c r="G1053" s="189" t="s">
        <v>1598</v>
      </c>
      <c r="H1053" s="191" t="n">
        <v>46085</v>
      </c>
      <c r="I1053" s="189" t="s">
        <v>113</v>
      </c>
      <c r="J1053" s="189" t="s">
        <v>295</v>
      </c>
      <c r="K1053" s="189" t="s">
        <v>818</v>
      </c>
      <c r="L1053" s="189" t="s">
        <v>130</v>
      </c>
      <c r="M1053" s="189" t="s">
        <v>199</v>
      </c>
      <c r="N1053" s="189" t="s">
        <v>1243</v>
      </c>
      <c r="O1053" s="189" t="s">
        <v>244</v>
      </c>
      <c r="P1053" s="189" t="s">
        <v>111</v>
      </c>
      <c r="Q1053" s="189" t="s">
        <v>112</v>
      </c>
      <c r="R1053" s="189" t="s">
        <v>21</v>
      </c>
      <c r="S1053" s="189" t="s">
        <v>152</v>
      </c>
      <c r="T1053" s="189" t="s">
        <v>264</v>
      </c>
      <c r="V1053" s="189" t="s">
        <v>123</v>
      </c>
      <c r="W1053" s="189" t="s">
        <v>168</v>
      </c>
      <c r="X1053" s="189" t="s">
        <v>348</v>
      </c>
      <c r="Y1053" s="189" t="s">
        <v>3064</v>
      </c>
      <c r="Z1053" s="0" t="n">
        <v>1</v>
      </c>
      <c r="AA1053" s="189" t="s">
        <v>3146</v>
      </c>
    </row>
    <row r="1054" customFormat="false" ht="15" hidden="false" customHeight="false" outlineLevel="0" collapsed="false">
      <c r="A1054" s="0" t="n">
        <v>219</v>
      </c>
      <c r="B1054" s="191" t="n">
        <v>46087.6336254797</v>
      </c>
      <c r="C1054" s="191" t="n">
        <v>46087.6447365908</v>
      </c>
      <c r="D1054" s="189" t="s">
        <v>1596</v>
      </c>
      <c r="E1054" s="189" t="s">
        <v>1597</v>
      </c>
      <c r="F1054" s="189" t="s">
        <v>1597</v>
      </c>
      <c r="G1054" s="189" t="s">
        <v>1598</v>
      </c>
      <c r="H1054" s="191" t="n">
        <v>46085</v>
      </c>
      <c r="I1054" s="189" t="s">
        <v>113</v>
      </c>
      <c r="J1054" s="189" t="s">
        <v>295</v>
      </c>
      <c r="K1054" s="189" t="s">
        <v>818</v>
      </c>
      <c r="L1054" s="189" t="s">
        <v>130</v>
      </c>
      <c r="M1054" s="189" t="s">
        <v>199</v>
      </c>
      <c r="N1054" s="189" t="s">
        <v>1243</v>
      </c>
      <c r="O1054" s="189" t="s">
        <v>244</v>
      </c>
      <c r="P1054" s="189" t="s">
        <v>111</v>
      </c>
      <c r="Q1054" s="189" t="s">
        <v>112</v>
      </c>
      <c r="R1054" s="189" t="s">
        <v>21</v>
      </c>
      <c r="S1054" s="189" t="s">
        <v>152</v>
      </c>
      <c r="T1054" s="189" t="s">
        <v>264</v>
      </c>
      <c r="V1054" s="189" t="s">
        <v>123</v>
      </c>
      <c r="W1054" s="189" t="s">
        <v>168</v>
      </c>
      <c r="X1054" s="189" t="s">
        <v>348</v>
      </c>
      <c r="Y1054" s="189" t="s">
        <v>3066</v>
      </c>
      <c r="Z1054" s="0" t="n">
        <v>1</v>
      </c>
      <c r="AA1054" s="189" t="s">
        <v>3147</v>
      </c>
    </row>
    <row r="1055" customFormat="false" ht="15" hidden="false" customHeight="false" outlineLevel="0" collapsed="false">
      <c r="A1055" s="0" t="n">
        <v>219</v>
      </c>
      <c r="B1055" s="191" t="n">
        <v>46087.6336254797</v>
      </c>
      <c r="C1055" s="191" t="n">
        <v>46087.6447365908</v>
      </c>
      <c r="D1055" s="189" t="s">
        <v>1596</v>
      </c>
      <c r="E1055" s="189" t="s">
        <v>1597</v>
      </c>
      <c r="F1055" s="189" t="s">
        <v>1597</v>
      </c>
      <c r="G1055" s="189" t="s">
        <v>1598</v>
      </c>
      <c r="H1055" s="191" t="n">
        <v>46085</v>
      </c>
      <c r="I1055" s="189" t="s">
        <v>113</v>
      </c>
      <c r="J1055" s="189" t="s">
        <v>295</v>
      </c>
      <c r="K1055" s="189" t="s">
        <v>818</v>
      </c>
      <c r="L1055" s="189" t="s">
        <v>130</v>
      </c>
      <c r="M1055" s="189" t="s">
        <v>199</v>
      </c>
      <c r="N1055" s="189" t="s">
        <v>1243</v>
      </c>
      <c r="O1055" s="189" t="s">
        <v>244</v>
      </c>
      <c r="P1055" s="189" t="s">
        <v>111</v>
      </c>
      <c r="Q1055" s="189" t="s">
        <v>112</v>
      </c>
      <c r="R1055" s="189" t="s">
        <v>21</v>
      </c>
      <c r="S1055" s="189" t="s">
        <v>152</v>
      </c>
      <c r="T1055" s="189" t="s">
        <v>264</v>
      </c>
      <c r="V1055" s="189" t="s">
        <v>123</v>
      </c>
      <c r="W1055" s="189" t="s">
        <v>168</v>
      </c>
      <c r="X1055" s="189" t="s">
        <v>348</v>
      </c>
      <c r="Y1055" s="189" t="s">
        <v>3069</v>
      </c>
      <c r="Z1055" s="0" t="n">
        <v>1</v>
      </c>
      <c r="AA1055" s="189" t="s">
        <v>3148</v>
      </c>
    </row>
    <row r="1056" customFormat="false" ht="15" hidden="false" customHeight="false" outlineLevel="0" collapsed="false">
      <c r="A1056" s="0" t="n">
        <v>219</v>
      </c>
      <c r="B1056" s="191" t="n">
        <v>46087.6336254797</v>
      </c>
      <c r="C1056" s="191" t="n">
        <v>46087.6447365908</v>
      </c>
      <c r="D1056" s="189" t="s">
        <v>1596</v>
      </c>
      <c r="E1056" s="189" t="s">
        <v>1597</v>
      </c>
      <c r="F1056" s="189" t="s">
        <v>1597</v>
      </c>
      <c r="G1056" s="189" t="s">
        <v>1598</v>
      </c>
      <c r="H1056" s="191" t="n">
        <v>46085</v>
      </c>
      <c r="I1056" s="189" t="s">
        <v>113</v>
      </c>
      <c r="J1056" s="189" t="s">
        <v>295</v>
      </c>
      <c r="K1056" s="189" t="s">
        <v>818</v>
      </c>
      <c r="L1056" s="189" t="s">
        <v>130</v>
      </c>
      <c r="M1056" s="189" t="s">
        <v>199</v>
      </c>
      <c r="N1056" s="189" t="s">
        <v>1243</v>
      </c>
      <c r="O1056" s="189" t="s">
        <v>244</v>
      </c>
      <c r="P1056" s="189" t="s">
        <v>111</v>
      </c>
      <c r="Q1056" s="189" t="s">
        <v>112</v>
      </c>
      <c r="R1056" s="189" t="s">
        <v>21</v>
      </c>
      <c r="S1056" s="189" t="s">
        <v>152</v>
      </c>
      <c r="T1056" s="189" t="s">
        <v>264</v>
      </c>
      <c r="V1056" s="189" t="s">
        <v>123</v>
      </c>
      <c r="W1056" s="189" t="s">
        <v>168</v>
      </c>
      <c r="X1056" s="189" t="s">
        <v>348</v>
      </c>
      <c r="Y1056" s="189" t="s">
        <v>3069</v>
      </c>
      <c r="Z1056" s="0" t="n">
        <v>2</v>
      </c>
      <c r="AA1056" s="189" t="s">
        <v>3166</v>
      </c>
    </row>
    <row r="1057" customFormat="false" ht="15" hidden="false" customHeight="false" outlineLevel="0" collapsed="false">
      <c r="A1057" s="0" t="n">
        <v>220</v>
      </c>
      <c r="B1057" s="191" t="n">
        <v>46116.2266921509</v>
      </c>
      <c r="C1057" s="191" t="n">
        <v>46116.2290764101</v>
      </c>
      <c r="D1057" s="189" t="s">
        <v>1600</v>
      </c>
      <c r="E1057" s="189" t="s">
        <v>1601</v>
      </c>
      <c r="F1057" s="189" t="s">
        <v>1601</v>
      </c>
      <c r="G1057" s="189" t="s">
        <v>1602</v>
      </c>
      <c r="H1057" s="191" t="n">
        <v>46116</v>
      </c>
      <c r="I1057" s="189" t="s">
        <v>113</v>
      </c>
      <c r="J1057" s="189" t="s">
        <v>128</v>
      </c>
      <c r="K1057" s="189" t="s">
        <v>232</v>
      </c>
      <c r="L1057" s="189" t="s">
        <v>110</v>
      </c>
      <c r="M1057" s="189" t="s">
        <v>234</v>
      </c>
      <c r="N1057" s="189" t="s">
        <v>827</v>
      </c>
      <c r="O1057" s="189" t="s">
        <v>107</v>
      </c>
      <c r="P1057" s="189" t="s">
        <v>211</v>
      </c>
      <c r="Q1057" s="189" t="s">
        <v>112</v>
      </c>
      <c r="R1057" s="189" t="s">
        <v>22</v>
      </c>
      <c r="S1057" s="189" t="s">
        <v>152</v>
      </c>
      <c r="T1057" s="189" t="s">
        <v>121</v>
      </c>
      <c r="U1057" s="189" t="s">
        <v>1605</v>
      </c>
      <c r="V1057" s="189" t="s">
        <v>167</v>
      </c>
      <c r="W1057" s="189" t="s">
        <v>124</v>
      </c>
      <c r="X1057" s="189" t="s">
        <v>298</v>
      </c>
      <c r="Y1057" s="189" t="s">
        <v>3064</v>
      </c>
      <c r="Z1057" s="0" t="n">
        <v>1</v>
      </c>
      <c r="AA1057" s="189" t="s">
        <v>3236</v>
      </c>
    </row>
    <row r="1058" customFormat="false" ht="15" hidden="false" customHeight="false" outlineLevel="0" collapsed="false">
      <c r="A1058" s="0" t="n">
        <v>220</v>
      </c>
      <c r="B1058" s="191" t="n">
        <v>46116.2266921509</v>
      </c>
      <c r="C1058" s="191" t="n">
        <v>46116.2290764101</v>
      </c>
      <c r="D1058" s="189" t="s">
        <v>1600</v>
      </c>
      <c r="E1058" s="189" t="s">
        <v>1601</v>
      </c>
      <c r="F1058" s="189" t="s">
        <v>1601</v>
      </c>
      <c r="G1058" s="189" t="s">
        <v>1602</v>
      </c>
      <c r="H1058" s="191" t="n">
        <v>46116</v>
      </c>
      <c r="I1058" s="189" t="s">
        <v>113</v>
      </c>
      <c r="J1058" s="189" t="s">
        <v>128</v>
      </c>
      <c r="K1058" s="189" t="s">
        <v>232</v>
      </c>
      <c r="L1058" s="189" t="s">
        <v>110</v>
      </c>
      <c r="M1058" s="189" t="s">
        <v>234</v>
      </c>
      <c r="N1058" s="189" t="s">
        <v>827</v>
      </c>
      <c r="O1058" s="189" t="s">
        <v>107</v>
      </c>
      <c r="P1058" s="189" t="s">
        <v>211</v>
      </c>
      <c r="Q1058" s="189" t="s">
        <v>112</v>
      </c>
      <c r="R1058" s="189" t="s">
        <v>22</v>
      </c>
      <c r="S1058" s="189" t="s">
        <v>152</v>
      </c>
      <c r="T1058" s="189" t="s">
        <v>121</v>
      </c>
      <c r="U1058" s="189" t="s">
        <v>1605</v>
      </c>
      <c r="V1058" s="189" t="s">
        <v>167</v>
      </c>
      <c r="W1058" s="189" t="s">
        <v>124</v>
      </c>
      <c r="X1058" s="189" t="s">
        <v>298</v>
      </c>
      <c r="Y1058" s="189" t="s">
        <v>3066</v>
      </c>
      <c r="Z1058" s="0" t="n">
        <v>1</v>
      </c>
      <c r="AA1058" s="189" t="s">
        <v>3254</v>
      </c>
    </row>
    <row r="1059" customFormat="false" ht="15" hidden="false" customHeight="false" outlineLevel="0" collapsed="false">
      <c r="A1059" s="0" t="n">
        <v>220</v>
      </c>
      <c r="B1059" s="191" t="n">
        <v>46116.2266921509</v>
      </c>
      <c r="C1059" s="191" t="n">
        <v>46116.2290764101</v>
      </c>
      <c r="D1059" s="189" t="s">
        <v>1600</v>
      </c>
      <c r="E1059" s="189" t="s">
        <v>1601</v>
      </c>
      <c r="F1059" s="189" t="s">
        <v>1601</v>
      </c>
      <c r="G1059" s="189" t="s">
        <v>1602</v>
      </c>
      <c r="H1059" s="191" t="n">
        <v>46116</v>
      </c>
      <c r="I1059" s="189" t="s">
        <v>113</v>
      </c>
      <c r="J1059" s="189" t="s">
        <v>128</v>
      </c>
      <c r="K1059" s="189" t="s">
        <v>232</v>
      </c>
      <c r="L1059" s="189" t="s">
        <v>110</v>
      </c>
      <c r="M1059" s="189" t="s">
        <v>234</v>
      </c>
      <c r="N1059" s="189" t="s">
        <v>827</v>
      </c>
      <c r="O1059" s="189" t="s">
        <v>107</v>
      </c>
      <c r="P1059" s="189" t="s">
        <v>211</v>
      </c>
      <c r="Q1059" s="189" t="s">
        <v>112</v>
      </c>
      <c r="R1059" s="189" t="s">
        <v>22</v>
      </c>
      <c r="S1059" s="189" t="s">
        <v>152</v>
      </c>
      <c r="T1059" s="189" t="s">
        <v>121</v>
      </c>
      <c r="U1059" s="189" t="s">
        <v>1605</v>
      </c>
      <c r="V1059" s="189" t="s">
        <v>167</v>
      </c>
      <c r="W1059" s="189" t="s">
        <v>124</v>
      </c>
      <c r="X1059" s="189" t="s">
        <v>298</v>
      </c>
      <c r="Y1059" s="189" t="s">
        <v>3069</v>
      </c>
      <c r="Z1059" s="0" t="n">
        <v>1</v>
      </c>
      <c r="AA1059" s="189" t="s">
        <v>3247</v>
      </c>
    </row>
    <row r="1060" customFormat="false" ht="15" hidden="false" customHeight="false" outlineLevel="0" collapsed="false">
      <c r="A1060" s="0" t="n">
        <v>220</v>
      </c>
      <c r="B1060" s="191" t="n">
        <v>46116.2266921509</v>
      </c>
      <c r="C1060" s="191" t="n">
        <v>46116.2290764101</v>
      </c>
      <c r="D1060" s="189" t="s">
        <v>1600</v>
      </c>
      <c r="E1060" s="189" t="s">
        <v>1601</v>
      </c>
      <c r="F1060" s="189" t="s">
        <v>1601</v>
      </c>
      <c r="G1060" s="189" t="s">
        <v>1602</v>
      </c>
      <c r="H1060" s="191" t="n">
        <v>46116</v>
      </c>
      <c r="I1060" s="189" t="s">
        <v>113</v>
      </c>
      <c r="J1060" s="189" t="s">
        <v>128</v>
      </c>
      <c r="K1060" s="189" t="s">
        <v>232</v>
      </c>
      <c r="L1060" s="189" t="s">
        <v>110</v>
      </c>
      <c r="M1060" s="189" t="s">
        <v>234</v>
      </c>
      <c r="N1060" s="189" t="s">
        <v>827</v>
      </c>
      <c r="O1060" s="189" t="s">
        <v>107</v>
      </c>
      <c r="P1060" s="189" t="s">
        <v>211</v>
      </c>
      <c r="Q1060" s="189" t="s">
        <v>112</v>
      </c>
      <c r="R1060" s="189" t="s">
        <v>22</v>
      </c>
      <c r="S1060" s="189" t="s">
        <v>152</v>
      </c>
      <c r="T1060" s="189" t="s">
        <v>121</v>
      </c>
      <c r="U1060" s="189" t="s">
        <v>1605</v>
      </c>
      <c r="V1060" s="189" t="s">
        <v>167</v>
      </c>
      <c r="W1060" s="189" t="s">
        <v>124</v>
      </c>
      <c r="X1060" s="189" t="s">
        <v>298</v>
      </c>
      <c r="Y1060" s="189" t="s">
        <v>3069</v>
      </c>
      <c r="Z1060" s="0" t="n">
        <v>2</v>
      </c>
      <c r="AA1060" s="189" t="s">
        <v>3238</v>
      </c>
    </row>
    <row r="1061" customFormat="false" ht="15" hidden="false" customHeight="false" outlineLevel="0" collapsed="false">
      <c r="A1061" s="0" t="n">
        <v>221</v>
      </c>
      <c r="B1061" s="191" t="n">
        <v>46184.8294457957</v>
      </c>
      <c r="C1061" s="191" t="n">
        <v>46184.8359967217</v>
      </c>
      <c r="D1061" s="189" t="s">
        <v>1606</v>
      </c>
      <c r="E1061" s="189" t="s">
        <v>1607</v>
      </c>
      <c r="F1061" s="189" t="s">
        <v>1608</v>
      </c>
      <c r="G1061" s="189" t="s">
        <v>1609</v>
      </c>
      <c r="H1061" s="191" t="n">
        <v>46178</v>
      </c>
      <c r="I1061" s="189" t="s">
        <v>336</v>
      </c>
      <c r="J1061" s="189" t="s">
        <v>108</v>
      </c>
      <c r="K1061" s="189" t="s">
        <v>1610</v>
      </c>
      <c r="L1061" s="189" t="s">
        <v>197</v>
      </c>
      <c r="M1061" s="189" t="s">
        <v>391</v>
      </c>
      <c r="N1061" s="189" t="s">
        <v>249</v>
      </c>
      <c r="O1061" s="189" t="s">
        <v>1506</v>
      </c>
      <c r="P1061" s="189" t="s">
        <v>111</v>
      </c>
      <c r="Q1061" s="189" t="s">
        <v>112</v>
      </c>
      <c r="R1061" s="189" t="s">
        <v>22</v>
      </c>
      <c r="S1061" s="189" t="s">
        <v>227</v>
      </c>
      <c r="T1061" s="189" t="s">
        <v>180</v>
      </c>
      <c r="U1061" s="189" t="s">
        <v>994</v>
      </c>
      <c r="V1061" s="189" t="s">
        <v>192</v>
      </c>
      <c r="W1061" s="189" t="s">
        <v>124</v>
      </c>
      <c r="X1061" s="189" t="s">
        <v>176</v>
      </c>
      <c r="Y1061" s="189" t="s">
        <v>3064</v>
      </c>
      <c r="Z1061" s="0" t="n">
        <v>1</v>
      </c>
      <c r="AA1061" s="189" t="s">
        <v>3299</v>
      </c>
    </row>
    <row r="1062" customFormat="false" ht="15" hidden="false" customHeight="false" outlineLevel="0" collapsed="false">
      <c r="A1062" s="0" t="n">
        <v>221</v>
      </c>
      <c r="B1062" s="191" t="n">
        <v>46184.8294457957</v>
      </c>
      <c r="C1062" s="191" t="n">
        <v>46184.8359967217</v>
      </c>
      <c r="D1062" s="189" t="s">
        <v>1606</v>
      </c>
      <c r="E1062" s="189" t="s">
        <v>1607</v>
      </c>
      <c r="F1062" s="189" t="s">
        <v>1608</v>
      </c>
      <c r="G1062" s="189" t="s">
        <v>1609</v>
      </c>
      <c r="H1062" s="191" t="n">
        <v>46178</v>
      </c>
      <c r="I1062" s="189" t="s">
        <v>336</v>
      </c>
      <c r="J1062" s="189" t="s">
        <v>108</v>
      </c>
      <c r="K1062" s="189" t="s">
        <v>1610</v>
      </c>
      <c r="L1062" s="189" t="s">
        <v>197</v>
      </c>
      <c r="M1062" s="189" t="s">
        <v>391</v>
      </c>
      <c r="N1062" s="189" t="s">
        <v>249</v>
      </c>
      <c r="O1062" s="189" t="s">
        <v>1506</v>
      </c>
      <c r="P1062" s="189" t="s">
        <v>111</v>
      </c>
      <c r="Q1062" s="189" t="s">
        <v>112</v>
      </c>
      <c r="R1062" s="189" t="s">
        <v>22</v>
      </c>
      <c r="S1062" s="189" t="s">
        <v>227</v>
      </c>
      <c r="T1062" s="189" t="s">
        <v>180</v>
      </c>
      <c r="U1062" s="189" t="s">
        <v>994</v>
      </c>
      <c r="V1062" s="189" t="s">
        <v>192</v>
      </c>
      <c r="W1062" s="189" t="s">
        <v>124</v>
      </c>
      <c r="X1062" s="189" t="s">
        <v>176</v>
      </c>
      <c r="Y1062" s="189" t="s">
        <v>3064</v>
      </c>
      <c r="Z1062" s="0" t="n">
        <v>2</v>
      </c>
      <c r="AA1062" s="189" t="s">
        <v>3300</v>
      </c>
    </row>
    <row r="1063" customFormat="false" ht="15" hidden="false" customHeight="false" outlineLevel="0" collapsed="false">
      <c r="A1063" s="0" t="n">
        <v>221</v>
      </c>
      <c r="B1063" s="191" t="n">
        <v>46184.8294457957</v>
      </c>
      <c r="C1063" s="191" t="n">
        <v>46184.8359967217</v>
      </c>
      <c r="D1063" s="189" t="s">
        <v>1606</v>
      </c>
      <c r="E1063" s="189" t="s">
        <v>1607</v>
      </c>
      <c r="F1063" s="189" t="s">
        <v>1608</v>
      </c>
      <c r="G1063" s="189" t="s">
        <v>1609</v>
      </c>
      <c r="H1063" s="191" t="n">
        <v>46178</v>
      </c>
      <c r="I1063" s="189" t="s">
        <v>336</v>
      </c>
      <c r="J1063" s="189" t="s">
        <v>108</v>
      </c>
      <c r="K1063" s="189" t="s">
        <v>1610</v>
      </c>
      <c r="L1063" s="189" t="s">
        <v>197</v>
      </c>
      <c r="M1063" s="189" t="s">
        <v>391</v>
      </c>
      <c r="N1063" s="189" t="s">
        <v>249</v>
      </c>
      <c r="O1063" s="189" t="s">
        <v>1506</v>
      </c>
      <c r="P1063" s="189" t="s">
        <v>111</v>
      </c>
      <c r="Q1063" s="189" t="s">
        <v>112</v>
      </c>
      <c r="R1063" s="189" t="s">
        <v>22</v>
      </c>
      <c r="S1063" s="189" t="s">
        <v>227</v>
      </c>
      <c r="T1063" s="189" t="s">
        <v>180</v>
      </c>
      <c r="U1063" s="189" t="s">
        <v>994</v>
      </c>
      <c r="V1063" s="189" t="s">
        <v>192</v>
      </c>
      <c r="W1063" s="189" t="s">
        <v>124</v>
      </c>
      <c r="X1063" s="189" t="s">
        <v>176</v>
      </c>
      <c r="Y1063" s="189" t="s">
        <v>3066</v>
      </c>
      <c r="Z1063" s="0" t="n">
        <v>1</v>
      </c>
      <c r="AA1063" s="189" t="s">
        <v>3301</v>
      </c>
    </row>
    <row r="1064" customFormat="false" ht="15" hidden="false" customHeight="false" outlineLevel="0" collapsed="false">
      <c r="A1064" s="0" t="n">
        <v>221</v>
      </c>
      <c r="B1064" s="191" t="n">
        <v>46184.8294457957</v>
      </c>
      <c r="C1064" s="191" t="n">
        <v>46184.8359967217</v>
      </c>
      <c r="D1064" s="189" t="s">
        <v>1606</v>
      </c>
      <c r="E1064" s="189" t="s">
        <v>1607</v>
      </c>
      <c r="F1064" s="189" t="s">
        <v>1608</v>
      </c>
      <c r="G1064" s="189" t="s">
        <v>1609</v>
      </c>
      <c r="H1064" s="191" t="n">
        <v>46178</v>
      </c>
      <c r="I1064" s="189" t="s">
        <v>336</v>
      </c>
      <c r="J1064" s="189" t="s">
        <v>108</v>
      </c>
      <c r="K1064" s="189" t="s">
        <v>1610</v>
      </c>
      <c r="L1064" s="189" t="s">
        <v>197</v>
      </c>
      <c r="M1064" s="189" t="s">
        <v>391</v>
      </c>
      <c r="N1064" s="189" t="s">
        <v>249</v>
      </c>
      <c r="O1064" s="189" t="s">
        <v>1506</v>
      </c>
      <c r="P1064" s="189" t="s">
        <v>111</v>
      </c>
      <c r="Q1064" s="189" t="s">
        <v>112</v>
      </c>
      <c r="R1064" s="189" t="s">
        <v>22</v>
      </c>
      <c r="S1064" s="189" t="s">
        <v>227</v>
      </c>
      <c r="T1064" s="189" t="s">
        <v>180</v>
      </c>
      <c r="U1064" s="189" t="s">
        <v>994</v>
      </c>
      <c r="V1064" s="189" t="s">
        <v>192</v>
      </c>
      <c r="W1064" s="189" t="s">
        <v>124</v>
      </c>
      <c r="X1064" s="189" t="s">
        <v>176</v>
      </c>
      <c r="Y1064" s="189" t="s">
        <v>3066</v>
      </c>
      <c r="Z1064" s="0" t="n">
        <v>2</v>
      </c>
      <c r="AA1064" s="189" t="s">
        <v>3240</v>
      </c>
    </row>
    <row r="1065" customFormat="false" ht="15" hidden="false" customHeight="false" outlineLevel="0" collapsed="false">
      <c r="A1065" s="0" t="n">
        <v>221</v>
      </c>
      <c r="B1065" s="191" t="n">
        <v>46184.8294457957</v>
      </c>
      <c r="C1065" s="191" t="n">
        <v>46184.8359967217</v>
      </c>
      <c r="D1065" s="189" t="s">
        <v>1606</v>
      </c>
      <c r="E1065" s="189" t="s">
        <v>1607</v>
      </c>
      <c r="F1065" s="189" t="s">
        <v>1608</v>
      </c>
      <c r="G1065" s="189" t="s">
        <v>1609</v>
      </c>
      <c r="H1065" s="191" t="n">
        <v>46178</v>
      </c>
      <c r="I1065" s="189" t="s">
        <v>336</v>
      </c>
      <c r="J1065" s="189" t="s">
        <v>108</v>
      </c>
      <c r="K1065" s="189" t="s">
        <v>1610</v>
      </c>
      <c r="L1065" s="189" t="s">
        <v>197</v>
      </c>
      <c r="M1065" s="189" t="s">
        <v>391</v>
      </c>
      <c r="N1065" s="189" t="s">
        <v>249</v>
      </c>
      <c r="O1065" s="189" t="s">
        <v>1506</v>
      </c>
      <c r="P1065" s="189" t="s">
        <v>111</v>
      </c>
      <c r="Q1065" s="189" t="s">
        <v>112</v>
      </c>
      <c r="R1065" s="189" t="s">
        <v>22</v>
      </c>
      <c r="S1065" s="189" t="s">
        <v>227</v>
      </c>
      <c r="T1065" s="189" t="s">
        <v>180</v>
      </c>
      <c r="U1065" s="189" t="s">
        <v>994</v>
      </c>
      <c r="V1065" s="189" t="s">
        <v>192</v>
      </c>
      <c r="W1065" s="189" t="s">
        <v>124</v>
      </c>
      <c r="X1065" s="189" t="s">
        <v>176</v>
      </c>
      <c r="Y1065" s="189" t="s">
        <v>3069</v>
      </c>
      <c r="Z1065" s="0" t="n">
        <v>1</v>
      </c>
      <c r="AA1065" s="189" t="s">
        <v>3088</v>
      </c>
    </row>
    <row r="1066" customFormat="false" ht="15" hidden="false" customHeight="false" outlineLevel="0" collapsed="false">
      <c r="A1066" s="0" t="n">
        <v>222</v>
      </c>
      <c r="B1066" s="191" t="n">
        <v>46207.8585952047</v>
      </c>
      <c r="C1066" s="191" t="n">
        <v>46207.8673104825</v>
      </c>
      <c r="D1066" s="189" t="s">
        <v>1613</v>
      </c>
      <c r="E1066" s="189" t="s">
        <v>1614</v>
      </c>
      <c r="F1066" s="189" t="s">
        <v>1614</v>
      </c>
      <c r="G1066" s="189" t="s">
        <v>1615</v>
      </c>
      <c r="H1066" s="191" t="n">
        <v>46196</v>
      </c>
      <c r="I1066" s="189" t="s">
        <v>113</v>
      </c>
      <c r="J1066" s="189" t="s">
        <v>295</v>
      </c>
      <c r="K1066" s="189" t="s">
        <v>143</v>
      </c>
      <c r="L1066" s="189" t="s">
        <v>296</v>
      </c>
      <c r="M1066" s="189" t="s">
        <v>774</v>
      </c>
      <c r="N1066" s="189" t="s">
        <v>508</v>
      </c>
      <c r="O1066" s="189" t="s">
        <v>713</v>
      </c>
      <c r="P1066" s="189" t="s">
        <v>111</v>
      </c>
      <c r="Q1066" s="189" t="s">
        <v>145</v>
      </c>
      <c r="R1066" s="189" t="s">
        <v>21</v>
      </c>
      <c r="S1066" s="189" t="s">
        <v>120</v>
      </c>
      <c r="T1066" s="189" t="s">
        <v>121</v>
      </c>
      <c r="U1066" s="189" t="s">
        <v>122</v>
      </c>
      <c r="V1066" s="189" t="s">
        <v>192</v>
      </c>
      <c r="W1066" s="189" t="s">
        <v>124</v>
      </c>
      <c r="X1066" s="189" t="s">
        <v>307</v>
      </c>
      <c r="Y1066" s="189" t="s">
        <v>3064</v>
      </c>
      <c r="Z1066" s="0" t="n">
        <v>1</v>
      </c>
      <c r="AA1066" s="189" t="s">
        <v>3129</v>
      </c>
    </row>
    <row r="1067" customFormat="false" ht="15" hidden="false" customHeight="false" outlineLevel="0" collapsed="false">
      <c r="A1067" s="0" t="n">
        <v>222</v>
      </c>
      <c r="B1067" s="191" t="n">
        <v>46207.8585952047</v>
      </c>
      <c r="C1067" s="191" t="n">
        <v>46207.8673104825</v>
      </c>
      <c r="D1067" s="189" t="s">
        <v>1613</v>
      </c>
      <c r="E1067" s="189" t="s">
        <v>1614</v>
      </c>
      <c r="F1067" s="189" t="s">
        <v>1614</v>
      </c>
      <c r="G1067" s="189" t="s">
        <v>1615</v>
      </c>
      <c r="H1067" s="191" t="n">
        <v>46196</v>
      </c>
      <c r="I1067" s="189" t="s">
        <v>113</v>
      </c>
      <c r="J1067" s="189" t="s">
        <v>295</v>
      </c>
      <c r="K1067" s="189" t="s">
        <v>143</v>
      </c>
      <c r="L1067" s="189" t="s">
        <v>296</v>
      </c>
      <c r="M1067" s="189" t="s">
        <v>774</v>
      </c>
      <c r="N1067" s="189" t="s">
        <v>508</v>
      </c>
      <c r="O1067" s="189" t="s">
        <v>713</v>
      </c>
      <c r="P1067" s="189" t="s">
        <v>111</v>
      </c>
      <c r="Q1067" s="189" t="s">
        <v>145</v>
      </c>
      <c r="R1067" s="189" t="s">
        <v>21</v>
      </c>
      <c r="S1067" s="189" t="s">
        <v>120</v>
      </c>
      <c r="T1067" s="189" t="s">
        <v>121</v>
      </c>
      <c r="U1067" s="189" t="s">
        <v>122</v>
      </c>
      <c r="V1067" s="189" t="s">
        <v>192</v>
      </c>
      <c r="W1067" s="189" t="s">
        <v>124</v>
      </c>
      <c r="X1067" s="189" t="s">
        <v>307</v>
      </c>
      <c r="Y1067" s="189" t="s">
        <v>3066</v>
      </c>
      <c r="Z1067" s="0" t="n">
        <v>1</v>
      </c>
      <c r="AA1067" s="189" t="s">
        <v>3182</v>
      </c>
    </row>
    <row r="1068" customFormat="false" ht="15" hidden="false" customHeight="false" outlineLevel="0" collapsed="false">
      <c r="A1068" s="0" t="n">
        <v>222</v>
      </c>
      <c r="B1068" s="191" t="n">
        <v>46207.8585952047</v>
      </c>
      <c r="C1068" s="191" t="n">
        <v>46207.8673104825</v>
      </c>
      <c r="D1068" s="189" t="s">
        <v>1613</v>
      </c>
      <c r="E1068" s="189" t="s">
        <v>1614</v>
      </c>
      <c r="F1068" s="189" t="s">
        <v>1614</v>
      </c>
      <c r="G1068" s="189" t="s">
        <v>1615</v>
      </c>
      <c r="H1068" s="191" t="n">
        <v>46196</v>
      </c>
      <c r="I1068" s="189" t="s">
        <v>113</v>
      </c>
      <c r="J1068" s="189" t="s">
        <v>295</v>
      </c>
      <c r="K1068" s="189" t="s">
        <v>143</v>
      </c>
      <c r="L1068" s="189" t="s">
        <v>296</v>
      </c>
      <c r="M1068" s="189" t="s">
        <v>774</v>
      </c>
      <c r="N1068" s="189" t="s">
        <v>508</v>
      </c>
      <c r="O1068" s="189" t="s">
        <v>713</v>
      </c>
      <c r="P1068" s="189" t="s">
        <v>111</v>
      </c>
      <c r="Q1068" s="189" t="s">
        <v>145</v>
      </c>
      <c r="R1068" s="189" t="s">
        <v>21</v>
      </c>
      <c r="S1068" s="189" t="s">
        <v>120</v>
      </c>
      <c r="T1068" s="189" t="s">
        <v>121</v>
      </c>
      <c r="U1068" s="189" t="s">
        <v>122</v>
      </c>
      <c r="V1068" s="189" t="s">
        <v>192</v>
      </c>
      <c r="W1068" s="189" t="s">
        <v>124</v>
      </c>
      <c r="X1068" s="189" t="s">
        <v>307</v>
      </c>
      <c r="Y1068" s="189" t="s">
        <v>3069</v>
      </c>
      <c r="Z1068" s="0" t="n">
        <v>1</v>
      </c>
      <c r="AA1068" s="189" t="s">
        <v>3134</v>
      </c>
    </row>
    <row r="1069" customFormat="false" ht="15" hidden="false" customHeight="false" outlineLevel="0" collapsed="false">
      <c r="A1069" s="0" t="n">
        <v>222</v>
      </c>
      <c r="B1069" s="191" t="n">
        <v>46207.8585952047</v>
      </c>
      <c r="C1069" s="191" t="n">
        <v>46207.8673104825</v>
      </c>
      <c r="D1069" s="189" t="s">
        <v>1613</v>
      </c>
      <c r="E1069" s="189" t="s">
        <v>1614</v>
      </c>
      <c r="F1069" s="189" t="s">
        <v>1614</v>
      </c>
      <c r="G1069" s="189" t="s">
        <v>1615</v>
      </c>
      <c r="H1069" s="191" t="n">
        <v>46196</v>
      </c>
      <c r="I1069" s="189" t="s">
        <v>113</v>
      </c>
      <c r="J1069" s="189" t="s">
        <v>295</v>
      </c>
      <c r="K1069" s="189" t="s">
        <v>143</v>
      </c>
      <c r="L1069" s="189" t="s">
        <v>296</v>
      </c>
      <c r="M1069" s="189" t="s">
        <v>774</v>
      </c>
      <c r="N1069" s="189" t="s">
        <v>508</v>
      </c>
      <c r="O1069" s="189" t="s">
        <v>713</v>
      </c>
      <c r="P1069" s="189" t="s">
        <v>111</v>
      </c>
      <c r="Q1069" s="189" t="s">
        <v>145</v>
      </c>
      <c r="R1069" s="189" t="s">
        <v>21</v>
      </c>
      <c r="S1069" s="189" t="s">
        <v>120</v>
      </c>
      <c r="T1069" s="189" t="s">
        <v>121</v>
      </c>
      <c r="U1069" s="189" t="s">
        <v>122</v>
      </c>
      <c r="V1069" s="189" t="s">
        <v>192</v>
      </c>
      <c r="W1069" s="189" t="s">
        <v>124</v>
      </c>
      <c r="X1069" s="189" t="s">
        <v>307</v>
      </c>
      <c r="Y1069" s="189" t="s">
        <v>3069</v>
      </c>
      <c r="Z1069" s="0" t="n">
        <v>2</v>
      </c>
      <c r="AA1069" s="189" t="s">
        <v>3133</v>
      </c>
    </row>
    <row r="1070" customFormat="false" ht="15" hidden="false" customHeight="false" outlineLevel="0" collapsed="false">
      <c r="A1070" s="0" t="n">
        <v>223</v>
      </c>
      <c r="B1070" s="191" t="n">
        <v>46185.6238939733</v>
      </c>
      <c r="C1070" s="191" t="n">
        <v>46185.6447157326</v>
      </c>
      <c r="D1070" s="189" t="s">
        <v>1619</v>
      </c>
      <c r="E1070" s="189" t="s">
        <v>1620</v>
      </c>
      <c r="F1070" s="189" t="s">
        <v>1620</v>
      </c>
      <c r="G1070" s="189" t="s">
        <v>1621</v>
      </c>
      <c r="H1070" s="191" t="n">
        <v>46177</v>
      </c>
      <c r="I1070" s="189" t="s">
        <v>113</v>
      </c>
      <c r="J1070" s="189" t="s">
        <v>108</v>
      </c>
      <c r="K1070" s="189" t="s">
        <v>257</v>
      </c>
      <c r="L1070" s="189" t="s">
        <v>296</v>
      </c>
      <c r="M1070" s="189" t="s">
        <v>1388</v>
      </c>
      <c r="N1070" s="189" t="s">
        <v>1622</v>
      </c>
      <c r="O1070" s="189" t="s">
        <v>172</v>
      </c>
      <c r="P1070" s="189" t="s">
        <v>111</v>
      </c>
      <c r="Q1070" s="189" t="s">
        <v>145</v>
      </c>
      <c r="R1070" s="189" t="s">
        <v>22</v>
      </c>
      <c r="S1070" s="189" t="s">
        <v>152</v>
      </c>
      <c r="T1070" s="189" t="s">
        <v>121</v>
      </c>
      <c r="U1070" s="189" t="s">
        <v>122</v>
      </c>
      <c r="V1070" s="189" t="s">
        <v>167</v>
      </c>
      <c r="W1070" s="189" t="s">
        <v>168</v>
      </c>
      <c r="X1070" s="189" t="s">
        <v>298</v>
      </c>
      <c r="Y1070" s="189" t="s">
        <v>3064</v>
      </c>
      <c r="Z1070" s="0" t="n">
        <v>1</v>
      </c>
      <c r="AA1070" s="189" t="s">
        <v>3195</v>
      </c>
    </row>
    <row r="1071" customFormat="false" ht="15" hidden="false" customHeight="false" outlineLevel="0" collapsed="false">
      <c r="A1071" s="0" t="n">
        <v>223</v>
      </c>
      <c r="B1071" s="191" t="n">
        <v>46185.6238939733</v>
      </c>
      <c r="C1071" s="191" t="n">
        <v>46185.6447157326</v>
      </c>
      <c r="D1071" s="189" t="s">
        <v>1619</v>
      </c>
      <c r="E1071" s="189" t="s">
        <v>1620</v>
      </c>
      <c r="F1071" s="189" t="s">
        <v>1620</v>
      </c>
      <c r="G1071" s="189" t="s">
        <v>1621</v>
      </c>
      <c r="H1071" s="191" t="n">
        <v>46177</v>
      </c>
      <c r="I1071" s="189" t="s">
        <v>113</v>
      </c>
      <c r="J1071" s="189" t="s">
        <v>108</v>
      </c>
      <c r="K1071" s="189" t="s">
        <v>257</v>
      </c>
      <c r="L1071" s="189" t="s">
        <v>296</v>
      </c>
      <c r="M1071" s="189" t="s">
        <v>1388</v>
      </c>
      <c r="N1071" s="189" t="s">
        <v>1622</v>
      </c>
      <c r="O1071" s="189" t="s">
        <v>172</v>
      </c>
      <c r="P1071" s="189" t="s">
        <v>111</v>
      </c>
      <c r="Q1071" s="189" t="s">
        <v>145</v>
      </c>
      <c r="R1071" s="189" t="s">
        <v>22</v>
      </c>
      <c r="S1071" s="189" t="s">
        <v>152</v>
      </c>
      <c r="T1071" s="189" t="s">
        <v>121</v>
      </c>
      <c r="U1071" s="189" t="s">
        <v>122</v>
      </c>
      <c r="V1071" s="189" t="s">
        <v>167</v>
      </c>
      <c r="W1071" s="189" t="s">
        <v>168</v>
      </c>
      <c r="X1071" s="189" t="s">
        <v>298</v>
      </c>
      <c r="Y1071" s="189" t="s">
        <v>3066</v>
      </c>
      <c r="Z1071" s="0" t="n">
        <v>1</v>
      </c>
      <c r="AA1071" s="189" t="s">
        <v>3126</v>
      </c>
    </row>
    <row r="1072" customFormat="false" ht="15" hidden="false" customHeight="false" outlineLevel="0" collapsed="false">
      <c r="A1072" s="0" t="n">
        <v>223</v>
      </c>
      <c r="B1072" s="191" t="n">
        <v>46185.6238939733</v>
      </c>
      <c r="C1072" s="191" t="n">
        <v>46185.6447157326</v>
      </c>
      <c r="D1072" s="189" t="s">
        <v>1619</v>
      </c>
      <c r="E1072" s="189" t="s">
        <v>1620</v>
      </c>
      <c r="F1072" s="189" t="s">
        <v>1620</v>
      </c>
      <c r="G1072" s="189" t="s">
        <v>1621</v>
      </c>
      <c r="H1072" s="191" t="n">
        <v>46177</v>
      </c>
      <c r="I1072" s="189" t="s">
        <v>113</v>
      </c>
      <c r="J1072" s="189" t="s">
        <v>108</v>
      </c>
      <c r="K1072" s="189" t="s">
        <v>257</v>
      </c>
      <c r="L1072" s="189" t="s">
        <v>296</v>
      </c>
      <c r="M1072" s="189" t="s">
        <v>1388</v>
      </c>
      <c r="N1072" s="189" t="s">
        <v>1622</v>
      </c>
      <c r="O1072" s="189" t="s">
        <v>172</v>
      </c>
      <c r="P1072" s="189" t="s">
        <v>111</v>
      </c>
      <c r="Q1072" s="189" t="s">
        <v>145</v>
      </c>
      <c r="R1072" s="189" t="s">
        <v>22</v>
      </c>
      <c r="S1072" s="189" t="s">
        <v>152</v>
      </c>
      <c r="T1072" s="189" t="s">
        <v>121</v>
      </c>
      <c r="U1072" s="189" t="s">
        <v>122</v>
      </c>
      <c r="V1072" s="189" t="s">
        <v>167</v>
      </c>
      <c r="W1072" s="189" t="s">
        <v>168</v>
      </c>
      <c r="X1072" s="189" t="s">
        <v>298</v>
      </c>
      <c r="Y1072" s="189" t="s">
        <v>3069</v>
      </c>
      <c r="Z1072" s="0" t="n">
        <v>1</v>
      </c>
      <c r="AA1072" s="189" t="s">
        <v>3295</v>
      </c>
    </row>
    <row r="1073" customFormat="false" ht="15" hidden="false" customHeight="false" outlineLevel="0" collapsed="false">
      <c r="A1073" s="0" t="n">
        <v>223</v>
      </c>
      <c r="B1073" s="191" t="n">
        <v>46185.6238939733</v>
      </c>
      <c r="C1073" s="191" t="n">
        <v>46185.6447157326</v>
      </c>
      <c r="D1073" s="189" t="s">
        <v>1619</v>
      </c>
      <c r="E1073" s="189" t="s">
        <v>1620</v>
      </c>
      <c r="F1073" s="189" t="s">
        <v>1620</v>
      </c>
      <c r="G1073" s="189" t="s">
        <v>1621</v>
      </c>
      <c r="H1073" s="191" t="n">
        <v>46177</v>
      </c>
      <c r="I1073" s="189" t="s">
        <v>113</v>
      </c>
      <c r="J1073" s="189" t="s">
        <v>108</v>
      </c>
      <c r="K1073" s="189" t="s">
        <v>257</v>
      </c>
      <c r="L1073" s="189" t="s">
        <v>296</v>
      </c>
      <c r="M1073" s="189" t="s">
        <v>1388</v>
      </c>
      <c r="N1073" s="189" t="s">
        <v>1622</v>
      </c>
      <c r="O1073" s="189" t="s">
        <v>172</v>
      </c>
      <c r="P1073" s="189" t="s">
        <v>111</v>
      </c>
      <c r="Q1073" s="189" t="s">
        <v>145</v>
      </c>
      <c r="R1073" s="189" t="s">
        <v>22</v>
      </c>
      <c r="S1073" s="189" t="s">
        <v>152</v>
      </c>
      <c r="T1073" s="189" t="s">
        <v>121</v>
      </c>
      <c r="U1073" s="189" t="s">
        <v>122</v>
      </c>
      <c r="V1073" s="189" t="s">
        <v>167</v>
      </c>
      <c r="W1073" s="189" t="s">
        <v>168</v>
      </c>
      <c r="X1073" s="189" t="s">
        <v>298</v>
      </c>
      <c r="Y1073" s="189" t="s">
        <v>3069</v>
      </c>
      <c r="Z1073" s="0" t="n">
        <v>2</v>
      </c>
      <c r="AA1073" s="189" t="s">
        <v>122</v>
      </c>
    </row>
    <row r="1074" customFormat="false" ht="15" hidden="false" customHeight="false" outlineLevel="0" collapsed="false">
      <c r="A1074" s="0" t="n">
        <v>224</v>
      </c>
      <c r="B1074" s="191" t="n">
        <v>46169.7112675458</v>
      </c>
      <c r="C1074" s="191" t="n">
        <v>46169.7202258791</v>
      </c>
      <c r="D1074" s="189" t="s">
        <v>1625</v>
      </c>
      <c r="E1074" s="189" t="s">
        <v>1626</v>
      </c>
      <c r="F1074" s="189" t="s">
        <v>1626</v>
      </c>
      <c r="G1074" s="189" t="s">
        <v>1627</v>
      </c>
      <c r="H1074" s="191" t="n">
        <v>46165</v>
      </c>
      <c r="I1074" s="189" t="s">
        <v>113</v>
      </c>
      <c r="J1074" s="189" t="s">
        <v>295</v>
      </c>
      <c r="K1074" s="189" t="s">
        <v>232</v>
      </c>
      <c r="L1074" s="189" t="s">
        <v>286</v>
      </c>
      <c r="M1074" s="189" t="s">
        <v>212</v>
      </c>
      <c r="N1074" s="189" t="s">
        <v>1628</v>
      </c>
      <c r="O1074" s="189" t="s">
        <v>107</v>
      </c>
      <c r="P1074" s="189" t="s">
        <v>111</v>
      </c>
      <c r="Q1074" s="189" t="s">
        <v>112</v>
      </c>
      <c r="R1074" s="189" t="s">
        <v>22</v>
      </c>
      <c r="S1074" s="189" t="s">
        <v>120</v>
      </c>
      <c r="T1074" s="189" t="s">
        <v>121</v>
      </c>
      <c r="V1074" s="189" t="s">
        <v>123</v>
      </c>
      <c r="W1074" s="189" t="s">
        <v>124</v>
      </c>
      <c r="X1074" s="189" t="s">
        <v>135</v>
      </c>
      <c r="Y1074" s="189" t="s">
        <v>3064</v>
      </c>
      <c r="Z1074" s="0" t="n">
        <v>1</v>
      </c>
      <c r="AA1074" s="189" t="s">
        <v>3202</v>
      </c>
    </row>
    <row r="1075" customFormat="false" ht="15" hidden="false" customHeight="false" outlineLevel="0" collapsed="false">
      <c r="A1075" s="0" t="n">
        <v>224</v>
      </c>
      <c r="B1075" s="191" t="n">
        <v>46169.7112675458</v>
      </c>
      <c r="C1075" s="191" t="n">
        <v>46169.7202258791</v>
      </c>
      <c r="D1075" s="189" t="s">
        <v>1625</v>
      </c>
      <c r="E1075" s="189" t="s">
        <v>1626</v>
      </c>
      <c r="F1075" s="189" t="s">
        <v>1626</v>
      </c>
      <c r="G1075" s="189" t="s">
        <v>1627</v>
      </c>
      <c r="H1075" s="191" t="n">
        <v>46165</v>
      </c>
      <c r="I1075" s="189" t="s">
        <v>113</v>
      </c>
      <c r="J1075" s="189" t="s">
        <v>295</v>
      </c>
      <c r="K1075" s="189" t="s">
        <v>232</v>
      </c>
      <c r="L1075" s="189" t="s">
        <v>286</v>
      </c>
      <c r="M1075" s="189" t="s">
        <v>212</v>
      </c>
      <c r="N1075" s="189" t="s">
        <v>1628</v>
      </c>
      <c r="O1075" s="189" t="s">
        <v>107</v>
      </c>
      <c r="P1075" s="189" t="s">
        <v>111</v>
      </c>
      <c r="Q1075" s="189" t="s">
        <v>112</v>
      </c>
      <c r="R1075" s="189" t="s">
        <v>22</v>
      </c>
      <c r="S1075" s="189" t="s">
        <v>120</v>
      </c>
      <c r="T1075" s="189" t="s">
        <v>121</v>
      </c>
      <c r="V1075" s="189" t="s">
        <v>123</v>
      </c>
      <c r="W1075" s="189" t="s">
        <v>124</v>
      </c>
      <c r="X1075" s="189" t="s">
        <v>135</v>
      </c>
      <c r="Y1075" s="189" t="s">
        <v>3064</v>
      </c>
      <c r="Z1075" s="0" t="n">
        <v>2</v>
      </c>
      <c r="AA1075" s="189" t="s">
        <v>3201</v>
      </c>
    </row>
    <row r="1076" customFormat="false" ht="15" hidden="false" customHeight="false" outlineLevel="0" collapsed="false">
      <c r="A1076" s="0" t="n">
        <v>224</v>
      </c>
      <c r="B1076" s="191" t="n">
        <v>46169.7112675458</v>
      </c>
      <c r="C1076" s="191" t="n">
        <v>46169.7202258791</v>
      </c>
      <c r="D1076" s="189" t="s">
        <v>1625</v>
      </c>
      <c r="E1076" s="189" t="s">
        <v>1626</v>
      </c>
      <c r="F1076" s="189" t="s">
        <v>1626</v>
      </c>
      <c r="G1076" s="189" t="s">
        <v>1627</v>
      </c>
      <c r="H1076" s="191" t="n">
        <v>46165</v>
      </c>
      <c r="I1076" s="189" t="s">
        <v>113</v>
      </c>
      <c r="J1076" s="189" t="s">
        <v>295</v>
      </c>
      <c r="K1076" s="189" t="s">
        <v>232</v>
      </c>
      <c r="L1076" s="189" t="s">
        <v>286</v>
      </c>
      <c r="M1076" s="189" t="s">
        <v>212</v>
      </c>
      <c r="N1076" s="189" t="s">
        <v>1628</v>
      </c>
      <c r="O1076" s="189" t="s">
        <v>107</v>
      </c>
      <c r="P1076" s="189" t="s">
        <v>111</v>
      </c>
      <c r="Q1076" s="189" t="s">
        <v>112</v>
      </c>
      <c r="R1076" s="189" t="s">
        <v>22</v>
      </c>
      <c r="S1076" s="189" t="s">
        <v>120</v>
      </c>
      <c r="T1076" s="189" t="s">
        <v>121</v>
      </c>
      <c r="V1076" s="189" t="s">
        <v>123</v>
      </c>
      <c r="W1076" s="189" t="s">
        <v>124</v>
      </c>
      <c r="X1076" s="189" t="s">
        <v>135</v>
      </c>
      <c r="Y1076" s="189" t="s">
        <v>3064</v>
      </c>
      <c r="Z1076" s="0" t="n">
        <v>3</v>
      </c>
      <c r="AA1076" s="189" t="s">
        <v>3071</v>
      </c>
    </row>
    <row r="1077" customFormat="false" ht="15" hidden="false" customHeight="false" outlineLevel="0" collapsed="false">
      <c r="A1077" s="0" t="n">
        <v>224</v>
      </c>
      <c r="B1077" s="191" t="n">
        <v>46169.7112675458</v>
      </c>
      <c r="C1077" s="191" t="n">
        <v>46169.7202258791</v>
      </c>
      <c r="D1077" s="189" t="s">
        <v>1625</v>
      </c>
      <c r="E1077" s="189" t="s">
        <v>1626</v>
      </c>
      <c r="F1077" s="189" t="s">
        <v>1626</v>
      </c>
      <c r="G1077" s="189" t="s">
        <v>1627</v>
      </c>
      <c r="H1077" s="191" t="n">
        <v>46165</v>
      </c>
      <c r="I1077" s="189" t="s">
        <v>113</v>
      </c>
      <c r="J1077" s="189" t="s">
        <v>295</v>
      </c>
      <c r="K1077" s="189" t="s">
        <v>232</v>
      </c>
      <c r="L1077" s="189" t="s">
        <v>286</v>
      </c>
      <c r="M1077" s="189" t="s">
        <v>212</v>
      </c>
      <c r="N1077" s="189" t="s">
        <v>1628</v>
      </c>
      <c r="O1077" s="189" t="s">
        <v>107</v>
      </c>
      <c r="P1077" s="189" t="s">
        <v>111</v>
      </c>
      <c r="Q1077" s="189" t="s">
        <v>112</v>
      </c>
      <c r="R1077" s="189" t="s">
        <v>22</v>
      </c>
      <c r="S1077" s="189" t="s">
        <v>120</v>
      </c>
      <c r="T1077" s="189" t="s">
        <v>121</v>
      </c>
      <c r="V1077" s="189" t="s">
        <v>123</v>
      </c>
      <c r="W1077" s="189" t="s">
        <v>124</v>
      </c>
      <c r="X1077" s="189" t="s">
        <v>135</v>
      </c>
      <c r="Y1077" s="189" t="s">
        <v>3066</v>
      </c>
      <c r="Z1077" s="0" t="n">
        <v>1</v>
      </c>
      <c r="AA1077" s="189" t="s">
        <v>3151</v>
      </c>
    </row>
    <row r="1078" customFormat="false" ht="15" hidden="false" customHeight="false" outlineLevel="0" collapsed="false">
      <c r="A1078" s="0" t="n">
        <v>224</v>
      </c>
      <c r="B1078" s="191" t="n">
        <v>46169.7112675458</v>
      </c>
      <c r="C1078" s="191" t="n">
        <v>46169.7202258791</v>
      </c>
      <c r="D1078" s="189" t="s">
        <v>1625</v>
      </c>
      <c r="E1078" s="189" t="s">
        <v>1626</v>
      </c>
      <c r="F1078" s="189" t="s">
        <v>1626</v>
      </c>
      <c r="G1078" s="189" t="s">
        <v>1627</v>
      </c>
      <c r="H1078" s="191" t="n">
        <v>46165</v>
      </c>
      <c r="I1078" s="189" t="s">
        <v>113</v>
      </c>
      <c r="J1078" s="189" t="s">
        <v>295</v>
      </c>
      <c r="K1078" s="189" t="s">
        <v>232</v>
      </c>
      <c r="L1078" s="189" t="s">
        <v>286</v>
      </c>
      <c r="M1078" s="189" t="s">
        <v>212</v>
      </c>
      <c r="N1078" s="189" t="s">
        <v>1628</v>
      </c>
      <c r="O1078" s="189" t="s">
        <v>107</v>
      </c>
      <c r="P1078" s="189" t="s">
        <v>111</v>
      </c>
      <c r="Q1078" s="189" t="s">
        <v>112</v>
      </c>
      <c r="R1078" s="189" t="s">
        <v>22</v>
      </c>
      <c r="S1078" s="189" t="s">
        <v>120</v>
      </c>
      <c r="T1078" s="189" t="s">
        <v>121</v>
      </c>
      <c r="V1078" s="189" t="s">
        <v>123</v>
      </c>
      <c r="W1078" s="189" t="s">
        <v>124</v>
      </c>
      <c r="X1078" s="189" t="s">
        <v>135</v>
      </c>
      <c r="Y1078" s="189" t="s">
        <v>3069</v>
      </c>
      <c r="Z1078" s="0" t="n">
        <v>1</v>
      </c>
      <c r="AA1078" s="189" t="s">
        <v>3075</v>
      </c>
    </row>
    <row r="1079" customFormat="false" ht="15" hidden="false" customHeight="false" outlineLevel="0" collapsed="false">
      <c r="A1079" s="0" t="n">
        <v>225</v>
      </c>
      <c r="B1079" s="191" t="n">
        <v>46140.8504957905</v>
      </c>
      <c r="C1079" s="191" t="n">
        <v>46140.8689101424</v>
      </c>
      <c r="D1079" s="189" t="s">
        <v>1630</v>
      </c>
      <c r="E1079" s="189" t="s">
        <v>1631</v>
      </c>
      <c r="F1079" s="189" t="s">
        <v>1631</v>
      </c>
      <c r="G1079" s="189" t="s">
        <v>1632</v>
      </c>
      <c r="H1079" s="191" t="n">
        <v>46126</v>
      </c>
      <c r="I1079" s="189" t="s">
        <v>325</v>
      </c>
      <c r="J1079" s="189" t="s">
        <v>108</v>
      </c>
      <c r="K1079" s="189" t="s">
        <v>1633</v>
      </c>
      <c r="L1079" s="189" t="s">
        <v>286</v>
      </c>
      <c r="M1079" s="189" t="s">
        <v>652</v>
      </c>
      <c r="N1079" s="189" t="s">
        <v>1539</v>
      </c>
      <c r="O1079" s="189" t="s">
        <v>278</v>
      </c>
      <c r="P1079" s="189" t="s">
        <v>111</v>
      </c>
      <c r="Q1079" s="189" t="s">
        <v>145</v>
      </c>
      <c r="R1079" s="189" t="s">
        <v>22</v>
      </c>
      <c r="S1079" s="189" t="s">
        <v>152</v>
      </c>
      <c r="T1079" s="189" t="s">
        <v>352</v>
      </c>
      <c r="U1079" s="189" t="s">
        <v>122</v>
      </c>
      <c r="V1079" s="189" t="s">
        <v>123</v>
      </c>
      <c r="W1079" s="189" t="s">
        <v>124</v>
      </c>
      <c r="X1079" s="189" t="s">
        <v>298</v>
      </c>
      <c r="Y1079" s="189" t="s">
        <v>3064</v>
      </c>
      <c r="Z1079" s="0" t="n">
        <v>1</v>
      </c>
      <c r="AA1079" s="189" t="s">
        <v>3208</v>
      </c>
    </row>
    <row r="1080" customFormat="false" ht="15" hidden="false" customHeight="false" outlineLevel="0" collapsed="false">
      <c r="A1080" s="0" t="n">
        <v>225</v>
      </c>
      <c r="B1080" s="191" t="n">
        <v>46140.8504957905</v>
      </c>
      <c r="C1080" s="191" t="n">
        <v>46140.8689101424</v>
      </c>
      <c r="D1080" s="189" t="s">
        <v>1630</v>
      </c>
      <c r="E1080" s="189" t="s">
        <v>1631</v>
      </c>
      <c r="F1080" s="189" t="s">
        <v>1631</v>
      </c>
      <c r="G1080" s="189" t="s">
        <v>1632</v>
      </c>
      <c r="H1080" s="191" t="n">
        <v>46126</v>
      </c>
      <c r="I1080" s="189" t="s">
        <v>325</v>
      </c>
      <c r="J1080" s="189" t="s">
        <v>108</v>
      </c>
      <c r="K1080" s="189" t="s">
        <v>1633</v>
      </c>
      <c r="L1080" s="189" t="s">
        <v>286</v>
      </c>
      <c r="M1080" s="189" t="s">
        <v>652</v>
      </c>
      <c r="N1080" s="189" t="s">
        <v>1539</v>
      </c>
      <c r="O1080" s="189" t="s">
        <v>278</v>
      </c>
      <c r="P1080" s="189" t="s">
        <v>111</v>
      </c>
      <c r="Q1080" s="189" t="s">
        <v>145</v>
      </c>
      <c r="R1080" s="189" t="s">
        <v>22</v>
      </c>
      <c r="S1080" s="189" t="s">
        <v>152</v>
      </c>
      <c r="T1080" s="189" t="s">
        <v>352</v>
      </c>
      <c r="U1080" s="189" t="s">
        <v>122</v>
      </c>
      <c r="V1080" s="189" t="s">
        <v>123</v>
      </c>
      <c r="W1080" s="189" t="s">
        <v>124</v>
      </c>
      <c r="X1080" s="189" t="s">
        <v>298</v>
      </c>
      <c r="Y1080" s="189" t="s">
        <v>3064</v>
      </c>
      <c r="Z1080" s="0" t="n">
        <v>2</v>
      </c>
      <c r="AA1080" s="189" t="s">
        <v>3124</v>
      </c>
    </row>
    <row r="1081" customFormat="false" ht="15" hidden="false" customHeight="false" outlineLevel="0" collapsed="false">
      <c r="A1081" s="0" t="n">
        <v>225</v>
      </c>
      <c r="B1081" s="191" t="n">
        <v>46140.8504957905</v>
      </c>
      <c r="C1081" s="191" t="n">
        <v>46140.8689101424</v>
      </c>
      <c r="D1081" s="189" t="s">
        <v>1630</v>
      </c>
      <c r="E1081" s="189" t="s">
        <v>1631</v>
      </c>
      <c r="F1081" s="189" t="s">
        <v>1631</v>
      </c>
      <c r="G1081" s="189" t="s">
        <v>1632</v>
      </c>
      <c r="H1081" s="191" t="n">
        <v>46126</v>
      </c>
      <c r="I1081" s="189" t="s">
        <v>325</v>
      </c>
      <c r="J1081" s="189" t="s">
        <v>108</v>
      </c>
      <c r="K1081" s="189" t="s">
        <v>1633</v>
      </c>
      <c r="L1081" s="189" t="s">
        <v>286</v>
      </c>
      <c r="M1081" s="189" t="s">
        <v>652</v>
      </c>
      <c r="N1081" s="189" t="s">
        <v>1539</v>
      </c>
      <c r="O1081" s="189" t="s">
        <v>278</v>
      </c>
      <c r="P1081" s="189" t="s">
        <v>111</v>
      </c>
      <c r="Q1081" s="189" t="s">
        <v>145</v>
      </c>
      <c r="R1081" s="189" t="s">
        <v>22</v>
      </c>
      <c r="S1081" s="189" t="s">
        <v>152</v>
      </c>
      <c r="T1081" s="189" t="s">
        <v>352</v>
      </c>
      <c r="U1081" s="189" t="s">
        <v>122</v>
      </c>
      <c r="V1081" s="189" t="s">
        <v>123</v>
      </c>
      <c r="W1081" s="189" t="s">
        <v>124</v>
      </c>
      <c r="X1081" s="189" t="s">
        <v>298</v>
      </c>
      <c r="Y1081" s="189" t="s">
        <v>3066</v>
      </c>
      <c r="Z1081" s="0" t="n">
        <v>1</v>
      </c>
      <c r="AA1081" s="189" t="s">
        <v>3209</v>
      </c>
    </row>
    <row r="1082" customFormat="false" ht="15" hidden="false" customHeight="false" outlineLevel="0" collapsed="false">
      <c r="A1082" s="0" t="n">
        <v>225</v>
      </c>
      <c r="B1082" s="191" t="n">
        <v>46140.8504957905</v>
      </c>
      <c r="C1082" s="191" t="n">
        <v>46140.8689101424</v>
      </c>
      <c r="D1082" s="189" t="s">
        <v>1630</v>
      </c>
      <c r="E1082" s="189" t="s">
        <v>1631</v>
      </c>
      <c r="F1082" s="189" t="s">
        <v>1631</v>
      </c>
      <c r="G1082" s="189" t="s">
        <v>1632</v>
      </c>
      <c r="H1082" s="191" t="n">
        <v>46126</v>
      </c>
      <c r="I1082" s="189" t="s">
        <v>325</v>
      </c>
      <c r="J1082" s="189" t="s">
        <v>108</v>
      </c>
      <c r="K1082" s="189" t="s">
        <v>1633</v>
      </c>
      <c r="L1082" s="189" t="s">
        <v>286</v>
      </c>
      <c r="M1082" s="189" t="s">
        <v>652</v>
      </c>
      <c r="N1082" s="189" t="s">
        <v>1539</v>
      </c>
      <c r="O1082" s="189" t="s">
        <v>278</v>
      </c>
      <c r="P1082" s="189" t="s">
        <v>111</v>
      </c>
      <c r="Q1082" s="189" t="s">
        <v>145</v>
      </c>
      <c r="R1082" s="189" t="s">
        <v>22</v>
      </c>
      <c r="S1082" s="189" t="s">
        <v>152</v>
      </c>
      <c r="T1082" s="189" t="s">
        <v>352</v>
      </c>
      <c r="U1082" s="189" t="s">
        <v>122</v>
      </c>
      <c r="V1082" s="189" t="s">
        <v>123</v>
      </c>
      <c r="W1082" s="189" t="s">
        <v>124</v>
      </c>
      <c r="X1082" s="189" t="s">
        <v>298</v>
      </c>
      <c r="Y1082" s="189" t="s">
        <v>3066</v>
      </c>
      <c r="Z1082" s="0" t="n">
        <v>2</v>
      </c>
      <c r="AA1082" s="189" t="s">
        <v>3126</v>
      </c>
    </row>
    <row r="1083" customFormat="false" ht="15" hidden="false" customHeight="false" outlineLevel="0" collapsed="false">
      <c r="A1083" s="0" t="n">
        <v>225</v>
      </c>
      <c r="B1083" s="191" t="n">
        <v>46140.8504957905</v>
      </c>
      <c r="C1083" s="191" t="n">
        <v>46140.8689101424</v>
      </c>
      <c r="D1083" s="189" t="s">
        <v>1630</v>
      </c>
      <c r="E1083" s="189" t="s">
        <v>1631</v>
      </c>
      <c r="F1083" s="189" t="s">
        <v>1631</v>
      </c>
      <c r="G1083" s="189" t="s">
        <v>1632</v>
      </c>
      <c r="H1083" s="191" t="n">
        <v>46126</v>
      </c>
      <c r="I1083" s="189" t="s">
        <v>325</v>
      </c>
      <c r="J1083" s="189" t="s">
        <v>108</v>
      </c>
      <c r="K1083" s="189" t="s">
        <v>1633</v>
      </c>
      <c r="L1083" s="189" t="s">
        <v>286</v>
      </c>
      <c r="M1083" s="189" t="s">
        <v>652</v>
      </c>
      <c r="N1083" s="189" t="s">
        <v>1539</v>
      </c>
      <c r="O1083" s="189" t="s">
        <v>278</v>
      </c>
      <c r="P1083" s="189" t="s">
        <v>111</v>
      </c>
      <c r="Q1083" s="189" t="s">
        <v>145</v>
      </c>
      <c r="R1083" s="189" t="s">
        <v>22</v>
      </c>
      <c r="S1083" s="189" t="s">
        <v>152</v>
      </c>
      <c r="T1083" s="189" t="s">
        <v>352</v>
      </c>
      <c r="U1083" s="189" t="s">
        <v>122</v>
      </c>
      <c r="V1083" s="189" t="s">
        <v>123</v>
      </c>
      <c r="W1083" s="189" t="s">
        <v>124</v>
      </c>
      <c r="X1083" s="189" t="s">
        <v>298</v>
      </c>
      <c r="Y1083" s="189" t="s">
        <v>3069</v>
      </c>
      <c r="Z1083" s="0" t="n">
        <v>1</v>
      </c>
      <c r="AA1083" s="189" t="s">
        <v>3210</v>
      </c>
    </row>
    <row r="1084" customFormat="false" ht="15" hidden="false" customHeight="false" outlineLevel="0" collapsed="false">
      <c r="A1084" s="0" t="n">
        <v>226</v>
      </c>
      <c r="B1084" s="191" t="n">
        <v>46192.2530679005</v>
      </c>
      <c r="C1084" s="191" t="n">
        <v>46192.2564822523</v>
      </c>
      <c r="D1084" s="189" t="s">
        <v>1637</v>
      </c>
      <c r="E1084" s="189" t="s">
        <v>1638</v>
      </c>
      <c r="F1084" s="189" t="s">
        <v>1638</v>
      </c>
      <c r="G1084" s="189" t="s">
        <v>1639</v>
      </c>
      <c r="H1084" s="191" t="n">
        <v>46182</v>
      </c>
      <c r="I1084" s="189" t="s">
        <v>113</v>
      </c>
      <c r="J1084" s="189" t="s">
        <v>108</v>
      </c>
      <c r="K1084" s="189" t="s">
        <v>1640</v>
      </c>
      <c r="L1084" s="189" t="s">
        <v>210</v>
      </c>
      <c r="M1084" s="189" t="s">
        <v>1112</v>
      </c>
      <c r="N1084" s="189" t="s">
        <v>347</v>
      </c>
      <c r="O1084" s="189" t="s">
        <v>1506</v>
      </c>
      <c r="P1084" s="189" t="s">
        <v>111</v>
      </c>
      <c r="Q1084" s="189" t="s">
        <v>145</v>
      </c>
      <c r="R1084" s="189" t="s">
        <v>21</v>
      </c>
      <c r="S1084" s="189" t="s">
        <v>152</v>
      </c>
      <c r="T1084" s="189" t="s">
        <v>121</v>
      </c>
      <c r="U1084" s="189" t="s">
        <v>1641</v>
      </c>
      <c r="V1084" s="189" t="s">
        <v>123</v>
      </c>
      <c r="W1084" s="189" t="s">
        <v>139</v>
      </c>
      <c r="X1084" s="189" t="s">
        <v>250</v>
      </c>
      <c r="Y1084" s="189" t="s">
        <v>3064</v>
      </c>
      <c r="Z1084" s="0" t="n">
        <v>1</v>
      </c>
      <c r="AA1084" s="189" t="s">
        <v>3095</v>
      </c>
    </row>
    <row r="1085" customFormat="false" ht="15" hidden="false" customHeight="false" outlineLevel="0" collapsed="false">
      <c r="A1085" s="0" t="n">
        <v>226</v>
      </c>
      <c r="B1085" s="191" t="n">
        <v>46192.2530679005</v>
      </c>
      <c r="C1085" s="191" t="n">
        <v>46192.2564822523</v>
      </c>
      <c r="D1085" s="189" t="s">
        <v>1637</v>
      </c>
      <c r="E1085" s="189" t="s">
        <v>1638</v>
      </c>
      <c r="F1085" s="189" t="s">
        <v>1638</v>
      </c>
      <c r="G1085" s="189" t="s">
        <v>1639</v>
      </c>
      <c r="H1085" s="191" t="n">
        <v>46182</v>
      </c>
      <c r="I1085" s="189" t="s">
        <v>113</v>
      </c>
      <c r="J1085" s="189" t="s">
        <v>108</v>
      </c>
      <c r="K1085" s="189" t="s">
        <v>1640</v>
      </c>
      <c r="L1085" s="189" t="s">
        <v>210</v>
      </c>
      <c r="M1085" s="189" t="s">
        <v>1112</v>
      </c>
      <c r="N1085" s="189" t="s">
        <v>347</v>
      </c>
      <c r="O1085" s="189" t="s">
        <v>1506</v>
      </c>
      <c r="P1085" s="189" t="s">
        <v>111</v>
      </c>
      <c r="Q1085" s="189" t="s">
        <v>145</v>
      </c>
      <c r="R1085" s="189" t="s">
        <v>21</v>
      </c>
      <c r="S1085" s="189" t="s">
        <v>152</v>
      </c>
      <c r="T1085" s="189" t="s">
        <v>121</v>
      </c>
      <c r="U1085" s="189" t="s">
        <v>1641</v>
      </c>
      <c r="V1085" s="189" t="s">
        <v>123</v>
      </c>
      <c r="W1085" s="189" t="s">
        <v>139</v>
      </c>
      <c r="X1085" s="189" t="s">
        <v>250</v>
      </c>
      <c r="Y1085" s="189" t="s">
        <v>3066</v>
      </c>
      <c r="Z1085" s="0" t="n">
        <v>1</v>
      </c>
      <c r="AA1085" s="189" t="s">
        <v>3211</v>
      </c>
    </row>
    <row r="1086" customFormat="false" ht="15" hidden="false" customHeight="false" outlineLevel="0" collapsed="false">
      <c r="A1086" s="0" t="n">
        <v>226</v>
      </c>
      <c r="B1086" s="191" t="n">
        <v>46192.2530679005</v>
      </c>
      <c r="C1086" s="191" t="n">
        <v>46192.2564822523</v>
      </c>
      <c r="D1086" s="189" t="s">
        <v>1637</v>
      </c>
      <c r="E1086" s="189" t="s">
        <v>1638</v>
      </c>
      <c r="F1086" s="189" t="s">
        <v>1638</v>
      </c>
      <c r="G1086" s="189" t="s">
        <v>1639</v>
      </c>
      <c r="H1086" s="191" t="n">
        <v>46182</v>
      </c>
      <c r="I1086" s="189" t="s">
        <v>113</v>
      </c>
      <c r="J1086" s="189" t="s">
        <v>108</v>
      </c>
      <c r="K1086" s="189" t="s">
        <v>1640</v>
      </c>
      <c r="L1086" s="189" t="s">
        <v>210</v>
      </c>
      <c r="M1086" s="189" t="s">
        <v>1112</v>
      </c>
      <c r="N1086" s="189" t="s">
        <v>347</v>
      </c>
      <c r="O1086" s="189" t="s">
        <v>1506</v>
      </c>
      <c r="P1086" s="189" t="s">
        <v>111</v>
      </c>
      <c r="Q1086" s="189" t="s">
        <v>145</v>
      </c>
      <c r="R1086" s="189" t="s">
        <v>21</v>
      </c>
      <c r="S1086" s="189" t="s">
        <v>152</v>
      </c>
      <c r="T1086" s="189" t="s">
        <v>121</v>
      </c>
      <c r="U1086" s="189" t="s">
        <v>1641</v>
      </c>
      <c r="V1086" s="189" t="s">
        <v>123</v>
      </c>
      <c r="W1086" s="189" t="s">
        <v>139</v>
      </c>
      <c r="X1086" s="189" t="s">
        <v>250</v>
      </c>
      <c r="Y1086" s="189" t="s">
        <v>3066</v>
      </c>
      <c r="Z1086" s="0" t="n">
        <v>2</v>
      </c>
      <c r="AA1086" s="189" t="s">
        <v>122</v>
      </c>
    </row>
    <row r="1087" customFormat="false" ht="15" hidden="false" customHeight="false" outlineLevel="0" collapsed="false">
      <c r="A1087" s="0" t="n">
        <v>226</v>
      </c>
      <c r="B1087" s="191" t="n">
        <v>46192.2530679005</v>
      </c>
      <c r="C1087" s="191" t="n">
        <v>46192.2564822523</v>
      </c>
      <c r="D1087" s="189" t="s">
        <v>1637</v>
      </c>
      <c r="E1087" s="189" t="s">
        <v>1638</v>
      </c>
      <c r="F1087" s="189" t="s">
        <v>1638</v>
      </c>
      <c r="G1087" s="189" t="s">
        <v>1639</v>
      </c>
      <c r="H1087" s="191" t="n">
        <v>46182</v>
      </c>
      <c r="I1087" s="189" t="s">
        <v>113</v>
      </c>
      <c r="J1087" s="189" t="s">
        <v>108</v>
      </c>
      <c r="K1087" s="189" t="s">
        <v>1640</v>
      </c>
      <c r="L1087" s="189" t="s">
        <v>210</v>
      </c>
      <c r="M1087" s="189" t="s">
        <v>1112</v>
      </c>
      <c r="N1087" s="189" t="s">
        <v>347</v>
      </c>
      <c r="O1087" s="189" t="s">
        <v>1506</v>
      </c>
      <c r="P1087" s="189" t="s">
        <v>111</v>
      </c>
      <c r="Q1087" s="189" t="s">
        <v>145</v>
      </c>
      <c r="R1087" s="189" t="s">
        <v>21</v>
      </c>
      <c r="S1087" s="189" t="s">
        <v>152</v>
      </c>
      <c r="T1087" s="189" t="s">
        <v>121</v>
      </c>
      <c r="U1087" s="189" t="s">
        <v>1641</v>
      </c>
      <c r="V1087" s="189" t="s">
        <v>123</v>
      </c>
      <c r="W1087" s="189" t="s">
        <v>139</v>
      </c>
      <c r="X1087" s="189" t="s">
        <v>250</v>
      </c>
      <c r="Y1087" s="189" t="s">
        <v>3069</v>
      </c>
      <c r="Z1087" s="0" t="n">
        <v>1</v>
      </c>
      <c r="AA1087" s="189" t="s">
        <v>3108</v>
      </c>
    </row>
    <row r="1088" customFormat="false" ht="15" hidden="false" customHeight="false" outlineLevel="0" collapsed="false">
      <c r="A1088" s="0" t="n">
        <v>228</v>
      </c>
      <c r="B1088" s="191" t="n">
        <v>46074.7380623984</v>
      </c>
      <c r="C1088" s="191" t="n">
        <v>46074.7430276762</v>
      </c>
      <c r="D1088" s="189" t="s">
        <v>1646</v>
      </c>
      <c r="E1088" s="189" t="s">
        <v>1647</v>
      </c>
      <c r="F1088" s="189" t="s">
        <v>1647</v>
      </c>
      <c r="G1088" s="189" t="s">
        <v>1648</v>
      </c>
      <c r="H1088" s="191" t="n">
        <v>46054</v>
      </c>
      <c r="I1088" s="189" t="s">
        <v>113</v>
      </c>
      <c r="J1088" s="189" t="s">
        <v>108</v>
      </c>
      <c r="K1088" s="189" t="s">
        <v>500</v>
      </c>
      <c r="L1088" s="189" t="s">
        <v>184</v>
      </c>
      <c r="M1088" s="189" t="s">
        <v>160</v>
      </c>
      <c r="N1088" s="189" t="s">
        <v>270</v>
      </c>
      <c r="O1088" s="189" t="s">
        <v>278</v>
      </c>
      <c r="P1088" s="189" t="s">
        <v>111</v>
      </c>
      <c r="Q1088" s="189" t="s">
        <v>112</v>
      </c>
      <c r="R1088" s="189" t="s">
        <v>21</v>
      </c>
      <c r="S1088" s="189" t="s">
        <v>120</v>
      </c>
      <c r="T1088" s="189" t="s">
        <v>264</v>
      </c>
      <c r="V1088" s="189" t="s">
        <v>167</v>
      </c>
      <c r="W1088" s="189" t="s">
        <v>124</v>
      </c>
      <c r="X1088" s="189" t="s">
        <v>374</v>
      </c>
      <c r="Y1088" s="189" t="s">
        <v>3064</v>
      </c>
      <c r="Z1088" s="0" t="n">
        <v>1</v>
      </c>
      <c r="AA1088" s="189" t="s">
        <v>3154</v>
      </c>
    </row>
    <row r="1089" customFormat="false" ht="15" hidden="false" customHeight="false" outlineLevel="0" collapsed="false">
      <c r="A1089" s="0" t="n">
        <v>228</v>
      </c>
      <c r="B1089" s="191" t="n">
        <v>46074.7380623984</v>
      </c>
      <c r="C1089" s="191" t="n">
        <v>46074.7430276762</v>
      </c>
      <c r="D1089" s="189" t="s">
        <v>1646</v>
      </c>
      <c r="E1089" s="189" t="s">
        <v>1647</v>
      </c>
      <c r="F1089" s="189" t="s">
        <v>1647</v>
      </c>
      <c r="G1089" s="189" t="s">
        <v>1648</v>
      </c>
      <c r="H1089" s="191" t="n">
        <v>46054</v>
      </c>
      <c r="I1089" s="189" t="s">
        <v>113</v>
      </c>
      <c r="J1089" s="189" t="s">
        <v>108</v>
      </c>
      <c r="K1089" s="189" t="s">
        <v>500</v>
      </c>
      <c r="L1089" s="189" t="s">
        <v>184</v>
      </c>
      <c r="M1089" s="189" t="s">
        <v>160</v>
      </c>
      <c r="N1089" s="189" t="s">
        <v>270</v>
      </c>
      <c r="O1089" s="189" t="s">
        <v>278</v>
      </c>
      <c r="P1089" s="189" t="s">
        <v>111</v>
      </c>
      <c r="Q1089" s="189" t="s">
        <v>112</v>
      </c>
      <c r="R1089" s="189" t="s">
        <v>21</v>
      </c>
      <c r="S1089" s="189" t="s">
        <v>120</v>
      </c>
      <c r="T1089" s="189" t="s">
        <v>264</v>
      </c>
      <c r="V1089" s="189" t="s">
        <v>167</v>
      </c>
      <c r="W1089" s="189" t="s">
        <v>124</v>
      </c>
      <c r="X1089" s="189" t="s">
        <v>374</v>
      </c>
      <c r="Y1089" s="189" t="s">
        <v>3066</v>
      </c>
      <c r="Z1089" s="0" t="n">
        <v>1</v>
      </c>
      <c r="AA1089" s="189" t="s">
        <v>3214</v>
      </c>
    </row>
    <row r="1090" customFormat="false" ht="15" hidden="false" customHeight="false" outlineLevel="0" collapsed="false">
      <c r="A1090" s="0" t="n">
        <v>228</v>
      </c>
      <c r="B1090" s="191" t="n">
        <v>46074.7380623984</v>
      </c>
      <c r="C1090" s="191" t="n">
        <v>46074.7430276762</v>
      </c>
      <c r="D1090" s="189" t="s">
        <v>1646</v>
      </c>
      <c r="E1090" s="189" t="s">
        <v>1647</v>
      </c>
      <c r="F1090" s="189" t="s">
        <v>1647</v>
      </c>
      <c r="G1090" s="189" t="s">
        <v>1648</v>
      </c>
      <c r="H1090" s="191" t="n">
        <v>46054</v>
      </c>
      <c r="I1090" s="189" t="s">
        <v>113</v>
      </c>
      <c r="J1090" s="189" t="s">
        <v>108</v>
      </c>
      <c r="K1090" s="189" t="s">
        <v>500</v>
      </c>
      <c r="L1090" s="189" t="s">
        <v>184</v>
      </c>
      <c r="M1090" s="189" t="s">
        <v>160</v>
      </c>
      <c r="N1090" s="189" t="s">
        <v>270</v>
      </c>
      <c r="O1090" s="189" t="s">
        <v>278</v>
      </c>
      <c r="P1090" s="189" t="s">
        <v>111</v>
      </c>
      <c r="Q1090" s="189" t="s">
        <v>112</v>
      </c>
      <c r="R1090" s="189" t="s">
        <v>21</v>
      </c>
      <c r="S1090" s="189" t="s">
        <v>120</v>
      </c>
      <c r="T1090" s="189" t="s">
        <v>264</v>
      </c>
      <c r="V1090" s="189" t="s">
        <v>167</v>
      </c>
      <c r="W1090" s="189" t="s">
        <v>124</v>
      </c>
      <c r="X1090" s="189" t="s">
        <v>374</v>
      </c>
      <c r="Y1090" s="189" t="s">
        <v>3066</v>
      </c>
      <c r="Z1090" s="0" t="n">
        <v>2</v>
      </c>
      <c r="AA1090" s="189" t="s">
        <v>3261</v>
      </c>
    </row>
    <row r="1091" customFormat="false" ht="15" hidden="false" customHeight="false" outlineLevel="0" collapsed="false">
      <c r="A1091" s="0" t="n">
        <v>228</v>
      </c>
      <c r="B1091" s="191" t="n">
        <v>46074.7380623984</v>
      </c>
      <c r="C1091" s="191" t="n">
        <v>46074.7430276762</v>
      </c>
      <c r="D1091" s="189" t="s">
        <v>1646</v>
      </c>
      <c r="E1091" s="189" t="s">
        <v>1647</v>
      </c>
      <c r="F1091" s="189" t="s">
        <v>1647</v>
      </c>
      <c r="G1091" s="189" t="s">
        <v>1648</v>
      </c>
      <c r="H1091" s="191" t="n">
        <v>46054</v>
      </c>
      <c r="I1091" s="189" t="s">
        <v>113</v>
      </c>
      <c r="J1091" s="189" t="s">
        <v>108</v>
      </c>
      <c r="K1091" s="189" t="s">
        <v>500</v>
      </c>
      <c r="L1091" s="189" t="s">
        <v>184</v>
      </c>
      <c r="M1091" s="189" t="s">
        <v>160</v>
      </c>
      <c r="N1091" s="189" t="s">
        <v>270</v>
      </c>
      <c r="O1091" s="189" t="s">
        <v>278</v>
      </c>
      <c r="P1091" s="189" t="s">
        <v>111</v>
      </c>
      <c r="Q1091" s="189" t="s">
        <v>112</v>
      </c>
      <c r="R1091" s="189" t="s">
        <v>21</v>
      </c>
      <c r="S1091" s="189" t="s">
        <v>120</v>
      </c>
      <c r="T1091" s="189" t="s">
        <v>264</v>
      </c>
      <c r="V1091" s="189" t="s">
        <v>167</v>
      </c>
      <c r="W1091" s="189" t="s">
        <v>124</v>
      </c>
      <c r="X1091" s="189" t="s">
        <v>374</v>
      </c>
      <c r="Y1091" s="189" t="s">
        <v>3069</v>
      </c>
      <c r="Z1091" s="0" t="n">
        <v>1</v>
      </c>
      <c r="AA1091" s="189" t="s">
        <v>3157</v>
      </c>
    </row>
    <row r="1092" customFormat="false" ht="15" hidden="false" customHeight="false" outlineLevel="0" collapsed="false">
      <c r="A1092" s="0" t="n">
        <v>228</v>
      </c>
      <c r="B1092" s="191" t="n">
        <v>46074.7380623984</v>
      </c>
      <c r="C1092" s="191" t="n">
        <v>46074.7430276762</v>
      </c>
      <c r="D1092" s="189" t="s">
        <v>1646</v>
      </c>
      <c r="E1092" s="189" t="s">
        <v>1647</v>
      </c>
      <c r="F1092" s="189" t="s">
        <v>1647</v>
      </c>
      <c r="G1092" s="189" t="s">
        <v>1648</v>
      </c>
      <c r="H1092" s="191" t="n">
        <v>46054</v>
      </c>
      <c r="I1092" s="189" t="s">
        <v>113</v>
      </c>
      <c r="J1092" s="189" t="s">
        <v>108</v>
      </c>
      <c r="K1092" s="189" t="s">
        <v>500</v>
      </c>
      <c r="L1092" s="189" t="s">
        <v>184</v>
      </c>
      <c r="M1092" s="189" t="s">
        <v>160</v>
      </c>
      <c r="N1092" s="189" t="s">
        <v>270</v>
      </c>
      <c r="O1092" s="189" t="s">
        <v>278</v>
      </c>
      <c r="P1092" s="189" t="s">
        <v>111</v>
      </c>
      <c r="Q1092" s="189" t="s">
        <v>112</v>
      </c>
      <c r="R1092" s="189" t="s">
        <v>21</v>
      </c>
      <c r="S1092" s="189" t="s">
        <v>120</v>
      </c>
      <c r="T1092" s="189" t="s">
        <v>264</v>
      </c>
      <c r="V1092" s="189" t="s">
        <v>167</v>
      </c>
      <c r="W1092" s="189" t="s">
        <v>124</v>
      </c>
      <c r="X1092" s="189" t="s">
        <v>374</v>
      </c>
      <c r="Y1092" s="189" t="s">
        <v>3069</v>
      </c>
      <c r="Z1092" s="0" t="n">
        <v>2</v>
      </c>
      <c r="AA1092" s="189" t="s">
        <v>3158</v>
      </c>
    </row>
    <row r="1093" customFormat="false" ht="15" hidden="false" customHeight="false" outlineLevel="0" collapsed="false">
      <c r="A1093" s="0" t="n">
        <v>229</v>
      </c>
      <c r="B1093" s="191" t="n">
        <v>46138.5936216795</v>
      </c>
      <c r="C1093" s="191" t="n">
        <v>46138.610728161</v>
      </c>
      <c r="D1093" s="189" t="s">
        <v>1650</v>
      </c>
      <c r="E1093" s="189" t="s">
        <v>1651</v>
      </c>
      <c r="F1093" s="189" t="s">
        <v>1651</v>
      </c>
      <c r="G1093" s="189" t="s">
        <v>1652</v>
      </c>
      <c r="H1093" s="191" t="n">
        <v>46138</v>
      </c>
      <c r="I1093" s="189" t="s">
        <v>305</v>
      </c>
      <c r="J1093" s="189" t="s">
        <v>108</v>
      </c>
      <c r="K1093" s="189" t="s">
        <v>462</v>
      </c>
      <c r="L1093" s="189" t="s">
        <v>184</v>
      </c>
      <c r="M1093" s="189" t="s">
        <v>1151</v>
      </c>
      <c r="N1093" s="189" t="s">
        <v>440</v>
      </c>
      <c r="O1093" s="189" t="s">
        <v>244</v>
      </c>
      <c r="P1093" s="189" t="s">
        <v>111</v>
      </c>
      <c r="Q1093" s="189" t="s">
        <v>112</v>
      </c>
      <c r="R1093" s="189" t="s">
        <v>22</v>
      </c>
      <c r="S1093" s="189" t="s">
        <v>120</v>
      </c>
      <c r="T1093" s="189" t="s">
        <v>180</v>
      </c>
      <c r="U1093" s="189" t="s">
        <v>122</v>
      </c>
      <c r="V1093" s="189" t="s">
        <v>192</v>
      </c>
      <c r="W1093" s="189" t="s">
        <v>124</v>
      </c>
      <c r="X1093" s="189" t="s">
        <v>148</v>
      </c>
      <c r="Y1093" s="189" t="s">
        <v>3064</v>
      </c>
      <c r="Z1093" s="0" t="n">
        <v>1</v>
      </c>
      <c r="AA1093" s="189" t="s">
        <v>3186</v>
      </c>
    </row>
    <row r="1094" customFormat="false" ht="15" hidden="false" customHeight="false" outlineLevel="0" collapsed="false">
      <c r="A1094" s="0" t="n">
        <v>229</v>
      </c>
      <c r="B1094" s="191" t="n">
        <v>46138.5936216795</v>
      </c>
      <c r="C1094" s="191" t="n">
        <v>46138.610728161</v>
      </c>
      <c r="D1094" s="189" t="s">
        <v>1650</v>
      </c>
      <c r="E1094" s="189" t="s">
        <v>1651</v>
      </c>
      <c r="F1094" s="189" t="s">
        <v>1651</v>
      </c>
      <c r="G1094" s="189" t="s">
        <v>1652</v>
      </c>
      <c r="H1094" s="191" t="n">
        <v>46138</v>
      </c>
      <c r="I1094" s="189" t="s">
        <v>305</v>
      </c>
      <c r="J1094" s="189" t="s">
        <v>108</v>
      </c>
      <c r="K1094" s="189" t="s">
        <v>462</v>
      </c>
      <c r="L1094" s="189" t="s">
        <v>184</v>
      </c>
      <c r="M1094" s="189" t="s">
        <v>1151</v>
      </c>
      <c r="N1094" s="189" t="s">
        <v>440</v>
      </c>
      <c r="O1094" s="189" t="s">
        <v>244</v>
      </c>
      <c r="P1094" s="189" t="s">
        <v>111</v>
      </c>
      <c r="Q1094" s="189" t="s">
        <v>112</v>
      </c>
      <c r="R1094" s="189" t="s">
        <v>22</v>
      </c>
      <c r="S1094" s="189" t="s">
        <v>120</v>
      </c>
      <c r="T1094" s="189" t="s">
        <v>180</v>
      </c>
      <c r="U1094" s="189" t="s">
        <v>122</v>
      </c>
      <c r="V1094" s="189" t="s">
        <v>192</v>
      </c>
      <c r="W1094" s="189" t="s">
        <v>124</v>
      </c>
      <c r="X1094" s="189" t="s">
        <v>148</v>
      </c>
      <c r="Y1094" s="189" t="s">
        <v>3064</v>
      </c>
      <c r="Z1094" s="0" t="n">
        <v>2</v>
      </c>
      <c r="AA1094" s="189" t="s">
        <v>3281</v>
      </c>
    </row>
    <row r="1095" customFormat="false" ht="15" hidden="false" customHeight="false" outlineLevel="0" collapsed="false">
      <c r="A1095" s="0" t="n">
        <v>229</v>
      </c>
      <c r="B1095" s="191" t="n">
        <v>46138.5936216795</v>
      </c>
      <c r="C1095" s="191" t="n">
        <v>46138.610728161</v>
      </c>
      <c r="D1095" s="189" t="s">
        <v>1650</v>
      </c>
      <c r="E1095" s="189" t="s">
        <v>1651</v>
      </c>
      <c r="F1095" s="189" t="s">
        <v>1651</v>
      </c>
      <c r="G1095" s="189" t="s">
        <v>1652</v>
      </c>
      <c r="H1095" s="191" t="n">
        <v>46138</v>
      </c>
      <c r="I1095" s="189" t="s">
        <v>305</v>
      </c>
      <c r="J1095" s="189" t="s">
        <v>108</v>
      </c>
      <c r="K1095" s="189" t="s">
        <v>462</v>
      </c>
      <c r="L1095" s="189" t="s">
        <v>184</v>
      </c>
      <c r="M1095" s="189" t="s">
        <v>1151</v>
      </c>
      <c r="N1095" s="189" t="s">
        <v>440</v>
      </c>
      <c r="O1095" s="189" t="s">
        <v>244</v>
      </c>
      <c r="P1095" s="189" t="s">
        <v>111</v>
      </c>
      <c r="Q1095" s="189" t="s">
        <v>112</v>
      </c>
      <c r="R1095" s="189" t="s">
        <v>22</v>
      </c>
      <c r="S1095" s="189" t="s">
        <v>120</v>
      </c>
      <c r="T1095" s="189" t="s">
        <v>180</v>
      </c>
      <c r="U1095" s="189" t="s">
        <v>122</v>
      </c>
      <c r="V1095" s="189" t="s">
        <v>192</v>
      </c>
      <c r="W1095" s="189" t="s">
        <v>124</v>
      </c>
      <c r="X1095" s="189" t="s">
        <v>148</v>
      </c>
      <c r="Y1095" s="189" t="s">
        <v>3066</v>
      </c>
      <c r="Z1095" s="0" t="n">
        <v>1</v>
      </c>
      <c r="AA1095" s="189" t="s">
        <v>3077</v>
      </c>
    </row>
    <row r="1096" customFormat="false" ht="15" hidden="false" customHeight="false" outlineLevel="0" collapsed="false">
      <c r="A1096" s="0" t="n">
        <v>229</v>
      </c>
      <c r="B1096" s="191" t="n">
        <v>46138.5936216795</v>
      </c>
      <c r="C1096" s="191" t="n">
        <v>46138.610728161</v>
      </c>
      <c r="D1096" s="189" t="s">
        <v>1650</v>
      </c>
      <c r="E1096" s="189" t="s">
        <v>1651</v>
      </c>
      <c r="F1096" s="189" t="s">
        <v>1651</v>
      </c>
      <c r="G1096" s="189" t="s">
        <v>1652</v>
      </c>
      <c r="H1096" s="191" t="n">
        <v>46138</v>
      </c>
      <c r="I1096" s="189" t="s">
        <v>305</v>
      </c>
      <c r="J1096" s="189" t="s">
        <v>108</v>
      </c>
      <c r="K1096" s="189" t="s">
        <v>462</v>
      </c>
      <c r="L1096" s="189" t="s">
        <v>184</v>
      </c>
      <c r="M1096" s="189" t="s">
        <v>1151</v>
      </c>
      <c r="N1096" s="189" t="s">
        <v>440</v>
      </c>
      <c r="O1096" s="189" t="s">
        <v>244</v>
      </c>
      <c r="P1096" s="189" t="s">
        <v>111</v>
      </c>
      <c r="Q1096" s="189" t="s">
        <v>112</v>
      </c>
      <c r="R1096" s="189" t="s">
        <v>22</v>
      </c>
      <c r="S1096" s="189" t="s">
        <v>120</v>
      </c>
      <c r="T1096" s="189" t="s">
        <v>180</v>
      </c>
      <c r="U1096" s="189" t="s">
        <v>122</v>
      </c>
      <c r="V1096" s="189" t="s">
        <v>192</v>
      </c>
      <c r="W1096" s="189" t="s">
        <v>124</v>
      </c>
      <c r="X1096" s="189" t="s">
        <v>148</v>
      </c>
      <c r="Y1096" s="189" t="s">
        <v>3066</v>
      </c>
      <c r="Z1096" s="0" t="n">
        <v>2</v>
      </c>
      <c r="AA1096" s="189" t="s">
        <v>2818</v>
      </c>
    </row>
    <row r="1097" customFormat="false" ht="15" hidden="false" customHeight="false" outlineLevel="0" collapsed="false">
      <c r="A1097" s="0" t="n">
        <v>229</v>
      </c>
      <c r="B1097" s="191" t="n">
        <v>46138.5936216795</v>
      </c>
      <c r="C1097" s="191" t="n">
        <v>46138.610728161</v>
      </c>
      <c r="D1097" s="189" t="s">
        <v>1650</v>
      </c>
      <c r="E1097" s="189" t="s">
        <v>1651</v>
      </c>
      <c r="F1097" s="189" t="s">
        <v>1651</v>
      </c>
      <c r="G1097" s="189" t="s">
        <v>1652</v>
      </c>
      <c r="H1097" s="191" t="n">
        <v>46138</v>
      </c>
      <c r="I1097" s="189" t="s">
        <v>305</v>
      </c>
      <c r="J1097" s="189" t="s">
        <v>108</v>
      </c>
      <c r="K1097" s="189" t="s">
        <v>462</v>
      </c>
      <c r="L1097" s="189" t="s">
        <v>184</v>
      </c>
      <c r="M1097" s="189" t="s">
        <v>1151</v>
      </c>
      <c r="N1097" s="189" t="s">
        <v>440</v>
      </c>
      <c r="O1097" s="189" t="s">
        <v>244</v>
      </c>
      <c r="P1097" s="189" t="s">
        <v>111</v>
      </c>
      <c r="Q1097" s="189" t="s">
        <v>112</v>
      </c>
      <c r="R1097" s="189" t="s">
        <v>22</v>
      </c>
      <c r="S1097" s="189" t="s">
        <v>120</v>
      </c>
      <c r="T1097" s="189" t="s">
        <v>180</v>
      </c>
      <c r="U1097" s="189" t="s">
        <v>122</v>
      </c>
      <c r="V1097" s="189" t="s">
        <v>192</v>
      </c>
      <c r="W1097" s="189" t="s">
        <v>124</v>
      </c>
      <c r="X1097" s="189" t="s">
        <v>148</v>
      </c>
      <c r="Y1097" s="189" t="s">
        <v>3069</v>
      </c>
      <c r="Z1097" s="0" t="n">
        <v>1</v>
      </c>
      <c r="AA1097" s="189" t="s">
        <v>3080</v>
      </c>
    </row>
    <row r="1098" customFormat="false" ht="15" hidden="false" customHeight="false" outlineLevel="0" collapsed="false">
      <c r="A1098" s="0" t="n">
        <v>230</v>
      </c>
      <c r="B1098" s="191" t="n">
        <v>46039.0934234962</v>
      </c>
      <c r="C1098" s="191" t="n">
        <v>46039.1121503481</v>
      </c>
      <c r="D1098" s="189" t="s">
        <v>1655</v>
      </c>
      <c r="E1098" s="189" t="s">
        <v>1656</v>
      </c>
      <c r="F1098" s="189" t="s">
        <v>1656</v>
      </c>
      <c r="G1098" s="189" t="s">
        <v>1657</v>
      </c>
      <c r="H1098" s="191" t="n">
        <v>46021</v>
      </c>
      <c r="I1098" s="189" t="s">
        <v>113</v>
      </c>
      <c r="J1098" s="189" t="s">
        <v>128</v>
      </c>
      <c r="K1098" s="189" t="s">
        <v>232</v>
      </c>
      <c r="L1098" s="189" t="s">
        <v>144</v>
      </c>
      <c r="M1098" s="189" t="s">
        <v>269</v>
      </c>
      <c r="N1098" s="189" t="s">
        <v>1323</v>
      </c>
      <c r="O1098" s="189" t="s">
        <v>107</v>
      </c>
      <c r="P1098" s="189" t="s">
        <v>131</v>
      </c>
      <c r="Q1098" s="189" t="s">
        <v>145</v>
      </c>
      <c r="R1098" s="189" t="s">
        <v>21</v>
      </c>
      <c r="S1098" s="189" t="s">
        <v>152</v>
      </c>
      <c r="T1098" s="189" t="s">
        <v>121</v>
      </c>
      <c r="U1098" s="189" t="s">
        <v>321</v>
      </c>
      <c r="V1098" s="189" t="s">
        <v>123</v>
      </c>
      <c r="W1098" s="189" t="s">
        <v>124</v>
      </c>
      <c r="X1098" s="189" t="s">
        <v>250</v>
      </c>
      <c r="Y1098" s="189" t="s">
        <v>3064</v>
      </c>
      <c r="Z1098" s="0" t="n">
        <v>1</v>
      </c>
      <c r="AA1098" s="189" t="s">
        <v>3107</v>
      </c>
    </row>
    <row r="1099" customFormat="false" ht="15" hidden="false" customHeight="false" outlineLevel="0" collapsed="false">
      <c r="A1099" s="0" t="n">
        <v>230</v>
      </c>
      <c r="B1099" s="191" t="n">
        <v>46039.0934234962</v>
      </c>
      <c r="C1099" s="191" t="n">
        <v>46039.1121503481</v>
      </c>
      <c r="D1099" s="189" t="s">
        <v>1655</v>
      </c>
      <c r="E1099" s="189" t="s">
        <v>1656</v>
      </c>
      <c r="F1099" s="189" t="s">
        <v>1656</v>
      </c>
      <c r="G1099" s="189" t="s">
        <v>1657</v>
      </c>
      <c r="H1099" s="191" t="n">
        <v>46021</v>
      </c>
      <c r="I1099" s="189" t="s">
        <v>113</v>
      </c>
      <c r="J1099" s="189" t="s">
        <v>128</v>
      </c>
      <c r="K1099" s="189" t="s">
        <v>232</v>
      </c>
      <c r="L1099" s="189" t="s">
        <v>144</v>
      </c>
      <c r="M1099" s="189" t="s">
        <v>269</v>
      </c>
      <c r="N1099" s="189" t="s">
        <v>1323</v>
      </c>
      <c r="O1099" s="189" t="s">
        <v>107</v>
      </c>
      <c r="P1099" s="189" t="s">
        <v>131</v>
      </c>
      <c r="Q1099" s="189" t="s">
        <v>145</v>
      </c>
      <c r="R1099" s="189" t="s">
        <v>21</v>
      </c>
      <c r="S1099" s="189" t="s">
        <v>152</v>
      </c>
      <c r="T1099" s="189" t="s">
        <v>121</v>
      </c>
      <c r="U1099" s="189" t="s">
        <v>321</v>
      </c>
      <c r="V1099" s="189" t="s">
        <v>123</v>
      </c>
      <c r="W1099" s="189" t="s">
        <v>124</v>
      </c>
      <c r="X1099" s="189" t="s">
        <v>250</v>
      </c>
      <c r="Y1099" s="189" t="s">
        <v>3066</v>
      </c>
      <c r="Z1099" s="0" t="n">
        <v>1</v>
      </c>
      <c r="AA1099" s="189" t="s">
        <v>122</v>
      </c>
    </row>
    <row r="1100" customFormat="false" ht="15" hidden="false" customHeight="false" outlineLevel="0" collapsed="false">
      <c r="A1100" s="0" t="n">
        <v>230</v>
      </c>
      <c r="B1100" s="191" t="n">
        <v>46039.0934234962</v>
      </c>
      <c r="C1100" s="191" t="n">
        <v>46039.1121503481</v>
      </c>
      <c r="D1100" s="189" t="s">
        <v>1655</v>
      </c>
      <c r="E1100" s="189" t="s">
        <v>1656</v>
      </c>
      <c r="F1100" s="189" t="s">
        <v>1656</v>
      </c>
      <c r="G1100" s="189" t="s">
        <v>1657</v>
      </c>
      <c r="H1100" s="191" t="n">
        <v>46021</v>
      </c>
      <c r="I1100" s="189" t="s">
        <v>113</v>
      </c>
      <c r="J1100" s="189" t="s">
        <v>128</v>
      </c>
      <c r="K1100" s="189" t="s">
        <v>232</v>
      </c>
      <c r="L1100" s="189" t="s">
        <v>144</v>
      </c>
      <c r="M1100" s="189" t="s">
        <v>269</v>
      </c>
      <c r="N1100" s="189" t="s">
        <v>1323</v>
      </c>
      <c r="O1100" s="189" t="s">
        <v>107</v>
      </c>
      <c r="P1100" s="189" t="s">
        <v>131</v>
      </c>
      <c r="Q1100" s="189" t="s">
        <v>145</v>
      </c>
      <c r="R1100" s="189" t="s">
        <v>21</v>
      </c>
      <c r="S1100" s="189" t="s">
        <v>152</v>
      </c>
      <c r="T1100" s="189" t="s">
        <v>121</v>
      </c>
      <c r="U1100" s="189" t="s">
        <v>321</v>
      </c>
      <c r="V1100" s="189" t="s">
        <v>123</v>
      </c>
      <c r="W1100" s="189" t="s">
        <v>124</v>
      </c>
      <c r="X1100" s="189" t="s">
        <v>250</v>
      </c>
      <c r="Y1100" s="189" t="s">
        <v>3066</v>
      </c>
      <c r="Z1100" s="0" t="n">
        <v>2</v>
      </c>
      <c r="AA1100" s="189" t="s">
        <v>3211</v>
      </c>
    </row>
    <row r="1101" customFormat="false" ht="15" hidden="false" customHeight="false" outlineLevel="0" collapsed="false">
      <c r="A1101" s="0" t="n">
        <v>230</v>
      </c>
      <c r="B1101" s="191" t="n">
        <v>46039.0934234962</v>
      </c>
      <c r="C1101" s="191" t="n">
        <v>46039.1121503481</v>
      </c>
      <c r="D1101" s="189" t="s">
        <v>1655</v>
      </c>
      <c r="E1101" s="189" t="s">
        <v>1656</v>
      </c>
      <c r="F1101" s="189" t="s">
        <v>1656</v>
      </c>
      <c r="G1101" s="189" t="s">
        <v>1657</v>
      </c>
      <c r="H1101" s="191" t="n">
        <v>46021</v>
      </c>
      <c r="I1101" s="189" t="s">
        <v>113</v>
      </c>
      <c r="J1101" s="189" t="s">
        <v>128</v>
      </c>
      <c r="K1101" s="189" t="s">
        <v>232</v>
      </c>
      <c r="L1101" s="189" t="s">
        <v>144</v>
      </c>
      <c r="M1101" s="189" t="s">
        <v>269</v>
      </c>
      <c r="N1101" s="189" t="s">
        <v>1323</v>
      </c>
      <c r="O1101" s="189" t="s">
        <v>107</v>
      </c>
      <c r="P1101" s="189" t="s">
        <v>131</v>
      </c>
      <c r="Q1101" s="189" t="s">
        <v>145</v>
      </c>
      <c r="R1101" s="189" t="s">
        <v>21</v>
      </c>
      <c r="S1101" s="189" t="s">
        <v>152</v>
      </c>
      <c r="T1101" s="189" t="s">
        <v>121</v>
      </c>
      <c r="U1101" s="189" t="s">
        <v>321</v>
      </c>
      <c r="V1101" s="189" t="s">
        <v>123</v>
      </c>
      <c r="W1101" s="189" t="s">
        <v>124</v>
      </c>
      <c r="X1101" s="189" t="s">
        <v>250</v>
      </c>
      <c r="Y1101" s="189" t="s">
        <v>3069</v>
      </c>
      <c r="Z1101" s="0" t="n">
        <v>1</v>
      </c>
      <c r="AA1101" s="189" t="s">
        <v>3070</v>
      </c>
    </row>
    <row r="1102" customFormat="false" ht="15" hidden="false" customHeight="false" outlineLevel="0" collapsed="false">
      <c r="A1102" s="0" t="n">
        <v>231</v>
      </c>
      <c r="B1102" s="191" t="n">
        <v>46097.8776836418</v>
      </c>
      <c r="C1102" s="191" t="n">
        <v>46097.8952993825</v>
      </c>
      <c r="D1102" s="189" t="s">
        <v>1659</v>
      </c>
      <c r="E1102" s="189" t="s">
        <v>1660</v>
      </c>
      <c r="F1102" s="189" t="s">
        <v>1661</v>
      </c>
      <c r="G1102" s="189" t="s">
        <v>1662</v>
      </c>
      <c r="H1102" s="191" t="n">
        <v>46094</v>
      </c>
      <c r="I1102" s="189" t="s">
        <v>113</v>
      </c>
      <c r="J1102" s="189" t="s">
        <v>108</v>
      </c>
      <c r="K1102" s="189" t="s">
        <v>245</v>
      </c>
      <c r="L1102" s="189" t="s">
        <v>389</v>
      </c>
      <c r="M1102" s="189" t="s">
        <v>1074</v>
      </c>
      <c r="N1102" s="189" t="s">
        <v>227</v>
      </c>
      <c r="O1102" s="189" t="s">
        <v>278</v>
      </c>
      <c r="P1102" s="189" t="s">
        <v>111</v>
      </c>
      <c r="Q1102" s="189" t="s">
        <v>112</v>
      </c>
      <c r="R1102" s="189" t="s">
        <v>22</v>
      </c>
      <c r="S1102" s="189" t="s">
        <v>152</v>
      </c>
      <c r="T1102" s="189" t="s">
        <v>180</v>
      </c>
      <c r="V1102" s="189" t="s">
        <v>123</v>
      </c>
      <c r="W1102" s="189" t="s">
        <v>168</v>
      </c>
      <c r="X1102" s="189" t="s">
        <v>339</v>
      </c>
      <c r="Y1102" s="189" t="s">
        <v>3064</v>
      </c>
      <c r="Z1102" s="0" t="n">
        <v>1</v>
      </c>
      <c r="AA1102" s="189" t="s">
        <v>3198</v>
      </c>
    </row>
    <row r="1103" customFormat="false" ht="15" hidden="false" customHeight="false" outlineLevel="0" collapsed="false">
      <c r="A1103" s="0" t="n">
        <v>231</v>
      </c>
      <c r="B1103" s="191" t="n">
        <v>46097.8776836418</v>
      </c>
      <c r="C1103" s="191" t="n">
        <v>46097.8952993825</v>
      </c>
      <c r="D1103" s="189" t="s">
        <v>1659</v>
      </c>
      <c r="E1103" s="189" t="s">
        <v>1660</v>
      </c>
      <c r="F1103" s="189" t="s">
        <v>1661</v>
      </c>
      <c r="G1103" s="189" t="s">
        <v>1662</v>
      </c>
      <c r="H1103" s="191" t="n">
        <v>46094</v>
      </c>
      <c r="I1103" s="189" t="s">
        <v>113</v>
      </c>
      <c r="J1103" s="189" t="s">
        <v>108</v>
      </c>
      <c r="K1103" s="189" t="s">
        <v>245</v>
      </c>
      <c r="L1103" s="189" t="s">
        <v>389</v>
      </c>
      <c r="M1103" s="189" t="s">
        <v>1074</v>
      </c>
      <c r="N1103" s="189" t="s">
        <v>227</v>
      </c>
      <c r="O1103" s="189" t="s">
        <v>278</v>
      </c>
      <c r="P1103" s="189" t="s">
        <v>111</v>
      </c>
      <c r="Q1103" s="189" t="s">
        <v>112</v>
      </c>
      <c r="R1103" s="189" t="s">
        <v>22</v>
      </c>
      <c r="S1103" s="189" t="s">
        <v>152</v>
      </c>
      <c r="T1103" s="189" t="s">
        <v>180</v>
      </c>
      <c r="V1103" s="189" t="s">
        <v>123</v>
      </c>
      <c r="W1103" s="189" t="s">
        <v>168</v>
      </c>
      <c r="X1103" s="189" t="s">
        <v>339</v>
      </c>
      <c r="Y1103" s="189" t="s">
        <v>3064</v>
      </c>
      <c r="Z1103" s="0" t="n">
        <v>2</v>
      </c>
      <c r="AA1103" s="189" t="s">
        <v>3216</v>
      </c>
    </row>
    <row r="1104" customFormat="false" ht="15" hidden="false" customHeight="false" outlineLevel="0" collapsed="false">
      <c r="A1104" s="0" t="n">
        <v>231</v>
      </c>
      <c r="B1104" s="191" t="n">
        <v>46097.8776836418</v>
      </c>
      <c r="C1104" s="191" t="n">
        <v>46097.8952993825</v>
      </c>
      <c r="D1104" s="189" t="s">
        <v>1659</v>
      </c>
      <c r="E1104" s="189" t="s">
        <v>1660</v>
      </c>
      <c r="F1104" s="189" t="s">
        <v>1661</v>
      </c>
      <c r="G1104" s="189" t="s">
        <v>1662</v>
      </c>
      <c r="H1104" s="191" t="n">
        <v>46094</v>
      </c>
      <c r="I1104" s="189" t="s">
        <v>113</v>
      </c>
      <c r="J1104" s="189" t="s">
        <v>108</v>
      </c>
      <c r="K1104" s="189" t="s">
        <v>245</v>
      </c>
      <c r="L1104" s="189" t="s">
        <v>389</v>
      </c>
      <c r="M1104" s="189" t="s">
        <v>1074</v>
      </c>
      <c r="N1104" s="189" t="s">
        <v>227</v>
      </c>
      <c r="O1104" s="189" t="s">
        <v>278</v>
      </c>
      <c r="P1104" s="189" t="s">
        <v>111</v>
      </c>
      <c r="Q1104" s="189" t="s">
        <v>112</v>
      </c>
      <c r="R1104" s="189" t="s">
        <v>22</v>
      </c>
      <c r="S1104" s="189" t="s">
        <v>152</v>
      </c>
      <c r="T1104" s="189" t="s">
        <v>180</v>
      </c>
      <c r="V1104" s="189" t="s">
        <v>123</v>
      </c>
      <c r="W1104" s="189" t="s">
        <v>168</v>
      </c>
      <c r="X1104" s="189" t="s">
        <v>339</v>
      </c>
      <c r="Y1104" s="189" t="s">
        <v>3064</v>
      </c>
      <c r="Z1104" s="0" t="n">
        <v>3</v>
      </c>
      <c r="AA1104" s="189" t="s">
        <v>3168</v>
      </c>
    </row>
    <row r="1105" customFormat="false" ht="15" hidden="false" customHeight="false" outlineLevel="0" collapsed="false">
      <c r="A1105" s="0" t="n">
        <v>231</v>
      </c>
      <c r="B1105" s="191" t="n">
        <v>46097.8776836418</v>
      </c>
      <c r="C1105" s="191" t="n">
        <v>46097.8952993825</v>
      </c>
      <c r="D1105" s="189" t="s">
        <v>1659</v>
      </c>
      <c r="E1105" s="189" t="s">
        <v>1660</v>
      </c>
      <c r="F1105" s="189" t="s">
        <v>1661</v>
      </c>
      <c r="G1105" s="189" t="s">
        <v>1662</v>
      </c>
      <c r="H1105" s="191" t="n">
        <v>46094</v>
      </c>
      <c r="I1105" s="189" t="s">
        <v>113</v>
      </c>
      <c r="J1105" s="189" t="s">
        <v>108</v>
      </c>
      <c r="K1105" s="189" t="s">
        <v>245</v>
      </c>
      <c r="L1105" s="189" t="s">
        <v>389</v>
      </c>
      <c r="M1105" s="189" t="s">
        <v>1074</v>
      </c>
      <c r="N1105" s="189" t="s">
        <v>227</v>
      </c>
      <c r="O1105" s="189" t="s">
        <v>278</v>
      </c>
      <c r="P1105" s="189" t="s">
        <v>111</v>
      </c>
      <c r="Q1105" s="189" t="s">
        <v>112</v>
      </c>
      <c r="R1105" s="189" t="s">
        <v>22</v>
      </c>
      <c r="S1105" s="189" t="s">
        <v>152</v>
      </c>
      <c r="T1105" s="189" t="s">
        <v>180</v>
      </c>
      <c r="V1105" s="189" t="s">
        <v>123</v>
      </c>
      <c r="W1105" s="189" t="s">
        <v>168</v>
      </c>
      <c r="X1105" s="189" t="s">
        <v>339</v>
      </c>
      <c r="Y1105" s="189" t="s">
        <v>3066</v>
      </c>
      <c r="Z1105" s="0" t="n">
        <v>1</v>
      </c>
      <c r="AA1105" s="189" t="s">
        <v>3243</v>
      </c>
    </row>
    <row r="1106" customFormat="false" ht="15" hidden="false" customHeight="false" outlineLevel="0" collapsed="false">
      <c r="A1106" s="0" t="n">
        <v>231</v>
      </c>
      <c r="B1106" s="191" t="n">
        <v>46097.8776836418</v>
      </c>
      <c r="C1106" s="191" t="n">
        <v>46097.8952993825</v>
      </c>
      <c r="D1106" s="189" t="s">
        <v>1659</v>
      </c>
      <c r="E1106" s="189" t="s">
        <v>1660</v>
      </c>
      <c r="F1106" s="189" t="s">
        <v>1661</v>
      </c>
      <c r="G1106" s="189" t="s">
        <v>1662</v>
      </c>
      <c r="H1106" s="191" t="n">
        <v>46094</v>
      </c>
      <c r="I1106" s="189" t="s">
        <v>113</v>
      </c>
      <c r="J1106" s="189" t="s">
        <v>108</v>
      </c>
      <c r="K1106" s="189" t="s">
        <v>245</v>
      </c>
      <c r="L1106" s="189" t="s">
        <v>389</v>
      </c>
      <c r="M1106" s="189" t="s">
        <v>1074</v>
      </c>
      <c r="N1106" s="189" t="s">
        <v>227</v>
      </c>
      <c r="O1106" s="189" t="s">
        <v>278</v>
      </c>
      <c r="P1106" s="189" t="s">
        <v>111</v>
      </c>
      <c r="Q1106" s="189" t="s">
        <v>112</v>
      </c>
      <c r="R1106" s="189" t="s">
        <v>22</v>
      </c>
      <c r="S1106" s="189" t="s">
        <v>152</v>
      </c>
      <c r="T1106" s="189" t="s">
        <v>180</v>
      </c>
      <c r="V1106" s="189" t="s">
        <v>123</v>
      </c>
      <c r="W1106" s="189" t="s">
        <v>168</v>
      </c>
      <c r="X1106" s="189" t="s">
        <v>339</v>
      </c>
      <c r="Y1106" s="189" t="s">
        <v>3066</v>
      </c>
      <c r="Z1106" s="0" t="n">
        <v>2</v>
      </c>
      <c r="AA1106" s="189" t="s">
        <v>3260</v>
      </c>
    </row>
    <row r="1107" customFormat="false" ht="15" hidden="false" customHeight="false" outlineLevel="0" collapsed="false">
      <c r="A1107" s="0" t="n">
        <v>231</v>
      </c>
      <c r="B1107" s="191" t="n">
        <v>46097.8776836418</v>
      </c>
      <c r="C1107" s="191" t="n">
        <v>46097.8952993825</v>
      </c>
      <c r="D1107" s="189" t="s">
        <v>1659</v>
      </c>
      <c r="E1107" s="189" t="s">
        <v>1660</v>
      </c>
      <c r="F1107" s="189" t="s">
        <v>1661</v>
      </c>
      <c r="G1107" s="189" t="s">
        <v>1662</v>
      </c>
      <c r="H1107" s="191" t="n">
        <v>46094</v>
      </c>
      <c r="I1107" s="189" t="s">
        <v>113</v>
      </c>
      <c r="J1107" s="189" t="s">
        <v>108</v>
      </c>
      <c r="K1107" s="189" t="s">
        <v>245</v>
      </c>
      <c r="L1107" s="189" t="s">
        <v>389</v>
      </c>
      <c r="M1107" s="189" t="s">
        <v>1074</v>
      </c>
      <c r="N1107" s="189" t="s">
        <v>227</v>
      </c>
      <c r="O1107" s="189" t="s">
        <v>278</v>
      </c>
      <c r="P1107" s="189" t="s">
        <v>111</v>
      </c>
      <c r="Q1107" s="189" t="s">
        <v>112</v>
      </c>
      <c r="R1107" s="189" t="s">
        <v>22</v>
      </c>
      <c r="S1107" s="189" t="s">
        <v>152</v>
      </c>
      <c r="T1107" s="189" t="s">
        <v>180</v>
      </c>
      <c r="V1107" s="189" t="s">
        <v>123</v>
      </c>
      <c r="W1107" s="189" t="s">
        <v>168</v>
      </c>
      <c r="X1107" s="189" t="s">
        <v>339</v>
      </c>
      <c r="Y1107" s="189" t="s">
        <v>3069</v>
      </c>
      <c r="Z1107" s="0" t="n">
        <v>1</v>
      </c>
      <c r="AA1107" s="189" t="s">
        <v>3144</v>
      </c>
    </row>
    <row r="1108" customFormat="false" ht="15" hidden="false" customHeight="false" outlineLevel="0" collapsed="false">
      <c r="A1108" s="0" t="n">
        <v>232</v>
      </c>
      <c r="B1108" s="191" t="n">
        <v>46050.5565012</v>
      </c>
      <c r="C1108" s="191" t="n">
        <v>46050.5650081444</v>
      </c>
      <c r="D1108" s="189" t="s">
        <v>1666</v>
      </c>
      <c r="E1108" s="189" t="s">
        <v>1667</v>
      </c>
      <c r="F1108" s="189" t="s">
        <v>1667</v>
      </c>
      <c r="G1108" s="189" t="s">
        <v>1668</v>
      </c>
      <c r="H1108" s="191" t="n">
        <v>46037</v>
      </c>
      <c r="I1108" s="189" t="s">
        <v>113</v>
      </c>
      <c r="J1108" s="189" t="s">
        <v>108</v>
      </c>
      <c r="K1108" s="189" t="s">
        <v>158</v>
      </c>
      <c r="L1108" s="189" t="s">
        <v>197</v>
      </c>
      <c r="M1108" s="189" t="s">
        <v>160</v>
      </c>
      <c r="N1108" s="189" t="s">
        <v>775</v>
      </c>
      <c r="O1108" s="189" t="s">
        <v>172</v>
      </c>
      <c r="P1108" s="189" t="s">
        <v>111</v>
      </c>
      <c r="Q1108" s="189" t="s">
        <v>112</v>
      </c>
      <c r="R1108" s="189" t="s">
        <v>22</v>
      </c>
      <c r="S1108" s="189" t="s">
        <v>120</v>
      </c>
      <c r="T1108" s="189" t="s">
        <v>121</v>
      </c>
      <c r="U1108" s="189" t="s">
        <v>122</v>
      </c>
      <c r="V1108" s="189" t="s">
        <v>123</v>
      </c>
      <c r="W1108" s="189" t="s">
        <v>124</v>
      </c>
      <c r="X1108" s="189" t="s">
        <v>715</v>
      </c>
      <c r="Y1108" s="189" t="s">
        <v>3064</v>
      </c>
      <c r="Z1108" s="0" t="n">
        <v>1</v>
      </c>
      <c r="AA1108" s="189" t="s">
        <v>3251</v>
      </c>
    </row>
    <row r="1109" customFormat="false" ht="15" hidden="false" customHeight="false" outlineLevel="0" collapsed="false">
      <c r="A1109" s="0" t="n">
        <v>232</v>
      </c>
      <c r="B1109" s="191" t="n">
        <v>46050.5565012</v>
      </c>
      <c r="C1109" s="191" t="n">
        <v>46050.5650081444</v>
      </c>
      <c r="D1109" s="189" t="s">
        <v>1666</v>
      </c>
      <c r="E1109" s="189" t="s">
        <v>1667</v>
      </c>
      <c r="F1109" s="189" t="s">
        <v>1667</v>
      </c>
      <c r="G1109" s="189" t="s">
        <v>1668</v>
      </c>
      <c r="H1109" s="191" t="n">
        <v>46037</v>
      </c>
      <c r="I1109" s="189" t="s">
        <v>113</v>
      </c>
      <c r="J1109" s="189" t="s">
        <v>108</v>
      </c>
      <c r="K1109" s="189" t="s">
        <v>158</v>
      </c>
      <c r="L1109" s="189" t="s">
        <v>197</v>
      </c>
      <c r="M1109" s="189" t="s">
        <v>160</v>
      </c>
      <c r="N1109" s="189" t="s">
        <v>775</v>
      </c>
      <c r="O1109" s="189" t="s">
        <v>172</v>
      </c>
      <c r="P1109" s="189" t="s">
        <v>111</v>
      </c>
      <c r="Q1109" s="189" t="s">
        <v>112</v>
      </c>
      <c r="R1109" s="189" t="s">
        <v>22</v>
      </c>
      <c r="S1109" s="189" t="s">
        <v>120</v>
      </c>
      <c r="T1109" s="189" t="s">
        <v>121</v>
      </c>
      <c r="U1109" s="189" t="s">
        <v>122</v>
      </c>
      <c r="V1109" s="189" t="s">
        <v>123</v>
      </c>
      <c r="W1109" s="189" t="s">
        <v>124</v>
      </c>
      <c r="X1109" s="189" t="s">
        <v>715</v>
      </c>
      <c r="Y1109" s="189" t="s">
        <v>3064</v>
      </c>
      <c r="Z1109" s="0" t="n">
        <v>2</v>
      </c>
      <c r="AA1109" s="189" t="s">
        <v>3252</v>
      </c>
    </row>
    <row r="1110" customFormat="false" ht="15" hidden="false" customHeight="false" outlineLevel="0" collapsed="false">
      <c r="A1110" s="0" t="n">
        <v>232</v>
      </c>
      <c r="B1110" s="191" t="n">
        <v>46050.5565012</v>
      </c>
      <c r="C1110" s="191" t="n">
        <v>46050.5650081444</v>
      </c>
      <c r="D1110" s="189" t="s">
        <v>1666</v>
      </c>
      <c r="E1110" s="189" t="s">
        <v>1667</v>
      </c>
      <c r="F1110" s="189" t="s">
        <v>1667</v>
      </c>
      <c r="G1110" s="189" t="s">
        <v>1668</v>
      </c>
      <c r="H1110" s="191" t="n">
        <v>46037</v>
      </c>
      <c r="I1110" s="189" t="s">
        <v>113</v>
      </c>
      <c r="J1110" s="189" t="s">
        <v>108</v>
      </c>
      <c r="K1110" s="189" t="s">
        <v>158</v>
      </c>
      <c r="L1110" s="189" t="s">
        <v>197</v>
      </c>
      <c r="M1110" s="189" t="s">
        <v>160</v>
      </c>
      <c r="N1110" s="189" t="s">
        <v>775</v>
      </c>
      <c r="O1110" s="189" t="s">
        <v>172</v>
      </c>
      <c r="P1110" s="189" t="s">
        <v>111</v>
      </c>
      <c r="Q1110" s="189" t="s">
        <v>112</v>
      </c>
      <c r="R1110" s="189" t="s">
        <v>22</v>
      </c>
      <c r="S1110" s="189" t="s">
        <v>120</v>
      </c>
      <c r="T1110" s="189" t="s">
        <v>121</v>
      </c>
      <c r="U1110" s="189" t="s">
        <v>122</v>
      </c>
      <c r="V1110" s="189" t="s">
        <v>123</v>
      </c>
      <c r="W1110" s="189" t="s">
        <v>124</v>
      </c>
      <c r="X1110" s="189" t="s">
        <v>715</v>
      </c>
      <c r="Y1110" s="189" t="s">
        <v>3066</v>
      </c>
      <c r="Z1110" s="0" t="n">
        <v>1</v>
      </c>
      <c r="AA1110" s="189" t="s">
        <v>3226</v>
      </c>
    </row>
    <row r="1111" customFormat="false" ht="15" hidden="false" customHeight="false" outlineLevel="0" collapsed="false">
      <c r="A1111" s="0" t="n">
        <v>232</v>
      </c>
      <c r="B1111" s="191" t="n">
        <v>46050.5565012</v>
      </c>
      <c r="C1111" s="191" t="n">
        <v>46050.5650081444</v>
      </c>
      <c r="D1111" s="189" t="s">
        <v>1666</v>
      </c>
      <c r="E1111" s="189" t="s">
        <v>1667</v>
      </c>
      <c r="F1111" s="189" t="s">
        <v>1667</v>
      </c>
      <c r="G1111" s="189" t="s">
        <v>1668</v>
      </c>
      <c r="H1111" s="191" t="n">
        <v>46037</v>
      </c>
      <c r="I1111" s="189" t="s">
        <v>113</v>
      </c>
      <c r="J1111" s="189" t="s">
        <v>108</v>
      </c>
      <c r="K1111" s="189" t="s">
        <v>158</v>
      </c>
      <c r="L1111" s="189" t="s">
        <v>197</v>
      </c>
      <c r="M1111" s="189" t="s">
        <v>160</v>
      </c>
      <c r="N1111" s="189" t="s">
        <v>775</v>
      </c>
      <c r="O1111" s="189" t="s">
        <v>172</v>
      </c>
      <c r="P1111" s="189" t="s">
        <v>111</v>
      </c>
      <c r="Q1111" s="189" t="s">
        <v>112</v>
      </c>
      <c r="R1111" s="189" t="s">
        <v>22</v>
      </c>
      <c r="S1111" s="189" t="s">
        <v>120</v>
      </c>
      <c r="T1111" s="189" t="s">
        <v>121</v>
      </c>
      <c r="U1111" s="189" t="s">
        <v>122</v>
      </c>
      <c r="V1111" s="189" t="s">
        <v>123</v>
      </c>
      <c r="W1111" s="189" t="s">
        <v>124</v>
      </c>
      <c r="X1111" s="189" t="s">
        <v>715</v>
      </c>
      <c r="Y1111" s="189" t="s">
        <v>3069</v>
      </c>
      <c r="Z1111" s="0" t="n">
        <v>1</v>
      </c>
      <c r="AA1111" s="189" t="s">
        <v>3228</v>
      </c>
    </row>
    <row r="1112" customFormat="false" ht="15" hidden="false" customHeight="false" outlineLevel="0" collapsed="false">
      <c r="A1112" s="0" t="n">
        <v>232</v>
      </c>
      <c r="B1112" s="191" t="n">
        <v>46050.5565012</v>
      </c>
      <c r="C1112" s="191" t="n">
        <v>46050.5650081444</v>
      </c>
      <c r="D1112" s="189" t="s">
        <v>1666</v>
      </c>
      <c r="E1112" s="189" t="s">
        <v>1667</v>
      </c>
      <c r="F1112" s="189" t="s">
        <v>1667</v>
      </c>
      <c r="G1112" s="189" t="s">
        <v>1668</v>
      </c>
      <c r="H1112" s="191" t="n">
        <v>46037</v>
      </c>
      <c r="I1112" s="189" t="s">
        <v>113</v>
      </c>
      <c r="J1112" s="189" t="s">
        <v>108</v>
      </c>
      <c r="K1112" s="189" t="s">
        <v>158</v>
      </c>
      <c r="L1112" s="189" t="s">
        <v>197</v>
      </c>
      <c r="M1112" s="189" t="s">
        <v>160</v>
      </c>
      <c r="N1112" s="189" t="s">
        <v>775</v>
      </c>
      <c r="O1112" s="189" t="s">
        <v>172</v>
      </c>
      <c r="P1112" s="189" t="s">
        <v>111</v>
      </c>
      <c r="Q1112" s="189" t="s">
        <v>112</v>
      </c>
      <c r="R1112" s="189" t="s">
        <v>22</v>
      </c>
      <c r="S1112" s="189" t="s">
        <v>120</v>
      </c>
      <c r="T1112" s="189" t="s">
        <v>121</v>
      </c>
      <c r="U1112" s="189" t="s">
        <v>122</v>
      </c>
      <c r="V1112" s="189" t="s">
        <v>123</v>
      </c>
      <c r="W1112" s="189" t="s">
        <v>124</v>
      </c>
      <c r="X1112" s="189" t="s">
        <v>715</v>
      </c>
      <c r="Y1112" s="189" t="s">
        <v>3069</v>
      </c>
      <c r="Z1112" s="0" t="n">
        <v>2</v>
      </c>
      <c r="AA1112" s="189" t="s">
        <v>3256</v>
      </c>
    </row>
    <row r="1113" customFormat="false" ht="15" hidden="false" customHeight="false" outlineLevel="0" collapsed="false">
      <c r="A1113" s="0" t="n">
        <v>233</v>
      </c>
      <c r="B1113" s="191" t="n">
        <v>46062.5392299161</v>
      </c>
      <c r="C1113" s="191" t="n">
        <v>46062.5487090828</v>
      </c>
      <c r="D1113" s="189" t="s">
        <v>1670</v>
      </c>
      <c r="E1113" s="189" t="s">
        <v>1671</v>
      </c>
      <c r="F1113" s="189" t="s">
        <v>1671</v>
      </c>
      <c r="G1113" s="189" t="s">
        <v>1672</v>
      </c>
      <c r="H1113" s="191" t="n">
        <v>46057</v>
      </c>
      <c r="I1113" s="189" t="s">
        <v>113</v>
      </c>
      <c r="J1113" s="189" t="s">
        <v>128</v>
      </c>
      <c r="K1113" s="189" t="s">
        <v>1673</v>
      </c>
      <c r="L1113" s="189" t="s">
        <v>114</v>
      </c>
      <c r="M1113" s="189" t="s">
        <v>736</v>
      </c>
      <c r="N1113" s="189" t="s">
        <v>939</v>
      </c>
      <c r="O1113" s="189" t="s">
        <v>107</v>
      </c>
      <c r="P1113" s="189" t="s">
        <v>111</v>
      </c>
      <c r="Q1113" s="189" t="s">
        <v>112</v>
      </c>
      <c r="R1113" s="189" t="s">
        <v>22</v>
      </c>
      <c r="S1113" s="189" t="s">
        <v>152</v>
      </c>
      <c r="T1113" s="189" t="s">
        <v>121</v>
      </c>
      <c r="V1113" s="189" t="s">
        <v>167</v>
      </c>
      <c r="W1113" s="189" t="s">
        <v>168</v>
      </c>
      <c r="X1113" s="189" t="s">
        <v>381</v>
      </c>
      <c r="Y1113" s="189" t="s">
        <v>3064</v>
      </c>
      <c r="Z1113" s="0" t="n">
        <v>1</v>
      </c>
      <c r="AA1113" s="189" t="s">
        <v>3233</v>
      </c>
    </row>
    <row r="1114" customFormat="false" ht="15" hidden="false" customHeight="false" outlineLevel="0" collapsed="false">
      <c r="A1114" s="0" t="n">
        <v>233</v>
      </c>
      <c r="B1114" s="191" t="n">
        <v>46062.5392299161</v>
      </c>
      <c r="C1114" s="191" t="n">
        <v>46062.5487090828</v>
      </c>
      <c r="D1114" s="189" t="s">
        <v>1670</v>
      </c>
      <c r="E1114" s="189" t="s">
        <v>1671</v>
      </c>
      <c r="F1114" s="189" t="s">
        <v>1671</v>
      </c>
      <c r="G1114" s="189" t="s">
        <v>1672</v>
      </c>
      <c r="H1114" s="191" t="n">
        <v>46057</v>
      </c>
      <c r="I1114" s="189" t="s">
        <v>113</v>
      </c>
      <c r="J1114" s="189" t="s">
        <v>128</v>
      </c>
      <c r="K1114" s="189" t="s">
        <v>1673</v>
      </c>
      <c r="L1114" s="189" t="s">
        <v>114</v>
      </c>
      <c r="M1114" s="189" t="s">
        <v>736</v>
      </c>
      <c r="N1114" s="189" t="s">
        <v>939</v>
      </c>
      <c r="O1114" s="189" t="s">
        <v>107</v>
      </c>
      <c r="P1114" s="189" t="s">
        <v>111</v>
      </c>
      <c r="Q1114" s="189" t="s">
        <v>112</v>
      </c>
      <c r="R1114" s="189" t="s">
        <v>22</v>
      </c>
      <c r="S1114" s="189" t="s">
        <v>152</v>
      </c>
      <c r="T1114" s="189" t="s">
        <v>121</v>
      </c>
      <c r="V1114" s="189" t="s">
        <v>167</v>
      </c>
      <c r="W1114" s="189" t="s">
        <v>168</v>
      </c>
      <c r="X1114" s="189" t="s">
        <v>381</v>
      </c>
      <c r="Y1114" s="189" t="s">
        <v>3064</v>
      </c>
      <c r="Z1114" s="0" t="n">
        <v>2</v>
      </c>
      <c r="AA1114" s="189" t="s">
        <v>3180</v>
      </c>
    </row>
    <row r="1115" customFormat="false" ht="15" hidden="false" customHeight="false" outlineLevel="0" collapsed="false">
      <c r="A1115" s="0" t="n">
        <v>233</v>
      </c>
      <c r="B1115" s="191" t="n">
        <v>46062.5392299161</v>
      </c>
      <c r="C1115" s="191" t="n">
        <v>46062.5487090828</v>
      </c>
      <c r="D1115" s="189" t="s">
        <v>1670</v>
      </c>
      <c r="E1115" s="189" t="s">
        <v>1671</v>
      </c>
      <c r="F1115" s="189" t="s">
        <v>1671</v>
      </c>
      <c r="G1115" s="189" t="s">
        <v>1672</v>
      </c>
      <c r="H1115" s="191" t="n">
        <v>46057</v>
      </c>
      <c r="I1115" s="189" t="s">
        <v>113</v>
      </c>
      <c r="J1115" s="189" t="s">
        <v>128</v>
      </c>
      <c r="K1115" s="189" t="s">
        <v>1673</v>
      </c>
      <c r="L1115" s="189" t="s">
        <v>114</v>
      </c>
      <c r="M1115" s="189" t="s">
        <v>736</v>
      </c>
      <c r="N1115" s="189" t="s">
        <v>939</v>
      </c>
      <c r="O1115" s="189" t="s">
        <v>107</v>
      </c>
      <c r="P1115" s="189" t="s">
        <v>111</v>
      </c>
      <c r="Q1115" s="189" t="s">
        <v>112</v>
      </c>
      <c r="R1115" s="189" t="s">
        <v>22</v>
      </c>
      <c r="S1115" s="189" t="s">
        <v>152</v>
      </c>
      <c r="T1115" s="189" t="s">
        <v>121</v>
      </c>
      <c r="V1115" s="189" t="s">
        <v>167</v>
      </c>
      <c r="W1115" s="189" t="s">
        <v>168</v>
      </c>
      <c r="X1115" s="189" t="s">
        <v>381</v>
      </c>
      <c r="Y1115" s="189" t="s">
        <v>3064</v>
      </c>
      <c r="Z1115" s="0" t="n">
        <v>3</v>
      </c>
      <c r="AA1115" s="189" t="s">
        <v>3249</v>
      </c>
    </row>
    <row r="1116" customFormat="false" ht="15" hidden="false" customHeight="false" outlineLevel="0" collapsed="false">
      <c r="A1116" s="0" t="n">
        <v>233</v>
      </c>
      <c r="B1116" s="191" t="n">
        <v>46062.5392299161</v>
      </c>
      <c r="C1116" s="191" t="n">
        <v>46062.5487090828</v>
      </c>
      <c r="D1116" s="189" t="s">
        <v>1670</v>
      </c>
      <c r="E1116" s="189" t="s">
        <v>1671</v>
      </c>
      <c r="F1116" s="189" t="s">
        <v>1671</v>
      </c>
      <c r="G1116" s="189" t="s">
        <v>1672</v>
      </c>
      <c r="H1116" s="191" t="n">
        <v>46057</v>
      </c>
      <c r="I1116" s="189" t="s">
        <v>113</v>
      </c>
      <c r="J1116" s="189" t="s">
        <v>128</v>
      </c>
      <c r="K1116" s="189" t="s">
        <v>1673</v>
      </c>
      <c r="L1116" s="189" t="s">
        <v>114</v>
      </c>
      <c r="M1116" s="189" t="s">
        <v>736</v>
      </c>
      <c r="N1116" s="189" t="s">
        <v>939</v>
      </c>
      <c r="O1116" s="189" t="s">
        <v>107</v>
      </c>
      <c r="P1116" s="189" t="s">
        <v>111</v>
      </c>
      <c r="Q1116" s="189" t="s">
        <v>112</v>
      </c>
      <c r="R1116" s="189" t="s">
        <v>22</v>
      </c>
      <c r="S1116" s="189" t="s">
        <v>152</v>
      </c>
      <c r="T1116" s="189" t="s">
        <v>121</v>
      </c>
      <c r="V1116" s="189" t="s">
        <v>167</v>
      </c>
      <c r="W1116" s="189" t="s">
        <v>168</v>
      </c>
      <c r="X1116" s="189" t="s">
        <v>381</v>
      </c>
      <c r="Y1116" s="189" t="s">
        <v>3066</v>
      </c>
      <c r="Z1116" s="0" t="n">
        <v>1</v>
      </c>
      <c r="AA1116" s="189" t="s">
        <v>3160</v>
      </c>
    </row>
    <row r="1117" customFormat="false" ht="15" hidden="false" customHeight="false" outlineLevel="0" collapsed="false">
      <c r="A1117" s="0" t="n">
        <v>233</v>
      </c>
      <c r="B1117" s="191" t="n">
        <v>46062.5392299161</v>
      </c>
      <c r="C1117" s="191" t="n">
        <v>46062.5487090828</v>
      </c>
      <c r="D1117" s="189" t="s">
        <v>1670</v>
      </c>
      <c r="E1117" s="189" t="s">
        <v>1671</v>
      </c>
      <c r="F1117" s="189" t="s">
        <v>1671</v>
      </c>
      <c r="G1117" s="189" t="s">
        <v>1672</v>
      </c>
      <c r="H1117" s="191" t="n">
        <v>46057</v>
      </c>
      <c r="I1117" s="189" t="s">
        <v>113</v>
      </c>
      <c r="J1117" s="189" t="s">
        <v>128</v>
      </c>
      <c r="K1117" s="189" t="s">
        <v>1673</v>
      </c>
      <c r="L1117" s="189" t="s">
        <v>114</v>
      </c>
      <c r="M1117" s="189" t="s">
        <v>736</v>
      </c>
      <c r="N1117" s="189" t="s">
        <v>939</v>
      </c>
      <c r="O1117" s="189" t="s">
        <v>107</v>
      </c>
      <c r="P1117" s="189" t="s">
        <v>111</v>
      </c>
      <c r="Q1117" s="189" t="s">
        <v>112</v>
      </c>
      <c r="R1117" s="189" t="s">
        <v>22</v>
      </c>
      <c r="S1117" s="189" t="s">
        <v>152</v>
      </c>
      <c r="T1117" s="189" t="s">
        <v>121</v>
      </c>
      <c r="V1117" s="189" t="s">
        <v>167</v>
      </c>
      <c r="W1117" s="189" t="s">
        <v>168</v>
      </c>
      <c r="X1117" s="189" t="s">
        <v>381</v>
      </c>
      <c r="Y1117" s="189" t="s">
        <v>3066</v>
      </c>
      <c r="Z1117" s="0" t="n">
        <v>2</v>
      </c>
      <c r="AA1117" s="189" t="s">
        <v>3161</v>
      </c>
    </row>
    <row r="1118" customFormat="false" ht="15" hidden="false" customHeight="false" outlineLevel="0" collapsed="false">
      <c r="A1118" s="0" t="n">
        <v>233</v>
      </c>
      <c r="B1118" s="191" t="n">
        <v>46062.5392299161</v>
      </c>
      <c r="C1118" s="191" t="n">
        <v>46062.5487090828</v>
      </c>
      <c r="D1118" s="189" t="s">
        <v>1670</v>
      </c>
      <c r="E1118" s="189" t="s">
        <v>1671</v>
      </c>
      <c r="F1118" s="189" t="s">
        <v>1671</v>
      </c>
      <c r="G1118" s="189" t="s">
        <v>1672</v>
      </c>
      <c r="H1118" s="191" t="n">
        <v>46057</v>
      </c>
      <c r="I1118" s="189" t="s">
        <v>113</v>
      </c>
      <c r="J1118" s="189" t="s">
        <v>128</v>
      </c>
      <c r="K1118" s="189" t="s">
        <v>1673</v>
      </c>
      <c r="L1118" s="189" t="s">
        <v>114</v>
      </c>
      <c r="M1118" s="189" t="s">
        <v>736</v>
      </c>
      <c r="N1118" s="189" t="s">
        <v>939</v>
      </c>
      <c r="O1118" s="189" t="s">
        <v>107</v>
      </c>
      <c r="P1118" s="189" t="s">
        <v>111</v>
      </c>
      <c r="Q1118" s="189" t="s">
        <v>112</v>
      </c>
      <c r="R1118" s="189" t="s">
        <v>22</v>
      </c>
      <c r="S1118" s="189" t="s">
        <v>152</v>
      </c>
      <c r="T1118" s="189" t="s">
        <v>121</v>
      </c>
      <c r="V1118" s="189" t="s">
        <v>167</v>
      </c>
      <c r="W1118" s="189" t="s">
        <v>168</v>
      </c>
      <c r="X1118" s="189" t="s">
        <v>381</v>
      </c>
      <c r="Y1118" s="189" t="s">
        <v>3069</v>
      </c>
      <c r="Z1118" s="0" t="n">
        <v>1</v>
      </c>
      <c r="AA1118" s="189" t="s">
        <v>3181</v>
      </c>
    </row>
    <row r="1119" customFormat="false" ht="15" hidden="false" customHeight="false" outlineLevel="0" collapsed="false">
      <c r="A1119" s="0" t="n">
        <v>233</v>
      </c>
      <c r="B1119" s="191" t="n">
        <v>46062.5392299161</v>
      </c>
      <c r="C1119" s="191" t="n">
        <v>46062.5487090828</v>
      </c>
      <c r="D1119" s="189" t="s">
        <v>1670</v>
      </c>
      <c r="E1119" s="189" t="s">
        <v>1671</v>
      </c>
      <c r="F1119" s="189" t="s">
        <v>1671</v>
      </c>
      <c r="G1119" s="189" t="s">
        <v>1672</v>
      </c>
      <c r="H1119" s="191" t="n">
        <v>46057</v>
      </c>
      <c r="I1119" s="189" t="s">
        <v>113</v>
      </c>
      <c r="J1119" s="189" t="s">
        <v>128</v>
      </c>
      <c r="K1119" s="189" t="s">
        <v>1673</v>
      </c>
      <c r="L1119" s="189" t="s">
        <v>114</v>
      </c>
      <c r="M1119" s="189" t="s">
        <v>736</v>
      </c>
      <c r="N1119" s="189" t="s">
        <v>939</v>
      </c>
      <c r="O1119" s="189" t="s">
        <v>107</v>
      </c>
      <c r="P1119" s="189" t="s">
        <v>111</v>
      </c>
      <c r="Q1119" s="189" t="s">
        <v>112</v>
      </c>
      <c r="R1119" s="189" t="s">
        <v>22</v>
      </c>
      <c r="S1119" s="189" t="s">
        <v>152</v>
      </c>
      <c r="T1119" s="189" t="s">
        <v>121</v>
      </c>
      <c r="V1119" s="189" t="s">
        <v>167</v>
      </c>
      <c r="W1119" s="189" t="s">
        <v>168</v>
      </c>
      <c r="X1119" s="189" t="s">
        <v>381</v>
      </c>
      <c r="Y1119" s="189" t="s">
        <v>3069</v>
      </c>
      <c r="Z1119" s="0" t="n">
        <v>2</v>
      </c>
      <c r="AA1119" s="189" t="s">
        <v>3162</v>
      </c>
    </row>
    <row r="1120" customFormat="false" ht="15" hidden="false" customHeight="false" outlineLevel="0" collapsed="false">
      <c r="A1120" s="0" t="n">
        <v>234</v>
      </c>
      <c r="B1120" s="191" t="n">
        <v>46062.5393433089</v>
      </c>
      <c r="C1120" s="191" t="n">
        <v>46062.5510562719</v>
      </c>
      <c r="D1120" s="189" t="s">
        <v>1675</v>
      </c>
      <c r="E1120" s="189" t="s">
        <v>1676</v>
      </c>
      <c r="F1120" s="189" t="s">
        <v>1676</v>
      </c>
      <c r="G1120" s="189" t="s">
        <v>1677</v>
      </c>
      <c r="H1120" s="191" t="n">
        <v>46045</v>
      </c>
      <c r="I1120" s="189" t="s">
        <v>113</v>
      </c>
      <c r="J1120" s="189" t="s">
        <v>108</v>
      </c>
      <c r="K1120" s="189" t="s">
        <v>196</v>
      </c>
      <c r="L1120" s="189" t="s">
        <v>159</v>
      </c>
      <c r="M1120" s="189" t="s">
        <v>397</v>
      </c>
      <c r="N1120" s="189" t="s">
        <v>1224</v>
      </c>
      <c r="O1120" s="189" t="s">
        <v>107</v>
      </c>
      <c r="P1120" s="189" t="s">
        <v>111</v>
      </c>
      <c r="Q1120" s="189" t="s">
        <v>112</v>
      </c>
      <c r="R1120" s="189" t="s">
        <v>25</v>
      </c>
      <c r="S1120" s="189" t="s">
        <v>152</v>
      </c>
      <c r="T1120" s="189" t="s">
        <v>121</v>
      </c>
      <c r="U1120" s="189" t="s">
        <v>961</v>
      </c>
      <c r="V1120" s="189" t="s">
        <v>167</v>
      </c>
      <c r="W1120" s="189" t="s">
        <v>168</v>
      </c>
      <c r="X1120" s="189" t="s">
        <v>687</v>
      </c>
      <c r="Y1120" s="189" t="s">
        <v>3064</v>
      </c>
      <c r="Z1120" s="0" t="n">
        <v>1</v>
      </c>
      <c r="AA1120" s="189" t="s">
        <v>3302</v>
      </c>
    </row>
    <row r="1121" customFormat="false" ht="15" hidden="false" customHeight="false" outlineLevel="0" collapsed="false">
      <c r="A1121" s="0" t="n">
        <v>234</v>
      </c>
      <c r="B1121" s="191" t="n">
        <v>46062.5393433089</v>
      </c>
      <c r="C1121" s="191" t="n">
        <v>46062.5510562719</v>
      </c>
      <c r="D1121" s="189" t="s">
        <v>1675</v>
      </c>
      <c r="E1121" s="189" t="s">
        <v>1676</v>
      </c>
      <c r="F1121" s="189" t="s">
        <v>1676</v>
      </c>
      <c r="G1121" s="189" t="s">
        <v>1677</v>
      </c>
      <c r="H1121" s="191" t="n">
        <v>46045</v>
      </c>
      <c r="I1121" s="189" t="s">
        <v>113</v>
      </c>
      <c r="J1121" s="189" t="s">
        <v>108</v>
      </c>
      <c r="K1121" s="189" t="s">
        <v>196</v>
      </c>
      <c r="L1121" s="189" t="s">
        <v>159</v>
      </c>
      <c r="M1121" s="189" t="s">
        <v>397</v>
      </c>
      <c r="N1121" s="189" t="s">
        <v>1224</v>
      </c>
      <c r="O1121" s="189" t="s">
        <v>107</v>
      </c>
      <c r="P1121" s="189" t="s">
        <v>111</v>
      </c>
      <c r="Q1121" s="189" t="s">
        <v>112</v>
      </c>
      <c r="R1121" s="189" t="s">
        <v>25</v>
      </c>
      <c r="S1121" s="189" t="s">
        <v>152</v>
      </c>
      <c r="T1121" s="189" t="s">
        <v>121</v>
      </c>
      <c r="U1121" s="189" t="s">
        <v>961</v>
      </c>
      <c r="V1121" s="189" t="s">
        <v>167</v>
      </c>
      <c r="W1121" s="189" t="s">
        <v>168</v>
      </c>
      <c r="X1121" s="189" t="s">
        <v>687</v>
      </c>
      <c r="Y1121" s="189" t="s">
        <v>3066</v>
      </c>
      <c r="Z1121" s="0" t="n">
        <v>1</v>
      </c>
      <c r="AA1121" s="189" t="s">
        <v>3219</v>
      </c>
    </row>
    <row r="1122" customFormat="false" ht="15" hidden="false" customHeight="false" outlineLevel="0" collapsed="false">
      <c r="A1122" s="0" t="n">
        <v>234</v>
      </c>
      <c r="B1122" s="191" t="n">
        <v>46062.5393433089</v>
      </c>
      <c r="C1122" s="191" t="n">
        <v>46062.5510562719</v>
      </c>
      <c r="D1122" s="189" t="s">
        <v>1675</v>
      </c>
      <c r="E1122" s="189" t="s">
        <v>1676</v>
      </c>
      <c r="F1122" s="189" t="s">
        <v>1676</v>
      </c>
      <c r="G1122" s="189" t="s">
        <v>1677</v>
      </c>
      <c r="H1122" s="191" t="n">
        <v>46045</v>
      </c>
      <c r="I1122" s="189" t="s">
        <v>113</v>
      </c>
      <c r="J1122" s="189" t="s">
        <v>108</v>
      </c>
      <c r="K1122" s="189" t="s">
        <v>196</v>
      </c>
      <c r="L1122" s="189" t="s">
        <v>159</v>
      </c>
      <c r="M1122" s="189" t="s">
        <v>397</v>
      </c>
      <c r="N1122" s="189" t="s">
        <v>1224</v>
      </c>
      <c r="O1122" s="189" t="s">
        <v>107</v>
      </c>
      <c r="P1122" s="189" t="s">
        <v>111</v>
      </c>
      <c r="Q1122" s="189" t="s">
        <v>112</v>
      </c>
      <c r="R1122" s="189" t="s">
        <v>25</v>
      </c>
      <c r="S1122" s="189" t="s">
        <v>152</v>
      </c>
      <c r="T1122" s="189" t="s">
        <v>121</v>
      </c>
      <c r="U1122" s="189" t="s">
        <v>961</v>
      </c>
      <c r="V1122" s="189" t="s">
        <v>167</v>
      </c>
      <c r="W1122" s="189" t="s">
        <v>168</v>
      </c>
      <c r="X1122" s="189" t="s">
        <v>687</v>
      </c>
      <c r="Y1122" s="189" t="s">
        <v>3069</v>
      </c>
      <c r="Z1122" s="0" t="n">
        <v>1</v>
      </c>
      <c r="AA1122" s="189" t="s">
        <v>3221</v>
      </c>
    </row>
    <row r="1123" customFormat="false" ht="15" hidden="false" customHeight="false" outlineLevel="0" collapsed="false">
      <c r="A1123" s="0" t="n">
        <v>234</v>
      </c>
      <c r="B1123" s="191" t="n">
        <v>46062.5393433089</v>
      </c>
      <c r="C1123" s="191" t="n">
        <v>46062.5510562719</v>
      </c>
      <c r="D1123" s="189" t="s">
        <v>1675</v>
      </c>
      <c r="E1123" s="189" t="s">
        <v>1676</v>
      </c>
      <c r="F1123" s="189" t="s">
        <v>1676</v>
      </c>
      <c r="G1123" s="189" t="s">
        <v>1677</v>
      </c>
      <c r="H1123" s="191" t="n">
        <v>46045</v>
      </c>
      <c r="I1123" s="189" t="s">
        <v>113</v>
      </c>
      <c r="J1123" s="189" t="s">
        <v>108</v>
      </c>
      <c r="K1123" s="189" t="s">
        <v>196</v>
      </c>
      <c r="L1123" s="189" t="s">
        <v>159</v>
      </c>
      <c r="M1123" s="189" t="s">
        <v>397</v>
      </c>
      <c r="N1123" s="189" t="s">
        <v>1224</v>
      </c>
      <c r="O1123" s="189" t="s">
        <v>107</v>
      </c>
      <c r="P1123" s="189" t="s">
        <v>111</v>
      </c>
      <c r="Q1123" s="189" t="s">
        <v>112</v>
      </c>
      <c r="R1123" s="189" t="s">
        <v>25</v>
      </c>
      <c r="S1123" s="189" t="s">
        <v>152</v>
      </c>
      <c r="T1123" s="189" t="s">
        <v>121</v>
      </c>
      <c r="U1123" s="189" t="s">
        <v>961</v>
      </c>
      <c r="V1123" s="189" t="s">
        <v>167</v>
      </c>
      <c r="W1123" s="189" t="s">
        <v>168</v>
      </c>
      <c r="X1123" s="189" t="s">
        <v>687</v>
      </c>
      <c r="Y1123" s="189" t="s">
        <v>3069</v>
      </c>
      <c r="Z1123" s="0" t="n">
        <v>2</v>
      </c>
      <c r="AA1123" s="189" t="s">
        <v>3222</v>
      </c>
    </row>
    <row r="1124" customFormat="false" ht="15" hidden="false" customHeight="false" outlineLevel="0" collapsed="false">
      <c r="A1124" s="0" t="n">
        <v>235</v>
      </c>
      <c r="B1124" s="191" t="n">
        <v>46114.6858689637</v>
      </c>
      <c r="C1124" s="191" t="n">
        <v>46114.6941444266</v>
      </c>
      <c r="D1124" s="189" t="s">
        <v>1680</v>
      </c>
      <c r="E1124" s="189" t="s">
        <v>1681</v>
      </c>
      <c r="F1124" s="189" t="s">
        <v>1681</v>
      </c>
      <c r="G1124" s="189" t="s">
        <v>1682</v>
      </c>
      <c r="H1124" s="191" t="n">
        <v>46099</v>
      </c>
      <c r="I1124" s="189" t="s">
        <v>113</v>
      </c>
      <c r="J1124" s="189" t="s">
        <v>295</v>
      </c>
      <c r="K1124" s="189" t="s">
        <v>196</v>
      </c>
      <c r="L1124" s="189" t="s">
        <v>184</v>
      </c>
      <c r="M1124" s="189" t="s">
        <v>391</v>
      </c>
      <c r="N1124" s="189" t="s">
        <v>297</v>
      </c>
      <c r="O1124" s="189" t="s">
        <v>244</v>
      </c>
      <c r="P1124" s="189" t="s">
        <v>111</v>
      </c>
      <c r="Q1124" s="189" t="s">
        <v>112</v>
      </c>
      <c r="R1124" s="189" t="s">
        <v>21</v>
      </c>
      <c r="S1124" s="189" t="s">
        <v>120</v>
      </c>
      <c r="T1124" s="189" t="s">
        <v>121</v>
      </c>
      <c r="V1124" s="189" t="s">
        <v>123</v>
      </c>
      <c r="W1124" s="189" t="s">
        <v>124</v>
      </c>
      <c r="X1124" s="189" t="s">
        <v>187</v>
      </c>
      <c r="Y1124" s="189" t="s">
        <v>3064</v>
      </c>
      <c r="Z1124" s="0" t="n">
        <v>1</v>
      </c>
      <c r="AA1124" s="189" t="s">
        <v>3089</v>
      </c>
    </row>
    <row r="1125" customFormat="false" ht="15" hidden="false" customHeight="false" outlineLevel="0" collapsed="false">
      <c r="A1125" s="0" t="n">
        <v>235</v>
      </c>
      <c r="B1125" s="191" t="n">
        <v>46114.6858689637</v>
      </c>
      <c r="C1125" s="191" t="n">
        <v>46114.6941444266</v>
      </c>
      <c r="D1125" s="189" t="s">
        <v>1680</v>
      </c>
      <c r="E1125" s="189" t="s">
        <v>1681</v>
      </c>
      <c r="F1125" s="189" t="s">
        <v>1681</v>
      </c>
      <c r="G1125" s="189" t="s">
        <v>1682</v>
      </c>
      <c r="H1125" s="191" t="n">
        <v>46099</v>
      </c>
      <c r="I1125" s="189" t="s">
        <v>113</v>
      </c>
      <c r="J1125" s="189" t="s">
        <v>295</v>
      </c>
      <c r="K1125" s="189" t="s">
        <v>196</v>
      </c>
      <c r="L1125" s="189" t="s">
        <v>184</v>
      </c>
      <c r="M1125" s="189" t="s">
        <v>391</v>
      </c>
      <c r="N1125" s="189" t="s">
        <v>297</v>
      </c>
      <c r="O1125" s="189" t="s">
        <v>244</v>
      </c>
      <c r="P1125" s="189" t="s">
        <v>111</v>
      </c>
      <c r="Q1125" s="189" t="s">
        <v>112</v>
      </c>
      <c r="R1125" s="189" t="s">
        <v>21</v>
      </c>
      <c r="S1125" s="189" t="s">
        <v>120</v>
      </c>
      <c r="T1125" s="189" t="s">
        <v>121</v>
      </c>
      <c r="V1125" s="189" t="s">
        <v>123</v>
      </c>
      <c r="W1125" s="189" t="s">
        <v>124</v>
      </c>
      <c r="X1125" s="189" t="s">
        <v>187</v>
      </c>
      <c r="Y1125" s="189" t="s">
        <v>3066</v>
      </c>
      <c r="Z1125" s="0" t="n">
        <v>1</v>
      </c>
      <c r="AA1125" s="189" t="s">
        <v>3167</v>
      </c>
    </row>
    <row r="1126" customFormat="false" ht="15" hidden="false" customHeight="false" outlineLevel="0" collapsed="false">
      <c r="A1126" s="0" t="n">
        <v>235</v>
      </c>
      <c r="B1126" s="191" t="n">
        <v>46114.6858689637</v>
      </c>
      <c r="C1126" s="191" t="n">
        <v>46114.6941444266</v>
      </c>
      <c r="D1126" s="189" t="s">
        <v>1680</v>
      </c>
      <c r="E1126" s="189" t="s">
        <v>1681</v>
      </c>
      <c r="F1126" s="189" t="s">
        <v>1681</v>
      </c>
      <c r="G1126" s="189" t="s">
        <v>1682</v>
      </c>
      <c r="H1126" s="191" t="n">
        <v>46099</v>
      </c>
      <c r="I1126" s="189" t="s">
        <v>113</v>
      </c>
      <c r="J1126" s="189" t="s">
        <v>295</v>
      </c>
      <c r="K1126" s="189" t="s">
        <v>196</v>
      </c>
      <c r="L1126" s="189" t="s">
        <v>184</v>
      </c>
      <c r="M1126" s="189" t="s">
        <v>391</v>
      </c>
      <c r="N1126" s="189" t="s">
        <v>297</v>
      </c>
      <c r="O1126" s="189" t="s">
        <v>244</v>
      </c>
      <c r="P1126" s="189" t="s">
        <v>111</v>
      </c>
      <c r="Q1126" s="189" t="s">
        <v>112</v>
      </c>
      <c r="R1126" s="189" t="s">
        <v>21</v>
      </c>
      <c r="S1126" s="189" t="s">
        <v>120</v>
      </c>
      <c r="T1126" s="189" t="s">
        <v>121</v>
      </c>
      <c r="V1126" s="189" t="s">
        <v>123</v>
      </c>
      <c r="W1126" s="189" t="s">
        <v>124</v>
      </c>
      <c r="X1126" s="189" t="s">
        <v>187</v>
      </c>
      <c r="Y1126" s="189" t="s">
        <v>3069</v>
      </c>
      <c r="Z1126" s="0" t="n">
        <v>1</v>
      </c>
      <c r="AA1126" s="189" t="s">
        <v>3091</v>
      </c>
    </row>
    <row r="1127" customFormat="false" ht="15" hidden="false" customHeight="false" outlineLevel="0" collapsed="false">
      <c r="A1127" s="0" t="n">
        <v>236</v>
      </c>
      <c r="B1127" s="191" t="n">
        <v>46109.4057047272</v>
      </c>
      <c r="C1127" s="191" t="n">
        <v>46109.4213644495</v>
      </c>
      <c r="D1127" s="189" t="s">
        <v>1683</v>
      </c>
      <c r="E1127" s="189" t="s">
        <v>1684</v>
      </c>
      <c r="F1127" s="189" t="s">
        <v>1684</v>
      </c>
      <c r="G1127" s="189" t="s">
        <v>1685</v>
      </c>
      <c r="H1127" s="191" t="n">
        <v>46095</v>
      </c>
      <c r="I1127" s="189" t="s">
        <v>132</v>
      </c>
      <c r="J1127" s="189" t="s">
        <v>108</v>
      </c>
      <c r="K1127" s="189" t="s">
        <v>245</v>
      </c>
      <c r="L1127" s="189" t="s">
        <v>491</v>
      </c>
      <c r="M1127" s="189" t="s">
        <v>515</v>
      </c>
      <c r="N1127" s="189" t="s">
        <v>1078</v>
      </c>
      <c r="O1127" s="189" t="s">
        <v>107</v>
      </c>
      <c r="P1127" s="189" t="s">
        <v>131</v>
      </c>
      <c r="Q1127" s="189" t="s">
        <v>145</v>
      </c>
      <c r="R1127" s="189" t="s">
        <v>22</v>
      </c>
      <c r="S1127" s="189" t="s">
        <v>227</v>
      </c>
      <c r="T1127" s="189" t="s">
        <v>121</v>
      </c>
      <c r="U1127" s="189" t="s">
        <v>122</v>
      </c>
      <c r="V1127" s="189" t="s">
        <v>167</v>
      </c>
      <c r="W1127" s="189" t="s">
        <v>124</v>
      </c>
      <c r="X1127" s="189" t="s">
        <v>148</v>
      </c>
      <c r="Y1127" s="189" t="s">
        <v>3064</v>
      </c>
      <c r="Z1127" s="0" t="n">
        <v>1</v>
      </c>
      <c r="AA1127" s="189" t="s">
        <v>3122</v>
      </c>
    </row>
    <row r="1128" customFormat="false" ht="15" hidden="false" customHeight="false" outlineLevel="0" collapsed="false">
      <c r="A1128" s="0" t="n">
        <v>236</v>
      </c>
      <c r="B1128" s="191" t="n">
        <v>46109.4057047272</v>
      </c>
      <c r="C1128" s="191" t="n">
        <v>46109.4213644495</v>
      </c>
      <c r="D1128" s="189" t="s">
        <v>1683</v>
      </c>
      <c r="E1128" s="189" t="s">
        <v>1684</v>
      </c>
      <c r="F1128" s="189" t="s">
        <v>1684</v>
      </c>
      <c r="G1128" s="189" t="s">
        <v>1685</v>
      </c>
      <c r="H1128" s="191" t="n">
        <v>46095</v>
      </c>
      <c r="I1128" s="189" t="s">
        <v>132</v>
      </c>
      <c r="J1128" s="189" t="s">
        <v>108</v>
      </c>
      <c r="K1128" s="189" t="s">
        <v>245</v>
      </c>
      <c r="L1128" s="189" t="s">
        <v>491</v>
      </c>
      <c r="M1128" s="189" t="s">
        <v>515</v>
      </c>
      <c r="N1128" s="189" t="s">
        <v>1078</v>
      </c>
      <c r="O1128" s="189" t="s">
        <v>107</v>
      </c>
      <c r="P1128" s="189" t="s">
        <v>131</v>
      </c>
      <c r="Q1128" s="189" t="s">
        <v>145</v>
      </c>
      <c r="R1128" s="189" t="s">
        <v>22</v>
      </c>
      <c r="S1128" s="189" t="s">
        <v>227</v>
      </c>
      <c r="T1128" s="189" t="s">
        <v>121</v>
      </c>
      <c r="U1128" s="189" t="s">
        <v>122</v>
      </c>
      <c r="V1128" s="189" t="s">
        <v>167</v>
      </c>
      <c r="W1128" s="189" t="s">
        <v>124</v>
      </c>
      <c r="X1128" s="189" t="s">
        <v>148</v>
      </c>
      <c r="Y1128" s="189" t="s">
        <v>3064</v>
      </c>
      <c r="Z1128" s="0" t="n">
        <v>2</v>
      </c>
      <c r="AA1128" s="189" t="s">
        <v>3092</v>
      </c>
    </row>
    <row r="1129" customFormat="false" ht="15" hidden="false" customHeight="false" outlineLevel="0" collapsed="false">
      <c r="A1129" s="0" t="n">
        <v>236</v>
      </c>
      <c r="B1129" s="191" t="n">
        <v>46109.4057047272</v>
      </c>
      <c r="C1129" s="191" t="n">
        <v>46109.4213644495</v>
      </c>
      <c r="D1129" s="189" t="s">
        <v>1683</v>
      </c>
      <c r="E1129" s="189" t="s">
        <v>1684</v>
      </c>
      <c r="F1129" s="189" t="s">
        <v>1684</v>
      </c>
      <c r="G1129" s="189" t="s">
        <v>1685</v>
      </c>
      <c r="H1129" s="191" t="n">
        <v>46095</v>
      </c>
      <c r="I1129" s="189" t="s">
        <v>132</v>
      </c>
      <c r="J1129" s="189" t="s">
        <v>108</v>
      </c>
      <c r="K1129" s="189" t="s">
        <v>245</v>
      </c>
      <c r="L1129" s="189" t="s">
        <v>491</v>
      </c>
      <c r="M1129" s="189" t="s">
        <v>515</v>
      </c>
      <c r="N1129" s="189" t="s">
        <v>1078</v>
      </c>
      <c r="O1129" s="189" t="s">
        <v>107</v>
      </c>
      <c r="P1129" s="189" t="s">
        <v>131</v>
      </c>
      <c r="Q1129" s="189" t="s">
        <v>145</v>
      </c>
      <c r="R1129" s="189" t="s">
        <v>22</v>
      </c>
      <c r="S1129" s="189" t="s">
        <v>227</v>
      </c>
      <c r="T1129" s="189" t="s">
        <v>121</v>
      </c>
      <c r="U1129" s="189" t="s">
        <v>122</v>
      </c>
      <c r="V1129" s="189" t="s">
        <v>167</v>
      </c>
      <c r="W1129" s="189" t="s">
        <v>124</v>
      </c>
      <c r="X1129" s="189" t="s">
        <v>148</v>
      </c>
      <c r="Y1129" s="189" t="s">
        <v>3064</v>
      </c>
      <c r="Z1129" s="0" t="n">
        <v>3</v>
      </c>
      <c r="AA1129" s="189" t="s">
        <v>3281</v>
      </c>
    </row>
    <row r="1130" customFormat="false" ht="15" hidden="false" customHeight="false" outlineLevel="0" collapsed="false">
      <c r="A1130" s="0" t="n">
        <v>236</v>
      </c>
      <c r="B1130" s="191" t="n">
        <v>46109.4057047272</v>
      </c>
      <c r="C1130" s="191" t="n">
        <v>46109.4213644495</v>
      </c>
      <c r="D1130" s="189" t="s">
        <v>1683</v>
      </c>
      <c r="E1130" s="189" t="s">
        <v>1684</v>
      </c>
      <c r="F1130" s="189" t="s">
        <v>1684</v>
      </c>
      <c r="G1130" s="189" t="s">
        <v>1685</v>
      </c>
      <c r="H1130" s="191" t="n">
        <v>46095</v>
      </c>
      <c r="I1130" s="189" t="s">
        <v>132</v>
      </c>
      <c r="J1130" s="189" t="s">
        <v>108</v>
      </c>
      <c r="K1130" s="189" t="s">
        <v>245</v>
      </c>
      <c r="L1130" s="189" t="s">
        <v>491</v>
      </c>
      <c r="M1130" s="189" t="s">
        <v>515</v>
      </c>
      <c r="N1130" s="189" t="s">
        <v>1078</v>
      </c>
      <c r="O1130" s="189" t="s">
        <v>107</v>
      </c>
      <c r="P1130" s="189" t="s">
        <v>131</v>
      </c>
      <c r="Q1130" s="189" t="s">
        <v>145</v>
      </c>
      <c r="R1130" s="189" t="s">
        <v>22</v>
      </c>
      <c r="S1130" s="189" t="s">
        <v>227</v>
      </c>
      <c r="T1130" s="189" t="s">
        <v>121</v>
      </c>
      <c r="U1130" s="189" t="s">
        <v>122</v>
      </c>
      <c r="V1130" s="189" t="s">
        <v>167</v>
      </c>
      <c r="W1130" s="189" t="s">
        <v>124</v>
      </c>
      <c r="X1130" s="189" t="s">
        <v>148</v>
      </c>
      <c r="Y1130" s="189" t="s">
        <v>3066</v>
      </c>
      <c r="Z1130" s="0" t="n">
        <v>1</v>
      </c>
      <c r="AA1130" s="189" t="s">
        <v>3077</v>
      </c>
    </row>
    <row r="1131" customFormat="false" ht="15" hidden="false" customHeight="false" outlineLevel="0" collapsed="false">
      <c r="A1131" s="0" t="n">
        <v>236</v>
      </c>
      <c r="B1131" s="191" t="n">
        <v>46109.4057047272</v>
      </c>
      <c r="C1131" s="191" t="n">
        <v>46109.4213644495</v>
      </c>
      <c r="D1131" s="189" t="s">
        <v>1683</v>
      </c>
      <c r="E1131" s="189" t="s">
        <v>1684</v>
      </c>
      <c r="F1131" s="189" t="s">
        <v>1684</v>
      </c>
      <c r="G1131" s="189" t="s">
        <v>1685</v>
      </c>
      <c r="H1131" s="191" t="n">
        <v>46095</v>
      </c>
      <c r="I1131" s="189" t="s">
        <v>132</v>
      </c>
      <c r="J1131" s="189" t="s">
        <v>108</v>
      </c>
      <c r="K1131" s="189" t="s">
        <v>245</v>
      </c>
      <c r="L1131" s="189" t="s">
        <v>491</v>
      </c>
      <c r="M1131" s="189" t="s">
        <v>515</v>
      </c>
      <c r="N1131" s="189" t="s">
        <v>1078</v>
      </c>
      <c r="O1131" s="189" t="s">
        <v>107</v>
      </c>
      <c r="P1131" s="189" t="s">
        <v>131</v>
      </c>
      <c r="Q1131" s="189" t="s">
        <v>145</v>
      </c>
      <c r="R1131" s="189" t="s">
        <v>22</v>
      </c>
      <c r="S1131" s="189" t="s">
        <v>227</v>
      </c>
      <c r="T1131" s="189" t="s">
        <v>121</v>
      </c>
      <c r="U1131" s="189" t="s">
        <v>122</v>
      </c>
      <c r="V1131" s="189" t="s">
        <v>167</v>
      </c>
      <c r="W1131" s="189" t="s">
        <v>124</v>
      </c>
      <c r="X1131" s="189" t="s">
        <v>148</v>
      </c>
      <c r="Y1131" s="189" t="s">
        <v>3069</v>
      </c>
      <c r="Z1131" s="0" t="n">
        <v>1</v>
      </c>
      <c r="AA1131" s="189" t="s">
        <v>3188</v>
      </c>
    </row>
    <row r="1132" customFormat="false" ht="15" hidden="false" customHeight="false" outlineLevel="0" collapsed="false">
      <c r="A1132" s="0" t="n">
        <v>236</v>
      </c>
      <c r="B1132" s="191" t="n">
        <v>46109.4057047272</v>
      </c>
      <c r="C1132" s="191" t="n">
        <v>46109.4213644495</v>
      </c>
      <c r="D1132" s="189" t="s">
        <v>1683</v>
      </c>
      <c r="E1132" s="189" t="s">
        <v>1684</v>
      </c>
      <c r="F1132" s="189" t="s">
        <v>1684</v>
      </c>
      <c r="G1132" s="189" t="s">
        <v>1685</v>
      </c>
      <c r="H1132" s="191" t="n">
        <v>46095</v>
      </c>
      <c r="I1132" s="189" t="s">
        <v>132</v>
      </c>
      <c r="J1132" s="189" t="s">
        <v>108</v>
      </c>
      <c r="K1132" s="189" t="s">
        <v>245</v>
      </c>
      <c r="L1132" s="189" t="s">
        <v>491</v>
      </c>
      <c r="M1132" s="189" t="s">
        <v>515</v>
      </c>
      <c r="N1132" s="189" t="s">
        <v>1078</v>
      </c>
      <c r="O1132" s="189" t="s">
        <v>107</v>
      </c>
      <c r="P1132" s="189" t="s">
        <v>131</v>
      </c>
      <c r="Q1132" s="189" t="s">
        <v>145</v>
      </c>
      <c r="R1132" s="189" t="s">
        <v>22</v>
      </c>
      <c r="S1132" s="189" t="s">
        <v>227</v>
      </c>
      <c r="T1132" s="189" t="s">
        <v>121</v>
      </c>
      <c r="U1132" s="189" t="s">
        <v>122</v>
      </c>
      <c r="V1132" s="189" t="s">
        <v>167</v>
      </c>
      <c r="W1132" s="189" t="s">
        <v>124</v>
      </c>
      <c r="X1132" s="189" t="s">
        <v>148</v>
      </c>
      <c r="Y1132" s="189" t="s">
        <v>3069</v>
      </c>
      <c r="Z1132" s="0" t="n">
        <v>2</v>
      </c>
      <c r="AA1132" s="189" t="s">
        <v>3080</v>
      </c>
    </row>
    <row r="1133" customFormat="false" ht="15" hidden="false" customHeight="false" outlineLevel="0" collapsed="false">
      <c r="A1133" s="0" t="n">
        <v>238</v>
      </c>
      <c r="B1133" s="191" t="n">
        <v>46074.0579137368</v>
      </c>
      <c r="C1133" s="191" t="n">
        <v>46074.0772077183</v>
      </c>
      <c r="D1133" s="189" t="s">
        <v>1692</v>
      </c>
      <c r="E1133" s="189" t="s">
        <v>1693</v>
      </c>
      <c r="F1133" s="189" t="s">
        <v>1693</v>
      </c>
      <c r="G1133" s="189" t="s">
        <v>1694</v>
      </c>
      <c r="H1133" s="191" t="n">
        <v>46055</v>
      </c>
      <c r="I1133" s="189" t="s">
        <v>113</v>
      </c>
      <c r="J1133" s="189" t="s">
        <v>128</v>
      </c>
      <c r="K1133" s="189" t="s">
        <v>413</v>
      </c>
      <c r="L1133" s="189" t="s">
        <v>197</v>
      </c>
      <c r="M1133" s="189" t="s">
        <v>507</v>
      </c>
      <c r="N1133" s="189" t="s">
        <v>1144</v>
      </c>
      <c r="O1133" s="189" t="s">
        <v>244</v>
      </c>
      <c r="P1133" s="189" t="s">
        <v>111</v>
      </c>
      <c r="Q1133" s="189" t="s">
        <v>112</v>
      </c>
      <c r="R1133" s="189" t="s">
        <v>22</v>
      </c>
      <c r="S1133" s="189" t="s">
        <v>152</v>
      </c>
      <c r="T1133" s="189" t="s">
        <v>121</v>
      </c>
      <c r="U1133" s="189" t="s">
        <v>1395</v>
      </c>
      <c r="V1133" s="189" t="s">
        <v>123</v>
      </c>
      <c r="W1133" s="189" t="s">
        <v>168</v>
      </c>
      <c r="X1133" s="189" t="s">
        <v>715</v>
      </c>
      <c r="Y1133" s="189" t="s">
        <v>3064</v>
      </c>
      <c r="Z1133" s="0" t="n">
        <v>1</v>
      </c>
      <c r="AA1133" s="189" t="s">
        <v>3225</v>
      </c>
    </row>
    <row r="1134" customFormat="false" ht="15" hidden="false" customHeight="false" outlineLevel="0" collapsed="false">
      <c r="A1134" s="0" t="n">
        <v>238</v>
      </c>
      <c r="B1134" s="191" t="n">
        <v>46074.0579137368</v>
      </c>
      <c r="C1134" s="191" t="n">
        <v>46074.0772077183</v>
      </c>
      <c r="D1134" s="189" t="s">
        <v>1692</v>
      </c>
      <c r="E1134" s="189" t="s">
        <v>1693</v>
      </c>
      <c r="F1134" s="189" t="s">
        <v>1693</v>
      </c>
      <c r="G1134" s="189" t="s">
        <v>1694</v>
      </c>
      <c r="H1134" s="191" t="n">
        <v>46055</v>
      </c>
      <c r="I1134" s="189" t="s">
        <v>113</v>
      </c>
      <c r="J1134" s="189" t="s">
        <v>128</v>
      </c>
      <c r="K1134" s="189" t="s">
        <v>413</v>
      </c>
      <c r="L1134" s="189" t="s">
        <v>197</v>
      </c>
      <c r="M1134" s="189" t="s">
        <v>507</v>
      </c>
      <c r="N1134" s="189" t="s">
        <v>1144</v>
      </c>
      <c r="O1134" s="189" t="s">
        <v>244</v>
      </c>
      <c r="P1134" s="189" t="s">
        <v>111</v>
      </c>
      <c r="Q1134" s="189" t="s">
        <v>112</v>
      </c>
      <c r="R1134" s="189" t="s">
        <v>22</v>
      </c>
      <c r="S1134" s="189" t="s">
        <v>152</v>
      </c>
      <c r="T1134" s="189" t="s">
        <v>121</v>
      </c>
      <c r="U1134" s="189" t="s">
        <v>1395</v>
      </c>
      <c r="V1134" s="189" t="s">
        <v>123</v>
      </c>
      <c r="W1134" s="189" t="s">
        <v>168</v>
      </c>
      <c r="X1134" s="189" t="s">
        <v>715</v>
      </c>
      <c r="Y1134" s="189" t="s">
        <v>3064</v>
      </c>
      <c r="Z1134" s="0" t="n">
        <v>2</v>
      </c>
      <c r="AA1134" s="189" t="s">
        <v>3224</v>
      </c>
    </row>
    <row r="1135" customFormat="false" ht="15" hidden="false" customHeight="false" outlineLevel="0" collapsed="false">
      <c r="A1135" s="0" t="n">
        <v>238</v>
      </c>
      <c r="B1135" s="191" t="n">
        <v>46074.0579137368</v>
      </c>
      <c r="C1135" s="191" t="n">
        <v>46074.0772077183</v>
      </c>
      <c r="D1135" s="189" t="s">
        <v>1692</v>
      </c>
      <c r="E1135" s="189" t="s">
        <v>1693</v>
      </c>
      <c r="F1135" s="189" t="s">
        <v>1693</v>
      </c>
      <c r="G1135" s="189" t="s">
        <v>1694</v>
      </c>
      <c r="H1135" s="191" t="n">
        <v>46055</v>
      </c>
      <c r="I1135" s="189" t="s">
        <v>113</v>
      </c>
      <c r="J1135" s="189" t="s">
        <v>128</v>
      </c>
      <c r="K1135" s="189" t="s">
        <v>413</v>
      </c>
      <c r="L1135" s="189" t="s">
        <v>197</v>
      </c>
      <c r="M1135" s="189" t="s">
        <v>507</v>
      </c>
      <c r="N1135" s="189" t="s">
        <v>1144</v>
      </c>
      <c r="O1135" s="189" t="s">
        <v>244</v>
      </c>
      <c r="P1135" s="189" t="s">
        <v>111</v>
      </c>
      <c r="Q1135" s="189" t="s">
        <v>112</v>
      </c>
      <c r="R1135" s="189" t="s">
        <v>22</v>
      </c>
      <c r="S1135" s="189" t="s">
        <v>152</v>
      </c>
      <c r="T1135" s="189" t="s">
        <v>121</v>
      </c>
      <c r="U1135" s="189" t="s">
        <v>1395</v>
      </c>
      <c r="V1135" s="189" t="s">
        <v>123</v>
      </c>
      <c r="W1135" s="189" t="s">
        <v>168</v>
      </c>
      <c r="X1135" s="189" t="s">
        <v>715</v>
      </c>
      <c r="Y1135" s="189" t="s">
        <v>3064</v>
      </c>
      <c r="Z1135" s="0" t="n">
        <v>3</v>
      </c>
      <c r="AA1135" s="189" t="s">
        <v>3251</v>
      </c>
    </row>
    <row r="1136" customFormat="false" ht="15" hidden="false" customHeight="false" outlineLevel="0" collapsed="false">
      <c r="A1136" s="0" t="n">
        <v>238</v>
      </c>
      <c r="B1136" s="191" t="n">
        <v>46074.0579137368</v>
      </c>
      <c r="C1136" s="191" t="n">
        <v>46074.0772077183</v>
      </c>
      <c r="D1136" s="189" t="s">
        <v>1692</v>
      </c>
      <c r="E1136" s="189" t="s">
        <v>1693</v>
      </c>
      <c r="F1136" s="189" t="s">
        <v>1693</v>
      </c>
      <c r="G1136" s="189" t="s">
        <v>1694</v>
      </c>
      <c r="H1136" s="191" t="n">
        <v>46055</v>
      </c>
      <c r="I1136" s="189" t="s">
        <v>113</v>
      </c>
      <c r="J1136" s="189" t="s">
        <v>128</v>
      </c>
      <c r="K1136" s="189" t="s">
        <v>413</v>
      </c>
      <c r="L1136" s="189" t="s">
        <v>197</v>
      </c>
      <c r="M1136" s="189" t="s">
        <v>507</v>
      </c>
      <c r="N1136" s="189" t="s">
        <v>1144</v>
      </c>
      <c r="O1136" s="189" t="s">
        <v>244</v>
      </c>
      <c r="P1136" s="189" t="s">
        <v>111</v>
      </c>
      <c r="Q1136" s="189" t="s">
        <v>112</v>
      </c>
      <c r="R1136" s="189" t="s">
        <v>22</v>
      </c>
      <c r="S1136" s="189" t="s">
        <v>152</v>
      </c>
      <c r="T1136" s="189" t="s">
        <v>121</v>
      </c>
      <c r="U1136" s="189" t="s">
        <v>1395</v>
      </c>
      <c r="V1136" s="189" t="s">
        <v>123</v>
      </c>
      <c r="W1136" s="189" t="s">
        <v>168</v>
      </c>
      <c r="X1136" s="189" t="s">
        <v>715</v>
      </c>
      <c r="Y1136" s="189" t="s">
        <v>3066</v>
      </c>
      <c r="Z1136" s="0" t="n">
        <v>1</v>
      </c>
      <c r="AA1136" s="189" t="s">
        <v>3231</v>
      </c>
    </row>
    <row r="1137" customFormat="false" ht="15" hidden="false" customHeight="false" outlineLevel="0" collapsed="false">
      <c r="A1137" s="0" t="n">
        <v>238</v>
      </c>
      <c r="B1137" s="191" t="n">
        <v>46074.0579137368</v>
      </c>
      <c r="C1137" s="191" t="n">
        <v>46074.0772077183</v>
      </c>
      <c r="D1137" s="189" t="s">
        <v>1692</v>
      </c>
      <c r="E1137" s="189" t="s">
        <v>1693</v>
      </c>
      <c r="F1137" s="189" t="s">
        <v>1693</v>
      </c>
      <c r="G1137" s="189" t="s">
        <v>1694</v>
      </c>
      <c r="H1137" s="191" t="n">
        <v>46055</v>
      </c>
      <c r="I1137" s="189" t="s">
        <v>113</v>
      </c>
      <c r="J1137" s="189" t="s">
        <v>128</v>
      </c>
      <c r="K1137" s="189" t="s">
        <v>413</v>
      </c>
      <c r="L1137" s="189" t="s">
        <v>197</v>
      </c>
      <c r="M1137" s="189" t="s">
        <v>507</v>
      </c>
      <c r="N1137" s="189" t="s">
        <v>1144</v>
      </c>
      <c r="O1137" s="189" t="s">
        <v>244</v>
      </c>
      <c r="P1137" s="189" t="s">
        <v>111</v>
      </c>
      <c r="Q1137" s="189" t="s">
        <v>112</v>
      </c>
      <c r="R1137" s="189" t="s">
        <v>22</v>
      </c>
      <c r="S1137" s="189" t="s">
        <v>152</v>
      </c>
      <c r="T1137" s="189" t="s">
        <v>121</v>
      </c>
      <c r="U1137" s="189" t="s">
        <v>1395</v>
      </c>
      <c r="V1137" s="189" t="s">
        <v>123</v>
      </c>
      <c r="W1137" s="189" t="s">
        <v>168</v>
      </c>
      <c r="X1137" s="189" t="s">
        <v>715</v>
      </c>
      <c r="Y1137" s="189" t="s">
        <v>3069</v>
      </c>
      <c r="Z1137" s="0" t="n">
        <v>1</v>
      </c>
      <c r="AA1137" s="189" t="s">
        <v>3229</v>
      </c>
    </row>
    <row r="1138" customFormat="false" ht="15" hidden="false" customHeight="false" outlineLevel="0" collapsed="false">
      <c r="A1138" s="0" t="n">
        <v>238</v>
      </c>
      <c r="B1138" s="191" t="n">
        <v>46074.0579137368</v>
      </c>
      <c r="C1138" s="191" t="n">
        <v>46074.0772077183</v>
      </c>
      <c r="D1138" s="189" t="s">
        <v>1692</v>
      </c>
      <c r="E1138" s="189" t="s">
        <v>1693</v>
      </c>
      <c r="F1138" s="189" t="s">
        <v>1693</v>
      </c>
      <c r="G1138" s="189" t="s">
        <v>1694</v>
      </c>
      <c r="H1138" s="191" t="n">
        <v>46055</v>
      </c>
      <c r="I1138" s="189" t="s">
        <v>113</v>
      </c>
      <c r="J1138" s="189" t="s">
        <v>128</v>
      </c>
      <c r="K1138" s="189" t="s">
        <v>413</v>
      </c>
      <c r="L1138" s="189" t="s">
        <v>197</v>
      </c>
      <c r="M1138" s="189" t="s">
        <v>507</v>
      </c>
      <c r="N1138" s="189" t="s">
        <v>1144</v>
      </c>
      <c r="O1138" s="189" t="s">
        <v>244</v>
      </c>
      <c r="P1138" s="189" t="s">
        <v>111</v>
      </c>
      <c r="Q1138" s="189" t="s">
        <v>112</v>
      </c>
      <c r="R1138" s="189" t="s">
        <v>22</v>
      </c>
      <c r="S1138" s="189" t="s">
        <v>152</v>
      </c>
      <c r="T1138" s="189" t="s">
        <v>121</v>
      </c>
      <c r="U1138" s="189" t="s">
        <v>1395</v>
      </c>
      <c r="V1138" s="189" t="s">
        <v>123</v>
      </c>
      <c r="W1138" s="189" t="s">
        <v>168</v>
      </c>
      <c r="X1138" s="189" t="s">
        <v>715</v>
      </c>
      <c r="Y1138" s="189" t="s">
        <v>3069</v>
      </c>
      <c r="Z1138" s="0" t="n">
        <v>2</v>
      </c>
      <c r="AA1138" s="189" t="s">
        <v>3228</v>
      </c>
    </row>
    <row r="1139" customFormat="false" ht="15" hidden="false" customHeight="false" outlineLevel="0" collapsed="false">
      <c r="A1139" s="0" t="n">
        <v>239</v>
      </c>
      <c r="B1139" s="191" t="n">
        <v>46173.8655246133</v>
      </c>
      <c r="C1139" s="191" t="n">
        <v>46173.8757329466</v>
      </c>
      <c r="D1139" s="189" t="s">
        <v>1697</v>
      </c>
      <c r="E1139" s="189" t="s">
        <v>1698</v>
      </c>
      <c r="F1139" s="189" t="s">
        <v>1698</v>
      </c>
      <c r="G1139" s="189" t="s">
        <v>1699</v>
      </c>
      <c r="H1139" s="191" t="n">
        <v>46162</v>
      </c>
      <c r="I1139" s="189" t="s">
        <v>305</v>
      </c>
      <c r="J1139" s="189" t="s">
        <v>108</v>
      </c>
      <c r="K1139" s="189" t="s">
        <v>245</v>
      </c>
      <c r="L1139" s="189" t="s">
        <v>184</v>
      </c>
      <c r="M1139" s="189" t="s">
        <v>439</v>
      </c>
      <c r="N1139" s="189" t="s">
        <v>338</v>
      </c>
      <c r="O1139" s="189" t="s">
        <v>244</v>
      </c>
      <c r="P1139" s="189" t="s">
        <v>111</v>
      </c>
      <c r="Q1139" s="189" t="s">
        <v>112</v>
      </c>
      <c r="R1139" s="189" t="s">
        <v>24</v>
      </c>
      <c r="S1139" s="189" t="s">
        <v>227</v>
      </c>
      <c r="T1139" s="189" t="s">
        <v>121</v>
      </c>
      <c r="U1139" s="189" t="s">
        <v>1700</v>
      </c>
      <c r="V1139" s="189" t="s">
        <v>167</v>
      </c>
      <c r="W1139" s="189" t="s">
        <v>124</v>
      </c>
      <c r="X1139" s="189" t="s">
        <v>19</v>
      </c>
      <c r="Y1139" s="189" t="s">
        <v>3172</v>
      </c>
      <c r="Z1139" s="0" t="n">
        <v>1</v>
      </c>
      <c r="AA1139" s="189" t="s">
        <v>880</v>
      </c>
    </row>
    <row r="1140" customFormat="false" ht="15" hidden="false" customHeight="false" outlineLevel="0" collapsed="false">
      <c r="A1140" s="0" t="n">
        <v>241</v>
      </c>
      <c r="B1140" s="191" t="n">
        <v>46057.387863174</v>
      </c>
      <c r="C1140" s="191" t="n">
        <v>46057.4047034518</v>
      </c>
      <c r="D1140" s="189" t="s">
        <v>1704</v>
      </c>
      <c r="E1140" s="189" t="s">
        <v>1705</v>
      </c>
      <c r="F1140" s="189" t="s">
        <v>1705</v>
      </c>
      <c r="G1140" s="189" t="s">
        <v>1706</v>
      </c>
      <c r="H1140" s="191" t="n">
        <v>46037</v>
      </c>
      <c r="I1140" s="189" t="s">
        <v>305</v>
      </c>
      <c r="J1140" s="189" t="s">
        <v>108</v>
      </c>
      <c r="K1140" s="189" t="s">
        <v>173</v>
      </c>
      <c r="L1140" s="189" t="s">
        <v>144</v>
      </c>
      <c r="M1140" s="189" t="s">
        <v>144</v>
      </c>
      <c r="N1140" s="189" t="s">
        <v>249</v>
      </c>
      <c r="O1140" s="189" t="s">
        <v>172</v>
      </c>
      <c r="P1140" s="189" t="s">
        <v>111</v>
      </c>
      <c r="Q1140" s="189" t="s">
        <v>145</v>
      </c>
      <c r="R1140" s="189" t="s">
        <v>22</v>
      </c>
      <c r="S1140" s="189" t="s">
        <v>120</v>
      </c>
      <c r="T1140" s="189" t="s">
        <v>121</v>
      </c>
      <c r="U1140" s="189" t="s">
        <v>122</v>
      </c>
      <c r="V1140" s="189" t="s">
        <v>123</v>
      </c>
      <c r="W1140" s="189" t="s">
        <v>124</v>
      </c>
      <c r="X1140" s="189" t="s">
        <v>148</v>
      </c>
      <c r="Y1140" s="189" t="s">
        <v>3064</v>
      </c>
      <c r="Z1140" s="0" t="n">
        <v>1</v>
      </c>
      <c r="AA1140" s="189" t="s">
        <v>3076</v>
      </c>
    </row>
    <row r="1141" customFormat="false" ht="15" hidden="false" customHeight="false" outlineLevel="0" collapsed="false">
      <c r="A1141" s="0" t="n">
        <v>241</v>
      </c>
      <c r="B1141" s="191" t="n">
        <v>46057.387863174</v>
      </c>
      <c r="C1141" s="191" t="n">
        <v>46057.4047034518</v>
      </c>
      <c r="D1141" s="189" t="s">
        <v>1704</v>
      </c>
      <c r="E1141" s="189" t="s">
        <v>1705</v>
      </c>
      <c r="F1141" s="189" t="s">
        <v>1705</v>
      </c>
      <c r="G1141" s="189" t="s">
        <v>1706</v>
      </c>
      <c r="H1141" s="191" t="n">
        <v>46037</v>
      </c>
      <c r="I1141" s="189" t="s">
        <v>305</v>
      </c>
      <c r="J1141" s="189" t="s">
        <v>108</v>
      </c>
      <c r="K1141" s="189" t="s">
        <v>173</v>
      </c>
      <c r="L1141" s="189" t="s">
        <v>144</v>
      </c>
      <c r="M1141" s="189" t="s">
        <v>144</v>
      </c>
      <c r="N1141" s="189" t="s">
        <v>249</v>
      </c>
      <c r="O1141" s="189" t="s">
        <v>172</v>
      </c>
      <c r="P1141" s="189" t="s">
        <v>111</v>
      </c>
      <c r="Q1141" s="189" t="s">
        <v>145</v>
      </c>
      <c r="R1141" s="189" t="s">
        <v>22</v>
      </c>
      <c r="S1141" s="189" t="s">
        <v>120</v>
      </c>
      <c r="T1141" s="189" t="s">
        <v>121</v>
      </c>
      <c r="U1141" s="189" t="s">
        <v>122</v>
      </c>
      <c r="V1141" s="189" t="s">
        <v>123</v>
      </c>
      <c r="W1141" s="189" t="s">
        <v>124</v>
      </c>
      <c r="X1141" s="189" t="s">
        <v>148</v>
      </c>
      <c r="Y1141" s="189" t="s">
        <v>3064</v>
      </c>
      <c r="Z1141" s="0" t="n">
        <v>2</v>
      </c>
      <c r="AA1141" s="189" t="s">
        <v>3186</v>
      </c>
    </row>
    <row r="1142" customFormat="false" ht="15" hidden="false" customHeight="false" outlineLevel="0" collapsed="false">
      <c r="A1142" s="0" t="n">
        <v>241</v>
      </c>
      <c r="B1142" s="191" t="n">
        <v>46057.387863174</v>
      </c>
      <c r="C1142" s="191" t="n">
        <v>46057.4047034518</v>
      </c>
      <c r="D1142" s="189" t="s">
        <v>1704</v>
      </c>
      <c r="E1142" s="189" t="s">
        <v>1705</v>
      </c>
      <c r="F1142" s="189" t="s">
        <v>1705</v>
      </c>
      <c r="G1142" s="189" t="s">
        <v>1706</v>
      </c>
      <c r="H1142" s="191" t="n">
        <v>46037</v>
      </c>
      <c r="I1142" s="189" t="s">
        <v>305</v>
      </c>
      <c r="J1142" s="189" t="s">
        <v>108</v>
      </c>
      <c r="K1142" s="189" t="s">
        <v>173</v>
      </c>
      <c r="L1142" s="189" t="s">
        <v>144</v>
      </c>
      <c r="M1142" s="189" t="s">
        <v>144</v>
      </c>
      <c r="N1142" s="189" t="s">
        <v>249</v>
      </c>
      <c r="O1142" s="189" t="s">
        <v>172</v>
      </c>
      <c r="P1142" s="189" t="s">
        <v>111</v>
      </c>
      <c r="Q1142" s="189" t="s">
        <v>145</v>
      </c>
      <c r="R1142" s="189" t="s">
        <v>22</v>
      </c>
      <c r="S1142" s="189" t="s">
        <v>120</v>
      </c>
      <c r="T1142" s="189" t="s">
        <v>121</v>
      </c>
      <c r="U1142" s="189" t="s">
        <v>122</v>
      </c>
      <c r="V1142" s="189" t="s">
        <v>123</v>
      </c>
      <c r="W1142" s="189" t="s">
        <v>124</v>
      </c>
      <c r="X1142" s="189" t="s">
        <v>148</v>
      </c>
      <c r="Y1142" s="189" t="s">
        <v>3064</v>
      </c>
      <c r="Z1142" s="0" t="n">
        <v>3</v>
      </c>
      <c r="AA1142" s="189" t="s">
        <v>3122</v>
      </c>
    </row>
    <row r="1143" customFormat="false" ht="15" hidden="false" customHeight="false" outlineLevel="0" collapsed="false">
      <c r="A1143" s="0" t="n">
        <v>241</v>
      </c>
      <c r="B1143" s="191" t="n">
        <v>46057.387863174</v>
      </c>
      <c r="C1143" s="191" t="n">
        <v>46057.4047034518</v>
      </c>
      <c r="D1143" s="189" t="s">
        <v>1704</v>
      </c>
      <c r="E1143" s="189" t="s">
        <v>1705</v>
      </c>
      <c r="F1143" s="189" t="s">
        <v>1705</v>
      </c>
      <c r="G1143" s="189" t="s">
        <v>1706</v>
      </c>
      <c r="H1143" s="191" t="n">
        <v>46037</v>
      </c>
      <c r="I1143" s="189" t="s">
        <v>305</v>
      </c>
      <c r="J1143" s="189" t="s">
        <v>108</v>
      </c>
      <c r="K1143" s="189" t="s">
        <v>173</v>
      </c>
      <c r="L1143" s="189" t="s">
        <v>144</v>
      </c>
      <c r="M1143" s="189" t="s">
        <v>144</v>
      </c>
      <c r="N1143" s="189" t="s">
        <v>249</v>
      </c>
      <c r="O1143" s="189" t="s">
        <v>172</v>
      </c>
      <c r="P1143" s="189" t="s">
        <v>111</v>
      </c>
      <c r="Q1143" s="189" t="s">
        <v>145</v>
      </c>
      <c r="R1143" s="189" t="s">
        <v>22</v>
      </c>
      <c r="S1143" s="189" t="s">
        <v>120</v>
      </c>
      <c r="T1143" s="189" t="s">
        <v>121</v>
      </c>
      <c r="U1143" s="189" t="s">
        <v>122</v>
      </c>
      <c r="V1143" s="189" t="s">
        <v>123</v>
      </c>
      <c r="W1143" s="189" t="s">
        <v>124</v>
      </c>
      <c r="X1143" s="189" t="s">
        <v>148</v>
      </c>
      <c r="Y1143" s="189" t="s">
        <v>3066</v>
      </c>
      <c r="Z1143" s="0" t="n">
        <v>1</v>
      </c>
      <c r="AA1143" s="189" t="s">
        <v>122</v>
      </c>
    </row>
    <row r="1144" customFormat="false" ht="15" hidden="false" customHeight="false" outlineLevel="0" collapsed="false">
      <c r="A1144" s="0" t="n">
        <v>241</v>
      </c>
      <c r="B1144" s="191" t="n">
        <v>46057.387863174</v>
      </c>
      <c r="C1144" s="191" t="n">
        <v>46057.4047034518</v>
      </c>
      <c r="D1144" s="189" t="s">
        <v>1704</v>
      </c>
      <c r="E1144" s="189" t="s">
        <v>1705</v>
      </c>
      <c r="F1144" s="189" t="s">
        <v>1705</v>
      </c>
      <c r="G1144" s="189" t="s">
        <v>1706</v>
      </c>
      <c r="H1144" s="191" t="n">
        <v>46037</v>
      </c>
      <c r="I1144" s="189" t="s">
        <v>305</v>
      </c>
      <c r="J1144" s="189" t="s">
        <v>108</v>
      </c>
      <c r="K1144" s="189" t="s">
        <v>173</v>
      </c>
      <c r="L1144" s="189" t="s">
        <v>144</v>
      </c>
      <c r="M1144" s="189" t="s">
        <v>144</v>
      </c>
      <c r="N1144" s="189" t="s">
        <v>249</v>
      </c>
      <c r="O1144" s="189" t="s">
        <v>172</v>
      </c>
      <c r="P1144" s="189" t="s">
        <v>111</v>
      </c>
      <c r="Q1144" s="189" t="s">
        <v>145</v>
      </c>
      <c r="R1144" s="189" t="s">
        <v>22</v>
      </c>
      <c r="S1144" s="189" t="s">
        <v>120</v>
      </c>
      <c r="T1144" s="189" t="s">
        <v>121</v>
      </c>
      <c r="U1144" s="189" t="s">
        <v>122</v>
      </c>
      <c r="V1144" s="189" t="s">
        <v>123</v>
      </c>
      <c r="W1144" s="189" t="s">
        <v>124</v>
      </c>
      <c r="X1144" s="189" t="s">
        <v>148</v>
      </c>
      <c r="Y1144" s="189" t="s">
        <v>3066</v>
      </c>
      <c r="Z1144" s="0" t="n">
        <v>2</v>
      </c>
      <c r="AA1144" s="189" t="s">
        <v>3077</v>
      </c>
    </row>
    <row r="1145" customFormat="false" ht="15" hidden="false" customHeight="false" outlineLevel="0" collapsed="false">
      <c r="A1145" s="0" t="n">
        <v>241</v>
      </c>
      <c r="B1145" s="191" t="n">
        <v>46057.387863174</v>
      </c>
      <c r="C1145" s="191" t="n">
        <v>46057.4047034518</v>
      </c>
      <c r="D1145" s="189" t="s">
        <v>1704</v>
      </c>
      <c r="E1145" s="189" t="s">
        <v>1705</v>
      </c>
      <c r="F1145" s="189" t="s">
        <v>1705</v>
      </c>
      <c r="G1145" s="189" t="s">
        <v>1706</v>
      </c>
      <c r="H1145" s="191" t="n">
        <v>46037</v>
      </c>
      <c r="I1145" s="189" t="s">
        <v>305</v>
      </c>
      <c r="J1145" s="189" t="s">
        <v>108</v>
      </c>
      <c r="K1145" s="189" t="s">
        <v>173</v>
      </c>
      <c r="L1145" s="189" t="s">
        <v>144</v>
      </c>
      <c r="M1145" s="189" t="s">
        <v>144</v>
      </c>
      <c r="N1145" s="189" t="s">
        <v>249</v>
      </c>
      <c r="O1145" s="189" t="s">
        <v>172</v>
      </c>
      <c r="P1145" s="189" t="s">
        <v>111</v>
      </c>
      <c r="Q1145" s="189" t="s">
        <v>145</v>
      </c>
      <c r="R1145" s="189" t="s">
        <v>22</v>
      </c>
      <c r="S1145" s="189" t="s">
        <v>120</v>
      </c>
      <c r="T1145" s="189" t="s">
        <v>121</v>
      </c>
      <c r="U1145" s="189" t="s">
        <v>122</v>
      </c>
      <c r="V1145" s="189" t="s">
        <v>123</v>
      </c>
      <c r="W1145" s="189" t="s">
        <v>124</v>
      </c>
      <c r="X1145" s="189" t="s">
        <v>148</v>
      </c>
      <c r="Y1145" s="189" t="s">
        <v>3069</v>
      </c>
      <c r="Z1145" s="0" t="n">
        <v>1</v>
      </c>
      <c r="AA1145" s="189" t="s">
        <v>3188</v>
      </c>
    </row>
    <row r="1146" customFormat="false" ht="15" hidden="false" customHeight="false" outlineLevel="0" collapsed="false">
      <c r="A1146" s="0" t="n">
        <v>242</v>
      </c>
      <c r="B1146" s="191" t="n">
        <v>46046.9641085269</v>
      </c>
      <c r="C1146" s="191" t="n">
        <v>46046.9716432491</v>
      </c>
      <c r="D1146" s="189" t="s">
        <v>1708</v>
      </c>
      <c r="E1146" s="189" t="s">
        <v>1709</v>
      </c>
      <c r="F1146" s="189" t="s">
        <v>1709</v>
      </c>
      <c r="G1146" s="189" t="s">
        <v>1710</v>
      </c>
      <c r="H1146" s="191" t="n">
        <v>46043</v>
      </c>
      <c r="I1146" s="189" t="s">
        <v>113</v>
      </c>
      <c r="J1146" s="189" t="s">
        <v>295</v>
      </c>
      <c r="K1146" s="189" t="s">
        <v>1711</v>
      </c>
      <c r="L1146" s="189" t="s">
        <v>130</v>
      </c>
      <c r="M1146" s="189" t="s">
        <v>286</v>
      </c>
      <c r="N1146" s="189" t="s">
        <v>1539</v>
      </c>
      <c r="O1146" s="189" t="s">
        <v>107</v>
      </c>
      <c r="P1146" s="189" t="s">
        <v>111</v>
      </c>
      <c r="Q1146" s="189" t="s">
        <v>112</v>
      </c>
      <c r="R1146" s="189" t="s">
        <v>25</v>
      </c>
      <c r="S1146" s="189" t="s">
        <v>152</v>
      </c>
      <c r="T1146" s="189" t="s">
        <v>180</v>
      </c>
      <c r="U1146" s="189" t="s">
        <v>770</v>
      </c>
      <c r="V1146" s="189" t="s">
        <v>192</v>
      </c>
      <c r="W1146" s="189" t="s">
        <v>124</v>
      </c>
      <c r="X1146" s="189" t="s">
        <v>1712</v>
      </c>
      <c r="Y1146" s="189" t="s">
        <v>3064</v>
      </c>
      <c r="Z1146" s="0" t="n">
        <v>1</v>
      </c>
      <c r="AA1146" s="189" t="s">
        <v>3303</v>
      </c>
    </row>
    <row r="1147" customFormat="false" ht="15" hidden="false" customHeight="false" outlineLevel="0" collapsed="false">
      <c r="A1147" s="0" t="n">
        <v>242</v>
      </c>
      <c r="B1147" s="191" t="n">
        <v>46046.9641085269</v>
      </c>
      <c r="C1147" s="191" t="n">
        <v>46046.9716432491</v>
      </c>
      <c r="D1147" s="189" t="s">
        <v>1708</v>
      </c>
      <c r="E1147" s="189" t="s">
        <v>1709</v>
      </c>
      <c r="F1147" s="189" t="s">
        <v>1709</v>
      </c>
      <c r="G1147" s="189" t="s">
        <v>1710</v>
      </c>
      <c r="H1147" s="191" t="n">
        <v>46043</v>
      </c>
      <c r="I1147" s="189" t="s">
        <v>113</v>
      </c>
      <c r="J1147" s="189" t="s">
        <v>295</v>
      </c>
      <c r="K1147" s="189" t="s">
        <v>1711</v>
      </c>
      <c r="L1147" s="189" t="s">
        <v>130</v>
      </c>
      <c r="M1147" s="189" t="s">
        <v>286</v>
      </c>
      <c r="N1147" s="189" t="s">
        <v>1539</v>
      </c>
      <c r="O1147" s="189" t="s">
        <v>107</v>
      </c>
      <c r="P1147" s="189" t="s">
        <v>111</v>
      </c>
      <c r="Q1147" s="189" t="s">
        <v>112</v>
      </c>
      <c r="R1147" s="189" t="s">
        <v>25</v>
      </c>
      <c r="S1147" s="189" t="s">
        <v>152</v>
      </c>
      <c r="T1147" s="189" t="s">
        <v>180</v>
      </c>
      <c r="U1147" s="189" t="s">
        <v>770</v>
      </c>
      <c r="V1147" s="189" t="s">
        <v>192</v>
      </c>
      <c r="W1147" s="189" t="s">
        <v>124</v>
      </c>
      <c r="X1147" s="189" t="s">
        <v>1712</v>
      </c>
      <c r="Y1147" s="189" t="s">
        <v>3064</v>
      </c>
      <c r="Z1147" s="0" t="n">
        <v>2</v>
      </c>
      <c r="AA1147" s="189" t="s">
        <v>3304</v>
      </c>
    </row>
    <row r="1148" customFormat="false" ht="15" hidden="false" customHeight="false" outlineLevel="0" collapsed="false">
      <c r="A1148" s="0" t="n">
        <v>242</v>
      </c>
      <c r="B1148" s="191" t="n">
        <v>46046.9641085269</v>
      </c>
      <c r="C1148" s="191" t="n">
        <v>46046.9716432491</v>
      </c>
      <c r="D1148" s="189" t="s">
        <v>1708</v>
      </c>
      <c r="E1148" s="189" t="s">
        <v>1709</v>
      </c>
      <c r="F1148" s="189" t="s">
        <v>1709</v>
      </c>
      <c r="G1148" s="189" t="s">
        <v>1710</v>
      </c>
      <c r="H1148" s="191" t="n">
        <v>46043</v>
      </c>
      <c r="I1148" s="189" t="s">
        <v>113</v>
      </c>
      <c r="J1148" s="189" t="s">
        <v>295</v>
      </c>
      <c r="K1148" s="189" t="s">
        <v>1711</v>
      </c>
      <c r="L1148" s="189" t="s">
        <v>130</v>
      </c>
      <c r="M1148" s="189" t="s">
        <v>286</v>
      </c>
      <c r="N1148" s="189" t="s">
        <v>1539</v>
      </c>
      <c r="O1148" s="189" t="s">
        <v>107</v>
      </c>
      <c r="P1148" s="189" t="s">
        <v>111</v>
      </c>
      <c r="Q1148" s="189" t="s">
        <v>112</v>
      </c>
      <c r="R1148" s="189" t="s">
        <v>25</v>
      </c>
      <c r="S1148" s="189" t="s">
        <v>152</v>
      </c>
      <c r="T1148" s="189" t="s">
        <v>180</v>
      </c>
      <c r="U1148" s="189" t="s">
        <v>770</v>
      </c>
      <c r="V1148" s="189" t="s">
        <v>192</v>
      </c>
      <c r="W1148" s="189" t="s">
        <v>124</v>
      </c>
      <c r="X1148" s="189" t="s">
        <v>1712</v>
      </c>
      <c r="Y1148" s="189" t="s">
        <v>3064</v>
      </c>
      <c r="Z1148" s="0" t="n">
        <v>3</v>
      </c>
      <c r="AA1148" s="189" t="s">
        <v>3305</v>
      </c>
    </row>
    <row r="1149" customFormat="false" ht="15" hidden="false" customHeight="false" outlineLevel="0" collapsed="false">
      <c r="A1149" s="0" t="n">
        <v>242</v>
      </c>
      <c r="B1149" s="191" t="n">
        <v>46046.9641085269</v>
      </c>
      <c r="C1149" s="191" t="n">
        <v>46046.9716432491</v>
      </c>
      <c r="D1149" s="189" t="s">
        <v>1708</v>
      </c>
      <c r="E1149" s="189" t="s">
        <v>1709</v>
      </c>
      <c r="F1149" s="189" t="s">
        <v>1709</v>
      </c>
      <c r="G1149" s="189" t="s">
        <v>1710</v>
      </c>
      <c r="H1149" s="191" t="n">
        <v>46043</v>
      </c>
      <c r="I1149" s="189" t="s">
        <v>113</v>
      </c>
      <c r="J1149" s="189" t="s">
        <v>295</v>
      </c>
      <c r="K1149" s="189" t="s">
        <v>1711</v>
      </c>
      <c r="L1149" s="189" t="s">
        <v>130</v>
      </c>
      <c r="M1149" s="189" t="s">
        <v>286</v>
      </c>
      <c r="N1149" s="189" t="s">
        <v>1539</v>
      </c>
      <c r="O1149" s="189" t="s">
        <v>107</v>
      </c>
      <c r="P1149" s="189" t="s">
        <v>111</v>
      </c>
      <c r="Q1149" s="189" t="s">
        <v>112</v>
      </c>
      <c r="R1149" s="189" t="s">
        <v>25</v>
      </c>
      <c r="S1149" s="189" t="s">
        <v>152</v>
      </c>
      <c r="T1149" s="189" t="s">
        <v>180</v>
      </c>
      <c r="U1149" s="189" t="s">
        <v>770</v>
      </c>
      <c r="V1149" s="189" t="s">
        <v>192</v>
      </c>
      <c r="W1149" s="189" t="s">
        <v>124</v>
      </c>
      <c r="X1149" s="189" t="s">
        <v>1712</v>
      </c>
      <c r="Y1149" s="189" t="s">
        <v>3066</v>
      </c>
      <c r="Z1149" s="0" t="n">
        <v>1</v>
      </c>
      <c r="AA1149" s="189" t="s">
        <v>3306</v>
      </c>
    </row>
    <row r="1150" customFormat="false" ht="15" hidden="false" customHeight="false" outlineLevel="0" collapsed="false">
      <c r="A1150" s="0" t="n">
        <v>242</v>
      </c>
      <c r="B1150" s="191" t="n">
        <v>46046.9641085269</v>
      </c>
      <c r="C1150" s="191" t="n">
        <v>46046.9716432491</v>
      </c>
      <c r="D1150" s="189" t="s">
        <v>1708</v>
      </c>
      <c r="E1150" s="189" t="s">
        <v>1709</v>
      </c>
      <c r="F1150" s="189" t="s">
        <v>1709</v>
      </c>
      <c r="G1150" s="189" t="s">
        <v>1710</v>
      </c>
      <c r="H1150" s="191" t="n">
        <v>46043</v>
      </c>
      <c r="I1150" s="189" t="s">
        <v>113</v>
      </c>
      <c r="J1150" s="189" t="s">
        <v>295</v>
      </c>
      <c r="K1150" s="189" t="s">
        <v>1711</v>
      </c>
      <c r="L1150" s="189" t="s">
        <v>130</v>
      </c>
      <c r="M1150" s="189" t="s">
        <v>286</v>
      </c>
      <c r="N1150" s="189" t="s">
        <v>1539</v>
      </c>
      <c r="O1150" s="189" t="s">
        <v>107</v>
      </c>
      <c r="P1150" s="189" t="s">
        <v>111</v>
      </c>
      <c r="Q1150" s="189" t="s">
        <v>112</v>
      </c>
      <c r="R1150" s="189" t="s">
        <v>25</v>
      </c>
      <c r="S1150" s="189" t="s">
        <v>152</v>
      </c>
      <c r="T1150" s="189" t="s">
        <v>180</v>
      </c>
      <c r="U1150" s="189" t="s">
        <v>770</v>
      </c>
      <c r="V1150" s="189" t="s">
        <v>192</v>
      </c>
      <c r="W1150" s="189" t="s">
        <v>124</v>
      </c>
      <c r="X1150" s="189" t="s">
        <v>1712</v>
      </c>
      <c r="Y1150" s="189" t="s">
        <v>3066</v>
      </c>
      <c r="Z1150" s="0" t="n">
        <v>2</v>
      </c>
      <c r="AA1150" s="189" t="s">
        <v>3307</v>
      </c>
    </row>
    <row r="1151" customFormat="false" ht="15" hidden="false" customHeight="false" outlineLevel="0" collapsed="false">
      <c r="A1151" s="0" t="n">
        <v>242</v>
      </c>
      <c r="B1151" s="191" t="n">
        <v>46046.9641085269</v>
      </c>
      <c r="C1151" s="191" t="n">
        <v>46046.9716432491</v>
      </c>
      <c r="D1151" s="189" t="s">
        <v>1708</v>
      </c>
      <c r="E1151" s="189" t="s">
        <v>1709</v>
      </c>
      <c r="F1151" s="189" t="s">
        <v>1709</v>
      </c>
      <c r="G1151" s="189" t="s">
        <v>1710</v>
      </c>
      <c r="H1151" s="191" t="n">
        <v>46043</v>
      </c>
      <c r="I1151" s="189" t="s">
        <v>113</v>
      </c>
      <c r="J1151" s="189" t="s">
        <v>295</v>
      </c>
      <c r="K1151" s="189" t="s">
        <v>1711</v>
      </c>
      <c r="L1151" s="189" t="s">
        <v>130</v>
      </c>
      <c r="M1151" s="189" t="s">
        <v>286</v>
      </c>
      <c r="N1151" s="189" t="s">
        <v>1539</v>
      </c>
      <c r="O1151" s="189" t="s">
        <v>107</v>
      </c>
      <c r="P1151" s="189" t="s">
        <v>111</v>
      </c>
      <c r="Q1151" s="189" t="s">
        <v>112</v>
      </c>
      <c r="R1151" s="189" t="s">
        <v>25</v>
      </c>
      <c r="S1151" s="189" t="s">
        <v>152</v>
      </c>
      <c r="T1151" s="189" t="s">
        <v>180</v>
      </c>
      <c r="U1151" s="189" t="s">
        <v>770</v>
      </c>
      <c r="V1151" s="189" t="s">
        <v>192</v>
      </c>
      <c r="W1151" s="189" t="s">
        <v>124</v>
      </c>
      <c r="X1151" s="189" t="s">
        <v>1712</v>
      </c>
      <c r="Y1151" s="189" t="s">
        <v>3069</v>
      </c>
      <c r="Z1151" s="0" t="n">
        <v>1</v>
      </c>
      <c r="AA1151" s="189" t="s">
        <v>3308</v>
      </c>
    </row>
    <row r="1152" customFormat="false" ht="15" hidden="false" customHeight="false" outlineLevel="0" collapsed="false">
      <c r="A1152" s="0" t="n">
        <v>242</v>
      </c>
      <c r="B1152" s="191" t="n">
        <v>46046.9641085269</v>
      </c>
      <c r="C1152" s="191" t="n">
        <v>46046.9716432491</v>
      </c>
      <c r="D1152" s="189" t="s">
        <v>1708</v>
      </c>
      <c r="E1152" s="189" t="s">
        <v>1709</v>
      </c>
      <c r="F1152" s="189" t="s">
        <v>1709</v>
      </c>
      <c r="G1152" s="189" t="s">
        <v>1710</v>
      </c>
      <c r="H1152" s="191" t="n">
        <v>46043</v>
      </c>
      <c r="I1152" s="189" t="s">
        <v>113</v>
      </c>
      <c r="J1152" s="189" t="s">
        <v>295</v>
      </c>
      <c r="K1152" s="189" t="s">
        <v>1711</v>
      </c>
      <c r="L1152" s="189" t="s">
        <v>130</v>
      </c>
      <c r="M1152" s="189" t="s">
        <v>286</v>
      </c>
      <c r="N1152" s="189" t="s">
        <v>1539</v>
      </c>
      <c r="O1152" s="189" t="s">
        <v>107</v>
      </c>
      <c r="P1152" s="189" t="s">
        <v>111</v>
      </c>
      <c r="Q1152" s="189" t="s">
        <v>112</v>
      </c>
      <c r="R1152" s="189" t="s">
        <v>25</v>
      </c>
      <c r="S1152" s="189" t="s">
        <v>152</v>
      </c>
      <c r="T1152" s="189" t="s">
        <v>180</v>
      </c>
      <c r="U1152" s="189" t="s">
        <v>770</v>
      </c>
      <c r="V1152" s="189" t="s">
        <v>192</v>
      </c>
      <c r="W1152" s="189" t="s">
        <v>124</v>
      </c>
      <c r="X1152" s="189" t="s">
        <v>1712</v>
      </c>
      <c r="Y1152" s="189" t="s">
        <v>3069</v>
      </c>
      <c r="Z1152" s="0" t="n">
        <v>2</v>
      </c>
      <c r="AA1152" s="189" t="s">
        <v>3309</v>
      </c>
    </row>
    <row r="1153" customFormat="false" ht="15" hidden="false" customHeight="false" outlineLevel="0" collapsed="false">
      <c r="A1153" s="0" t="n">
        <v>244</v>
      </c>
      <c r="B1153" s="191" t="n">
        <v>46086.6512042124</v>
      </c>
      <c r="C1153" s="191" t="n">
        <v>46086.6638083791</v>
      </c>
      <c r="D1153" s="189" t="s">
        <v>1719</v>
      </c>
      <c r="E1153" s="189" t="s">
        <v>1720</v>
      </c>
      <c r="F1153" s="189" t="s">
        <v>1720</v>
      </c>
      <c r="G1153" s="189" t="s">
        <v>1721</v>
      </c>
      <c r="H1153" s="191" t="n">
        <v>46069</v>
      </c>
      <c r="I1153" s="189" t="s">
        <v>113</v>
      </c>
      <c r="J1153" s="189" t="s">
        <v>128</v>
      </c>
      <c r="K1153" s="189" t="s">
        <v>245</v>
      </c>
      <c r="L1153" s="189" t="s">
        <v>114</v>
      </c>
      <c r="M1153" s="189" t="s">
        <v>248</v>
      </c>
      <c r="N1153" s="189" t="s">
        <v>757</v>
      </c>
      <c r="O1153" s="189" t="s">
        <v>172</v>
      </c>
      <c r="P1153" s="189" t="s">
        <v>111</v>
      </c>
      <c r="Q1153" s="189" t="s">
        <v>112</v>
      </c>
      <c r="R1153" s="189" t="s">
        <v>22</v>
      </c>
      <c r="S1153" s="189" t="s">
        <v>152</v>
      </c>
      <c r="T1153" s="189" t="s">
        <v>228</v>
      </c>
      <c r="V1153" s="189" t="s">
        <v>123</v>
      </c>
      <c r="W1153" s="189" t="s">
        <v>124</v>
      </c>
      <c r="X1153" s="189" t="s">
        <v>271</v>
      </c>
      <c r="Y1153" s="189" t="s">
        <v>3064</v>
      </c>
      <c r="Z1153" s="0" t="n">
        <v>1</v>
      </c>
      <c r="AA1153" s="189" t="s">
        <v>3136</v>
      </c>
    </row>
    <row r="1154" customFormat="false" ht="15" hidden="false" customHeight="false" outlineLevel="0" collapsed="false">
      <c r="A1154" s="0" t="n">
        <v>244</v>
      </c>
      <c r="B1154" s="191" t="n">
        <v>46086.6512042124</v>
      </c>
      <c r="C1154" s="191" t="n">
        <v>46086.6638083791</v>
      </c>
      <c r="D1154" s="189" t="s">
        <v>1719</v>
      </c>
      <c r="E1154" s="189" t="s">
        <v>1720</v>
      </c>
      <c r="F1154" s="189" t="s">
        <v>1720</v>
      </c>
      <c r="G1154" s="189" t="s">
        <v>1721</v>
      </c>
      <c r="H1154" s="191" t="n">
        <v>46069</v>
      </c>
      <c r="I1154" s="189" t="s">
        <v>113</v>
      </c>
      <c r="J1154" s="189" t="s">
        <v>128</v>
      </c>
      <c r="K1154" s="189" t="s">
        <v>245</v>
      </c>
      <c r="L1154" s="189" t="s">
        <v>114</v>
      </c>
      <c r="M1154" s="189" t="s">
        <v>248</v>
      </c>
      <c r="N1154" s="189" t="s">
        <v>757</v>
      </c>
      <c r="O1154" s="189" t="s">
        <v>172</v>
      </c>
      <c r="P1154" s="189" t="s">
        <v>111</v>
      </c>
      <c r="Q1154" s="189" t="s">
        <v>112</v>
      </c>
      <c r="R1154" s="189" t="s">
        <v>22</v>
      </c>
      <c r="S1154" s="189" t="s">
        <v>152</v>
      </c>
      <c r="T1154" s="189" t="s">
        <v>228</v>
      </c>
      <c r="V1154" s="189" t="s">
        <v>123</v>
      </c>
      <c r="W1154" s="189" t="s">
        <v>124</v>
      </c>
      <c r="X1154" s="189" t="s">
        <v>271</v>
      </c>
      <c r="Y1154" s="189" t="s">
        <v>3064</v>
      </c>
      <c r="Z1154" s="0" t="n">
        <v>2</v>
      </c>
      <c r="AA1154" s="189" t="s">
        <v>3135</v>
      </c>
    </row>
    <row r="1155" customFormat="false" ht="15" hidden="false" customHeight="false" outlineLevel="0" collapsed="false">
      <c r="A1155" s="0" t="n">
        <v>244</v>
      </c>
      <c r="B1155" s="191" t="n">
        <v>46086.6512042124</v>
      </c>
      <c r="C1155" s="191" t="n">
        <v>46086.6638083791</v>
      </c>
      <c r="D1155" s="189" t="s">
        <v>1719</v>
      </c>
      <c r="E1155" s="189" t="s">
        <v>1720</v>
      </c>
      <c r="F1155" s="189" t="s">
        <v>1720</v>
      </c>
      <c r="G1155" s="189" t="s">
        <v>1721</v>
      </c>
      <c r="H1155" s="191" t="n">
        <v>46069</v>
      </c>
      <c r="I1155" s="189" t="s">
        <v>113</v>
      </c>
      <c r="J1155" s="189" t="s">
        <v>128</v>
      </c>
      <c r="K1155" s="189" t="s">
        <v>245</v>
      </c>
      <c r="L1155" s="189" t="s">
        <v>114</v>
      </c>
      <c r="M1155" s="189" t="s">
        <v>248</v>
      </c>
      <c r="N1155" s="189" t="s">
        <v>757</v>
      </c>
      <c r="O1155" s="189" t="s">
        <v>172</v>
      </c>
      <c r="P1155" s="189" t="s">
        <v>111</v>
      </c>
      <c r="Q1155" s="189" t="s">
        <v>112</v>
      </c>
      <c r="R1155" s="189" t="s">
        <v>22</v>
      </c>
      <c r="S1155" s="189" t="s">
        <v>152</v>
      </c>
      <c r="T1155" s="189" t="s">
        <v>228</v>
      </c>
      <c r="V1155" s="189" t="s">
        <v>123</v>
      </c>
      <c r="W1155" s="189" t="s">
        <v>124</v>
      </c>
      <c r="X1155" s="189" t="s">
        <v>271</v>
      </c>
      <c r="Y1155" s="189" t="s">
        <v>3066</v>
      </c>
      <c r="Z1155" s="0" t="n">
        <v>1</v>
      </c>
      <c r="AA1155" s="189" t="s">
        <v>3117</v>
      </c>
    </row>
    <row r="1156" customFormat="false" ht="15" hidden="false" customHeight="false" outlineLevel="0" collapsed="false">
      <c r="A1156" s="0" t="n">
        <v>244</v>
      </c>
      <c r="B1156" s="191" t="n">
        <v>46086.6512042124</v>
      </c>
      <c r="C1156" s="191" t="n">
        <v>46086.6638083791</v>
      </c>
      <c r="D1156" s="189" t="s">
        <v>1719</v>
      </c>
      <c r="E1156" s="189" t="s">
        <v>1720</v>
      </c>
      <c r="F1156" s="189" t="s">
        <v>1720</v>
      </c>
      <c r="G1156" s="189" t="s">
        <v>1721</v>
      </c>
      <c r="H1156" s="191" t="n">
        <v>46069</v>
      </c>
      <c r="I1156" s="189" t="s">
        <v>113</v>
      </c>
      <c r="J1156" s="189" t="s">
        <v>128</v>
      </c>
      <c r="K1156" s="189" t="s">
        <v>245</v>
      </c>
      <c r="L1156" s="189" t="s">
        <v>114</v>
      </c>
      <c r="M1156" s="189" t="s">
        <v>248</v>
      </c>
      <c r="N1156" s="189" t="s">
        <v>757</v>
      </c>
      <c r="O1156" s="189" t="s">
        <v>172</v>
      </c>
      <c r="P1156" s="189" t="s">
        <v>111</v>
      </c>
      <c r="Q1156" s="189" t="s">
        <v>112</v>
      </c>
      <c r="R1156" s="189" t="s">
        <v>22</v>
      </c>
      <c r="S1156" s="189" t="s">
        <v>152</v>
      </c>
      <c r="T1156" s="189" t="s">
        <v>228</v>
      </c>
      <c r="V1156" s="189" t="s">
        <v>123</v>
      </c>
      <c r="W1156" s="189" t="s">
        <v>124</v>
      </c>
      <c r="X1156" s="189" t="s">
        <v>271</v>
      </c>
      <c r="Y1156" s="189" t="s">
        <v>3069</v>
      </c>
      <c r="Z1156" s="0" t="n">
        <v>1</v>
      </c>
      <c r="AA1156" s="189" t="s">
        <v>122</v>
      </c>
    </row>
    <row r="1157" customFormat="false" ht="15" hidden="false" customHeight="false" outlineLevel="0" collapsed="false">
      <c r="A1157" s="0" t="n">
        <v>245</v>
      </c>
      <c r="B1157" s="191" t="n">
        <v>46065.179181808</v>
      </c>
      <c r="C1157" s="191" t="n">
        <v>46065.1816239376</v>
      </c>
      <c r="D1157" s="189" t="s">
        <v>1723</v>
      </c>
      <c r="E1157" s="189" t="s">
        <v>1724</v>
      </c>
      <c r="F1157" s="189" t="s">
        <v>1724</v>
      </c>
      <c r="G1157" s="189" t="s">
        <v>1725</v>
      </c>
      <c r="H1157" s="191" t="n">
        <v>46056</v>
      </c>
      <c r="I1157" s="189" t="s">
        <v>113</v>
      </c>
      <c r="J1157" s="189" t="s">
        <v>128</v>
      </c>
      <c r="K1157" s="189" t="s">
        <v>196</v>
      </c>
      <c r="L1157" s="189" t="s">
        <v>431</v>
      </c>
      <c r="M1157" s="189" t="s">
        <v>130</v>
      </c>
      <c r="N1157" s="189" t="s">
        <v>280</v>
      </c>
      <c r="O1157" s="189" t="s">
        <v>244</v>
      </c>
      <c r="P1157" s="189" t="s">
        <v>111</v>
      </c>
      <c r="Q1157" s="189" t="s">
        <v>112</v>
      </c>
      <c r="R1157" s="189" t="s">
        <v>22</v>
      </c>
      <c r="S1157" s="189" t="s">
        <v>227</v>
      </c>
      <c r="T1157" s="189" t="s">
        <v>264</v>
      </c>
      <c r="U1157" s="189" t="s">
        <v>1129</v>
      </c>
      <c r="V1157" s="189" t="s">
        <v>123</v>
      </c>
      <c r="W1157" s="189" t="s">
        <v>124</v>
      </c>
      <c r="X1157" s="189" t="s">
        <v>271</v>
      </c>
      <c r="Y1157" s="189" t="s">
        <v>3064</v>
      </c>
      <c r="Z1157" s="0" t="n">
        <v>1</v>
      </c>
      <c r="AA1157" s="189" t="s">
        <v>3114</v>
      </c>
    </row>
    <row r="1158" customFormat="false" ht="15" hidden="false" customHeight="false" outlineLevel="0" collapsed="false">
      <c r="A1158" s="0" t="n">
        <v>245</v>
      </c>
      <c r="B1158" s="191" t="n">
        <v>46065.179181808</v>
      </c>
      <c r="C1158" s="191" t="n">
        <v>46065.1816239376</v>
      </c>
      <c r="D1158" s="189" t="s">
        <v>1723</v>
      </c>
      <c r="E1158" s="189" t="s">
        <v>1724</v>
      </c>
      <c r="F1158" s="189" t="s">
        <v>1724</v>
      </c>
      <c r="G1158" s="189" t="s">
        <v>1725</v>
      </c>
      <c r="H1158" s="191" t="n">
        <v>46056</v>
      </c>
      <c r="I1158" s="189" t="s">
        <v>113</v>
      </c>
      <c r="J1158" s="189" t="s">
        <v>128</v>
      </c>
      <c r="K1158" s="189" t="s">
        <v>196</v>
      </c>
      <c r="L1158" s="189" t="s">
        <v>431</v>
      </c>
      <c r="M1158" s="189" t="s">
        <v>130</v>
      </c>
      <c r="N1158" s="189" t="s">
        <v>280</v>
      </c>
      <c r="O1158" s="189" t="s">
        <v>244</v>
      </c>
      <c r="P1158" s="189" t="s">
        <v>111</v>
      </c>
      <c r="Q1158" s="189" t="s">
        <v>112</v>
      </c>
      <c r="R1158" s="189" t="s">
        <v>22</v>
      </c>
      <c r="S1158" s="189" t="s">
        <v>227</v>
      </c>
      <c r="T1158" s="189" t="s">
        <v>264</v>
      </c>
      <c r="U1158" s="189" t="s">
        <v>1129</v>
      </c>
      <c r="V1158" s="189" t="s">
        <v>123</v>
      </c>
      <c r="W1158" s="189" t="s">
        <v>124</v>
      </c>
      <c r="X1158" s="189" t="s">
        <v>271</v>
      </c>
      <c r="Y1158" s="189" t="s">
        <v>3066</v>
      </c>
      <c r="Z1158" s="0" t="n">
        <v>1</v>
      </c>
      <c r="AA1158" s="189" t="s">
        <v>3266</v>
      </c>
    </row>
    <row r="1159" customFormat="false" ht="15" hidden="false" customHeight="false" outlineLevel="0" collapsed="false">
      <c r="A1159" s="0" t="n">
        <v>245</v>
      </c>
      <c r="B1159" s="191" t="n">
        <v>46065.179181808</v>
      </c>
      <c r="C1159" s="191" t="n">
        <v>46065.1816239376</v>
      </c>
      <c r="D1159" s="189" t="s">
        <v>1723</v>
      </c>
      <c r="E1159" s="189" t="s">
        <v>1724</v>
      </c>
      <c r="F1159" s="189" t="s">
        <v>1724</v>
      </c>
      <c r="G1159" s="189" t="s">
        <v>1725</v>
      </c>
      <c r="H1159" s="191" t="n">
        <v>46056</v>
      </c>
      <c r="I1159" s="189" t="s">
        <v>113</v>
      </c>
      <c r="J1159" s="189" t="s">
        <v>128</v>
      </c>
      <c r="K1159" s="189" t="s">
        <v>196</v>
      </c>
      <c r="L1159" s="189" t="s">
        <v>431</v>
      </c>
      <c r="M1159" s="189" t="s">
        <v>130</v>
      </c>
      <c r="N1159" s="189" t="s">
        <v>280</v>
      </c>
      <c r="O1159" s="189" t="s">
        <v>244</v>
      </c>
      <c r="P1159" s="189" t="s">
        <v>111</v>
      </c>
      <c r="Q1159" s="189" t="s">
        <v>112</v>
      </c>
      <c r="R1159" s="189" t="s">
        <v>22</v>
      </c>
      <c r="S1159" s="189" t="s">
        <v>227</v>
      </c>
      <c r="T1159" s="189" t="s">
        <v>264</v>
      </c>
      <c r="U1159" s="189" t="s">
        <v>1129</v>
      </c>
      <c r="V1159" s="189" t="s">
        <v>123</v>
      </c>
      <c r="W1159" s="189" t="s">
        <v>124</v>
      </c>
      <c r="X1159" s="189" t="s">
        <v>271</v>
      </c>
      <c r="Y1159" s="189" t="s">
        <v>3066</v>
      </c>
      <c r="Z1159" s="0" t="n">
        <v>2</v>
      </c>
      <c r="AA1159" s="189" t="s">
        <v>3117</v>
      </c>
    </row>
    <row r="1160" customFormat="false" ht="15" hidden="false" customHeight="false" outlineLevel="0" collapsed="false">
      <c r="A1160" s="0" t="n">
        <v>245</v>
      </c>
      <c r="B1160" s="191" t="n">
        <v>46065.179181808</v>
      </c>
      <c r="C1160" s="191" t="n">
        <v>46065.1816239376</v>
      </c>
      <c r="D1160" s="189" t="s">
        <v>1723</v>
      </c>
      <c r="E1160" s="189" t="s">
        <v>1724</v>
      </c>
      <c r="F1160" s="189" t="s">
        <v>1724</v>
      </c>
      <c r="G1160" s="189" t="s">
        <v>1725</v>
      </c>
      <c r="H1160" s="191" t="n">
        <v>46056</v>
      </c>
      <c r="I1160" s="189" t="s">
        <v>113</v>
      </c>
      <c r="J1160" s="189" t="s">
        <v>128</v>
      </c>
      <c r="K1160" s="189" t="s">
        <v>196</v>
      </c>
      <c r="L1160" s="189" t="s">
        <v>431</v>
      </c>
      <c r="M1160" s="189" t="s">
        <v>130</v>
      </c>
      <c r="N1160" s="189" t="s">
        <v>280</v>
      </c>
      <c r="O1160" s="189" t="s">
        <v>244</v>
      </c>
      <c r="P1160" s="189" t="s">
        <v>111</v>
      </c>
      <c r="Q1160" s="189" t="s">
        <v>112</v>
      </c>
      <c r="R1160" s="189" t="s">
        <v>22</v>
      </c>
      <c r="S1160" s="189" t="s">
        <v>227</v>
      </c>
      <c r="T1160" s="189" t="s">
        <v>264</v>
      </c>
      <c r="U1160" s="189" t="s">
        <v>1129</v>
      </c>
      <c r="V1160" s="189" t="s">
        <v>123</v>
      </c>
      <c r="W1160" s="189" t="s">
        <v>124</v>
      </c>
      <c r="X1160" s="189" t="s">
        <v>271</v>
      </c>
      <c r="Y1160" s="189" t="s">
        <v>3069</v>
      </c>
      <c r="Z1160" s="0" t="n">
        <v>1</v>
      </c>
      <c r="AA1160" s="189" t="s">
        <v>3119</v>
      </c>
    </row>
    <row r="1161" customFormat="false" ht="15" hidden="false" customHeight="false" outlineLevel="0" collapsed="false">
      <c r="A1161" s="0" t="n">
        <v>245</v>
      </c>
      <c r="B1161" s="191" t="n">
        <v>46065.179181808</v>
      </c>
      <c r="C1161" s="191" t="n">
        <v>46065.1816239376</v>
      </c>
      <c r="D1161" s="189" t="s">
        <v>1723</v>
      </c>
      <c r="E1161" s="189" t="s">
        <v>1724</v>
      </c>
      <c r="F1161" s="189" t="s">
        <v>1724</v>
      </c>
      <c r="G1161" s="189" t="s">
        <v>1725</v>
      </c>
      <c r="H1161" s="191" t="n">
        <v>46056</v>
      </c>
      <c r="I1161" s="189" t="s">
        <v>113</v>
      </c>
      <c r="J1161" s="189" t="s">
        <v>128</v>
      </c>
      <c r="K1161" s="189" t="s">
        <v>196</v>
      </c>
      <c r="L1161" s="189" t="s">
        <v>431</v>
      </c>
      <c r="M1161" s="189" t="s">
        <v>130</v>
      </c>
      <c r="N1161" s="189" t="s">
        <v>280</v>
      </c>
      <c r="O1161" s="189" t="s">
        <v>244</v>
      </c>
      <c r="P1161" s="189" t="s">
        <v>111</v>
      </c>
      <c r="Q1161" s="189" t="s">
        <v>112</v>
      </c>
      <c r="R1161" s="189" t="s">
        <v>22</v>
      </c>
      <c r="S1161" s="189" t="s">
        <v>227</v>
      </c>
      <c r="T1161" s="189" t="s">
        <v>264</v>
      </c>
      <c r="U1161" s="189" t="s">
        <v>1129</v>
      </c>
      <c r="V1161" s="189" t="s">
        <v>123</v>
      </c>
      <c r="W1161" s="189" t="s">
        <v>124</v>
      </c>
      <c r="X1161" s="189" t="s">
        <v>271</v>
      </c>
      <c r="Y1161" s="189" t="s">
        <v>3069</v>
      </c>
      <c r="Z1161" s="0" t="n">
        <v>2</v>
      </c>
      <c r="AA1161" s="189" t="s">
        <v>3118</v>
      </c>
    </row>
    <row r="1162" customFormat="false" ht="15" hidden="false" customHeight="false" outlineLevel="0" collapsed="false">
      <c r="A1162" s="0" t="n">
        <v>246</v>
      </c>
      <c r="B1162" s="191" t="n">
        <v>46113.5175228957</v>
      </c>
      <c r="C1162" s="191" t="n">
        <v>46113.5262265994</v>
      </c>
      <c r="D1162" s="189" t="s">
        <v>1728</v>
      </c>
      <c r="E1162" s="189" t="s">
        <v>1729</v>
      </c>
      <c r="F1162" s="189" t="s">
        <v>1729</v>
      </c>
      <c r="G1162" s="189" t="s">
        <v>1730</v>
      </c>
      <c r="H1162" s="191" t="n">
        <v>46093</v>
      </c>
      <c r="I1162" s="189" t="s">
        <v>305</v>
      </c>
      <c r="J1162" s="189" t="s">
        <v>108</v>
      </c>
      <c r="K1162" s="189" t="s">
        <v>173</v>
      </c>
      <c r="L1162" s="189" t="s">
        <v>233</v>
      </c>
      <c r="M1162" s="189" t="s">
        <v>566</v>
      </c>
      <c r="N1162" s="189" t="s">
        <v>775</v>
      </c>
      <c r="O1162" s="189" t="s">
        <v>244</v>
      </c>
      <c r="P1162" s="189" t="s">
        <v>111</v>
      </c>
      <c r="Q1162" s="189" t="s">
        <v>112</v>
      </c>
      <c r="R1162" s="189" t="s">
        <v>24</v>
      </c>
      <c r="S1162" s="189" t="s">
        <v>152</v>
      </c>
      <c r="T1162" s="189" t="s">
        <v>121</v>
      </c>
      <c r="U1162" s="189" t="s">
        <v>122</v>
      </c>
      <c r="V1162" s="189" t="s">
        <v>123</v>
      </c>
      <c r="W1162" s="189" t="s">
        <v>124</v>
      </c>
      <c r="X1162" s="189" t="s">
        <v>223</v>
      </c>
      <c r="Y1162" s="189" t="s">
        <v>3064</v>
      </c>
      <c r="Z1162" s="0" t="n">
        <v>1</v>
      </c>
      <c r="AA1162" s="189" t="s">
        <v>3097</v>
      </c>
    </row>
    <row r="1163" customFormat="false" ht="15" hidden="false" customHeight="false" outlineLevel="0" collapsed="false">
      <c r="A1163" s="0" t="n">
        <v>246</v>
      </c>
      <c r="B1163" s="191" t="n">
        <v>46113.5175228957</v>
      </c>
      <c r="C1163" s="191" t="n">
        <v>46113.5262265994</v>
      </c>
      <c r="D1163" s="189" t="s">
        <v>1728</v>
      </c>
      <c r="E1163" s="189" t="s">
        <v>1729</v>
      </c>
      <c r="F1163" s="189" t="s">
        <v>1729</v>
      </c>
      <c r="G1163" s="189" t="s">
        <v>1730</v>
      </c>
      <c r="H1163" s="191" t="n">
        <v>46093</v>
      </c>
      <c r="I1163" s="189" t="s">
        <v>305</v>
      </c>
      <c r="J1163" s="189" t="s">
        <v>108</v>
      </c>
      <c r="K1163" s="189" t="s">
        <v>173</v>
      </c>
      <c r="L1163" s="189" t="s">
        <v>233</v>
      </c>
      <c r="M1163" s="189" t="s">
        <v>566</v>
      </c>
      <c r="N1163" s="189" t="s">
        <v>775</v>
      </c>
      <c r="O1163" s="189" t="s">
        <v>244</v>
      </c>
      <c r="P1163" s="189" t="s">
        <v>111</v>
      </c>
      <c r="Q1163" s="189" t="s">
        <v>112</v>
      </c>
      <c r="R1163" s="189" t="s">
        <v>24</v>
      </c>
      <c r="S1163" s="189" t="s">
        <v>152</v>
      </c>
      <c r="T1163" s="189" t="s">
        <v>121</v>
      </c>
      <c r="U1163" s="189" t="s">
        <v>122</v>
      </c>
      <c r="V1163" s="189" t="s">
        <v>123</v>
      </c>
      <c r="W1163" s="189" t="s">
        <v>124</v>
      </c>
      <c r="X1163" s="189" t="s">
        <v>223</v>
      </c>
      <c r="Y1163" s="189" t="s">
        <v>3066</v>
      </c>
      <c r="Z1163" s="0" t="n">
        <v>1</v>
      </c>
      <c r="AA1163" s="189" t="s">
        <v>3100</v>
      </c>
    </row>
    <row r="1164" customFormat="false" ht="15" hidden="false" customHeight="false" outlineLevel="0" collapsed="false">
      <c r="A1164" s="0" t="n">
        <v>246</v>
      </c>
      <c r="B1164" s="191" t="n">
        <v>46113.5175228957</v>
      </c>
      <c r="C1164" s="191" t="n">
        <v>46113.5262265994</v>
      </c>
      <c r="D1164" s="189" t="s">
        <v>1728</v>
      </c>
      <c r="E1164" s="189" t="s">
        <v>1729</v>
      </c>
      <c r="F1164" s="189" t="s">
        <v>1729</v>
      </c>
      <c r="G1164" s="189" t="s">
        <v>1730</v>
      </c>
      <c r="H1164" s="191" t="n">
        <v>46093</v>
      </c>
      <c r="I1164" s="189" t="s">
        <v>305</v>
      </c>
      <c r="J1164" s="189" t="s">
        <v>108</v>
      </c>
      <c r="K1164" s="189" t="s">
        <v>173</v>
      </c>
      <c r="L1164" s="189" t="s">
        <v>233</v>
      </c>
      <c r="M1164" s="189" t="s">
        <v>566</v>
      </c>
      <c r="N1164" s="189" t="s">
        <v>775</v>
      </c>
      <c r="O1164" s="189" t="s">
        <v>244</v>
      </c>
      <c r="P1164" s="189" t="s">
        <v>111</v>
      </c>
      <c r="Q1164" s="189" t="s">
        <v>112</v>
      </c>
      <c r="R1164" s="189" t="s">
        <v>24</v>
      </c>
      <c r="S1164" s="189" t="s">
        <v>152</v>
      </c>
      <c r="T1164" s="189" t="s">
        <v>121</v>
      </c>
      <c r="U1164" s="189" t="s">
        <v>122</v>
      </c>
      <c r="V1164" s="189" t="s">
        <v>123</v>
      </c>
      <c r="W1164" s="189" t="s">
        <v>124</v>
      </c>
      <c r="X1164" s="189" t="s">
        <v>223</v>
      </c>
      <c r="Y1164" s="189" t="s">
        <v>3069</v>
      </c>
      <c r="Z1164" s="0" t="n">
        <v>1</v>
      </c>
      <c r="AA1164" s="189" t="s">
        <v>3150</v>
      </c>
    </row>
    <row r="1165" customFormat="false" ht="15" hidden="false" customHeight="false" outlineLevel="0" collapsed="false">
      <c r="A1165" s="0" t="n">
        <v>246</v>
      </c>
      <c r="B1165" s="191" t="n">
        <v>46113.5175228957</v>
      </c>
      <c r="C1165" s="191" t="n">
        <v>46113.5262265994</v>
      </c>
      <c r="D1165" s="189" t="s">
        <v>1728</v>
      </c>
      <c r="E1165" s="189" t="s">
        <v>1729</v>
      </c>
      <c r="F1165" s="189" t="s">
        <v>1729</v>
      </c>
      <c r="G1165" s="189" t="s">
        <v>1730</v>
      </c>
      <c r="H1165" s="191" t="n">
        <v>46093</v>
      </c>
      <c r="I1165" s="189" t="s">
        <v>305</v>
      </c>
      <c r="J1165" s="189" t="s">
        <v>108</v>
      </c>
      <c r="K1165" s="189" t="s">
        <v>173</v>
      </c>
      <c r="L1165" s="189" t="s">
        <v>233</v>
      </c>
      <c r="M1165" s="189" t="s">
        <v>566</v>
      </c>
      <c r="N1165" s="189" t="s">
        <v>775</v>
      </c>
      <c r="O1165" s="189" t="s">
        <v>244</v>
      </c>
      <c r="P1165" s="189" t="s">
        <v>111</v>
      </c>
      <c r="Q1165" s="189" t="s">
        <v>112</v>
      </c>
      <c r="R1165" s="189" t="s">
        <v>24</v>
      </c>
      <c r="S1165" s="189" t="s">
        <v>152</v>
      </c>
      <c r="T1165" s="189" t="s">
        <v>121</v>
      </c>
      <c r="U1165" s="189" t="s">
        <v>122</v>
      </c>
      <c r="V1165" s="189" t="s">
        <v>123</v>
      </c>
      <c r="W1165" s="189" t="s">
        <v>124</v>
      </c>
      <c r="X1165" s="189" t="s">
        <v>223</v>
      </c>
      <c r="Y1165" s="189" t="s">
        <v>3069</v>
      </c>
      <c r="Z1165" s="0" t="n">
        <v>2</v>
      </c>
      <c r="AA1165" s="189" t="s">
        <v>3106</v>
      </c>
    </row>
    <row r="1166" customFormat="false" ht="15" hidden="false" customHeight="false" outlineLevel="0" collapsed="false">
      <c r="A1166" s="0" t="n">
        <v>247</v>
      </c>
      <c r="B1166" s="191" t="n">
        <v>46141.2896764299</v>
      </c>
      <c r="C1166" s="191" t="n">
        <v>46141.2971532818</v>
      </c>
      <c r="D1166" s="189" t="s">
        <v>1732</v>
      </c>
      <c r="E1166" s="189" t="s">
        <v>1733</v>
      </c>
      <c r="F1166" s="189" t="s">
        <v>1734</v>
      </c>
      <c r="G1166" s="189" t="s">
        <v>1735</v>
      </c>
      <c r="H1166" s="191" t="n">
        <v>46138</v>
      </c>
      <c r="I1166" s="189" t="s">
        <v>113</v>
      </c>
      <c r="J1166" s="189" t="s">
        <v>108</v>
      </c>
      <c r="K1166" s="189" t="s">
        <v>1711</v>
      </c>
      <c r="L1166" s="189" t="s">
        <v>110</v>
      </c>
      <c r="M1166" s="189" t="s">
        <v>686</v>
      </c>
      <c r="N1166" s="189" t="s">
        <v>1094</v>
      </c>
      <c r="O1166" s="189" t="s">
        <v>244</v>
      </c>
      <c r="P1166" s="189" t="s">
        <v>111</v>
      </c>
      <c r="Q1166" s="189" t="s">
        <v>247</v>
      </c>
      <c r="R1166" s="189" t="s">
        <v>25</v>
      </c>
      <c r="S1166" s="189" t="s">
        <v>120</v>
      </c>
      <c r="T1166" s="189" t="s">
        <v>121</v>
      </c>
      <c r="U1166" s="189" t="s">
        <v>1557</v>
      </c>
      <c r="V1166" s="189" t="s">
        <v>123</v>
      </c>
      <c r="W1166" s="189" t="s">
        <v>124</v>
      </c>
      <c r="X1166" s="189" t="s">
        <v>327</v>
      </c>
      <c r="Y1166" s="189" t="s">
        <v>3064</v>
      </c>
      <c r="Z1166" s="0" t="n">
        <v>1</v>
      </c>
      <c r="AA1166" s="189" t="s">
        <v>3081</v>
      </c>
    </row>
    <row r="1167" customFormat="false" ht="15" hidden="false" customHeight="false" outlineLevel="0" collapsed="false">
      <c r="A1167" s="0" t="n">
        <v>247</v>
      </c>
      <c r="B1167" s="191" t="n">
        <v>46141.2896764299</v>
      </c>
      <c r="C1167" s="191" t="n">
        <v>46141.2971532818</v>
      </c>
      <c r="D1167" s="189" t="s">
        <v>1732</v>
      </c>
      <c r="E1167" s="189" t="s">
        <v>1733</v>
      </c>
      <c r="F1167" s="189" t="s">
        <v>1734</v>
      </c>
      <c r="G1167" s="189" t="s">
        <v>1735</v>
      </c>
      <c r="H1167" s="191" t="n">
        <v>46138</v>
      </c>
      <c r="I1167" s="189" t="s">
        <v>113</v>
      </c>
      <c r="J1167" s="189" t="s">
        <v>108</v>
      </c>
      <c r="K1167" s="189" t="s">
        <v>1711</v>
      </c>
      <c r="L1167" s="189" t="s">
        <v>110</v>
      </c>
      <c r="M1167" s="189" t="s">
        <v>686</v>
      </c>
      <c r="N1167" s="189" t="s">
        <v>1094</v>
      </c>
      <c r="O1167" s="189" t="s">
        <v>244</v>
      </c>
      <c r="P1167" s="189" t="s">
        <v>111</v>
      </c>
      <c r="Q1167" s="189" t="s">
        <v>247</v>
      </c>
      <c r="R1167" s="189" t="s">
        <v>25</v>
      </c>
      <c r="S1167" s="189" t="s">
        <v>120</v>
      </c>
      <c r="T1167" s="189" t="s">
        <v>121</v>
      </c>
      <c r="U1167" s="189" t="s">
        <v>1557</v>
      </c>
      <c r="V1167" s="189" t="s">
        <v>123</v>
      </c>
      <c r="W1167" s="189" t="s">
        <v>124</v>
      </c>
      <c r="X1167" s="189" t="s">
        <v>327</v>
      </c>
      <c r="Y1167" s="189" t="s">
        <v>3066</v>
      </c>
      <c r="Z1167" s="0" t="n">
        <v>1</v>
      </c>
      <c r="AA1167" s="189" t="s">
        <v>3068</v>
      </c>
    </row>
    <row r="1168" customFormat="false" ht="15" hidden="false" customHeight="false" outlineLevel="0" collapsed="false">
      <c r="A1168" s="0" t="n">
        <v>247</v>
      </c>
      <c r="B1168" s="191" t="n">
        <v>46141.2896764299</v>
      </c>
      <c r="C1168" s="191" t="n">
        <v>46141.2971532818</v>
      </c>
      <c r="D1168" s="189" t="s">
        <v>1732</v>
      </c>
      <c r="E1168" s="189" t="s">
        <v>1733</v>
      </c>
      <c r="F1168" s="189" t="s">
        <v>1734</v>
      </c>
      <c r="G1168" s="189" t="s">
        <v>1735</v>
      </c>
      <c r="H1168" s="191" t="n">
        <v>46138</v>
      </c>
      <c r="I1168" s="189" t="s">
        <v>113</v>
      </c>
      <c r="J1168" s="189" t="s">
        <v>108</v>
      </c>
      <c r="K1168" s="189" t="s">
        <v>1711</v>
      </c>
      <c r="L1168" s="189" t="s">
        <v>110</v>
      </c>
      <c r="M1168" s="189" t="s">
        <v>686</v>
      </c>
      <c r="N1168" s="189" t="s">
        <v>1094</v>
      </c>
      <c r="O1168" s="189" t="s">
        <v>244</v>
      </c>
      <c r="P1168" s="189" t="s">
        <v>111</v>
      </c>
      <c r="Q1168" s="189" t="s">
        <v>247</v>
      </c>
      <c r="R1168" s="189" t="s">
        <v>25</v>
      </c>
      <c r="S1168" s="189" t="s">
        <v>120</v>
      </c>
      <c r="T1168" s="189" t="s">
        <v>121</v>
      </c>
      <c r="U1168" s="189" t="s">
        <v>1557</v>
      </c>
      <c r="V1168" s="189" t="s">
        <v>123</v>
      </c>
      <c r="W1168" s="189" t="s">
        <v>124</v>
      </c>
      <c r="X1168" s="189" t="s">
        <v>327</v>
      </c>
      <c r="Y1168" s="189" t="s">
        <v>3066</v>
      </c>
      <c r="Z1168" s="0" t="n">
        <v>2</v>
      </c>
      <c r="AA1168" s="189" t="s">
        <v>122</v>
      </c>
    </row>
    <row r="1169" customFormat="false" ht="15" hidden="false" customHeight="false" outlineLevel="0" collapsed="false">
      <c r="A1169" s="0" t="n">
        <v>247</v>
      </c>
      <c r="B1169" s="191" t="n">
        <v>46141.2896764299</v>
      </c>
      <c r="C1169" s="191" t="n">
        <v>46141.2971532818</v>
      </c>
      <c r="D1169" s="189" t="s">
        <v>1732</v>
      </c>
      <c r="E1169" s="189" t="s">
        <v>1733</v>
      </c>
      <c r="F1169" s="189" t="s">
        <v>1734</v>
      </c>
      <c r="G1169" s="189" t="s">
        <v>1735</v>
      </c>
      <c r="H1169" s="191" t="n">
        <v>46138</v>
      </c>
      <c r="I1169" s="189" t="s">
        <v>113</v>
      </c>
      <c r="J1169" s="189" t="s">
        <v>108</v>
      </c>
      <c r="K1169" s="189" t="s">
        <v>1711</v>
      </c>
      <c r="L1169" s="189" t="s">
        <v>110</v>
      </c>
      <c r="M1169" s="189" t="s">
        <v>686</v>
      </c>
      <c r="N1169" s="189" t="s">
        <v>1094</v>
      </c>
      <c r="O1169" s="189" t="s">
        <v>244</v>
      </c>
      <c r="P1169" s="189" t="s">
        <v>111</v>
      </c>
      <c r="Q1169" s="189" t="s">
        <v>247</v>
      </c>
      <c r="R1169" s="189" t="s">
        <v>25</v>
      </c>
      <c r="S1169" s="189" t="s">
        <v>120</v>
      </c>
      <c r="T1169" s="189" t="s">
        <v>121</v>
      </c>
      <c r="U1169" s="189" t="s">
        <v>1557</v>
      </c>
      <c r="V1169" s="189" t="s">
        <v>123</v>
      </c>
      <c r="W1169" s="189" t="s">
        <v>124</v>
      </c>
      <c r="X1169" s="189" t="s">
        <v>327</v>
      </c>
      <c r="Y1169" s="189" t="s">
        <v>3069</v>
      </c>
      <c r="Z1169" s="0" t="n">
        <v>1</v>
      </c>
      <c r="AA1169" s="189" t="s">
        <v>3070</v>
      </c>
    </row>
    <row r="1170" customFormat="false" ht="15" hidden="false" customHeight="false" outlineLevel="0" collapsed="false">
      <c r="A1170" s="0" t="n">
        <v>247</v>
      </c>
      <c r="B1170" s="191" t="n">
        <v>46141.2896764299</v>
      </c>
      <c r="C1170" s="191" t="n">
        <v>46141.2971532818</v>
      </c>
      <c r="D1170" s="189" t="s">
        <v>1732</v>
      </c>
      <c r="E1170" s="189" t="s">
        <v>1733</v>
      </c>
      <c r="F1170" s="189" t="s">
        <v>1734</v>
      </c>
      <c r="G1170" s="189" t="s">
        <v>1735</v>
      </c>
      <c r="H1170" s="191" t="n">
        <v>46138</v>
      </c>
      <c r="I1170" s="189" t="s">
        <v>113</v>
      </c>
      <c r="J1170" s="189" t="s">
        <v>108</v>
      </c>
      <c r="K1170" s="189" t="s">
        <v>1711</v>
      </c>
      <c r="L1170" s="189" t="s">
        <v>110</v>
      </c>
      <c r="M1170" s="189" t="s">
        <v>686</v>
      </c>
      <c r="N1170" s="189" t="s">
        <v>1094</v>
      </c>
      <c r="O1170" s="189" t="s">
        <v>244</v>
      </c>
      <c r="P1170" s="189" t="s">
        <v>111</v>
      </c>
      <c r="Q1170" s="189" t="s">
        <v>247</v>
      </c>
      <c r="R1170" s="189" t="s">
        <v>25</v>
      </c>
      <c r="S1170" s="189" t="s">
        <v>120</v>
      </c>
      <c r="T1170" s="189" t="s">
        <v>121</v>
      </c>
      <c r="U1170" s="189" t="s">
        <v>1557</v>
      </c>
      <c r="V1170" s="189" t="s">
        <v>123</v>
      </c>
      <c r="W1170" s="189" t="s">
        <v>124</v>
      </c>
      <c r="X1170" s="189" t="s">
        <v>327</v>
      </c>
      <c r="Y1170" s="189" t="s">
        <v>3069</v>
      </c>
      <c r="Z1170" s="0" t="n">
        <v>2</v>
      </c>
      <c r="AA1170" s="189" t="s">
        <v>3083</v>
      </c>
    </row>
    <row r="1171" customFormat="false" ht="68.65" hidden="false" customHeight="false" outlineLevel="0" collapsed="false">
      <c r="A1171" s="0" t="n">
        <v>248</v>
      </c>
      <c r="B1171" s="191" t="n">
        <v>46126.9822979835</v>
      </c>
      <c r="C1171" s="191" t="n">
        <v>46126.9956428909</v>
      </c>
      <c r="D1171" s="189" t="s">
        <v>1738</v>
      </c>
      <c r="E1171" s="189" t="s">
        <v>1739</v>
      </c>
      <c r="F1171" s="189" t="s">
        <v>1739</v>
      </c>
      <c r="G1171" s="189" t="s">
        <v>1740</v>
      </c>
      <c r="H1171" s="191" t="n">
        <v>46118</v>
      </c>
      <c r="I1171" s="189" t="s">
        <v>305</v>
      </c>
      <c r="J1171" s="189" t="s">
        <v>108</v>
      </c>
      <c r="K1171" s="189" t="s">
        <v>196</v>
      </c>
      <c r="L1171" s="189" t="s">
        <v>246</v>
      </c>
      <c r="M1171" s="189" t="s">
        <v>258</v>
      </c>
      <c r="N1171" s="189" t="s">
        <v>297</v>
      </c>
      <c r="O1171" s="189" t="s">
        <v>107</v>
      </c>
      <c r="P1171" s="189" t="s">
        <v>111</v>
      </c>
      <c r="Q1171" s="189" t="s">
        <v>112</v>
      </c>
      <c r="R1171" s="189" t="s">
        <v>25</v>
      </c>
      <c r="S1171" s="189" t="s">
        <v>120</v>
      </c>
      <c r="T1171" s="189" t="s">
        <v>121</v>
      </c>
      <c r="U1171" s="132" t="s">
        <v>641</v>
      </c>
      <c r="V1171" s="189" t="s">
        <v>123</v>
      </c>
      <c r="W1171" s="189" t="s">
        <v>139</v>
      </c>
      <c r="X1171" s="189" t="s">
        <v>1712</v>
      </c>
      <c r="Y1171" s="189" t="s">
        <v>3064</v>
      </c>
      <c r="Z1171" s="0" t="n">
        <v>1</v>
      </c>
      <c r="AA1171" s="189" t="s">
        <v>3304</v>
      </c>
    </row>
    <row r="1172" customFormat="false" ht="68.65" hidden="false" customHeight="false" outlineLevel="0" collapsed="false">
      <c r="A1172" s="0" t="n">
        <v>248</v>
      </c>
      <c r="B1172" s="191" t="n">
        <v>46126.9822979835</v>
      </c>
      <c r="C1172" s="191" t="n">
        <v>46126.9956428909</v>
      </c>
      <c r="D1172" s="189" t="s">
        <v>1738</v>
      </c>
      <c r="E1172" s="189" t="s">
        <v>1739</v>
      </c>
      <c r="F1172" s="189" t="s">
        <v>1739</v>
      </c>
      <c r="G1172" s="189" t="s">
        <v>1740</v>
      </c>
      <c r="H1172" s="191" t="n">
        <v>46118</v>
      </c>
      <c r="I1172" s="189" t="s">
        <v>305</v>
      </c>
      <c r="J1172" s="189" t="s">
        <v>108</v>
      </c>
      <c r="K1172" s="189" t="s">
        <v>196</v>
      </c>
      <c r="L1172" s="189" t="s">
        <v>246</v>
      </c>
      <c r="M1172" s="189" t="s">
        <v>258</v>
      </c>
      <c r="N1172" s="189" t="s">
        <v>297</v>
      </c>
      <c r="O1172" s="189" t="s">
        <v>107</v>
      </c>
      <c r="P1172" s="189" t="s">
        <v>111</v>
      </c>
      <c r="Q1172" s="189" t="s">
        <v>112</v>
      </c>
      <c r="R1172" s="189" t="s">
        <v>25</v>
      </c>
      <c r="S1172" s="189" t="s">
        <v>120</v>
      </c>
      <c r="T1172" s="189" t="s">
        <v>121</v>
      </c>
      <c r="U1172" s="132" t="s">
        <v>641</v>
      </c>
      <c r="V1172" s="189" t="s">
        <v>123</v>
      </c>
      <c r="W1172" s="189" t="s">
        <v>139</v>
      </c>
      <c r="X1172" s="189" t="s">
        <v>1712</v>
      </c>
      <c r="Y1172" s="189" t="s">
        <v>3066</v>
      </c>
      <c r="Z1172" s="0" t="n">
        <v>1</v>
      </c>
      <c r="AA1172" s="189" t="s">
        <v>3306</v>
      </c>
    </row>
    <row r="1173" customFormat="false" ht="68.65" hidden="false" customHeight="false" outlineLevel="0" collapsed="false">
      <c r="A1173" s="0" t="n">
        <v>248</v>
      </c>
      <c r="B1173" s="191" t="n">
        <v>46126.9822979835</v>
      </c>
      <c r="C1173" s="191" t="n">
        <v>46126.9956428909</v>
      </c>
      <c r="D1173" s="189" t="s">
        <v>1738</v>
      </c>
      <c r="E1173" s="189" t="s">
        <v>1739</v>
      </c>
      <c r="F1173" s="189" t="s">
        <v>1739</v>
      </c>
      <c r="G1173" s="189" t="s">
        <v>1740</v>
      </c>
      <c r="H1173" s="191" t="n">
        <v>46118</v>
      </c>
      <c r="I1173" s="189" t="s">
        <v>305</v>
      </c>
      <c r="J1173" s="189" t="s">
        <v>108</v>
      </c>
      <c r="K1173" s="189" t="s">
        <v>196</v>
      </c>
      <c r="L1173" s="189" t="s">
        <v>246</v>
      </c>
      <c r="M1173" s="189" t="s">
        <v>258</v>
      </c>
      <c r="N1173" s="189" t="s">
        <v>297</v>
      </c>
      <c r="O1173" s="189" t="s">
        <v>107</v>
      </c>
      <c r="P1173" s="189" t="s">
        <v>111</v>
      </c>
      <c r="Q1173" s="189" t="s">
        <v>112</v>
      </c>
      <c r="R1173" s="189" t="s">
        <v>25</v>
      </c>
      <c r="S1173" s="189" t="s">
        <v>120</v>
      </c>
      <c r="T1173" s="189" t="s">
        <v>121</v>
      </c>
      <c r="U1173" s="132" t="s">
        <v>641</v>
      </c>
      <c r="V1173" s="189" t="s">
        <v>123</v>
      </c>
      <c r="W1173" s="189" t="s">
        <v>139</v>
      </c>
      <c r="X1173" s="189" t="s">
        <v>1712</v>
      </c>
      <c r="Y1173" s="189" t="s">
        <v>3069</v>
      </c>
      <c r="Z1173" s="0" t="n">
        <v>1</v>
      </c>
      <c r="AA1173" s="189" t="s">
        <v>3309</v>
      </c>
    </row>
    <row r="1174" customFormat="false" ht="68.65" hidden="false" customHeight="false" outlineLevel="0" collapsed="false">
      <c r="A1174" s="0" t="n">
        <v>248</v>
      </c>
      <c r="B1174" s="191" t="n">
        <v>46126.9822979835</v>
      </c>
      <c r="C1174" s="191" t="n">
        <v>46126.9956428909</v>
      </c>
      <c r="D1174" s="189" t="s">
        <v>1738</v>
      </c>
      <c r="E1174" s="189" t="s">
        <v>1739</v>
      </c>
      <c r="F1174" s="189" t="s">
        <v>1739</v>
      </c>
      <c r="G1174" s="189" t="s">
        <v>1740</v>
      </c>
      <c r="H1174" s="191" t="n">
        <v>46118</v>
      </c>
      <c r="I1174" s="189" t="s">
        <v>305</v>
      </c>
      <c r="J1174" s="189" t="s">
        <v>108</v>
      </c>
      <c r="K1174" s="189" t="s">
        <v>196</v>
      </c>
      <c r="L1174" s="189" t="s">
        <v>246</v>
      </c>
      <c r="M1174" s="189" t="s">
        <v>258</v>
      </c>
      <c r="N1174" s="189" t="s">
        <v>297</v>
      </c>
      <c r="O1174" s="189" t="s">
        <v>107</v>
      </c>
      <c r="P1174" s="189" t="s">
        <v>111</v>
      </c>
      <c r="Q1174" s="189" t="s">
        <v>112</v>
      </c>
      <c r="R1174" s="189" t="s">
        <v>25</v>
      </c>
      <c r="S1174" s="189" t="s">
        <v>120</v>
      </c>
      <c r="T1174" s="189" t="s">
        <v>121</v>
      </c>
      <c r="U1174" s="132" t="s">
        <v>641</v>
      </c>
      <c r="V1174" s="189" t="s">
        <v>123</v>
      </c>
      <c r="W1174" s="189" t="s">
        <v>139</v>
      </c>
      <c r="X1174" s="189" t="s">
        <v>1712</v>
      </c>
      <c r="Y1174" s="189" t="s">
        <v>3069</v>
      </c>
      <c r="Z1174" s="0" t="n">
        <v>2</v>
      </c>
      <c r="AA1174" s="189" t="s">
        <v>3308</v>
      </c>
    </row>
    <row r="1175" customFormat="false" ht="15" hidden="false" customHeight="false" outlineLevel="0" collapsed="false">
      <c r="A1175" s="0" t="n">
        <v>249</v>
      </c>
      <c r="B1175" s="191" t="n">
        <v>46199.1579058569</v>
      </c>
      <c r="C1175" s="191" t="n">
        <v>46199.1724428939</v>
      </c>
      <c r="D1175" s="189" t="s">
        <v>1744</v>
      </c>
      <c r="E1175" s="189" t="s">
        <v>1745</v>
      </c>
      <c r="F1175" s="189" t="s">
        <v>1746</v>
      </c>
      <c r="G1175" s="189" t="s">
        <v>1747</v>
      </c>
      <c r="H1175" s="191" t="n">
        <v>46185</v>
      </c>
      <c r="I1175" s="189" t="s">
        <v>113</v>
      </c>
      <c r="J1175" s="189" t="s">
        <v>108</v>
      </c>
      <c r="K1175" s="189" t="s">
        <v>364</v>
      </c>
      <c r="L1175" s="189" t="s">
        <v>246</v>
      </c>
      <c r="M1175" s="189" t="s">
        <v>774</v>
      </c>
      <c r="N1175" s="189" t="s">
        <v>422</v>
      </c>
      <c r="O1175" s="189" t="s">
        <v>260</v>
      </c>
      <c r="P1175" s="189" t="s">
        <v>111</v>
      </c>
      <c r="Q1175" s="189" t="s">
        <v>247</v>
      </c>
      <c r="R1175" s="189" t="s">
        <v>22</v>
      </c>
      <c r="S1175" s="189" t="s">
        <v>152</v>
      </c>
      <c r="T1175" s="189" t="s">
        <v>352</v>
      </c>
      <c r="U1175" s="189" t="s">
        <v>1326</v>
      </c>
      <c r="V1175" s="189" t="s">
        <v>167</v>
      </c>
      <c r="W1175" s="189" t="s">
        <v>168</v>
      </c>
      <c r="X1175" s="189" t="s">
        <v>271</v>
      </c>
      <c r="Y1175" s="189" t="s">
        <v>3064</v>
      </c>
      <c r="Z1175" s="0" t="n">
        <v>1</v>
      </c>
      <c r="AA1175" s="189" t="s">
        <v>3230</v>
      </c>
    </row>
    <row r="1176" customFormat="false" ht="15" hidden="false" customHeight="false" outlineLevel="0" collapsed="false">
      <c r="A1176" s="0" t="n">
        <v>249</v>
      </c>
      <c r="B1176" s="191" t="n">
        <v>46199.1579058569</v>
      </c>
      <c r="C1176" s="191" t="n">
        <v>46199.1724428939</v>
      </c>
      <c r="D1176" s="189" t="s">
        <v>1744</v>
      </c>
      <c r="E1176" s="189" t="s">
        <v>1745</v>
      </c>
      <c r="F1176" s="189" t="s">
        <v>1746</v>
      </c>
      <c r="G1176" s="189" t="s">
        <v>1747</v>
      </c>
      <c r="H1176" s="191" t="n">
        <v>46185</v>
      </c>
      <c r="I1176" s="189" t="s">
        <v>113</v>
      </c>
      <c r="J1176" s="189" t="s">
        <v>108</v>
      </c>
      <c r="K1176" s="189" t="s">
        <v>364</v>
      </c>
      <c r="L1176" s="189" t="s">
        <v>246</v>
      </c>
      <c r="M1176" s="189" t="s">
        <v>774</v>
      </c>
      <c r="N1176" s="189" t="s">
        <v>422</v>
      </c>
      <c r="O1176" s="189" t="s">
        <v>260</v>
      </c>
      <c r="P1176" s="189" t="s">
        <v>111</v>
      </c>
      <c r="Q1176" s="189" t="s">
        <v>247</v>
      </c>
      <c r="R1176" s="189" t="s">
        <v>22</v>
      </c>
      <c r="S1176" s="189" t="s">
        <v>152</v>
      </c>
      <c r="T1176" s="189" t="s">
        <v>352</v>
      </c>
      <c r="U1176" s="189" t="s">
        <v>1326</v>
      </c>
      <c r="V1176" s="189" t="s">
        <v>167</v>
      </c>
      <c r="W1176" s="189" t="s">
        <v>168</v>
      </c>
      <c r="X1176" s="189" t="s">
        <v>271</v>
      </c>
      <c r="Y1176" s="189" t="s">
        <v>3064</v>
      </c>
      <c r="Z1176" s="0" t="n">
        <v>2</v>
      </c>
      <c r="AA1176" s="189" t="s">
        <v>3136</v>
      </c>
    </row>
    <row r="1177" customFormat="false" ht="15" hidden="false" customHeight="false" outlineLevel="0" collapsed="false">
      <c r="A1177" s="0" t="n">
        <v>249</v>
      </c>
      <c r="B1177" s="191" t="n">
        <v>46199.1579058569</v>
      </c>
      <c r="C1177" s="191" t="n">
        <v>46199.1724428939</v>
      </c>
      <c r="D1177" s="189" t="s">
        <v>1744</v>
      </c>
      <c r="E1177" s="189" t="s">
        <v>1745</v>
      </c>
      <c r="F1177" s="189" t="s">
        <v>1746</v>
      </c>
      <c r="G1177" s="189" t="s">
        <v>1747</v>
      </c>
      <c r="H1177" s="191" t="n">
        <v>46185</v>
      </c>
      <c r="I1177" s="189" t="s">
        <v>113</v>
      </c>
      <c r="J1177" s="189" t="s">
        <v>108</v>
      </c>
      <c r="K1177" s="189" t="s">
        <v>364</v>
      </c>
      <c r="L1177" s="189" t="s">
        <v>246</v>
      </c>
      <c r="M1177" s="189" t="s">
        <v>774</v>
      </c>
      <c r="N1177" s="189" t="s">
        <v>422</v>
      </c>
      <c r="O1177" s="189" t="s">
        <v>260</v>
      </c>
      <c r="P1177" s="189" t="s">
        <v>111</v>
      </c>
      <c r="Q1177" s="189" t="s">
        <v>247</v>
      </c>
      <c r="R1177" s="189" t="s">
        <v>22</v>
      </c>
      <c r="S1177" s="189" t="s">
        <v>152</v>
      </c>
      <c r="T1177" s="189" t="s">
        <v>352</v>
      </c>
      <c r="U1177" s="189" t="s">
        <v>1326</v>
      </c>
      <c r="V1177" s="189" t="s">
        <v>167</v>
      </c>
      <c r="W1177" s="189" t="s">
        <v>168</v>
      </c>
      <c r="X1177" s="189" t="s">
        <v>271</v>
      </c>
      <c r="Y1177" s="189" t="s">
        <v>3064</v>
      </c>
      <c r="Z1177" s="0" t="n">
        <v>3</v>
      </c>
      <c r="AA1177" s="189" t="s">
        <v>3115</v>
      </c>
    </row>
    <row r="1178" customFormat="false" ht="15" hidden="false" customHeight="false" outlineLevel="0" collapsed="false">
      <c r="A1178" s="0" t="n">
        <v>249</v>
      </c>
      <c r="B1178" s="191" t="n">
        <v>46199.1579058569</v>
      </c>
      <c r="C1178" s="191" t="n">
        <v>46199.1724428939</v>
      </c>
      <c r="D1178" s="189" t="s">
        <v>1744</v>
      </c>
      <c r="E1178" s="189" t="s">
        <v>1745</v>
      </c>
      <c r="F1178" s="189" t="s">
        <v>1746</v>
      </c>
      <c r="G1178" s="189" t="s">
        <v>1747</v>
      </c>
      <c r="H1178" s="191" t="n">
        <v>46185</v>
      </c>
      <c r="I1178" s="189" t="s">
        <v>113</v>
      </c>
      <c r="J1178" s="189" t="s">
        <v>108</v>
      </c>
      <c r="K1178" s="189" t="s">
        <v>364</v>
      </c>
      <c r="L1178" s="189" t="s">
        <v>246</v>
      </c>
      <c r="M1178" s="189" t="s">
        <v>774</v>
      </c>
      <c r="N1178" s="189" t="s">
        <v>422</v>
      </c>
      <c r="O1178" s="189" t="s">
        <v>260</v>
      </c>
      <c r="P1178" s="189" t="s">
        <v>111</v>
      </c>
      <c r="Q1178" s="189" t="s">
        <v>247</v>
      </c>
      <c r="R1178" s="189" t="s">
        <v>22</v>
      </c>
      <c r="S1178" s="189" t="s">
        <v>152</v>
      </c>
      <c r="T1178" s="189" t="s">
        <v>352</v>
      </c>
      <c r="U1178" s="189" t="s">
        <v>1326</v>
      </c>
      <c r="V1178" s="189" t="s">
        <v>167</v>
      </c>
      <c r="W1178" s="189" t="s">
        <v>168</v>
      </c>
      <c r="X1178" s="189" t="s">
        <v>271</v>
      </c>
      <c r="Y1178" s="189" t="s">
        <v>3066</v>
      </c>
      <c r="Z1178" s="0" t="n">
        <v>1</v>
      </c>
      <c r="AA1178" s="189" t="s">
        <v>3116</v>
      </c>
    </row>
    <row r="1179" customFormat="false" ht="15" hidden="false" customHeight="false" outlineLevel="0" collapsed="false">
      <c r="A1179" s="0" t="n">
        <v>249</v>
      </c>
      <c r="B1179" s="191" t="n">
        <v>46199.1579058569</v>
      </c>
      <c r="C1179" s="191" t="n">
        <v>46199.1724428939</v>
      </c>
      <c r="D1179" s="189" t="s">
        <v>1744</v>
      </c>
      <c r="E1179" s="189" t="s">
        <v>1745</v>
      </c>
      <c r="F1179" s="189" t="s">
        <v>1746</v>
      </c>
      <c r="G1179" s="189" t="s">
        <v>1747</v>
      </c>
      <c r="H1179" s="191" t="n">
        <v>46185</v>
      </c>
      <c r="I1179" s="189" t="s">
        <v>113</v>
      </c>
      <c r="J1179" s="189" t="s">
        <v>108</v>
      </c>
      <c r="K1179" s="189" t="s">
        <v>364</v>
      </c>
      <c r="L1179" s="189" t="s">
        <v>246</v>
      </c>
      <c r="M1179" s="189" t="s">
        <v>774</v>
      </c>
      <c r="N1179" s="189" t="s">
        <v>422</v>
      </c>
      <c r="O1179" s="189" t="s">
        <v>260</v>
      </c>
      <c r="P1179" s="189" t="s">
        <v>111</v>
      </c>
      <c r="Q1179" s="189" t="s">
        <v>247</v>
      </c>
      <c r="R1179" s="189" t="s">
        <v>22</v>
      </c>
      <c r="S1179" s="189" t="s">
        <v>152</v>
      </c>
      <c r="T1179" s="189" t="s">
        <v>352</v>
      </c>
      <c r="U1179" s="189" t="s">
        <v>1326</v>
      </c>
      <c r="V1179" s="189" t="s">
        <v>167</v>
      </c>
      <c r="W1179" s="189" t="s">
        <v>168</v>
      </c>
      <c r="X1179" s="189" t="s">
        <v>271</v>
      </c>
      <c r="Y1179" s="189" t="s">
        <v>3069</v>
      </c>
      <c r="Z1179" s="0" t="n">
        <v>1</v>
      </c>
      <c r="AA1179" s="189" t="s">
        <v>3119</v>
      </c>
    </row>
    <row r="1180" customFormat="false" ht="15" hidden="false" customHeight="false" outlineLevel="0" collapsed="false">
      <c r="A1180" s="0" t="n">
        <v>250</v>
      </c>
      <c r="B1180" s="191" t="n">
        <v>46080.5282087686</v>
      </c>
      <c r="C1180" s="191" t="n">
        <v>46080.5457550649</v>
      </c>
      <c r="D1180" s="189" t="s">
        <v>1750</v>
      </c>
      <c r="E1180" s="189" t="s">
        <v>1751</v>
      </c>
      <c r="F1180" s="189" t="s">
        <v>1751</v>
      </c>
      <c r="G1180" s="189" t="s">
        <v>1752</v>
      </c>
      <c r="H1180" s="191" t="n">
        <v>46066</v>
      </c>
      <c r="I1180" s="189" t="s">
        <v>305</v>
      </c>
      <c r="J1180" s="189" t="s">
        <v>295</v>
      </c>
      <c r="K1180" s="189" t="s">
        <v>143</v>
      </c>
      <c r="L1180" s="189" t="s">
        <v>296</v>
      </c>
      <c r="M1180" s="189" t="s">
        <v>1313</v>
      </c>
      <c r="N1180" s="189" t="s">
        <v>665</v>
      </c>
      <c r="O1180" s="189" t="s">
        <v>107</v>
      </c>
      <c r="P1180" s="189" t="s">
        <v>211</v>
      </c>
      <c r="Q1180" s="189" t="s">
        <v>112</v>
      </c>
      <c r="R1180" s="189" t="s">
        <v>24</v>
      </c>
      <c r="S1180" s="189" t="s">
        <v>152</v>
      </c>
      <c r="T1180" s="189" t="s">
        <v>121</v>
      </c>
      <c r="U1180" s="189" t="s">
        <v>122</v>
      </c>
      <c r="V1180" s="189" t="s">
        <v>192</v>
      </c>
      <c r="W1180" s="189" t="s">
        <v>124</v>
      </c>
      <c r="X1180" s="189" t="s">
        <v>19</v>
      </c>
      <c r="Y1180" s="189" t="s">
        <v>3172</v>
      </c>
      <c r="Z1180" s="0" t="n">
        <v>1</v>
      </c>
      <c r="AA1180" s="189" t="s">
        <v>880</v>
      </c>
    </row>
    <row r="1181" customFormat="false" ht="15" hidden="false" customHeight="false" outlineLevel="0" collapsed="false">
      <c r="A1181" s="0" t="n">
        <v>251</v>
      </c>
      <c r="B1181" s="191" t="n">
        <v>46066.1416003443</v>
      </c>
      <c r="C1181" s="191" t="n">
        <v>46066.158417474</v>
      </c>
      <c r="D1181" s="189" t="s">
        <v>1753</v>
      </c>
      <c r="E1181" s="189" t="s">
        <v>1754</v>
      </c>
      <c r="F1181" s="189" t="s">
        <v>1754</v>
      </c>
      <c r="G1181" s="189" t="s">
        <v>1755</v>
      </c>
      <c r="H1181" s="191" t="n">
        <v>46052</v>
      </c>
      <c r="I1181" s="189" t="s">
        <v>113</v>
      </c>
      <c r="J1181" s="189" t="s">
        <v>108</v>
      </c>
      <c r="K1181" s="189" t="s">
        <v>257</v>
      </c>
      <c r="L1181" s="189" t="s">
        <v>210</v>
      </c>
      <c r="M1181" s="189" t="s">
        <v>736</v>
      </c>
      <c r="N1181" s="189" t="s">
        <v>757</v>
      </c>
      <c r="O1181" s="189" t="s">
        <v>244</v>
      </c>
      <c r="P1181" s="189" t="s">
        <v>111</v>
      </c>
      <c r="Q1181" s="189" t="s">
        <v>145</v>
      </c>
      <c r="R1181" s="189" t="s">
        <v>22</v>
      </c>
      <c r="S1181" s="189" t="s">
        <v>120</v>
      </c>
      <c r="T1181" s="189" t="s">
        <v>180</v>
      </c>
      <c r="U1181" s="189" t="s">
        <v>369</v>
      </c>
      <c r="V1181" s="189" t="s">
        <v>123</v>
      </c>
      <c r="W1181" s="189" t="s">
        <v>124</v>
      </c>
      <c r="X1181" s="189" t="s">
        <v>176</v>
      </c>
      <c r="Y1181" s="189" t="s">
        <v>3064</v>
      </c>
      <c r="Z1181" s="0" t="n">
        <v>1</v>
      </c>
      <c r="AA1181" s="189" t="s">
        <v>3292</v>
      </c>
    </row>
    <row r="1182" customFormat="false" ht="15" hidden="false" customHeight="false" outlineLevel="0" collapsed="false">
      <c r="A1182" s="0" t="n">
        <v>251</v>
      </c>
      <c r="B1182" s="191" t="n">
        <v>46066.1416003443</v>
      </c>
      <c r="C1182" s="191" t="n">
        <v>46066.158417474</v>
      </c>
      <c r="D1182" s="189" t="s">
        <v>1753</v>
      </c>
      <c r="E1182" s="189" t="s">
        <v>1754</v>
      </c>
      <c r="F1182" s="189" t="s">
        <v>1754</v>
      </c>
      <c r="G1182" s="189" t="s">
        <v>1755</v>
      </c>
      <c r="H1182" s="191" t="n">
        <v>46052</v>
      </c>
      <c r="I1182" s="189" t="s">
        <v>113</v>
      </c>
      <c r="J1182" s="189" t="s">
        <v>108</v>
      </c>
      <c r="K1182" s="189" t="s">
        <v>257</v>
      </c>
      <c r="L1182" s="189" t="s">
        <v>210</v>
      </c>
      <c r="M1182" s="189" t="s">
        <v>736</v>
      </c>
      <c r="N1182" s="189" t="s">
        <v>757</v>
      </c>
      <c r="O1182" s="189" t="s">
        <v>244</v>
      </c>
      <c r="P1182" s="189" t="s">
        <v>111</v>
      </c>
      <c r="Q1182" s="189" t="s">
        <v>145</v>
      </c>
      <c r="R1182" s="189" t="s">
        <v>22</v>
      </c>
      <c r="S1182" s="189" t="s">
        <v>120</v>
      </c>
      <c r="T1182" s="189" t="s">
        <v>180</v>
      </c>
      <c r="U1182" s="189" t="s">
        <v>369</v>
      </c>
      <c r="V1182" s="189" t="s">
        <v>123</v>
      </c>
      <c r="W1182" s="189" t="s">
        <v>124</v>
      </c>
      <c r="X1182" s="189" t="s">
        <v>176</v>
      </c>
      <c r="Y1182" s="189" t="s">
        <v>3064</v>
      </c>
      <c r="Z1182" s="0" t="n">
        <v>2</v>
      </c>
      <c r="AA1182" s="189" t="s">
        <v>3269</v>
      </c>
    </row>
    <row r="1183" customFormat="false" ht="15" hidden="false" customHeight="false" outlineLevel="0" collapsed="false">
      <c r="A1183" s="0" t="n">
        <v>251</v>
      </c>
      <c r="B1183" s="191" t="n">
        <v>46066.1416003443</v>
      </c>
      <c r="C1183" s="191" t="n">
        <v>46066.158417474</v>
      </c>
      <c r="D1183" s="189" t="s">
        <v>1753</v>
      </c>
      <c r="E1183" s="189" t="s">
        <v>1754</v>
      </c>
      <c r="F1183" s="189" t="s">
        <v>1754</v>
      </c>
      <c r="G1183" s="189" t="s">
        <v>1755</v>
      </c>
      <c r="H1183" s="191" t="n">
        <v>46052</v>
      </c>
      <c r="I1183" s="189" t="s">
        <v>113</v>
      </c>
      <c r="J1183" s="189" t="s">
        <v>108</v>
      </c>
      <c r="K1183" s="189" t="s">
        <v>257</v>
      </c>
      <c r="L1183" s="189" t="s">
        <v>210</v>
      </c>
      <c r="M1183" s="189" t="s">
        <v>736</v>
      </c>
      <c r="N1183" s="189" t="s">
        <v>757</v>
      </c>
      <c r="O1183" s="189" t="s">
        <v>244</v>
      </c>
      <c r="P1183" s="189" t="s">
        <v>111</v>
      </c>
      <c r="Q1183" s="189" t="s">
        <v>145</v>
      </c>
      <c r="R1183" s="189" t="s">
        <v>22</v>
      </c>
      <c r="S1183" s="189" t="s">
        <v>120</v>
      </c>
      <c r="T1183" s="189" t="s">
        <v>180</v>
      </c>
      <c r="U1183" s="189" t="s">
        <v>369</v>
      </c>
      <c r="V1183" s="189" t="s">
        <v>123</v>
      </c>
      <c r="W1183" s="189" t="s">
        <v>124</v>
      </c>
      <c r="X1183" s="189" t="s">
        <v>176</v>
      </c>
      <c r="Y1183" s="189" t="s">
        <v>3066</v>
      </c>
      <c r="Z1183" s="0" t="n">
        <v>1</v>
      </c>
      <c r="AA1183" s="189" t="s">
        <v>3265</v>
      </c>
    </row>
    <row r="1184" customFormat="false" ht="15" hidden="false" customHeight="false" outlineLevel="0" collapsed="false">
      <c r="A1184" s="0" t="n">
        <v>251</v>
      </c>
      <c r="B1184" s="191" t="n">
        <v>46066.1416003443</v>
      </c>
      <c r="C1184" s="191" t="n">
        <v>46066.158417474</v>
      </c>
      <c r="D1184" s="189" t="s">
        <v>1753</v>
      </c>
      <c r="E1184" s="189" t="s">
        <v>1754</v>
      </c>
      <c r="F1184" s="189" t="s">
        <v>1754</v>
      </c>
      <c r="G1184" s="189" t="s">
        <v>1755</v>
      </c>
      <c r="H1184" s="191" t="n">
        <v>46052</v>
      </c>
      <c r="I1184" s="189" t="s">
        <v>113</v>
      </c>
      <c r="J1184" s="189" t="s">
        <v>108</v>
      </c>
      <c r="K1184" s="189" t="s">
        <v>257</v>
      </c>
      <c r="L1184" s="189" t="s">
        <v>210</v>
      </c>
      <c r="M1184" s="189" t="s">
        <v>736</v>
      </c>
      <c r="N1184" s="189" t="s">
        <v>757</v>
      </c>
      <c r="O1184" s="189" t="s">
        <v>244</v>
      </c>
      <c r="P1184" s="189" t="s">
        <v>111</v>
      </c>
      <c r="Q1184" s="189" t="s">
        <v>145</v>
      </c>
      <c r="R1184" s="189" t="s">
        <v>22</v>
      </c>
      <c r="S1184" s="189" t="s">
        <v>120</v>
      </c>
      <c r="T1184" s="189" t="s">
        <v>180</v>
      </c>
      <c r="U1184" s="189" t="s">
        <v>369</v>
      </c>
      <c r="V1184" s="189" t="s">
        <v>123</v>
      </c>
      <c r="W1184" s="189" t="s">
        <v>124</v>
      </c>
      <c r="X1184" s="189" t="s">
        <v>176</v>
      </c>
      <c r="Y1184" s="189" t="s">
        <v>3069</v>
      </c>
      <c r="Z1184" s="0" t="n">
        <v>1</v>
      </c>
      <c r="AA1184" s="189" t="s">
        <v>3242</v>
      </c>
    </row>
    <row r="1185" customFormat="false" ht="15" hidden="false" customHeight="false" outlineLevel="0" collapsed="false">
      <c r="A1185" s="0" t="n">
        <v>251</v>
      </c>
      <c r="B1185" s="191" t="n">
        <v>46066.1416003443</v>
      </c>
      <c r="C1185" s="191" t="n">
        <v>46066.158417474</v>
      </c>
      <c r="D1185" s="189" t="s">
        <v>1753</v>
      </c>
      <c r="E1185" s="189" t="s">
        <v>1754</v>
      </c>
      <c r="F1185" s="189" t="s">
        <v>1754</v>
      </c>
      <c r="G1185" s="189" t="s">
        <v>1755</v>
      </c>
      <c r="H1185" s="191" t="n">
        <v>46052</v>
      </c>
      <c r="I1185" s="189" t="s">
        <v>113</v>
      </c>
      <c r="J1185" s="189" t="s">
        <v>108</v>
      </c>
      <c r="K1185" s="189" t="s">
        <v>257</v>
      </c>
      <c r="L1185" s="189" t="s">
        <v>210</v>
      </c>
      <c r="M1185" s="189" t="s">
        <v>736</v>
      </c>
      <c r="N1185" s="189" t="s">
        <v>757</v>
      </c>
      <c r="O1185" s="189" t="s">
        <v>244</v>
      </c>
      <c r="P1185" s="189" t="s">
        <v>111</v>
      </c>
      <c r="Q1185" s="189" t="s">
        <v>145</v>
      </c>
      <c r="R1185" s="189" t="s">
        <v>22</v>
      </c>
      <c r="S1185" s="189" t="s">
        <v>120</v>
      </c>
      <c r="T1185" s="189" t="s">
        <v>180</v>
      </c>
      <c r="U1185" s="189" t="s">
        <v>369</v>
      </c>
      <c r="V1185" s="189" t="s">
        <v>123</v>
      </c>
      <c r="W1185" s="189" t="s">
        <v>124</v>
      </c>
      <c r="X1185" s="189" t="s">
        <v>176</v>
      </c>
      <c r="Y1185" s="189" t="s">
        <v>3069</v>
      </c>
      <c r="Z1185" s="0" t="n">
        <v>2</v>
      </c>
      <c r="AA1185" s="189" t="s">
        <v>3206</v>
      </c>
    </row>
    <row r="1186" customFormat="false" ht="15" hidden="false" customHeight="false" outlineLevel="0" collapsed="false">
      <c r="A1186" s="0" t="n">
        <v>252</v>
      </c>
      <c r="B1186" s="191" t="n">
        <v>46158.1293713509</v>
      </c>
      <c r="C1186" s="191" t="n">
        <v>46158.147507925</v>
      </c>
      <c r="D1186" s="189" t="s">
        <v>1759</v>
      </c>
      <c r="E1186" s="189" t="s">
        <v>1760</v>
      </c>
      <c r="F1186" s="189" t="s">
        <v>1760</v>
      </c>
      <c r="G1186" s="189" t="s">
        <v>1761</v>
      </c>
      <c r="H1186" s="191" t="n">
        <v>46152</v>
      </c>
      <c r="I1186" s="189" t="s">
        <v>113</v>
      </c>
      <c r="J1186" s="189" t="s">
        <v>295</v>
      </c>
      <c r="K1186" s="189" t="s">
        <v>1762</v>
      </c>
      <c r="L1186" s="189" t="s">
        <v>346</v>
      </c>
      <c r="M1186" s="189" t="s">
        <v>234</v>
      </c>
      <c r="N1186" s="189" t="s">
        <v>893</v>
      </c>
      <c r="O1186" s="189" t="s">
        <v>781</v>
      </c>
      <c r="P1186" s="189" t="s">
        <v>111</v>
      </c>
      <c r="Q1186" s="189" t="s">
        <v>112</v>
      </c>
      <c r="R1186" s="189" t="s">
        <v>22</v>
      </c>
      <c r="S1186" s="189" t="s">
        <v>120</v>
      </c>
      <c r="T1186" s="189" t="s">
        <v>352</v>
      </c>
      <c r="U1186" s="189" t="s">
        <v>122</v>
      </c>
      <c r="V1186" s="189" t="s">
        <v>123</v>
      </c>
      <c r="W1186" s="189" t="s">
        <v>139</v>
      </c>
      <c r="X1186" s="189" t="s">
        <v>298</v>
      </c>
      <c r="Y1186" s="189" t="s">
        <v>3064</v>
      </c>
      <c r="Z1186" s="0" t="n">
        <v>1</v>
      </c>
      <c r="AA1186" s="189" t="s">
        <v>3125</v>
      </c>
    </row>
    <row r="1187" customFormat="false" ht="15" hidden="false" customHeight="false" outlineLevel="0" collapsed="false">
      <c r="A1187" s="0" t="n">
        <v>252</v>
      </c>
      <c r="B1187" s="191" t="n">
        <v>46158.1293713509</v>
      </c>
      <c r="C1187" s="191" t="n">
        <v>46158.147507925</v>
      </c>
      <c r="D1187" s="189" t="s">
        <v>1759</v>
      </c>
      <c r="E1187" s="189" t="s">
        <v>1760</v>
      </c>
      <c r="F1187" s="189" t="s">
        <v>1760</v>
      </c>
      <c r="G1187" s="189" t="s">
        <v>1761</v>
      </c>
      <c r="H1187" s="191" t="n">
        <v>46152</v>
      </c>
      <c r="I1187" s="189" t="s">
        <v>113</v>
      </c>
      <c r="J1187" s="189" t="s">
        <v>295</v>
      </c>
      <c r="K1187" s="189" t="s">
        <v>1762</v>
      </c>
      <c r="L1187" s="189" t="s">
        <v>346</v>
      </c>
      <c r="M1187" s="189" t="s">
        <v>234</v>
      </c>
      <c r="N1187" s="189" t="s">
        <v>893</v>
      </c>
      <c r="O1187" s="189" t="s">
        <v>781</v>
      </c>
      <c r="P1187" s="189" t="s">
        <v>111</v>
      </c>
      <c r="Q1187" s="189" t="s">
        <v>112</v>
      </c>
      <c r="R1187" s="189" t="s">
        <v>22</v>
      </c>
      <c r="S1187" s="189" t="s">
        <v>120</v>
      </c>
      <c r="T1187" s="189" t="s">
        <v>352</v>
      </c>
      <c r="U1187" s="189" t="s">
        <v>122</v>
      </c>
      <c r="V1187" s="189" t="s">
        <v>123</v>
      </c>
      <c r="W1187" s="189" t="s">
        <v>139</v>
      </c>
      <c r="X1187" s="189" t="s">
        <v>298</v>
      </c>
      <c r="Y1187" s="189" t="s">
        <v>3066</v>
      </c>
      <c r="Z1187" s="0" t="n">
        <v>1</v>
      </c>
      <c r="AA1187" s="189" t="s">
        <v>3271</v>
      </c>
    </row>
    <row r="1188" customFormat="false" ht="15" hidden="false" customHeight="false" outlineLevel="0" collapsed="false">
      <c r="A1188" s="0" t="n">
        <v>252</v>
      </c>
      <c r="B1188" s="191" t="n">
        <v>46158.1293713509</v>
      </c>
      <c r="C1188" s="191" t="n">
        <v>46158.147507925</v>
      </c>
      <c r="D1188" s="189" t="s">
        <v>1759</v>
      </c>
      <c r="E1188" s="189" t="s">
        <v>1760</v>
      </c>
      <c r="F1188" s="189" t="s">
        <v>1760</v>
      </c>
      <c r="G1188" s="189" t="s">
        <v>1761</v>
      </c>
      <c r="H1188" s="191" t="n">
        <v>46152</v>
      </c>
      <c r="I1188" s="189" t="s">
        <v>113</v>
      </c>
      <c r="J1188" s="189" t="s">
        <v>295</v>
      </c>
      <c r="K1188" s="189" t="s">
        <v>1762</v>
      </c>
      <c r="L1188" s="189" t="s">
        <v>346</v>
      </c>
      <c r="M1188" s="189" t="s">
        <v>234</v>
      </c>
      <c r="N1188" s="189" t="s">
        <v>893</v>
      </c>
      <c r="O1188" s="189" t="s">
        <v>781</v>
      </c>
      <c r="P1188" s="189" t="s">
        <v>111</v>
      </c>
      <c r="Q1188" s="189" t="s">
        <v>112</v>
      </c>
      <c r="R1188" s="189" t="s">
        <v>22</v>
      </c>
      <c r="S1188" s="189" t="s">
        <v>120</v>
      </c>
      <c r="T1188" s="189" t="s">
        <v>352</v>
      </c>
      <c r="U1188" s="189" t="s">
        <v>122</v>
      </c>
      <c r="V1188" s="189" t="s">
        <v>123</v>
      </c>
      <c r="W1188" s="189" t="s">
        <v>139</v>
      </c>
      <c r="X1188" s="189" t="s">
        <v>298</v>
      </c>
      <c r="Y1188" s="189" t="s">
        <v>3069</v>
      </c>
      <c r="Z1188" s="0" t="n">
        <v>1</v>
      </c>
      <c r="AA1188" s="189" t="s">
        <v>122</v>
      </c>
    </row>
    <row r="1189" customFormat="false" ht="15" hidden="false" customHeight="false" outlineLevel="0" collapsed="false">
      <c r="A1189" s="0" t="n">
        <v>252</v>
      </c>
      <c r="B1189" s="191" t="n">
        <v>46158.1293713509</v>
      </c>
      <c r="C1189" s="191" t="n">
        <v>46158.147507925</v>
      </c>
      <c r="D1189" s="189" t="s">
        <v>1759</v>
      </c>
      <c r="E1189" s="189" t="s">
        <v>1760</v>
      </c>
      <c r="F1189" s="189" t="s">
        <v>1760</v>
      </c>
      <c r="G1189" s="189" t="s">
        <v>1761</v>
      </c>
      <c r="H1189" s="191" t="n">
        <v>46152</v>
      </c>
      <c r="I1189" s="189" t="s">
        <v>113</v>
      </c>
      <c r="J1189" s="189" t="s">
        <v>295</v>
      </c>
      <c r="K1189" s="189" t="s">
        <v>1762</v>
      </c>
      <c r="L1189" s="189" t="s">
        <v>346</v>
      </c>
      <c r="M1189" s="189" t="s">
        <v>234</v>
      </c>
      <c r="N1189" s="189" t="s">
        <v>893</v>
      </c>
      <c r="O1189" s="189" t="s">
        <v>781</v>
      </c>
      <c r="P1189" s="189" t="s">
        <v>111</v>
      </c>
      <c r="Q1189" s="189" t="s">
        <v>112</v>
      </c>
      <c r="R1189" s="189" t="s">
        <v>22</v>
      </c>
      <c r="S1189" s="189" t="s">
        <v>120</v>
      </c>
      <c r="T1189" s="189" t="s">
        <v>352</v>
      </c>
      <c r="U1189" s="189" t="s">
        <v>122</v>
      </c>
      <c r="V1189" s="189" t="s">
        <v>123</v>
      </c>
      <c r="W1189" s="189" t="s">
        <v>139</v>
      </c>
      <c r="X1189" s="189" t="s">
        <v>298</v>
      </c>
      <c r="Y1189" s="189" t="s">
        <v>3069</v>
      </c>
      <c r="Z1189" s="0" t="n">
        <v>2</v>
      </c>
      <c r="AA1189" s="189" t="s">
        <v>3248</v>
      </c>
    </row>
    <row r="1190" customFormat="false" ht="15" hidden="false" customHeight="false" outlineLevel="0" collapsed="false">
      <c r="A1190" s="0" t="n">
        <v>253</v>
      </c>
      <c r="B1190" s="191" t="n">
        <v>46119.3963650541</v>
      </c>
      <c r="C1190" s="191" t="n">
        <v>46119.4085062578</v>
      </c>
      <c r="D1190" s="189" t="s">
        <v>1765</v>
      </c>
      <c r="E1190" s="189" t="s">
        <v>1766</v>
      </c>
      <c r="F1190" s="189" t="s">
        <v>1766</v>
      </c>
      <c r="G1190" s="189" t="s">
        <v>1767</v>
      </c>
      <c r="H1190" s="191" t="n">
        <v>46099</v>
      </c>
      <c r="I1190" s="189" t="s">
        <v>113</v>
      </c>
      <c r="J1190" s="189" t="s">
        <v>295</v>
      </c>
      <c r="K1190" s="189" t="s">
        <v>257</v>
      </c>
      <c r="L1190" s="189" t="s">
        <v>159</v>
      </c>
      <c r="M1190" s="189" t="s">
        <v>144</v>
      </c>
      <c r="N1190" s="189" t="s">
        <v>672</v>
      </c>
      <c r="O1190" s="189" t="s">
        <v>244</v>
      </c>
      <c r="P1190" s="189" t="s">
        <v>131</v>
      </c>
      <c r="Q1190" s="189" t="s">
        <v>112</v>
      </c>
      <c r="R1190" s="189" t="s">
        <v>22</v>
      </c>
      <c r="S1190" s="189" t="s">
        <v>152</v>
      </c>
      <c r="T1190" s="189" t="s">
        <v>121</v>
      </c>
      <c r="U1190" s="189" t="s">
        <v>122</v>
      </c>
      <c r="V1190" s="189" t="s">
        <v>167</v>
      </c>
      <c r="W1190" s="189" t="s">
        <v>139</v>
      </c>
      <c r="X1190" s="189" t="s">
        <v>116</v>
      </c>
      <c r="Y1190" s="189" t="s">
        <v>3064</v>
      </c>
      <c r="Z1190" s="0" t="n">
        <v>1</v>
      </c>
      <c r="AA1190" s="189" t="s">
        <v>3107</v>
      </c>
    </row>
    <row r="1191" customFormat="false" ht="15" hidden="false" customHeight="false" outlineLevel="0" collapsed="false">
      <c r="A1191" s="0" t="n">
        <v>253</v>
      </c>
      <c r="B1191" s="191" t="n">
        <v>46119.3963650541</v>
      </c>
      <c r="C1191" s="191" t="n">
        <v>46119.4085062578</v>
      </c>
      <c r="D1191" s="189" t="s">
        <v>1765</v>
      </c>
      <c r="E1191" s="189" t="s">
        <v>1766</v>
      </c>
      <c r="F1191" s="189" t="s">
        <v>1766</v>
      </c>
      <c r="G1191" s="189" t="s">
        <v>1767</v>
      </c>
      <c r="H1191" s="191" t="n">
        <v>46099</v>
      </c>
      <c r="I1191" s="189" t="s">
        <v>113</v>
      </c>
      <c r="J1191" s="189" t="s">
        <v>295</v>
      </c>
      <c r="K1191" s="189" t="s">
        <v>257</v>
      </c>
      <c r="L1191" s="189" t="s">
        <v>159</v>
      </c>
      <c r="M1191" s="189" t="s">
        <v>144</v>
      </c>
      <c r="N1191" s="189" t="s">
        <v>672</v>
      </c>
      <c r="O1191" s="189" t="s">
        <v>244</v>
      </c>
      <c r="P1191" s="189" t="s">
        <v>131</v>
      </c>
      <c r="Q1191" s="189" t="s">
        <v>112</v>
      </c>
      <c r="R1191" s="189" t="s">
        <v>22</v>
      </c>
      <c r="S1191" s="189" t="s">
        <v>152</v>
      </c>
      <c r="T1191" s="189" t="s">
        <v>121</v>
      </c>
      <c r="U1191" s="189" t="s">
        <v>122</v>
      </c>
      <c r="V1191" s="189" t="s">
        <v>167</v>
      </c>
      <c r="W1191" s="189" t="s">
        <v>139</v>
      </c>
      <c r="X1191" s="189" t="s">
        <v>116</v>
      </c>
      <c r="Y1191" s="189" t="s">
        <v>3066</v>
      </c>
      <c r="Z1191" s="0" t="n">
        <v>1</v>
      </c>
      <c r="AA1191" s="189" t="s">
        <v>3082</v>
      </c>
    </row>
    <row r="1192" customFormat="false" ht="15" hidden="false" customHeight="false" outlineLevel="0" collapsed="false">
      <c r="A1192" s="0" t="n">
        <v>253</v>
      </c>
      <c r="B1192" s="191" t="n">
        <v>46119.3963650541</v>
      </c>
      <c r="C1192" s="191" t="n">
        <v>46119.4085062578</v>
      </c>
      <c r="D1192" s="189" t="s">
        <v>1765</v>
      </c>
      <c r="E1192" s="189" t="s">
        <v>1766</v>
      </c>
      <c r="F1192" s="189" t="s">
        <v>1766</v>
      </c>
      <c r="G1192" s="189" t="s">
        <v>1767</v>
      </c>
      <c r="H1192" s="191" t="n">
        <v>46099</v>
      </c>
      <c r="I1192" s="189" t="s">
        <v>113</v>
      </c>
      <c r="J1192" s="189" t="s">
        <v>295</v>
      </c>
      <c r="K1192" s="189" t="s">
        <v>257</v>
      </c>
      <c r="L1192" s="189" t="s">
        <v>159</v>
      </c>
      <c r="M1192" s="189" t="s">
        <v>144</v>
      </c>
      <c r="N1192" s="189" t="s">
        <v>672</v>
      </c>
      <c r="O1192" s="189" t="s">
        <v>244</v>
      </c>
      <c r="P1192" s="189" t="s">
        <v>131</v>
      </c>
      <c r="Q1192" s="189" t="s">
        <v>112</v>
      </c>
      <c r="R1192" s="189" t="s">
        <v>22</v>
      </c>
      <c r="S1192" s="189" t="s">
        <v>152</v>
      </c>
      <c r="T1192" s="189" t="s">
        <v>121</v>
      </c>
      <c r="U1192" s="189" t="s">
        <v>122</v>
      </c>
      <c r="V1192" s="189" t="s">
        <v>167</v>
      </c>
      <c r="W1192" s="189" t="s">
        <v>139</v>
      </c>
      <c r="X1192" s="189" t="s">
        <v>116</v>
      </c>
      <c r="Y1192" s="189" t="s">
        <v>3069</v>
      </c>
      <c r="Z1192" s="0" t="n">
        <v>1</v>
      </c>
      <c r="AA1192" s="189" t="s">
        <v>3140</v>
      </c>
    </row>
    <row r="1193" customFormat="false" ht="15" hidden="false" customHeight="false" outlineLevel="0" collapsed="false">
      <c r="A1193" s="0" t="n">
        <v>253</v>
      </c>
      <c r="B1193" s="191" t="n">
        <v>46119.3963650541</v>
      </c>
      <c r="C1193" s="191" t="n">
        <v>46119.4085062578</v>
      </c>
      <c r="D1193" s="189" t="s">
        <v>1765</v>
      </c>
      <c r="E1193" s="189" t="s">
        <v>1766</v>
      </c>
      <c r="F1193" s="189" t="s">
        <v>1766</v>
      </c>
      <c r="G1193" s="189" t="s">
        <v>1767</v>
      </c>
      <c r="H1193" s="191" t="n">
        <v>46099</v>
      </c>
      <c r="I1193" s="189" t="s">
        <v>113</v>
      </c>
      <c r="J1193" s="189" t="s">
        <v>295</v>
      </c>
      <c r="K1193" s="189" t="s">
        <v>257</v>
      </c>
      <c r="L1193" s="189" t="s">
        <v>159</v>
      </c>
      <c r="M1193" s="189" t="s">
        <v>144</v>
      </c>
      <c r="N1193" s="189" t="s">
        <v>672</v>
      </c>
      <c r="O1193" s="189" t="s">
        <v>244</v>
      </c>
      <c r="P1193" s="189" t="s">
        <v>131</v>
      </c>
      <c r="Q1193" s="189" t="s">
        <v>112</v>
      </c>
      <c r="R1193" s="189" t="s">
        <v>22</v>
      </c>
      <c r="S1193" s="189" t="s">
        <v>152</v>
      </c>
      <c r="T1193" s="189" t="s">
        <v>121</v>
      </c>
      <c r="U1193" s="189" t="s">
        <v>122</v>
      </c>
      <c r="V1193" s="189" t="s">
        <v>167</v>
      </c>
      <c r="W1193" s="189" t="s">
        <v>139</v>
      </c>
      <c r="X1193" s="189" t="s">
        <v>116</v>
      </c>
      <c r="Y1193" s="189" t="s">
        <v>3069</v>
      </c>
      <c r="Z1193" s="0" t="n">
        <v>2</v>
      </c>
      <c r="AA1193" s="189" t="s">
        <v>3083</v>
      </c>
    </row>
    <row r="1194" customFormat="false" ht="15" hidden="false" customHeight="false" outlineLevel="0" collapsed="false">
      <c r="A1194" s="0" t="n">
        <v>254</v>
      </c>
      <c r="B1194" s="191" t="n">
        <v>46098.0453833615</v>
      </c>
      <c r="C1194" s="191" t="n">
        <v>46098.0526866023</v>
      </c>
      <c r="D1194" s="189" t="s">
        <v>1768</v>
      </c>
      <c r="E1194" s="189" t="s">
        <v>1769</v>
      </c>
      <c r="F1194" s="189" t="s">
        <v>1769</v>
      </c>
      <c r="G1194" s="189" t="s">
        <v>1770</v>
      </c>
      <c r="H1194" s="191" t="n">
        <v>46089</v>
      </c>
      <c r="I1194" s="189" t="s">
        <v>113</v>
      </c>
      <c r="J1194" s="189" t="s">
        <v>108</v>
      </c>
      <c r="K1194" s="189" t="s">
        <v>1771</v>
      </c>
      <c r="L1194" s="189" t="s">
        <v>159</v>
      </c>
      <c r="M1194" s="189" t="s">
        <v>612</v>
      </c>
      <c r="N1194" s="189" t="s">
        <v>1028</v>
      </c>
      <c r="O1194" s="189" t="s">
        <v>107</v>
      </c>
      <c r="P1194" s="189" t="s">
        <v>131</v>
      </c>
      <c r="Q1194" s="189" t="s">
        <v>112</v>
      </c>
      <c r="R1194" s="189" t="s">
        <v>22</v>
      </c>
      <c r="S1194" s="189" t="s">
        <v>120</v>
      </c>
      <c r="T1194" s="189" t="s">
        <v>180</v>
      </c>
      <c r="U1194" s="189" t="s">
        <v>1773</v>
      </c>
      <c r="V1194" s="189" t="s">
        <v>123</v>
      </c>
      <c r="W1194" s="189" t="s">
        <v>124</v>
      </c>
      <c r="X1194" s="189" t="s">
        <v>381</v>
      </c>
      <c r="Y1194" s="189" t="s">
        <v>3064</v>
      </c>
      <c r="Z1194" s="0" t="n">
        <v>1</v>
      </c>
      <c r="AA1194" s="189" t="s">
        <v>3180</v>
      </c>
    </row>
    <row r="1195" customFormat="false" ht="15" hidden="false" customHeight="false" outlineLevel="0" collapsed="false">
      <c r="A1195" s="0" t="n">
        <v>254</v>
      </c>
      <c r="B1195" s="191" t="n">
        <v>46098.0453833615</v>
      </c>
      <c r="C1195" s="191" t="n">
        <v>46098.0526866023</v>
      </c>
      <c r="D1195" s="189" t="s">
        <v>1768</v>
      </c>
      <c r="E1195" s="189" t="s">
        <v>1769</v>
      </c>
      <c r="F1195" s="189" t="s">
        <v>1769</v>
      </c>
      <c r="G1195" s="189" t="s">
        <v>1770</v>
      </c>
      <c r="H1195" s="191" t="n">
        <v>46089</v>
      </c>
      <c r="I1195" s="189" t="s">
        <v>113</v>
      </c>
      <c r="J1195" s="189" t="s">
        <v>108</v>
      </c>
      <c r="K1195" s="189" t="s">
        <v>1771</v>
      </c>
      <c r="L1195" s="189" t="s">
        <v>159</v>
      </c>
      <c r="M1195" s="189" t="s">
        <v>612</v>
      </c>
      <c r="N1195" s="189" t="s">
        <v>1028</v>
      </c>
      <c r="O1195" s="189" t="s">
        <v>107</v>
      </c>
      <c r="P1195" s="189" t="s">
        <v>131</v>
      </c>
      <c r="Q1195" s="189" t="s">
        <v>112</v>
      </c>
      <c r="R1195" s="189" t="s">
        <v>22</v>
      </c>
      <c r="S1195" s="189" t="s">
        <v>120</v>
      </c>
      <c r="T1195" s="189" t="s">
        <v>180</v>
      </c>
      <c r="U1195" s="189" t="s">
        <v>1773</v>
      </c>
      <c r="V1195" s="189" t="s">
        <v>123</v>
      </c>
      <c r="W1195" s="189" t="s">
        <v>124</v>
      </c>
      <c r="X1195" s="189" t="s">
        <v>381</v>
      </c>
      <c r="Y1195" s="189" t="s">
        <v>3066</v>
      </c>
      <c r="Z1195" s="0" t="n">
        <v>1</v>
      </c>
      <c r="AA1195" s="189" t="s">
        <v>3161</v>
      </c>
    </row>
    <row r="1196" customFormat="false" ht="15" hidden="false" customHeight="false" outlineLevel="0" collapsed="false">
      <c r="A1196" s="0" t="n">
        <v>254</v>
      </c>
      <c r="B1196" s="191" t="n">
        <v>46098.0453833615</v>
      </c>
      <c r="C1196" s="191" t="n">
        <v>46098.0526866023</v>
      </c>
      <c r="D1196" s="189" t="s">
        <v>1768</v>
      </c>
      <c r="E1196" s="189" t="s">
        <v>1769</v>
      </c>
      <c r="F1196" s="189" t="s">
        <v>1769</v>
      </c>
      <c r="G1196" s="189" t="s">
        <v>1770</v>
      </c>
      <c r="H1196" s="191" t="n">
        <v>46089</v>
      </c>
      <c r="I1196" s="189" t="s">
        <v>113</v>
      </c>
      <c r="J1196" s="189" t="s">
        <v>108</v>
      </c>
      <c r="K1196" s="189" t="s">
        <v>1771</v>
      </c>
      <c r="L1196" s="189" t="s">
        <v>159</v>
      </c>
      <c r="M1196" s="189" t="s">
        <v>612</v>
      </c>
      <c r="N1196" s="189" t="s">
        <v>1028</v>
      </c>
      <c r="O1196" s="189" t="s">
        <v>107</v>
      </c>
      <c r="P1196" s="189" t="s">
        <v>131</v>
      </c>
      <c r="Q1196" s="189" t="s">
        <v>112</v>
      </c>
      <c r="R1196" s="189" t="s">
        <v>22</v>
      </c>
      <c r="S1196" s="189" t="s">
        <v>120</v>
      </c>
      <c r="T1196" s="189" t="s">
        <v>180</v>
      </c>
      <c r="U1196" s="189" t="s">
        <v>1773</v>
      </c>
      <c r="V1196" s="189" t="s">
        <v>123</v>
      </c>
      <c r="W1196" s="189" t="s">
        <v>124</v>
      </c>
      <c r="X1196" s="189" t="s">
        <v>381</v>
      </c>
      <c r="Y1196" s="189" t="s">
        <v>3069</v>
      </c>
      <c r="Z1196" s="0" t="n">
        <v>1</v>
      </c>
      <c r="AA1196" s="189" t="s">
        <v>3162</v>
      </c>
    </row>
    <row r="1197" customFormat="false" ht="15" hidden="false" customHeight="false" outlineLevel="0" collapsed="false">
      <c r="A1197" s="0" t="n">
        <v>255</v>
      </c>
      <c r="B1197" s="191" t="n">
        <v>46044.1924609671</v>
      </c>
      <c r="C1197" s="191" t="n">
        <v>46044.2102850412</v>
      </c>
      <c r="D1197" s="189" t="s">
        <v>1774</v>
      </c>
      <c r="E1197" s="189" t="s">
        <v>1775</v>
      </c>
      <c r="F1197" s="189" t="s">
        <v>1775</v>
      </c>
      <c r="G1197" s="189" t="s">
        <v>1776</v>
      </c>
      <c r="H1197" s="191" t="n">
        <v>46043</v>
      </c>
      <c r="I1197" s="189" t="s">
        <v>113</v>
      </c>
      <c r="J1197" s="189" t="s">
        <v>108</v>
      </c>
      <c r="K1197" s="189" t="s">
        <v>245</v>
      </c>
      <c r="L1197" s="189" t="s">
        <v>110</v>
      </c>
      <c r="M1197" s="189" t="s">
        <v>543</v>
      </c>
      <c r="N1197" s="189" t="s">
        <v>1323</v>
      </c>
      <c r="O1197" s="189" t="s">
        <v>713</v>
      </c>
      <c r="P1197" s="189" t="s">
        <v>111</v>
      </c>
      <c r="Q1197" s="189" t="s">
        <v>112</v>
      </c>
      <c r="R1197" s="189" t="s">
        <v>22</v>
      </c>
      <c r="S1197" s="189" t="s">
        <v>120</v>
      </c>
      <c r="T1197" s="189" t="s">
        <v>180</v>
      </c>
      <c r="U1197" s="189" t="s">
        <v>122</v>
      </c>
      <c r="V1197" s="189" t="s">
        <v>192</v>
      </c>
      <c r="W1197" s="189" t="s">
        <v>124</v>
      </c>
      <c r="X1197" s="189" t="s">
        <v>339</v>
      </c>
      <c r="Y1197" s="189" t="s">
        <v>3064</v>
      </c>
      <c r="Z1197" s="0" t="n">
        <v>1</v>
      </c>
      <c r="AA1197" s="189" t="s">
        <v>3168</v>
      </c>
    </row>
    <row r="1198" customFormat="false" ht="15" hidden="false" customHeight="false" outlineLevel="0" collapsed="false">
      <c r="A1198" s="0" t="n">
        <v>255</v>
      </c>
      <c r="B1198" s="191" t="n">
        <v>46044.1924609671</v>
      </c>
      <c r="C1198" s="191" t="n">
        <v>46044.2102850412</v>
      </c>
      <c r="D1198" s="189" t="s">
        <v>1774</v>
      </c>
      <c r="E1198" s="189" t="s">
        <v>1775</v>
      </c>
      <c r="F1198" s="189" t="s">
        <v>1775</v>
      </c>
      <c r="G1198" s="189" t="s">
        <v>1776</v>
      </c>
      <c r="H1198" s="191" t="n">
        <v>46043</v>
      </c>
      <c r="I1198" s="189" t="s">
        <v>113</v>
      </c>
      <c r="J1198" s="189" t="s">
        <v>108</v>
      </c>
      <c r="K1198" s="189" t="s">
        <v>245</v>
      </c>
      <c r="L1198" s="189" t="s">
        <v>110</v>
      </c>
      <c r="M1198" s="189" t="s">
        <v>543</v>
      </c>
      <c r="N1198" s="189" t="s">
        <v>1323</v>
      </c>
      <c r="O1198" s="189" t="s">
        <v>713</v>
      </c>
      <c r="P1198" s="189" t="s">
        <v>111</v>
      </c>
      <c r="Q1198" s="189" t="s">
        <v>112</v>
      </c>
      <c r="R1198" s="189" t="s">
        <v>22</v>
      </c>
      <c r="S1198" s="189" t="s">
        <v>120</v>
      </c>
      <c r="T1198" s="189" t="s">
        <v>180</v>
      </c>
      <c r="U1198" s="189" t="s">
        <v>122</v>
      </c>
      <c r="V1198" s="189" t="s">
        <v>192</v>
      </c>
      <c r="W1198" s="189" t="s">
        <v>124</v>
      </c>
      <c r="X1198" s="189" t="s">
        <v>339</v>
      </c>
      <c r="Y1198" s="189" t="s">
        <v>3066</v>
      </c>
      <c r="Z1198" s="0" t="n">
        <v>1</v>
      </c>
      <c r="AA1198" s="189" t="s">
        <v>3243</v>
      </c>
    </row>
    <row r="1199" customFormat="false" ht="15" hidden="false" customHeight="false" outlineLevel="0" collapsed="false">
      <c r="A1199" s="0" t="n">
        <v>255</v>
      </c>
      <c r="B1199" s="191" t="n">
        <v>46044.1924609671</v>
      </c>
      <c r="C1199" s="191" t="n">
        <v>46044.2102850412</v>
      </c>
      <c r="D1199" s="189" t="s">
        <v>1774</v>
      </c>
      <c r="E1199" s="189" t="s">
        <v>1775</v>
      </c>
      <c r="F1199" s="189" t="s">
        <v>1775</v>
      </c>
      <c r="G1199" s="189" t="s">
        <v>1776</v>
      </c>
      <c r="H1199" s="191" t="n">
        <v>46043</v>
      </c>
      <c r="I1199" s="189" t="s">
        <v>113</v>
      </c>
      <c r="J1199" s="189" t="s">
        <v>108</v>
      </c>
      <c r="K1199" s="189" t="s">
        <v>245</v>
      </c>
      <c r="L1199" s="189" t="s">
        <v>110</v>
      </c>
      <c r="M1199" s="189" t="s">
        <v>543</v>
      </c>
      <c r="N1199" s="189" t="s">
        <v>1323</v>
      </c>
      <c r="O1199" s="189" t="s">
        <v>713</v>
      </c>
      <c r="P1199" s="189" t="s">
        <v>111</v>
      </c>
      <c r="Q1199" s="189" t="s">
        <v>112</v>
      </c>
      <c r="R1199" s="189" t="s">
        <v>22</v>
      </c>
      <c r="S1199" s="189" t="s">
        <v>120</v>
      </c>
      <c r="T1199" s="189" t="s">
        <v>180</v>
      </c>
      <c r="U1199" s="189" t="s">
        <v>122</v>
      </c>
      <c r="V1199" s="189" t="s">
        <v>192</v>
      </c>
      <c r="W1199" s="189" t="s">
        <v>124</v>
      </c>
      <c r="X1199" s="189" t="s">
        <v>339</v>
      </c>
      <c r="Y1199" s="189" t="s">
        <v>3069</v>
      </c>
      <c r="Z1199" s="0" t="n">
        <v>1</v>
      </c>
      <c r="AA1199" s="189" t="s">
        <v>3144</v>
      </c>
    </row>
    <row r="1200" customFormat="false" ht="15" hidden="false" customHeight="false" outlineLevel="0" collapsed="false">
      <c r="A1200" s="0" t="n">
        <v>255</v>
      </c>
      <c r="B1200" s="191" t="n">
        <v>46044.1924609671</v>
      </c>
      <c r="C1200" s="191" t="n">
        <v>46044.2102850412</v>
      </c>
      <c r="D1200" s="189" t="s">
        <v>1774</v>
      </c>
      <c r="E1200" s="189" t="s">
        <v>1775</v>
      </c>
      <c r="F1200" s="189" t="s">
        <v>1775</v>
      </c>
      <c r="G1200" s="189" t="s">
        <v>1776</v>
      </c>
      <c r="H1200" s="191" t="n">
        <v>46043</v>
      </c>
      <c r="I1200" s="189" t="s">
        <v>113</v>
      </c>
      <c r="J1200" s="189" t="s">
        <v>108</v>
      </c>
      <c r="K1200" s="189" t="s">
        <v>245</v>
      </c>
      <c r="L1200" s="189" t="s">
        <v>110</v>
      </c>
      <c r="M1200" s="189" t="s">
        <v>543</v>
      </c>
      <c r="N1200" s="189" t="s">
        <v>1323</v>
      </c>
      <c r="O1200" s="189" t="s">
        <v>713</v>
      </c>
      <c r="P1200" s="189" t="s">
        <v>111</v>
      </c>
      <c r="Q1200" s="189" t="s">
        <v>112</v>
      </c>
      <c r="R1200" s="189" t="s">
        <v>22</v>
      </c>
      <c r="S1200" s="189" t="s">
        <v>120</v>
      </c>
      <c r="T1200" s="189" t="s">
        <v>180</v>
      </c>
      <c r="U1200" s="189" t="s">
        <v>122</v>
      </c>
      <c r="V1200" s="189" t="s">
        <v>192</v>
      </c>
      <c r="W1200" s="189" t="s">
        <v>124</v>
      </c>
      <c r="X1200" s="189" t="s">
        <v>339</v>
      </c>
      <c r="Y1200" s="189" t="s">
        <v>3069</v>
      </c>
      <c r="Z1200" s="0" t="n">
        <v>2</v>
      </c>
      <c r="AA1200" s="189" t="s">
        <v>3145</v>
      </c>
    </row>
    <row r="1201" customFormat="false" ht="15" hidden="false" customHeight="false" outlineLevel="0" collapsed="false">
      <c r="A1201" s="0" t="n">
        <v>256</v>
      </c>
      <c r="B1201" s="191" t="n">
        <v>46146.0602199425</v>
      </c>
      <c r="C1201" s="191" t="n">
        <v>46146.0757060536</v>
      </c>
      <c r="D1201" s="189" t="s">
        <v>1777</v>
      </c>
      <c r="E1201" s="189" t="s">
        <v>1778</v>
      </c>
      <c r="F1201" s="189" t="s">
        <v>1779</v>
      </c>
      <c r="G1201" s="189" t="s">
        <v>1780</v>
      </c>
      <c r="H1201" s="191" t="n">
        <v>46140</v>
      </c>
      <c r="I1201" s="189" t="s">
        <v>113</v>
      </c>
      <c r="J1201" s="189" t="s">
        <v>108</v>
      </c>
      <c r="K1201" s="189" t="s">
        <v>257</v>
      </c>
      <c r="L1201" s="189" t="s">
        <v>159</v>
      </c>
      <c r="M1201" s="189" t="s">
        <v>1313</v>
      </c>
      <c r="N1201" s="189" t="s">
        <v>1781</v>
      </c>
      <c r="O1201" s="189" t="s">
        <v>713</v>
      </c>
      <c r="P1201" s="189" t="s">
        <v>111</v>
      </c>
      <c r="Q1201" s="189" t="s">
        <v>112</v>
      </c>
      <c r="R1201" s="189" t="s">
        <v>21</v>
      </c>
      <c r="S1201" s="189" t="s">
        <v>152</v>
      </c>
      <c r="T1201" s="189" t="s">
        <v>180</v>
      </c>
      <c r="U1201" s="189" t="s">
        <v>122</v>
      </c>
      <c r="V1201" s="189" t="s">
        <v>192</v>
      </c>
      <c r="W1201" s="189" t="s">
        <v>124</v>
      </c>
      <c r="X1201" s="189" t="s">
        <v>348</v>
      </c>
      <c r="Y1201" s="189" t="s">
        <v>3064</v>
      </c>
      <c r="Z1201" s="0" t="n">
        <v>1</v>
      </c>
      <c r="AA1201" s="189" t="s">
        <v>3310</v>
      </c>
    </row>
    <row r="1202" customFormat="false" ht="15" hidden="false" customHeight="false" outlineLevel="0" collapsed="false">
      <c r="A1202" s="0" t="n">
        <v>256</v>
      </c>
      <c r="B1202" s="191" t="n">
        <v>46146.0602199425</v>
      </c>
      <c r="C1202" s="191" t="n">
        <v>46146.0757060536</v>
      </c>
      <c r="D1202" s="189" t="s">
        <v>1777</v>
      </c>
      <c r="E1202" s="189" t="s">
        <v>1778</v>
      </c>
      <c r="F1202" s="189" t="s">
        <v>1779</v>
      </c>
      <c r="G1202" s="189" t="s">
        <v>1780</v>
      </c>
      <c r="H1202" s="191" t="n">
        <v>46140</v>
      </c>
      <c r="I1202" s="189" t="s">
        <v>113</v>
      </c>
      <c r="J1202" s="189" t="s">
        <v>108</v>
      </c>
      <c r="K1202" s="189" t="s">
        <v>257</v>
      </c>
      <c r="L1202" s="189" t="s">
        <v>159</v>
      </c>
      <c r="M1202" s="189" t="s">
        <v>1313</v>
      </c>
      <c r="N1202" s="189" t="s">
        <v>1781</v>
      </c>
      <c r="O1202" s="189" t="s">
        <v>713</v>
      </c>
      <c r="P1202" s="189" t="s">
        <v>111</v>
      </c>
      <c r="Q1202" s="189" t="s">
        <v>112</v>
      </c>
      <c r="R1202" s="189" t="s">
        <v>21</v>
      </c>
      <c r="S1202" s="189" t="s">
        <v>152</v>
      </c>
      <c r="T1202" s="189" t="s">
        <v>180</v>
      </c>
      <c r="U1202" s="189" t="s">
        <v>122</v>
      </c>
      <c r="V1202" s="189" t="s">
        <v>192</v>
      </c>
      <c r="W1202" s="189" t="s">
        <v>124</v>
      </c>
      <c r="X1202" s="189" t="s">
        <v>348</v>
      </c>
      <c r="Y1202" s="189" t="s">
        <v>3064</v>
      </c>
      <c r="Z1202" s="0" t="n">
        <v>2</v>
      </c>
      <c r="AA1202" s="189" t="s">
        <v>3164</v>
      </c>
    </row>
    <row r="1203" customFormat="false" ht="15" hidden="false" customHeight="false" outlineLevel="0" collapsed="false">
      <c r="A1203" s="0" t="n">
        <v>256</v>
      </c>
      <c r="B1203" s="191" t="n">
        <v>46146.0602199425</v>
      </c>
      <c r="C1203" s="191" t="n">
        <v>46146.0757060536</v>
      </c>
      <c r="D1203" s="189" t="s">
        <v>1777</v>
      </c>
      <c r="E1203" s="189" t="s">
        <v>1778</v>
      </c>
      <c r="F1203" s="189" t="s">
        <v>1779</v>
      </c>
      <c r="G1203" s="189" t="s">
        <v>1780</v>
      </c>
      <c r="H1203" s="191" t="n">
        <v>46140</v>
      </c>
      <c r="I1203" s="189" t="s">
        <v>113</v>
      </c>
      <c r="J1203" s="189" t="s">
        <v>108</v>
      </c>
      <c r="K1203" s="189" t="s">
        <v>257</v>
      </c>
      <c r="L1203" s="189" t="s">
        <v>159</v>
      </c>
      <c r="M1203" s="189" t="s">
        <v>1313</v>
      </c>
      <c r="N1203" s="189" t="s">
        <v>1781</v>
      </c>
      <c r="O1203" s="189" t="s">
        <v>713</v>
      </c>
      <c r="P1203" s="189" t="s">
        <v>111</v>
      </c>
      <c r="Q1203" s="189" t="s">
        <v>112</v>
      </c>
      <c r="R1203" s="189" t="s">
        <v>21</v>
      </c>
      <c r="S1203" s="189" t="s">
        <v>152</v>
      </c>
      <c r="T1203" s="189" t="s">
        <v>180</v>
      </c>
      <c r="U1203" s="189" t="s">
        <v>122</v>
      </c>
      <c r="V1203" s="189" t="s">
        <v>192</v>
      </c>
      <c r="W1203" s="189" t="s">
        <v>124</v>
      </c>
      <c r="X1203" s="189" t="s">
        <v>348</v>
      </c>
      <c r="Y1203" s="189" t="s">
        <v>3066</v>
      </c>
      <c r="Z1203" s="0" t="n">
        <v>1</v>
      </c>
      <c r="AA1203" s="189" t="s">
        <v>3147</v>
      </c>
    </row>
    <row r="1204" customFormat="false" ht="15" hidden="false" customHeight="false" outlineLevel="0" collapsed="false">
      <c r="A1204" s="0" t="n">
        <v>256</v>
      </c>
      <c r="B1204" s="191" t="n">
        <v>46146.0602199425</v>
      </c>
      <c r="C1204" s="191" t="n">
        <v>46146.0757060536</v>
      </c>
      <c r="D1204" s="189" t="s">
        <v>1777</v>
      </c>
      <c r="E1204" s="189" t="s">
        <v>1778</v>
      </c>
      <c r="F1204" s="189" t="s">
        <v>1779</v>
      </c>
      <c r="G1204" s="189" t="s">
        <v>1780</v>
      </c>
      <c r="H1204" s="191" t="n">
        <v>46140</v>
      </c>
      <c r="I1204" s="189" t="s">
        <v>113</v>
      </c>
      <c r="J1204" s="189" t="s">
        <v>108</v>
      </c>
      <c r="K1204" s="189" t="s">
        <v>257</v>
      </c>
      <c r="L1204" s="189" t="s">
        <v>159</v>
      </c>
      <c r="M1204" s="189" t="s">
        <v>1313</v>
      </c>
      <c r="N1204" s="189" t="s">
        <v>1781</v>
      </c>
      <c r="O1204" s="189" t="s">
        <v>713</v>
      </c>
      <c r="P1204" s="189" t="s">
        <v>111</v>
      </c>
      <c r="Q1204" s="189" t="s">
        <v>112</v>
      </c>
      <c r="R1204" s="189" t="s">
        <v>21</v>
      </c>
      <c r="S1204" s="189" t="s">
        <v>152</v>
      </c>
      <c r="T1204" s="189" t="s">
        <v>180</v>
      </c>
      <c r="U1204" s="189" t="s">
        <v>122</v>
      </c>
      <c r="V1204" s="189" t="s">
        <v>192</v>
      </c>
      <c r="W1204" s="189" t="s">
        <v>124</v>
      </c>
      <c r="X1204" s="189" t="s">
        <v>348</v>
      </c>
      <c r="Y1204" s="189" t="s">
        <v>3069</v>
      </c>
      <c r="Z1204" s="0" t="n">
        <v>1</v>
      </c>
      <c r="AA1204" s="189" t="s">
        <v>3263</v>
      </c>
    </row>
    <row r="1205" customFormat="false" ht="15" hidden="false" customHeight="false" outlineLevel="0" collapsed="false">
      <c r="A1205" s="0" t="n">
        <v>257</v>
      </c>
      <c r="B1205" s="191" t="n">
        <v>46144.2345537234</v>
      </c>
      <c r="C1205" s="191" t="n">
        <v>46144.2491949271</v>
      </c>
      <c r="D1205" s="189" t="s">
        <v>1784</v>
      </c>
      <c r="E1205" s="189" t="s">
        <v>1785</v>
      </c>
      <c r="F1205" s="189" t="s">
        <v>1785</v>
      </c>
      <c r="G1205" s="189" t="s">
        <v>1786</v>
      </c>
      <c r="H1205" s="191" t="n">
        <v>46138</v>
      </c>
      <c r="I1205" s="189" t="s">
        <v>113</v>
      </c>
      <c r="J1205" s="189" t="s">
        <v>295</v>
      </c>
      <c r="K1205" s="189" t="s">
        <v>1787</v>
      </c>
      <c r="L1205" s="189" t="s">
        <v>110</v>
      </c>
      <c r="M1205" s="189" t="s">
        <v>160</v>
      </c>
      <c r="N1205" s="189" t="s">
        <v>469</v>
      </c>
      <c r="O1205" s="189" t="s">
        <v>405</v>
      </c>
      <c r="P1205" s="189" t="s">
        <v>111</v>
      </c>
      <c r="Q1205" s="189" t="s">
        <v>112</v>
      </c>
      <c r="R1205" s="189" t="s">
        <v>22</v>
      </c>
      <c r="S1205" s="189" t="s">
        <v>152</v>
      </c>
      <c r="T1205" s="189" t="s">
        <v>121</v>
      </c>
      <c r="V1205" s="189" t="s">
        <v>192</v>
      </c>
      <c r="W1205" s="189" t="s">
        <v>124</v>
      </c>
      <c r="X1205" s="189" t="s">
        <v>271</v>
      </c>
      <c r="Y1205" s="189" t="s">
        <v>3064</v>
      </c>
      <c r="Z1205" s="0" t="n">
        <v>1</v>
      </c>
      <c r="AA1205" s="189" t="s">
        <v>3136</v>
      </c>
    </row>
    <row r="1206" customFormat="false" ht="15" hidden="false" customHeight="false" outlineLevel="0" collapsed="false">
      <c r="A1206" s="0" t="n">
        <v>257</v>
      </c>
      <c r="B1206" s="191" t="n">
        <v>46144.2345537234</v>
      </c>
      <c r="C1206" s="191" t="n">
        <v>46144.2491949271</v>
      </c>
      <c r="D1206" s="189" t="s">
        <v>1784</v>
      </c>
      <c r="E1206" s="189" t="s">
        <v>1785</v>
      </c>
      <c r="F1206" s="189" t="s">
        <v>1785</v>
      </c>
      <c r="G1206" s="189" t="s">
        <v>1786</v>
      </c>
      <c r="H1206" s="191" t="n">
        <v>46138</v>
      </c>
      <c r="I1206" s="189" t="s">
        <v>113</v>
      </c>
      <c r="J1206" s="189" t="s">
        <v>295</v>
      </c>
      <c r="K1206" s="189" t="s">
        <v>1787</v>
      </c>
      <c r="L1206" s="189" t="s">
        <v>110</v>
      </c>
      <c r="M1206" s="189" t="s">
        <v>160</v>
      </c>
      <c r="N1206" s="189" t="s">
        <v>469</v>
      </c>
      <c r="O1206" s="189" t="s">
        <v>405</v>
      </c>
      <c r="P1206" s="189" t="s">
        <v>111</v>
      </c>
      <c r="Q1206" s="189" t="s">
        <v>112</v>
      </c>
      <c r="R1206" s="189" t="s">
        <v>22</v>
      </c>
      <c r="S1206" s="189" t="s">
        <v>152</v>
      </c>
      <c r="T1206" s="189" t="s">
        <v>121</v>
      </c>
      <c r="V1206" s="189" t="s">
        <v>192</v>
      </c>
      <c r="W1206" s="189" t="s">
        <v>124</v>
      </c>
      <c r="X1206" s="189" t="s">
        <v>271</v>
      </c>
      <c r="Y1206" s="189" t="s">
        <v>3064</v>
      </c>
      <c r="Z1206" s="0" t="n">
        <v>2</v>
      </c>
      <c r="AA1206" s="189" t="s">
        <v>3135</v>
      </c>
    </row>
    <row r="1207" customFormat="false" ht="15" hidden="false" customHeight="false" outlineLevel="0" collapsed="false">
      <c r="A1207" s="0" t="n">
        <v>257</v>
      </c>
      <c r="B1207" s="191" t="n">
        <v>46144.2345537234</v>
      </c>
      <c r="C1207" s="191" t="n">
        <v>46144.2491949271</v>
      </c>
      <c r="D1207" s="189" t="s">
        <v>1784</v>
      </c>
      <c r="E1207" s="189" t="s">
        <v>1785</v>
      </c>
      <c r="F1207" s="189" t="s">
        <v>1785</v>
      </c>
      <c r="G1207" s="189" t="s">
        <v>1786</v>
      </c>
      <c r="H1207" s="191" t="n">
        <v>46138</v>
      </c>
      <c r="I1207" s="189" t="s">
        <v>113</v>
      </c>
      <c r="J1207" s="189" t="s">
        <v>295</v>
      </c>
      <c r="K1207" s="189" t="s">
        <v>1787</v>
      </c>
      <c r="L1207" s="189" t="s">
        <v>110</v>
      </c>
      <c r="M1207" s="189" t="s">
        <v>160</v>
      </c>
      <c r="N1207" s="189" t="s">
        <v>469</v>
      </c>
      <c r="O1207" s="189" t="s">
        <v>405</v>
      </c>
      <c r="P1207" s="189" t="s">
        <v>111</v>
      </c>
      <c r="Q1207" s="189" t="s">
        <v>112</v>
      </c>
      <c r="R1207" s="189" t="s">
        <v>22</v>
      </c>
      <c r="S1207" s="189" t="s">
        <v>152</v>
      </c>
      <c r="T1207" s="189" t="s">
        <v>121</v>
      </c>
      <c r="V1207" s="189" t="s">
        <v>192</v>
      </c>
      <c r="W1207" s="189" t="s">
        <v>124</v>
      </c>
      <c r="X1207" s="189" t="s">
        <v>271</v>
      </c>
      <c r="Y1207" s="189" t="s">
        <v>3064</v>
      </c>
      <c r="Z1207" s="0" t="n">
        <v>3</v>
      </c>
      <c r="AA1207" s="189" t="s">
        <v>3230</v>
      </c>
    </row>
    <row r="1208" customFormat="false" ht="15" hidden="false" customHeight="false" outlineLevel="0" collapsed="false">
      <c r="A1208" s="0" t="n">
        <v>257</v>
      </c>
      <c r="B1208" s="191" t="n">
        <v>46144.2345537234</v>
      </c>
      <c r="C1208" s="191" t="n">
        <v>46144.2491949271</v>
      </c>
      <c r="D1208" s="189" t="s">
        <v>1784</v>
      </c>
      <c r="E1208" s="189" t="s">
        <v>1785</v>
      </c>
      <c r="F1208" s="189" t="s">
        <v>1785</v>
      </c>
      <c r="G1208" s="189" t="s">
        <v>1786</v>
      </c>
      <c r="H1208" s="191" t="n">
        <v>46138</v>
      </c>
      <c r="I1208" s="189" t="s">
        <v>113</v>
      </c>
      <c r="J1208" s="189" t="s">
        <v>295</v>
      </c>
      <c r="K1208" s="189" t="s">
        <v>1787</v>
      </c>
      <c r="L1208" s="189" t="s">
        <v>110</v>
      </c>
      <c r="M1208" s="189" t="s">
        <v>160</v>
      </c>
      <c r="N1208" s="189" t="s">
        <v>469</v>
      </c>
      <c r="O1208" s="189" t="s">
        <v>405</v>
      </c>
      <c r="P1208" s="189" t="s">
        <v>111</v>
      </c>
      <c r="Q1208" s="189" t="s">
        <v>112</v>
      </c>
      <c r="R1208" s="189" t="s">
        <v>22</v>
      </c>
      <c r="S1208" s="189" t="s">
        <v>152</v>
      </c>
      <c r="T1208" s="189" t="s">
        <v>121</v>
      </c>
      <c r="V1208" s="189" t="s">
        <v>192</v>
      </c>
      <c r="W1208" s="189" t="s">
        <v>124</v>
      </c>
      <c r="X1208" s="189" t="s">
        <v>271</v>
      </c>
      <c r="Y1208" s="189" t="s">
        <v>3066</v>
      </c>
      <c r="Z1208" s="0" t="n">
        <v>1</v>
      </c>
      <c r="AA1208" s="189" t="s">
        <v>3138</v>
      </c>
    </row>
    <row r="1209" customFormat="false" ht="15" hidden="false" customHeight="false" outlineLevel="0" collapsed="false">
      <c r="A1209" s="0" t="n">
        <v>257</v>
      </c>
      <c r="B1209" s="191" t="n">
        <v>46144.2345537234</v>
      </c>
      <c r="C1209" s="191" t="n">
        <v>46144.2491949271</v>
      </c>
      <c r="D1209" s="189" t="s">
        <v>1784</v>
      </c>
      <c r="E1209" s="189" t="s">
        <v>1785</v>
      </c>
      <c r="F1209" s="189" t="s">
        <v>1785</v>
      </c>
      <c r="G1209" s="189" t="s">
        <v>1786</v>
      </c>
      <c r="H1209" s="191" t="n">
        <v>46138</v>
      </c>
      <c r="I1209" s="189" t="s">
        <v>113</v>
      </c>
      <c r="J1209" s="189" t="s">
        <v>295</v>
      </c>
      <c r="K1209" s="189" t="s">
        <v>1787</v>
      </c>
      <c r="L1209" s="189" t="s">
        <v>110</v>
      </c>
      <c r="M1209" s="189" t="s">
        <v>160</v>
      </c>
      <c r="N1209" s="189" t="s">
        <v>469</v>
      </c>
      <c r="O1209" s="189" t="s">
        <v>405</v>
      </c>
      <c r="P1209" s="189" t="s">
        <v>111</v>
      </c>
      <c r="Q1209" s="189" t="s">
        <v>112</v>
      </c>
      <c r="R1209" s="189" t="s">
        <v>22</v>
      </c>
      <c r="S1209" s="189" t="s">
        <v>152</v>
      </c>
      <c r="T1209" s="189" t="s">
        <v>121</v>
      </c>
      <c r="V1209" s="189" t="s">
        <v>192</v>
      </c>
      <c r="W1209" s="189" t="s">
        <v>124</v>
      </c>
      <c r="X1209" s="189" t="s">
        <v>271</v>
      </c>
      <c r="Y1209" s="189" t="s">
        <v>3069</v>
      </c>
      <c r="Z1209" s="0" t="n">
        <v>1</v>
      </c>
      <c r="AA1209" s="189" t="s">
        <v>3118</v>
      </c>
    </row>
    <row r="1210" customFormat="false" ht="15" hidden="false" customHeight="false" outlineLevel="0" collapsed="false">
      <c r="A1210" s="0" t="n">
        <v>257</v>
      </c>
      <c r="B1210" s="191" t="n">
        <v>46144.2345537234</v>
      </c>
      <c r="C1210" s="191" t="n">
        <v>46144.2491949271</v>
      </c>
      <c r="D1210" s="189" t="s">
        <v>1784</v>
      </c>
      <c r="E1210" s="189" t="s">
        <v>1785</v>
      </c>
      <c r="F1210" s="189" t="s">
        <v>1785</v>
      </c>
      <c r="G1210" s="189" t="s">
        <v>1786</v>
      </c>
      <c r="H1210" s="191" t="n">
        <v>46138</v>
      </c>
      <c r="I1210" s="189" t="s">
        <v>113</v>
      </c>
      <c r="J1210" s="189" t="s">
        <v>295</v>
      </c>
      <c r="K1210" s="189" t="s">
        <v>1787</v>
      </c>
      <c r="L1210" s="189" t="s">
        <v>110</v>
      </c>
      <c r="M1210" s="189" t="s">
        <v>160</v>
      </c>
      <c r="N1210" s="189" t="s">
        <v>469</v>
      </c>
      <c r="O1210" s="189" t="s">
        <v>405</v>
      </c>
      <c r="P1210" s="189" t="s">
        <v>111</v>
      </c>
      <c r="Q1210" s="189" t="s">
        <v>112</v>
      </c>
      <c r="R1210" s="189" t="s">
        <v>22</v>
      </c>
      <c r="S1210" s="189" t="s">
        <v>152</v>
      </c>
      <c r="T1210" s="189" t="s">
        <v>121</v>
      </c>
      <c r="V1210" s="189" t="s">
        <v>192</v>
      </c>
      <c r="W1210" s="189" t="s">
        <v>124</v>
      </c>
      <c r="X1210" s="189" t="s">
        <v>271</v>
      </c>
      <c r="Y1210" s="189" t="s">
        <v>3069</v>
      </c>
      <c r="Z1210" s="0" t="n">
        <v>2</v>
      </c>
      <c r="AA1210" s="189" t="s">
        <v>3119</v>
      </c>
    </row>
    <row r="1211" customFormat="false" ht="15" hidden="false" customHeight="false" outlineLevel="0" collapsed="false">
      <c r="A1211" s="0" t="n">
        <v>258</v>
      </c>
      <c r="B1211" s="191" t="n">
        <v>46213.1139051501</v>
      </c>
      <c r="C1211" s="191" t="n">
        <v>46213.1328287612</v>
      </c>
      <c r="D1211" s="189" t="s">
        <v>1789</v>
      </c>
      <c r="E1211" s="189" t="s">
        <v>1790</v>
      </c>
      <c r="F1211" s="189" t="s">
        <v>1790</v>
      </c>
      <c r="G1211" s="189" t="s">
        <v>1791</v>
      </c>
      <c r="H1211" s="191" t="n">
        <v>46208</v>
      </c>
      <c r="I1211" s="189" t="s">
        <v>113</v>
      </c>
      <c r="J1211" s="189" t="s">
        <v>108</v>
      </c>
      <c r="K1211" s="189" t="s">
        <v>1792</v>
      </c>
      <c r="L1211" s="189" t="s">
        <v>491</v>
      </c>
      <c r="M1211" s="189" t="s">
        <v>797</v>
      </c>
      <c r="N1211" s="189" t="s">
        <v>1622</v>
      </c>
      <c r="O1211" s="189" t="s">
        <v>278</v>
      </c>
      <c r="P1211" s="189" t="s">
        <v>111</v>
      </c>
      <c r="Q1211" s="189" t="s">
        <v>112</v>
      </c>
      <c r="R1211" s="189" t="s">
        <v>22</v>
      </c>
      <c r="S1211" s="189" t="s">
        <v>120</v>
      </c>
      <c r="T1211" s="189" t="s">
        <v>352</v>
      </c>
      <c r="U1211" s="189" t="s">
        <v>122</v>
      </c>
      <c r="V1211" s="189" t="s">
        <v>123</v>
      </c>
      <c r="W1211" s="189" t="s">
        <v>124</v>
      </c>
      <c r="X1211" s="189" t="s">
        <v>271</v>
      </c>
      <c r="Y1211" s="189" t="s">
        <v>3064</v>
      </c>
      <c r="Z1211" s="0" t="n">
        <v>1</v>
      </c>
      <c r="AA1211" s="189" t="s">
        <v>3115</v>
      </c>
    </row>
    <row r="1212" customFormat="false" ht="15" hidden="false" customHeight="false" outlineLevel="0" collapsed="false">
      <c r="A1212" s="0" t="n">
        <v>258</v>
      </c>
      <c r="B1212" s="191" t="n">
        <v>46213.1139051501</v>
      </c>
      <c r="C1212" s="191" t="n">
        <v>46213.1328287612</v>
      </c>
      <c r="D1212" s="189" t="s">
        <v>1789</v>
      </c>
      <c r="E1212" s="189" t="s">
        <v>1790</v>
      </c>
      <c r="F1212" s="189" t="s">
        <v>1790</v>
      </c>
      <c r="G1212" s="189" t="s">
        <v>1791</v>
      </c>
      <c r="H1212" s="191" t="n">
        <v>46208</v>
      </c>
      <c r="I1212" s="189" t="s">
        <v>113</v>
      </c>
      <c r="J1212" s="189" t="s">
        <v>108</v>
      </c>
      <c r="K1212" s="189" t="s">
        <v>1792</v>
      </c>
      <c r="L1212" s="189" t="s">
        <v>491</v>
      </c>
      <c r="M1212" s="189" t="s">
        <v>797</v>
      </c>
      <c r="N1212" s="189" t="s">
        <v>1622</v>
      </c>
      <c r="O1212" s="189" t="s">
        <v>278</v>
      </c>
      <c r="P1212" s="189" t="s">
        <v>111</v>
      </c>
      <c r="Q1212" s="189" t="s">
        <v>112</v>
      </c>
      <c r="R1212" s="189" t="s">
        <v>22</v>
      </c>
      <c r="S1212" s="189" t="s">
        <v>120</v>
      </c>
      <c r="T1212" s="189" t="s">
        <v>352</v>
      </c>
      <c r="U1212" s="189" t="s">
        <v>122</v>
      </c>
      <c r="V1212" s="189" t="s">
        <v>123</v>
      </c>
      <c r="W1212" s="189" t="s">
        <v>124</v>
      </c>
      <c r="X1212" s="189" t="s">
        <v>271</v>
      </c>
      <c r="Y1212" s="189" t="s">
        <v>3066</v>
      </c>
      <c r="Z1212" s="0" t="n">
        <v>1</v>
      </c>
      <c r="AA1212" s="189" t="s">
        <v>3117</v>
      </c>
    </row>
    <row r="1213" customFormat="false" ht="15" hidden="false" customHeight="false" outlineLevel="0" collapsed="false">
      <c r="A1213" s="0" t="n">
        <v>258</v>
      </c>
      <c r="B1213" s="191" t="n">
        <v>46213.1139051501</v>
      </c>
      <c r="C1213" s="191" t="n">
        <v>46213.1328287612</v>
      </c>
      <c r="D1213" s="189" t="s">
        <v>1789</v>
      </c>
      <c r="E1213" s="189" t="s">
        <v>1790</v>
      </c>
      <c r="F1213" s="189" t="s">
        <v>1790</v>
      </c>
      <c r="G1213" s="189" t="s">
        <v>1791</v>
      </c>
      <c r="H1213" s="191" t="n">
        <v>46208</v>
      </c>
      <c r="I1213" s="189" t="s">
        <v>113</v>
      </c>
      <c r="J1213" s="189" t="s">
        <v>108</v>
      </c>
      <c r="K1213" s="189" t="s">
        <v>1792</v>
      </c>
      <c r="L1213" s="189" t="s">
        <v>491</v>
      </c>
      <c r="M1213" s="189" t="s">
        <v>797</v>
      </c>
      <c r="N1213" s="189" t="s">
        <v>1622</v>
      </c>
      <c r="O1213" s="189" t="s">
        <v>278</v>
      </c>
      <c r="P1213" s="189" t="s">
        <v>111</v>
      </c>
      <c r="Q1213" s="189" t="s">
        <v>112</v>
      </c>
      <c r="R1213" s="189" t="s">
        <v>22</v>
      </c>
      <c r="S1213" s="189" t="s">
        <v>120</v>
      </c>
      <c r="T1213" s="189" t="s">
        <v>352</v>
      </c>
      <c r="U1213" s="189" t="s">
        <v>122</v>
      </c>
      <c r="V1213" s="189" t="s">
        <v>123</v>
      </c>
      <c r="W1213" s="189" t="s">
        <v>124</v>
      </c>
      <c r="X1213" s="189" t="s">
        <v>271</v>
      </c>
      <c r="Y1213" s="189" t="s">
        <v>3069</v>
      </c>
      <c r="Z1213" s="0" t="n">
        <v>1</v>
      </c>
      <c r="AA1213" s="189" t="s">
        <v>3118</v>
      </c>
    </row>
    <row r="1214" customFormat="false" ht="15" hidden="false" customHeight="false" outlineLevel="0" collapsed="false">
      <c r="A1214" s="0" t="n">
        <v>258</v>
      </c>
      <c r="B1214" s="191" t="n">
        <v>46213.1139051501</v>
      </c>
      <c r="C1214" s="191" t="n">
        <v>46213.1328287612</v>
      </c>
      <c r="D1214" s="189" t="s">
        <v>1789</v>
      </c>
      <c r="E1214" s="189" t="s">
        <v>1790</v>
      </c>
      <c r="F1214" s="189" t="s">
        <v>1790</v>
      </c>
      <c r="G1214" s="189" t="s">
        <v>1791</v>
      </c>
      <c r="H1214" s="191" t="n">
        <v>46208</v>
      </c>
      <c r="I1214" s="189" t="s">
        <v>113</v>
      </c>
      <c r="J1214" s="189" t="s">
        <v>108</v>
      </c>
      <c r="K1214" s="189" t="s">
        <v>1792</v>
      </c>
      <c r="L1214" s="189" t="s">
        <v>491</v>
      </c>
      <c r="M1214" s="189" t="s">
        <v>797</v>
      </c>
      <c r="N1214" s="189" t="s">
        <v>1622</v>
      </c>
      <c r="O1214" s="189" t="s">
        <v>278</v>
      </c>
      <c r="P1214" s="189" t="s">
        <v>111</v>
      </c>
      <c r="Q1214" s="189" t="s">
        <v>112</v>
      </c>
      <c r="R1214" s="189" t="s">
        <v>22</v>
      </c>
      <c r="S1214" s="189" t="s">
        <v>120</v>
      </c>
      <c r="T1214" s="189" t="s">
        <v>352</v>
      </c>
      <c r="U1214" s="189" t="s">
        <v>122</v>
      </c>
      <c r="V1214" s="189" t="s">
        <v>123</v>
      </c>
      <c r="W1214" s="189" t="s">
        <v>124</v>
      </c>
      <c r="X1214" s="189" t="s">
        <v>271</v>
      </c>
      <c r="Y1214" s="189" t="s">
        <v>3069</v>
      </c>
      <c r="Z1214" s="0" t="n">
        <v>2</v>
      </c>
      <c r="AA1214" s="189" t="s">
        <v>122</v>
      </c>
    </row>
    <row r="1215" customFormat="false" ht="15" hidden="false" customHeight="false" outlineLevel="0" collapsed="false">
      <c r="A1215" s="0" t="n">
        <v>259</v>
      </c>
      <c r="B1215" s="191" t="n">
        <v>46162.964002362</v>
      </c>
      <c r="C1215" s="191" t="n">
        <v>46162.9814444916</v>
      </c>
      <c r="D1215" s="189" t="s">
        <v>1793</v>
      </c>
      <c r="E1215" s="189" t="s">
        <v>1794</v>
      </c>
      <c r="F1215" s="189" t="s">
        <v>1794</v>
      </c>
      <c r="G1215" s="189" t="s">
        <v>1795</v>
      </c>
      <c r="H1215" s="191" t="n">
        <v>46159</v>
      </c>
      <c r="I1215" s="189" t="s">
        <v>1333</v>
      </c>
      <c r="J1215" s="189" t="s">
        <v>108</v>
      </c>
      <c r="K1215" s="189" t="s">
        <v>257</v>
      </c>
      <c r="L1215" s="189" t="s">
        <v>491</v>
      </c>
      <c r="M1215" s="189" t="s">
        <v>515</v>
      </c>
      <c r="N1215" s="189" t="s">
        <v>270</v>
      </c>
      <c r="O1215" s="189" t="s">
        <v>172</v>
      </c>
      <c r="P1215" s="189" t="s">
        <v>111</v>
      </c>
      <c r="Q1215" s="189" t="s">
        <v>247</v>
      </c>
      <c r="R1215" s="189" t="s">
        <v>24</v>
      </c>
      <c r="S1215" s="189" t="s">
        <v>120</v>
      </c>
      <c r="T1215" s="189" t="s">
        <v>121</v>
      </c>
      <c r="U1215" s="189" t="s">
        <v>122</v>
      </c>
      <c r="V1215" s="189" t="s">
        <v>167</v>
      </c>
      <c r="W1215" s="189" t="s">
        <v>168</v>
      </c>
      <c r="X1215" s="189" t="s">
        <v>260</v>
      </c>
      <c r="Y1215" s="189" t="s">
        <v>3064</v>
      </c>
      <c r="Z1215" s="0" t="n">
        <v>1</v>
      </c>
      <c r="AA1215" s="189" t="s">
        <v>3258</v>
      </c>
    </row>
    <row r="1216" customFormat="false" ht="15" hidden="false" customHeight="false" outlineLevel="0" collapsed="false">
      <c r="A1216" s="0" t="n">
        <v>259</v>
      </c>
      <c r="B1216" s="191" t="n">
        <v>46162.964002362</v>
      </c>
      <c r="C1216" s="191" t="n">
        <v>46162.9814444916</v>
      </c>
      <c r="D1216" s="189" t="s">
        <v>1793</v>
      </c>
      <c r="E1216" s="189" t="s">
        <v>1794</v>
      </c>
      <c r="F1216" s="189" t="s">
        <v>1794</v>
      </c>
      <c r="G1216" s="189" t="s">
        <v>1795</v>
      </c>
      <c r="H1216" s="191" t="n">
        <v>46159</v>
      </c>
      <c r="I1216" s="189" t="s">
        <v>1333</v>
      </c>
      <c r="J1216" s="189" t="s">
        <v>108</v>
      </c>
      <c r="K1216" s="189" t="s">
        <v>257</v>
      </c>
      <c r="L1216" s="189" t="s">
        <v>491</v>
      </c>
      <c r="M1216" s="189" t="s">
        <v>515</v>
      </c>
      <c r="N1216" s="189" t="s">
        <v>270</v>
      </c>
      <c r="O1216" s="189" t="s">
        <v>172</v>
      </c>
      <c r="P1216" s="189" t="s">
        <v>111</v>
      </c>
      <c r="Q1216" s="189" t="s">
        <v>247</v>
      </c>
      <c r="R1216" s="189" t="s">
        <v>24</v>
      </c>
      <c r="S1216" s="189" t="s">
        <v>120</v>
      </c>
      <c r="T1216" s="189" t="s">
        <v>121</v>
      </c>
      <c r="U1216" s="189" t="s">
        <v>122</v>
      </c>
      <c r="V1216" s="189" t="s">
        <v>167</v>
      </c>
      <c r="W1216" s="189" t="s">
        <v>168</v>
      </c>
      <c r="X1216" s="189" t="s">
        <v>260</v>
      </c>
      <c r="Y1216" s="189" t="s">
        <v>3066</v>
      </c>
      <c r="Z1216" s="0" t="n">
        <v>1</v>
      </c>
      <c r="AA1216" s="189" t="s">
        <v>3111</v>
      </c>
    </row>
    <row r="1217" customFormat="false" ht="15" hidden="false" customHeight="false" outlineLevel="0" collapsed="false">
      <c r="A1217" s="0" t="n">
        <v>259</v>
      </c>
      <c r="B1217" s="191" t="n">
        <v>46162.964002362</v>
      </c>
      <c r="C1217" s="191" t="n">
        <v>46162.9814444916</v>
      </c>
      <c r="D1217" s="189" t="s">
        <v>1793</v>
      </c>
      <c r="E1217" s="189" t="s">
        <v>1794</v>
      </c>
      <c r="F1217" s="189" t="s">
        <v>1794</v>
      </c>
      <c r="G1217" s="189" t="s">
        <v>1795</v>
      </c>
      <c r="H1217" s="191" t="n">
        <v>46159</v>
      </c>
      <c r="I1217" s="189" t="s">
        <v>1333</v>
      </c>
      <c r="J1217" s="189" t="s">
        <v>108</v>
      </c>
      <c r="K1217" s="189" t="s">
        <v>257</v>
      </c>
      <c r="L1217" s="189" t="s">
        <v>491</v>
      </c>
      <c r="M1217" s="189" t="s">
        <v>515</v>
      </c>
      <c r="N1217" s="189" t="s">
        <v>270</v>
      </c>
      <c r="O1217" s="189" t="s">
        <v>172</v>
      </c>
      <c r="P1217" s="189" t="s">
        <v>111</v>
      </c>
      <c r="Q1217" s="189" t="s">
        <v>247</v>
      </c>
      <c r="R1217" s="189" t="s">
        <v>24</v>
      </c>
      <c r="S1217" s="189" t="s">
        <v>120</v>
      </c>
      <c r="T1217" s="189" t="s">
        <v>121</v>
      </c>
      <c r="U1217" s="189" t="s">
        <v>122</v>
      </c>
      <c r="V1217" s="189" t="s">
        <v>167</v>
      </c>
      <c r="W1217" s="189" t="s">
        <v>168</v>
      </c>
      <c r="X1217" s="189" t="s">
        <v>260</v>
      </c>
      <c r="Y1217" s="189" t="s">
        <v>3069</v>
      </c>
      <c r="Z1217" s="0" t="n">
        <v>1</v>
      </c>
      <c r="AA1217" s="189" t="s">
        <v>606</v>
      </c>
    </row>
    <row r="1218" customFormat="false" ht="15" hidden="false" customHeight="false" outlineLevel="0" collapsed="false">
      <c r="A1218" s="0" t="n">
        <v>260</v>
      </c>
      <c r="B1218" s="191" t="n">
        <v>46101.861832662</v>
      </c>
      <c r="C1218" s="191" t="n">
        <v>46101.8667400694</v>
      </c>
      <c r="D1218" s="189" t="s">
        <v>1797</v>
      </c>
      <c r="E1218" s="189" t="s">
        <v>1798</v>
      </c>
      <c r="F1218" s="189" t="s">
        <v>1798</v>
      </c>
      <c r="G1218" s="189" t="s">
        <v>1799</v>
      </c>
      <c r="H1218" s="191" t="n">
        <v>46081</v>
      </c>
      <c r="I1218" s="189" t="s">
        <v>325</v>
      </c>
      <c r="J1218" s="189" t="s">
        <v>128</v>
      </c>
      <c r="K1218" s="189" t="s">
        <v>196</v>
      </c>
      <c r="L1218" s="189" t="s">
        <v>286</v>
      </c>
      <c r="M1218" s="189" t="s">
        <v>515</v>
      </c>
      <c r="N1218" s="189" t="s">
        <v>407</v>
      </c>
      <c r="O1218" s="189" t="s">
        <v>278</v>
      </c>
      <c r="P1218" s="189" t="s">
        <v>111</v>
      </c>
      <c r="Q1218" s="189" t="s">
        <v>145</v>
      </c>
      <c r="R1218" s="189" t="s">
        <v>22</v>
      </c>
      <c r="S1218" s="189" t="s">
        <v>120</v>
      </c>
      <c r="T1218" s="189" t="s">
        <v>121</v>
      </c>
      <c r="V1218" s="189" t="s">
        <v>167</v>
      </c>
      <c r="W1218" s="189" t="s">
        <v>124</v>
      </c>
      <c r="X1218" s="189" t="s">
        <v>339</v>
      </c>
      <c r="Y1218" s="189" t="s">
        <v>3064</v>
      </c>
      <c r="Z1218" s="0" t="n">
        <v>1</v>
      </c>
      <c r="AA1218" s="189" t="s">
        <v>3168</v>
      </c>
    </row>
    <row r="1219" customFormat="false" ht="15" hidden="false" customHeight="false" outlineLevel="0" collapsed="false">
      <c r="A1219" s="0" t="n">
        <v>260</v>
      </c>
      <c r="B1219" s="191" t="n">
        <v>46101.861832662</v>
      </c>
      <c r="C1219" s="191" t="n">
        <v>46101.8667400694</v>
      </c>
      <c r="D1219" s="189" t="s">
        <v>1797</v>
      </c>
      <c r="E1219" s="189" t="s">
        <v>1798</v>
      </c>
      <c r="F1219" s="189" t="s">
        <v>1798</v>
      </c>
      <c r="G1219" s="189" t="s">
        <v>1799</v>
      </c>
      <c r="H1219" s="191" t="n">
        <v>46081</v>
      </c>
      <c r="I1219" s="189" t="s">
        <v>325</v>
      </c>
      <c r="J1219" s="189" t="s">
        <v>128</v>
      </c>
      <c r="K1219" s="189" t="s">
        <v>196</v>
      </c>
      <c r="L1219" s="189" t="s">
        <v>286</v>
      </c>
      <c r="M1219" s="189" t="s">
        <v>515</v>
      </c>
      <c r="N1219" s="189" t="s">
        <v>407</v>
      </c>
      <c r="O1219" s="189" t="s">
        <v>278</v>
      </c>
      <c r="P1219" s="189" t="s">
        <v>111</v>
      </c>
      <c r="Q1219" s="189" t="s">
        <v>145</v>
      </c>
      <c r="R1219" s="189" t="s">
        <v>22</v>
      </c>
      <c r="S1219" s="189" t="s">
        <v>120</v>
      </c>
      <c r="T1219" s="189" t="s">
        <v>121</v>
      </c>
      <c r="V1219" s="189" t="s">
        <v>167</v>
      </c>
      <c r="W1219" s="189" t="s">
        <v>124</v>
      </c>
      <c r="X1219" s="189" t="s">
        <v>339</v>
      </c>
      <c r="Y1219" s="189" t="s">
        <v>3064</v>
      </c>
      <c r="Z1219" s="0" t="n">
        <v>2</v>
      </c>
      <c r="AA1219" s="189" t="s">
        <v>3169</v>
      </c>
    </row>
    <row r="1220" customFormat="false" ht="15" hidden="false" customHeight="false" outlineLevel="0" collapsed="false">
      <c r="A1220" s="0" t="n">
        <v>260</v>
      </c>
      <c r="B1220" s="191" t="n">
        <v>46101.861832662</v>
      </c>
      <c r="C1220" s="191" t="n">
        <v>46101.8667400694</v>
      </c>
      <c r="D1220" s="189" t="s">
        <v>1797</v>
      </c>
      <c r="E1220" s="189" t="s">
        <v>1798</v>
      </c>
      <c r="F1220" s="189" t="s">
        <v>1798</v>
      </c>
      <c r="G1220" s="189" t="s">
        <v>1799</v>
      </c>
      <c r="H1220" s="191" t="n">
        <v>46081</v>
      </c>
      <c r="I1220" s="189" t="s">
        <v>325</v>
      </c>
      <c r="J1220" s="189" t="s">
        <v>128</v>
      </c>
      <c r="K1220" s="189" t="s">
        <v>196</v>
      </c>
      <c r="L1220" s="189" t="s">
        <v>286</v>
      </c>
      <c r="M1220" s="189" t="s">
        <v>515</v>
      </c>
      <c r="N1220" s="189" t="s">
        <v>407</v>
      </c>
      <c r="O1220" s="189" t="s">
        <v>278</v>
      </c>
      <c r="P1220" s="189" t="s">
        <v>111</v>
      </c>
      <c r="Q1220" s="189" t="s">
        <v>145</v>
      </c>
      <c r="R1220" s="189" t="s">
        <v>22</v>
      </c>
      <c r="S1220" s="189" t="s">
        <v>120</v>
      </c>
      <c r="T1220" s="189" t="s">
        <v>121</v>
      </c>
      <c r="V1220" s="189" t="s">
        <v>167</v>
      </c>
      <c r="W1220" s="189" t="s">
        <v>124</v>
      </c>
      <c r="X1220" s="189" t="s">
        <v>339</v>
      </c>
      <c r="Y1220" s="189" t="s">
        <v>3064</v>
      </c>
      <c r="Z1220" s="0" t="n">
        <v>3</v>
      </c>
      <c r="AA1220" s="189" t="s">
        <v>3198</v>
      </c>
    </row>
    <row r="1221" customFormat="false" ht="15" hidden="false" customHeight="false" outlineLevel="0" collapsed="false">
      <c r="A1221" s="0" t="n">
        <v>260</v>
      </c>
      <c r="B1221" s="191" t="n">
        <v>46101.861832662</v>
      </c>
      <c r="C1221" s="191" t="n">
        <v>46101.8667400694</v>
      </c>
      <c r="D1221" s="189" t="s">
        <v>1797</v>
      </c>
      <c r="E1221" s="189" t="s">
        <v>1798</v>
      </c>
      <c r="F1221" s="189" t="s">
        <v>1798</v>
      </c>
      <c r="G1221" s="189" t="s">
        <v>1799</v>
      </c>
      <c r="H1221" s="191" t="n">
        <v>46081</v>
      </c>
      <c r="I1221" s="189" t="s">
        <v>325</v>
      </c>
      <c r="J1221" s="189" t="s">
        <v>128</v>
      </c>
      <c r="K1221" s="189" t="s">
        <v>196</v>
      </c>
      <c r="L1221" s="189" t="s">
        <v>286</v>
      </c>
      <c r="M1221" s="189" t="s">
        <v>515</v>
      </c>
      <c r="N1221" s="189" t="s">
        <v>407</v>
      </c>
      <c r="O1221" s="189" t="s">
        <v>278</v>
      </c>
      <c r="P1221" s="189" t="s">
        <v>111</v>
      </c>
      <c r="Q1221" s="189" t="s">
        <v>145</v>
      </c>
      <c r="R1221" s="189" t="s">
        <v>22</v>
      </c>
      <c r="S1221" s="189" t="s">
        <v>120</v>
      </c>
      <c r="T1221" s="189" t="s">
        <v>121</v>
      </c>
      <c r="V1221" s="189" t="s">
        <v>167</v>
      </c>
      <c r="W1221" s="189" t="s">
        <v>124</v>
      </c>
      <c r="X1221" s="189" t="s">
        <v>339</v>
      </c>
      <c r="Y1221" s="189" t="s">
        <v>3066</v>
      </c>
      <c r="Z1221" s="0" t="n">
        <v>1</v>
      </c>
      <c r="AA1221" s="189" t="s">
        <v>3260</v>
      </c>
    </row>
    <row r="1222" customFormat="false" ht="15" hidden="false" customHeight="false" outlineLevel="0" collapsed="false">
      <c r="A1222" s="0" t="n">
        <v>260</v>
      </c>
      <c r="B1222" s="191" t="n">
        <v>46101.861832662</v>
      </c>
      <c r="C1222" s="191" t="n">
        <v>46101.8667400694</v>
      </c>
      <c r="D1222" s="189" t="s">
        <v>1797</v>
      </c>
      <c r="E1222" s="189" t="s">
        <v>1798</v>
      </c>
      <c r="F1222" s="189" t="s">
        <v>1798</v>
      </c>
      <c r="G1222" s="189" t="s">
        <v>1799</v>
      </c>
      <c r="H1222" s="191" t="n">
        <v>46081</v>
      </c>
      <c r="I1222" s="189" t="s">
        <v>325</v>
      </c>
      <c r="J1222" s="189" t="s">
        <v>128</v>
      </c>
      <c r="K1222" s="189" t="s">
        <v>196</v>
      </c>
      <c r="L1222" s="189" t="s">
        <v>286</v>
      </c>
      <c r="M1222" s="189" t="s">
        <v>515</v>
      </c>
      <c r="N1222" s="189" t="s">
        <v>407</v>
      </c>
      <c r="O1222" s="189" t="s">
        <v>278</v>
      </c>
      <c r="P1222" s="189" t="s">
        <v>111</v>
      </c>
      <c r="Q1222" s="189" t="s">
        <v>145</v>
      </c>
      <c r="R1222" s="189" t="s">
        <v>22</v>
      </c>
      <c r="S1222" s="189" t="s">
        <v>120</v>
      </c>
      <c r="T1222" s="189" t="s">
        <v>121</v>
      </c>
      <c r="V1222" s="189" t="s">
        <v>167</v>
      </c>
      <c r="W1222" s="189" t="s">
        <v>124</v>
      </c>
      <c r="X1222" s="189" t="s">
        <v>339</v>
      </c>
      <c r="Y1222" s="189" t="s">
        <v>3066</v>
      </c>
      <c r="Z1222" s="0" t="n">
        <v>2</v>
      </c>
      <c r="AA1222" s="189" t="s">
        <v>122</v>
      </c>
    </row>
    <row r="1223" customFormat="false" ht="15" hidden="false" customHeight="false" outlineLevel="0" collapsed="false">
      <c r="A1223" s="0" t="n">
        <v>260</v>
      </c>
      <c r="B1223" s="191" t="n">
        <v>46101.861832662</v>
      </c>
      <c r="C1223" s="191" t="n">
        <v>46101.8667400694</v>
      </c>
      <c r="D1223" s="189" t="s">
        <v>1797</v>
      </c>
      <c r="E1223" s="189" t="s">
        <v>1798</v>
      </c>
      <c r="F1223" s="189" t="s">
        <v>1798</v>
      </c>
      <c r="G1223" s="189" t="s">
        <v>1799</v>
      </c>
      <c r="H1223" s="191" t="n">
        <v>46081</v>
      </c>
      <c r="I1223" s="189" t="s">
        <v>325</v>
      </c>
      <c r="J1223" s="189" t="s">
        <v>128</v>
      </c>
      <c r="K1223" s="189" t="s">
        <v>196</v>
      </c>
      <c r="L1223" s="189" t="s">
        <v>286</v>
      </c>
      <c r="M1223" s="189" t="s">
        <v>515</v>
      </c>
      <c r="N1223" s="189" t="s">
        <v>407</v>
      </c>
      <c r="O1223" s="189" t="s">
        <v>278</v>
      </c>
      <c r="P1223" s="189" t="s">
        <v>111</v>
      </c>
      <c r="Q1223" s="189" t="s">
        <v>145</v>
      </c>
      <c r="R1223" s="189" t="s">
        <v>22</v>
      </c>
      <c r="S1223" s="189" t="s">
        <v>120</v>
      </c>
      <c r="T1223" s="189" t="s">
        <v>121</v>
      </c>
      <c r="V1223" s="189" t="s">
        <v>167</v>
      </c>
      <c r="W1223" s="189" t="s">
        <v>124</v>
      </c>
      <c r="X1223" s="189" t="s">
        <v>339</v>
      </c>
      <c r="Y1223" s="189" t="s">
        <v>3069</v>
      </c>
      <c r="Z1223" s="0" t="n">
        <v>1</v>
      </c>
      <c r="AA1223" s="189" t="s">
        <v>122</v>
      </c>
    </row>
    <row r="1224" customFormat="false" ht="15" hidden="false" customHeight="false" outlineLevel="0" collapsed="false">
      <c r="A1224" s="0" t="n">
        <v>260</v>
      </c>
      <c r="B1224" s="191" t="n">
        <v>46101.861832662</v>
      </c>
      <c r="C1224" s="191" t="n">
        <v>46101.8667400694</v>
      </c>
      <c r="D1224" s="189" t="s">
        <v>1797</v>
      </c>
      <c r="E1224" s="189" t="s">
        <v>1798</v>
      </c>
      <c r="F1224" s="189" t="s">
        <v>1798</v>
      </c>
      <c r="G1224" s="189" t="s">
        <v>1799</v>
      </c>
      <c r="H1224" s="191" t="n">
        <v>46081</v>
      </c>
      <c r="I1224" s="189" t="s">
        <v>325</v>
      </c>
      <c r="J1224" s="189" t="s">
        <v>128</v>
      </c>
      <c r="K1224" s="189" t="s">
        <v>196</v>
      </c>
      <c r="L1224" s="189" t="s">
        <v>286</v>
      </c>
      <c r="M1224" s="189" t="s">
        <v>515</v>
      </c>
      <c r="N1224" s="189" t="s">
        <v>407</v>
      </c>
      <c r="O1224" s="189" t="s">
        <v>278</v>
      </c>
      <c r="P1224" s="189" t="s">
        <v>111</v>
      </c>
      <c r="Q1224" s="189" t="s">
        <v>145</v>
      </c>
      <c r="R1224" s="189" t="s">
        <v>22</v>
      </c>
      <c r="S1224" s="189" t="s">
        <v>120</v>
      </c>
      <c r="T1224" s="189" t="s">
        <v>121</v>
      </c>
      <c r="V1224" s="189" t="s">
        <v>167</v>
      </c>
      <c r="W1224" s="189" t="s">
        <v>124</v>
      </c>
      <c r="X1224" s="189" t="s">
        <v>339</v>
      </c>
      <c r="Y1224" s="189" t="s">
        <v>3069</v>
      </c>
      <c r="Z1224" s="0" t="n">
        <v>2</v>
      </c>
      <c r="AA1224" s="189" t="s">
        <v>3144</v>
      </c>
    </row>
    <row r="1225" customFormat="false" ht="15" hidden="false" customHeight="false" outlineLevel="0" collapsed="false">
      <c r="A1225" s="0" t="n">
        <v>261</v>
      </c>
      <c r="B1225" s="191" t="n">
        <v>46175.1642020994</v>
      </c>
      <c r="C1225" s="191" t="n">
        <v>46175.1711465438</v>
      </c>
      <c r="D1225" s="189" t="s">
        <v>1802</v>
      </c>
      <c r="E1225" s="189" t="s">
        <v>1803</v>
      </c>
      <c r="F1225" s="189" t="s">
        <v>1803</v>
      </c>
      <c r="G1225" s="189" t="s">
        <v>1804</v>
      </c>
      <c r="H1225" s="191" t="n">
        <v>46162</v>
      </c>
      <c r="I1225" s="189" t="s">
        <v>113</v>
      </c>
      <c r="J1225" s="189" t="s">
        <v>108</v>
      </c>
      <c r="K1225" s="189" t="s">
        <v>257</v>
      </c>
      <c r="L1225" s="189" t="s">
        <v>346</v>
      </c>
      <c r="M1225" s="189" t="s">
        <v>130</v>
      </c>
      <c r="N1225" s="189" t="s">
        <v>606</v>
      </c>
      <c r="O1225" s="189" t="s">
        <v>157</v>
      </c>
      <c r="P1225" s="189" t="s">
        <v>111</v>
      </c>
      <c r="Q1225" s="189" t="s">
        <v>112</v>
      </c>
      <c r="R1225" s="189" t="s">
        <v>22</v>
      </c>
      <c r="S1225" s="189" t="s">
        <v>152</v>
      </c>
      <c r="T1225" s="189" t="s">
        <v>121</v>
      </c>
      <c r="V1225" s="189" t="s">
        <v>123</v>
      </c>
      <c r="W1225" s="189" t="s">
        <v>124</v>
      </c>
      <c r="X1225" s="189" t="s">
        <v>135</v>
      </c>
      <c r="Y1225" s="189" t="s">
        <v>3064</v>
      </c>
      <c r="Z1225" s="0" t="n">
        <v>1</v>
      </c>
      <c r="AA1225" s="189" t="s">
        <v>3201</v>
      </c>
    </row>
    <row r="1226" customFormat="false" ht="15" hidden="false" customHeight="false" outlineLevel="0" collapsed="false">
      <c r="A1226" s="0" t="n">
        <v>261</v>
      </c>
      <c r="B1226" s="191" t="n">
        <v>46175.1642020994</v>
      </c>
      <c r="C1226" s="191" t="n">
        <v>46175.1711465438</v>
      </c>
      <c r="D1226" s="189" t="s">
        <v>1802</v>
      </c>
      <c r="E1226" s="189" t="s">
        <v>1803</v>
      </c>
      <c r="F1226" s="189" t="s">
        <v>1803</v>
      </c>
      <c r="G1226" s="189" t="s">
        <v>1804</v>
      </c>
      <c r="H1226" s="191" t="n">
        <v>46162</v>
      </c>
      <c r="I1226" s="189" t="s">
        <v>113</v>
      </c>
      <c r="J1226" s="189" t="s">
        <v>108</v>
      </c>
      <c r="K1226" s="189" t="s">
        <v>257</v>
      </c>
      <c r="L1226" s="189" t="s">
        <v>346</v>
      </c>
      <c r="M1226" s="189" t="s">
        <v>130</v>
      </c>
      <c r="N1226" s="189" t="s">
        <v>606</v>
      </c>
      <c r="O1226" s="189" t="s">
        <v>157</v>
      </c>
      <c r="P1226" s="189" t="s">
        <v>111</v>
      </c>
      <c r="Q1226" s="189" t="s">
        <v>112</v>
      </c>
      <c r="R1226" s="189" t="s">
        <v>22</v>
      </c>
      <c r="S1226" s="189" t="s">
        <v>152</v>
      </c>
      <c r="T1226" s="189" t="s">
        <v>121</v>
      </c>
      <c r="V1226" s="189" t="s">
        <v>123</v>
      </c>
      <c r="W1226" s="189" t="s">
        <v>124</v>
      </c>
      <c r="X1226" s="189" t="s">
        <v>135</v>
      </c>
      <c r="Y1226" s="189" t="s">
        <v>3064</v>
      </c>
      <c r="Z1226" s="0" t="n">
        <v>2</v>
      </c>
      <c r="AA1226" s="189" t="s">
        <v>3202</v>
      </c>
    </row>
    <row r="1227" customFormat="false" ht="15" hidden="false" customHeight="false" outlineLevel="0" collapsed="false">
      <c r="A1227" s="0" t="n">
        <v>261</v>
      </c>
      <c r="B1227" s="191" t="n">
        <v>46175.1642020994</v>
      </c>
      <c r="C1227" s="191" t="n">
        <v>46175.1711465438</v>
      </c>
      <c r="D1227" s="189" t="s">
        <v>1802</v>
      </c>
      <c r="E1227" s="189" t="s">
        <v>1803</v>
      </c>
      <c r="F1227" s="189" t="s">
        <v>1803</v>
      </c>
      <c r="G1227" s="189" t="s">
        <v>1804</v>
      </c>
      <c r="H1227" s="191" t="n">
        <v>46162</v>
      </c>
      <c r="I1227" s="189" t="s">
        <v>113</v>
      </c>
      <c r="J1227" s="189" t="s">
        <v>108</v>
      </c>
      <c r="K1227" s="189" t="s">
        <v>257</v>
      </c>
      <c r="L1227" s="189" t="s">
        <v>346</v>
      </c>
      <c r="M1227" s="189" t="s">
        <v>130</v>
      </c>
      <c r="N1227" s="189" t="s">
        <v>606</v>
      </c>
      <c r="O1227" s="189" t="s">
        <v>157</v>
      </c>
      <c r="P1227" s="189" t="s">
        <v>111</v>
      </c>
      <c r="Q1227" s="189" t="s">
        <v>112</v>
      </c>
      <c r="R1227" s="189" t="s">
        <v>22</v>
      </c>
      <c r="S1227" s="189" t="s">
        <v>152</v>
      </c>
      <c r="T1227" s="189" t="s">
        <v>121</v>
      </c>
      <c r="V1227" s="189" t="s">
        <v>123</v>
      </c>
      <c r="W1227" s="189" t="s">
        <v>124</v>
      </c>
      <c r="X1227" s="189" t="s">
        <v>135</v>
      </c>
      <c r="Y1227" s="189" t="s">
        <v>3066</v>
      </c>
      <c r="Z1227" s="0" t="n">
        <v>1</v>
      </c>
      <c r="AA1227" s="189" t="s">
        <v>3184</v>
      </c>
    </row>
    <row r="1228" customFormat="false" ht="15" hidden="false" customHeight="false" outlineLevel="0" collapsed="false">
      <c r="A1228" s="0" t="n">
        <v>261</v>
      </c>
      <c r="B1228" s="191" t="n">
        <v>46175.1642020994</v>
      </c>
      <c r="C1228" s="191" t="n">
        <v>46175.1711465438</v>
      </c>
      <c r="D1228" s="189" t="s">
        <v>1802</v>
      </c>
      <c r="E1228" s="189" t="s">
        <v>1803</v>
      </c>
      <c r="F1228" s="189" t="s">
        <v>1803</v>
      </c>
      <c r="G1228" s="189" t="s">
        <v>1804</v>
      </c>
      <c r="H1228" s="191" t="n">
        <v>46162</v>
      </c>
      <c r="I1228" s="189" t="s">
        <v>113</v>
      </c>
      <c r="J1228" s="189" t="s">
        <v>108</v>
      </c>
      <c r="K1228" s="189" t="s">
        <v>257</v>
      </c>
      <c r="L1228" s="189" t="s">
        <v>346</v>
      </c>
      <c r="M1228" s="189" t="s">
        <v>130</v>
      </c>
      <c r="N1228" s="189" t="s">
        <v>606</v>
      </c>
      <c r="O1228" s="189" t="s">
        <v>157</v>
      </c>
      <c r="P1228" s="189" t="s">
        <v>111</v>
      </c>
      <c r="Q1228" s="189" t="s">
        <v>112</v>
      </c>
      <c r="R1228" s="189" t="s">
        <v>22</v>
      </c>
      <c r="S1228" s="189" t="s">
        <v>152</v>
      </c>
      <c r="T1228" s="189" t="s">
        <v>121</v>
      </c>
      <c r="V1228" s="189" t="s">
        <v>123</v>
      </c>
      <c r="W1228" s="189" t="s">
        <v>124</v>
      </c>
      <c r="X1228" s="189" t="s">
        <v>135</v>
      </c>
      <c r="Y1228" s="189" t="s">
        <v>3066</v>
      </c>
      <c r="Z1228" s="0" t="n">
        <v>2</v>
      </c>
      <c r="AA1228" s="189" t="s">
        <v>3278</v>
      </c>
    </row>
    <row r="1229" customFormat="false" ht="15" hidden="false" customHeight="false" outlineLevel="0" collapsed="false">
      <c r="A1229" s="0" t="n">
        <v>261</v>
      </c>
      <c r="B1229" s="191" t="n">
        <v>46175.1642020994</v>
      </c>
      <c r="C1229" s="191" t="n">
        <v>46175.1711465438</v>
      </c>
      <c r="D1229" s="189" t="s">
        <v>1802</v>
      </c>
      <c r="E1229" s="189" t="s">
        <v>1803</v>
      </c>
      <c r="F1229" s="189" t="s">
        <v>1803</v>
      </c>
      <c r="G1229" s="189" t="s">
        <v>1804</v>
      </c>
      <c r="H1229" s="191" t="n">
        <v>46162</v>
      </c>
      <c r="I1229" s="189" t="s">
        <v>113</v>
      </c>
      <c r="J1229" s="189" t="s">
        <v>108</v>
      </c>
      <c r="K1229" s="189" t="s">
        <v>257</v>
      </c>
      <c r="L1229" s="189" t="s">
        <v>346</v>
      </c>
      <c r="M1229" s="189" t="s">
        <v>130</v>
      </c>
      <c r="N1229" s="189" t="s">
        <v>606</v>
      </c>
      <c r="O1229" s="189" t="s">
        <v>157</v>
      </c>
      <c r="P1229" s="189" t="s">
        <v>111</v>
      </c>
      <c r="Q1229" s="189" t="s">
        <v>112</v>
      </c>
      <c r="R1229" s="189" t="s">
        <v>22</v>
      </c>
      <c r="S1229" s="189" t="s">
        <v>152</v>
      </c>
      <c r="T1229" s="189" t="s">
        <v>121</v>
      </c>
      <c r="V1229" s="189" t="s">
        <v>123</v>
      </c>
      <c r="W1229" s="189" t="s">
        <v>124</v>
      </c>
      <c r="X1229" s="189" t="s">
        <v>135</v>
      </c>
      <c r="Y1229" s="189" t="s">
        <v>3069</v>
      </c>
      <c r="Z1229" s="0" t="n">
        <v>1</v>
      </c>
      <c r="AA1229" s="189" t="s">
        <v>122</v>
      </c>
    </row>
    <row r="1230" customFormat="false" ht="15" hidden="false" customHeight="false" outlineLevel="0" collapsed="false">
      <c r="A1230" s="0" t="n">
        <v>261</v>
      </c>
      <c r="B1230" s="191" t="n">
        <v>46175.1642020994</v>
      </c>
      <c r="C1230" s="191" t="n">
        <v>46175.1711465438</v>
      </c>
      <c r="D1230" s="189" t="s">
        <v>1802</v>
      </c>
      <c r="E1230" s="189" t="s">
        <v>1803</v>
      </c>
      <c r="F1230" s="189" t="s">
        <v>1803</v>
      </c>
      <c r="G1230" s="189" t="s">
        <v>1804</v>
      </c>
      <c r="H1230" s="191" t="n">
        <v>46162</v>
      </c>
      <c r="I1230" s="189" t="s">
        <v>113</v>
      </c>
      <c r="J1230" s="189" t="s">
        <v>108</v>
      </c>
      <c r="K1230" s="189" t="s">
        <v>257</v>
      </c>
      <c r="L1230" s="189" t="s">
        <v>346</v>
      </c>
      <c r="M1230" s="189" t="s">
        <v>130</v>
      </c>
      <c r="N1230" s="189" t="s">
        <v>606</v>
      </c>
      <c r="O1230" s="189" t="s">
        <v>157</v>
      </c>
      <c r="P1230" s="189" t="s">
        <v>111</v>
      </c>
      <c r="Q1230" s="189" t="s">
        <v>112</v>
      </c>
      <c r="R1230" s="189" t="s">
        <v>22</v>
      </c>
      <c r="S1230" s="189" t="s">
        <v>152</v>
      </c>
      <c r="T1230" s="189" t="s">
        <v>121</v>
      </c>
      <c r="V1230" s="189" t="s">
        <v>123</v>
      </c>
      <c r="W1230" s="189" t="s">
        <v>124</v>
      </c>
      <c r="X1230" s="189" t="s">
        <v>135</v>
      </c>
      <c r="Y1230" s="189" t="s">
        <v>3069</v>
      </c>
      <c r="Z1230" s="0" t="n">
        <v>2</v>
      </c>
      <c r="AA1230" s="189" t="s">
        <v>3212</v>
      </c>
    </row>
    <row r="1231" customFormat="false" ht="15" hidden="false" customHeight="false" outlineLevel="0" collapsed="false">
      <c r="A1231" s="0" t="n">
        <v>262</v>
      </c>
      <c r="B1231" s="191" t="n">
        <v>46093.984045513</v>
      </c>
      <c r="C1231" s="191" t="n">
        <v>46093.9973209759</v>
      </c>
      <c r="D1231" s="189" t="s">
        <v>1808</v>
      </c>
      <c r="E1231" s="189" t="s">
        <v>1809</v>
      </c>
      <c r="F1231" s="189" t="s">
        <v>1809</v>
      </c>
      <c r="G1231" s="189" t="s">
        <v>1810</v>
      </c>
      <c r="H1231" s="191" t="n">
        <v>46091</v>
      </c>
      <c r="I1231" s="189" t="s">
        <v>113</v>
      </c>
      <c r="J1231" s="189" t="s">
        <v>128</v>
      </c>
      <c r="K1231" s="189" t="s">
        <v>1811</v>
      </c>
      <c r="L1231" s="189" t="s">
        <v>110</v>
      </c>
      <c r="M1231" s="189" t="s">
        <v>594</v>
      </c>
      <c r="N1231" s="189" t="s">
        <v>905</v>
      </c>
      <c r="O1231" s="189" t="s">
        <v>278</v>
      </c>
      <c r="P1231" s="189" t="s">
        <v>111</v>
      </c>
      <c r="Q1231" s="189" t="s">
        <v>112</v>
      </c>
      <c r="R1231" s="189" t="s">
        <v>22</v>
      </c>
      <c r="S1231" s="189" t="s">
        <v>152</v>
      </c>
      <c r="T1231" s="189" t="s">
        <v>121</v>
      </c>
      <c r="U1231" s="189" t="s">
        <v>1813</v>
      </c>
      <c r="V1231" s="189" t="s">
        <v>167</v>
      </c>
      <c r="W1231" s="189" t="s">
        <v>168</v>
      </c>
      <c r="X1231" s="189" t="s">
        <v>715</v>
      </c>
      <c r="Y1231" s="189" t="s">
        <v>3064</v>
      </c>
      <c r="Z1231" s="0" t="n">
        <v>1</v>
      </c>
      <c r="AA1231" s="189" t="s">
        <v>3224</v>
      </c>
    </row>
    <row r="1232" customFormat="false" ht="15" hidden="false" customHeight="false" outlineLevel="0" collapsed="false">
      <c r="A1232" s="0" t="n">
        <v>262</v>
      </c>
      <c r="B1232" s="191" t="n">
        <v>46093.984045513</v>
      </c>
      <c r="C1232" s="191" t="n">
        <v>46093.9973209759</v>
      </c>
      <c r="D1232" s="189" t="s">
        <v>1808</v>
      </c>
      <c r="E1232" s="189" t="s">
        <v>1809</v>
      </c>
      <c r="F1232" s="189" t="s">
        <v>1809</v>
      </c>
      <c r="G1232" s="189" t="s">
        <v>1810</v>
      </c>
      <c r="H1232" s="191" t="n">
        <v>46091</v>
      </c>
      <c r="I1232" s="189" t="s">
        <v>113</v>
      </c>
      <c r="J1232" s="189" t="s">
        <v>128</v>
      </c>
      <c r="K1232" s="189" t="s">
        <v>1811</v>
      </c>
      <c r="L1232" s="189" t="s">
        <v>110</v>
      </c>
      <c r="M1232" s="189" t="s">
        <v>594</v>
      </c>
      <c r="N1232" s="189" t="s">
        <v>905</v>
      </c>
      <c r="O1232" s="189" t="s">
        <v>278</v>
      </c>
      <c r="P1232" s="189" t="s">
        <v>111</v>
      </c>
      <c r="Q1232" s="189" t="s">
        <v>112</v>
      </c>
      <c r="R1232" s="189" t="s">
        <v>22</v>
      </c>
      <c r="S1232" s="189" t="s">
        <v>152</v>
      </c>
      <c r="T1232" s="189" t="s">
        <v>121</v>
      </c>
      <c r="U1232" s="189" t="s">
        <v>1813</v>
      </c>
      <c r="V1232" s="189" t="s">
        <v>167</v>
      </c>
      <c r="W1232" s="189" t="s">
        <v>168</v>
      </c>
      <c r="X1232" s="189" t="s">
        <v>715</v>
      </c>
      <c r="Y1232" s="189" t="s">
        <v>3066</v>
      </c>
      <c r="Z1232" s="0" t="n">
        <v>1</v>
      </c>
      <c r="AA1232" s="189" t="s">
        <v>2531</v>
      </c>
    </row>
    <row r="1233" customFormat="false" ht="15" hidden="false" customHeight="false" outlineLevel="0" collapsed="false">
      <c r="A1233" s="0" t="n">
        <v>262</v>
      </c>
      <c r="B1233" s="191" t="n">
        <v>46093.984045513</v>
      </c>
      <c r="C1233" s="191" t="n">
        <v>46093.9973209759</v>
      </c>
      <c r="D1233" s="189" t="s">
        <v>1808</v>
      </c>
      <c r="E1233" s="189" t="s">
        <v>1809</v>
      </c>
      <c r="F1233" s="189" t="s">
        <v>1809</v>
      </c>
      <c r="G1233" s="189" t="s">
        <v>1810</v>
      </c>
      <c r="H1233" s="191" t="n">
        <v>46091</v>
      </c>
      <c r="I1233" s="189" t="s">
        <v>113</v>
      </c>
      <c r="J1233" s="189" t="s">
        <v>128</v>
      </c>
      <c r="K1233" s="189" t="s">
        <v>1811</v>
      </c>
      <c r="L1233" s="189" t="s">
        <v>110</v>
      </c>
      <c r="M1233" s="189" t="s">
        <v>594</v>
      </c>
      <c r="N1233" s="189" t="s">
        <v>905</v>
      </c>
      <c r="O1233" s="189" t="s">
        <v>278</v>
      </c>
      <c r="P1233" s="189" t="s">
        <v>111</v>
      </c>
      <c r="Q1233" s="189" t="s">
        <v>112</v>
      </c>
      <c r="R1233" s="189" t="s">
        <v>22</v>
      </c>
      <c r="S1233" s="189" t="s">
        <v>152</v>
      </c>
      <c r="T1233" s="189" t="s">
        <v>121</v>
      </c>
      <c r="U1233" s="189" t="s">
        <v>1813</v>
      </c>
      <c r="V1233" s="189" t="s">
        <v>167</v>
      </c>
      <c r="W1233" s="189" t="s">
        <v>168</v>
      </c>
      <c r="X1233" s="189" t="s">
        <v>715</v>
      </c>
      <c r="Y1233" s="189" t="s">
        <v>3069</v>
      </c>
      <c r="Z1233" s="0" t="n">
        <v>1</v>
      </c>
      <c r="AA1233" s="189" t="s">
        <v>3253</v>
      </c>
    </row>
    <row r="1234" customFormat="false" ht="15" hidden="false" customHeight="false" outlineLevel="0" collapsed="false">
      <c r="A1234" s="0" t="n">
        <v>262</v>
      </c>
      <c r="B1234" s="191" t="n">
        <v>46093.984045513</v>
      </c>
      <c r="C1234" s="191" t="n">
        <v>46093.9973209759</v>
      </c>
      <c r="D1234" s="189" t="s">
        <v>1808</v>
      </c>
      <c r="E1234" s="189" t="s">
        <v>1809</v>
      </c>
      <c r="F1234" s="189" t="s">
        <v>1809</v>
      </c>
      <c r="G1234" s="189" t="s">
        <v>1810</v>
      </c>
      <c r="H1234" s="191" t="n">
        <v>46091</v>
      </c>
      <c r="I1234" s="189" t="s">
        <v>113</v>
      </c>
      <c r="J1234" s="189" t="s">
        <v>128</v>
      </c>
      <c r="K1234" s="189" t="s">
        <v>1811</v>
      </c>
      <c r="L1234" s="189" t="s">
        <v>110</v>
      </c>
      <c r="M1234" s="189" t="s">
        <v>594</v>
      </c>
      <c r="N1234" s="189" t="s">
        <v>905</v>
      </c>
      <c r="O1234" s="189" t="s">
        <v>278</v>
      </c>
      <c r="P1234" s="189" t="s">
        <v>111</v>
      </c>
      <c r="Q1234" s="189" t="s">
        <v>112</v>
      </c>
      <c r="R1234" s="189" t="s">
        <v>22</v>
      </c>
      <c r="S1234" s="189" t="s">
        <v>152</v>
      </c>
      <c r="T1234" s="189" t="s">
        <v>121</v>
      </c>
      <c r="U1234" s="189" t="s">
        <v>1813</v>
      </c>
      <c r="V1234" s="189" t="s">
        <v>167</v>
      </c>
      <c r="W1234" s="189" t="s">
        <v>168</v>
      </c>
      <c r="X1234" s="189" t="s">
        <v>715</v>
      </c>
      <c r="Y1234" s="189" t="s">
        <v>3069</v>
      </c>
      <c r="Z1234" s="0" t="n">
        <v>2</v>
      </c>
      <c r="AA1234" s="189" t="s">
        <v>3229</v>
      </c>
    </row>
    <row r="1235" customFormat="false" ht="15" hidden="false" customHeight="false" outlineLevel="0" collapsed="false">
      <c r="A1235" s="0" t="n">
        <v>263</v>
      </c>
      <c r="B1235" s="191" t="n">
        <v>46048.6846316379</v>
      </c>
      <c r="C1235" s="191" t="n">
        <v>46048.6895506194</v>
      </c>
      <c r="D1235" s="189" t="s">
        <v>1814</v>
      </c>
      <c r="E1235" s="189" t="s">
        <v>1815</v>
      </c>
      <c r="F1235" s="189" t="s">
        <v>1815</v>
      </c>
      <c r="G1235" s="189" t="s">
        <v>1816</v>
      </c>
      <c r="H1235" s="191" t="n">
        <v>46042</v>
      </c>
      <c r="I1235" s="189" t="s">
        <v>132</v>
      </c>
      <c r="J1235" s="189" t="s">
        <v>108</v>
      </c>
      <c r="K1235" s="189" t="s">
        <v>196</v>
      </c>
      <c r="L1235" s="189" t="s">
        <v>296</v>
      </c>
      <c r="M1235" s="189" t="s">
        <v>1074</v>
      </c>
      <c r="N1235" s="189" t="s">
        <v>552</v>
      </c>
      <c r="O1235" s="189" t="s">
        <v>172</v>
      </c>
      <c r="P1235" s="189" t="s">
        <v>111</v>
      </c>
      <c r="Q1235" s="189" t="s">
        <v>112</v>
      </c>
      <c r="R1235" s="189" t="s">
        <v>24</v>
      </c>
      <c r="S1235" s="189" t="s">
        <v>152</v>
      </c>
      <c r="T1235" s="189" t="s">
        <v>352</v>
      </c>
      <c r="U1235" s="189" t="s">
        <v>122</v>
      </c>
      <c r="V1235" s="189" t="s">
        <v>123</v>
      </c>
      <c r="W1235" s="189" t="s">
        <v>124</v>
      </c>
      <c r="X1235" s="189" t="s">
        <v>214</v>
      </c>
      <c r="Y1235" s="189" t="s">
        <v>3064</v>
      </c>
      <c r="Z1235" s="0" t="n">
        <v>1</v>
      </c>
      <c r="AA1235" s="189" t="s">
        <v>3095</v>
      </c>
    </row>
    <row r="1236" customFormat="false" ht="15" hidden="false" customHeight="false" outlineLevel="0" collapsed="false">
      <c r="A1236" s="0" t="n">
        <v>263</v>
      </c>
      <c r="B1236" s="191" t="n">
        <v>46048.6846316379</v>
      </c>
      <c r="C1236" s="191" t="n">
        <v>46048.6895506194</v>
      </c>
      <c r="D1236" s="189" t="s">
        <v>1814</v>
      </c>
      <c r="E1236" s="189" t="s">
        <v>1815</v>
      </c>
      <c r="F1236" s="189" t="s">
        <v>1815</v>
      </c>
      <c r="G1236" s="189" t="s">
        <v>1816</v>
      </c>
      <c r="H1236" s="191" t="n">
        <v>46042</v>
      </c>
      <c r="I1236" s="189" t="s">
        <v>132</v>
      </c>
      <c r="J1236" s="189" t="s">
        <v>108</v>
      </c>
      <c r="K1236" s="189" t="s">
        <v>196</v>
      </c>
      <c r="L1236" s="189" t="s">
        <v>296</v>
      </c>
      <c r="M1236" s="189" t="s">
        <v>1074</v>
      </c>
      <c r="N1236" s="189" t="s">
        <v>552</v>
      </c>
      <c r="O1236" s="189" t="s">
        <v>172</v>
      </c>
      <c r="P1236" s="189" t="s">
        <v>111</v>
      </c>
      <c r="Q1236" s="189" t="s">
        <v>112</v>
      </c>
      <c r="R1236" s="189" t="s">
        <v>24</v>
      </c>
      <c r="S1236" s="189" t="s">
        <v>152</v>
      </c>
      <c r="T1236" s="189" t="s">
        <v>352</v>
      </c>
      <c r="U1236" s="189" t="s">
        <v>122</v>
      </c>
      <c r="V1236" s="189" t="s">
        <v>123</v>
      </c>
      <c r="W1236" s="189" t="s">
        <v>124</v>
      </c>
      <c r="X1236" s="189" t="s">
        <v>214</v>
      </c>
      <c r="Y1236" s="189" t="s">
        <v>3066</v>
      </c>
      <c r="Z1236" s="0" t="n">
        <v>1</v>
      </c>
      <c r="AA1236" s="189" t="s">
        <v>3211</v>
      </c>
    </row>
    <row r="1237" customFormat="false" ht="15" hidden="false" customHeight="false" outlineLevel="0" collapsed="false">
      <c r="A1237" s="0" t="n">
        <v>263</v>
      </c>
      <c r="B1237" s="191" t="n">
        <v>46048.6846316379</v>
      </c>
      <c r="C1237" s="191" t="n">
        <v>46048.6895506194</v>
      </c>
      <c r="D1237" s="189" t="s">
        <v>1814</v>
      </c>
      <c r="E1237" s="189" t="s">
        <v>1815</v>
      </c>
      <c r="F1237" s="189" t="s">
        <v>1815</v>
      </c>
      <c r="G1237" s="189" t="s">
        <v>1816</v>
      </c>
      <c r="H1237" s="191" t="n">
        <v>46042</v>
      </c>
      <c r="I1237" s="189" t="s">
        <v>132</v>
      </c>
      <c r="J1237" s="189" t="s">
        <v>108</v>
      </c>
      <c r="K1237" s="189" t="s">
        <v>196</v>
      </c>
      <c r="L1237" s="189" t="s">
        <v>296</v>
      </c>
      <c r="M1237" s="189" t="s">
        <v>1074</v>
      </c>
      <c r="N1237" s="189" t="s">
        <v>552</v>
      </c>
      <c r="O1237" s="189" t="s">
        <v>172</v>
      </c>
      <c r="P1237" s="189" t="s">
        <v>111</v>
      </c>
      <c r="Q1237" s="189" t="s">
        <v>112</v>
      </c>
      <c r="R1237" s="189" t="s">
        <v>24</v>
      </c>
      <c r="S1237" s="189" t="s">
        <v>152</v>
      </c>
      <c r="T1237" s="189" t="s">
        <v>352</v>
      </c>
      <c r="U1237" s="189" t="s">
        <v>122</v>
      </c>
      <c r="V1237" s="189" t="s">
        <v>123</v>
      </c>
      <c r="W1237" s="189" t="s">
        <v>124</v>
      </c>
      <c r="X1237" s="189" t="s">
        <v>214</v>
      </c>
      <c r="Y1237" s="189" t="s">
        <v>3066</v>
      </c>
      <c r="Z1237" s="0" t="n">
        <v>2</v>
      </c>
      <c r="AA1237" s="189" t="s">
        <v>122</v>
      </c>
    </row>
    <row r="1238" customFormat="false" ht="15" hidden="false" customHeight="false" outlineLevel="0" collapsed="false">
      <c r="A1238" s="0" t="n">
        <v>263</v>
      </c>
      <c r="B1238" s="191" t="n">
        <v>46048.6846316379</v>
      </c>
      <c r="C1238" s="191" t="n">
        <v>46048.6895506194</v>
      </c>
      <c r="D1238" s="189" t="s">
        <v>1814</v>
      </c>
      <c r="E1238" s="189" t="s">
        <v>1815</v>
      </c>
      <c r="F1238" s="189" t="s">
        <v>1815</v>
      </c>
      <c r="G1238" s="189" t="s">
        <v>1816</v>
      </c>
      <c r="H1238" s="191" t="n">
        <v>46042</v>
      </c>
      <c r="I1238" s="189" t="s">
        <v>132</v>
      </c>
      <c r="J1238" s="189" t="s">
        <v>108</v>
      </c>
      <c r="K1238" s="189" t="s">
        <v>196</v>
      </c>
      <c r="L1238" s="189" t="s">
        <v>296</v>
      </c>
      <c r="M1238" s="189" t="s">
        <v>1074</v>
      </c>
      <c r="N1238" s="189" t="s">
        <v>552</v>
      </c>
      <c r="O1238" s="189" t="s">
        <v>172</v>
      </c>
      <c r="P1238" s="189" t="s">
        <v>111</v>
      </c>
      <c r="Q1238" s="189" t="s">
        <v>112</v>
      </c>
      <c r="R1238" s="189" t="s">
        <v>24</v>
      </c>
      <c r="S1238" s="189" t="s">
        <v>152</v>
      </c>
      <c r="T1238" s="189" t="s">
        <v>352</v>
      </c>
      <c r="U1238" s="189" t="s">
        <v>122</v>
      </c>
      <c r="V1238" s="189" t="s">
        <v>123</v>
      </c>
      <c r="W1238" s="189" t="s">
        <v>124</v>
      </c>
      <c r="X1238" s="189" t="s">
        <v>214</v>
      </c>
      <c r="Y1238" s="189" t="s">
        <v>3069</v>
      </c>
      <c r="Z1238" s="0" t="n">
        <v>1</v>
      </c>
      <c r="AA1238" s="189" t="s">
        <v>3070</v>
      </c>
    </row>
    <row r="1239" customFormat="false" ht="15" hidden="false" customHeight="false" outlineLevel="0" collapsed="false">
      <c r="A1239" s="0" t="n">
        <v>263</v>
      </c>
      <c r="B1239" s="191" t="n">
        <v>46048.6846316379</v>
      </c>
      <c r="C1239" s="191" t="n">
        <v>46048.6895506194</v>
      </c>
      <c r="D1239" s="189" t="s">
        <v>1814</v>
      </c>
      <c r="E1239" s="189" t="s">
        <v>1815</v>
      </c>
      <c r="F1239" s="189" t="s">
        <v>1815</v>
      </c>
      <c r="G1239" s="189" t="s">
        <v>1816</v>
      </c>
      <c r="H1239" s="191" t="n">
        <v>46042</v>
      </c>
      <c r="I1239" s="189" t="s">
        <v>132</v>
      </c>
      <c r="J1239" s="189" t="s">
        <v>108</v>
      </c>
      <c r="K1239" s="189" t="s">
        <v>196</v>
      </c>
      <c r="L1239" s="189" t="s">
        <v>296</v>
      </c>
      <c r="M1239" s="189" t="s">
        <v>1074</v>
      </c>
      <c r="N1239" s="189" t="s">
        <v>552</v>
      </c>
      <c r="O1239" s="189" t="s">
        <v>172</v>
      </c>
      <c r="P1239" s="189" t="s">
        <v>111</v>
      </c>
      <c r="Q1239" s="189" t="s">
        <v>112</v>
      </c>
      <c r="R1239" s="189" t="s">
        <v>24</v>
      </c>
      <c r="S1239" s="189" t="s">
        <v>152</v>
      </c>
      <c r="T1239" s="189" t="s">
        <v>352</v>
      </c>
      <c r="U1239" s="189" t="s">
        <v>122</v>
      </c>
      <c r="V1239" s="189" t="s">
        <v>123</v>
      </c>
      <c r="W1239" s="189" t="s">
        <v>124</v>
      </c>
      <c r="X1239" s="189" t="s">
        <v>214</v>
      </c>
      <c r="Y1239" s="189" t="s">
        <v>3069</v>
      </c>
      <c r="Z1239" s="0" t="n">
        <v>2</v>
      </c>
      <c r="AA1239" s="189" t="s">
        <v>3140</v>
      </c>
    </row>
    <row r="1240" customFormat="false" ht="15" hidden="false" customHeight="false" outlineLevel="0" collapsed="false">
      <c r="A1240" s="0" t="n">
        <v>264</v>
      </c>
      <c r="B1240" s="191" t="n">
        <v>46210.432855473</v>
      </c>
      <c r="C1240" s="191" t="n">
        <v>46210.4506101026</v>
      </c>
      <c r="D1240" s="189" t="s">
        <v>1818</v>
      </c>
      <c r="E1240" s="189" t="s">
        <v>1819</v>
      </c>
      <c r="F1240" s="189" t="s">
        <v>1819</v>
      </c>
      <c r="G1240" s="189" t="s">
        <v>1820</v>
      </c>
      <c r="H1240" s="191" t="n">
        <v>46192</v>
      </c>
      <c r="I1240" s="189" t="s">
        <v>305</v>
      </c>
      <c r="J1240" s="189" t="s">
        <v>295</v>
      </c>
      <c r="K1240" s="189" t="s">
        <v>364</v>
      </c>
      <c r="L1240" s="189" t="s">
        <v>144</v>
      </c>
      <c r="M1240" s="189" t="s">
        <v>133</v>
      </c>
      <c r="N1240" s="189" t="s">
        <v>1441</v>
      </c>
      <c r="O1240" s="189" t="s">
        <v>107</v>
      </c>
      <c r="P1240" s="189" t="s">
        <v>111</v>
      </c>
      <c r="Q1240" s="189" t="s">
        <v>145</v>
      </c>
      <c r="R1240" s="189" t="s">
        <v>25</v>
      </c>
      <c r="S1240" s="189" t="s">
        <v>152</v>
      </c>
      <c r="T1240" s="189" t="s">
        <v>121</v>
      </c>
      <c r="U1240" s="189" t="s">
        <v>1821</v>
      </c>
      <c r="V1240" s="189" t="s">
        <v>123</v>
      </c>
      <c r="W1240" s="189" t="s">
        <v>124</v>
      </c>
      <c r="X1240" s="189" t="s">
        <v>327</v>
      </c>
      <c r="Y1240" s="189" t="s">
        <v>3064</v>
      </c>
      <c r="Z1240" s="0" t="n">
        <v>1</v>
      </c>
      <c r="AA1240" s="189" t="s">
        <v>3081</v>
      </c>
    </row>
    <row r="1241" customFormat="false" ht="15" hidden="false" customHeight="false" outlineLevel="0" collapsed="false">
      <c r="A1241" s="0" t="n">
        <v>264</v>
      </c>
      <c r="B1241" s="191" t="n">
        <v>46210.432855473</v>
      </c>
      <c r="C1241" s="191" t="n">
        <v>46210.4506101026</v>
      </c>
      <c r="D1241" s="189" t="s">
        <v>1818</v>
      </c>
      <c r="E1241" s="189" t="s">
        <v>1819</v>
      </c>
      <c r="F1241" s="189" t="s">
        <v>1819</v>
      </c>
      <c r="G1241" s="189" t="s">
        <v>1820</v>
      </c>
      <c r="H1241" s="191" t="n">
        <v>46192</v>
      </c>
      <c r="I1241" s="189" t="s">
        <v>305</v>
      </c>
      <c r="J1241" s="189" t="s">
        <v>295</v>
      </c>
      <c r="K1241" s="189" t="s">
        <v>364</v>
      </c>
      <c r="L1241" s="189" t="s">
        <v>144</v>
      </c>
      <c r="M1241" s="189" t="s">
        <v>133</v>
      </c>
      <c r="N1241" s="189" t="s">
        <v>1441</v>
      </c>
      <c r="O1241" s="189" t="s">
        <v>107</v>
      </c>
      <c r="P1241" s="189" t="s">
        <v>111</v>
      </c>
      <c r="Q1241" s="189" t="s">
        <v>145</v>
      </c>
      <c r="R1241" s="189" t="s">
        <v>25</v>
      </c>
      <c r="S1241" s="189" t="s">
        <v>152</v>
      </c>
      <c r="T1241" s="189" t="s">
        <v>121</v>
      </c>
      <c r="U1241" s="189" t="s">
        <v>1821</v>
      </c>
      <c r="V1241" s="189" t="s">
        <v>123</v>
      </c>
      <c r="W1241" s="189" t="s">
        <v>124</v>
      </c>
      <c r="X1241" s="189" t="s">
        <v>327</v>
      </c>
      <c r="Y1241" s="189" t="s">
        <v>3064</v>
      </c>
      <c r="Z1241" s="0" t="n">
        <v>2</v>
      </c>
      <c r="AA1241" s="189" t="s">
        <v>3095</v>
      </c>
    </row>
    <row r="1242" customFormat="false" ht="15" hidden="false" customHeight="false" outlineLevel="0" collapsed="false">
      <c r="A1242" s="0" t="n">
        <v>264</v>
      </c>
      <c r="B1242" s="191" t="n">
        <v>46210.432855473</v>
      </c>
      <c r="C1242" s="191" t="n">
        <v>46210.4506101026</v>
      </c>
      <c r="D1242" s="189" t="s">
        <v>1818</v>
      </c>
      <c r="E1242" s="189" t="s">
        <v>1819</v>
      </c>
      <c r="F1242" s="189" t="s">
        <v>1819</v>
      </c>
      <c r="G1242" s="189" t="s">
        <v>1820</v>
      </c>
      <c r="H1242" s="191" t="n">
        <v>46192</v>
      </c>
      <c r="I1242" s="189" t="s">
        <v>305</v>
      </c>
      <c r="J1242" s="189" t="s">
        <v>295</v>
      </c>
      <c r="K1242" s="189" t="s">
        <v>364</v>
      </c>
      <c r="L1242" s="189" t="s">
        <v>144</v>
      </c>
      <c r="M1242" s="189" t="s">
        <v>133</v>
      </c>
      <c r="N1242" s="189" t="s">
        <v>1441</v>
      </c>
      <c r="O1242" s="189" t="s">
        <v>107</v>
      </c>
      <c r="P1242" s="189" t="s">
        <v>111</v>
      </c>
      <c r="Q1242" s="189" t="s">
        <v>145</v>
      </c>
      <c r="R1242" s="189" t="s">
        <v>25</v>
      </c>
      <c r="S1242" s="189" t="s">
        <v>152</v>
      </c>
      <c r="T1242" s="189" t="s">
        <v>121</v>
      </c>
      <c r="U1242" s="189" t="s">
        <v>1821</v>
      </c>
      <c r="V1242" s="189" t="s">
        <v>123</v>
      </c>
      <c r="W1242" s="189" t="s">
        <v>124</v>
      </c>
      <c r="X1242" s="189" t="s">
        <v>327</v>
      </c>
      <c r="Y1242" s="189" t="s">
        <v>3066</v>
      </c>
      <c r="Z1242" s="0" t="n">
        <v>1</v>
      </c>
      <c r="AA1242" s="189" t="s">
        <v>3068</v>
      </c>
    </row>
    <row r="1243" customFormat="false" ht="15" hidden="false" customHeight="false" outlineLevel="0" collapsed="false">
      <c r="A1243" s="0" t="n">
        <v>264</v>
      </c>
      <c r="B1243" s="191" t="n">
        <v>46210.432855473</v>
      </c>
      <c r="C1243" s="191" t="n">
        <v>46210.4506101026</v>
      </c>
      <c r="D1243" s="189" t="s">
        <v>1818</v>
      </c>
      <c r="E1243" s="189" t="s">
        <v>1819</v>
      </c>
      <c r="F1243" s="189" t="s">
        <v>1819</v>
      </c>
      <c r="G1243" s="189" t="s">
        <v>1820</v>
      </c>
      <c r="H1243" s="191" t="n">
        <v>46192</v>
      </c>
      <c r="I1243" s="189" t="s">
        <v>305</v>
      </c>
      <c r="J1243" s="189" t="s">
        <v>295</v>
      </c>
      <c r="K1243" s="189" t="s">
        <v>364</v>
      </c>
      <c r="L1243" s="189" t="s">
        <v>144</v>
      </c>
      <c r="M1243" s="189" t="s">
        <v>133</v>
      </c>
      <c r="N1243" s="189" t="s">
        <v>1441</v>
      </c>
      <c r="O1243" s="189" t="s">
        <v>107</v>
      </c>
      <c r="P1243" s="189" t="s">
        <v>111</v>
      </c>
      <c r="Q1243" s="189" t="s">
        <v>145</v>
      </c>
      <c r="R1243" s="189" t="s">
        <v>25</v>
      </c>
      <c r="S1243" s="189" t="s">
        <v>152</v>
      </c>
      <c r="T1243" s="189" t="s">
        <v>121</v>
      </c>
      <c r="U1243" s="189" t="s">
        <v>1821</v>
      </c>
      <c r="V1243" s="189" t="s">
        <v>123</v>
      </c>
      <c r="W1243" s="189" t="s">
        <v>124</v>
      </c>
      <c r="X1243" s="189" t="s">
        <v>327</v>
      </c>
      <c r="Y1243" s="189" t="s">
        <v>3069</v>
      </c>
      <c r="Z1243" s="0" t="n">
        <v>1</v>
      </c>
      <c r="AA1243" s="189" t="s">
        <v>3108</v>
      </c>
    </row>
    <row r="1244" customFormat="false" ht="15" hidden="false" customHeight="false" outlineLevel="0" collapsed="false">
      <c r="A1244" s="0" t="n">
        <v>265</v>
      </c>
      <c r="B1244" s="191" t="n">
        <v>46090.31377498</v>
      </c>
      <c r="C1244" s="191" t="n">
        <v>46090.3157888689</v>
      </c>
      <c r="D1244" s="189" t="s">
        <v>1822</v>
      </c>
      <c r="E1244" s="189" t="s">
        <v>1823</v>
      </c>
      <c r="F1244" s="189" t="s">
        <v>1823</v>
      </c>
      <c r="G1244" s="189" t="s">
        <v>1824</v>
      </c>
      <c r="H1244" s="191" t="n">
        <v>46078</v>
      </c>
      <c r="I1244" s="189" t="s">
        <v>113</v>
      </c>
      <c r="J1244" s="189" t="s">
        <v>108</v>
      </c>
      <c r="K1244" s="189" t="s">
        <v>462</v>
      </c>
      <c r="L1244" s="189" t="s">
        <v>296</v>
      </c>
      <c r="M1244" s="189" t="s">
        <v>406</v>
      </c>
      <c r="N1244" s="189" t="s">
        <v>701</v>
      </c>
      <c r="O1244" s="189" t="s">
        <v>107</v>
      </c>
      <c r="P1244" s="189" t="s">
        <v>111</v>
      </c>
      <c r="Q1244" s="189" t="s">
        <v>112</v>
      </c>
      <c r="R1244" s="189" t="s">
        <v>22</v>
      </c>
      <c r="S1244" s="189" t="s">
        <v>120</v>
      </c>
      <c r="T1244" s="189" t="s">
        <v>121</v>
      </c>
      <c r="U1244" s="189" t="s">
        <v>1641</v>
      </c>
      <c r="V1244" s="189" t="s">
        <v>192</v>
      </c>
      <c r="W1244" s="189" t="s">
        <v>124</v>
      </c>
      <c r="X1244" s="189" t="s">
        <v>148</v>
      </c>
      <c r="Y1244" s="189" t="s">
        <v>3064</v>
      </c>
      <c r="Z1244" s="0" t="n">
        <v>1</v>
      </c>
      <c r="AA1244" s="189" t="s">
        <v>3076</v>
      </c>
    </row>
    <row r="1245" customFormat="false" ht="15" hidden="false" customHeight="false" outlineLevel="0" collapsed="false">
      <c r="A1245" s="0" t="n">
        <v>265</v>
      </c>
      <c r="B1245" s="191" t="n">
        <v>46090.31377498</v>
      </c>
      <c r="C1245" s="191" t="n">
        <v>46090.3157888689</v>
      </c>
      <c r="D1245" s="189" t="s">
        <v>1822</v>
      </c>
      <c r="E1245" s="189" t="s">
        <v>1823</v>
      </c>
      <c r="F1245" s="189" t="s">
        <v>1823</v>
      </c>
      <c r="G1245" s="189" t="s">
        <v>1824</v>
      </c>
      <c r="H1245" s="191" t="n">
        <v>46078</v>
      </c>
      <c r="I1245" s="189" t="s">
        <v>113</v>
      </c>
      <c r="J1245" s="189" t="s">
        <v>108</v>
      </c>
      <c r="K1245" s="189" t="s">
        <v>462</v>
      </c>
      <c r="L1245" s="189" t="s">
        <v>296</v>
      </c>
      <c r="M1245" s="189" t="s">
        <v>406</v>
      </c>
      <c r="N1245" s="189" t="s">
        <v>701</v>
      </c>
      <c r="O1245" s="189" t="s">
        <v>107</v>
      </c>
      <c r="P1245" s="189" t="s">
        <v>111</v>
      </c>
      <c r="Q1245" s="189" t="s">
        <v>112</v>
      </c>
      <c r="R1245" s="189" t="s">
        <v>22</v>
      </c>
      <c r="S1245" s="189" t="s">
        <v>120</v>
      </c>
      <c r="T1245" s="189" t="s">
        <v>121</v>
      </c>
      <c r="U1245" s="189" t="s">
        <v>1641</v>
      </c>
      <c r="V1245" s="189" t="s">
        <v>192</v>
      </c>
      <c r="W1245" s="189" t="s">
        <v>124</v>
      </c>
      <c r="X1245" s="189" t="s">
        <v>148</v>
      </c>
      <c r="Y1245" s="189" t="s">
        <v>3066</v>
      </c>
      <c r="Z1245" s="0" t="n">
        <v>1</v>
      </c>
      <c r="AA1245" s="189" t="s">
        <v>3078</v>
      </c>
    </row>
    <row r="1246" customFormat="false" ht="15" hidden="false" customHeight="false" outlineLevel="0" collapsed="false">
      <c r="A1246" s="0" t="n">
        <v>265</v>
      </c>
      <c r="B1246" s="191" t="n">
        <v>46090.31377498</v>
      </c>
      <c r="C1246" s="191" t="n">
        <v>46090.3157888689</v>
      </c>
      <c r="D1246" s="189" t="s">
        <v>1822</v>
      </c>
      <c r="E1246" s="189" t="s">
        <v>1823</v>
      </c>
      <c r="F1246" s="189" t="s">
        <v>1823</v>
      </c>
      <c r="G1246" s="189" t="s">
        <v>1824</v>
      </c>
      <c r="H1246" s="191" t="n">
        <v>46078</v>
      </c>
      <c r="I1246" s="189" t="s">
        <v>113</v>
      </c>
      <c r="J1246" s="189" t="s">
        <v>108</v>
      </c>
      <c r="K1246" s="189" t="s">
        <v>462</v>
      </c>
      <c r="L1246" s="189" t="s">
        <v>296</v>
      </c>
      <c r="M1246" s="189" t="s">
        <v>406</v>
      </c>
      <c r="N1246" s="189" t="s">
        <v>701</v>
      </c>
      <c r="O1246" s="189" t="s">
        <v>107</v>
      </c>
      <c r="P1246" s="189" t="s">
        <v>111</v>
      </c>
      <c r="Q1246" s="189" t="s">
        <v>112</v>
      </c>
      <c r="R1246" s="189" t="s">
        <v>22</v>
      </c>
      <c r="S1246" s="189" t="s">
        <v>120</v>
      </c>
      <c r="T1246" s="189" t="s">
        <v>121</v>
      </c>
      <c r="U1246" s="189" t="s">
        <v>1641</v>
      </c>
      <c r="V1246" s="189" t="s">
        <v>192</v>
      </c>
      <c r="W1246" s="189" t="s">
        <v>124</v>
      </c>
      <c r="X1246" s="189" t="s">
        <v>148</v>
      </c>
      <c r="Y1246" s="189" t="s">
        <v>3066</v>
      </c>
      <c r="Z1246" s="0" t="n">
        <v>2</v>
      </c>
      <c r="AA1246" s="189" t="s">
        <v>2818</v>
      </c>
    </row>
    <row r="1247" customFormat="false" ht="15" hidden="false" customHeight="false" outlineLevel="0" collapsed="false">
      <c r="A1247" s="0" t="n">
        <v>265</v>
      </c>
      <c r="B1247" s="191" t="n">
        <v>46090.31377498</v>
      </c>
      <c r="C1247" s="191" t="n">
        <v>46090.3157888689</v>
      </c>
      <c r="D1247" s="189" t="s">
        <v>1822</v>
      </c>
      <c r="E1247" s="189" t="s">
        <v>1823</v>
      </c>
      <c r="F1247" s="189" t="s">
        <v>1823</v>
      </c>
      <c r="G1247" s="189" t="s">
        <v>1824</v>
      </c>
      <c r="H1247" s="191" t="n">
        <v>46078</v>
      </c>
      <c r="I1247" s="189" t="s">
        <v>113</v>
      </c>
      <c r="J1247" s="189" t="s">
        <v>108</v>
      </c>
      <c r="K1247" s="189" t="s">
        <v>462</v>
      </c>
      <c r="L1247" s="189" t="s">
        <v>296</v>
      </c>
      <c r="M1247" s="189" t="s">
        <v>406</v>
      </c>
      <c r="N1247" s="189" t="s">
        <v>701</v>
      </c>
      <c r="O1247" s="189" t="s">
        <v>107</v>
      </c>
      <c r="P1247" s="189" t="s">
        <v>111</v>
      </c>
      <c r="Q1247" s="189" t="s">
        <v>112</v>
      </c>
      <c r="R1247" s="189" t="s">
        <v>22</v>
      </c>
      <c r="S1247" s="189" t="s">
        <v>120</v>
      </c>
      <c r="T1247" s="189" t="s">
        <v>121</v>
      </c>
      <c r="U1247" s="189" t="s">
        <v>1641</v>
      </c>
      <c r="V1247" s="189" t="s">
        <v>192</v>
      </c>
      <c r="W1247" s="189" t="s">
        <v>124</v>
      </c>
      <c r="X1247" s="189" t="s">
        <v>148</v>
      </c>
      <c r="Y1247" s="189" t="s">
        <v>3069</v>
      </c>
      <c r="Z1247" s="0" t="n">
        <v>1</v>
      </c>
      <c r="AA1247" s="189" t="s">
        <v>3094</v>
      </c>
    </row>
    <row r="1248" customFormat="false" ht="15" hidden="false" customHeight="false" outlineLevel="0" collapsed="false">
      <c r="A1248" s="0" t="n">
        <v>265</v>
      </c>
      <c r="B1248" s="191" t="n">
        <v>46090.31377498</v>
      </c>
      <c r="C1248" s="191" t="n">
        <v>46090.3157888689</v>
      </c>
      <c r="D1248" s="189" t="s">
        <v>1822</v>
      </c>
      <c r="E1248" s="189" t="s">
        <v>1823</v>
      </c>
      <c r="F1248" s="189" t="s">
        <v>1823</v>
      </c>
      <c r="G1248" s="189" t="s">
        <v>1824</v>
      </c>
      <c r="H1248" s="191" t="n">
        <v>46078</v>
      </c>
      <c r="I1248" s="189" t="s">
        <v>113</v>
      </c>
      <c r="J1248" s="189" t="s">
        <v>108</v>
      </c>
      <c r="K1248" s="189" t="s">
        <v>462</v>
      </c>
      <c r="L1248" s="189" t="s">
        <v>296</v>
      </c>
      <c r="M1248" s="189" t="s">
        <v>406</v>
      </c>
      <c r="N1248" s="189" t="s">
        <v>701</v>
      </c>
      <c r="O1248" s="189" t="s">
        <v>107</v>
      </c>
      <c r="P1248" s="189" t="s">
        <v>111</v>
      </c>
      <c r="Q1248" s="189" t="s">
        <v>112</v>
      </c>
      <c r="R1248" s="189" t="s">
        <v>22</v>
      </c>
      <c r="S1248" s="189" t="s">
        <v>120</v>
      </c>
      <c r="T1248" s="189" t="s">
        <v>121</v>
      </c>
      <c r="U1248" s="189" t="s">
        <v>1641</v>
      </c>
      <c r="V1248" s="189" t="s">
        <v>192</v>
      </c>
      <c r="W1248" s="189" t="s">
        <v>124</v>
      </c>
      <c r="X1248" s="189" t="s">
        <v>148</v>
      </c>
      <c r="Y1248" s="189" t="s">
        <v>3069</v>
      </c>
      <c r="Z1248" s="0" t="n">
        <v>2</v>
      </c>
      <c r="AA1248" s="189" t="s">
        <v>3079</v>
      </c>
    </row>
    <row r="1249" customFormat="false" ht="15" hidden="false" customHeight="false" outlineLevel="0" collapsed="false">
      <c r="A1249" s="0" t="n">
        <v>266</v>
      </c>
      <c r="B1249" s="191" t="n">
        <v>46156.1185342159</v>
      </c>
      <c r="C1249" s="191" t="n">
        <v>46156.1307911604</v>
      </c>
      <c r="D1249" s="189" t="s">
        <v>1827</v>
      </c>
      <c r="E1249" s="189" t="s">
        <v>1828</v>
      </c>
      <c r="F1249" s="189" t="s">
        <v>1828</v>
      </c>
      <c r="G1249" s="189" t="s">
        <v>1829</v>
      </c>
      <c r="H1249" s="191" t="n">
        <v>46152</v>
      </c>
      <c r="I1249" s="189" t="s">
        <v>113</v>
      </c>
      <c r="J1249" s="189" t="s">
        <v>295</v>
      </c>
      <c r="K1249" s="189" t="s">
        <v>143</v>
      </c>
      <c r="L1249" s="189" t="s">
        <v>233</v>
      </c>
      <c r="M1249" s="189" t="s">
        <v>160</v>
      </c>
      <c r="N1249" s="189" t="s">
        <v>1628</v>
      </c>
      <c r="O1249" s="189" t="s">
        <v>172</v>
      </c>
      <c r="P1249" s="189" t="s">
        <v>111</v>
      </c>
      <c r="Q1249" s="189" t="s">
        <v>112</v>
      </c>
      <c r="R1249" s="189" t="s">
        <v>21</v>
      </c>
      <c r="S1249" s="189" t="s">
        <v>152</v>
      </c>
      <c r="T1249" s="189" t="s">
        <v>264</v>
      </c>
      <c r="U1249" s="189" t="s">
        <v>1063</v>
      </c>
      <c r="V1249" s="189" t="s">
        <v>123</v>
      </c>
      <c r="W1249" s="189" t="s">
        <v>124</v>
      </c>
      <c r="X1249" s="189" t="s">
        <v>1830</v>
      </c>
      <c r="Y1249" s="189" t="s">
        <v>3064</v>
      </c>
      <c r="Z1249" s="0" t="n">
        <v>1</v>
      </c>
      <c r="AA1249" s="189" t="s">
        <v>3311</v>
      </c>
    </row>
    <row r="1250" customFormat="false" ht="15" hidden="false" customHeight="false" outlineLevel="0" collapsed="false">
      <c r="A1250" s="0" t="n">
        <v>266</v>
      </c>
      <c r="B1250" s="191" t="n">
        <v>46156.1185342159</v>
      </c>
      <c r="C1250" s="191" t="n">
        <v>46156.1307911604</v>
      </c>
      <c r="D1250" s="189" t="s">
        <v>1827</v>
      </c>
      <c r="E1250" s="189" t="s">
        <v>1828</v>
      </c>
      <c r="F1250" s="189" t="s">
        <v>1828</v>
      </c>
      <c r="G1250" s="189" t="s">
        <v>1829</v>
      </c>
      <c r="H1250" s="191" t="n">
        <v>46152</v>
      </c>
      <c r="I1250" s="189" t="s">
        <v>113</v>
      </c>
      <c r="J1250" s="189" t="s">
        <v>295</v>
      </c>
      <c r="K1250" s="189" t="s">
        <v>143</v>
      </c>
      <c r="L1250" s="189" t="s">
        <v>233</v>
      </c>
      <c r="M1250" s="189" t="s">
        <v>160</v>
      </c>
      <c r="N1250" s="189" t="s">
        <v>1628</v>
      </c>
      <c r="O1250" s="189" t="s">
        <v>172</v>
      </c>
      <c r="P1250" s="189" t="s">
        <v>111</v>
      </c>
      <c r="Q1250" s="189" t="s">
        <v>112</v>
      </c>
      <c r="R1250" s="189" t="s">
        <v>21</v>
      </c>
      <c r="S1250" s="189" t="s">
        <v>152</v>
      </c>
      <c r="T1250" s="189" t="s">
        <v>264</v>
      </c>
      <c r="U1250" s="189" t="s">
        <v>1063</v>
      </c>
      <c r="V1250" s="189" t="s">
        <v>123</v>
      </c>
      <c r="W1250" s="189" t="s">
        <v>124</v>
      </c>
      <c r="X1250" s="189" t="s">
        <v>1830</v>
      </c>
      <c r="Y1250" s="189" t="s">
        <v>3064</v>
      </c>
      <c r="Z1250" s="0" t="n">
        <v>2</v>
      </c>
      <c r="AA1250" s="189" t="s">
        <v>3312</v>
      </c>
    </row>
    <row r="1251" customFormat="false" ht="15" hidden="false" customHeight="false" outlineLevel="0" collapsed="false">
      <c r="A1251" s="0" t="n">
        <v>266</v>
      </c>
      <c r="B1251" s="191" t="n">
        <v>46156.1185342159</v>
      </c>
      <c r="C1251" s="191" t="n">
        <v>46156.1307911604</v>
      </c>
      <c r="D1251" s="189" t="s">
        <v>1827</v>
      </c>
      <c r="E1251" s="189" t="s">
        <v>1828</v>
      </c>
      <c r="F1251" s="189" t="s">
        <v>1828</v>
      </c>
      <c r="G1251" s="189" t="s">
        <v>1829</v>
      </c>
      <c r="H1251" s="191" t="n">
        <v>46152</v>
      </c>
      <c r="I1251" s="189" t="s">
        <v>113</v>
      </c>
      <c r="J1251" s="189" t="s">
        <v>295</v>
      </c>
      <c r="K1251" s="189" t="s">
        <v>143</v>
      </c>
      <c r="L1251" s="189" t="s">
        <v>233</v>
      </c>
      <c r="M1251" s="189" t="s">
        <v>160</v>
      </c>
      <c r="N1251" s="189" t="s">
        <v>1628</v>
      </c>
      <c r="O1251" s="189" t="s">
        <v>172</v>
      </c>
      <c r="P1251" s="189" t="s">
        <v>111</v>
      </c>
      <c r="Q1251" s="189" t="s">
        <v>112</v>
      </c>
      <c r="R1251" s="189" t="s">
        <v>21</v>
      </c>
      <c r="S1251" s="189" t="s">
        <v>152</v>
      </c>
      <c r="T1251" s="189" t="s">
        <v>264</v>
      </c>
      <c r="U1251" s="189" t="s">
        <v>1063</v>
      </c>
      <c r="V1251" s="189" t="s">
        <v>123</v>
      </c>
      <c r="W1251" s="189" t="s">
        <v>124</v>
      </c>
      <c r="X1251" s="189" t="s">
        <v>1830</v>
      </c>
      <c r="Y1251" s="189" t="s">
        <v>3066</v>
      </c>
      <c r="Z1251" s="0" t="n">
        <v>1</v>
      </c>
      <c r="AA1251" s="189" t="s">
        <v>3313</v>
      </c>
    </row>
    <row r="1252" customFormat="false" ht="15" hidden="false" customHeight="false" outlineLevel="0" collapsed="false">
      <c r="A1252" s="0" t="n">
        <v>266</v>
      </c>
      <c r="B1252" s="191" t="n">
        <v>46156.1185342159</v>
      </c>
      <c r="C1252" s="191" t="n">
        <v>46156.1307911604</v>
      </c>
      <c r="D1252" s="189" t="s">
        <v>1827</v>
      </c>
      <c r="E1252" s="189" t="s">
        <v>1828</v>
      </c>
      <c r="F1252" s="189" t="s">
        <v>1828</v>
      </c>
      <c r="G1252" s="189" t="s">
        <v>1829</v>
      </c>
      <c r="H1252" s="191" t="n">
        <v>46152</v>
      </c>
      <c r="I1252" s="189" t="s">
        <v>113</v>
      </c>
      <c r="J1252" s="189" t="s">
        <v>295</v>
      </c>
      <c r="K1252" s="189" t="s">
        <v>143</v>
      </c>
      <c r="L1252" s="189" t="s">
        <v>233</v>
      </c>
      <c r="M1252" s="189" t="s">
        <v>160</v>
      </c>
      <c r="N1252" s="189" t="s">
        <v>1628</v>
      </c>
      <c r="O1252" s="189" t="s">
        <v>172</v>
      </c>
      <c r="P1252" s="189" t="s">
        <v>111</v>
      </c>
      <c r="Q1252" s="189" t="s">
        <v>112</v>
      </c>
      <c r="R1252" s="189" t="s">
        <v>21</v>
      </c>
      <c r="S1252" s="189" t="s">
        <v>152</v>
      </c>
      <c r="T1252" s="189" t="s">
        <v>264</v>
      </c>
      <c r="U1252" s="189" t="s">
        <v>1063</v>
      </c>
      <c r="V1252" s="189" t="s">
        <v>123</v>
      </c>
      <c r="W1252" s="189" t="s">
        <v>124</v>
      </c>
      <c r="X1252" s="189" t="s">
        <v>1830</v>
      </c>
      <c r="Y1252" s="189" t="s">
        <v>3066</v>
      </c>
      <c r="Z1252" s="0" t="n">
        <v>2</v>
      </c>
      <c r="AA1252" s="189" t="s">
        <v>3314</v>
      </c>
    </row>
    <row r="1253" customFormat="false" ht="15" hidden="false" customHeight="false" outlineLevel="0" collapsed="false">
      <c r="A1253" s="0" t="n">
        <v>266</v>
      </c>
      <c r="B1253" s="191" t="n">
        <v>46156.1185342159</v>
      </c>
      <c r="C1253" s="191" t="n">
        <v>46156.1307911604</v>
      </c>
      <c r="D1253" s="189" t="s">
        <v>1827</v>
      </c>
      <c r="E1253" s="189" t="s">
        <v>1828</v>
      </c>
      <c r="F1253" s="189" t="s">
        <v>1828</v>
      </c>
      <c r="G1253" s="189" t="s">
        <v>1829</v>
      </c>
      <c r="H1253" s="191" t="n">
        <v>46152</v>
      </c>
      <c r="I1253" s="189" t="s">
        <v>113</v>
      </c>
      <c r="J1253" s="189" t="s">
        <v>295</v>
      </c>
      <c r="K1253" s="189" t="s">
        <v>143</v>
      </c>
      <c r="L1253" s="189" t="s">
        <v>233</v>
      </c>
      <c r="M1253" s="189" t="s">
        <v>160</v>
      </c>
      <c r="N1253" s="189" t="s">
        <v>1628</v>
      </c>
      <c r="O1253" s="189" t="s">
        <v>172</v>
      </c>
      <c r="P1253" s="189" t="s">
        <v>111</v>
      </c>
      <c r="Q1253" s="189" t="s">
        <v>112</v>
      </c>
      <c r="R1253" s="189" t="s">
        <v>21</v>
      </c>
      <c r="S1253" s="189" t="s">
        <v>152</v>
      </c>
      <c r="T1253" s="189" t="s">
        <v>264</v>
      </c>
      <c r="U1253" s="189" t="s">
        <v>1063</v>
      </c>
      <c r="V1253" s="189" t="s">
        <v>123</v>
      </c>
      <c r="W1253" s="189" t="s">
        <v>124</v>
      </c>
      <c r="X1253" s="189" t="s">
        <v>1830</v>
      </c>
      <c r="Y1253" s="189" t="s">
        <v>3069</v>
      </c>
      <c r="Z1253" s="0" t="n">
        <v>1</v>
      </c>
      <c r="AA1253" s="189" t="s">
        <v>3315</v>
      </c>
    </row>
    <row r="1254" customFormat="false" ht="15" hidden="false" customHeight="false" outlineLevel="0" collapsed="false">
      <c r="A1254" s="0" t="n">
        <v>267</v>
      </c>
      <c r="B1254" s="191" t="n">
        <v>46099.8497530341</v>
      </c>
      <c r="C1254" s="191" t="n">
        <v>46099.8521720156</v>
      </c>
      <c r="D1254" s="189" t="s">
        <v>1834</v>
      </c>
      <c r="E1254" s="189" t="s">
        <v>1835</v>
      </c>
      <c r="F1254" s="189" t="s">
        <v>1835</v>
      </c>
      <c r="G1254" s="189" t="s">
        <v>1836</v>
      </c>
      <c r="H1254" s="191" t="n">
        <v>46094</v>
      </c>
      <c r="I1254" s="189" t="s">
        <v>113</v>
      </c>
      <c r="J1254" s="189" t="s">
        <v>108</v>
      </c>
      <c r="K1254" s="189" t="s">
        <v>158</v>
      </c>
      <c r="L1254" s="189" t="s">
        <v>110</v>
      </c>
      <c r="M1254" s="189" t="s">
        <v>973</v>
      </c>
      <c r="N1254" s="189" t="s">
        <v>701</v>
      </c>
      <c r="O1254" s="189" t="s">
        <v>107</v>
      </c>
      <c r="P1254" s="189" t="s">
        <v>111</v>
      </c>
      <c r="Q1254" s="189" t="s">
        <v>145</v>
      </c>
      <c r="R1254" s="189" t="s">
        <v>25</v>
      </c>
      <c r="S1254" s="189" t="s">
        <v>152</v>
      </c>
      <c r="T1254" s="189" t="s">
        <v>121</v>
      </c>
      <c r="V1254" s="189" t="s">
        <v>192</v>
      </c>
      <c r="W1254" s="189" t="s">
        <v>124</v>
      </c>
      <c r="X1254" s="189" t="s">
        <v>1712</v>
      </c>
      <c r="Y1254" s="189" t="s">
        <v>3064</v>
      </c>
      <c r="Z1254" s="0" t="n">
        <v>1</v>
      </c>
      <c r="AA1254" s="189" t="s">
        <v>3305</v>
      </c>
    </row>
    <row r="1255" customFormat="false" ht="15" hidden="false" customHeight="false" outlineLevel="0" collapsed="false">
      <c r="A1255" s="0" t="n">
        <v>267</v>
      </c>
      <c r="B1255" s="191" t="n">
        <v>46099.8497530341</v>
      </c>
      <c r="C1255" s="191" t="n">
        <v>46099.8521720156</v>
      </c>
      <c r="D1255" s="189" t="s">
        <v>1834</v>
      </c>
      <c r="E1255" s="189" t="s">
        <v>1835</v>
      </c>
      <c r="F1255" s="189" t="s">
        <v>1835</v>
      </c>
      <c r="G1255" s="189" t="s">
        <v>1836</v>
      </c>
      <c r="H1255" s="191" t="n">
        <v>46094</v>
      </c>
      <c r="I1255" s="189" t="s">
        <v>113</v>
      </c>
      <c r="J1255" s="189" t="s">
        <v>108</v>
      </c>
      <c r="K1255" s="189" t="s">
        <v>158</v>
      </c>
      <c r="L1255" s="189" t="s">
        <v>110</v>
      </c>
      <c r="M1255" s="189" t="s">
        <v>973</v>
      </c>
      <c r="N1255" s="189" t="s">
        <v>701</v>
      </c>
      <c r="O1255" s="189" t="s">
        <v>107</v>
      </c>
      <c r="P1255" s="189" t="s">
        <v>111</v>
      </c>
      <c r="Q1255" s="189" t="s">
        <v>145</v>
      </c>
      <c r="R1255" s="189" t="s">
        <v>25</v>
      </c>
      <c r="S1255" s="189" t="s">
        <v>152</v>
      </c>
      <c r="T1255" s="189" t="s">
        <v>121</v>
      </c>
      <c r="V1255" s="189" t="s">
        <v>192</v>
      </c>
      <c r="W1255" s="189" t="s">
        <v>124</v>
      </c>
      <c r="X1255" s="189" t="s">
        <v>1712</v>
      </c>
      <c r="Y1255" s="189" t="s">
        <v>3066</v>
      </c>
      <c r="Z1255" s="0" t="n">
        <v>1</v>
      </c>
      <c r="AA1255" s="189" t="s">
        <v>3307</v>
      </c>
    </row>
    <row r="1256" customFormat="false" ht="15" hidden="false" customHeight="false" outlineLevel="0" collapsed="false">
      <c r="A1256" s="0" t="n">
        <v>267</v>
      </c>
      <c r="B1256" s="191" t="n">
        <v>46099.8497530341</v>
      </c>
      <c r="C1256" s="191" t="n">
        <v>46099.8521720156</v>
      </c>
      <c r="D1256" s="189" t="s">
        <v>1834</v>
      </c>
      <c r="E1256" s="189" t="s">
        <v>1835</v>
      </c>
      <c r="F1256" s="189" t="s">
        <v>1835</v>
      </c>
      <c r="G1256" s="189" t="s">
        <v>1836</v>
      </c>
      <c r="H1256" s="191" t="n">
        <v>46094</v>
      </c>
      <c r="I1256" s="189" t="s">
        <v>113</v>
      </c>
      <c r="J1256" s="189" t="s">
        <v>108</v>
      </c>
      <c r="K1256" s="189" t="s">
        <v>158</v>
      </c>
      <c r="L1256" s="189" t="s">
        <v>110</v>
      </c>
      <c r="M1256" s="189" t="s">
        <v>973</v>
      </c>
      <c r="N1256" s="189" t="s">
        <v>701</v>
      </c>
      <c r="O1256" s="189" t="s">
        <v>107</v>
      </c>
      <c r="P1256" s="189" t="s">
        <v>111</v>
      </c>
      <c r="Q1256" s="189" t="s">
        <v>145</v>
      </c>
      <c r="R1256" s="189" t="s">
        <v>25</v>
      </c>
      <c r="S1256" s="189" t="s">
        <v>152</v>
      </c>
      <c r="T1256" s="189" t="s">
        <v>121</v>
      </c>
      <c r="V1256" s="189" t="s">
        <v>192</v>
      </c>
      <c r="W1256" s="189" t="s">
        <v>124</v>
      </c>
      <c r="X1256" s="189" t="s">
        <v>1712</v>
      </c>
      <c r="Y1256" s="189" t="s">
        <v>3069</v>
      </c>
      <c r="Z1256" s="0" t="n">
        <v>1</v>
      </c>
      <c r="AA1256" s="189" t="s">
        <v>3309</v>
      </c>
    </row>
    <row r="1257" customFormat="false" ht="15" hidden="false" customHeight="false" outlineLevel="0" collapsed="false">
      <c r="A1257" s="0" t="n">
        <v>267</v>
      </c>
      <c r="B1257" s="191" t="n">
        <v>46099.8497530341</v>
      </c>
      <c r="C1257" s="191" t="n">
        <v>46099.8521720156</v>
      </c>
      <c r="D1257" s="189" t="s">
        <v>1834</v>
      </c>
      <c r="E1257" s="189" t="s">
        <v>1835</v>
      </c>
      <c r="F1257" s="189" t="s">
        <v>1835</v>
      </c>
      <c r="G1257" s="189" t="s">
        <v>1836</v>
      </c>
      <c r="H1257" s="191" t="n">
        <v>46094</v>
      </c>
      <c r="I1257" s="189" t="s">
        <v>113</v>
      </c>
      <c r="J1257" s="189" t="s">
        <v>108</v>
      </c>
      <c r="K1257" s="189" t="s">
        <v>158</v>
      </c>
      <c r="L1257" s="189" t="s">
        <v>110</v>
      </c>
      <c r="M1257" s="189" t="s">
        <v>973</v>
      </c>
      <c r="N1257" s="189" t="s">
        <v>701</v>
      </c>
      <c r="O1257" s="189" t="s">
        <v>107</v>
      </c>
      <c r="P1257" s="189" t="s">
        <v>111</v>
      </c>
      <c r="Q1257" s="189" t="s">
        <v>145</v>
      </c>
      <c r="R1257" s="189" t="s">
        <v>25</v>
      </c>
      <c r="S1257" s="189" t="s">
        <v>152</v>
      </c>
      <c r="T1257" s="189" t="s">
        <v>121</v>
      </c>
      <c r="V1257" s="189" t="s">
        <v>192</v>
      </c>
      <c r="W1257" s="189" t="s">
        <v>124</v>
      </c>
      <c r="X1257" s="189" t="s">
        <v>1712</v>
      </c>
      <c r="Y1257" s="189" t="s">
        <v>3069</v>
      </c>
      <c r="Z1257" s="0" t="n">
        <v>2</v>
      </c>
      <c r="AA1257" s="189" t="s">
        <v>3308</v>
      </c>
    </row>
    <row r="1258" customFormat="false" ht="15" hidden="false" customHeight="false" outlineLevel="0" collapsed="false">
      <c r="A1258" s="0" t="n">
        <v>268</v>
      </c>
      <c r="B1258" s="191" t="n">
        <v>46206.7773010793</v>
      </c>
      <c r="C1258" s="191" t="n">
        <v>46206.7832964496</v>
      </c>
      <c r="D1258" s="189" t="s">
        <v>1839</v>
      </c>
      <c r="E1258" s="189" t="s">
        <v>1840</v>
      </c>
      <c r="F1258" s="189" t="s">
        <v>1841</v>
      </c>
      <c r="G1258" s="189" t="s">
        <v>1842</v>
      </c>
      <c r="H1258" s="191" t="n">
        <v>46198</v>
      </c>
      <c r="I1258" s="189" t="s">
        <v>113</v>
      </c>
      <c r="J1258" s="189" t="s">
        <v>128</v>
      </c>
      <c r="K1258" s="189" t="s">
        <v>196</v>
      </c>
      <c r="L1258" s="189" t="s">
        <v>389</v>
      </c>
      <c r="M1258" s="189" t="s">
        <v>1380</v>
      </c>
      <c r="N1258" s="189" t="s">
        <v>1224</v>
      </c>
      <c r="O1258" s="189" t="s">
        <v>107</v>
      </c>
      <c r="P1258" s="189" t="s">
        <v>111</v>
      </c>
      <c r="Q1258" s="189" t="s">
        <v>112</v>
      </c>
      <c r="R1258" s="189" t="s">
        <v>22</v>
      </c>
      <c r="S1258" s="189" t="s">
        <v>152</v>
      </c>
      <c r="T1258" s="189" t="s">
        <v>121</v>
      </c>
      <c r="V1258" s="189" t="s">
        <v>192</v>
      </c>
      <c r="W1258" s="189" t="s">
        <v>124</v>
      </c>
      <c r="X1258" s="189" t="s">
        <v>715</v>
      </c>
      <c r="Y1258" s="189" t="s">
        <v>3064</v>
      </c>
      <c r="Z1258" s="0" t="n">
        <v>1</v>
      </c>
      <c r="AA1258" s="189" t="s">
        <v>3255</v>
      </c>
    </row>
    <row r="1259" customFormat="false" ht="15" hidden="false" customHeight="false" outlineLevel="0" collapsed="false">
      <c r="A1259" s="0" t="n">
        <v>268</v>
      </c>
      <c r="B1259" s="191" t="n">
        <v>46206.7773010793</v>
      </c>
      <c r="C1259" s="191" t="n">
        <v>46206.7832964496</v>
      </c>
      <c r="D1259" s="189" t="s">
        <v>1839</v>
      </c>
      <c r="E1259" s="189" t="s">
        <v>1840</v>
      </c>
      <c r="F1259" s="189" t="s">
        <v>1841</v>
      </c>
      <c r="G1259" s="189" t="s">
        <v>1842</v>
      </c>
      <c r="H1259" s="191" t="n">
        <v>46198</v>
      </c>
      <c r="I1259" s="189" t="s">
        <v>113</v>
      </c>
      <c r="J1259" s="189" t="s">
        <v>128</v>
      </c>
      <c r="K1259" s="189" t="s">
        <v>196</v>
      </c>
      <c r="L1259" s="189" t="s">
        <v>389</v>
      </c>
      <c r="M1259" s="189" t="s">
        <v>1380</v>
      </c>
      <c r="N1259" s="189" t="s">
        <v>1224</v>
      </c>
      <c r="O1259" s="189" t="s">
        <v>107</v>
      </c>
      <c r="P1259" s="189" t="s">
        <v>111</v>
      </c>
      <c r="Q1259" s="189" t="s">
        <v>112</v>
      </c>
      <c r="R1259" s="189" t="s">
        <v>22</v>
      </c>
      <c r="S1259" s="189" t="s">
        <v>152</v>
      </c>
      <c r="T1259" s="189" t="s">
        <v>121</v>
      </c>
      <c r="V1259" s="189" t="s">
        <v>192</v>
      </c>
      <c r="W1259" s="189" t="s">
        <v>124</v>
      </c>
      <c r="X1259" s="189" t="s">
        <v>715</v>
      </c>
      <c r="Y1259" s="189" t="s">
        <v>3066</v>
      </c>
      <c r="Z1259" s="0" t="n">
        <v>1</v>
      </c>
      <c r="AA1259" s="189" t="s">
        <v>2531</v>
      </c>
    </row>
    <row r="1260" customFormat="false" ht="15" hidden="false" customHeight="false" outlineLevel="0" collapsed="false">
      <c r="A1260" s="0" t="n">
        <v>268</v>
      </c>
      <c r="B1260" s="191" t="n">
        <v>46206.7773010793</v>
      </c>
      <c r="C1260" s="191" t="n">
        <v>46206.7832964496</v>
      </c>
      <c r="D1260" s="189" t="s">
        <v>1839</v>
      </c>
      <c r="E1260" s="189" t="s">
        <v>1840</v>
      </c>
      <c r="F1260" s="189" t="s">
        <v>1841</v>
      </c>
      <c r="G1260" s="189" t="s">
        <v>1842</v>
      </c>
      <c r="H1260" s="191" t="n">
        <v>46198</v>
      </c>
      <c r="I1260" s="189" t="s">
        <v>113</v>
      </c>
      <c r="J1260" s="189" t="s">
        <v>128</v>
      </c>
      <c r="K1260" s="189" t="s">
        <v>196</v>
      </c>
      <c r="L1260" s="189" t="s">
        <v>389</v>
      </c>
      <c r="M1260" s="189" t="s">
        <v>1380</v>
      </c>
      <c r="N1260" s="189" t="s">
        <v>1224</v>
      </c>
      <c r="O1260" s="189" t="s">
        <v>107</v>
      </c>
      <c r="P1260" s="189" t="s">
        <v>111</v>
      </c>
      <c r="Q1260" s="189" t="s">
        <v>112</v>
      </c>
      <c r="R1260" s="189" t="s">
        <v>22</v>
      </c>
      <c r="S1260" s="189" t="s">
        <v>152</v>
      </c>
      <c r="T1260" s="189" t="s">
        <v>121</v>
      </c>
      <c r="V1260" s="189" t="s">
        <v>192</v>
      </c>
      <c r="W1260" s="189" t="s">
        <v>124</v>
      </c>
      <c r="X1260" s="189" t="s">
        <v>715</v>
      </c>
      <c r="Y1260" s="189" t="s">
        <v>3069</v>
      </c>
      <c r="Z1260" s="0" t="n">
        <v>1</v>
      </c>
      <c r="AA1260" s="189" t="s">
        <v>3228</v>
      </c>
    </row>
    <row r="1261" customFormat="false" ht="15" hidden="false" customHeight="false" outlineLevel="0" collapsed="false">
      <c r="A1261" s="0" t="n">
        <v>269</v>
      </c>
      <c r="B1261" s="191" t="n">
        <v>46087.7968632829</v>
      </c>
      <c r="C1261" s="191" t="n">
        <v>46087.799062357</v>
      </c>
      <c r="D1261" s="189" t="s">
        <v>1845</v>
      </c>
      <c r="E1261" s="189" t="s">
        <v>1846</v>
      </c>
      <c r="F1261" s="189" t="s">
        <v>1846</v>
      </c>
      <c r="G1261" s="189" t="s">
        <v>1847</v>
      </c>
      <c r="H1261" s="191" t="n">
        <v>46073</v>
      </c>
      <c r="I1261" s="189" t="s">
        <v>113</v>
      </c>
      <c r="J1261" s="189" t="s">
        <v>295</v>
      </c>
      <c r="K1261" s="189" t="s">
        <v>462</v>
      </c>
      <c r="L1261" s="189" t="s">
        <v>210</v>
      </c>
      <c r="M1261" s="189" t="s">
        <v>686</v>
      </c>
      <c r="N1261" s="189" t="s">
        <v>552</v>
      </c>
      <c r="O1261" s="189" t="s">
        <v>244</v>
      </c>
      <c r="P1261" s="189" t="s">
        <v>111</v>
      </c>
      <c r="Q1261" s="189" t="s">
        <v>112</v>
      </c>
      <c r="R1261" s="189" t="s">
        <v>22</v>
      </c>
      <c r="S1261" s="189" t="s">
        <v>152</v>
      </c>
      <c r="T1261" s="189" t="s">
        <v>400</v>
      </c>
      <c r="V1261" s="189" t="s">
        <v>192</v>
      </c>
      <c r="W1261" s="189" t="s">
        <v>124</v>
      </c>
      <c r="X1261" s="189" t="s">
        <v>176</v>
      </c>
      <c r="Y1261" s="189" t="s">
        <v>3064</v>
      </c>
      <c r="Z1261" s="0" t="n">
        <v>1</v>
      </c>
      <c r="AA1261" s="189" t="s">
        <v>3086</v>
      </c>
    </row>
    <row r="1262" customFormat="false" ht="15" hidden="false" customHeight="false" outlineLevel="0" collapsed="false">
      <c r="A1262" s="0" t="n">
        <v>269</v>
      </c>
      <c r="B1262" s="191" t="n">
        <v>46087.7968632829</v>
      </c>
      <c r="C1262" s="191" t="n">
        <v>46087.799062357</v>
      </c>
      <c r="D1262" s="189" t="s">
        <v>1845</v>
      </c>
      <c r="E1262" s="189" t="s">
        <v>1846</v>
      </c>
      <c r="F1262" s="189" t="s">
        <v>1846</v>
      </c>
      <c r="G1262" s="189" t="s">
        <v>1847</v>
      </c>
      <c r="H1262" s="191" t="n">
        <v>46073</v>
      </c>
      <c r="I1262" s="189" t="s">
        <v>113</v>
      </c>
      <c r="J1262" s="189" t="s">
        <v>295</v>
      </c>
      <c r="K1262" s="189" t="s">
        <v>462</v>
      </c>
      <c r="L1262" s="189" t="s">
        <v>210</v>
      </c>
      <c r="M1262" s="189" t="s">
        <v>686</v>
      </c>
      <c r="N1262" s="189" t="s">
        <v>552</v>
      </c>
      <c r="O1262" s="189" t="s">
        <v>244</v>
      </c>
      <c r="P1262" s="189" t="s">
        <v>111</v>
      </c>
      <c r="Q1262" s="189" t="s">
        <v>112</v>
      </c>
      <c r="R1262" s="189" t="s">
        <v>22</v>
      </c>
      <c r="S1262" s="189" t="s">
        <v>152</v>
      </c>
      <c r="T1262" s="189" t="s">
        <v>400</v>
      </c>
      <c r="V1262" s="189" t="s">
        <v>192</v>
      </c>
      <c r="W1262" s="189" t="s">
        <v>124</v>
      </c>
      <c r="X1262" s="189" t="s">
        <v>176</v>
      </c>
      <c r="Y1262" s="189" t="s">
        <v>3066</v>
      </c>
      <c r="Z1262" s="0" t="n">
        <v>1</v>
      </c>
      <c r="AA1262" s="189" t="s">
        <v>3293</v>
      </c>
    </row>
    <row r="1263" customFormat="false" ht="15" hidden="false" customHeight="false" outlineLevel="0" collapsed="false">
      <c r="A1263" s="0" t="n">
        <v>269</v>
      </c>
      <c r="B1263" s="191" t="n">
        <v>46087.7968632829</v>
      </c>
      <c r="C1263" s="191" t="n">
        <v>46087.799062357</v>
      </c>
      <c r="D1263" s="189" t="s">
        <v>1845</v>
      </c>
      <c r="E1263" s="189" t="s">
        <v>1846</v>
      </c>
      <c r="F1263" s="189" t="s">
        <v>1846</v>
      </c>
      <c r="G1263" s="189" t="s">
        <v>1847</v>
      </c>
      <c r="H1263" s="191" t="n">
        <v>46073</v>
      </c>
      <c r="I1263" s="189" t="s">
        <v>113</v>
      </c>
      <c r="J1263" s="189" t="s">
        <v>295</v>
      </c>
      <c r="K1263" s="189" t="s">
        <v>462</v>
      </c>
      <c r="L1263" s="189" t="s">
        <v>210</v>
      </c>
      <c r="M1263" s="189" t="s">
        <v>686</v>
      </c>
      <c r="N1263" s="189" t="s">
        <v>552</v>
      </c>
      <c r="O1263" s="189" t="s">
        <v>244</v>
      </c>
      <c r="P1263" s="189" t="s">
        <v>111</v>
      </c>
      <c r="Q1263" s="189" t="s">
        <v>112</v>
      </c>
      <c r="R1263" s="189" t="s">
        <v>22</v>
      </c>
      <c r="S1263" s="189" t="s">
        <v>152</v>
      </c>
      <c r="T1263" s="189" t="s">
        <v>400</v>
      </c>
      <c r="V1263" s="189" t="s">
        <v>192</v>
      </c>
      <c r="W1263" s="189" t="s">
        <v>124</v>
      </c>
      <c r="X1263" s="189" t="s">
        <v>176</v>
      </c>
      <c r="Y1263" s="189" t="s">
        <v>3069</v>
      </c>
      <c r="Z1263" s="0" t="n">
        <v>1</v>
      </c>
      <c r="AA1263" s="189" t="s">
        <v>3084</v>
      </c>
    </row>
    <row r="1264" customFormat="false" ht="15" hidden="false" customHeight="false" outlineLevel="0" collapsed="false">
      <c r="A1264" s="0" t="n">
        <v>270</v>
      </c>
      <c r="B1264" s="191" t="n">
        <v>46186.2349596462</v>
      </c>
      <c r="C1264" s="191" t="n">
        <v>46186.2403184425</v>
      </c>
      <c r="D1264" s="189" t="s">
        <v>1850</v>
      </c>
      <c r="E1264" s="189" t="s">
        <v>1851</v>
      </c>
      <c r="F1264" s="189" t="s">
        <v>1851</v>
      </c>
      <c r="G1264" s="189" t="s">
        <v>1852</v>
      </c>
      <c r="H1264" s="191" t="n">
        <v>46173</v>
      </c>
      <c r="I1264" s="189" t="s">
        <v>113</v>
      </c>
      <c r="J1264" s="189" t="s">
        <v>295</v>
      </c>
      <c r="K1264" s="189" t="s">
        <v>143</v>
      </c>
      <c r="L1264" s="189" t="s">
        <v>286</v>
      </c>
      <c r="M1264" s="189" t="s">
        <v>114</v>
      </c>
      <c r="N1264" s="189" t="s">
        <v>625</v>
      </c>
      <c r="O1264" s="189" t="s">
        <v>244</v>
      </c>
      <c r="P1264" s="189" t="s">
        <v>211</v>
      </c>
      <c r="Q1264" s="189" t="s">
        <v>112</v>
      </c>
      <c r="R1264" s="189" t="s">
        <v>21</v>
      </c>
      <c r="S1264" s="189" t="s">
        <v>152</v>
      </c>
      <c r="T1264" s="189" t="s">
        <v>180</v>
      </c>
      <c r="U1264" s="189" t="s">
        <v>122</v>
      </c>
      <c r="V1264" s="189" t="s">
        <v>123</v>
      </c>
      <c r="W1264" s="189" t="s">
        <v>168</v>
      </c>
      <c r="X1264" s="189" t="s">
        <v>250</v>
      </c>
      <c r="Y1264" s="189" t="s">
        <v>3064</v>
      </c>
      <c r="Z1264" s="0" t="n">
        <v>1</v>
      </c>
      <c r="AA1264" s="189" t="s">
        <v>3081</v>
      </c>
    </row>
    <row r="1265" customFormat="false" ht="15" hidden="false" customHeight="false" outlineLevel="0" collapsed="false">
      <c r="A1265" s="0" t="n">
        <v>270</v>
      </c>
      <c r="B1265" s="191" t="n">
        <v>46186.2349596462</v>
      </c>
      <c r="C1265" s="191" t="n">
        <v>46186.2403184425</v>
      </c>
      <c r="D1265" s="189" t="s">
        <v>1850</v>
      </c>
      <c r="E1265" s="189" t="s">
        <v>1851</v>
      </c>
      <c r="F1265" s="189" t="s">
        <v>1851</v>
      </c>
      <c r="G1265" s="189" t="s">
        <v>1852</v>
      </c>
      <c r="H1265" s="191" t="n">
        <v>46173</v>
      </c>
      <c r="I1265" s="189" t="s">
        <v>113</v>
      </c>
      <c r="J1265" s="189" t="s">
        <v>295</v>
      </c>
      <c r="K1265" s="189" t="s">
        <v>143</v>
      </c>
      <c r="L1265" s="189" t="s">
        <v>286</v>
      </c>
      <c r="M1265" s="189" t="s">
        <v>114</v>
      </c>
      <c r="N1265" s="189" t="s">
        <v>625</v>
      </c>
      <c r="O1265" s="189" t="s">
        <v>244</v>
      </c>
      <c r="P1265" s="189" t="s">
        <v>211</v>
      </c>
      <c r="Q1265" s="189" t="s">
        <v>112</v>
      </c>
      <c r="R1265" s="189" t="s">
        <v>21</v>
      </c>
      <c r="S1265" s="189" t="s">
        <v>152</v>
      </c>
      <c r="T1265" s="189" t="s">
        <v>180</v>
      </c>
      <c r="U1265" s="189" t="s">
        <v>122</v>
      </c>
      <c r="V1265" s="189" t="s">
        <v>123</v>
      </c>
      <c r="W1265" s="189" t="s">
        <v>168</v>
      </c>
      <c r="X1265" s="189" t="s">
        <v>250</v>
      </c>
      <c r="Y1265" s="189" t="s">
        <v>3066</v>
      </c>
      <c r="Z1265" s="0" t="n">
        <v>1</v>
      </c>
      <c r="AA1265" s="189" t="s">
        <v>3082</v>
      </c>
    </row>
    <row r="1266" customFormat="false" ht="15" hidden="false" customHeight="false" outlineLevel="0" collapsed="false">
      <c r="A1266" s="0" t="n">
        <v>270</v>
      </c>
      <c r="B1266" s="191" t="n">
        <v>46186.2349596462</v>
      </c>
      <c r="C1266" s="191" t="n">
        <v>46186.2403184425</v>
      </c>
      <c r="D1266" s="189" t="s">
        <v>1850</v>
      </c>
      <c r="E1266" s="189" t="s">
        <v>1851</v>
      </c>
      <c r="F1266" s="189" t="s">
        <v>1851</v>
      </c>
      <c r="G1266" s="189" t="s">
        <v>1852</v>
      </c>
      <c r="H1266" s="191" t="n">
        <v>46173</v>
      </c>
      <c r="I1266" s="189" t="s">
        <v>113</v>
      </c>
      <c r="J1266" s="189" t="s">
        <v>295</v>
      </c>
      <c r="K1266" s="189" t="s">
        <v>143</v>
      </c>
      <c r="L1266" s="189" t="s">
        <v>286</v>
      </c>
      <c r="M1266" s="189" t="s">
        <v>114</v>
      </c>
      <c r="N1266" s="189" t="s">
        <v>625</v>
      </c>
      <c r="O1266" s="189" t="s">
        <v>244</v>
      </c>
      <c r="P1266" s="189" t="s">
        <v>211</v>
      </c>
      <c r="Q1266" s="189" t="s">
        <v>112</v>
      </c>
      <c r="R1266" s="189" t="s">
        <v>21</v>
      </c>
      <c r="S1266" s="189" t="s">
        <v>152</v>
      </c>
      <c r="T1266" s="189" t="s">
        <v>180</v>
      </c>
      <c r="U1266" s="189" t="s">
        <v>122</v>
      </c>
      <c r="V1266" s="189" t="s">
        <v>123</v>
      </c>
      <c r="W1266" s="189" t="s">
        <v>168</v>
      </c>
      <c r="X1266" s="189" t="s">
        <v>250</v>
      </c>
      <c r="Y1266" s="189" t="s">
        <v>3066</v>
      </c>
      <c r="Z1266" s="0" t="n">
        <v>2</v>
      </c>
      <c r="AA1266" s="189" t="s">
        <v>122</v>
      </c>
    </row>
    <row r="1267" customFormat="false" ht="15" hidden="false" customHeight="false" outlineLevel="0" collapsed="false">
      <c r="A1267" s="0" t="n">
        <v>270</v>
      </c>
      <c r="B1267" s="191" t="n">
        <v>46186.2349596462</v>
      </c>
      <c r="C1267" s="191" t="n">
        <v>46186.2403184425</v>
      </c>
      <c r="D1267" s="189" t="s">
        <v>1850</v>
      </c>
      <c r="E1267" s="189" t="s">
        <v>1851</v>
      </c>
      <c r="F1267" s="189" t="s">
        <v>1851</v>
      </c>
      <c r="G1267" s="189" t="s">
        <v>1852</v>
      </c>
      <c r="H1267" s="191" t="n">
        <v>46173</v>
      </c>
      <c r="I1267" s="189" t="s">
        <v>113</v>
      </c>
      <c r="J1267" s="189" t="s">
        <v>295</v>
      </c>
      <c r="K1267" s="189" t="s">
        <v>143</v>
      </c>
      <c r="L1267" s="189" t="s">
        <v>286</v>
      </c>
      <c r="M1267" s="189" t="s">
        <v>114</v>
      </c>
      <c r="N1267" s="189" t="s">
        <v>625</v>
      </c>
      <c r="O1267" s="189" t="s">
        <v>244</v>
      </c>
      <c r="P1267" s="189" t="s">
        <v>211</v>
      </c>
      <c r="Q1267" s="189" t="s">
        <v>112</v>
      </c>
      <c r="R1267" s="189" t="s">
        <v>21</v>
      </c>
      <c r="S1267" s="189" t="s">
        <v>152</v>
      </c>
      <c r="T1267" s="189" t="s">
        <v>180</v>
      </c>
      <c r="U1267" s="189" t="s">
        <v>122</v>
      </c>
      <c r="V1267" s="189" t="s">
        <v>123</v>
      </c>
      <c r="W1267" s="189" t="s">
        <v>168</v>
      </c>
      <c r="X1267" s="189" t="s">
        <v>250</v>
      </c>
      <c r="Y1267" s="189" t="s">
        <v>3069</v>
      </c>
      <c r="Z1267" s="0" t="n">
        <v>1</v>
      </c>
      <c r="AA1267" s="189" t="s">
        <v>3070</v>
      </c>
    </row>
    <row r="1268" customFormat="false" ht="15" hidden="false" customHeight="false" outlineLevel="0" collapsed="false">
      <c r="A1268" s="0" t="n">
        <v>270</v>
      </c>
      <c r="B1268" s="191" t="n">
        <v>46186.2349596462</v>
      </c>
      <c r="C1268" s="191" t="n">
        <v>46186.2403184425</v>
      </c>
      <c r="D1268" s="189" t="s">
        <v>1850</v>
      </c>
      <c r="E1268" s="189" t="s">
        <v>1851</v>
      </c>
      <c r="F1268" s="189" t="s">
        <v>1851</v>
      </c>
      <c r="G1268" s="189" t="s">
        <v>1852</v>
      </c>
      <c r="H1268" s="191" t="n">
        <v>46173</v>
      </c>
      <c r="I1268" s="189" t="s">
        <v>113</v>
      </c>
      <c r="J1268" s="189" t="s">
        <v>295</v>
      </c>
      <c r="K1268" s="189" t="s">
        <v>143</v>
      </c>
      <c r="L1268" s="189" t="s">
        <v>286</v>
      </c>
      <c r="M1268" s="189" t="s">
        <v>114</v>
      </c>
      <c r="N1268" s="189" t="s">
        <v>625</v>
      </c>
      <c r="O1268" s="189" t="s">
        <v>244</v>
      </c>
      <c r="P1268" s="189" t="s">
        <v>211</v>
      </c>
      <c r="Q1268" s="189" t="s">
        <v>112</v>
      </c>
      <c r="R1268" s="189" t="s">
        <v>21</v>
      </c>
      <c r="S1268" s="189" t="s">
        <v>152</v>
      </c>
      <c r="T1268" s="189" t="s">
        <v>180</v>
      </c>
      <c r="U1268" s="189" t="s">
        <v>122</v>
      </c>
      <c r="V1268" s="189" t="s">
        <v>123</v>
      </c>
      <c r="W1268" s="189" t="s">
        <v>168</v>
      </c>
      <c r="X1268" s="189" t="s">
        <v>250</v>
      </c>
      <c r="Y1268" s="189" t="s">
        <v>3069</v>
      </c>
      <c r="Z1268" s="0" t="n">
        <v>2</v>
      </c>
      <c r="AA1268" s="189" t="s">
        <v>3083</v>
      </c>
    </row>
    <row r="1269" customFormat="false" ht="15" hidden="false" customHeight="false" outlineLevel="0" collapsed="false">
      <c r="A1269" s="0" t="n">
        <v>271</v>
      </c>
      <c r="B1269" s="191" t="n">
        <v>46142.8183093133</v>
      </c>
      <c r="C1269" s="191" t="n">
        <v>46142.8221056096</v>
      </c>
      <c r="D1269" s="189" t="s">
        <v>1853</v>
      </c>
      <c r="E1269" s="189" t="s">
        <v>1854</v>
      </c>
      <c r="F1269" s="189" t="s">
        <v>1854</v>
      </c>
      <c r="G1269" s="189" t="s">
        <v>1855</v>
      </c>
      <c r="H1269" s="191" t="n">
        <v>46124</v>
      </c>
      <c r="I1269" s="189" t="s">
        <v>305</v>
      </c>
      <c r="J1269" s="189" t="s">
        <v>128</v>
      </c>
      <c r="K1269" s="189" t="s">
        <v>245</v>
      </c>
      <c r="L1269" s="189" t="s">
        <v>431</v>
      </c>
      <c r="M1269" s="189" t="s">
        <v>391</v>
      </c>
      <c r="N1269" s="189" t="s">
        <v>280</v>
      </c>
      <c r="O1269" s="189" t="s">
        <v>107</v>
      </c>
      <c r="P1269" s="189" t="s">
        <v>111</v>
      </c>
      <c r="Q1269" s="189" t="s">
        <v>112</v>
      </c>
      <c r="R1269" s="189" t="s">
        <v>22</v>
      </c>
      <c r="S1269" s="189" t="s">
        <v>152</v>
      </c>
      <c r="T1269" s="189" t="s">
        <v>352</v>
      </c>
      <c r="V1269" s="189" t="s">
        <v>123</v>
      </c>
      <c r="W1269" s="189" t="s">
        <v>124</v>
      </c>
      <c r="X1269" s="189" t="s">
        <v>271</v>
      </c>
      <c r="Y1269" s="189" t="s">
        <v>3064</v>
      </c>
      <c r="Z1269" s="0" t="n">
        <v>1</v>
      </c>
      <c r="AA1269" s="189" t="s">
        <v>3114</v>
      </c>
    </row>
    <row r="1270" customFormat="false" ht="15" hidden="false" customHeight="false" outlineLevel="0" collapsed="false">
      <c r="A1270" s="0" t="n">
        <v>271</v>
      </c>
      <c r="B1270" s="191" t="n">
        <v>46142.8183093133</v>
      </c>
      <c r="C1270" s="191" t="n">
        <v>46142.8221056096</v>
      </c>
      <c r="D1270" s="189" t="s">
        <v>1853</v>
      </c>
      <c r="E1270" s="189" t="s">
        <v>1854</v>
      </c>
      <c r="F1270" s="189" t="s">
        <v>1854</v>
      </c>
      <c r="G1270" s="189" t="s">
        <v>1855</v>
      </c>
      <c r="H1270" s="191" t="n">
        <v>46124</v>
      </c>
      <c r="I1270" s="189" t="s">
        <v>305</v>
      </c>
      <c r="J1270" s="189" t="s">
        <v>128</v>
      </c>
      <c r="K1270" s="189" t="s">
        <v>245</v>
      </c>
      <c r="L1270" s="189" t="s">
        <v>431</v>
      </c>
      <c r="M1270" s="189" t="s">
        <v>391</v>
      </c>
      <c r="N1270" s="189" t="s">
        <v>280</v>
      </c>
      <c r="O1270" s="189" t="s">
        <v>107</v>
      </c>
      <c r="P1270" s="189" t="s">
        <v>111</v>
      </c>
      <c r="Q1270" s="189" t="s">
        <v>112</v>
      </c>
      <c r="R1270" s="189" t="s">
        <v>22</v>
      </c>
      <c r="S1270" s="189" t="s">
        <v>152</v>
      </c>
      <c r="T1270" s="189" t="s">
        <v>352</v>
      </c>
      <c r="V1270" s="189" t="s">
        <v>123</v>
      </c>
      <c r="W1270" s="189" t="s">
        <v>124</v>
      </c>
      <c r="X1270" s="189" t="s">
        <v>271</v>
      </c>
      <c r="Y1270" s="189" t="s">
        <v>3066</v>
      </c>
      <c r="Z1270" s="0" t="n">
        <v>1</v>
      </c>
      <c r="AA1270" s="189" t="s">
        <v>3266</v>
      </c>
    </row>
    <row r="1271" customFormat="false" ht="15" hidden="false" customHeight="false" outlineLevel="0" collapsed="false">
      <c r="A1271" s="0" t="n">
        <v>271</v>
      </c>
      <c r="B1271" s="191" t="n">
        <v>46142.8183093133</v>
      </c>
      <c r="C1271" s="191" t="n">
        <v>46142.8221056096</v>
      </c>
      <c r="D1271" s="189" t="s">
        <v>1853</v>
      </c>
      <c r="E1271" s="189" t="s">
        <v>1854</v>
      </c>
      <c r="F1271" s="189" t="s">
        <v>1854</v>
      </c>
      <c r="G1271" s="189" t="s">
        <v>1855</v>
      </c>
      <c r="H1271" s="191" t="n">
        <v>46124</v>
      </c>
      <c r="I1271" s="189" t="s">
        <v>305</v>
      </c>
      <c r="J1271" s="189" t="s">
        <v>128</v>
      </c>
      <c r="K1271" s="189" t="s">
        <v>245</v>
      </c>
      <c r="L1271" s="189" t="s">
        <v>431</v>
      </c>
      <c r="M1271" s="189" t="s">
        <v>391</v>
      </c>
      <c r="N1271" s="189" t="s">
        <v>280</v>
      </c>
      <c r="O1271" s="189" t="s">
        <v>107</v>
      </c>
      <c r="P1271" s="189" t="s">
        <v>111</v>
      </c>
      <c r="Q1271" s="189" t="s">
        <v>112</v>
      </c>
      <c r="R1271" s="189" t="s">
        <v>22</v>
      </c>
      <c r="S1271" s="189" t="s">
        <v>152</v>
      </c>
      <c r="T1271" s="189" t="s">
        <v>352</v>
      </c>
      <c r="V1271" s="189" t="s">
        <v>123</v>
      </c>
      <c r="W1271" s="189" t="s">
        <v>124</v>
      </c>
      <c r="X1271" s="189" t="s">
        <v>271</v>
      </c>
      <c r="Y1271" s="189" t="s">
        <v>3066</v>
      </c>
      <c r="Z1271" s="0" t="n">
        <v>2</v>
      </c>
      <c r="AA1271" s="189" t="s">
        <v>3117</v>
      </c>
    </row>
    <row r="1272" customFormat="false" ht="15" hidden="false" customHeight="false" outlineLevel="0" collapsed="false">
      <c r="A1272" s="0" t="n">
        <v>271</v>
      </c>
      <c r="B1272" s="191" t="n">
        <v>46142.8183093133</v>
      </c>
      <c r="C1272" s="191" t="n">
        <v>46142.8221056096</v>
      </c>
      <c r="D1272" s="189" t="s">
        <v>1853</v>
      </c>
      <c r="E1272" s="189" t="s">
        <v>1854</v>
      </c>
      <c r="F1272" s="189" t="s">
        <v>1854</v>
      </c>
      <c r="G1272" s="189" t="s">
        <v>1855</v>
      </c>
      <c r="H1272" s="191" t="n">
        <v>46124</v>
      </c>
      <c r="I1272" s="189" t="s">
        <v>305</v>
      </c>
      <c r="J1272" s="189" t="s">
        <v>128</v>
      </c>
      <c r="K1272" s="189" t="s">
        <v>245</v>
      </c>
      <c r="L1272" s="189" t="s">
        <v>431</v>
      </c>
      <c r="M1272" s="189" t="s">
        <v>391</v>
      </c>
      <c r="N1272" s="189" t="s">
        <v>280</v>
      </c>
      <c r="O1272" s="189" t="s">
        <v>107</v>
      </c>
      <c r="P1272" s="189" t="s">
        <v>111</v>
      </c>
      <c r="Q1272" s="189" t="s">
        <v>112</v>
      </c>
      <c r="R1272" s="189" t="s">
        <v>22</v>
      </c>
      <c r="S1272" s="189" t="s">
        <v>152</v>
      </c>
      <c r="T1272" s="189" t="s">
        <v>352</v>
      </c>
      <c r="V1272" s="189" t="s">
        <v>123</v>
      </c>
      <c r="W1272" s="189" t="s">
        <v>124</v>
      </c>
      <c r="X1272" s="189" t="s">
        <v>271</v>
      </c>
      <c r="Y1272" s="189" t="s">
        <v>3069</v>
      </c>
      <c r="Z1272" s="0" t="n">
        <v>1</v>
      </c>
      <c r="AA1272" s="189" t="s">
        <v>3118</v>
      </c>
    </row>
    <row r="1273" customFormat="false" ht="15" hidden="false" customHeight="false" outlineLevel="0" collapsed="false">
      <c r="A1273" s="0" t="n">
        <v>272</v>
      </c>
      <c r="B1273" s="191" t="n">
        <v>46185.5459886358</v>
      </c>
      <c r="C1273" s="191" t="n">
        <v>46185.5521576173</v>
      </c>
      <c r="D1273" s="189" t="s">
        <v>1856</v>
      </c>
      <c r="E1273" s="189" t="s">
        <v>1857</v>
      </c>
      <c r="F1273" s="189" t="s">
        <v>1857</v>
      </c>
      <c r="G1273" s="189" t="s">
        <v>1858</v>
      </c>
      <c r="H1273" s="191" t="n">
        <v>46165</v>
      </c>
      <c r="I1273" s="189" t="s">
        <v>325</v>
      </c>
      <c r="J1273" s="189" t="s">
        <v>128</v>
      </c>
      <c r="K1273" s="189" t="s">
        <v>196</v>
      </c>
      <c r="L1273" s="189" t="s">
        <v>144</v>
      </c>
      <c r="M1273" s="189" t="s">
        <v>146</v>
      </c>
      <c r="N1273" s="189" t="s">
        <v>606</v>
      </c>
      <c r="O1273" s="189" t="s">
        <v>107</v>
      </c>
      <c r="P1273" s="189" t="s">
        <v>111</v>
      </c>
      <c r="Q1273" s="189" t="s">
        <v>112</v>
      </c>
      <c r="R1273" s="189" t="s">
        <v>24</v>
      </c>
      <c r="S1273" s="189" t="s">
        <v>152</v>
      </c>
      <c r="T1273" s="189" t="s">
        <v>228</v>
      </c>
      <c r="U1273" s="189" t="s">
        <v>369</v>
      </c>
      <c r="V1273" s="189" t="s">
        <v>192</v>
      </c>
      <c r="W1273" s="189" t="s">
        <v>124</v>
      </c>
      <c r="X1273" s="189" t="s">
        <v>214</v>
      </c>
      <c r="Y1273" s="189" t="s">
        <v>3064</v>
      </c>
      <c r="Z1273" s="0" t="n">
        <v>1</v>
      </c>
      <c r="AA1273" s="189" t="s">
        <v>3139</v>
      </c>
    </row>
    <row r="1274" customFormat="false" ht="15" hidden="false" customHeight="false" outlineLevel="0" collapsed="false">
      <c r="A1274" s="0" t="n">
        <v>272</v>
      </c>
      <c r="B1274" s="191" t="n">
        <v>46185.5459886358</v>
      </c>
      <c r="C1274" s="191" t="n">
        <v>46185.5521576173</v>
      </c>
      <c r="D1274" s="189" t="s">
        <v>1856</v>
      </c>
      <c r="E1274" s="189" t="s">
        <v>1857</v>
      </c>
      <c r="F1274" s="189" t="s">
        <v>1857</v>
      </c>
      <c r="G1274" s="189" t="s">
        <v>1858</v>
      </c>
      <c r="H1274" s="191" t="n">
        <v>46165</v>
      </c>
      <c r="I1274" s="189" t="s">
        <v>325</v>
      </c>
      <c r="J1274" s="189" t="s">
        <v>128</v>
      </c>
      <c r="K1274" s="189" t="s">
        <v>196</v>
      </c>
      <c r="L1274" s="189" t="s">
        <v>144</v>
      </c>
      <c r="M1274" s="189" t="s">
        <v>146</v>
      </c>
      <c r="N1274" s="189" t="s">
        <v>606</v>
      </c>
      <c r="O1274" s="189" t="s">
        <v>107</v>
      </c>
      <c r="P1274" s="189" t="s">
        <v>111</v>
      </c>
      <c r="Q1274" s="189" t="s">
        <v>112</v>
      </c>
      <c r="R1274" s="189" t="s">
        <v>24</v>
      </c>
      <c r="S1274" s="189" t="s">
        <v>152</v>
      </c>
      <c r="T1274" s="189" t="s">
        <v>228</v>
      </c>
      <c r="U1274" s="189" t="s">
        <v>369</v>
      </c>
      <c r="V1274" s="189" t="s">
        <v>192</v>
      </c>
      <c r="W1274" s="189" t="s">
        <v>124</v>
      </c>
      <c r="X1274" s="189" t="s">
        <v>214</v>
      </c>
      <c r="Y1274" s="189" t="s">
        <v>3064</v>
      </c>
      <c r="Z1274" s="0" t="n">
        <v>2</v>
      </c>
      <c r="AA1274" s="189" t="s">
        <v>3081</v>
      </c>
    </row>
    <row r="1275" customFormat="false" ht="15" hidden="false" customHeight="false" outlineLevel="0" collapsed="false">
      <c r="A1275" s="0" t="n">
        <v>272</v>
      </c>
      <c r="B1275" s="191" t="n">
        <v>46185.5459886358</v>
      </c>
      <c r="C1275" s="191" t="n">
        <v>46185.5521576173</v>
      </c>
      <c r="D1275" s="189" t="s">
        <v>1856</v>
      </c>
      <c r="E1275" s="189" t="s">
        <v>1857</v>
      </c>
      <c r="F1275" s="189" t="s">
        <v>1857</v>
      </c>
      <c r="G1275" s="189" t="s">
        <v>1858</v>
      </c>
      <c r="H1275" s="191" t="n">
        <v>46165</v>
      </c>
      <c r="I1275" s="189" t="s">
        <v>325</v>
      </c>
      <c r="J1275" s="189" t="s">
        <v>128</v>
      </c>
      <c r="K1275" s="189" t="s">
        <v>196</v>
      </c>
      <c r="L1275" s="189" t="s">
        <v>144</v>
      </c>
      <c r="M1275" s="189" t="s">
        <v>146</v>
      </c>
      <c r="N1275" s="189" t="s">
        <v>606</v>
      </c>
      <c r="O1275" s="189" t="s">
        <v>107</v>
      </c>
      <c r="P1275" s="189" t="s">
        <v>111</v>
      </c>
      <c r="Q1275" s="189" t="s">
        <v>112</v>
      </c>
      <c r="R1275" s="189" t="s">
        <v>24</v>
      </c>
      <c r="S1275" s="189" t="s">
        <v>152</v>
      </c>
      <c r="T1275" s="189" t="s">
        <v>228</v>
      </c>
      <c r="U1275" s="189" t="s">
        <v>369</v>
      </c>
      <c r="V1275" s="189" t="s">
        <v>192</v>
      </c>
      <c r="W1275" s="189" t="s">
        <v>124</v>
      </c>
      <c r="X1275" s="189" t="s">
        <v>214</v>
      </c>
      <c r="Y1275" s="189" t="s">
        <v>3064</v>
      </c>
      <c r="Z1275" s="0" t="n">
        <v>3</v>
      </c>
      <c r="AA1275" s="189" t="s">
        <v>3095</v>
      </c>
    </row>
    <row r="1276" customFormat="false" ht="15" hidden="false" customHeight="false" outlineLevel="0" collapsed="false">
      <c r="A1276" s="0" t="n">
        <v>272</v>
      </c>
      <c r="B1276" s="191" t="n">
        <v>46185.5459886358</v>
      </c>
      <c r="C1276" s="191" t="n">
        <v>46185.5521576173</v>
      </c>
      <c r="D1276" s="189" t="s">
        <v>1856</v>
      </c>
      <c r="E1276" s="189" t="s">
        <v>1857</v>
      </c>
      <c r="F1276" s="189" t="s">
        <v>1857</v>
      </c>
      <c r="G1276" s="189" t="s">
        <v>1858</v>
      </c>
      <c r="H1276" s="191" t="n">
        <v>46165</v>
      </c>
      <c r="I1276" s="189" t="s">
        <v>325</v>
      </c>
      <c r="J1276" s="189" t="s">
        <v>128</v>
      </c>
      <c r="K1276" s="189" t="s">
        <v>196</v>
      </c>
      <c r="L1276" s="189" t="s">
        <v>144</v>
      </c>
      <c r="M1276" s="189" t="s">
        <v>146</v>
      </c>
      <c r="N1276" s="189" t="s">
        <v>606</v>
      </c>
      <c r="O1276" s="189" t="s">
        <v>107</v>
      </c>
      <c r="P1276" s="189" t="s">
        <v>111</v>
      </c>
      <c r="Q1276" s="189" t="s">
        <v>112</v>
      </c>
      <c r="R1276" s="189" t="s">
        <v>24</v>
      </c>
      <c r="S1276" s="189" t="s">
        <v>152</v>
      </c>
      <c r="T1276" s="189" t="s">
        <v>228</v>
      </c>
      <c r="U1276" s="189" t="s">
        <v>369</v>
      </c>
      <c r="V1276" s="189" t="s">
        <v>192</v>
      </c>
      <c r="W1276" s="189" t="s">
        <v>124</v>
      </c>
      <c r="X1276" s="189" t="s">
        <v>214</v>
      </c>
      <c r="Y1276" s="189" t="s">
        <v>3066</v>
      </c>
      <c r="Z1276" s="0" t="n">
        <v>1</v>
      </c>
      <c r="AA1276" s="189" t="s">
        <v>3082</v>
      </c>
    </row>
    <row r="1277" customFormat="false" ht="15" hidden="false" customHeight="false" outlineLevel="0" collapsed="false">
      <c r="A1277" s="0" t="n">
        <v>272</v>
      </c>
      <c r="B1277" s="191" t="n">
        <v>46185.5459886358</v>
      </c>
      <c r="C1277" s="191" t="n">
        <v>46185.5521576173</v>
      </c>
      <c r="D1277" s="189" t="s">
        <v>1856</v>
      </c>
      <c r="E1277" s="189" t="s">
        <v>1857</v>
      </c>
      <c r="F1277" s="189" t="s">
        <v>1857</v>
      </c>
      <c r="G1277" s="189" t="s">
        <v>1858</v>
      </c>
      <c r="H1277" s="191" t="n">
        <v>46165</v>
      </c>
      <c r="I1277" s="189" t="s">
        <v>325</v>
      </c>
      <c r="J1277" s="189" t="s">
        <v>128</v>
      </c>
      <c r="K1277" s="189" t="s">
        <v>196</v>
      </c>
      <c r="L1277" s="189" t="s">
        <v>144</v>
      </c>
      <c r="M1277" s="189" t="s">
        <v>146</v>
      </c>
      <c r="N1277" s="189" t="s">
        <v>606</v>
      </c>
      <c r="O1277" s="189" t="s">
        <v>107</v>
      </c>
      <c r="P1277" s="189" t="s">
        <v>111</v>
      </c>
      <c r="Q1277" s="189" t="s">
        <v>112</v>
      </c>
      <c r="R1277" s="189" t="s">
        <v>24</v>
      </c>
      <c r="S1277" s="189" t="s">
        <v>152</v>
      </c>
      <c r="T1277" s="189" t="s">
        <v>228</v>
      </c>
      <c r="U1277" s="189" t="s">
        <v>369</v>
      </c>
      <c r="V1277" s="189" t="s">
        <v>192</v>
      </c>
      <c r="W1277" s="189" t="s">
        <v>124</v>
      </c>
      <c r="X1277" s="189" t="s">
        <v>214</v>
      </c>
      <c r="Y1277" s="189" t="s">
        <v>3066</v>
      </c>
      <c r="Z1277" s="0" t="n">
        <v>2</v>
      </c>
      <c r="AA1277" s="189" t="s">
        <v>3067</v>
      </c>
    </row>
    <row r="1278" customFormat="false" ht="15" hidden="false" customHeight="false" outlineLevel="0" collapsed="false">
      <c r="A1278" s="0" t="n">
        <v>272</v>
      </c>
      <c r="B1278" s="191" t="n">
        <v>46185.5459886358</v>
      </c>
      <c r="C1278" s="191" t="n">
        <v>46185.5521576173</v>
      </c>
      <c r="D1278" s="189" t="s">
        <v>1856</v>
      </c>
      <c r="E1278" s="189" t="s">
        <v>1857</v>
      </c>
      <c r="F1278" s="189" t="s">
        <v>1857</v>
      </c>
      <c r="G1278" s="189" t="s">
        <v>1858</v>
      </c>
      <c r="H1278" s="191" t="n">
        <v>46165</v>
      </c>
      <c r="I1278" s="189" t="s">
        <v>325</v>
      </c>
      <c r="J1278" s="189" t="s">
        <v>128</v>
      </c>
      <c r="K1278" s="189" t="s">
        <v>196</v>
      </c>
      <c r="L1278" s="189" t="s">
        <v>144</v>
      </c>
      <c r="M1278" s="189" t="s">
        <v>146</v>
      </c>
      <c r="N1278" s="189" t="s">
        <v>606</v>
      </c>
      <c r="O1278" s="189" t="s">
        <v>107</v>
      </c>
      <c r="P1278" s="189" t="s">
        <v>111</v>
      </c>
      <c r="Q1278" s="189" t="s">
        <v>112</v>
      </c>
      <c r="R1278" s="189" t="s">
        <v>24</v>
      </c>
      <c r="S1278" s="189" t="s">
        <v>152</v>
      </c>
      <c r="T1278" s="189" t="s">
        <v>228</v>
      </c>
      <c r="U1278" s="189" t="s">
        <v>369</v>
      </c>
      <c r="V1278" s="189" t="s">
        <v>192</v>
      </c>
      <c r="W1278" s="189" t="s">
        <v>124</v>
      </c>
      <c r="X1278" s="189" t="s">
        <v>214</v>
      </c>
      <c r="Y1278" s="189" t="s">
        <v>3069</v>
      </c>
      <c r="Z1278" s="0" t="n">
        <v>1</v>
      </c>
      <c r="AA1278" s="189" t="s">
        <v>3140</v>
      </c>
    </row>
    <row r="1279" customFormat="false" ht="15" hidden="false" customHeight="false" outlineLevel="0" collapsed="false">
      <c r="A1279" s="0" t="n">
        <v>273</v>
      </c>
      <c r="B1279" s="191" t="n">
        <v>46108.7988026592</v>
      </c>
      <c r="C1279" s="191" t="n">
        <v>46108.8118350666</v>
      </c>
      <c r="D1279" s="189" t="s">
        <v>1860</v>
      </c>
      <c r="E1279" s="189" t="s">
        <v>1861</v>
      </c>
      <c r="F1279" s="189" t="s">
        <v>1861</v>
      </c>
      <c r="G1279" s="189" t="s">
        <v>1862</v>
      </c>
      <c r="H1279" s="191" t="n">
        <v>46107</v>
      </c>
      <c r="I1279" s="189" t="s">
        <v>325</v>
      </c>
      <c r="J1279" s="189" t="s">
        <v>108</v>
      </c>
      <c r="K1279" s="189" t="s">
        <v>1863</v>
      </c>
      <c r="L1279" s="189" t="s">
        <v>110</v>
      </c>
      <c r="M1279" s="189" t="s">
        <v>507</v>
      </c>
      <c r="N1279" s="189" t="s">
        <v>1243</v>
      </c>
      <c r="O1279" s="189" t="s">
        <v>244</v>
      </c>
      <c r="P1279" s="189" t="s">
        <v>111</v>
      </c>
      <c r="Q1279" s="189" t="s">
        <v>112</v>
      </c>
      <c r="R1279" s="189" t="s">
        <v>22</v>
      </c>
      <c r="S1279" s="189" t="s">
        <v>152</v>
      </c>
      <c r="T1279" s="189" t="s">
        <v>121</v>
      </c>
      <c r="U1279" s="189" t="s">
        <v>122</v>
      </c>
      <c r="V1279" s="189" t="s">
        <v>123</v>
      </c>
      <c r="W1279" s="189" t="s">
        <v>168</v>
      </c>
      <c r="X1279" s="189" t="s">
        <v>339</v>
      </c>
      <c r="Y1279" s="189" t="s">
        <v>3064</v>
      </c>
      <c r="Z1279" s="0" t="n">
        <v>1</v>
      </c>
      <c r="AA1279" s="189" t="s">
        <v>3198</v>
      </c>
    </row>
    <row r="1280" customFormat="false" ht="15" hidden="false" customHeight="false" outlineLevel="0" collapsed="false">
      <c r="A1280" s="0" t="n">
        <v>273</v>
      </c>
      <c r="B1280" s="191" t="n">
        <v>46108.7988026592</v>
      </c>
      <c r="C1280" s="191" t="n">
        <v>46108.8118350666</v>
      </c>
      <c r="D1280" s="189" t="s">
        <v>1860</v>
      </c>
      <c r="E1280" s="189" t="s">
        <v>1861</v>
      </c>
      <c r="F1280" s="189" t="s">
        <v>1861</v>
      </c>
      <c r="G1280" s="189" t="s">
        <v>1862</v>
      </c>
      <c r="H1280" s="191" t="n">
        <v>46107</v>
      </c>
      <c r="I1280" s="189" t="s">
        <v>325</v>
      </c>
      <c r="J1280" s="189" t="s">
        <v>108</v>
      </c>
      <c r="K1280" s="189" t="s">
        <v>1863</v>
      </c>
      <c r="L1280" s="189" t="s">
        <v>110</v>
      </c>
      <c r="M1280" s="189" t="s">
        <v>507</v>
      </c>
      <c r="N1280" s="189" t="s">
        <v>1243</v>
      </c>
      <c r="O1280" s="189" t="s">
        <v>244</v>
      </c>
      <c r="P1280" s="189" t="s">
        <v>111</v>
      </c>
      <c r="Q1280" s="189" t="s">
        <v>112</v>
      </c>
      <c r="R1280" s="189" t="s">
        <v>22</v>
      </c>
      <c r="S1280" s="189" t="s">
        <v>152</v>
      </c>
      <c r="T1280" s="189" t="s">
        <v>121</v>
      </c>
      <c r="U1280" s="189" t="s">
        <v>122</v>
      </c>
      <c r="V1280" s="189" t="s">
        <v>123</v>
      </c>
      <c r="W1280" s="189" t="s">
        <v>168</v>
      </c>
      <c r="X1280" s="189" t="s">
        <v>339</v>
      </c>
      <c r="Y1280" s="189" t="s">
        <v>3064</v>
      </c>
      <c r="Z1280" s="0" t="n">
        <v>2</v>
      </c>
      <c r="AA1280" s="189" t="s">
        <v>3169</v>
      </c>
    </row>
    <row r="1281" customFormat="false" ht="15" hidden="false" customHeight="false" outlineLevel="0" collapsed="false">
      <c r="A1281" s="0" t="n">
        <v>273</v>
      </c>
      <c r="B1281" s="191" t="n">
        <v>46108.7988026592</v>
      </c>
      <c r="C1281" s="191" t="n">
        <v>46108.8118350666</v>
      </c>
      <c r="D1281" s="189" t="s">
        <v>1860</v>
      </c>
      <c r="E1281" s="189" t="s">
        <v>1861</v>
      </c>
      <c r="F1281" s="189" t="s">
        <v>1861</v>
      </c>
      <c r="G1281" s="189" t="s">
        <v>1862</v>
      </c>
      <c r="H1281" s="191" t="n">
        <v>46107</v>
      </c>
      <c r="I1281" s="189" t="s">
        <v>325</v>
      </c>
      <c r="J1281" s="189" t="s">
        <v>108</v>
      </c>
      <c r="K1281" s="189" t="s">
        <v>1863</v>
      </c>
      <c r="L1281" s="189" t="s">
        <v>110</v>
      </c>
      <c r="M1281" s="189" t="s">
        <v>507</v>
      </c>
      <c r="N1281" s="189" t="s">
        <v>1243</v>
      </c>
      <c r="O1281" s="189" t="s">
        <v>244</v>
      </c>
      <c r="P1281" s="189" t="s">
        <v>111</v>
      </c>
      <c r="Q1281" s="189" t="s">
        <v>112</v>
      </c>
      <c r="R1281" s="189" t="s">
        <v>22</v>
      </c>
      <c r="S1281" s="189" t="s">
        <v>152</v>
      </c>
      <c r="T1281" s="189" t="s">
        <v>121</v>
      </c>
      <c r="U1281" s="189" t="s">
        <v>122</v>
      </c>
      <c r="V1281" s="189" t="s">
        <v>123</v>
      </c>
      <c r="W1281" s="189" t="s">
        <v>168</v>
      </c>
      <c r="X1281" s="189" t="s">
        <v>339</v>
      </c>
      <c r="Y1281" s="189" t="s">
        <v>3064</v>
      </c>
      <c r="Z1281" s="0" t="n">
        <v>3</v>
      </c>
      <c r="AA1281" s="189" t="s">
        <v>3199</v>
      </c>
    </row>
    <row r="1282" customFormat="false" ht="15" hidden="false" customHeight="false" outlineLevel="0" collapsed="false">
      <c r="A1282" s="0" t="n">
        <v>273</v>
      </c>
      <c r="B1282" s="191" t="n">
        <v>46108.7988026592</v>
      </c>
      <c r="C1282" s="191" t="n">
        <v>46108.8118350666</v>
      </c>
      <c r="D1282" s="189" t="s">
        <v>1860</v>
      </c>
      <c r="E1282" s="189" t="s">
        <v>1861</v>
      </c>
      <c r="F1282" s="189" t="s">
        <v>1861</v>
      </c>
      <c r="G1282" s="189" t="s">
        <v>1862</v>
      </c>
      <c r="H1282" s="191" t="n">
        <v>46107</v>
      </c>
      <c r="I1282" s="189" t="s">
        <v>325</v>
      </c>
      <c r="J1282" s="189" t="s">
        <v>108</v>
      </c>
      <c r="K1282" s="189" t="s">
        <v>1863</v>
      </c>
      <c r="L1282" s="189" t="s">
        <v>110</v>
      </c>
      <c r="M1282" s="189" t="s">
        <v>507</v>
      </c>
      <c r="N1282" s="189" t="s">
        <v>1243</v>
      </c>
      <c r="O1282" s="189" t="s">
        <v>244</v>
      </c>
      <c r="P1282" s="189" t="s">
        <v>111</v>
      </c>
      <c r="Q1282" s="189" t="s">
        <v>112</v>
      </c>
      <c r="R1282" s="189" t="s">
        <v>22</v>
      </c>
      <c r="S1282" s="189" t="s">
        <v>152</v>
      </c>
      <c r="T1282" s="189" t="s">
        <v>121</v>
      </c>
      <c r="U1282" s="189" t="s">
        <v>122</v>
      </c>
      <c r="V1282" s="189" t="s">
        <v>123</v>
      </c>
      <c r="W1282" s="189" t="s">
        <v>168</v>
      </c>
      <c r="X1282" s="189" t="s">
        <v>339</v>
      </c>
      <c r="Y1282" s="189" t="s">
        <v>3066</v>
      </c>
      <c r="Z1282" s="0" t="n">
        <v>1</v>
      </c>
      <c r="AA1282" s="189" t="s">
        <v>3260</v>
      </c>
    </row>
    <row r="1283" customFormat="false" ht="15" hidden="false" customHeight="false" outlineLevel="0" collapsed="false">
      <c r="A1283" s="0" t="n">
        <v>273</v>
      </c>
      <c r="B1283" s="191" t="n">
        <v>46108.7988026592</v>
      </c>
      <c r="C1283" s="191" t="n">
        <v>46108.8118350666</v>
      </c>
      <c r="D1283" s="189" t="s">
        <v>1860</v>
      </c>
      <c r="E1283" s="189" t="s">
        <v>1861</v>
      </c>
      <c r="F1283" s="189" t="s">
        <v>1861</v>
      </c>
      <c r="G1283" s="189" t="s">
        <v>1862</v>
      </c>
      <c r="H1283" s="191" t="n">
        <v>46107</v>
      </c>
      <c r="I1283" s="189" t="s">
        <v>325</v>
      </c>
      <c r="J1283" s="189" t="s">
        <v>108</v>
      </c>
      <c r="K1283" s="189" t="s">
        <v>1863</v>
      </c>
      <c r="L1283" s="189" t="s">
        <v>110</v>
      </c>
      <c r="M1283" s="189" t="s">
        <v>507</v>
      </c>
      <c r="N1283" s="189" t="s">
        <v>1243</v>
      </c>
      <c r="O1283" s="189" t="s">
        <v>244</v>
      </c>
      <c r="P1283" s="189" t="s">
        <v>111</v>
      </c>
      <c r="Q1283" s="189" t="s">
        <v>112</v>
      </c>
      <c r="R1283" s="189" t="s">
        <v>22</v>
      </c>
      <c r="S1283" s="189" t="s">
        <v>152</v>
      </c>
      <c r="T1283" s="189" t="s">
        <v>121</v>
      </c>
      <c r="U1283" s="189" t="s">
        <v>122</v>
      </c>
      <c r="V1283" s="189" t="s">
        <v>123</v>
      </c>
      <c r="W1283" s="189" t="s">
        <v>168</v>
      </c>
      <c r="X1283" s="189" t="s">
        <v>339</v>
      </c>
      <c r="Y1283" s="189" t="s">
        <v>3069</v>
      </c>
      <c r="Z1283" s="0" t="n">
        <v>1</v>
      </c>
      <c r="AA1283" s="189" t="s">
        <v>3217</v>
      </c>
    </row>
    <row r="1284" customFormat="false" ht="15" hidden="false" customHeight="false" outlineLevel="0" collapsed="false">
      <c r="A1284" s="0" t="n">
        <v>273</v>
      </c>
      <c r="B1284" s="191" t="n">
        <v>46108.7988026592</v>
      </c>
      <c r="C1284" s="191" t="n">
        <v>46108.8118350666</v>
      </c>
      <c r="D1284" s="189" t="s">
        <v>1860</v>
      </c>
      <c r="E1284" s="189" t="s">
        <v>1861</v>
      </c>
      <c r="F1284" s="189" t="s">
        <v>1861</v>
      </c>
      <c r="G1284" s="189" t="s">
        <v>1862</v>
      </c>
      <c r="H1284" s="191" t="n">
        <v>46107</v>
      </c>
      <c r="I1284" s="189" t="s">
        <v>325</v>
      </c>
      <c r="J1284" s="189" t="s">
        <v>108</v>
      </c>
      <c r="K1284" s="189" t="s">
        <v>1863</v>
      </c>
      <c r="L1284" s="189" t="s">
        <v>110</v>
      </c>
      <c r="M1284" s="189" t="s">
        <v>507</v>
      </c>
      <c r="N1284" s="189" t="s">
        <v>1243</v>
      </c>
      <c r="O1284" s="189" t="s">
        <v>244</v>
      </c>
      <c r="P1284" s="189" t="s">
        <v>111</v>
      </c>
      <c r="Q1284" s="189" t="s">
        <v>112</v>
      </c>
      <c r="R1284" s="189" t="s">
        <v>22</v>
      </c>
      <c r="S1284" s="189" t="s">
        <v>152</v>
      </c>
      <c r="T1284" s="189" t="s">
        <v>121</v>
      </c>
      <c r="U1284" s="189" t="s">
        <v>122</v>
      </c>
      <c r="V1284" s="189" t="s">
        <v>123</v>
      </c>
      <c r="W1284" s="189" t="s">
        <v>168</v>
      </c>
      <c r="X1284" s="189" t="s">
        <v>339</v>
      </c>
      <c r="Y1284" s="189" t="s">
        <v>3069</v>
      </c>
      <c r="Z1284" s="0" t="n">
        <v>2</v>
      </c>
      <c r="AA1284" s="189" t="s">
        <v>122</v>
      </c>
    </row>
    <row r="1285" customFormat="false" ht="15" hidden="false" customHeight="false" outlineLevel="0" collapsed="false">
      <c r="A1285" s="0" t="n">
        <v>274</v>
      </c>
      <c r="B1285" s="191" t="n">
        <v>46131.2766039318</v>
      </c>
      <c r="C1285" s="191" t="n">
        <v>46131.2819627281</v>
      </c>
      <c r="D1285" s="189" t="s">
        <v>1867</v>
      </c>
      <c r="E1285" s="189" t="s">
        <v>1868</v>
      </c>
      <c r="F1285" s="189" t="s">
        <v>1868</v>
      </c>
      <c r="G1285" s="189" t="s">
        <v>1869</v>
      </c>
      <c r="H1285" s="191" t="n">
        <v>46115</v>
      </c>
      <c r="I1285" s="189" t="s">
        <v>132</v>
      </c>
      <c r="J1285" s="189" t="s">
        <v>108</v>
      </c>
      <c r="K1285" s="189" t="s">
        <v>1870</v>
      </c>
      <c r="L1285" s="189" t="s">
        <v>389</v>
      </c>
      <c r="M1285" s="189" t="s">
        <v>905</v>
      </c>
      <c r="N1285" s="189" t="s">
        <v>508</v>
      </c>
      <c r="O1285" s="189" t="s">
        <v>244</v>
      </c>
      <c r="P1285" s="189" t="s">
        <v>111</v>
      </c>
      <c r="Q1285" s="189" t="s">
        <v>112</v>
      </c>
      <c r="R1285" s="189" t="s">
        <v>22</v>
      </c>
      <c r="S1285" s="189" t="s">
        <v>152</v>
      </c>
      <c r="T1285" s="189" t="s">
        <v>121</v>
      </c>
      <c r="V1285" s="189" t="s">
        <v>123</v>
      </c>
      <c r="W1285" s="189" t="s">
        <v>124</v>
      </c>
      <c r="X1285" s="189" t="s">
        <v>298</v>
      </c>
      <c r="Y1285" s="189" t="s">
        <v>3064</v>
      </c>
      <c r="Z1285" s="0" t="n">
        <v>1</v>
      </c>
      <c r="AA1285" s="189" t="s">
        <v>3125</v>
      </c>
    </row>
    <row r="1286" customFormat="false" ht="15" hidden="false" customHeight="false" outlineLevel="0" collapsed="false">
      <c r="A1286" s="0" t="n">
        <v>274</v>
      </c>
      <c r="B1286" s="191" t="n">
        <v>46131.2766039318</v>
      </c>
      <c r="C1286" s="191" t="n">
        <v>46131.2819627281</v>
      </c>
      <c r="D1286" s="189" t="s">
        <v>1867</v>
      </c>
      <c r="E1286" s="189" t="s">
        <v>1868</v>
      </c>
      <c r="F1286" s="189" t="s">
        <v>1868</v>
      </c>
      <c r="G1286" s="189" t="s">
        <v>1869</v>
      </c>
      <c r="H1286" s="191" t="n">
        <v>46115</v>
      </c>
      <c r="I1286" s="189" t="s">
        <v>132</v>
      </c>
      <c r="J1286" s="189" t="s">
        <v>108</v>
      </c>
      <c r="K1286" s="189" t="s">
        <v>1870</v>
      </c>
      <c r="L1286" s="189" t="s">
        <v>389</v>
      </c>
      <c r="M1286" s="189" t="s">
        <v>905</v>
      </c>
      <c r="N1286" s="189" t="s">
        <v>508</v>
      </c>
      <c r="O1286" s="189" t="s">
        <v>244</v>
      </c>
      <c r="P1286" s="189" t="s">
        <v>111</v>
      </c>
      <c r="Q1286" s="189" t="s">
        <v>112</v>
      </c>
      <c r="R1286" s="189" t="s">
        <v>22</v>
      </c>
      <c r="S1286" s="189" t="s">
        <v>152</v>
      </c>
      <c r="T1286" s="189" t="s">
        <v>121</v>
      </c>
      <c r="V1286" s="189" t="s">
        <v>123</v>
      </c>
      <c r="W1286" s="189" t="s">
        <v>124</v>
      </c>
      <c r="X1286" s="189" t="s">
        <v>298</v>
      </c>
      <c r="Y1286" s="189" t="s">
        <v>3064</v>
      </c>
      <c r="Z1286" s="0" t="n">
        <v>2</v>
      </c>
      <c r="AA1286" s="189" t="s">
        <v>3194</v>
      </c>
    </row>
    <row r="1287" customFormat="false" ht="15" hidden="false" customHeight="false" outlineLevel="0" collapsed="false">
      <c r="A1287" s="0" t="n">
        <v>274</v>
      </c>
      <c r="B1287" s="191" t="n">
        <v>46131.2766039318</v>
      </c>
      <c r="C1287" s="191" t="n">
        <v>46131.2819627281</v>
      </c>
      <c r="D1287" s="189" t="s">
        <v>1867</v>
      </c>
      <c r="E1287" s="189" t="s">
        <v>1868</v>
      </c>
      <c r="F1287" s="189" t="s">
        <v>1868</v>
      </c>
      <c r="G1287" s="189" t="s">
        <v>1869</v>
      </c>
      <c r="H1287" s="191" t="n">
        <v>46115</v>
      </c>
      <c r="I1287" s="189" t="s">
        <v>132</v>
      </c>
      <c r="J1287" s="189" t="s">
        <v>108</v>
      </c>
      <c r="K1287" s="189" t="s">
        <v>1870</v>
      </c>
      <c r="L1287" s="189" t="s">
        <v>389</v>
      </c>
      <c r="M1287" s="189" t="s">
        <v>905</v>
      </c>
      <c r="N1287" s="189" t="s">
        <v>508</v>
      </c>
      <c r="O1287" s="189" t="s">
        <v>244</v>
      </c>
      <c r="P1287" s="189" t="s">
        <v>111</v>
      </c>
      <c r="Q1287" s="189" t="s">
        <v>112</v>
      </c>
      <c r="R1287" s="189" t="s">
        <v>22</v>
      </c>
      <c r="S1287" s="189" t="s">
        <v>152</v>
      </c>
      <c r="T1287" s="189" t="s">
        <v>121</v>
      </c>
      <c r="V1287" s="189" t="s">
        <v>123</v>
      </c>
      <c r="W1287" s="189" t="s">
        <v>124</v>
      </c>
      <c r="X1287" s="189" t="s">
        <v>298</v>
      </c>
      <c r="Y1287" s="189" t="s">
        <v>3064</v>
      </c>
      <c r="Z1287" s="0" t="n">
        <v>3</v>
      </c>
      <c r="AA1287" s="189" t="s">
        <v>3208</v>
      </c>
    </row>
    <row r="1288" customFormat="false" ht="15" hidden="false" customHeight="false" outlineLevel="0" collapsed="false">
      <c r="A1288" s="0" t="n">
        <v>274</v>
      </c>
      <c r="B1288" s="191" t="n">
        <v>46131.2766039318</v>
      </c>
      <c r="C1288" s="191" t="n">
        <v>46131.2819627281</v>
      </c>
      <c r="D1288" s="189" t="s">
        <v>1867</v>
      </c>
      <c r="E1288" s="189" t="s">
        <v>1868</v>
      </c>
      <c r="F1288" s="189" t="s">
        <v>1868</v>
      </c>
      <c r="G1288" s="189" t="s">
        <v>1869</v>
      </c>
      <c r="H1288" s="191" t="n">
        <v>46115</v>
      </c>
      <c r="I1288" s="189" t="s">
        <v>132</v>
      </c>
      <c r="J1288" s="189" t="s">
        <v>108</v>
      </c>
      <c r="K1288" s="189" t="s">
        <v>1870</v>
      </c>
      <c r="L1288" s="189" t="s">
        <v>389</v>
      </c>
      <c r="M1288" s="189" t="s">
        <v>905</v>
      </c>
      <c r="N1288" s="189" t="s">
        <v>508</v>
      </c>
      <c r="O1288" s="189" t="s">
        <v>244</v>
      </c>
      <c r="P1288" s="189" t="s">
        <v>111</v>
      </c>
      <c r="Q1288" s="189" t="s">
        <v>112</v>
      </c>
      <c r="R1288" s="189" t="s">
        <v>22</v>
      </c>
      <c r="S1288" s="189" t="s">
        <v>152</v>
      </c>
      <c r="T1288" s="189" t="s">
        <v>121</v>
      </c>
      <c r="V1288" s="189" t="s">
        <v>123</v>
      </c>
      <c r="W1288" s="189" t="s">
        <v>124</v>
      </c>
      <c r="X1288" s="189" t="s">
        <v>298</v>
      </c>
      <c r="Y1288" s="189" t="s">
        <v>3066</v>
      </c>
      <c r="Z1288" s="0" t="n">
        <v>1</v>
      </c>
      <c r="AA1288" s="189" t="s">
        <v>3237</v>
      </c>
    </row>
    <row r="1289" customFormat="false" ht="15" hidden="false" customHeight="false" outlineLevel="0" collapsed="false">
      <c r="A1289" s="0" t="n">
        <v>274</v>
      </c>
      <c r="B1289" s="191" t="n">
        <v>46131.2766039318</v>
      </c>
      <c r="C1289" s="191" t="n">
        <v>46131.2819627281</v>
      </c>
      <c r="D1289" s="189" t="s">
        <v>1867</v>
      </c>
      <c r="E1289" s="189" t="s">
        <v>1868</v>
      </c>
      <c r="F1289" s="189" t="s">
        <v>1868</v>
      </c>
      <c r="G1289" s="189" t="s">
        <v>1869</v>
      </c>
      <c r="H1289" s="191" t="n">
        <v>46115</v>
      </c>
      <c r="I1289" s="189" t="s">
        <v>132</v>
      </c>
      <c r="J1289" s="189" t="s">
        <v>108</v>
      </c>
      <c r="K1289" s="189" t="s">
        <v>1870</v>
      </c>
      <c r="L1289" s="189" t="s">
        <v>389</v>
      </c>
      <c r="M1289" s="189" t="s">
        <v>905</v>
      </c>
      <c r="N1289" s="189" t="s">
        <v>508</v>
      </c>
      <c r="O1289" s="189" t="s">
        <v>244</v>
      </c>
      <c r="P1289" s="189" t="s">
        <v>111</v>
      </c>
      <c r="Q1289" s="189" t="s">
        <v>112</v>
      </c>
      <c r="R1289" s="189" t="s">
        <v>22</v>
      </c>
      <c r="S1289" s="189" t="s">
        <v>152</v>
      </c>
      <c r="T1289" s="189" t="s">
        <v>121</v>
      </c>
      <c r="V1289" s="189" t="s">
        <v>123</v>
      </c>
      <c r="W1289" s="189" t="s">
        <v>124</v>
      </c>
      <c r="X1289" s="189" t="s">
        <v>298</v>
      </c>
      <c r="Y1289" s="189" t="s">
        <v>3066</v>
      </c>
      <c r="Z1289" s="0" t="n">
        <v>2</v>
      </c>
      <c r="AA1289" s="189" t="s">
        <v>3267</v>
      </c>
    </row>
    <row r="1290" customFormat="false" ht="15" hidden="false" customHeight="false" outlineLevel="0" collapsed="false">
      <c r="A1290" s="0" t="n">
        <v>274</v>
      </c>
      <c r="B1290" s="191" t="n">
        <v>46131.2766039318</v>
      </c>
      <c r="C1290" s="191" t="n">
        <v>46131.2819627281</v>
      </c>
      <c r="D1290" s="189" t="s">
        <v>1867</v>
      </c>
      <c r="E1290" s="189" t="s">
        <v>1868</v>
      </c>
      <c r="F1290" s="189" t="s">
        <v>1868</v>
      </c>
      <c r="G1290" s="189" t="s">
        <v>1869</v>
      </c>
      <c r="H1290" s="191" t="n">
        <v>46115</v>
      </c>
      <c r="I1290" s="189" t="s">
        <v>132</v>
      </c>
      <c r="J1290" s="189" t="s">
        <v>108</v>
      </c>
      <c r="K1290" s="189" t="s">
        <v>1870</v>
      </c>
      <c r="L1290" s="189" t="s">
        <v>389</v>
      </c>
      <c r="M1290" s="189" t="s">
        <v>905</v>
      </c>
      <c r="N1290" s="189" t="s">
        <v>508</v>
      </c>
      <c r="O1290" s="189" t="s">
        <v>244</v>
      </c>
      <c r="P1290" s="189" t="s">
        <v>111</v>
      </c>
      <c r="Q1290" s="189" t="s">
        <v>112</v>
      </c>
      <c r="R1290" s="189" t="s">
        <v>22</v>
      </c>
      <c r="S1290" s="189" t="s">
        <v>152</v>
      </c>
      <c r="T1290" s="189" t="s">
        <v>121</v>
      </c>
      <c r="V1290" s="189" t="s">
        <v>123</v>
      </c>
      <c r="W1290" s="189" t="s">
        <v>124</v>
      </c>
      <c r="X1290" s="189" t="s">
        <v>298</v>
      </c>
      <c r="Y1290" s="189" t="s">
        <v>3069</v>
      </c>
      <c r="Z1290" s="0" t="n">
        <v>1</v>
      </c>
      <c r="AA1290" s="189" t="s">
        <v>3210</v>
      </c>
    </row>
    <row r="1291" customFormat="false" ht="15" hidden="false" customHeight="false" outlineLevel="0" collapsed="false">
      <c r="A1291" s="0" t="n">
        <v>274</v>
      </c>
      <c r="B1291" s="191" t="n">
        <v>46131.2766039318</v>
      </c>
      <c r="C1291" s="191" t="n">
        <v>46131.2819627281</v>
      </c>
      <c r="D1291" s="189" t="s">
        <v>1867</v>
      </c>
      <c r="E1291" s="189" t="s">
        <v>1868</v>
      </c>
      <c r="F1291" s="189" t="s">
        <v>1868</v>
      </c>
      <c r="G1291" s="189" t="s">
        <v>1869</v>
      </c>
      <c r="H1291" s="191" t="n">
        <v>46115</v>
      </c>
      <c r="I1291" s="189" t="s">
        <v>132</v>
      </c>
      <c r="J1291" s="189" t="s">
        <v>108</v>
      </c>
      <c r="K1291" s="189" t="s">
        <v>1870</v>
      </c>
      <c r="L1291" s="189" t="s">
        <v>389</v>
      </c>
      <c r="M1291" s="189" t="s">
        <v>905</v>
      </c>
      <c r="N1291" s="189" t="s">
        <v>508</v>
      </c>
      <c r="O1291" s="189" t="s">
        <v>244</v>
      </c>
      <c r="P1291" s="189" t="s">
        <v>111</v>
      </c>
      <c r="Q1291" s="189" t="s">
        <v>112</v>
      </c>
      <c r="R1291" s="189" t="s">
        <v>22</v>
      </c>
      <c r="S1291" s="189" t="s">
        <v>152</v>
      </c>
      <c r="T1291" s="189" t="s">
        <v>121</v>
      </c>
      <c r="V1291" s="189" t="s">
        <v>123</v>
      </c>
      <c r="W1291" s="189" t="s">
        <v>124</v>
      </c>
      <c r="X1291" s="189" t="s">
        <v>298</v>
      </c>
      <c r="Y1291" s="189" t="s">
        <v>3069</v>
      </c>
      <c r="Z1291" s="0" t="n">
        <v>2</v>
      </c>
      <c r="AA1291" s="189" t="s">
        <v>3128</v>
      </c>
    </row>
    <row r="1292" customFormat="false" ht="15" hidden="false" customHeight="false" outlineLevel="0" collapsed="false">
      <c r="A1292" s="0" t="n">
        <v>275</v>
      </c>
      <c r="B1292" s="191" t="n">
        <v>46213.4888400043</v>
      </c>
      <c r="C1292" s="191" t="n">
        <v>46213.5018724117</v>
      </c>
      <c r="D1292" s="189" t="s">
        <v>1874</v>
      </c>
      <c r="E1292" s="189" t="s">
        <v>1875</v>
      </c>
      <c r="F1292" s="189" t="s">
        <v>1875</v>
      </c>
      <c r="G1292" s="189" t="s">
        <v>1876</v>
      </c>
      <c r="H1292" s="191" t="n">
        <v>46201</v>
      </c>
      <c r="I1292" s="189" t="s">
        <v>113</v>
      </c>
      <c r="J1292" s="189" t="s">
        <v>108</v>
      </c>
      <c r="K1292" s="189" t="s">
        <v>462</v>
      </c>
      <c r="L1292" s="189" t="s">
        <v>159</v>
      </c>
      <c r="M1292" s="189" t="s">
        <v>133</v>
      </c>
      <c r="N1292" s="189" t="s">
        <v>259</v>
      </c>
      <c r="O1292" s="189" t="s">
        <v>1506</v>
      </c>
      <c r="P1292" s="189" t="s">
        <v>131</v>
      </c>
      <c r="Q1292" s="189" t="s">
        <v>198</v>
      </c>
      <c r="R1292" s="189" t="s">
        <v>22</v>
      </c>
      <c r="S1292" s="189" t="s">
        <v>152</v>
      </c>
      <c r="T1292" s="189" t="s">
        <v>121</v>
      </c>
      <c r="V1292" s="189" t="s">
        <v>167</v>
      </c>
      <c r="W1292" s="189" t="s">
        <v>124</v>
      </c>
      <c r="X1292" s="189" t="s">
        <v>339</v>
      </c>
      <c r="Y1292" s="189" t="s">
        <v>3064</v>
      </c>
      <c r="Z1292" s="0" t="n">
        <v>1</v>
      </c>
      <c r="AA1292" s="189" t="s">
        <v>3141</v>
      </c>
    </row>
    <row r="1293" customFormat="false" ht="15" hidden="false" customHeight="false" outlineLevel="0" collapsed="false">
      <c r="A1293" s="0" t="n">
        <v>275</v>
      </c>
      <c r="B1293" s="191" t="n">
        <v>46213.4888400043</v>
      </c>
      <c r="C1293" s="191" t="n">
        <v>46213.5018724117</v>
      </c>
      <c r="D1293" s="189" t="s">
        <v>1874</v>
      </c>
      <c r="E1293" s="189" t="s">
        <v>1875</v>
      </c>
      <c r="F1293" s="189" t="s">
        <v>1875</v>
      </c>
      <c r="G1293" s="189" t="s">
        <v>1876</v>
      </c>
      <c r="H1293" s="191" t="n">
        <v>46201</v>
      </c>
      <c r="I1293" s="189" t="s">
        <v>113</v>
      </c>
      <c r="J1293" s="189" t="s">
        <v>108</v>
      </c>
      <c r="K1293" s="189" t="s">
        <v>462</v>
      </c>
      <c r="L1293" s="189" t="s">
        <v>159</v>
      </c>
      <c r="M1293" s="189" t="s">
        <v>133</v>
      </c>
      <c r="N1293" s="189" t="s">
        <v>259</v>
      </c>
      <c r="O1293" s="189" t="s">
        <v>1506</v>
      </c>
      <c r="P1293" s="189" t="s">
        <v>131</v>
      </c>
      <c r="Q1293" s="189" t="s">
        <v>198</v>
      </c>
      <c r="R1293" s="189" t="s">
        <v>22</v>
      </c>
      <c r="S1293" s="189" t="s">
        <v>152</v>
      </c>
      <c r="T1293" s="189" t="s">
        <v>121</v>
      </c>
      <c r="V1293" s="189" t="s">
        <v>167</v>
      </c>
      <c r="W1293" s="189" t="s">
        <v>124</v>
      </c>
      <c r="X1293" s="189" t="s">
        <v>339</v>
      </c>
      <c r="Y1293" s="189" t="s">
        <v>3064</v>
      </c>
      <c r="Z1293" s="0" t="n">
        <v>2</v>
      </c>
      <c r="AA1293" s="189" t="s">
        <v>3169</v>
      </c>
    </row>
    <row r="1294" customFormat="false" ht="15" hidden="false" customHeight="false" outlineLevel="0" collapsed="false">
      <c r="A1294" s="0" t="n">
        <v>275</v>
      </c>
      <c r="B1294" s="191" t="n">
        <v>46213.4888400043</v>
      </c>
      <c r="C1294" s="191" t="n">
        <v>46213.5018724117</v>
      </c>
      <c r="D1294" s="189" t="s">
        <v>1874</v>
      </c>
      <c r="E1294" s="189" t="s">
        <v>1875</v>
      </c>
      <c r="F1294" s="189" t="s">
        <v>1875</v>
      </c>
      <c r="G1294" s="189" t="s">
        <v>1876</v>
      </c>
      <c r="H1294" s="191" t="n">
        <v>46201</v>
      </c>
      <c r="I1294" s="189" t="s">
        <v>113</v>
      </c>
      <c r="J1294" s="189" t="s">
        <v>108</v>
      </c>
      <c r="K1294" s="189" t="s">
        <v>462</v>
      </c>
      <c r="L1294" s="189" t="s">
        <v>159</v>
      </c>
      <c r="M1294" s="189" t="s">
        <v>133</v>
      </c>
      <c r="N1294" s="189" t="s">
        <v>259</v>
      </c>
      <c r="O1294" s="189" t="s">
        <v>1506</v>
      </c>
      <c r="P1294" s="189" t="s">
        <v>131</v>
      </c>
      <c r="Q1294" s="189" t="s">
        <v>198</v>
      </c>
      <c r="R1294" s="189" t="s">
        <v>22</v>
      </c>
      <c r="S1294" s="189" t="s">
        <v>152</v>
      </c>
      <c r="T1294" s="189" t="s">
        <v>121</v>
      </c>
      <c r="V1294" s="189" t="s">
        <v>167</v>
      </c>
      <c r="W1294" s="189" t="s">
        <v>124</v>
      </c>
      <c r="X1294" s="189" t="s">
        <v>339</v>
      </c>
      <c r="Y1294" s="189" t="s">
        <v>3066</v>
      </c>
      <c r="Z1294" s="0" t="n">
        <v>1</v>
      </c>
      <c r="AA1294" s="189" t="s">
        <v>3143</v>
      </c>
    </row>
    <row r="1295" customFormat="false" ht="15" hidden="false" customHeight="false" outlineLevel="0" collapsed="false">
      <c r="A1295" s="0" t="n">
        <v>275</v>
      </c>
      <c r="B1295" s="191" t="n">
        <v>46213.4888400043</v>
      </c>
      <c r="C1295" s="191" t="n">
        <v>46213.5018724117</v>
      </c>
      <c r="D1295" s="189" t="s">
        <v>1874</v>
      </c>
      <c r="E1295" s="189" t="s">
        <v>1875</v>
      </c>
      <c r="F1295" s="189" t="s">
        <v>1875</v>
      </c>
      <c r="G1295" s="189" t="s">
        <v>1876</v>
      </c>
      <c r="H1295" s="191" t="n">
        <v>46201</v>
      </c>
      <c r="I1295" s="189" t="s">
        <v>113</v>
      </c>
      <c r="J1295" s="189" t="s">
        <v>108</v>
      </c>
      <c r="K1295" s="189" t="s">
        <v>462</v>
      </c>
      <c r="L1295" s="189" t="s">
        <v>159</v>
      </c>
      <c r="M1295" s="189" t="s">
        <v>133</v>
      </c>
      <c r="N1295" s="189" t="s">
        <v>259</v>
      </c>
      <c r="O1295" s="189" t="s">
        <v>1506</v>
      </c>
      <c r="P1295" s="189" t="s">
        <v>131</v>
      </c>
      <c r="Q1295" s="189" t="s">
        <v>198</v>
      </c>
      <c r="R1295" s="189" t="s">
        <v>22</v>
      </c>
      <c r="S1295" s="189" t="s">
        <v>152</v>
      </c>
      <c r="T1295" s="189" t="s">
        <v>121</v>
      </c>
      <c r="V1295" s="189" t="s">
        <v>167</v>
      </c>
      <c r="W1295" s="189" t="s">
        <v>124</v>
      </c>
      <c r="X1295" s="189" t="s">
        <v>339</v>
      </c>
      <c r="Y1295" s="189" t="s">
        <v>3066</v>
      </c>
      <c r="Z1295" s="0" t="n">
        <v>2</v>
      </c>
      <c r="AA1295" s="189" t="s">
        <v>122</v>
      </c>
    </row>
    <row r="1296" customFormat="false" ht="15" hidden="false" customHeight="false" outlineLevel="0" collapsed="false">
      <c r="A1296" s="0" t="n">
        <v>275</v>
      </c>
      <c r="B1296" s="191" t="n">
        <v>46213.4888400043</v>
      </c>
      <c r="C1296" s="191" t="n">
        <v>46213.5018724117</v>
      </c>
      <c r="D1296" s="189" t="s">
        <v>1874</v>
      </c>
      <c r="E1296" s="189" t="s">
        <v>1875</v>
      </c>
      <c r="F1296" s="189" t="s">
        <v>1875</v>
      </c>
      <c r="G1296" s="189" t="s">
        <v>1876</v>
      </c>
      <c r="H1296" s="191" t="n">
        <v>46201</v>
      </c>
      <c r="I1296" s="189" t="s">
        <v>113</v>
      </c>
      <c r="J1296" s="189" t="s">
        <v>108</v>
      </c>
      <c r="K1296" s="189" t="s">
        <v>462</v>
      </c>
      <c r="L1296" s="189" t="s">
        <v>159</v>
      </c>
      <c r="M1296" s="189" t="s">
        <v>133</v>
      </c>
      <c r="N1296" s="189" t="s">
        <v>259</v>
      </c>
      <c r="O1296" s="189" t="s">
        <v>1506</v>
      </c>
      <c r="P1296" s="189" t="s">
        <v>131</v>
      </c>
      <c r="Q1296" s="189" t="s">
        <v>198</v>
      </c>
      <c r="R1296" s="189" t="s">
        <v>22</v>
      </c>
      <c r="S1296" s="189" t="s">
        <v>152</v>
      </c>
      <c r="T1296" s="189" t="s">
        <v>121</v>
      </c>
      <c r="V1296" s="189" t="s">
        <v>167</v>
      </c>
      <c r="W1296" s="189" t="s">
        <v>124</v>
      </c>
      <c r="X1296" s="189" t="s">
        <v>339</v>
      </c>
      <c r="Y1296" s="189" t="s">
        <v>3069</v>
      </c>
      <c r="Z1296" s="0" t="n">
        <v>1</v>
      </c>
      <c r="AA1296" s="189" t="s">
        <v>3145</v>
      </c>
    </row>
    <row r="1297" customFormat="false" ht="15" hidden="false" customHeight="false" outlineLevel="0" collapsed="false">
      <c r="A1297" s="0" t="n">
        <v>276</v>
      </c>
      <c r="B1297" s="191" t="n">
        <v>46125.5994182192</v>
      </c>
      <c r="C1297" s="191" t="n">
        <v>46125.6043024785</v>
      </c>
      <c r="D1297" s="189" t="s">
        <v>1880</v>
      </c>
      <c r="E1297" s="189" t="s">
        <v>1881</v>
      </c>
      <c r="F1297" s="189" t="s">
        <v>1881</v>
      </c>
      <c r="G1297" s="189" t="s">
        <v>1882</v>
      </c>
      <c r="H1297" s="191" t="n">
        <v>46121</v>
      </c>
      <c r="I1297" s="189" t="s">
        <v>325</v>
      </c>
      <c r="J1297" s="189" t="s">
        <v>108</v>
      </c>
      <c r="K1297" s="189" t="s">
        <v>364</v>
      </c>
      <c r="L1297" s="189" t="s">
        <v>246</v>
      </c>
      <c r="M1297" s="189" t="s">
        <v>212</v>
      </c>
      <c r="N1297" s="189" t="s">
        <v>1441</v>
      </c>
      <c r="O1297" s="189" t="s">
        <v>107</v>
      </c>
      <c r="P1297" s="189" t="s">
        <v>111</v>
      </c>
      <c r="Q1297" s="189" t="s">
        <v>112</v>
      </c>
      <c r="R1297" s="189" t="s">
        <v>22</v>
      </c>
      <c r="S1297" s="189" t="s">
        <v>120</v>
      </c>
      <c r="T1297" s="189" t="s">
        <v>352</v>
      </c>
      <c r="U1297" s="189" t="s">
        <v>1821</v>
      </c>
      <c r="V1297" s="189" t="s">
        <v>123</v>
      </c>
      <c r="W1297" s="189" t="s">
        <v>124</v>
      </c>
      <c r="X1297" s="189" t="s">
        <v>148</v>
      </c>
      <c r="Y1297" s="189" t="s">
        <v>3064</v>
      </c>
      <c r="Z1297" s="0" t="n">
        <v>1</v>
      </c>
      <c r="AA1297" s="189" t="s">
        <v>3092</v>
      </c>
    </row>
    <row r="1298" customFormat="false" ht="15" hidden="false" customHeight="false" outlineLevel="0" collapsed="false">
      <c r="A1298" s="0" t="n">
        <v>276</v>
      </c>
      <c r="B1298" s="191" t="n">
        <v>46125.5994182192</v>
      </c>
      <c r="C1298" s="191" t="n">
        <v>46125.6043024785</v>
      </c>
      <c r="D1298" s="189" t="s">
        <v>1880</v>
      </c>
      <c r="E1298" s="189" t="s">
        <v>1881</v>
      </c>
      <c r="F1298" s="189" t="s">
        <v>1881</v>
      </c>
      <c r="G1298" s="189" t="s">
        <v>1882</v>
      </c>
      <c r="H1298" s="191" t="n">
        <v>46121</v>
      </c>
      <c r="I1298" s="189" t="s">
        <v>325</v>
      </c>
      <c r="J1298" s="189" t="s">
        <v>108</v>
      </c>
      <c r="K1298" s="189" t="s">
        <v>364</v>
      </c>
      <c r="L1298" s="189" t="s">
        <v>246</v>
      </c>
      <c r="M1298" s="189" t="s">
        <v>212</v>
      </c>
      <c r="N1298" s="189" t="s">
        <v>1441</v>
      </c>
      <c r="O1298" s="189" t="s">
        <v>107</v>
      </c>
      <c r="P1298" s="189" t="s">
        <v>111</v>
      </c>
      <c r="Q1298" s="189" t="s">
        <v>112</v>
      </c>
      <c r="R1298" s="189" t="s">
        <v>22</v>
      </c>
      <c r="S1298" s="189" t="s">
        <v>120</v>
      </c>
      <c r="T1298" s="189" t="s">
        <v>352</v>
      </c>
      <c r="U1298" s="189" t="s">
        <v>1821</v>
      </c>
      <c r="V1298" s="189" t="s">
        <v>123</v>
      </c>
      <c r="W1298" s="189" t="s">
        <v>124</v>
      </c>
      <c r="X1298" s="189" t="s">
        <v>148</v>
      </c>
      <c r="Y1298" s="189" t="s">
        <v>3064</v>
      </c>
      <c r="Z1298" s="0" t="n">
        <v>2</v>
      </c>
      <c r="AA1298" s="189" t="s">
        <v>3122</v>
      </c>
    </row>
    <row r="1299" customFormat="false" ht="15" hidden="false" customHeight="false" outlineLevel="0" collapsed="false">
      <c r="A1299" s="0" t="n">
        <v>276</v>
      </c>
      <c r="B1299" s="191" t="n">
        <v>46125.5994182192</v>
      </c>
      <c r="C1299" s="191" t="n">
        <v>46125.6043024785</v>
      </c>
      <c r="D1299" s="189" t="s">
        <v>1880</v>
      </c>
      <c r="E1299" s="189" t="s">
        <v>1881</v>
      </c>
      <c r="F1299" s="189" t="s">
        <v>1881</v>
      </c>
      <c r="G1299" s="189" t="s">
        <v>1882</v>
      </c>
      <c r="H1299" s="191" t="n">
        <v>46121</v>
      </c>
      <c r="I1299" s="189" t="s">
        <v>325</v>
      </c>
      <c r="J1299" s="189" t="s">
        <v>108</v>
      </c>
      <c r="K1299" s="189" t="s">
        <v>364</v>
      </c>
      <c r="L1299" s="189" t="s">
        <v>246</v>
      </c>
      <c r="M1299" s="189" t="s">
        <v>212</v>
      </c>
      <c r="N1299" s="189" t="s">
        <v>1441</v>
      </c>
      <c r="O1299" s="189" t="s">
        <v>107</v>
      </c>
      <c r="P1299" s="189" t="s">
        <v>111</v>
      </c>
      <c r="Q1299" s="189" t="s">
        <v>112</v>
      </c>
      <c r="R1299" s="189" t="s">
        <v>22</v>
      </c>
      <c r="S1299" s="189" t="s">
        <v>120</v>
      </c>
      <c r="T1299" s="189" t="s">
        <v>352</v>
      </c>
      <c r="U1299" s="189" t="s">
        <v>1821</v>
      </c>
      <c r="V1299" s="189" t="s">
        <v>123</v>
      </c>
      <c r="W1299" s="189" t="s">
        <v>124</v>
      </c>
      <c r="X1299" s="189" t="s">
        <v>148</v>
      </c>
      <c r="Y1299" s="189" t="s">
        <v>3064</v>
      </c>
      <c r="Z1299" s="0" t="n">
        <v>3</v>
      </c>
      <c r="AA1299" s="189" t="s">
        <v>3281</v>
      </c>
    </row>
    <row r="1300" customFormat="false" ht="15" hidden="false" customHeight="false" outlineLevel="0" collapsed="false">
      <c r="A1300" s="0" t="n">
        <v>276</v>
      </c>
      <c r="B1300" s="191" t="n">
        <v>46125.5994182192</v>
      </c>
      <c r="C1300" s="191" t="n">
        <v>46125.6043024785</v>
      </c>
      <c r="D1300" s="189" t="s">
        <v>1880</v>
      </c>
      <c r="E1300" s="189" t="s">
        <v>1881</v>
      </c>
      <c r="F1300" s="189" t="s">
        <v>1881</v>
      </c>
      <c r="G1300" s="189" t="s">
        <v>1882</v>
      </c>
      <c r="H1300" s="191" t="n">
        <v>46121</v>
      </c>
      <c r="I1300" s="189" t="s">
        <v>325</v>
      </c>
      <c r="J1300" s="189" t="s">
        <v>108</v>
      </c>
      <c r="K1300" s="189" t="s">
        <v>364</v>
      </c>
      <c r="L1300" s="189" t="s">
        <v>246</v>
      </c>
      <c r="M1300" s="189" t="s">
        <v>212</v>
      </c>
      <c r="N1300" s="189" t="s">
        <v>1441</v>
      </c>
      <c r="O1300" s="189" t="s">
        <v>107</v>
      </c>
      <c r="P1300" s="189" t="s">
        <v>111</v>
      </c>
      <c r="Q1300" s="189" t="s">
        <v>112</v>
      </c>
      <c r="R1300" s="189" t="s">
        <v>22</v>
      </c>
      <c r="S1300" s="189" t="s">
        <v>120</v>
      </c>
      <c r="T1300" s="189" t="s">
        <v>352</v>
      </c>
      <c r="U1300" s="189" t="s">
        <v>1821</v>
      </c>
      <c r="V1300" s="189" t="s">
        <v>123</v>
      </c>
      <c r="W1300" s="189" t="s">
        <v>124</v>
      </c>
      <c r="X1300" s="189" t="s">
        <v>148</v>
      </c>
      <c r="Y1300" s="189" t="s">
        <v>3066</v>
      </c>
      <c r="Z1300" s="0" t="n">
        <v>1</v>
      </c>
      <c r="AA1300" s="189" t="s">
        <v>3187</v>
      </c>
    </row>
    <row r="1301" customFormat="false" ht="15" hidden="false" customHeight="false" outlineLevel="0" collapsed="false">
      <c r="A1301" s="0" t="n">
        <v>276</v>
      </c>
      <c r="B1301" s="191" t="n">
        <v>46125.5994182192</v>
      </c>
      <c r="C1301" s="191" t="n">
        <v>46125.6043024785</v>
      </c>
      <c r="D1301" s="189" t="s">
        <v>1880</v>
      </c>
      <c r="E1301" s="189" t="s">
        <v>1881</v>
      </c>
      <c r="F1301" s="189" t="s">
        <v>1881</v>
      </c>
      <c r="G1301" s="189" t="s">
        <v>1882</v>
      </c>
      <c r="H1301" s="191" t="n">
        <v>46121</v>
      </c>
      <c r="I1301" s="189" t="s">
        <v>325</v>
      </c>
      <c r="J1301" s="189" t="s">
        <v>108</v>
      </c>
      <c r="K1301" s="189" t="s">
        <v>364</v>
      </c>
      <c r="L1301" s="189" t="s">
        <v>246</v>
      </c>
      <c r="M1301" s="189" t="s">
        <v>212</v>
      </c>
      <c r="N1301" s="189" t="s">
        <v>1441</v>
      </c>
      <c r="O1301" s="189" t="s">
        <v>107</v>
      </c>
      <c r="P1301" s="189" t="s">
        <v>111</v>
      </c>
      <c r="Q1301" s="189" t="s">
        <v>112</v>
      </c>
      <c r="R1301" s="189" t="s">
        <v>22</v>
      </c>
      <c r="S1301" s="189" t="s">
        <v>120</v>
      </c>
      <c r="T1301" s="189" t="s">
        <v>352</v>
      </c>
      <c r="U1301" s="189" t="s">
        <v>1821</v>
      </c>
      <c r="V1301" s="189" t="s">
        <v>123</v>
      </c>
      <c r="W1301" s="189" t="s">
        <v>124</v>
      </c>
      <c r="X1301" s="189" t="s">
        <v>148</v>
      </c>
      <c r="Y1301" s="189" t="s">
        <v>3066</v>
      </c>
      <c r="Z1301" s="0" t="n">
        <v>2</v>
      </c>
      <c r="AA1301" s="189" t="s">
        <v>122</v>
      </c>
    </row>
    <row r="1302" customFormat="false" ht="15" hidden="false" customHeight="false" outlineLevel="0" collapsed="false">
      <c r="A1302" s="0" t="n">
        <v>276</v>
      </c>
      <c r="B1302" s="191" t="n">
        <v>46125.5994182192</v>
      </c>
      <c r="C1302" s="191" t="n">
        <v>46125.6043024785</v>
      </c>
      <c r="D1302" s="189" t="s">
        <v>1880</v>
      </c>
      <c r="E1302" s="189" t="s">
        <v>1881</v>
      </c>
      <c r="F1302" s="189" t="s">
        <v>1881</v>
      </c>
      <c r="G1302" s="189" t="s">
        <v>1882</v>
      </c>
      <c r="H1302" s="191" t="n">
        <v>46121</v>
      </c>
      <c r="I1302" s="189" t="s">
        <v>325</v>
      </c>
      <c r="J1302" s="189" t="s">
        <v>108</v>
      </c>
      <c r="K1302" s="189" t="s">
        <v>364</v>
      </c>
      <c r="L1302" s="189" t="s">
        <v>246</v>
      </c>
      <c r="M1302" s="189" t="s">
        <v>212</v>
      </c>
      <c r="N1302" s="189" t="s">
        <v>1441</v>
      </c>
      <c r="O1302" s="189" t="s">
        <v>107</v>
      </c>
      <c r="P1302" s="189" t="s">
        <v>111</v>
      </c>
      <c r="Q1302" s="189" t="s">
        <v>112</v>
      </c>
      <c r="R1302" s="189" t="s">
        <v>22</v>
      </c>
      <c r="S1302" s="189" t="s">
        <v>120</v>
      </c>
      <c r="T1302" s="189" t="s">
        <v>352</v>
      </c>
      <c r="U1302" s="189" t="s">
        <v>1821</v>
      </c>
      <c r="V1302" s="189" t="s">
        <v>123</v>
      </c>
      <c r="W1302" s="189" t="s">
        <v>124</v>
      </c>
      <c r="X1302" s="189" t="s">
        <v>148</v>
      </c>
      <c r="Y1302" s="189" t="s">
        <v>3069</v>
      </c>
      <c r="Z1302" s="0" t="n">
        <v>1</v>
      </c>
      <c r="AA1302" s="189" t="s">
        <v>3282</v>
      </c>
    </row>
    <row r="1303" customFormat="false" ht="15" hidden="false" customHeight="false" outlineLevel="0" collapsed="false">
      <c r="A1303" s="0" t="n">
        <v>276</v>
      </c>
      <c r="B1303" s="191" t="n">
        <v>46125.5994182192</v>
      </c>
      <c r="C1303" s="191" t="n">
        <v>46125.6043024785</v>
      </c>
      <c r="D1303" s="189" t="s">
        <v>1880</v>
      </c>
      <c r="E1303" s="189" t="s">
        <v>1881</v>
      </c>
      <c r="F1303" s="189" t="s">
        <v>1881</v>
      </c>
      <c r="G1303" s="189" t="s">
        <v>1882</v>
      </c>
      <c r="H1303" s="191" t="n">
        <v>46121</v>
      </c>
      <c r="I1303" s="189" t="s">
        <v>325</v>
      </c>
      <c r="J1303" s="189" t="s">
        <v>108</v>
      </c>
      <c r="K1303" s="189" t="s">
        <v>364</v>
      </c>
      <c r="L1303" s="189" t="s">
        <v>246</v>
      </c>
      <c r="M1303" s="189" t="s">
        <v>212</v>
      </c>
      <c r="N1303" s="189" t="s">
        <v>1441</v>
      </c>
      <c r="O1303" s="189" t="s">
        <v>107</v>
      </c>
      <c r="P1303" s="189" t="s">
        <v>111</v>
      </c>
      <c r="Q1303" s="189" t="s">
        <v>112</v>
      </c>
      <c r="R1303" s="189" t="s">
        <v>22</v>
      </c>
      <c r="S1303" s="189" t="s">
        <v>120</v>
      </c>
      <c r="T1303" s="189" t="s">
        <v>352</v>
      </c>
      <c r="U1303" s="189" t="s">
        <v>1821</v>
      </c>
      <c r="V1303" s="189" t="s">
        <v>123</v>
      </c>
      <c r="W1303" s="189" t="s">
        <v>124</v>
      </c>
      <c r="X1303" s="189" t="s">
        <v>148</v>
      </c>
      <c r="Y1303" s="189" t="s">
        <v>3069</v>
      </c>
      <c r="Z1303" s="0" t="n">
        <v>2</v>
      </c>
      <c r="AA1303" s="189" t="s">
        <v>122</v>
      </c>
    </row>
    <row r="1304" customFormat="false" ht="15" hidden="false" customHeight="false" outlineLevel="0" collapsed="false">
      <c r="A1304" s="0" t="n">
        <v>277</v>
      </c>
      <c r="B1304" s="191" t="n">
        <v>46180.054722481</v>
      </c>
      <c r="C1304" s="191" t="n">
        <v>46180.0610766477</v>
      </c>
      <c r="D1304" s="189" t="s">
        <v>1885</v>
      </c>
      <c r="E1304" s="189" t="s">
        <v>1886</v>
      </c>
      <c r="F1304" s="189" t="s">
        <v>1886</v>
      </c>
      <c r="G1304" s="189" t="s">
        <v>1887</v>
      </c>
      <c r="H1304" s="191" t="n">
        <v>46171</v>
      </c>
      <c r="I1304" s="189" t="s">
        <v>113</v>
      </c>
      <c r="J1304" s="189" t="s">
        <v>108</v>
      </c>
      <c r="K1304" s="189" t="s">
        <v>462</v>
      </c>
      <c r="L1304" s="189" t="s">
        <v>110</v>
      </c>
      <c r="M1304" s="189" t="s">
        <v>652</v>
      </c>
      <c r="N1304" s="189" t="s">
        <v>200</v>
      </c>
      <c r="O1304" s="189" t="s">
        <v>107</v>
      </c>
      <c r="P1304" s="189" t="s">
        <v>111</v>
      </c>
      <c r="Q1304" s="189" t="s">
        <v>112</v>
      </c>
      <c r="R1304" s="189" t="s">
        <v>22</v>
      </c>
      <c r="S1304" s="189" t="s">
        <v>227</v>
      </c>
      <c r="T1304" s="189" t="s">
        <v>121</v>
      </c>
      <c r="U1304" s="189" t="s">
        <v>1002</v>
      </c>
      <c r="V1304" s="189" t="s">
        <v>123</v>
      </c>
      <c r="W1304" s="189" t="s">
        <v>124</v>
      </c>
      <c r="X1304" s="189" t="s">
        <v>298</v>
      </c>
      <c r="Y1304" s="189" t="s">
        <v>3064</v>
      </c>
      <c r="Z1304" s="0" t="n">
        <v>1</v>
      </c>
      <c r="AA1304" s="189" t="s">
        <v>3125</v>
      </c>
    </row>
    <row r="1305" customFormat="false" ht="15" hidden="false" customHeight="false" outlineLevel="0" collapsed="false">
      <c r="A1305" s="0" t="n">
        <v>277</v>
      </c>
      <c r="B1305" s="191" t="n">
        <v>46180.054722481</v>
      </c>
      <c r="C1305" s="191" t="n">
        <v>46180.0610766477</v>
      </c>
      <c r="D1305" s="189" t="s">
        <v>1885</v>
      </c>
      <c r="E1305" s="189" t="s">
        <v>1886</v>
      </c>
      <c r="F1305" s="189" t="s">
        <v>1886</v>
      </c>
      <c r="G1305" s="189" t="s">
        <v>1887</v>
      </c>
      <c r="H1305" s="191" t="n">
        <v>46171</v>
      </c>
      <c r="I1305" s="189" t="s">
        <v>113</v>
      </c>
      <c r="J1305" s="189" t="s">
        <v>108</v>
      </c>
      <c r="K1305" s="189" t="s">
        <v>462</v>
      </c>
      <c r="L1305" s="189" t="s">
        <v>110</v>
      </c>
      <c r="M1305" s="189" t="s">
        <v>652</v>
      </c>
      <c r="N1305" s="189" t="s">
        <v>200</v>
      </c>
      <c r="O1305" s="189" t="s">
        <v>107</v>
      </c>
      <c r="P1305" s="189" t="s">
        <v>111</v>
      </c>
      <c r="Q1305" s="189" t="s">
        <v>112</v>
      </c>
      <c r="R1305" s="189" t="s">
        <v>22</v>
      </c>
      <c r="S1305" s="189" t="s">
        <v>227</v>
      </c>
      <c r="T1305" s="189" t="s">
        <v>121</v>
      </c>
      <c r="U1305" s="189" t="s">
        <v>1002</v>
      </c>
      <c r="V1305" s="189" t="s">
        <v>123</v>
      </c>
      <c r="W1305" s="189" t="s">
        <v>124</v>
      </c>
      <c r="X1305" s="189" t="s">
        <v>298</v>
      </c>
      <c r="Y1305" s="189" t="s">
        <v>3064</v>
      </c>
      <c r="Z1305" s="0" t="n">
        <v>2</v>
      </c>
      <c r="AA1305" s="189" t="s">
        <v>3124</v>
      </c>
    </row>
    <row r="1306" customFormat="false" ht="15" hidden="false" customHeight="false" outlineLevel="0" collapsed="false">
      <c r="A1306" s="0" t="n">
        <v>277</v>
      </c>
      <c r="B1306" s="191" t="n">
        <v>46180.054722481</v>
      </c>
      <c r="C1306" s="191" t="n">
        <v>46180.0610766477</v>
      </c>
      <c r="D1306" s="189" t="s">
        <v>1885</v>
      </c>
      <c r="E1306" s="189" t="s">
        <v>1886</v>
      </c>
      <c r="F1306" s="189" t="s">
        <v>1886</v>
      </c>
      <c r="G1306" s="189" t="s">
        <v>1887</v>
      </c>
      <c r="H1306" s="191" t="n">
        <v>46171</v>
      </c>
      <c r="I1306" s="189" t="s">
        <v>113</v>
      </c>
      <c r="J1306" s="189" t="s">
        <v>108</v>
      </c>
      <c r="K1306" s="189" t="s">
        <v>462</v>
      </c>
      <c r="L1306" s="189" t="s">
        <v>110</v>
      </c>
      <c r="M1306" s="189" t="s">
        <v>652</v>
      </c>
      <c r="N1306" s="189" t="s">
        <v>200</v>
      </c>
      <c r="O1306" s="189" t="s">
        <v>107</v>
      </c>
      <c r="P1306" s="189" t="s">
        <v>111</v>
      </c>
      <c r="Q1306" s="189" t="s">
        <v>112</v>
      </c>
      <c r="R1306" s="189" t="s">
        <v>22</v>
      </c>
      <c r="S1306" s="189" t="s">
        <v>227</v>
      </c>
      <c r="T1306" s="189" t="s">
        <v>121</v>
      </c>
      <c r="U1306" s="189" t="s">
        <v>1002</v>
      </c>
      <c r="V1306" s="189" t="s">
        <v>123</v>
      </c>
      <c r="W1306" s="189" t="s">
        <v>124</v>
      </c>
      <c r="X1306" s="189" t="s">
        <v>298</v>
      </c>
      <c r="Y1306" s="189" t="s">
        <v>3066</v>
      </c>
      <c r="Z1306" s="0" t="n">
        <v>1</v>
      </c>
      <c r="AA1306" s="189" t="s">
        <v>3267</v>
      </c>
    </row>
    <row r="1307" customFormat="false" ht="15" hidden="false" customHeight="false" outlineLevel="0" collapsed="false">
      <c r="A1307" s="0" t="n">
        <v>277</v>
      </c>
      <c r="B1307" s="191" t="n">
        <v>46180.054722481</v>
      </c>
      <c r="C1307" s="191" t="n">
        <v>46180.0610766477</v>
      </c>
      <c r="D1307" s="189" t="s">
        <v>1885</v>
      </c>
      <c r="E1307" s="189" t="s">
        <v>1886</v>
      </c>
      <c r="F1307" s="189" t="s">
        <v>1886</v>
      </c>
      <c r="G1307" s="189" t="s">
        <v>1887</v>
      </c>
      <c r="H1307" s="191" t="n">
        <v>46171</v>
      </c>
      <c r="I1307" s="189" t="s">
        <v>113</v>
      </c>
      <c r="J1307" s="189" t="s">
        <v>108</v>
      </c>
      <c r="K1307" s="189" t="s">
        <v>462</v>
      </c>
      <c r="L1307" s="189" t="s">
        <v>110</v>
      </c>
      <c r="M1307" s="189" t="s">
        <v>652</v>
      </c>
      <c r="N1307" s="189" t="s">
        <v>200</v>
      </c>
      <c r="O1307" s="189" t="s">
        <v>107</v>
      </c>
      <c r="P1307" s="189" t="s">
        <v>111</v>
      </c>
      <c r="Q1307" s="189" t="s">
        <v>112</v>
      </c>
      <c r="R1307" s="189" t="s">
        <v>22</v>
      </c>
      <c r="S1307" s="189" t="s">
        <v>227</v>
      </c>
      <c r="T1307" s="189" t="s">
        <v>121</v>
      </c>
      <c r="U1307" s="189" t="s">
        <v>1002</v>
      </c>
      <c r="V1307" s="189" t="s">
        <v>123</v>
      </c>
      <c r="W1307" s="189" t="s">
        <v>124</v>
      </c>
      <c r="X1307" s="189" t="s">
        <v>298</v>
      </c>
      <c r="Y1307" s="189" t="s">
        <v>3069</v>
      </c>
      <c r="Z1307" s="0" t="n">
        <v>1</v>
      </c>
      <c r="AA1307" s="189" t="s">
        <v>3128</v>
      </c>
    </row>
    <row r="1308" customFormat="false" ht="15" hidden="false" customHeight="false" outlineLevel="0" collapsed="false">
      <c r="A1308" s="0" t="n">
        <v>278</v>
      </c>
      <c r="B1308" s="191" t="n">
        <v>46150.8368865769</v>
      </c>
      <c r="C1308" s="191" t="n">
        <v>46150.8479629658</v>
      </c>
      <c r="D1308" s="189" t="s">
        <v>1889</v>
      </c>
      <c r="E1308" s="189" t="s">
        <v>1890</v>
      </c>
      <c r="F1308" s="189" t="s">
        <v>1890</v>
      </c>
      <c r="G1308" s="189" t="s">
        <v>1891</v>
      </c>
      <c r="H1308" s="191" t="n">
        <v>46131</v>
      </c>
      <c r="I1308" s="189" t="s">
        <v>113</v>
      </c>
      <c r="J1308" s="189" t="s">
        <v>295</v>
      </c>
      <c r="K1308" s="189" t="s">
        <v>1892</v>
      </c>
      <c r="L1308" s="189" t="s">
        <v>110</v>
      </c>
      <c r="M1308" s="189" t="s">
        <v>185</v>
      </c>
      <c r="N1308" s="189" t="s">
        <v>1243</v>
      </c>
      <c r="O1308" s="189" t="s">
        <v>107</v>
      </c>
      <c r="P1308" s="189" t="s">
        <v>111</v>
      </c>
      <c r="Q1308" s="189" t="s">
        <v>112</v>
      </c>
      <c r="R1308" s="189" t="s">
        <v>22</v>
      </c>
      <c r="S1308" s="189" t="s">
        <v>152</v>
      </c>
      <c r="T1308" s="189" t="s">
        <v>352</v>
      </c>
      <c r="U1308" s="189" t="s">
        <v>122</v>
      </c>
      <c r="V1308" s="189" t="s">
        <v>167</v>
      </c>
      <c r="W1308" s="189" t="s">
        <v>124</v>
      </c>
      <c r="X1308" s="189" t="s">
        <v>148</v>
      </c>
      <c r="Y1308" s="189" t="s">
        <v>3064</v>
      </c>
      <c r="Z1308" s="0" t="n">
        <v>1</v>
      </c>
      <c r="AA1308" s="189" t="s">
        <v>3281</v>
      </c>
    </row>
    <row r="1309" customFormat="false" ht="15" hidden="false" customHeight="false" outlineLevel="0" collapsed="false">
      <c r="A1309" s="0" t="n">
        <v>278</v>
      </c>
      <c r="B1309" s="191" t="n">
        <v>46150.8368865769</v>
      </c>
      <c r="C1309" s="191" t="n">
        <v>46150.8479629658</v>
      </c>
      <c r="D1309" s="189" t="s">
        <v>1889</v>
      </c>
      <c r="E1309" s="189" t="s">
        <v>1890</v>
      </c>
      <c r="F1309" s="189" t="s">
        <v>1890</v>
      </c>
      <c r="G1309" s="189" t="s">
        <v>1891</v>
      </c>
      <c r="H1309" s="191" t="n">
        <v>46131</v>
      </c>
      <c r="I1309" s="189" t="s">
        <v>113</v>
      </c>
      <c r="J1309" s="189" t="s">
        <v>295</v>
      </c>
      <c r="K1309" s="189" t="s">
        <v>1892</v>
      </c>
      <c r="L1309" s="189" t="s">
        <v>110</v>
      </c>
      <c r="M1309" s="189" t="s">
        <v>185</v>
      </c>
      <c r="N1309" s="189" t="s">
        <v>1243</v>
      </c>
      <c r="O1309" s="189" t="s">
        <v>107</v>
      </c>
      <c r="P1309" s="189" t="s">
        <v>111</v>
      </c>
      <c r="Q1309" s="189" t="s">
        <v>112</v>
      </c>
      <c r="R1309" s="189" t="s">
        <v>22</v>
      </c>
      <c r="S1309" s="189" t="s">
        <v>152</v>
      </c>
      <c r="T1309" s="189" t="s">
        <v>352</v>
      </c>
      <c r="U1309" s="189" t="s">
        <v>122</v>
      </c>
      <c r="V1309" s="189" t="s">
        <v>167</v>
      </c>
      <c r="W1309" s="189" t="s">
        <v>124</v>
      </c>
      <c r="X1309" s="189" t="s">
        <v>148</v>
      </c>
      <c r="Y1309" s="189" t="s">
        <v>3066</v>
      </c>
      <c r="Z1309" s="0" t="n">
        <v>1</v>
      </c>
      <c r="AA1309" s="189" t="s">
        <v>2818</v>
      </c>
    </row>
    <row r="1310" customFormat="false" ht="15" hidden="false" customHeight="false" outlineLevel="0" collapsed="false">
      <c r="A1310" s="0" t="n">
        <v>278</v>
      </c>
      <c r="B1310" s="191" t="n">
        <v>46150.8368865769</v>
      </c>
      <c r="C1310" s="191" t="n">
        <v>46150.8479629658</v>
      </c>
      <c r="D1310" s="189" t="s">
        <v>1889</v>
      </c>
      <c r="E1310" s="189" t="s">
        <v>1890</v>
      </c>
      <c r="F1310" s="189" t="s">
        <v>1890</v>
      </c>
      <c r="G1310" s="189" t="s">
        <v>1891</v>
      </c>
      <c r="H1310" s="191" t="n">
        <v>46131</v>
      </c>
      <c r="I1310" s="189" t="s">
        <v>113</v>
      </c>
      <c r="J1310" s="189" t="s">
        <v>295</v>
      </c>
      <c r="K1310" s="189" t="s">
        <v>1892</v>
      </c>
      <c r="L1310" s="189" t="s">
        <v>110</v>
      </c>
      <c r="M1310" s="189" t="s">
        <v>185</v>
      </c>
      <c r="N1310" s="189" t="s">
        <v>1243</v>
      </c>
      <c r="O1310" s="189" t="s">
        <v>107</v>
      </c>
      <c r="P1310" s="189" t="s">
        <v>111</v>
      </c>
      <c r="Q1310" s="189" t="s">
        <v>112</v>
      </c>
      <c r="R1310" s="189" t="s">
        <v>22</v>
      </c>
      <c r="S1310" s="189" t="s">
        <v>152</v>
      </c>
      <c r="T1310" s="189" t="s">
        <v>352</v>
      </c>
      <c r="U1310" s="189" t="s">
        <v>122</v>
      </c>
      <c r="V1310" s="189" t="s">
        <v>167</v>
      </c>
      <c r="W1310" s="189" t="s">
        <v>124</v>
      </c>
      <c r="X1310" s="189" t="s">
        <v>148</v>
      </c>
      <c r="Y1310" s="189" t="s">
        <v>3066</v>
      </c>
      <c r="Z1310" s="0" t="n">
        <v>2</v>
      </c>
      <c r="AA1310" s="189" t="s">
        <v>3093</v>
      </c>
    </row>
    <row r="1311" customFormat="false" ht="15" hidden="false" customHeight="false" outlineLevel="0" collapsed="false">
      <c r="A1311" s="0" t="n">
        <v>278</v>
      </c>
      <c r="B1311" s="191" t="n">
        <v>46150.8368865769</v>
      </c>
      <c r="C1311" s="191" t="n">
        <v>46150.8479629658</v>
      </c>
      <c r="D1311" s="189" t="s">
        <v>1889</v>
      </c>
      <c r="E1311" s="189" t="s">
        <v>1890</v>
      </c>
      <c r="F1311" s="189" t="s">
        <v>1890</v>
      </c>
      <c r="G1311" s="189" t="s">
        <v>1891</v>
      </c>
      <c r="H1311" s="191" t="n">
        <v>46131</v>
      </c>
      <c r="I1311" s="189" t="s">
        <v>113</v>
      </c>
      <c r="J1311" s="189" t="s">
        <v>295</v>
      </c>
      <c r="K1311" s="189" t="s">
        <v>1892</v>
      </c>
      <c r="L1311" s="189" t="s">
        <v>110</v>
      </c>
      <c r="M1311" s="189" t="s">
        <v>185</v>
      </c>
      <c r="N1311" s="189" t="s">
        <v>1243</v>
      </c>
      <c r="O1311" s="189" t="s">
        <v>107</v>
      </c>
      <c r="P1311" s="189" t="s">
        <v>111</v>
      </c>
      <c r="Q1311" s="189" t="s">
        <v>112</v>
      </c>
      <c r="R1311" s="189" t="s">
        <v>22</v>
      </c>
      <c r="S1311" s="189" t="s">
        <v>152</v>
      </c>
      <c r="T1311" s="189" t="s">
        <v>352</v>
      </c>
      <c r="U1311" s="189" t="s">
        <v>122</v>
      </c>
      <c r="V1311" s="189" t="s">
        <v>167</v>
      </c>
      <c r="W1311" s="189" t="s">
        <v>124</v>
      </c>
      <c r="X1311" s="189" t="s">
        <v>148</v>
      </c>
      <c r="Y1311" s="189" t="s">
        <v>3069</v>
      </c>
      <c r="Z1311" s="0" t="n">
        <v>1</v>
      </c>
      <c r="AA1311" s="189" t="s">
        <v>3188</v>
      </c>
    </row>
    <row r="1312" customFormat="false" ht="15" hidden="false" customHeight="false" outlineLevel="0" collapsed="false">
      <c r="A1312" s="0" t="n">
        <v>279</v>
      </c>
      <c r="B1312" s="191" t="n">
        <v>46049.1177767718</v>
      </c>
      <c r="C1312" s="191" t="n">
        <v>46049.1271401977</v>
      </c>
      <c r="D1312" s="189" t="s">
        <v>1894</v>
      </c>
      <c r="E1312" s="189" t="s">
        <v>1895</v>
      </c>
      <c r="F1312" s="189" t="s">
        <v>1895</v>
      </c>
      <c r="G1312" s="189" t="s">
        <v>1896</v>
      </c>
      <c r="H1312" s="191" t="n">
        <v>46039</v>
      </c>
      <c r="I1312" s="189" t="s">
        <v>305</v>
      </c>
      <c r="J1312" s="189" t="s">
        <v>295</v>
      </c>
      <c r="K1312" s="189" t="s">
        <v>245</v>
      </c>
      <c r="L1312" s="189" t="s">
        <v>210</v>
      </c>
      <c r="M1312" s="189" t="s">
        <v>864</v>
      </c>
      <c r="N1312" s="189" t="s">
        <v>849</v>
      </c>
      <c r="O1312" s="189" t="s">
        <v>1897</v>
      </c>
      <c r="P1312" s="189" t="s">
        <v>111</v>
      </c>
      <c r="Q1312" s="189" t="s">
        <v>247</v>
      </c>
      <c r="R1312" s="189" t="s">
        <v>21</v>
      </c>
      <c r="S1312" s="189" t="s">
        <v>152</v>
      </c>
      <c r="T1312" s="189" t="s">
        <v>180</v>
      </c>
      <c r="U1312" s="189" t="s">
        <v>1489</v>
      </c>
      <c r="V1312" s="189" t="s">
        <v>123</v>
      </c>
      <c r="W1312" s="189" t="s">
        <v>124</v>
      </c>
      <c r="X1312" s="189" t="s">
        <v>307</v>
      </c>
      <c r="Y1312" s="189" t="s">
        <v>3064</v>
      </c>
      <c r="Z1312" s="0" t="n">
        <v>1</v>
      </c>
      <c r="AA1312" s="189" t="s">
        <v>3129</v>
      </c>
    </row>
    <row r="1313" customFormat="false" ht="15" hidden="false" customHeight="false" outlineLevel="0" collapsed="false">
      <c r="A1313" s="0" t="n">
        <v>279</v>
      </c>
      <c r="B1313" s="191" t="n">
        <v>46049.1177767718</v>
      </c>
      <c r="C1313" s="191" t="n">
        <v>46049.1271401977</v>
      </c>
      <c r="D1313" s="189" t="s">
        <v>1894</v>
      </c>
      <c r="E1313" s="189" t="s">
        <v>1895</v>
      </c>
      <c r="F1313" s="189" t="s">
        <v>1895</v>
      </c>
      <c r="G1313" s="189" t="s">
        <v>1896</v>
      </c>
      <c r="H1313" s="191" t="n">
        <v>46039</v>
      </c>
      <c r="I1313" s="189" t="s">
        <v>305</v>
      </c>
      <c r="J1313" s="189" t="s">
        <v>295</v>
      </c>
      <c r="K1313" s="189" t="s">
        <v>245</v>
      </c>
      <c r="L1313" s="189" t="s">
        <v>210</v>
      </c>
      <c r="M1313" s="189" t="s">
        <v>864</v>
      </c>
      <c r="N1313" s="189" t="s">
        <v>849</v>
      </c>
      <c r="O1313" s="189" t="s">
        <v>1897</v>
      </c>
      <c r="P1313" s="189" t="s">
        <v>111</v>
      </c>
      <c r="Q1313" s="189" t="s">
        <v>247</v>
      </c>
      <c r="R1313" s="189" t="s">
        <v>21</v>
      </c>
      <c r="S1313" s="189" t="s">
        <v>152</v>
      </c>
      <c r="T1313" s="189" t="s">
        <v>180</v>
      </c>
      <c r="U1313" s="189" t="s">
        <v>1489</v>
      </c>
      <c r="V1313" s="189" t="s">
        <v>123</v>
      </c>
      <c r="W1313" s="189" t="s">
        <v>124</v>
      </c>
      <c r="X1313" s="189" t="s">
        <v>307</v>
      </c>
      <c r="Y1313" s="189" t="s">
        <v>3064</v>
      </c>
      <c r="Z1313" s="0" t="n">
        <v>2</v>
      </c>
      <c r="AA1313" s="189" t="s">
        <v>3131</v>
      </c>
    </row>
    <row r="1314" customFormat="false" ht="15" hidden="false" customHeight="false" outlineLevel="0" collapsed="false">
      <c r="A1314" s="0" t="n">
        <v>279</v>
      </c>
      <c r="B1314" s="191" t="n">
        <v>46049.1177767718</v>
      </c>
      <c r="C1314" s="191" t="n">
        <v>46049.1271401977</v>
      </c>
      <c r="D1314" s="189" t="s">
        <v>1894</v>
      </c>
      <c r="E1314" s="189" t="s">
        <v>1895</v>
      </c>
      <c r="F1314" s="189" t="s">
        <v>1895</v>
      </c>
      <c r="G1314" s="189" t="s">
        <v>1896</v>
      </c>
      <c r="H1314" s="191" t="n">
        <v>46039</v>
      </c>
      <c r="I1314" s="189" t="s">
        <v>305</v>
      </c>
      <c r="J1314" s="189" t="s">
        <v>295</v>
      </c>
      <c r="K1314" s="189" t="s">
        <v>245</v>
      </c>
      <c r="L1314" s="189" t="s">
        <v>210</v>
      </c>
      <c r="M1314" s="189" t="s">
        <v>864</v>
      </c>
      <c r="N1314" s="189" t="s">
        <v>849</v>
      </c>
      <c r="O1314" s="189" t="s">
        <v>1897</v>
      </c>
      <c r="P1314" s="189" t="s">
        <v>111</v>
      </c>
      <c r="Q1314" s="189" t="s">
        <v>247</v>
      </c>
      <c r="R1314" s="189" t="s">
        <v>21</v>
      </c>
      <c r="S1314" s="189" t="s">
        <v>152</v>
      </c>
      <c r="T1314" s="189" t="s">
        <v>180</v>
      </c>
      <c r="U1314" s="189" t="s">
        <v>1489</v>
      </c>
      <c r="V1314" s="189" t="s">
        <v>123</v>
      </c>
      <c r="W1314" s="189" t="s">
        <v>124</v>
      </c>
      <c r="X1314" s="189" t="s">
        <v>307</v>
      </c>
      <c r="Y1314" s="189" t="s">
        <v>3064</v>
      </c>
      <c r="Z1314" s="0" t="n">
        <v>3</v>
      </c>
      <c r="AA1314" s="189" t="s">
        <v>3130</v>
      </c>
    </row>
    <row r="1315" customFormat="false" ht="15" hidden="false" customHeight="false" outlineLevel="0" collapsed="false">
      <c r="A1315" s="0" t="n">
        <v>279</v>
      </c>
      <c r="B1315" s="191" t="n">
        <v>46049.1177767718</v>
      </c>
      <c r="C1315" s="191" t="n">
        <v>46049.1271401977</v>
      </c>
      <c r="D1315" s="189" t="s">
        <v>1894</v>
      </c>
      <c r="E1315" s="189" t="s">
        <v>1895</v>
      </c>
      <c r="F1315" s="189" t="s">
        <v>1895</v>
      </c>
      <c r="G1315" s="189" t="s">
        <v>1896</v>
      </c>
      <c r="H1315" s="191" t="n">
        <v>46039</v>
      </c>
      <c r="I1315" s="189" t="s">
        <v>305</v>
      </c>
      <c r="J1315" s="189" t="s">
        <v>295</v>
      </c>
      <c r="K1315" s="189" t="s">
        <v>245</v>
      </c>
      <c r="L1315" s="189" t="s">
        <v>210</v>
      </c>
      <c r="M1315" s="189" t="s">
        <v>864</v>
      </c>
      <c r="N1315" s="189" t="s">
        <v>849</v>
      </c>
      <c r="O1315" s="189" t="s">
        <v>1897</v>
      </c>
      <c r="P1315" s="189" t="s">
        <v>111</v>
      </c>
      <c r="Q1315" s="189" t="s">
        <v>247</v>
      </c>
      <c r="R1315" s="189" t="s">
        <v>21</v>
      </c>
      <c r="S1315" s="189" t="s">
        <v>152</v>
      </c>
      <c r="T1315" s="189" t="s">
        <v>180</v>
      </c>
      <c r="U1315" s="189" t="s">
        <v>1489</v>
      </c>
      <c r="V1315" s="189" t="s">
        <v>123</v>
      </c>
      <c r="W1315" s="189" t="s">
        <v>124</v>
      </c>
      <c r="X1315" s="189" t="s">
        <v>307</v>
      </c>
      <c r="Y1315" s="189" t="s">
        <v>3066</v>
      </c>
      <c r="Z1315" s="0" t="n">
        <v>1</v>
      </c>
      <c r="AA1315" s="189" t="s">
        <v>1174</v>
      </c>
    </row>
    <row r="1316" customFormat="false" ht="15" hidden="false" customHeight="false" outlineLevel="0" collapsed="false">
      <c r="A1316" s="0" t="n">
        <v>279</v>
      </c>
      <c r="B1316" s="191" t="n">
        <v>46049.1177767718</v>
      </c>
      <c r="C1316" s="191" t="n">
        <v>46049.1271401977</v>
      </c>
      <c r="D1316" s="189" t="s">
        <v>1894</v>
      </c>
      <c r="E1316" s="189" t="s">
        <v>1895</v>
      </c>
      <c r="F1316" s="189" t="s">
        <v>1895</v>
      </c>
      <c r="G1316" s="189" t="s">
        <v>1896</v>
      </c>
      <c r="H1316" s="191" t="n">
        <v>46039</v>
      </c>
      <c r="I1316" s="189" t="s">
        <v>305</v>
      </c>
      <c r="J1316" s="189" t="s">
        <v>295</v>
      </c>
      <c r="K1316" s="189" t="s">
        <v>245</v>
      </c>
      <c r="L1316" s="189" t="s">
        <v>210</v>
      </c>
      <c r="M1316" s="189" t="s">
        <v>864</v>
      </c>
      <c r="N1316" s="189" t="s">
        <v>849</v>
      </c>
      <c r="O1316" s="189" t="s">
        <v>1897</v>
      </c>
      <c r="P1316" s="189" t="s">
        <v>111</v>
      </c>
      <c r="Q1316" s="189" t="s">
        <v>247</v>
      </c>
      <c r="R1316" s="189" t="s">
        <v>21</v>
      </c>
      <c r="S1316" s="189" t="s">
        <v>152</v>
      </c>
      <c r="T1316" s="189" t="s">
        <v>180</v>
      </c>
      <c r="U1316" s="189" t="s">
        <v>1489</v>
      </c>
      <c r="V1316" s="189" t="s">
        <v>123</v>
      </c>
      <c r="W1316" s="189" t="s">
        <v>124</v>
      </c>
      <c r="X1316" s="189" t="s">
        <v>307</v>
      </c>
      <c r="Y1316" s="189" t="s">
        <v>3069</v>
      </c>
      <c r="Z1316" s="0" t="n">
        <v>1</v>
      </c>
      <c r="AA1316" s="189" t="s">
        <v>3133</v>
      </c>
    </row>
    <row r="1317" customFormat="false" ht="15" hidden="false" customHeight="false" outlineLevel="0" collapsed="false">
      <c r="A1317" s="0" t="n">
        <v>279</v>
      </c>
      <c r="B1317" s="191" t="n">
        <v>46049.1177767718</v>
      </c>
      <c r="C1317" s="191" t="n">
        <v>46049.1271401977</v>
      </c>
      <c r="D1317" s="189" t="s">
        <v>1894</v>
      </c>
      <c r="E1317" s="189" t="s">
        <v>1895</v>
      </c>
      <c r="F1317" s="189" t="s">
        <v>1895</v>
      </c>
      <c r="G1317" s="189" t="s">
        <v>1896</v>
      </c>
      <c r="H1317" s="191" t="n">
        <v>46039</v>
      </c>
      <c r="I1317" s="189" t="s">
        <v>305</v>
      </c>
      <c r="J1317" s="189" t="s">
        <v>295</v>
      </c>
      <c r="K1317" s="189" t="s">
        <v>245</v>
      </c>
      <c r="L1317" s="189" t="s">
        <v>210</v>
      </c>
      <c r="M1317" s="189" t="s">
        <v>864</v>
      </c>
      <c r="N1317" s="189" t="s">
        <v>849</v>
      </c>
      <c r="O1317" s="189" t="s">
        <v>1897</v>
      </c>
      <c r="P1317" s="189" t="s">
        <v>111</v>
      </c>
      <c r="Q1317" s="189" t="s">
        <v>247</v>
      </c>
      <c r="R1317" s="189" t="s">
        <v>21</v>
      </c>
      <c r="S1317" s="189" t="s">
        <v>152</v>
      </c>
      <c r="T1317" s="189" t="s">
        <v>180</v>
      </c>
      <c r="U1317" s="189" t="s">
        <v>1489</v>
      </c>
      <c r="V1317" s="189" t="s">
        <v>123</v>
      </c>
      <c r="W1317" s="189" t="s">
        <v>124</v>
      </c>
      <c r="X1317" s="189" t="s">
        <v>307</v>
      </c>
      <c r="Y1317" s="189" t="s">
        <v>3069</v>
      </c>
      <c r="Z1317" s="0" t="n">
        <v>2</v>
      </c>
      <c r="AA1317" s="189" t="s">
        <v>3134</v>
      </c>
    </row>
    <row r="1318" customFormat="false" ht="15" hidden="false" customHeight="false" outlineLevel="0" collapsed="false">
      <c r="A1318" s="0" t="n">
        <v>280</v>
      </c>
      <c r="B1318" s="191" t="n">
        <v>46199.0453781516</v>
      </c>
      <c r="C1318" s="191" t="n">
        <v>46199.0478434294</v>
      </c>
      <c r="D1318" s="189" t="s">
        <v>1899</v>
      </c>
      <c r="E1318" s="189" t="s">
        <v>1900</v>
      </c>
      <c r="F1318" s="189" t="s">
        <v>1900</v>
      </c>
      <c r="G1318" s="189" t="s">
        <v>1901</v>
      </c>
      <c r="H1318" s="191" t="n">
        <v>46185</v>
      </c>
      <c r="I1318" s="189" t="s">
        <v>863</v>
      </c>
      <c r="J1318" s="189" t="s">
        <v>108</v>
      </c>
      <c r="K1318" s="189" t="s">
        <v>462</v>
      </c>
      <c r="L1318" s="189" t="s">
        <v>491</v>
      </c>
      <c r="M1318" s="189" t="s">
        <v>234</v>
      </c>
      <c r="N1318" s="189" t="s">
        <v>306</v>
      </c>
      <c r="O1318" s="189" t="s">
        <v>107</v>
      </c>
      <c r="P1318" s="189" t="s">
        <v>111</v>
      </c>
      <c r="Q1318" s="189" t="s">
        <v>247</v>
      </c>
      <c r="R1318" s="189" t="s">
        <v>24</v>
      </c>
      <c r="S1318" s="189" t="s">
        <v>152</v>
      </c>
      <c r="T1318" s="189" t="s">
        <v>121</v>
      </c>
      <c r="U1318" s="189" t="s">
        <v>1902</v>
      </c>
      <c r="V1318" s="189" t="s">
        <v>167</v>
      </c>
      <c r="W1318" s="189" t="s">
        <v>124</v>
      </c>
      <c r="X1318" s="189" t="s">
        <v>214</v>
      </c>
      <c r="Y1318" s="189" t="s">
        <v>3064</v>
      </c>
      <c r="Z1318" s="0" t="n">
        <v>1</v>
      </c>
      <c r="AA1318" s="189" t="s">
        <v>3065</v>
      </c>
    </row>
    <row r="1319" customFormat="false" ht="15" hidden="false" customHeight="false" outlineLevel="0" collapsed="false">
      <c r="A1319" s="0" t="n">
        <v>280</v>
      </c>
      <c r="B1319" s="191" t="n">
        <v>46199.0453781516</v>
      </c>
      <c r="C1319" s="191" t="n">
        <v>46199.0478434294</v>
      </c>
      <c r="D1319" s="189" t="s">
        <v>1899</v>
      </c>
      <c r="E1319" s="189" t="s">
        <v>1900</v>
      </c>
      <c r="F1319" s="189" t="s">
        <v>1900</v>
      </c>
      <c r="G1319" s="189" t="s">
        <v>1901</v>
      </c>
      <c r="H1319" s="191" t="n">
        <v>46185</v>
      </c>
      <c r="I1319" s="189" t="s">
        <v>863</v>
      </c>
      <c r="J1319" s="189" t="s">
        <v>108</v>
      </c>
      <c r="K1319" s="189" t="s">
        <v>462</v>
      </c>
      <c r="L1319" s="189" t="s">
        <v>491</v>
      </c>
      <c r="M1319" s="189" t="s">
        <v>234</v>
      </c>
      <c r="N1319" s="189" t="s">
        <v>306</v>
      </c>
      <c r="O1319" s="189" t="s">
        <v>107</v>
      </c>
      <c r="P1319" s="189" t="s">
        <v>111</v>
      </c>
      <c r="Q1319" s="189" t="s">
        <v>247</v>
      </c>
      <c r="R1319" s="189" t="s">
        <v>24</v>
      </c>
      <c r="S1319" s="189" t="s">
        <v>152</v>
      </c>
      <c r="T1319" s="189" t="s">
        <v>121</v>
      </c>
      <c r="U1319" s="189" t="s">
        <v>1902</v>
      </c>
      <c r="V1319" s="189" t="s">
        <v>167</v>
      </c>
      <c r="W1319" s="189" t="s">
        <v>124</v>
      </c>
      <c r="X1319" s="189" t="s">
        <v>214</v>
      </c>
      <c r="Y1319" s="189" t="s">
        <v>3064</v>
      </c>
      <c r="Z1319" s="0" t="n">
        <v>2</v>
      </c>
      <c r="AA1319" s="189" t="s">
        <v>3107</v>
      </c>
    </row>
    <row r="1320" customFormat="false" ht="15" hidden="false" customHeight="false" outlineLevel="0" collapsed="false">
      <c r="A1320" s="0" t="n">
        <v>280</v>
      </c>
      <c r="B1320" s="191" t="n">
        <v>46199.0453781516</v>
      </c>
      <c r="C1320" s="191" t="n">
        <v>46199.0478434294</v>
      </c>
      <c r="D1320" s="189" t="s">
        <v>1899</v>
      </c>
      <c r="E1320" s="189" t="s">
        <v>1900</v>
      </c>
      <c r="F1320" s="189" t="s">
        <v>1900</v>
      </c>
      <c r="G1320" s="189" t="s">
        <v>1901</v>
      </c>
      <c r="H1320" s="191" t="n">
        <v>46185</v>
      </c>
      <c r="I1320" s="189" t="s">
        <v>863</v>
      </c>
      <c r="J1320" s="189" t="s">
        <v>108</v>
      </c>
      <c r="K1320" s="189" t="s">
        <v>462</v>
      </c>
      <c r="L1320" s="189" t="s">
        <v>491</v>
      </c>
      <c r="M1320" s="189" t="s">
        <v>234</v>
      </c>
      <c r="N1320" s="189" t="s">
        <v>306</v>
      </c>
      <c r="O1320" s="189" t="s">
        <v>107</v>
      </c>
      <c r="P1320" s="189" t="s">
        <v>111</v>
      </c>
      <c r="Q1320" s="189" t="s">
        <v>247</v>
      </c>
      <c r="R1320" s="189" t="s">
        <v>24</v>
      </c>
      <c r="S1320" s="189" t="s">
        <v>152</v>
      </c>
      <c r="T1320" s="189" t="s">
        <v>121</v>
      </c>
      <c r="U1320" s="189" t="s">
        <v>1902</v>
      </c>
      <c r="V1320" s="189" t="s">
        <v>167</v>
      </c>
      <c r="W1320" s="189" t="s">
        <v>124</v>
      </c>
      <c r="X1320" s="189" t="s">
        <v>214</v>
      </c>
      <c r="Y1320" s="189" t="s">
        <v>3066</v>
      </c>
      <c r="Z1320" s="0" t="n">
        <v>1</v>
      </c>
      <c r="AA1320" s="189" t="s">
        <v>3211</v>
      </c>
    </row>
    <row r="1321" customFormat="false" ht="15" hidden="false" customHeight="false" outlineLevel="0" collapsed="false">
      <c r="A1321" s="0" t="n">
        <v>280</v>
      </c>
      <c r="B1321" s="191" t="n">
        <v>46199.0453781516</v>
      </c>
      <c r="C1321" s="191" t="n">
        <v>46199.0478434294</v>
      </c>
      <c r="D1321" s="189" t="s">
        <v>1899</v>
      </c>
      <c r="E1321" s="189" t="s">
        <v>1900</v>
      </c>
      <c r="F1321" s="189" t="s">
        <v>1900</v>
      </c>
      <c r="G1321" s="189" t="s">
        <v>1901</v>
      </c>
      <c r="H1321" s="191" t="n">
        <v>46185</v>
      </c>
      <c r="I1321" s="189" t="s">
        <v>863</v>
      </c>
      <c r="J1321" s="189" t="s">
        <v>108</v>
      </c>
      <c r="K1321" s="189" t="s">
        <v>462</v>
      </c>
      <c r="L1321" s="189" t="s">
        <v>491</v>
      </c>
      <c r="M1321" s="189" t="s">
        <v>234</v>
      </c>
      <c r="N1321" s="189" t="s">
        <v>306</v>
      </c>
      <c r="O1321" s="189" t="s">
        <v>107</v>
      </c>
      <c r="P1321" s="189" t="s">
        <v>111</v>
      </c>
      <c r="Q1321" s="189" t="s">
        <v>247</v>
      </c>
      <c r="R1321" s="189" t="s">
        <v>24</v>
      </c>
      <c r="S1321" s="189" t="s">
        <v>152</v>
      </c>
      <c r="T1321" s="189" t="s">
        <v>121</v>
      </c>
      <c r="U1321" s="189" t="s">
        <v>1902</v>
      </c>
      <c r="V1321" s="189" t="s">
        <v>167</v>
      </c>
      <c r="W1321" s="189" t="s">
        <v>124</v>
      </c>
      <c r="X1321" s="189" t="s">
        <v>214</v>
      </c>
      <c r="Y1321" s="189" t="s">
        <v>3069</v>
      </c>
      <c r="Z1321" s="0" t="n">
        <v>1</v>
      </c>
      <c r="AA1321" s="189" t="s">
        <v>3070</v>
      </c>
    </row>
    <row r="1322" customFormat="false" ht="15" hidden="false" customHeight="false" outlineLevel="0" collapsed="false">
      <c r="A1322" s="0" t="n">
        <v>281</v>
      </c>
      <c r="B1322" s="191" t="n">
        <v>46206.5482376538</v>
      </c>
      <c r="C1322" s="191" t="n">
        <v>46206.5624390427</v>
      </c>
      <c r="D1322" s="189" t="s">
        <v>1903</v>
      </c>
      <c r="E1322" s="189" t="s">
        <v>1904</v>
      </c>
      <c r="F1322" s="189" t="s">
        <v>1904</v>
      </c>
      <c r="G1322" s="189" t="s">
        <v>1905</v>
      </c>
      <c r="H1322" s="191" t="n">
        <v>46201</v>
      </c>
      <c r="I1322" s="189" t="s">
        <v>863</v>
      </c>
      <c r="J1322" s="189" t="s">
        <v>295</v>
      </c>
      <c r="K1322" s="189" t="s">
        <v>1906</v>
      </c>
      <c r="L1322" s="189" t="s">
        <v>159</v>
      </c>
      <c r="M1322" s="189" t="s">
        <v>391</v>
      </c>
      <c r="N1322" s="189" t="s">
        <v>743</v>
      </c>
      <c r="O1322" s="189" t="s">
        <v>278</v>
      </c>
      <c r="P1322" s="189" t="s">
        <v>390</v>
      </c>
      <c r="Q1322" s="189" t="s">
        <v>112</v>
      </c>
      <c r="R1322" s="189" t="s">
        <v>23</v>
      </c>
      <c r="S1322" s="189" t="s">
        <v>120</v>
      </c>
      <c r="T1322" s="189" t="s">
        <v>165</v>
      </c>
      <c r="U1322" s="189" t="s">
        <v>1641</v>
      </c>
      <c r="V1322" s="189" t="s">
        <v>123</v>
      </c>
      <c r="W1322" s="189" t="s">
        <v>124</v>
      </c>
      <c r="X1322" s="189" t="s">
        <v>442</v>
      </c>
      <c r="Y1322" s="189" t="s">
        <v>3172</v>
      </c>
      <c r="Z1322" s="0" t="n">
        <v>1</v>
      </c>
      <c r="AA1322" s="189" t="s">
        <v>441</v>
      </c>
    </row>
    <row r="1323" customFormat="false" ht="15" hidden="false" customHeight="false" outlineLevel="0" collapsed="false">
      <c r="A1323" s="0" t="n">
        <v>282</v>
      </c>
      <c r="B1323" s="191" t="n">
        <v>46043.5293359354</v>
      </c>
      <c r="C1323" s="191" t="n">
        <v>46043.5360257502</v>
      </c>
      <c r="D1323" s="189" t="s">
        <v>1907</v>
      </c>
      <c r="E1323" s="189" t="s">
        <v>1908</v>
      </c>
      <c r="F1323" s="189" t="s">
        <v>1908</v>
      </c>
      <c r="G1323" s="189" t="s">
        <v>1909</v>
      </c>
      <c r="H1323" s="191" t="n">
        <v>46024</v>
      </c>
      <c r="I1323" s="189" t="s">
        <v>113</v>
      </c>
      <c r="J1323" s="189" t="s">
        <v>108</v>
      </c>
      <c r="K1323" s="189" t="s">
        <v>245</v>
      </c>
      <c r="L1323" s="189" t="s">
        <v>159</v>
      </c>
      <c r="M1323" s="189" t="s">
        <v>1120</v>
      </c>
      <c r="N1323" s="189" t="s">
        <v>810</v>
      </c>
      <c r="O1323" s="189" t="s">
        <v>107</v>
      </c>
      <c r="P1323" s="189" t="s">
        <v>131</v>
      </c>
      <c r="Q1323" s="189" t="s">
        <v>112</v>
      </c>
      <c r="R1323" s="189" t="s">
        <v>21</v>
      </c>
      <c r="S1323" s="189" t="s">
        <v>227</v>
      </c>
      <c r="T1323" s="189" t="s">
        <v>180</v>
      </c>
      <c r="V1323" s="189" t="s">
        <v>192</v>
      </c>
      <c r="W1323" s="189" t="s">
        <v>168</v>
      </c>
      <c r="X1323" s="189" t="s">
        <v>187</v>
      </c>
      <c r="Y1323" s="189" t="s">
        <v>3064</v>
      </c>
      <c r="Z1323" s="0" t="n">
        <v>1</v>
      </c>
      <c r="AA1323" s="189" t="s">
        <v>3089</v>
      </c>
    </row>
    <row r="1324" customFormat="false" ht="15" hidden="false" customHeight="false" outlineLevel="0" collapsed="false">
      <c r="A1324" s="0" t="n">
        <v>282</v>
      </c>
      <c r="B1324" s="191" t="n">
        <v>46043.5293359354</v>
      </c>
      <c r="C1324" s="191" t="n">
        <v>46043.5360257502</v>
      </c>
      <c r="D1324" s="189" t="s">
        <v>1907</v>
      </c>
      <c r="E1324" s="189" t="s">
        <v>1908</v>
      </c>
      <c r="F1324" s="189" t="s">
        <v>1908</v>
      </c>
      <c r="G1324" s="189" t="s">
        <v>1909</v>
      </c>
      <c r="H1324" s="191" t="n">
        <v>46024</v>
      </c>
      <c r="I1324" s="189" t="s">
        <v>113</v>
      </c>
      <c r="J1324" s="189" t="s">
        <v>108</v>
      </c>
      <c r="K1324" s="189" t="s">
        <v>245</v>
      </c>
      <c r="L1324" s="189" t="s">
        <v>159</v>
      </c>
      <c r="M1324" s="189" t="s">
        <v>1120</v>
      </c>
      <c r="N1324" s="189" t="s">
        <v>810</v>
      </c>
      <c r="O1324" s="189" t="s">
        <v>107</v>
      </c>
      <c r="P1324" s="189" t="s">
        <v>131</v>
      </c>
      <c r="Q1324" s="189" t="s">
        <v>112</v>
      </c>
      <c r="R1324" s="189" t="s">
        <v>21</v>
      </c>
      <c r="S1324" s="189" t="s">
        <v>227</v>
      </c>
      <c r="T1324" s="189" t="s">
        <v>180</v>
      </c>
      <c r="V1324" s="189" t="s">
        <v>192</v>
      </c>
      <c r="W1324" s="189" t="s">
        <v>168</v>
      </c>
      <c r="X1324" s="189" t="s">
        <v>187</v>
      </c>
      <c r="Y1324" s="189" t="s">
        <v>3066</v>
      </c>
      <c r="Z1324" s="0" t="n">
        <v>1</v>
      </c>
      <c r="AA1324" s="189" t="s">
        <v>3167</v>
      </c>
    </row>
    <row r="1325" customFormat="false" ht="15" hidden="false" customHeight="false" outlineLevel="0" collapsed="false">
      <c r="A1325" s="0" t="n">
        <v>282</v>
      </c>
      <c r="B1325" s="191" t="n">
        <v>46043.5293359354</v>
      </c>
      <c r="C1325" s="191" t="n">
        <v>46043.5360257502</v>
      </c>
      <c r="D1325" s="189" t="s">
        <v>1907</v>
      </c>
      <c r="E1325" s="189" t="s">
        <v>1908</v>
      </c>
      <c r="F1325" s="189" t="s">
        <v>1908</v>
      </c>
      <c r="G1325" s="189" t="s">
        <v>1909</v>
      </c>
      <c r="H1325" s="191" t="n">
        <v>46024</v>
      </c>
      <c r="I1325" s="189" t="s">
        <v>113</v>
      </c>
      <c r="J1325" s="189" t="s">
        <v>108</v>
      </c>
      <c r="K1325" s="189" t="s">
        <v>245</v>
      </c>
      <c r="L1325" s="189" t="s">
        <v>159</v>
      </c>
      <c r="M1325" s="189" t="s">
        <v>1120</v>
      </c>
      <c r="N1325" s="189" t="s">
        <v>810</v>
      </c>
      <c r="O1325" s="189" t="s">
        <v>107</v>
      </c>
      <c r="P1325" s="189" t="s">
        <v>131</v>
      </c>
      <c r="Q1325" s="189" t="s">
        <v>112</v>
      </c>
      <c r="R1325" s="189" t="s">
        <v>21</v>
      </c>
      <c r="S1325" s="189" t="s">
        <v>227</v>
      </c>
      <c r="T1325" s="189" t="s">
        <v>180</v>
      </c>
      <c r="V1325" s="189" t="s">
        <v>192</v>
      </c>
      <c r="W1325" s="189" t="s">
        <v>168</v>
      </c>
      <c r="X1325" s="189" t="s">
        <v>187</v>
      </c>
      <c r="Y1325" s="189" t="s">
        <v>3069</v>
      </c>
      <c r="Z1325" s="0" t="n">
        <v>1</v>
      </c>
      <c r="AA1325" s="189" t="s">
        <v>3091</v>
      </c>
    </row>
    <row r="1326" customFormat="false" ht="15" hidden="false" customHeight="false" outlineLevel="0" collapsed="false">
      <c r="A1326" s="0" t="n">
        <v>283</v>
      </c>
      <c r="B1326" s="191" t="n">
        <v>46215.3296559969</v>
      </c>
      <c r="C1326" s="191" t="n">
        <v>46215.3499222006</v>
      </c>
      <c r="D1326" s="189" t="s">
        <v>1910</v>
      </c>
      <c r="E1326" s="189" t="s">
        <v>1911</v>
      </c>
      <c r="F1326" s="189" t="s">
        <v>1911</v>
      </c>
      <c r="G1326" s="189" t="s">
        <v>1912</v>
      </c>
      <c r="H1326" s="191" t="n">
        <v>46196</v>
      </c>
      <c r="I1326" s="189" t="s">
        <v>113</v>
      </c>
      <c r="J1326" s="189" t="s">
        <v>108</v>
      </c>
      <c r="K1326" s="189" t="s">
        <v>1913</v>
      </c>
      <c r="L1326" s="189" t="s">
        <v>296</v>
      </c>
      <c r="M1326" s="189" t="s">
        <v>114</v>
      </c>
      <c r="N1326" s="189" t="s">
        <v>567</v>
      </c>
      <c r="O1326" s="189" t="s">
        <v>244</v>
      </c>
      <c r="P1326" s="189" t="s">
        <v>111</v>
      </c>
      <c r="Q1326" s="189" t="s">
        <v>145</v>
      </c>
      <c r="R1326" s="189" t="s">
        <v>22</v>
      </c>
      <c r="S1326" s="189" t="s">
        <v>320</v>
      </c>
      <c r="T1326" s="189" t="s">
        <v>121</v>
      </c>
      <c r="U1326" s="189" t="s">
        <v>1376</v>
      </c>
      <c r="V1326" s="189" t="s">
        <v>192</v>
      </c>
      <c r="W1326" s="189" t="s">
        <v>168</v>
      </c>
      <c r="X1326" s="189" t="s">
        <v>298</v>
      </c>
      <c r="Y1326" s="189" t="s">
        <v>3064</v>
      </c>
      <c r="Z1326" s="0" t="n">
        <v>1</v>
      </c>
      <c r="AA1326" s="189" t="s">
        <v>3194</v>
      </c>
    </row>
    <row r="1327" customFormat="false" ht="15" hidden="false" customHeight="false" outlineLevel="0" collapsed="false">
      <c r="A1327" s="0" t="n">
        <v>283</v>
      </c>
      <c r="B1327" s="191" t="n">
        <v>46215.3296559969</v>
      </c>
      <c r="C1327" s="191" t="n">
        <v>46215.3499222006</v>
      </c>
      <c r="D1327" s="189" t="s">
        <v>1910</v>
      </c>
      <c r="E1327" s="189" t="s">
        <v>1911</v>
      </c>
      <c r="F1327" s="189" t="s">
        <v>1911</v>
      </c>
      <c r="G1327" s="189" t="s">
        <v>1912</v>
      </c>
      <c r="H1327" s="191" t="n">
        <v>46196</v>
      </c>
      <c r="I1327" s="189" t="s">
        <v>113</v>
      </c>
      <c r="J1327" s="189" t="s">
        <v>108</v>
      </c>
      <c r="K1327" s="189" t="s">
        <v>1913</v>
      </c>
      <c r="L1327" s="189" t="s">
        <v>296</v>
      </c>
      <c r="M1327" s="189" t="s">
        <v>114</v>
      </c>
      <c r="N1327" s="189" t="s">
        <v>567</v>
      </c>
      <c r="O1327" s="189" t="s">
        <v>244</v>
      </c>
      <c r="P1327" s="189" t="s">
        <v>111</v>
      </c>
      <c r="Q1327" s="189" t="s">
        <v>145</v>
      </c>
      <c r="R1327" s="189" t="s">
        <v>22</v>
      </c>
      <c r="S1327" s="189" t="s">
        <v>320</v>
      </c>
      <c r="T1327" s="189" t="s">
        <v>121</v>
      </c>
      <c r="U1327" s="189" t="s">
        <v>1376</v>
      </c>
      <c r="V1327" s="189" t="s">
        <v>192</v>
      </c>
      <c r="W1327" s="189" t="s">
        <v>168</v>
      </c>
      <c r="X1327" s="189" t="s">
        <v>298</v>
      </c>
      <c r="Y1327" s="189" t="s">
        <v>3064</v>
      </c>
      <c r="Z1327" s="0" t="n">
        <v>2</v>
      </c>
      <c r="AA1327" s="189" t="s">
        <v>3125</v>
      </c>
    </row>
    <row r="1328" customFormat="false" ht="15" hidden="false" customHeight="false" outlineLevel="0" collapsed="false">
      <c r="A1328" s="0" t="n">
        <v>283</v>
      </c>
      <c r="B1328" s="191" t="n">
        <v>46215.3296559969</v>
      </c>
      <c r="C1328" s="191" t="n">
        <v>46215.3499222006</v>
      </c>
      <c r="D1328" s="189" t="s">
        <v>1910</v>
      </c>
      <c r="E1328" s="189" t="s">
        <v>1911</v>
      </c>
      <c r="F1328" s="189" t="s">
        <v>1911</v>
      </c>
      <c r="G1328" s="189" t="s">
        <v>1912</v>
      </c>
      <c r="H1328" s="191" t="n">
        <v>46196</v>
      </c>
      <c r="I1328" s="189" t="s">
        <v>113</v>
      </c>
      <c r="J1328" s="189" t="s">
        <v>108</v>
      </c>
      <c r="K1328" s="189" t="s">
        <v>1913</v>
      </c>
      <c r="L1328" s="189" t="s">
        <v>296</v>
      </c>
      <c r="M1328" s="189" t="s">
        <v>114</v>
      </c>
      <c r="N1328" s="189" t="s">
        <v>567</v>
      </c>
      <c r="O1328" s="189" t="s">
        <v>244</v>
      </c>
      <c r="P1328" s="189" t="s">
        <v>111</v>
      </c>
      <c r="Q1328" s="189" t="s">
        <v>145</v>
      </c>
      <c r="R1328" s="189" t="s">
        <v>22</v>
      </c>
      <c r="S1328" s="189" t="s">
        <v>320</v>
      </c>
      <c r="T1328" s="189" t="s">
        <v>121</v>
      </c>
      <c r="U1328" s="189" t="s">
        <v>1376</v>
      </c>
      <c r="V1328" s="189" t="s">
        <v>192</v>
      </c>
      <c r="W1328" s="189" t="s">
        <v>168</v>
      </c>
      <c r="X1328" s="189" t="s">
        <v>298</v>
      </c>
      <c r="Y1328" s="189" t="s">
        <v>3064</v>
      </c>
      <c r="Z1328" s="0" t="n">
        <v>3</v>
      </c>
      <c r="AA1328" s="189" t="s">
        <v>3207</v>
      </c>
    </row>
    <row r="1329" customFormat="false" ht="15" hidden="false" customHeight="false" outlineLevel="0" collapsed="false">
      <c r="A1329" s="0" t="n">
        <v>283</v>
      </c>
      <c r="B1329" s="191" t="n">
        <v>46215.3296559969</v>
      </c>
      <c r="C1329" s="191" t="n">
        <v>46215.3499222006</v>
      </c>
      <c r="D1329" s="189" t="s">
        <v>1910</v>
      </c>
      <c r="E1329" s="189" t="s">
        <v>1911</v>
      </c>
      <c r="F1329" s="189" t="s">
        <v>1911</v>
      </c>
      <c r="G1329" s="189" t="s">
        <v>1912</v>
      </c>
      <c r="H1329" s="191" t="n">
        <v>46196</v>
      </c>
      <c r="I1329" s="189" t="s">
        <v>113</v>
      </c>
      <c r="J1329" s="189" t="s">
        <v>108</v>
      </c>
      <c r="K1329" s="189" t="s">
        <v>1913</v>
      </c>
      <c r="L1329" s="189" t="s">
        <v>296</v>
      </c>
      <c r="M1329" s="189" t="s">
        <v>114</v>
      </c>
      <c r="N1329" s="189" t="s">
        <v>567</v>
      </c>
      <c r="O1329" s="189" t="s">
        <v>244</v>
      </c>
      <c r="P1329" s="189" t="s">
        <v>111</v>
      </c>
      <c r="Q1329" s="189" t="s">
        <v>145</v>
      </c>
      <c r="R1329" s="189" t="s">
        <v>22</v>
      </c>
      <c r="S1329" s="189" t="s">
        <v>320</v>
      </c>
      <c r="T1329" s="189" t="s">
        <v>121</v>
      </c>
      <c r="U1329" s="189" t="s">
        <v>1376</v>
      </c>
      <c r="V1329" s="189" t="s">
        <v>192</v>
      </c>
      <c r="W1329" s="189" t="s">
        <v>168</v>
      </c>
      <c r="X1329" s="189" t="s">
        <v>298</v>
      </c>
      <c r="Y1329" s="189" t="s">
        <v>3066</v>
      </c>
      <c r="Z1329" s="0" t="n">
        <v>1</v>
      </c>
      <c r="AA1329" s="189" t="s">
        <v>3196</v>
      </c>
    </row>
    <row r="1330" customFormat="false" ht="15" hidden="false" customHeight="false" outlineLevel="0" collapsed="false">
      <c r="A1330" s="0" t="n">
        <v>283</v>
      </c>
      <c r="B1330" s="191" t="n">
        <v>46215.3296559969</v>
      </c>
      <c r="C1330" s="191" t="n">
        <v>46215.3499222006</v>
      </c>
      <c r="D1330" s="189" t="s">
        <v>1910</v>
      </c>
      <c r="E1330" s="189" t="s">
        <v>1911</v>
      </c>
      <c r="F1330" s="189" t="s">
        <v>1911</v>
      </c>
      <c r="G1330" s="189" t="s">
        <v>1912</v>
      </c>
      <c r="H1330" s="191" t="n">
        <v>46196</v>
      </c>
      <c r="I1330" s="189" t="s">
        <v>113</v>
      </c>
      <c r="J1330" s="189" t="s">
        <v>108</v>
      </c>
      <c r="K1330" s="189" t="s">
        <v>1913</v>
      </c>
      <c r="L1330" s="189" t="s">
        <v>296</v>
      </c>
      <c r="M1330" s="189" t="s">
        <v>114</v>
      </c>
      <c r="N1330" s="189" t="s">
        <v>567</v>
      </c>
      <c r="O1330" s="189" t="s">
        <v>244</v>
      </c>
      <c r="P1330" s="189" t="s">
        <v>111</v>
      </c>
      <c r="Q1330" s="189" t="s">
        <v>145</v>
      </c>
      <c r="R1330" s="189" t="s">
        <v>22</v>
      </c>
      <c r="S1330" s="189" t="s">
        <v>320</v>
      </c>
      <c r="T1330" s="189" t="s">
        <v>121</v>
      </c>
      <c r="U1330" s="189" t="s">
        <v>1376</v>
      </c>
      <c r="V1330" s="189" t="s">
        <v>192</v>
      </c>
      <c r="W1330" s="189" t="s">
        <v>168</v>
      </c>
      <c r="X1330" s="189" t="s">
        <v>298</v>
      </c>
      <c r="Y1330" s="189" t="s">
        <v>3069</v>
      </c>
      <c r="Z1330" s="0" t="n">
        <v>1</v>
      </c>
      <c r="AA1330" s="189" t="s">
        <v>3197</v>
      </c>
    </row>
    <row r="1331" customFormat="false" ht="15" hidden="false" customHeight="false" outlineLevel="0" collapsed="false">
      <c r="A1331" s="0" t="n">
        <v>283</v>
      </c>
      <c r="B1331" s="191" t="n">
        <v>46215.3296559969</v>
      </c>
      <c r="C1331" s="191" t="n">
        <v>46215.3499222006</v>
      </c>
      <c r="D1331" s="189" t="s">
        <v>1910</v>
      </c>
      <c r="E1331" s="189" t="s">
        <v>1911</v>
      </c>
      <c r="F1331" s="189" t="s">
        <v>1911</v>
      </c>
      <c r="G1331" s="189" t="s">
        <v>1912</v>
      </c>
      <c r="H1331" s="191" t="n">
        <v>46196</v>
      </c>
      <c r="I1331" s="189" t="s">
        <v>113</v>
      </c>
      <c r="J1331" s="189" t="s">
        <v>108</v>
      </c>
      <c r="K1331" s="189" t="s">
        <v>1913</v>
      </c>
      <c r="L1331" s="189" t="s">
        <v>296</v>
      </c>
      <c r="M1331" s="189" t="s">
        <v>114</v>
      </c>
      <c r="N1331" s="189" t="s">
        <v>567</v>
      </c>
      <c r="O1331" s="189" t="s">
        <v>244</v>
      </c>
      <c r="P1331" s="189" t="s">
        <v>111</v>
      </c>
      <c r="Q1331" s="189" t="s">
        <v>145</v>
      </c>
      <c r="R1331" s="189" t="s">
        <v>22</v>
      </c>
      <c r="S1331" s="189" t="s">
        <v>320</v>
      </c>
      <c r="T1331" s="189" t="s">
        <v>121</v>
      </c>
      <c r="U1331" s="189" t="s">
        <v>1376</v>
      </c>
      <c r="V1331" s="189" t="s">
        <v>192</v>
      </c>
      <c r="W1331" s="189" t="s">
        <v>168</v>
      </c>
      <c r="X1331" s="189" t="s">
        <v>298</v>
      </c>
      <c r="Y1331" s="189" t="s">
        <v>3069</v>
      </c>
      <c r="Z1331" s="0" t="n">
        <v>2</v>
      </c>
      <c r="AA1331" s="189" t="s">
        <v>3128</v>
      </c>
    </row>
    <row r="1332" customFormat="false" ht="15" hidden="false" customHeight="false" outlineLevel="0" collapsed="false">
      <c r="A1332" s="0" t="n">
        <v>284</v>
      </c>
      <c r="B1332" s="191" t="n">
        <v>46186.9753449038</v>
      </c>
      <c r="C1332" s="191" t="n">
        <v>46186.9959351815</v>
      </c>
      <c r="D1332" s="189" t="s">
        <v>1916</v>
      </c>
      <c r="E1332" s="189" t="s">
        <v>1917</v>
      </c>
      <c r="F1332" s="189" t="s">
        <v>1917</v>
      </c>
      <c r="G1332" s="189" t="s">
        <v>1918</v>
      </c>
      <c r="H1332" s="191" t="n">
        <v>46180</v>
      </c>
      <c r="I1332" s="189" t="s">
        <v>132</v>
      </c>
      <c r="J1332" s="189" t="s">
        <v>128</v>
      </c>
      <c r="K1332" s="189" t="s">
        <v>1919</v>
      </c>
      <c r="L1332" s="189" t="s">
        <v>197</v>
      </c>
      <c r="M1332" s="189" t="s">
        <v>885</v>
      </c>
      <c r="N1332" s="189" t="s">
        <v>1441</v>
      </c>
      <c r="O1332" s="189" t="s">
        <v>157</v>
      </c>
      <c r="P1332" s="189" t="s">
        <v>211</v>
      </c>
      <c r="Q1332" s="189" t="s">
        <v>145</v>
      </c>
      <c r="R1332" s="189" t="s">
        <v>22</v>
      </c>
      <c r="S1332" s="189" t="s">
        <v>152</v>
      </c>
      <c r="T1332" s="189" t="s">
        <v>121</v>
      </c>
      <c r="U1332" s="189" t="s">
        <v>122</v>
      </c>
      <c r="V1332" s="189" t="s">
        <v>123</v>
      </c>
      <c r="W1332" s="189" t="s">
        <v>168</v>
      </c>
      <c r="X1332" s="189" t="s">
        <v>298</v>
      </c>
      <c r="Y1332" s="189" t="s">
        <v>3064</v>
      </c>
      <c r="Z1332" s="0" t="n">
        <v>1</v>
      </c>
      <c r="AA1332" s="189" t="s">
        <v>3124</v>
      </c>
    </row>
    <row r="1333" customFormat="false" ht="15" hidden="false" customHeight="false" outlineLevel="0" collapsed="false">
      <c r="A1333" s="0" t="n">
        <v>284</v>
      </c>
      <c r="B1333" s="191" t="n">
        <v>46186.9753449038</v>
      </c>
      <c r="C1333" s="191" t="n">
        <v>46186.9959351815</v>
      </c>
      <c r="D1333" s="189" t="s">
        <v>1916</v>
      </c>
      <c r="E1333" s="189" t="s">
        <v>1917</v>
      </c>
      <c r="F1333" s="189" t="s">
        <v>1917</v>
      </c>
      <c r="G1333" s="189" t="s">
        <v>1918</v>
      </c>
      <c r="H1333" s="191" t="n">
        <v>46180</v>
      </c>
      <c r="I1333" s="189" t="s">
        <v>132</v>
      </c>
      <c r="J1333" s="189" t="s">
        <v>128</v>
      </c>
      <c r="K1333" s="189" t="s">
        <v>1919</v>
      </c>
      <c r="L1333" s="189" t="s">
        <v>197</v>
      </c>
      <c r="M1333" s="189" t="s">
        <v>885</v>
      </c>
      <c r="N1333" s="189" t="s">
        <v>1441</v>
      </c>
      <c r="O1333" s="189" t="s">
        <v>157</v>
      </c>
      <c r="P1333" s="189" t="s">
        <v>211</v>
      </c>
      <c r="Q1333" s="189" t="s">
        <v>145</v>
      </c>
      <c r="R1333" s="189" t="s">
        <v>22</v>
      </c>
      <c r="S1333" s="189" t="s">
        <v>152</v>
      </c>
      <c r="T1333" s="189" t="s">
        <v>121</v>
      </c>
      <c r="U1333" s="189" t="s">
        <v>122</v>
      </c>
      <c r="V1333" s="189" t="s">
        <v>123</v>
      </c>
      <c r="W1333" s="189" t="s">
        <v>168</v>
      </c>
      <c r="X1333" s="189" t="s">
        <v>298</v>
      </c>
      <c r="Y1333" s="189" t="s">
        <v>3066</v>
      </c>
      <c r="Z1333" s="0" t="n">
        <v>1</v>
      </c>
      <c r="AA1333" s="189" t="s">
        <v>3246</v>
      </c>
    </row>
    <row r="1334" customFormat="false" ht="15" hidden="false" customHeight="false" outlineLevel="0" collapsed="false">
      <c r="A1334" s="0" t="n">
        <v>284</v>
      </c>
      <c r="B1334" s="191" t="n">
        <v>46186.9753449038</v>
      </c>
      <c r="C1334" s="191" t="n">
        <v>46186.9959351815</v>
      </c>
      <c r="D1334" s="189" t="s">
        <v>1916</v>
      </c>
      <c r="E1334" s="189" t="s">
        <v>1917</v>
      </c>
      <c r="F1334" s="189" t="s">
        <v>1917</v>
      </c>
      <c r="G1334" s="189" t="s">
        <v>1918</v>
      </c>
      <c r="H1334" s="191" t="n">
        <v>46180</v>
      </c>
      <c r="I1334" s="189" t="s">
        <v>132</v>
      </c>
      <c r="J1334" s="189" t="s">
        <v>128</v>
      </c>
      <c r="K1334" s="189" t="s">
        <v>1919</v>
      </c>
      <c r="L1334" s="189" t="s">
        <v>197</v>
      </c>
      <c r="M1334" s="189" t="s">
        <v>885</v>
      </c>
      <c r="N1334" s="189" t="s">
        <v>1441</v>
      </c>
      <c r="O1334" s="189" t="s">
        <v>157</v>
      </c>
      <c r="P1334" s="189" t="s">
        <v>211</v>
      </c>
      <c r="Q1334" s="189" t="s">
        <v>145</v>
      </c>
      <c r="R1334" s="189" t="s">
        <v>22</v>
      </c>
      <c r="S1334" s="189" t="s">
        <v>152</v>
      </c>
      <c r="T1334" s="189" t="s">
        <v>121</v>
      </c>
      <c r="U1334" s="189" t="s">
        <v>122</v>
      </c>
      <c r="V1334" s="189" t="s">
        <v>123</v>
      </c>
      <c r="W1334" s="189" t="s">
        <v>168</v>
      </c>
      <c r="X1334" s="189" t="s">
        <v>298</v>
      </c>
      <c r="Y1334" s="189" t="s">
        <v>3066</v>
      </c>
      <c r="Z1334" s="0" t="n">
        <v>2</v>
      </c>
      <c r="AA1334" s="189" t="s">
        <v>3274</v>
      </c>
    </row>
    <row r="1335" customFormat="false" ht="15" hidden="false" customHeight="false" outlineLevel="0" collapsed="false">
      <c r="A1335" s="0" t="n">
        <v>284</v>
      </c>
      <c r="B1335" s="191" t="n">
        <v>46186.9753449038</v>
      </c>
      <c r="C1335" s="191" t="n">
        <v>46186.9959351815</v>
      </c>
      <c r="D1335" s="189" t="s">
        <v>1916</v>
      </c>
      <c r="E1335" s="189" t="s">
        <v>1917</v>
      </c>
      <c r="F1335" s="189" t="s">
        <v>1917</v>
      </c>
      <c r="G1335" s="189" t="s">
        <v>1918</v>
      </c>
      <c r="H1335" s="191" t="n">
        <v>46180</v>
      </c>
      <c r="I1335" s="189" t="s">
        <v>132</v>
      </c>
      <c r="J1335" s="189" t="s">
        <v>128</v>
      </c>
      <c r="K1335" s="189" t="s">
        <v>1919</v>
      </c>
      <c r="L1335" s="189" t="s">
        <v>197</v>
      </c>
      <c r="M1335" s="189" t="s">
        <v>885</v>
      </c>
      <c r="N1335" s="189" t="s">
        <v>1441</v>
      </c>
      <c r="O1335" s="189" t="s">
        <v>157</v>
      </c>
      <c r="P1335" s="189" t="s">
        <v>211</v>
      </c>
      <c r="Q1335" s="189" t="s">
        <v>145</v>
      </c>
      <c r="R1335" s="189" t="s">
        <v>22</v>
      </c>
      <c r="S1335" s="189" t="s">
        <v>152</v>
      </c>
      <c r="T1335" s="189" t="s">
        <v>121</v>
      </c>
      <c r="U1335" s="189" t="s">
        <v>122</v>
      </c>
      <c r="V1335" s="189" t="s">
        <v>123</v>
      </c>
      <c r="W1335" s="189" t="s">
        <v>168</v>
      </c>
      <c r="X1335" s="189" t="s">
        <v>298</v>
      </c>
      <c r="Y1335" s="189" t="s">
        <v>3069</v>
      </c>
      <c r="Z1335" s="0" t="n">
        <v>1</v>
      </c>
      <c r="AA1335" s="189" t="s">
        <v>3295</v>
      </c>
    </row>
    <row r="1336" customFormat="false" ht="15" hidden="false" customHeight="false" outlineLevel="0" collapsed="false">
      <c r="A1336" s="0" t="n">
        <v>284</v>
      </c>
      <c r="B1336" s="191" t="n">
        <v>46186.9753449038</v>
      </c>
      <c r="C1336" s="191" t="n">
        <v>46186.9959351815</v>
      </c>
      <c r="D1336" s="189" t="s">
        <v>1916</v>
      </c>
      <c r="E1336" s="189" t="s">
        <v>1917</v>
      </c>
      <c r="F1336" s="189" t="s">
        <v>1917</v>
      </c>
      <c r="G1336" s="189" t="s">
        <v>1918</v>
      </c>
      <c r="H1336" s="191" t="n">
        <v>46180</v>
      </c>
      <c r="I1336" s="189" t="s">
        <v>132</v>
      </c>
      <c r="J1336" s="189" t="s">
        <v>128</v>
      </c>
      <c r="K1336" s="189" t="s">
        <v>1919</v>
      </c>
      <c r="L1336" s="189" t="s">
        <v>197</v>
      </c>
      <c r="M1336" s="189" t="s">
        <v>885</v>
      </c>
      <c r="N1336" s="189" t="s">
        <v>1441</v>
      </c>
      <c r="O1336" s="189" t="s">
        <v>157</v>
      </c>
      <c r="P1336" s="189" t="s">
        <v>211</v>
      </c>
      <c r="Q1336" s="189" t="s">
        <v>145</v>
      </c>
      <c r="R1336" s="189" t="s">
        <v>22</v>
      </c>
      <c r="S1336" s="189" t="s">
        <v>152</v>
      </c>
      <c r="T1336" s="189" t="s">
        <v>121</v>
      </c>
      <c r="U1336" s="189" t="s">
        <v>122</v>
      </c>
      <c r="V1336" s="189" t="s">
        <v>123</v>
      </c>
      <c r="W1336" s="189" t="s">
        <v>168</v>
      </c>
      <c r="X1336" s="189" t="s">
        <v>298</v>
      </c>
      <c r="Y1336" s="189" t="s">
        <v>3069</v>
      </c>
      <c r="Z1336" s="0" t="n">
        <v>2</v>
      </c>
      <c r="AA1336" s="189" t="s">
        <v>3210</v>
      </c>
    </row>
    <row r="1337" customFormat="false" ht="68.65" hidden="false" customHeight="false" outlineLevel="0" collapsed="false">
      <c r="A1337" s="0" t="n">
        <v>285</v>
      </c>
      <c r="B1337" s="191" t="n">
        <v>46201.2520381316</v>
      </c>
      <c r="C1337" s="191" t="n">
        <v>46201.2671770205</v>
      </c>
      <c r="D1337" s="189" t="s">
        <v>1922</v>
      </c>
      <c r="E1337" s="189" t="s">
        <v>1923</v>
      </c>
      <c r="F1337" s="189" t="s">
        <v>1924</v>
      </c>
      <c r="G1337" s="189" t="s">
        <v>1925</v>
      </c>
      <c r="H1337" s="191" t="n">
        <v>46192</v>
      </c>
      <c r="I1337" s="189" t="s">
        <v>113</v>
      </c>
      <c r="J1337" s="189" t="s">
        <v>108</v>
      </c>
      <c r="K1337" s="189" t="s">
        <v>1926</v>
      </c>
      <c r="L1337" s="189" t="s">
        <v>389</v>
      </c>
      <c r="M1337" s="189" t="s">
        <v>357</v>
      </c>
      <c r="N1337" s="189" t="s">
        <v>1573</v>
      </c>
      <c r="O1337" s="189" t="s">
        <v>172</v>
      </c>
      <c r="P1337" s="189" t="s">
        <v>111</v>
      </c>
      <c r="Q1337" s="189" t="s">
        <v>112</v>
      </c>
      <c r="R1337" s="189" t="s">
        <v>23</v>
      </c>
      <c r="S1337" s="189" t="s">
        <v>120</v>
      </c>
      <c r="T1337" s="189" t="s">
        <v>180</v>
      </c>
      <c r="U1337" s="132" t="s">
        <v>641</v>
      </c>
      <c r="V1337" s="189" t="s">
        <v>123</v>
      </c>
      <c r="W1337" s="189" t="s">
        <v>139</v>
      </c>
      <c r="X1337" s="189" t="s">
        <v>503</v>
      </c>
      <c r="Y1337" s="189" t="s">
        <v>3172</v>
      </c>
      <c r="Z1337" s="0" t="n">
        <v>1</v>
      </c>
      <c r="AA1337" s="189" t="s">
        <v>871</v>
      </c>
    </row>
    <row r="1338" customFormat="false" ht="15" hidden="false" customHeight="false" outlineLevel="0" collapsed="false">
      <c r="A1338" s="0" t="n">
        <v>286</v>
      </c>
      <c r="B1338" s="191" t="n">
        <v>46073.1701928493</v>
      </c>
      <c r="C1338" s="191" t="n">
        <v>46073.1800076641</v>
      </c>
      <c r="D1338" s="189" t="s">
        <v>1927</v>
      </c>
      <c r="E1338" s="189" t="s">
        <v>1928</v>
      </c>
      <c r="F1338" s="189" t="s">
        <v>1928</v>
      </c>
      <c r="G1338" s="189" t="s">
        <v>1929</v>
      </c>
      <c r="H1338" s="191" t="n">
        <v>46072</v>
      </c>
      <c r="I1338" s="189" t="s">
        <v>113</v>
      </c>
      <c r="J1338" s="189" t="s">
        <v>108</v>
      </c>
      <c r="K1338" s="189" t="s">
        <v>245</v>
      </c>
      <c r="L1338" s="189" t="s">
        <v>431</v>
      </c>
      <c r="M1338" s="189" t="s">
        <v>286</v>
      </c>
      <c r="N1338" s="189" t="s">
        <v>1441</v>
      </c>
      <c r="O1338" s="189" t="s">
        <v>107</v>
      </c>
      <c r="P1338" s="189" t="s">
        <v>111</v>
      </c>
      <c r="Q1338" s="189" t="s">
        <v>112</v>
      </c>
      <c r="R1338" s="189" t="s">
        <v>22</v>
      </c>
      <c r="S1338" s="189" t="s">
        <v>152</v>
      </c>
      <c r="T1338" s="189" t="s">
        <v>121</v>
      </c>
      <c r="V1338" s="189" t="s">
        <v>192</v>
      </c>
      <c r="W1338" s="189" t="s">
        <v>168</v>
      </c>
      <c r="X1338" s="189" t="s">
        <v>298</v>
      </c>
      <c r="Y1338" s="189" t="s">
        <v>3064</v>
      </c>
      <c r="Z1338" s="0" t="n">
        <v>1</v>
      </c>
      <c r="AA1338" s="189" t="s">
        <v>3195</v>
      </c>
    </row>
    <row r="1339" customFormat="false" ht="15" hidden="false" customHeight="false" outlineLevel="0" collapsed="false">
      <c r="A1339" s="0" t="n">
        <v>286</v>
      </c>
      <c r="B1339" s="191" t="n">
        <v>46073.1701928493</v>
      </c>
      <c r="C1339" s="191" t="n">
        <v>46073.1800076641</v>
      </c>
      <c r="D1339" s="189" t="s">
        <v>1927</v>
      </c>
      <c r="E1339" s="189" t="s">
        <v>1928</v>
      </c>
      <c r="F1339" s="189" t="s">
        <v>1928</v>
      </c>
      <c r="G1339" s="189" t="s">
        <v>1929</v>
      </c>
      <c r="H1339" s="191" t="n">
        <v>46072</v>
      </c>
      <c r="I1339" s="189" t="s">
        <v>113</v>
      </c>
      <c r="J1339" s="189" t="s">
        <v>108</v>
      </c>
      <c r="K1339" s="189" t="s">
        <v>245</v>
      </c>
      <c r="L1339" s="189" t="s">
        <v>431</v>
      </c>
      <c r="M1339" s="189" t="s">
        <v>286</v>
      </c>
      <c r="N1339" s="189" t="s">
        <v>1441</v>
      </c>
      <c r="O1339" s="189" t="s">
        <v>107</v>
      </c>
      <c r="P1339" s="189" t="s">
        <v>111</v>
      </c>
      <c r="Q1339" s="189" t="s">
        <v>112</v>
      </c>
      <c r="R1339" s="189" t="s">
        <v>22</v>
      </c>
      <c r="S1339" s="189" t="s">
        <v>152</v>
      </c>
      <c r="T1339" s="189" t="s">
        <v>121</v>
      </c>
      <c r="V1339" s="189" t="s">
        <v>192</v>
      </c>
      <c r="W1339" s="189" t="s">
        <v>168</v>
      </c>
      <c r="X1339" s="189" t="s">
        <v>298</v>
      </c>
      <c r="Y1339" s="189" t="s">
        <v>3064</v>
      </c>
      <c r="Z1339" s="0" t="n">
        <v>2</v>
      </c>
      <c r="AA1339" s="189" t="s">
        <v>3236</v>
      </c>
    </row>
    <row r="1340" customFormat="false" ht="15" hidden="false" customHeight="false" outlineLevel="0" collapsed="false">
      <c r="A1340" s="0" t="n">
        <v>286</v>
      </c>
      <c r="B1340" s="191" t="n">
        <v>46073.1701928493</v>
      </c>
      <c r="C1340" s="191" t="n">
        <v>46073.1800076641</v>
      </c>
      <c r="D1340" s="189" t="s">
        <v>1927</v>
      </c>
      <c r="E1340" s="189" t="s">
        <v>1928</v>
      </c>
      <c r="F1340" s="189" t="s">
        <v>1928</v>
      </c>
      <c r="G1340" s="189" t="s">
        <v>1929</v>
      </c>
      <c r="H1340" s="191" t="n">
        <v>46072</v>
      </c>
      <c r="I1340" s="189" t="s">
        <v>113</v>
      </c>
      <c r="J1340" s="189" t="s">
        <v>108</v>
      </c>
      <c r="K1340" s="189" t="s">
        <v>245</v>
      </c>
      <c r="L1340" s="189" t="s">
        <v>431</v>
      </c>
      <c r="M1340" s="189" t="s">
        <v>286</v>
      </c>
      <c r="N1340" s="189" t="s">
        <v>1441</v>
      </c>
      <c r="O1340" s="189" t="s">
        <v>107</v>
      </c>
      <c r="P1340" s="189" t="s">
        <v>111</v>
      </c>
      <c r="Q1340" s="189" t="s">
        <v>112</v>
      </c>
      <c r="R1340" s="189" t="s">
        <v>22</v>
      </c>
      <c r="S1340" s="189" t="s">
        <v>152</v>
      </c>
      <c r="T1340" s="189" t="s">
        <v>121</v>
      </c>
      <c r="V1340" s="189" t="s">
        <v>192</v>
      </c>
      <c r="W1340" s="189" t="s">
        <v>168</v>
      </c>
      <c r="X1340" s="189" t="s">
        <v>298</v>
      </c>
      <c r="Y1340" s="189" t="s">
        <v>3064</v>
      </c>
      <c r="Z1340" s="0" t="n">
        <v>3</v>
      </c>
      <c r="AA1340" s="189" t="s">
        <v>3124</v>
      </c>
    </row>
    <row r="1341" customFormat="false" ht="15" hidden="false" customHeight="false" outlineLevel="0" collapsed="false">
      <c r="A1341" s="0" t="n">
        <v>286</v>
      </c>
      <c r="B1341" s="191" t="n">
        <v>46073.1701928493</v>
      </c>
      <c r="C1341" s="191" t="n">
        <v>46073.1800076641</v>
      </c>
      <c r="D1341" s="189" t="s">
        <v>1927</v>
      </c>
      <c r="E1341" s="189" t="s">
        <v>1928</v>
      </c>
      <c r="F1341" s="189" t="s">
        <v>1928</v>
      </c>
      <c r="G1341" s="189" t="s">
        <v>1929</v>
      </c>
      <c r="H1341" s="191" t="n">
        <v>46072</v>
      </c>
      <c r="I1341" s="189" t="s">
        <v>113</v>
      </c>
      <c r="J1341" s="189" t="s">
        <v>108</v>
      </c>
      <c r="K1341" s="189" t="s">
        <v>245</v>
      </c>
      <c r="L1341" s="189" t="s">
        <v>431</v>
      </c>
      <c r="M1341" s="189" t="s">
        <v>286</v>
      </c>
      <c r="N1341" s="189" t="s">
        <v>1441</v>
      </c>
      <c r="O1341" s="189" t="s">
        <v>107</v>
      </c>
      <c r="P1341" s="189" t="s">
        <v>111</v>
      </c>
      <c r="Q1341" s="189" t="s">
        <v>112</v>
      </c>
      <c r="R1341" s="189" t="s">
        <v>22</v>
      </c>
      <c r="S1341" s="189" t="s">
        <v>152</v>
      </c>
      <c r="T1341" s="189" t="s">
        <v>121</v>
      </c>
      <c r="V1341" s="189" t="s">
        <v>192</v>
      </c>
      <c r="W1341" s="189" t="s">
        <v>168</v>
      </c>
      <c r="X1341" s="189" t="s">
        <v>298</v>
      </c>
      <c r="Y1341" s="189" t="s">
        <v>3066</v>
      </c>
      <c r="Z1341" s="0" t="n">
        <v>1</v>
      </c>
      <c r="AA1341" s="189" t="s">
        <v>3126</v>
      </c>
    </row>
    <row r="1342" customFormat="false" ht="15" hidden="false" customHeight="false" outlineLevel="0" collapsed="false">
      <c r="A1342" s="0" t="n">
        <v>286</v>
      </c>
      <c r="B1342" s="191" t="n">
        <v>46073.1701928493</v>
      </c>
      <c r="C1342" s="191" t="n">
        <v>46073.1800076641</v>
      </c>
      <c r="D1342" s="189" t="s">
        <v>1927</v>
      </c>
      <c r="E1342" s="189" t="s">
        <v>1928</v>
      </c>
      <c r="F1342" s="189" t="s">
        <v>1928</v>
      </c>
      <c r="G1342" s="189" t="s">
        <v>1929</v>
      </c>
      <c r="H1342" s="191" t="n">
        <v>46072</v>
      </c>
      <c r="I1342" s="189" t="s">
        <v>113</v>
      </c>
      <c r="J1342" s="189" t="s">
        <v>108</v>
      </c>
      <c r="K1342" s="189" t="s">
        <v>245</v>
      </c>
      <c r="L1342" s="189" t="s">
        <v>431</v>
      </c>
      <c r="M1342" s="189" t="s">
        <v>286</v>
      </c>
      <c r="N1342" s="189" t="s">
        <v>1441</v>
      </c>
      <c r="O1342" s="189" t="s">
        <v>107</v>
      </c>
      <c r="P1342" s="189" t="s">
        <v>111</v>
      </c>
      <c r="Q1342" s="189" t="s">
        <v>112</v>
      </c>
      <c r="R1342" s="189" t="s">
        <v>22</v>
      </c>
      <c r="S1342" s="189" t="s">
        <v>152</v>
      </c>
      <c r="T1342" s="189" t="s">
        <v>121</v>
      </c>
      <c r="V1342" s="189" t="s">
        <v>192</v>
      </c>
      <c r="W1342" s="189" t="s">
        <v>168</v>
      </c>
      <c r="X1342" s="189" t="s">
        <v>298</v>
      </c>
      <c r="Y1342" s="189" t="s">
        <v>3066</v>
      </c>
      <c r="Z1342" s="0" t="n">
        <v>2</v>
      </c>
      <c r="AA1342" s="189" t="s">
        <v>3274</v>
      </c>
    </row>
    <row r="1343" customFormat="false" ht="15" hidden="false" customHeight="false" outlineLevel="0" collapsed="false">
      <c r="A1343" s="0" t="n">
        <v>286</v>
      </c>
      <c r="B1343" s="191" t="n">
        <v>46073.1701928493</v>
      </c>
      <c r="C1343" s="191" t="n">
        <v>46073.1800076641</v>
      </c>
      <c r="D1343" s="189" t="s">
        <v>1927</v>
      </c>
      <c r="E1343" s="189" t="s">
        <v>1928</v>
      </c>
      <c r="F1343" s="189" t="s">
        <v>1928</v>
      </c>
      <c r="G1343" s="189" t="s">
        <v>1929</v>
      </c>
      <c r="H1343" s="191" t="n">
        <v>46072</v>
      </c>
      <c r="I1343" s="189" t="s">
        <v>113</v>
      </c>
      <c r="J1343" s="189" t="s">
        <v>108</v>
      </c>
      <c r="K1343" s="189" t="s">
        <v>245</v>
      </c>
      <c r="L1343" s="189" t="s">
        <v>431</v>
      </c>
      <c r="M1343" s="189" t="s">
        <v>286</v>
      </c>
      <c r="N1343" s="189" t="s">
        <v>1441</v>
      </c>
      <c r="O1343" s="189" t="s">
        <v>107</v>
      </c>
      <c r="P1343" s="189" t="s">
        <v>111</v>
      </c>
      <c r="Q1343" s="189" t="s">
        <v>112</v>
      </c>
      <c r="R1343" s="189" t="s">
        <v>22</v>
      </c>
      <c r="S1343" s="189" t="s">
        <v>152</v>
      </c>
      <c r="T1343" s="189" t="s">
        <v>121</v>
      </c>
      <c r="V1343" s="189" t="s">
        <v>192</v>
      </c>
      <c r="W1343" s="189" t="s">
        <v>168</v>
      </c>
      <c r="X1343" s="189" t="s">
        <v>298</v>
      </c>
      <c r="Y1343" s="189" t="s">
        <v>3069</v>
      </c>
      <c r="Z1343" s="0" t="n">
        <v>1</v>
      </c>
      <c r="AA1343" s="189" t="s">
        <v>3275</v>
      </c>
    </row>
    <row r="1344" customFormat="false" ht="15" hidden="false" customHeight="false" outlineLevel="0" collapsed="false">
      <c r="A1344" s="0" t="n">
        <v>286</v>
      </c>
      <c r="B1344" s="191" t="n">
        <v>46073.1701928493</v>
      </c>
      <c r="C1344" s="191" t="n">
        <v>46073.1800076641</v>
      </c>
      <c r="D1344" s="189" t="s">
        <v>1927</v>
      </c>
      <c r="E1344" s="189" t="s">
        <v>1928</v>
      </c>
      <c r="F1344" s="189" t="s">
        <v>1928</v>
      </c>
      <c r="G1344" s="189" t="s">
        <v>1929</v>
      </c>
      <c r="H1344" s="191" t="n">
        <v>46072</v>
      </c>
      <c r="I1344" s="189" t="s">
        <v>113</v>
      </c>
      <c r="J1344" s="189" t="s">
        <v>108</v>
      </c>
      <c r="K1344" s="189" t="s">
        <v>245</v>
      </c>
      <c r="L1344" s="189" t="s">
        <v>431</v>
      </c>
      <c r="M1344" s="189" t="s">
        <v>286</v>
      </c>
      <c r="N1344" s="189" t="s">
        <v>1441</v>
      </c>
      <c r="O1344" s="189" t="s">
        <v>107</v>
      </c>
      <c r="P1344" s="189" t="s">
        <v>111</v>
      </c>
      <c r="Q1344" s="189" t="s">
        <v>112</v>
      </c>
      <c r="R1344" s="189" t="s">
        <v>22</v>
      </c>
      <c r="S1344" s="189" t="s">
        <v>152</v>
      </c>
      <c r="T1344" s="189" t="s">
        <v>121</v>
      </c>
      <c r="V1344" s="189" t="s">
        <v>192</v>
      </c>
      <c r="W1344" s="189" t="s">
        <v>168</v>
      </c>
      <c r="X1344" s="189" t="s">
        <v>298</v>
      </c>
      <c r="Y1344" s="189" t="s">
        <v>3069</v>
      </c>
      <c r="Z1344" s="0" t="n">
        <v>2</v>
      </c>
      <c r="AA1344" s="189" t="s">
        <v>3127</v>
      </c>
    </row>
    <row r="1345" customFormat="false" ht="15" hidden="false" customHeight="false" outlineLevel="0" collapsed="false">
      <c r="A1345" s="0" t="n">
        <v>287</v>
      </c>
      <c r="B1345" s="191" t="n">
        <v>46175.4759177975</v>
      </c>
      <c r="C1345" s="191" t="n">
        <v>46175.4886724271</v>
      </c>
      <c r="D1345" s="189" t="s">
        <v>1933</v>
      </c>
      <c r="E1345" s="189" t="s">
        <v>1018</v>
      </c>
      <c r="F1345" s="189" t="s">
        <v>1018</v>
      </c>
      <c r="G1345" s="189" t="s">
        <v>1934</v>
      </c>
      <c r="H1345" s="191" t="n">
        <v>46172</v>
      </c>
      <c r="I1345" s="189" t="s">
        <v>113</v>
      </c>
      <c r="J1345" s="189" t="s">
        <v>108</v>
      </c>
      <c r="K1345" s="189" t="s">
        <v>245</v>
      </c>
      <c r="L1345" s="189" t="s">
        <v>130</v>
      </c>
      <c r="M1345" s="189" t="s">
        <v>406</v>
      </c>
      <c r="N1345" s="189" t="s">
        <v>414</v>
      </c>
      <c r="O1345" s="189" t="s">
        <v>278</v>
      </c>
      <c r="P1345" s="189" t="s">
        <v>111</v>
      </c>
      <c r="Q1345" s="189" t="s">
        <v>112</v>
      </c>
      <c r="R1345" s="189" t="s">
        <v>22</v>
      </c>
      <c r="S1345" s="189" t="s">
        <v>227</v>
      </c>
      <c r="T1345" s="189" t="s">
        <v>264</v>
      </c>
      <c r="U1345" s="189" t="s">
        <v>122</v>
      </c>
      <c r="V1345" s="189" t="s">
        <v>123</v>
      </c>
      <c r="W1345" s="189" t="s">
        <v>124</v>
      </c>
      <c r="X1345" s="189" t="s">
        <v>339</v>
      </c>
      <c r="Y1345" s="189" t="s">
        <v>3064</v>
      </c>
      <c r="Z1345" s="0" t="n">
        <v>1</v>
      </c>
      <c r="AA1345" s="189" t="s">
        <v>3216</v>
      </c>
    </row>
    <row r="1346" customFormat="false" ht="15" hidden="false" customHeight="false" outlineLevel="0" collapsed="false">
      <c r="A1346" s="0" t="n">
        <v>287</v>
      </c>
      <c r="B1346" s="191" t="n">
        <v>46175.4759177975</v>
      </c>
      <c r="C1346" s="191" t="n">
        <v>46175.4886724271</v>
      </c>
      <c r="D1346" s="189" t="s">
        <v>1933</v>
      </c>
      <c r="E1346" s="189" t="s">
        <v>1018</v>
      </c>
      <c r="F1346" s="189" t="s">
        <v>1018</v>
      </c>
      <c r="G1346" s="189" t="s">
        <v>1934</v>
      </c>
      <c r="H1346" s="191" t="n">
        <v>46172</v>
      </c>
      <c r="I1346" s="189" t="s">
        <v>113</v>
      </c>
      <c r="J1346" s="189" t="s">
        <v>108</v>
      </c>
      <c r="K1346" s="189" t="s">
        <v>245</v>
      </c>
      <c r="L1346" s="189" t="s">
        <v>130</v>
      </c>
      <c r="M1346" s="189" t="s">
        <v>406</v>
      </c>
      <c r="N1346" s="189" t="s">
        <v>414</v>
      </c>
      <c r="O1346" s="189" t="s">
        <v>278</v>
      </c>
      <c r="P1346" s="189" t="s">
        <v>111</v>
      </c>
      <c r="Q1346" s="189" t="s">
        <v>112</v>
      </c>
      <c r="R1346" s="189" t="s">
        <v>22</v>
      </c>
      <c r="S1346" s="189" t="s">
        <v>227</v>
      </c>
      <c r="T1346" s="189" t="s">
        <v>264</v>
      </c>
      <c r="U1346" s="189" t="s">
        <v>122</v>
      </c>
      <c r="V1346" s="189" t="s">
        <v>123</v>
      </c>
      <c r="W1346" s="189" t="s">
        <v>124</v>
      </c>
      <c r="X1346" s="189" t="s">
        <v>339</v>
      </c>
      <c r="Y1346" s="189" t="s">
        <v>3064</v>
      </c>
      <c r="Z1346" s="0" t="n">
        <v>2</v>
      </c>
      <c r="AA1346" s="189" t="s">
        <v>3198</v>
      </c>
    </row>
    <row r="1347" customFormat="false" ht="15" hidden="false" customHeight="false" outlineLevel="0" collapsed="false">
      <c r="A1347" s="0" t="n">
        <v>287</v>
      </c>
      <c r="B1347" s="191" t="n">
        <v>46175.4759177975</v>
      </c>
      <c r="C1347" s="191" t="n">
        <v>46175.4886724271</v>
      </c>
      <c r="D1347" s="189" t="s">
        <v>1933</v>
      </c>
      <c r="E1347" s="189" t="s">
        <v>1018</v>
      </c>
      <c r="F1347" s="189" t="s">
        <v>1018</v>
      </c>
      <c r="G1347" s="189" t="s">
        <v>1934</v>
      </c>
      <c r="H1347" s="191" t="n">
        <v>46172</v>
      </c>
      <c r="I1347" s="189" t="s">
        <v>113</v>
      </c>
      <c r="J1347" s="189" t="s">
        <v>108</v>
      </c>
      <c r="K1347" s="189" t="s">
        <v>245</v>
      </c>
      <c r="L1347" s="189" t="s">
        <v>130</v>
      </c>
      <c r="M1347" s="189" t="s">
        <v>406</v>
      </c>
      <c r="N1347" s="189" t="s">
        <v>414</v>
      </c>
      <c r="O1347" s="189" t="s">
        <v>278</v>
      </c>
      <c r="P1347" s="189" t="s">
        <v>111</v>
      </c>
      <c r="Q1347" s="189" t="s">
        <v>112</v>
      </c>
      <c r="R1347" s="189" t="s">
        <v>22</v>
      </c>
      <c r="S1347" s="189" t="s">
        <v>227</v>
      </c>
      <c r="T1347" s="189" t="s">
        <v>264</v>
      </c>
      <c r="U1347" s="189" t="s">
        <v>122</v>
      </c>
      <c r="V1347" s="189" t="s">
        <v>123</v>
      </c>
      <c r="W1347" s="189" t="s">
        <v>124</v>
      </c>
      <c r="X1347" s="189" t="s">
        <v>339</v>
      </c>
      <c r="Y1347" s="189" t="s">
        <v>3064</v>
      </c>
      <c r="Z1347" s="0" t="n">
        <v>3</v>
      </c>
      <c r="AA1347" s="189" t="s">
        <v>3168</v>
      </c>
    </row>
    <row r="1348" customFormat="false" ht="15" hidden="false" customHeight="false" outlineLevel="0" collapsed="false">
      <c r="A1348" s="0" t="n">
        <v>287</v>
      </c>
      <c r="B1348" s="191" t="n">
        <v>46175.4759177975</v>
      </c>
      <c r="C1348" s="191" t="n">
        <v>46175.4886724271</v>
      </c>
      <c r="D1348" s="189" t="s">
        <v>1933</v>
      </c>
      <c r="E1348" s="189" t="s">
        <v>1018</v>
      </c>
      <c r="F1348" s="189" t="s">
        <v>1018</v>
      </c>
      <c r="G1348" s="189" t="s">
        <v>1934</v>
      </c>
      <c r="H1348" s="191" t="n">
        <v>46172</v>
      </c>
      <c r="I1348" s="189" t="s">
        <v>113</v>
      </c>
      <c r="J1348" s="189" t="s">
        <v>108</v>
      </c>
      <c r="K1348" s="189" t="s">
        <v>245</v>
      </c>
      <c r="L1348" s="189" t="s">
        <v>130</v>
      </c>
      <c r="M1348" s="189" t="s">
        <v>406</v>
      </c>
      <c r="N1348" s="189" t="s">
        <v>414</v>
      </c>
      <c r="O1348" s="189" t="s">
        <v>278</v>
      </c>
      <c r="P1348" s="189" t="s">
        <v>111</v>
      </c>
      <c r="Q1348" s="189" t="s">
        <v>112</v>
      </c>
      <c r="R1348" s="189" t="s">
        <v>22</v>
      </c>
      <c r="S1348" s="189" t="s">
        <v>227</v>
      </c>
      <c r="T1348" s="189" t="s">
        <v>264</v>
      </c>
      <c r="U1348" s="189" t="s">
        <v>122</v>
      </c>
      <c r="V1348" s="189" t="s">
        <v>123</v>
      </c>
      <c r="W1348" s="189" t="s">
        <v>124</v>
      </c>
      <c r="X1348" s="189" t="s">
        <v>339</v>
      </c>
      <c r="Y1348" s="189" t="s">
        <v>3066</v>
      </c>
      <c r="Z1348" s="0" t="n">
        <v>1</v>
      </c>
      <c r="AA1348" s="189" t="s">
        <v>3142</v>
      </c>
    </row>
    <row r="1349" customFormat="false" ht="15" hidden="false" customHeight="false" outlineLevel="0" collapsed="false">
      <c r="A1349" s="0" t="n">
        <v>287</v>
      </c>
      <c r="B1349" s="191" t="n">
        <v>46175.4759177975</v>
      </c>
      <c r="C1349" s="191" t="n">
        <v>46175.4886724271</v>
      </c>
      <c r="D1349" s="189" t="s">
        <v>1933</v>
      </c>
      <c r="E1349" s="189" t="s">
        <v>1018</v>
      </c>
      <c r="F1349" s="189" t="s">
        <v>1018</v>
      </c>
      <c r="G1349" s="189" t="s">
        <v>1934</v>
      </c>
      <c r="H1349" s="191" t="n">
        <v>46172</v>
      </c>
      <c r="I1349" s="189" t="s">
        <v>113</v>
      </c>
      <c r="J1349" s="189" t="s">
        <v>108</v>
      </c>
      <c r="K1349" s="189" t="s">
        <v>245</v>
      </c>
      <c r="L1349" s="189" t="s">
        <v>130</v>
      </c>
      <c r="M1349" s="189" t="s">
        <v>406</v>
      </c>
      <c r="N1349" s="189" t="s">
        <v>414</v>
      </c>
      <c r="O1349" s="189" t="s">
        <v>278</v>
      </c>
      <c r="P1349" s="189" t="s">
        <v>111</v>
      </c>
      <c r="Q1349" s="189" t="s">
        <v>112</v>
      </c>
      <c r="R1349" s="189" t="s">
        <v>22</v>
      </c>
      <c r="S1349" s="189" t="s">
        <v>227</v>
      </c>
      <c r="T1349" s="189" t="s">
        <v>264</v>
      </c>
      <c r="U1349" s="189" t="s">
        <v>122</v>
      </c>
      <c r="V1349" s="189" t="s">
        <v>123</v>
      </c>
      <c r="W1349" s="189" t="s">
        <v>124</v>
      </c>
      <c r="X1349" s="189" t="s">
        <v>339</v>
      </c>
      <c r="Y1349" s="189" t="s">
        <v>3069</v>
      </c>
      <c r="Z1349" s="0" t="n">
        <v>1</v>
      </c>
      <c r="AA1349" s="189" t="s">
        <v>3217</v>
      </c>
    </row>
    <row r="1350" customFormat="false" ht="15" hidden="false" customHeight="false" outlineLevel="0" collapsed="false">
      <c r="A1350" s="0" t="n">
        <v>288</v>
      </c>
      <c r="B1350" s="191" t="n">
        <v>46042.5241178858</v>
      </c>
      <c r="C1350" s="191" t="n">
        <v>46042.5303910339</v>
      </c>
      <c r="D1350" s="189" t="s">
        <v>1936</v>
      </c>
      <c r="E1350" s="189" t="s">
        <v>1937</v>
      </c>
      <c r="F1350" s="189" t="s">
        <v>1937</v>
      </c>
      <c r="G1350" s="189" t="s">
        <v>1938</v>
      </c>
      <c r="H1350" s="191" t="n">
        <v>46025</v>
      </c>
      <c r="I1350" s="189" t="s">
        <v>113</v>
      </c>
      <c r="J1350" s="189" t="s">
        <v>295</v>
      </c>
      <c r="K1350" s="189" t="s">
        <v>1939</v>
      </c>
      <c r="L1350" s="189" t="s">
        <v>114</v>
      </c>
      <c r="M1350" s="189" t="s">
        <v>1074</v>
      </c>
      <c r="N1350" s="189" t="s">
        <v>775</v>
      </c>
      <c r="O1350" s="189" t="s">
        <v>107</v>
      </c>
      <c r="P1350" s="189" t="s">
        <v>111</v>
      </c>
      <c r="Q1350" s="189" t="s">
        <v>112</v>
      </c>
      <c r="R1350" s="189" t="s">
        <v>21</v>
      </c>
      <c r="S1350" s="189" t="s">
        <v>152</v>
      </c>
      <c r="T1350" s="189" t="s">
        <v>121</v>
      </c>
      <c r="U1350" s="189" t="s">
        <v>1940</v>
      </c>
      <c r="V1350" s="189" t="s">
        <v>192</v>
      </c>
      <c r="W1350" s="189" t="s">
        <v>124</v>
      </c>
      <c r="X1350" s="189" t="s">
        <v>250</v>
      </c>
      <c r="Y1350" s="189" t="s">
        <v>3064</v>
      </c>
      <c r="Z1350" s="0" t="n">
        <v>1</v>
      </c>
      <c r="AA1350" s="189" t="s">
        <v>3065</v>
      </c>
    </row>
    <row r="1351" customFormat="false" ht="15" hidden="false" customHeight="false" outlineLevel="0" collapsed="false">
      <c r="A1351" s="0" t="n">
        <v>288</v>
      </c>
      <c r="B1351" s="191" t="n">
        <v>46042.5241178858</v>
      </c>
      <c r="C1351" s="191" t="n">
        <v>46042.5303910339</v>
      </c>
      <c r="D1351" s="189" t="s">
        <v>1936</v>
      </c>
      <c r="E1351" s="189" t="s">
        <v>1937</v>
      </c>
      <c r="F1351" s="189" t="s">
        <v>1937</v>
      </c>
      <c r="G1351" s="189" t="s">
        <v>1938</v>
      </c>
      <c r="H1351" s="191" t="n">
        <v>46025</v>
      </c>
      <c r="I1351" s="189" t="s">
        <v>113</v>
      </c>
      <c r="J1351" s="189" t="s">
        <v>295</v>
      </c>
      <c r="K1351" s="189" t="s">
        <v>1939</v>
      </c>
      <c r="L1351" s="189" t="s">
        <v>114</v>
      </c>
      <c r="M1351" s="189" t="s">
        <v>1074</v>
      </c>
      <c r="N1351" s="189" t="s">
        <v>775</v>
      </c>
      <c r="O1351" s="189" t="s">
        <v>107</v>
      </c>
      <c r="P1351" s="189" t="s">
        <v>111</v>
      </c>
      <c r="Q1351" s="189" t="s">
        <v>112</v>
      </c>
      <c r="R1351" s="189" t="s">
        <v>21</v>
      </c>
      <c r="S1351" s="189" t="s">
        <v>152</v>
      </c>
      <c r="T1351" s="189" t="s">
        <v>121</v>
      </c>
      <c r="U1351" s="189" t="s">
        <v>1940</v>
      </c>
      <c r="V1351" s="189" t="s">
        <v>192</v>
      </c>
      <c r="W1351" s="189" t="s">
        <v>124</v>
      </c>
      <c r="X1351" s="189" t="s">
        <v>250</v>
      </c>
      <c r="Y1351" s="189" t="s">
        <v>3066</v>
      </c>
      <c r="Z1351" s="0" t="n">
        <v>1</v>
      </c>
      <c r="AA1351" s="189" t="s">
        <v>3211</v>
      </c>
    </row>
    <row r="1352" customFormat="false" ht="15" hidden="false" customHeight="false" outlineLevel="0" collapsed="false">
      <c r="A1352" s="0" t="n">
        <v>288</v>
      </c>
      <c r="B1352" s="191" t="n">
        <v>46042.5241178858</v>
      </c>
      <c r="C1352" s="191" t="n">
        <v>46042.5303910339</v>
      </c>
      <c r="D1352" s="189" t="s">
        <v>1936</v>
      </c>
      <c r="E1352" s="189" t="s">
        <v>1937</v>
      </c>
      <c r="F1352" s="189" t="s">
        <v>1937</v>
      </c>
      <c r="G1352" s="189" t="s">
        <v>1938</v>
      </c>
      <c r="H1352" s="191" t="n">
        <v>46025</v>
      </c>
      <c r="I1352" s="189" t="s">
        <v>113</v>
      </c>
      <c r="J1352" s="189" t="s">
        <v>295</v>
      </c>
      <c r="K1352" s="189" t="s">
        <v>1939</v>
      </c>
      <c r="L1352" s="189" t="s">
        <v>114</v>
      </c>
      <c r="M1352" s="189" t="s">
        <v>1074</v>
      </c>
      <c r="N1352" s="189" t="s">
        <v>775</v>
      </c>
      <c r="O1352" s="189" t="s">
        <v>107</v>
      </c>
      <c r="P1352" s="189" t="s">
        <v>111</v>
      </c>
      <c r="Q1352" s="189" t="s">
        <v>112</v>
      </c>
      <c r="R1352" s="189" t="s">
        <v>21</v>
      </c>
      <c r="S1352" s="189" t="s">
        <v>152</v>
      </c>
      <c r="T1352" s="189" t="s">
        <v>121</v>
      </c>
      <c r="U1352" s="189" t="s">
        <v>1940</v>
      </c>
      <c r="V1352" s="189" t="s">
        <v>192</v>
      </c>
      <c r="W1352" s="189" t="s">
        <v>124</v>
      </c>
      <c r="X1352" s="189" t="s">
        <v>250</v>
      </c>
      <c r="Y1352" s="189" t="s">
        <v>3066</v>
      </c>
      <c r="Z1352" s="0" t="n">
        <v>2</v>
      </c>
      <c r="AA1352" s="189" t="s">
        <v>3068</v>
      </c>
    </row>
    <row r="1353" customFormat="false" ht="15" hidden="false" customHeight="false" outlineLevel="0" collapsed="false">
      <c r="A1353" s="0" t="n">
        <v>288</v>
      </c>
      <c r="B1353" s="191" t="n">
        <v>46042.5241178858</v>
      </c>
      <c r="C1353" s="191" t="n">
        <v>46042.5303910339</v>
      </c>
      <c r="D1353" s="189" t="s">
        <v>1936</v>
      </c>
      <c r="E1353" s="189" t="s">
        <v>1937</v>
      </c>
      <c r="F1353" s="189" t="s">
        <v>1937</v>
      </c>
      <c r="G1353" s="189" t="s">
        <v>1938</v>
      </c>
      <c r="H1353" s="191" t="n">
        <v>46025</v>
      </c>
      <c r="I1353" s="189" t="s">
        <v>113</v>
      </c>
      <c r="J1353" s="189" t="s">
        <v>295</v>
      </c>
      <c r="K1353" s="189" t="s">
        <v>1939</v>
      </c>
      <c r="L1353" s="189" t="s">
        <v>114</v>
      </c>
      <c r="M1353" s="189" t="s">
        <v>1074</v>
      </c>
      <c r="N1353" s="189" t="s">
        <v>775</v>
      </c>
      <c r="O1353" s="189" t="s">
        <v>107</v>
      </c>
      <c r="P1353" s="189" t="s">
        <v>111</v>
      </c>
      <c r="Q1353" s="189" t="s">
        <v>112</v>
      </c>
      <c r="R1353" s="189" t="s">
        <v>21</v>
      </c>
      <c r="S1353" s="189" t="s">
        <v>152</v>
      </c>
      <c r="T1353" s="189" t="s">
        <v>121</v>
      </c>
      <c r="U1353" s="189" t="s">
        <v>1940</v>
      </c>
      <c r="V1353" s="189" t="s">
        <v>192</v>
      </c>
      <c r="W1353" s="189" t="s">
        <v>124</v>
      </c>
      <c r="X1353" s="189" t="s">
        <v>250</v>
      </c>
      <c r="Y1353" s="189" t="s">
        <v>3069</v>
      </c>
      <c r="Z1353" s="0" t="n">
        <v>1</v>
      </c>
      <c r="AA1353" s="189" t="s">
        <v>3140</v>
      </c>
    </row>
    <row r="1354" customFormat="false" ht="15" hidden="false" customHeight="false" outlineLevel="0" collapsed="false">
      <c r="A1354" s="0" t="n">
        <v>289</v>
      </c>
      <c r="B1354" s="191" t="n">
        <v>46142.7256989842</v>
      </c>
      <c r="C1354" s="191" t="n">
        <v>46142.7279559287</v>
      </c>
      <c r="D1354" s="189" t="s">
        <v>1941</v>
      </c>
      <c r="E1354" s="189" t="s">
        <v>1942</v>
      </c>
      <c r="F1354" s="189" t="s">
        <v>1943</v>
      </c>
      <c r="G1354" s="189" t="s">
        <v>1944</v>
      </c>
      <c r="H1354" s="191" t="n">
        <v>46136</v>
      </c>
      <c r="I1354" s="189" t="s">
        <v>113</v>
      </c>
      <c r="J1354" s="189" t="s">
        <v>108</v>
      </c>
      <c r="K1354" s="189" t="s">
        <v>1572</v>
      </c>
      <c r="L1354" s="189" t="s">
        <v>491</v>
      </c>
      <c r="M1354" s="189" t="s">
        <v>757</v>
      </c>
      <c r="N1354" s="189" t="s">
        <v>1028</v>
      </c>
      <c r="O1354" s="189" t="s">
        <v>260</v>
      </c>
      <c r="P1354" s="189" t="s">
        <v>111</v>
      </c>
      <c r="Q1354" s="189" t="s">
        <v>145</v>
      </c>
      <c r="R1354" s="189" t="s">
        <v>22</v>
      </c>
      <c r="S1354" s="189" t="s">
        <v>152</v>
      </c>
      <c r="T1354" s="189" t="s">
        <v>180</v>
      </c>
      <c r="U1354" s="189" t="s">
        <v>122</v>
      </c>
      <c r="V1354" s="189" t="s">
        <v>192</v>
      </c>
      <c r="W1354" s="189" t="s">
        <v>124</v>
      </c>
      <c r="X1354" s="189" t="s">
        <v>298</v>
      </c>
      <c r="Y1354" s="189" t="s">
        <v>3064</v>
      </c>
      <c r="Z1354" s="0" t="n">
        <v>1</v>
      </c>
      <c r="AA1354" s="189" t="s">
        <v>3123</v>
      </c>
    </row>
    <row r="1355" customFormat="false" ht="15" hidden="false" customHeight="false" outlineLevel="0" collapsed="false">
      <c r="A1355" s="0" t="n">
        <v>289</v>
      </c>
      <c r="B1355" s="191" t="n">
        <v>46142.7256989842</v>
      </c>
      <c r="C1355" s="191" t="n">
        <v>46142.7279559287</v>
      </c>
      <c r="D1355" s="189" t="s">
        <v>1941</v>
      </c>
      <c r="E1355" s="189" t="s">
        <v>1942</v>
      </c>
      <c r="F1355" s="189" t="s">
        <v>1943</v>
      </c>
      <c r="G1355" s="189" t="s">
        <v>1944</v>
      </c>
      <c r="H1355" s="191" t="n">
        <v>46136</v>
      </c>
      <c r="I1355" s="189" t="s">
        <v>113</v>
      </c>
      <c r="J1355" s="189" t="s">
        <v>108</v>
      </c>
      <c r="K1355" s="189" t="s">
        <v>1572</v>
      </c>
      <c r="L1355" s="189" t="s">
        <v>491</v>
      </c>
      <c r="M1355" s="189" t="s">
        <v>757</v>
      </c>
      <c r="N1355" s="189" t="s">
        <v>1028</v>
      </c>
      <c r="O1355" s="189" t="s">
        <v>260</v>
      </c>
      <c r="P1355" s="189" t="s">
        <v>111</v>
      </c>
      <c r="Q1355" s="189" t="s">
        <v>145</v>
      </c>
      <c r="R1355" s="189" t="s">
        <v>22</v>
      </c>
      <c r="S1355" s="189" t="s">
        <v>152</v>
      </c>
      <c r="T1355" s="189" t="s">
        <v>180</v>
      </c>
      <c r="U1355" s="189" t="s">
        <v>122</v>
      </c>
      <c r="V1355" s="189" t="s">
        <v>192</v>
      </c>
      <c r="W1355" s="189" t="s">
        <v>124</v>
      </c>
      <c r="X1355" s="189" t="s">
        <v>298</v>
      </c>
      <c r="Y1355" s="189" t="s">
        <v>3064</v>
      </c>
      <c r="Z1355" s="0" t="n">
        <v>2</v>
      </c>
      <c r="AA1355" s="189" t="s">
        <v>3236</v>
      </c>
    </row>
    <row r="1356" customFormat="false" ht="15" hidden="false" customHeight="false" outlineLevel="0" collapsed="false">
      <c r="A1356" s="0" t="n">
        <v>289</v>
      </c>
      <c r="B1356" s="191" t="n">
        <v>46142.7256989842</v>
      </c>
      <c r="C1356" s="191" t="n">
        <v>46142.7279559287</v>
      </c>
      <c r="D1356" s="189" t="s">
        <v>1941</v>
      </c>
      <c r="E1356" s="189" t="s">
        <v>1942</v>
      </c>
      <c r="F1356" s="189" t="s">
        <v>1943</v>
      </c>
      <c r="G1356" s="189" t="s">
        <v>1944</v>
      </c>
      <c r="H1356" s="191" t="n">
        <v>46136</v>
      </c>
      <c r="I1356" s="189" t="s">
        <v>113</v>
      </c>
      <c r="J1356" s="189" t="s">
        <v>108</v>
      </c>
      <c r="K1356" s="189" t="s">
        <v>1572</v>
      </c>
      <c r="L1356" s="189" t="s">
        <v>491</v>
      </c>
      <c r="M1356" s="189" t="s">
        <v>757</v>
      </c>
      <c r="N1356" s="189" t="s">
        <v>1028</v>
      </c>
      <c r="O1356" s="189" t="s">
        <v>260</v>
      </c>
      <c r="P1356" s="189" t="s">
        <v>111</v>
      </c>
      <c r="Q1356" s="189" t="s">
        <v>145</v>
      </c>
      <c r="R1356" s="189" t="s">
        <v>22</v>
      </c>
      <c r="S1356" s="189" t="s">
        <v>152</v>
      </c>
      <c r="T1356" s="189" t="s">
        <v>180</v>
      </c>
      <c r="U1356" s="189" t="s">
        <v>122</v>
      </c>
      <c r="V1356" s="189" t="s">
        <v>192</v>
      </c>
      <c r="W1356" s="189" t="s">
        <v>124</v>
      </c>
      <c r="X1356" s="189" t="s">
        <v>298</v>
      </c>
      <c r="Y1356" s="189" t="s">
        <v>3066</v>
      </c>
      <c r="Z1356" s="0" t="n">
        <v>1</v>
      </c>
      <c r="AA1356" s="189" t="s">
        <v>3126</v>
      </c>
    </row>
    <row r="1357" customFormat="false" ht="15" hidden="false" customHeight="false" outlineLevel="0" collapsed="false">
      <c r="A1357" s="0" t="n">
        <v>289</v>
      </c>
      <c r="B1357" s="191" t="n">
        <v>46142.7256989842</v>
      </c>
      <c r="C1357" s="191" t="n">
        <v>46142.7279559287</v>
      </c>
      <c r="D1357" s="189" t="s">
        <v>1941</v>
      </c>
      <c r="E1357" s="189" t="s">
        <v>1942</v>
      </c>
      <c r="F1357" s="189" t="s">
        <v>1943</v>
      </c>
      <c r="G1357" s="189" t="s">
        <v>1944</v>
      </c>
      <c r="H1357" s="191" t="n">
        <v>46136</v>
      </c>
      <c r="I1357" s="189" t="s">
        <v>113</v>
      </c>
      <c r="J1357" s="189" t="s">
        <v>108</v>
      </c>
      <c r="K1357" s="189" t="s">
        <v>1572</v>
      </c>
      <c r="L1357" s="189" t="s">
        <v>491</v>
      </c>
      <c r="M1357" s="189" t="s">
        <v>757</v>
      </c>
      <c r="N1357" s="189" t="s">
        <v>1028</v>
      </c>
      <c r="O1357" s="189" t="s">
        <v>260</v>
      </c>
      <c r="P1357" s="189" t="s">
        <v>111</v>
      </c>
      <c r="Q1357" s="189" t="s">
        <v>145</v>
      </c>
      <c r="R1357" s="189" t="s">
        <v>22</v>
      </c>
      <c r="S1357" s="189" t="s">
        <v>152</v>
      </c>
      <c r="T1357" s="189" t="s">
        <v>180</v>
      </c>
      <c r="U1357" s="189" t="s">
        <v>122</v>
      </c>
      <c r="V1357" s="189" t="s">
        <v>192</v>
      </c>
      <c r="W1357" s="189" t="s">
        <v>124</v>
      </c>
      <c r="X1357" s="189" t="s">
        <v>298</v>
      </c>
      <c r="Y1357" s="189" t="s">
        <v>3066</v>
      </c>
      <c r="Z1357" s="0" t="n">
        <v>2</v>
      </c>
      <c r="AA1357" s="189" t="s">
        <v>3274</v>
      </c>
    </row>
    <row r="1358" customFormat="false" ht="15" hidden="false" customHeight="false" outlineLevel="0" collapsed="false">
      <c r="A1358" s="0" t="n">
        <v>289</v>
      </c>
      <c r="B1358" s="191" t="n">
        <v>46142.7256989842</v>
      </c>
      <c r="C1358" s="191" t="n">
        <v>46142.7279559287</v>
      </c>
      <c r="D1358" s="189" t="s">
        <v>1941</v>
      </c>
      <c r="E1358" s="189" t="s">
        <v>1942</v>
      </c>
      <c r="F1358" s="189" t="s">
        <v>1943</v>
      </c>
      <c r="G1358" s="189" t="s">
        <v>1944</v>
      </c>
      <c r="H1358" s="191" t="n">
        <v>46136</v>
      </c>
      <c r="I1358" s="189" t="s">
        <v>113</v>
      </c>
      <c r="J1358" s="189" t="s">
        <v>108</v>
      </c>
      <c r="K1358" s="189" t="s">
        <v>1572</v>
      </c>
      <c r="L1358" s="189" t="s">
        <v>491</v>
      </c>
      <c r="M1358" s="189" t="s">
        <v>757</v>
      </c>
      <c r="N1358" s="189" t="s">
        <v>1028</v>
      </c>
      <c r="O1358" s="189" t="s">
        <v>260</v>
      </c>
      <c r="P1358" s="189" t="s">
        <v>111</v>
      </c>
      <c r="Q1358" s="189" t="s">
        <v>145</v>
      </c>
      <c r="R1358" s="189" t="s">
        <v>22</v>
      </c>
      <c r="S1358" s="189" t="s">
        <v>152</v>
      </c>
      <c r="T1358" s="189" t="s">
        <v>180</v>
      </c>
      <c r="U1358" s="189" t="s">
        <v>122</v>
      </c>
      <c r="V1358" s="189" t="s">
        <v>192</v>
      </c>
      <c r="W1358" s="189" t="s">
        <v>124</v>
      </c>
      <c r="X1358" s="189" t="s">
        <v>298</v>
      </c>
      <c r="Y1358" s="189" t="s">
        <v>3069</v>
      </c>
      <c r="Z1358" s="0" t="n">
        <v>1</v>
      </c>
      <c r="AA1358" s="189" t="s">
        <v>3128</v>
      </c>
    </row>
    <row r="1359" customFormat="false" ht="15" hidden="false" customHeight="false" outlineLevel="0" collapsed="false">
      <c r="A1359" s="0" t="n">
        <v>290</v>
      </c>
      <c r="B1359" s="191" t="n">
        <v>46098.2048724414</v>
      </c>
      <c r="C1359" s="191" t="n">
        <v>46098.2101386451</v>
      </c>
      <c r="D1359" s="189" t="s">
        <v>1946</v>
      </c>
      <c r="E1359" s="189" t="s">
        <v>1947</v>
      </c>
      <c r="F1359" s="189" t="s">
        <v>1947</v>
      </c>
      <c r="G1359" s="189" t="s">
        <v>1948</v>
      </c>
      <c r="H1359" s="191" t="n">
        <v>46088</v>
      </c>
      <c r="I1359" s="189" t="s">
        <v>113</v>
      </c>
      <c r="J1359" s="189" t="s">
        <v>108</v>
      </c>
      <c r="K1359" s="189" t="s">
        <v>1762</v>
      </c>
      <c r="L1359" s="189" t="s">
        <v>184</v>
      </c>
      <c r="M1359" s="189" t="s">
        <v>757</v>
      </c>
      <c r="N1359" s="189" t="s">
        <v>701</v>
      </c>
      <c r="O1359" s="189" t="s">
        <v>1949</v>
      </c>
      <c r="P1359" s="189" t="s">
        <v>111</v>
      </c>
      <c r="Q1359" s="189" t="s">
        <v>112</v>
      </c>
      <c r="R1359" s="189" t="s">
        <v>21</v>
      </c>
      <c r="S1359" s="189" t="s">
        <v>152</v>
      </c>
      <c r="T1359" s="189" t="s">
        <v>121</v>
      </c>
      <c r="U1359" s="189" t="s">
        <v>1950</v>
      </c>
      <c r="V1359" s="189" t="s">
        <v>167</v>
      </c>
      <c r="W1359" s="189" t="s">
        <v>168</v>
      </c>
      <c r="X1359" s="189" t="s">
        <v>187</v>
      </c>
      <c r="Y1359" s="189" t="s">
        <v>3064</v>
      </c>
      <c r="Z1359" s="0" t="n">
        <v>1</v>
      </c>
      <c r="AA1359" s="189" t="s">
        <v>3089</v>
      </c>
    </row>
    <row r="1360" customFormat="false" ht="15" hidden="false" customHeight="false" outlineLevel="0" collapsed="false">
      <c r="A1360" s="0" t="n">
        <v>290</v>
      </c>
      <c r="B1360" s="191" t="n">
        <v>46098.2048724414</v>
      </c>
      <c r="C1360" s="191" t="n">
        <v>46098.2101386451</v>
      </c>
      <c r="D1360" s="189" t="s">
        <v>1946</v>
      </c>
      <c r="E1360" s="189" t="s">
        <v>1947</v>
      </c>
      <c r="F1360" s="189" t="s">
        <v>1947</v>
      </c>
      <c r="G1360" s="189" t="s">
        <v>1948</v>
      </c>
      <c r="H1360" s="191" t="n">
        <v>46088</v>
      </c>
      <c r="I1360" s="189" t="s">
        <v>113</v>
      </c>
      <c r="J1360" s="189" t="s">
        <v>108</v>
      </c>
      <c r="K1360" s="189" t="s">
        <v>1762</v>
      </c>
      <c r="L1360" s="189" t="s">
        <v>184</v>
      </c>
      <c r="M1360" s="189" t="s">
        <v>757</v>
      </c>
      <c r="N1360" s="189" t="s">
        <v>701</v>
      </c>
      <c r="O1360" s="189" t="s">
        <v>1949</v>
      </c>
      <c r="P1360" s="189" t="s">
        <v>111</v>
      </c>
      <c r="Q1360" s="189" t="s">
        <v>112</v>
      </c>
      <c r="R1360" s="189" t="s">
        <v>21</v>
      </c>
      <c r="S1360" s="189" t="s">
        <v>152</v>
      </c>
      <c r="T1360" s="189" t="s">
        <v>121</v>
      </c>
      <c r="U1360" s="189" t="s">
        <v>1950</v>
      </c>
      <c r="V1360" s="189" t="s">
        <v>167</v>
      </c>
      <c r="W1360" s="189" t="s">
        <v>168</v>
      </c>
      <c r="X1360" s="189" t="s">
        <v>187</v>
      </c>
      <c r="Y1360" s="189" t="s">
        <v>3066</v>
      </c>
      <c r="Z1360" s="0" t="n">
        <v>1</v>
      </c>
      <c r="AA1360" s="189" t="s">
        <v>3167</v>
      </c>
    </row>
    <row r="1361" customFormat="false" ht="15" hidden="false" customHeight="false" outlineLevel="0" collapsed="false">
      <c r="A1361" s="0" t="n">
        <v>290</v>
      </c>
      <c r="B1361" s="191" t="n">
        <v>46098.2048724414</v>
      </c>
      <c r="C1361" s="191" t="n">
        <v>46098.2101386451</v>
      </c>
      <c r="D1361" s="189" t="s">
        <v>1946</v>
      </c>
      <c r="E1361" s="189" t="s">
        <v>1947</v>
      </c>
      <c r="F1361" s="189" t="s">
        <v>1947</v>
      </c>
      <c r="G1361" s="189" t="s">
        <v>1948</v>
      </c>
      <c r="H1361" s="191" t="n">
        <v>46088</v>
      </c>
      <c r="I1361" s="189" t="s">
        <v>113</v>
      </c>
      <c r="J1361" s="189" t="s">
        <v>108</v>
      </c>
      <c r="K1361" s="189" t="s">
        <v>1762</v>
      </c>
      <c r="L1361" s="189" t="s">
        <v>184</v>
      </c>
      <c r="M1361" s="189" t="s">
        <v>757</v>
      </c>
      <c r="N1361" s="189" t="s">
        <v>701</v>
      </c>
      <c r="O1361" s="189" t="s">
        <v>1949</v>
      </c>
      <c r="P1361" s="189" t="s">
        <v>111</v>
      </c>
      <c r="Q1361" s="189" t="s">
        <v>112</v>
      </c>
      <c r="R1361" s="189" t="s">
        <v>21</v>
      </c>
      <c r="S1361" s="189" t="s">
        <v>152</v>
      </c>
      <c r="T1361" s="189" t="s">
        <v>121</v>
      </c>
      <c r="U1361" s="189" t="s">
        <v>1950</v>
      </c>
      <c r="V1361" s="189" t="s">
        <v>167</v>
      </c>
      <c r="W1361" s="189" t="s">
        <v>168</v>
      </c>
      <c r="X1361" s="189" t="s">
        <v>187</v>
      </c>
      <c r="Y1361" s="189" t="s">
        <v>3066</v>
      </c>
      <c r="Z1361" s="0" t="n">
        <v>2</v>
      </c>
      <c r="AA1361" s="189" t="s">
        <v>3090</v>
      </c>
    </row>
    <row r="1362" customFormat="false" ht="15" hidden="false" customHeight="false" outlineLevel="0" collapsed="false">
      <c r="A1362" s="0" t="n">
        <v>290</v>
      </c>
      <c r="B1362" s="191" t="n">
        <v>46098.2048724414</v>
      </c>
      <c r="C1362" s="191" t="n">
        <v>46098.2101386451</v>
      </c>
      <c r="D1362" s="189" t="s">
        <v>1946</v>
      </c>
      <c r="E1362" s="189" t="s">
        <v>1947</v>
      </c>
      <c r="F1362" s="189" t="s">
        <v>1947</v>
      </c>
      <c r="G1362" s="189" t="s">
        <v>1948</v>
      </c>
      <c r="H1362" s="191" t="n">
        <v>46088</v>
      </c>
      <c r="I1362" s="189" t="s">
        <v>113</v>
      </c>
      <c r="J1362" s="189" t="s">
        <v>108</v>
      </c>
      <c r="K1362" s="189" t="s">
        <v>1762</v>
      </c>
      <c r="L1362" s="189" t="s">
        <v>184</v>
      </c>
      <c r="M1362" s="189" t="s">
        <v>757</v>
      </c>
      <c r="N1362" s="189" t="s">
        <v>701</v>
      </c>
      <c r="O1362" s="189" t="s">
        <v>1949</v>
      </c>
      <c r="P1362" s="189" t="s">
        <v>111</v>
      </c>
      <c r="Q1362" s="189" t="s">
        <v>112</v>
      </c>
      <c r="R1362" s="189" t="s">
        <v>21</v>
      </c>
      <c r="S1362" s="189" t="s">
        <v>152</v>
      </c>
      <c r="T1362" s="189" t="s">
        <v>121</v>
      </c>
      <c r="U1362" s="189" t="s">
        <v>1950</v>
      </c>
      <c r="V1362" s="189" t="s">
        <v>167</v>
      </c>
      <c r="W1362" s="189" t="s">
        <v>168</v>
      </c>
      <c r="X1362" s="189" t="s">
        <v>187</v>
      </c>
      <c r="Y1362" s="189" t="s">
        <v>3069</v>
      </c>
      <c r="Z1362" s="0" t="n">
        <v>1</v>
      </c>
      <c r="AA1362" s="189" t="s">
        <v>3091</v>
      </c>
    </row>
    <row r="1363" customFormat="false" ht="15" hidden="false" customHeight="false" outlineLevel="0" collapsed="false">
      <c r="A1363" s="0" t="n">
        <v>291</v>
      </c>
      <c r="B1363" s="191" t="n">
        <v>46207.8241281948</v>
      </c>
      <c r="C1363" s="191" t="n">
        <v>46207.839463843</v>
      </c>
      <c r="D1363" s="189" t="s">
        <v>1951</v>
      </c>
      <c r="E1363" s="189" t="s">
        <v>1952</v>
      </c>
      <c r="F1363" s="189" t="s">
        <v>1952</v>
      </c>
      <c r="G1363" s="189" t="s">
        <v>1953</v>
      </c>
      <c r="H1363" s="191" t="n">
        <v>46204</v>
      </c>
      <c r="I1363" s="189" t="s">
        <v>336</v>
      </c>
      <c r="J1363" s="189" t="s">
        <v>295</v>
      </c>
      <c r="K1363" s="189" t="s">
        <v>232</v>
      </c>
      <c r="L1363" s="189" t="s">
        <v>114</v>
      </c>
      <c r="M1363" s="189" t="s">
        <v>212</v>
      </c>
      <c r="N1363" s="189" t="s">
        <v>1255</v>
      </c>
      <c r="O1363" s="189" t="s">
        <v>244</v>
      </c>
      <c r="P1363" s="189" t="s">
        <v>131</v>
      </c>
      <c r="Q1363" s="189" t="s">
        <v>112</v>
      </c>
      <c r="R1363" s="189" t="s">
        <v>22</v>
      </c>
      <c r="S1363" s="189" t="s">
        <v>120</v>
      </c>
      <c r="T1363" s="189" t="s">
        <v>180</v>
      </c>
      <c r="U1363" s="189" t="s">
        <v>122</v>
      </c>
      <c r="V1363" s="189" t="s">
        <v>123</v>
      </c>
      <c r="W1363" s="189" t="s">
        <v>139</v>
      </c>
      <c r="X1363" s="189" t="s">
        <v>116</v>
      </c>
      <c r="Y1363" s="189" t="s">
        <v>3064</v>
      </c>
      <c r="Z1363" s="0" t="n">
        <v>1</v>
      </c>
      <c r="AA1363" s="189" t="s">
        <v>3065</v>
      </c>
    </row>
    <row r="1364" customFormat="false" ht="15" hidden="false" customHeight="false" outlineLevel="0" collapsed="false">
      <c r="A1364" s="0" t="n">
        <v>291</v>
      </c>
      <c r="B1364" s="191" t="n">
        <v>46207.8241281948</v>
      </c>
      <c r="C1364" s="191" t="n">
        <v>46207.839463843</v>
      </c>
      <c r="D1364" s="189" t="s">
        <v>1951</v>
      </c>
      <c r="E1364" s="189" t="s">
        <v>1952</v>
      </c>
      <c r="F1364" s="189" t="s">
        <v>1952</v>
      </c>
      <c r="G1364" s="189" t="s">
        <v>1953</v>
      </c>
      <c r="H1364" s="191" t="n">
        <v>46204</v>
      </c>
      <c r="I1364" s="189" t="s">
        <v>336</v>
      </c>
      <c r="J1364" s="189" t="s">
        <v>295</v>
      </c>
      <c r="K1364" s="189" t="s">
        <v>232</v>
      </c>
      <c r="L1364" s="189" t="s">
        <v>114</v>
      </c>
      <c r="M1364" s="189" t="s">
        <v>212</v>
      </c>
      <c r="N1364" s="189" t="s">
        <v>1255</v>
      </c>
      <c r="O1364" s="189" t="s">
        <v>244</v>
      </c>
      <c r="P1364" s="189" t="s">
        <v>131</v>
      </c>
      <c r="Q1364" s="189" t="s">
        <v>112</v>
      </c>
      <c r="R1364" s="189" t="s">
        <v>22</v>
      </c>
      <c r="S1364" s="189" t="s">
        <v>120</v>
      </c>
      <c r="T1364" s="189" t="s">
        <v>180</v>
      </c>
      <c r="U1364" s="189" t="s">
        <v>122</v>
      </c>
      <c r="V1364" s="189" t="s">
        <v>123</v>
      </c>
      <c r="W1364" s="189" t="s">
        <v>139</v>
      </c>
      <c r="X1364" s="189" t="s">
        <v>116</v>
      </c>
      <c r="Y1364" s="189" t="s">
        <v>3064</v>
      </c>
      <c r="Z1364" s="0" t="n">
        <v>2</v>
      </c>
      <c r="AA1364" s="189" t="s">
        <v>3095</v>
      </c>
    </row>
    <row r="1365" customFormat="false" ht="15" hidden="false" customHeight="false" outlineLevel="0" collapsed="false">
      <c r="A1365" s="0" t="n">
        <v>291</v>
      </c>
      <c r="B1365" s="191" t="n">
        <v>46207.8241281948</v>
      </c>
      <c r="C1365" s="191" t="n">
        <v>46207.839463843</v>
      </c>
      <c r="D1365" s="189" t="s">
        <v>1951</v>
      </c>
      <c r="E1365" s="189" t="s">
        <v>1952</v>
      </c>
      <c r="F1365" s="189" t="s">
        <v>1952</v>
      </c>
      <c r="G1365" s="189" t="s">
        <v>1953</v>
      </c>
      <c r="H1365" s="191" t="n">
        <v>46204</v>
      </c>
      <c r="I1365" s="189" t="s">
        <v>336</v>
      </c>
      <c r="J1365" s="189" t="s">
        <v>295</v>
      </c>
      <c r="K1365" s="189" t="s">
        <v>232</v>
      </c>
      <c r="L1365" s="189" t="s">
        <v>114</v>
      </c>
      <c r="M1365" s="189" t="s">
        <v>212</v>
      </c>
      <c r="N1365" s="189" t="s">
        <v>1255</v>
      </c>
      <c r="O1365" s="189" t="s">
        <v>244</v>
      </c>
      <c r="P1365" s="189" t="s">
        <v>131</v>
      </c>
      <c r="Q1365" s="189" t="s">
        <v>112</v>
      </c>
      <c r="R1365" s="189" t="s">
        <v>22</v>
      </c>
      <c r="S1365" s="189" t="s">
        <v>120</v>
      </c>
      <c r="T1365" s="189" t="s">
        <v>180</v>
      </c>
      <c r="U1365" s="189" t="s">
        <v>122</v>
      </c>
      <c r="V1365" s="189" t="s">
        <v>123</v>
      </c>
      <c r="W1365" s="189" t="s">
        <v>139</v>
      </c>
      <c r="X1365" s="189" t="s">
        <v>116</v>
      </c>
      <c r="Y1365" s="189" t="s">
        <v>3064</v>
      </c>
      <c r="Z1365" s="0" t="n">
        <v>3</v>
      </c>
      <c r="AA1365" s="189" t="s">
        <v>3107</v>
      </c>
    </row>
    <row r="1366" customFormat="false" ht="15" hidden="false" customHeight="false" outlineLevel="0" collapsed="false">
      <c r="A1366" s="0" t="n">
        <v>291</v>
      </c>
      <c r="B1366" s="191" t="n">
        <v>46207.8241281948</v>
      </c>
      <c r="C1366" s="191" t="n">
        <v>46207.839463843</v>
      </c>
      <c r="D1366" s="189" t="s">
        <v>1951</v>
      </c>
      <c r="E1366" s="189" t="s">
        <v>1952</v>
      </c>
      <c r="F1366" s="189" t="s">
        <v>1952</v>
      </c>
      <c r="G1366" s="189" t="s">
        <v>1953</v>
      </c>
      <c r="H1366" s="191" t="n">
        <v>46204</v>
      </c>
      <c r="I1366" s="189" t="s">
        <v>336</v>
      </c>
      <c r="J1366" s="189" t="s">
        <v>295</v>
      </c>
      <c r="K1366" s="189" t="s">
        <v>232</v>
      </c>
      <c r="L1366" s="189" t="s">
        <v>114</v>
      </c>
      <c r="M1366" s="189" t="s">
        <v>212</v>
      </c>
      <c r="N1366" s="189" t="s">
        <v>1255</v>
      </c>
      <c r="O1366" s="189" t="s">
        <v>244</v>
      </c>
      <c r="P1366" s="189" t="s">
        <v>131</v>
      </c>
      <c r="Q1366" s="189" t="s">
        <v>112</v>
      </c>
      <c r="R1366" s="189" t="s">
        <v>22</v>
      </c>
      <c r="S1366" s="189" t="s">
        <v>120</v>
      </c>
      <c r="T1366" s="189" t="s">
        <v>180</v>
      </c>
      <c r="U1366" s="189" t="s">
        <v>122</v>
      </c>
      <c r="V1366" s="189" t="s">
        <v>123</v>
      </c>
      <c r="W1366" s="189" t="s">
        <v>139</v>
      </c>
      <c r="X1366" s="189" t="s">
        <v>116</v>
      </c>
      <c r="Y1366" s="189" t="s">
        <v>3066</v>
      </c>
      <c r="Z1366" s="0" t="n">
        <v>1</v>
      </c>
      <c r="AA1366" s="189" t="s">
        <v>3082</v>
      </c>
    </row>
    <row r="1367" customFormat="false" ht="15" hidden="false" customHeight="false" outlineLevel="0" collapsed="false">
      <c r="A1367" s="0" t="n">
        <v>291</v>
      </c>
      <c r="B1367" s="191" t="n">
        <v>46207.8241281948</v>
      </c>
      <c r="C1367" s="191" t="n">
        <v>46207.839463843</v>
      </c>
      <c r="D1367" s="189" t="s">
        <v>1951</v>
      </c>
      <c r="E1367" s="189" t="s">
        <v>1952</v>
      </c>
      <c r="F1367" s="189" t="s">
        <v>1952</v>
      </c>
      <c r="G1367" s="189" t="s">
        <v>1953</v>
      </c>
      <c r="H1367" s="191" t="n">
        <v>46204</v>
      </c>
      <c r="I1367" s="189" t="s">
        <v>336</v>
      </c>
      <c r="J1367" s="189" t="s">
        <v>295</v>
      </c>
      <c r="K1367" s="189" t="s">
        <v>232</v>
      </c>
      <c r="L1367" s="189" t="s">
        <v>114</v>
      </c>
      <c r="M1367" s="189" t="s">
        <v>212</v>
      </c>
      <c r="N1367" s="189" t="s">
        <v>1255</v>
      </c>
      <c r="O1367" s="189" t="s">
        <v>244</v>
      </c>
      <c r="P1367" s="189" t="s">
        <v>131</v>
      </c>
      <c r="Q1367" s="189" t="s">
        <v>112</v>
      </c>
      <c r="R1367" s="189" t="s">
        <v>22</v>
      </c>
      <c r="S1367" s="189" t="s">
        <v>120</v>
      </c>
      <c r="T1367" s="189" t="s">
        <v>180</v>
      </c>
      <c r="U1367" s="189" t="s">
        <v>122</v>
      </c>
      <c r="V1367" s="189" t="s">
        <v>123</v>
      </c>
      <c r="W1367" s="189" t="s">
        <v>139</v>
      </c>
      <c r="X1367" s="189" t="s">
        <v>116</v>
      </c>
      <c r="Y1367" s="189" t="s">
        <v>3069</v>
      </c>
      <c r="Z1367" s="0" t="n">
        <v>1</v>
      </c>
      <c r="AA1367" s="189" t="s">
        <v>3140</v>
      </c>
    </row>
    <row r="1368" customFormat="false" ht="15" hidden="false" customHeight="false" outlineLevel="0" collapsed="false">
      <c r="A1368" s="0" t="n">
        <v>292</v>
      </c>
      <c r="B1368" s="191" t="n">
        <v>46041.7547921703</v>
      </c>
      <c r="C1368" s="191" t="n">
        <v>46041.772245874</v>
      </c>
      <c r="D1368" s="189" t="s">
        <v>1955</v>
      </c>
      <c r="E1368" s="189" t="s">
        <v>1956</v>
      </c>
      <c r="F1368" s="189" t="s">
        <v>1956</v>
      </c>
      <c r="G1368" s="189" t="s">
        <v>1957</v>
      </c>
      <c r="H1368" s="191" t="n">
        <v>46027</v>
      </c>
      <c r="I1368" s="189" t="s">
        <v>325</v>
      </c>
      <c r="J1368" s="189" t="s">
        <v>128</v>
      </c>
      <c r="K1368" s="189" t="s">
        <v>232</v>
      </c>
      <c r="L1368" s="189" t="s">
        <v>346</v>
      </c>
      <c r="M1368" s="189" t="s">
        <v>484</v>
      </c>
      <c r="N1368" s="189" t="s">
        <v>1958</v>
      </c>
      <c r="O1368" s="189" t="s">
        <v>107</v>
      </c>
      <c r="P1368" s="189" t="s">
        <v>211</v>
      </c>
      <c r="Q1368" s="189" t="s">
        <v>112</v>
      </c>
      <c r="R1368" s="189" t="s">
        <v>22</v>
      </c>
      <c r="S1368" s="189" t="s">
        <v>120</v>
      </c>
      <c r="T1368" s="189" t="s">
        <v>228</v>
      </c>
      <c r="V1368" s="189" t="s">
        <v>192</v>
      </c>
      <c r="W1368" s="189" t="s">
        <v>124</v>
      </c>
      <c r="X1368" s="189" t="s">
        <v>148</v>
      </c>
      <c r="Y1368" s="189" t="s">
        <v>3064</v>
      </c>
      <c r="Z1368" s="0" t="n">
        <v>1</v>
      </c>
      <c r="AA1368" s="189" t="s">
        <v>3122</v>
      </c>
    </row>
    <row r="1369" customFormat="false" ht="15" hidden="false" customHeight="false" outlineLevel="0" collapsed="false">
      <c r="A1369" s="0" t="n">
        <v>292</v>
      </c>
      <c r="B1369" s="191" t="n">
        <v>46041.7547921703</v>
      </c>
      <c r="C1369" s="191" t="n">
        <v>46041.772245874</v>
      </c>
      <c r="D1369" s="189" t="s">
        <v>1955</v>
      </c>
      <c r="E1369" s="189" t="s">
        <v>1956</v>
      </c>
      <c r="F1369" s="189" t="s">
        <v>1956</v>
      </c>
      <c r="G1369" s="189" t="s">
        <v>1957</v>
      </c>
      <c r="H1369" s="191" t="n">
        <v>46027</v>
      </c>
      <c r="I1369" s="189" t="s">
        <v>325</v>
      </c>
      <c r="J1369" s="189" t="s">
        <v>128</v>
      </c>
      <c r="K1369" s="189" t="s">
        <v>232</v>
      </c>
      <c r="L1369" s="189" t="s">
        <v>346</v>
      </c>
      <c r="M1369" s="189" t="s">
        <v>484</v>
      </c>
      <c r="N1369" s="189" t="s">
        <v>1958</v>
      </c>
      <c r="O1369" s="189" t="s">
        <v>107</v>
      </c>
      <c r="P1369" s="189" t="s">
        <v>211</v>
      </c>
      <c r="Q1369" s="189" t="s">
        <v>112</v>
      </c>
      <c r="R1369" s="189" t="s">
        <v>22</v>
      </c>
      <c r="S1369" s="189" t="s">
        <v>120</v>
      </c>
      <c r="T1369" s="189" t="s">
        <v>228</v>
      </c>
      <c r="V1369" s="189" t="s">
        <v>192</v>
      </c>
      <c r="W1369" s="189" t="s">
        <v>124</v>
      </c>
      <c r="X1369" s="189" t="s">
        <v>148</v>
      </c>
      <c r="Y1369" s="189" t="s">
        <v>3064</v>
      </c>
      <c r="Z1369" s="0" t="n">
        <v>2</v>
      </c>
      <c r="AA1369" s="189" t="s">
        <v>3186</v>
      </c>
    </row>
    <row r="1370" customFormat="false" ht="15" hidden="false" customHeight="false" outlineLevel="0" collapsed="false">
      <c r="A1370" s="0" t="n">
        <v>292</v>
      </c>
      <c r="B1370" s="191" t="n">
        <v>46041.7547921703</v>
      </c>
      <c r="C1370" s="191" t="n">
        <v>46041.772245874</v>
      </c>
      <c r="D1370" s="189" t="s">
        <v>1955</v>
      </c>
      <c r="E1370" s="189" t="s">
        <v>1956</v>
      </c>
      <c r="F1370" s="189" t="s">
        <v>1956</v>
      </c>
      <c r="G1370" s="189" t="s">
        <v>1957</v>
      </c>
      <c r="H1370" s="191" t="n">
        <v>46027</v>
      </c>
      <c r="I1370" s="189" t="s">
        <v>325</v>
      </c>
      <c r="J1370" s="189" t="s">
        <v>128</v>
      </c>
      <c r="K1370" s="189" t="s">
        <v>232</v>
      </c>
      <c r="L1370" s="189" t="s">
        <v>346</v>
      </c>
      <c r="M1370" s="189" t="s">
        <v>484</v>
      </c>
      <c r="N1370" s="189" t="s">
        <v>1958</v>
      </c>
      <c r="O1370" s="189" t="s">
        <v>107</v>
      </c>
      <c r="P1370" s="189" t="s">
        <v>211</v>
      </c>
      <c r="Q1370" s="189" t="s">
        <v>112</v>
      </c>
      <c r="R1370" s="189" t="s">
        <v>22</v>
      </c>
      <c r="S1370" s="189" t="s">
        <v>120</v>
      </c>
      <c r="T1370" s="189" t="s">
        <v>228</v>
      </c>
      <c r="V1370" s="189" t="s">
        <v>192</v>
      </c>
      <c r="W1370" s="189" t="s">
        <v>124</v>
      </c>
      <c r="X1370" s="189" t="s">
        <v>148</v>
      </c>
      <c r="Y1370" s="189" t="s">
        <v>3066</v>
      </c>
      <c r="Z1370" s="0" t="n">
        <v>1</v>
      </c>
      <c r="AA1370" s="189" t="s">
        <v>122</v>
      </c>
    </row>
    <row r="1371" customFormat="false" ht="15" hidden="false" customHeight="false" outlineLevel="0" collapsed="false">
      <c r="A1371" s="0" t="n">
        <v>292</v>
      </c>
      <c r="B1371" s="191" t="n">
        <v>46041.7547921703</v>
      </c>
      <c r="C1371" s="191" t="n">
        <v>46041.772245874</v>
      </c>
      <c r="D1371" s="189" t="s">
        <v>1955</v>
      </c>
      <c r="E1371" s="189" t="s">
        <v>1956</v>
      </c>
      <c r="F1371" s="189" t="s">
        <v>1956</v>
      </c>
      <c r="G1371" s="189" t="s">
        <v>1957</v>
      </c>
      <c r="H1371" s="191" t="n">
        <v>46027</v>
      </c>
      <c r="I1371" s="189" t="s">
        <v>325</v>
      </c>
      <c r="J1371" s="189" t="s">
        <v>128</v>
      </c>
      <c r="K1371" s="189" t="s">
        <v>232</v>
      </c>
      <c r="L1371" s="189" t="s">
        <v>346</v>
      </c>
      <c r="M1371" s="189" t="s">
        <v>484</v>
      </c>
      <c r="N1371" s="189" t="s">
        <v>1958</v>
      </c>
      <c r="O1371" s="189" t="s">
        <v>107</v>
      </c>
      <c r="P1371" s="189" t="s">
        <v>211</v>
      </c>
      <c r="Q1371" s="189" t="s">
        <v>112</v>
      </c>
      <c r="R1371" s="189" t="s">
        <v>22</v>
      </c>
      <c r="S1371" s="189" t="s">
        <v>120</v>
      </c>
      <c r="T1371" s="189" t="s">
        <v>228</v>
      </c>
      <c r="V1371" s="189" t="s">
        <v>192</v>
      </c>
      <c r="W1371" s="189" t="s">
        <v>124</v>
      </c>
      <c r="X1371" s="189" t="s">
        <v>148</v>
      </c>
      <c r="Y1371" s="189" t="s">
        <v>3069</v>
      </c>
      <c r="Z1371" s="0" t="n">
        <v>1</v>
      </c>
      <c r="AA1371" s="189" t="s">
        <v>3188</v>
      </c>
    </row>
    <row r="1372" customFormat="false" ht="15" hidden="false" customHeight="false" outlineLevel="0" collapsed="false">
      <c r="A1372" s="0" t="n">
        <v>293</v>
      </c>
      <c r="B1372" s="191" t="n">
        <v>46170.2091131809</v>
      </c>
      <c r="C1372" s="191" t="n">
        <v>46170.2205483661</v>
      </c>
      <c r="D1372" s="189" t="s">
        <v>1959</v>
      </c>
      <c r="E1372" s="189" t="s">
        <v>1960</v>
      </c>
      <c r="F1372" s="189" t="s">
        <v>1960</v>
      </c>
      <c r="G1372" s="189" t="s">
        <v>1961</v>
      </c>
      <c r="H1372" s="191" t="n">
        <v>46166</v>
      </c>
      <c r="I1372" s="189" t="s">
        <v>132</v>
      </c>
      <c r="J1372" s="189" t="s">
        <v>108</v>
      </c>
      <c r="K1372" s="189" t="s">
        <v>462</v>
      </c>
      <c r="L1372" s="189" t="s">
        <v>210</v>
      </c>
      <c r="M1372" s="189" t="s">
        <v>736</v>
      </c>
      <c r="N1372" s="189" t="s">
        <v>653</v>
      </c>
      <c r="O1372" s="189" t="s">
        <v>172</v>
      </c>
      <c r="P1372" s="189" t="s">
        <v>111</v>
      </c>
      <c r="Q1372" s="189" t="s">
        <v>112</v>
      </c>
      <c r="R1372" s="189" t="s">
        <v>22</v>
      </c>
      <c r="S1372" s="189" t="s">
        <v>152</v>
      </c>
      <c r="T1372" s="189" t="s">
        <v>121</v>
      </c>
      <c r="V1372" s="189" t="s">
        <v>123</v>
      </c>
      <c r="W1372" s="189" t="s">
        <v>124</v>
      </c>
      <c r="X1372" s="189" t="s">
        <v>116</v>
      </c>
      <c r="Y1372" s="189" t="s">
        <v>3064</v>
      </c>
      <c r="Z1372" s="0" t="n">
        <v>1</v>
      </c>
      <c r="AA1372" s="189" t="s">
        <v>3139</v>
      </c>
    </row>
    <row r="1373" customFormat="false" ht="15" hidden="false" customHeight="false" outlineLevel="0" collapsed="false">
      <c r="A1373" s="0" t="n">
        <v>293</v>
      </c>
      <c r="B1373" s="191" t="n">
        <v>46170.2091131809</v>
      </c>
      <c r="C1373" s="191" t="n">
        <v>46170.2205483661</v>
      </c>
      <c r="D1373" s="189" t="s">
        <v>1959</v>
      </c>
      <c r="E1373" s="189" t="s">
        <v>1960</v>
      </c>
      <c r="F1373" s="189" t="s">
        <v>1960</v>
      </c>
      <c r="G1373" s="189" t="s">
        <v>1961</v>
      </c>
      <c r="H1373" s="191" t="n">
        <v>46166</v>
      </c>
      <c r="I1373" s="189" t="s">
        <v>132</v>
      </c>
      <c r="J1373" s="189" t="s">
        <v>108</v>
      </c>
      <c r="K1373" s="189" t="s">
        <v>462</v>
      </c>
      <c r="L1373" s="189" t="s">
        <v>210</v>
      </c>
      <c r="M1373" s="189" t="s">
        <v>736</v>
      </c>
      <c r="N1373" s="189" t="s">
        <v>653</v>
      </c>
      <c r="O1373" s="189" t="s">
        <v>172</v>
      </c>
      <c r="P1373" s="189" t="s">
        <v>111</v>
      </c>
      <c r="Q1373" s="189" t="s">
        <v>112</v>
      </c>
      <c r="R1373" s="189" t="s">
        <v>22</v>
      </c>
      <c r="S1373" s="189" t="s">
        <v>152</v>
      </c>
      <c r="T1373" s="189" t="s">
        <v>121</v>
      </c>
      <c r="V1373" s="189" t="s">
        <v>123</v>
      </c>
      <c r="W1373" s="189" t="s">
        <v>124</v>
      </c>
      <c r="X1373" s="189" t="s">
        <v>116</v>
      </c>
      <c r="Y1373" s="189" t="s">
        <v>3064</v>
      </c>
      <c r="Z1373" s="0" t="n">
        <v>2</v>
      </c>
      <c r="AA1373" s="189" t="s">
        <v>3107</v>
      </c>
    </row>
    <row r="1374" customFormat="false" ht="15" hidden="false" customHeight="false" outlineLevel="0" collapsed="false">
      <c r="A1374" s="0" t="n">
        <v>293</v>
      </c>
      <c r="B1374" s="191" t="n">
        <v>46170.2091131809</v>
      </c>
      <c r="C1374" s="191" t="n">
        <v>46170.2205483661</v>
      </c>
      <c r="D1374" s="189" t="s">
        <v>1959</v>
      </c>
      <c r="E1374" s="189" t="s">
        <v>1960</v>
      </c>
      <c r="F1374" s="189" t="s">
        <v>1960</v>
      </c>
      <c r="G1374" s="189" t="s">
        <v>1961</v>
      </c>
      <c r="H1374" s="191" t="n">
        <v>46166</v>
      </c>
      <c r="I1374" s="189" t="s">
        <v>132</v>
      </c>
      <c r="J1374" s="189" t="s">
        <v>108</v>
      </c>
      <c r="K1374" s="189" t="s">
        <v>462</v>
      </c>
      <c r="L1374" s="189" t="s">
        <v>210</v>
      </c>
      <c r="M1374" s="189" t="s">
        <v>736</v>
      </c>
      <c r="N1374" s="189" t="s">
        <v>653</v>
      </c>
      <c r="O1374" s="189" t="s">
        <v>172</v>
      </c>
      <c r="P1374" s="189" t="s">
        <v>111</v>
      </c>
      <c r="Q1374" s="189" t="s">
        <v>112</v>
      </c>
      <c r="R1374" s="189" t="s">
        <v>22</v>
      </c>
      <c r="S1374" s="189" t="s">
        <v>152</v>
      </c>
      <c r="T1374" s="189" t="s">
        <v>121</v>
      </c>
      <c r="V1374" s="189" t="s">
        <v>123</v>
      </c>
      <c r="W1374" s="189" t="s">
        <v>124</v>
      </c>
      <c r="X1374" s="189" t="s">
        <v>116</v>
      </c>
      <c r="Y1374" s="189" t="s">
        <v>3064</v>
      </c>
      <c r="Z1374" s="0" t="n">
        <v>3</v>
      </c>
      <c r="AA1374" s="189" t="s">
        <v>3065</v>
      </c>
    </row>
    <row r="1375" customFormat="false" ht="15" hidden="false" customHeight="false" outlineLevel="0" collapsed="false">
      <c r="A1375" s="0" t="n">
        <v>293</v>
      </c>
      <c r="B1375" s="191" t="n">
        <v>46170.2091131809</v>
      </c>
      <c r="C1375" s="191" t="n">
        <v>46170.2205483661</v>
      </c>
      <c r="D1375" s="189" t="s">
        <v>1959</v>
      </c>
      <c r="E1375" s="189" t="s">
        <v>1960</v>
      </c>
      <c r="F1375" s="189" t="s">
        <v>1960</v>
      </c>
      <c r="G1375" s="189" t="s">
        <v>1961</v>
      </c>
      <c r="H1375" s="191" t="n">
        <v>46166</v>
      </c>
      <c r="I1375" s="189" t="s">
        <v>132</v>
      </c>
      <c r="J1375" s="189" t="s">
        <v>108</v>
      </c>
      <c r="K1375" s="189" t="s">
        <v>462</v>
      </c>
      <c r="L1375" s="189" t="s">
        <v>210</v>
      </c>
      <c r="M1375" s="189" t="s">
        <v>736</v>
      </c>
      <c r="N1375" s="189" t="s">
        <v>653</v>
      </c>
      <c r="O1375" s="189" t="s">
        <v>172</v>
      </c>
      <c r="P1375" s="189" t="s">
        <v>111</v>
      </c>
      <c r="Q1375" s="189" t="s">
        <v>112</v>
      </c>
      <c r="R1375" s="189" t="s">
        <v>22</v>
      </c>
      <c r="S1375" s="189" t="s">
        <v>152</v>
      </c>
      <c r="T1375" s="189" t="s">
        <v>121</v>
      </c>
      <c r="V1375" s="189" t="s">
        <v>123</v>
      </c>
      <c r="W1375" s="189" t="s">
        <v>124</v>
      </c>
      <c r="X1375" s="189" t="s">
        <v>116</v>
      </c>
      <c r="Y1375" s="189" t="s">
        <v>3066</v>
      </c>
      <c r="Z1375" s="0" t="n">
        <v>1</v>
      </c>
      <c r="AA1375" s="189" t="s">
        <v>3211</v>
      </c>
    </row>
    <row r="1376" customFormat="false" ht="15" hidden="false" customHeight="false" outlineLevel="0" collapsed="false">
      <c r="A1376" s="0" t="n">
        <v>293</v>
      </c>
      <c r="B1376" s="191" t="n">
        <v>46170.2091131809</v>
      </c>
      <c r="C1376" s="191" t="n">
        <v>46170.2205483661</v>
      </c>
      <c r="D1376" s="189" t="s">
        <v>1959</v>
      </c>
      <c r="E1376" s="189" t="s">
        <v>1960</v>
      </c>
      <c r="F1376" s="189" t="s">
        <v>1960</v>
      </c>
      <c r="G1376" s="189" t="s">
        <v>1961</v>
      </c>
      <c r="H1376" s="191" t="n">
        <v>46166</v>
      </c>
      <c r="I1376" s="189" t="s">
        <v>132</v>
      </c>
      <c r="J1376" s="189" t="s">
        <v>108</v>
      </c>
      <c r="K1376" s="189" t="s">
        <v>462</v>
      </c>
      <c r="L1376" s="189" t="s">
        <v>210</v>
      </c>
      <c r="M1376" s="189" t="s">
        <v>736</v>
      </c>
      <c r="N1376" s="189" t="s">
        <v>653</v>
      </c>
      <c r="O1376" s="189" t="s">
        <v>172</v>
      </c>
      <c r="P1376" s="189" t="s">
        <v>111</v>
      </c>
      <c r="Q1376" s="189" t="s">
        <v>112</v>
      </c>
      <c r="R1376" s="189" t="s">
        <v>22</v>
      </c>
      <c r="S1376" s="189" t="s">
        <v>152</v>
      </c>
      <c r="T1376" s="189" t="s">
        <v>121</v>
      </c>
      <c r="V1376" s="189" t="s">
        <v>123</v>
      </c>
      <c r="W1376" s="189" t="s">
        <v>124</v>
      </c>
      <c r="X1376" s="189" t="s">
        <v>116</v>
      </c>
      <c r="Y1376" s="189" t="s">
        <v>3069</v>
      </c>
      <c r="Z1376" s="0" t="n">
        <v>1</v>
      </c>
      <c r="AA1376" s="189" t="s">
        <v>3070</v>
      </c>
    </row>
    <row r="1377" customFormat="false" ht="15" hidden="false" customHeight="false" outlineLevel="0" collapsed="false">
      <c r="A1377" s="0" t="n">
        <v>293</v>
      </c>
      <c r="B1377" s="191" t="n">
        <v>46170.2091131809</v>
      </c>
      <c r="C1377" s="191" t="n">
        <v>46170.2205483661</v>
      </c>
      <c r="D1377" s="189" t="s">
        <v>1959</v>
      </c>
      <c r="E1377" s="189" t="s">
        <v>1960</v>
      </c>
      <c r="F1377" s="189" t="s">
        <v>1960</v>
      </c>
      <c r="G1377" s="189" t="s">
        <v>1961</v>
      </c>
      <c r="H1377" s="191" t="n">
        <v>46166</v>
      </c>
      <c r="I1377" s="189" t="s">
        <v>132</v>
      </c>
      <c r="J1377" s="189" t="s">
        <v>108</v>
      </c>
      <c r="K1377" s="189" t="s">
        <v>462</v>
      </c>
      <c r="L1377" s="189" t="s">
        <v>210</v>
      </c>
      <c r="M1377" s="189" t="s">
        <v>736</v>
      </c>
      <c r="N1377" s="189" t="s">
        <v>653</v>
      </c>
      <c r="O1377" s="189" t="s">
        <v>172</v>
      </c>
      <c r="P1377" s="189" t="s">
        <v>111</v>
      </c>
      <c r="Q1377" s="189" t="s">
        <v>112</v>
      </c>
      <c r="R1377" s="189" t="s">
        <v>22</v>
      </c>
      <c r="S1377" s="189" t="s">
        <v>152</v>
      </c>
      <c r="T1377" s="189" t="s">
        <v>121</v>
      </c>
      <c r="V1377" s="189" t="s">
        <v>123</v>
      </c>
      <c r="W1377" s="189" t="s">
        <v>124</v>
      </c>
      <c r="X1377" s="189" t="s">
        <v>116</v>
      </c>
      <c r="Y1377" s="189" t="s">
        <v>3069</v>
      </c>
      <c r="Z1377" s="0" t="n">
        <v>2</v>
      </c>
      <c r="AA1377" s="189" t="s">
        <v>3140</v>
      </c>
    </row>
    <row r="1378" customFormat="false" ht="15" hidden="false" customHeight="false" outlineLevel="0" collapsed="false">
      <c r="A1378" s="0" t="n">
        <v>294</v>
      </c>
      <c r="B1378" s="191" t="n">
        <v>46077.8191926078</v>
      </c>
      <c r="C1378" s="191" t="n">
        <v>46077.8366694596</v>
      </c>
      <c r="D1378" s="189" t="s">
        <v>1963</v>
      </c>
      <c r="E1378" s="189" t="s">
        <v>1964</v>
      </c>
      <c r="F1378" s="189" t="s">
        <v>1964</v>
      </c>
      <c r="G1378" s="189" t="s">
        <v>1965</v>
      </c>
      <c r="H1378" s="191" t="n">
        <v>46074</v>
      </c>
      <c r="I1378" s="189" t="s">
        <v>113</v>
      </c>
      <c r="J1378" s="189" t="s">
        <v>108</v>
      </c>
      <c r="K1378" s="189" t="s">
        <v>1966</v>
      </c>
      <c r="L1378" s="189" t="s">
        <v>246</v>
      </c>
      <c r="M1378" s="189" t="s">
        <v>477</v>
      </c>
      <c r="N1378" s="189" t="s">
        <v>665</v>
      </c>
      <c r="O1378" s="189" t="s">
        <v>172</v>
      </c>
      <c r="P1378" s="189" t="s">
        <v>111</v>
      </c>
      <c r="Q1378" s="189" t="s">
        <v>112</v>
      </c>
      <c r="R1378" s="189" t="s">
        <v>22</v>
      </c>
      <c r="S1378" s="189" t="s">
        <v>152</v>
      </c>
      <c r="T1378" s="189" t="s">
        <v>121</v>
      </c>
      <c r="V1378" s="189" t="s">
        <v>192</v>
      </c>
      <c r="W1378" s="189" t="s">
        <v>124</v>
      </c>
      <c r="X1378" s="189" t="s">
        <v>135</v>
      </c>
      <c r="Y1378" s="189" t="s">
        <v>3064</v>
      </c>
      <c r="Z1378" s="0" t="n">
        <v>1</v>
      </c>
      <c r="AA1378" s="189" t="s">
        <v>3201</v>
      </c>
    </row>
    <row r="1379" customFormat="false" ht="15" hidden="false" customHeight="false" outlineLevel="0" collapsed="false">
      <c r="A1379" s="0" t="n">
        <v>294</v>
      </c>
      <c r="B1379" s="191" t="n">
        <v>46077.8191926078</v>
      </c>
      <c r="C1379" s="191" t="n">
        <v>46077.8366694596</v>
      </c>
      <c r="D1379" s="189" t="s">
        <v>1963</v>
      </c>
      <c r="E1379" s="189" t="s">
        <v>1964</v>
      </c>
      <c r="F1379" s="189" t="s">
        <v>1964</v>
      </c>
      <c r="G1379" s="189" t="s">
        <v>1965</v>
      </c>
      <c r="H1379" s="191" t="n">
        <v>46074</v>
      </c>
      <c r="I1379" s="189" t="s">
        <v>113</v>
      </c>
      <c r="J1379" s="189" t="s">
        <v>108</v>
      </c>
      <c r="K1379" s="189" t="s">
        <v>1966</v>
      </c>
      <c r="L1379" s="189" t="s">
        <v>246</v>
      </c>
      <c r="M1379" s="189" t="s">
        <v>477</v>
      </c>
      <c r="N1379" s="189" t="s">
        <v>665</v>
      </c>
      <c r="O1379" s="189" t="s">
        <v>172</v>
      </c>
      <c r="P1379" s="189" t="s">
        <v>111</v>
      </c>
      <c r="Q1379" s="189" t="s">
        <v>112</v>
      </c>
      <c r="R1379" s="189" t="s">
        <v>22</v>
      </c>
      <c r="S1379" s="189" t="s">
        <v>152</v>
      </c>
      <c r="T1379" s="189" t="s">
        <v>121</v>
      </c>
      <c r="V1379" s="189" t="s">
        <v>192</v>
      </c>
      <c r="W1379" s="189" t="s">
        <v>124</v>
      </c>
      <c r="X1379" s="189" t="s">
        <v>135</v>
      </c>
      <c r="Y1379" s="189" t="s">
        <v>3064</v>
      </c>
      <c r="Z1379" s="0" t="n">
        <v>2</v>
      </c>
      <c r="AA1379" s="189" t="s">
        <v>3183</v>
      </c>
    </row>
    <row r="1380" customFormat="false" ht="15" hidden="false" customHeight="false" outlineLevel="0" collapsed="false">
      <c r="A1380" s="0" t="n">
        <v>294</v>
      </c>
      <c r="B1380" s="191" t="n">
        <v>46077.8191926078</v>
      </c>
      <c r="C1380" s="191" t="n">
        <v>46077.8366694596</v>
      </c>
      <c r="D1380" s="189" t="s">
        <v>1963</v>
      </c>
      <c r="E1380" s="189" t="s">
        <v>1964</v>
      </c>
      <c r="F1380" s="189" t="s">
        <v>1964</v>
      </c>
      <c r="G1380" s="189" t="s">
        <v>1965</v>
      </c>
      <c r="H1380" s="191" t="n">
        <v>46074</v>
      </c>
      <c r="I1380" s="189" t="s">
        <v>113</v>
      </c>
      <c r="J1380" s="189" t="s">
        <v>108</v>
      </c>
      <c r="K1380" s="189" t="s">
        <v>1966</v>
      </c>
      <c r="L1380" s="189" t="s">
        <v>246</v>
      </c>
      <c r="M1380" s="189" t="s">
        <v>477</v>
      </c>
      <c r="N1380" s="189" t="s">
        <v>665</v>
      </c>
      <c r="O1380" s="189" t="s">
        <v>172</v>
      </c>
      <c r="P1380" s="189" t="s">
        <v>111</v>
      </c>
      <c r="Q1380" s="189" t="s">
        <v>112</v>
      </c>
      <c r="R1380" s="189" t="s">
        <v>22</v>
      </c>
      <c r="S1380" s="189" t="s">
        <v>152</v>
      </c>
      <c r="T1380" s="189" t="s">
        <v>121</v>
      </c>
      <c r="V1380" s="189" t="s">
        <v>192</v>
      </c>
      <c r="W1380" s="189" t="s">
        <v>124</v>
      </c>
      <c r="X1380" s="189" t="s">
        <v>135</v>
      </c>
      <c r="Y1380" s="189" t="s">
        <v>3066</v>
      </c>
      <c r="Z1380" s="0" t="n">
        <v>1</v>
      </c>
      <c r="AA1380" s="189" t="s">
        <v>3185</v>
      </c>
    </row>
    <row r="1381" customFormat="false" ht="15" hidden="false" customHeight="false" outlineLevel="0" collapsed="false">
      <c r="A1381" s="0" t="n">
        <v>294</v>
      </c>
      <c r="B1381" s="191" t="n">
        <v>46077.8191926078</v>
      </c>
      <c r="C1381" s="191" t="n">
        <v>46077.8366694596</v>
      </c>
      <c r="D1381" s="189" t="s">
        <v>1963</v>
      </c>
      <c r="E1381" s="189" t="s">
        <v>1964</v>
      </c>
      <c r="F1381" s="189" t="s">
        <v>1964</v>
      </c>
      <c r="G1381" s="189" t="s">
        <v>1965</v>
      </c>
      <c r="H1381" s="191" t="n">
        <v>46074</v>
      </c>
      <c r="I1381" s="189" t="s">
        <v>113</v>
      </c>
      <c r="J1381" s="189" t="s">
        <v>108</v>
      </c>
      <c r="K1381" s="189" t="s">
        <v>1966</v>
      </c>
      <c r="L1381" s="189" t="s">
        <v>246</v>
      </c>
      <c r="M1381" s="189" t="s">
        <v>477</v>
      </c>
      <c r="N1381" s="189" t="s">
        <v>665</v>
      </c>
      <c r="O1381" s="189" t="s">
        <v>172</v>
      </c>
      <c r="P1381" s="189" t="s">
        <v>111</v>
      </c>
      <c r="Q1381" s="189" t="s">
        <v>112</v>
      </c>
      <c r="R1381" s="189" t="s">
        <v>22</v>
      </c>
      <c r="S1381" s="189" t="s">
        <v>152</v>
      </c>
      <c r="T1381" s="189" t="s">
        <v>121</v>
      </c>
      <c r="V1381" s="189" t="s">
        <v>192</v>
      </c>
      <c r="W1381" s="189" t="s">
        <v>124</v>
      </c>
      <c r="X1381" s="189" t="s">
        <v>135</v>
      </c>
      <c r="Y1381" s="189" t="s">
        <v>3069</v>
      </c>
      <c r="Z1381" s="0" t="n">
        <v>1</v>
      </c>
      <c r="AA1381" s="189" t="s">
        <v>3152</v>
      </c>
    </row>
    <row r="1382" customFormat="false" ht="15" hidden="false" customHeight="false" outlineLevel="0" collapsed="false">
      <c r="A1382" s="0" t="n">
        <v>295</v>
      </c>
      <c r="B1382" s="191" t="n">
        <v>46133.4673176642</v>
      </c>
      <c r="C1382" s="191" t="n">
        <v>46133.4812412753</v>
      </c>
      <c r="D1382" s="189" t="s">
        <v>1969</v>
      </c>
      <c r="E1382" s="189" t="s">
        <v>1970</v>
      </c>
      <c r="F1382" s="189" t="s">
        <v>1970</v>
      </c>
      <c r="G1382" s="189" t="s">
        <v>1971</v>
      </c>
      <c r="H1382" s="191" t="n">
        <v>46120</v>
      </c>
      <c r="I1382" s="189" t="s">
        <v>113</v>
      </c>
      <c r="J1382" s="189" t="s">
        <v>108</v>
      </c>
      <c r="K1382" s="189" t="s">
        <v>1972</v>
      </c>
      <c r="L1382" s="189" t="s">
        <v>346</v>
      </c>
      <c r="M1382" s="189" t="s">
        <v>1074</v>
      </c>
      <c r="N1382" s="189" t="s">
        <v>1255</v>
      </c>
      <c r="O1382" s="189" t="s">
        <v>107</v>
      </c>
      <c r="P1382" s="189" t="s">
        <v>111</v>
      </c>
      <c r="Q1382" s="189" t="s">
        <v>112</v>
      </c>
      <c r="R1382" s="189" t="s">
        <v>22</v>
      </c>
      <c r="S1382" s="189" t="s">
        <v>152</v>
      </c>
      <c r="T1382" s="189" t="s">
        <v>264</v>
      </c>
      <c r="U1382" s="189" t="s">
        <v>785</v>
      </c>
      <c r="V1382" s="189" t="s">
        <v>123</v>
      </c>
      <c r="W1382" s="189" t="s">
        <v>124</v>
      </c>
      <c r="X1382" s="189" t="s">
        <v>715</v>
      </c>
      <c r="Y1382" s="189" t="s">
        <v>3064</v>
      </c>
      <c r="Z1382" s="0" t="n">
        <v>1</v>
      </c>
      <c r="AA1382" s="189" t="s">
        <v>3225</v>
      </c>
    </row>
    <row r="1383" customFormat="false" ht="15" hidden="false" customHeight="false" outlineLevel="0" collapsed="false">
      <c r="A1383" s="0" t="n">
        <v>295</v>
      </c>
      <c r="B1383" s="191" t="n">
        <v>46133.4673176642</v>
      </c>
      <c r="C1383" s="191" t="n">
        <v>46133.4812412753</v>
      </c>
      <c r="D1383" s="189" t="s">
        <v>1969</v>
      </c>
      <c r="E1383" s="189" t="s">
        <v>1970</v>
      </c>
      <c r="F1383" s="189" t="s">
        <v>1970</v>
      </c>
      <c r="G1383" s="189" t="s">
        <v>1971</v>
      </c>
      <c r="H1383" s="191" t="n">
        <v>46120</v>
      </c>
      <c r="I1383" s="189" t="s">
        <v>113</v>
      </c>
      <c r="J1383" s="189" t="s">
        <v>108</v>
      </c>
      <c r="K1383" s="189" t="s">
        <v>1972</v>
      </c>
      <c r="L1383" s="189" t="s">
        <v>346</v>
      </c>
      <c r="M1383" s="189" t="s">
        <v>1074</v>
      </c>
      <c r="N1383" s="189" t="s">
        <v>1255</v>
      </c>
      <c r="O1383" s="189" t="s">
        <v>107</v>
      </c>
      <c r="P1383" s="189" t="s">
        <v>111</v>
      </c>
      <c r="Q1383" s="189" t="s">
        <v>112</v>
      </c>
      <c r="R1383" s="189" t="s">
        <v>22</v>
      </c>
      <c r="S1383" s="189" t="s">
        <v>152</v>
      </c>
      <c r="T1383" s="189" t="s">
        <v>264</v>
      </c>
      <c r="U1383" s="189" t="s">
        <v>785</v>
      </c>
      <c r="V1383" s="189" t="s">
        <v>123</v>
      </c>
      <c r="W1383" s="189" t="s">
        <v>124</v>
      </c>
      <c r="X1383" s="189" t="s">
        <v>715</v>
      </c>
      <c r="Y1383" s="189" t="s">
        <v>3066</v>
      </c>
      <c r="Z1383" s="0" t="n">
        <v>1</v>
      </c>
      <c r="AA1383" s="189" t="s">
        <v>3231</v>
      </c>
    </row>
    <row r="1384" customFormat="false" ht="15" hidden="false" customHeight="false" outlineLevel="0" collapsed="false">
      <c r="A1384" s="0" t="n">
        <v>295</v>
      </c>
      <c r="B1384" s="191" t="n">
        <v>46133.4673176642</v>
      </c>
      <c r="C1384" s="191" t="n">
        <v>46133.4812412753</v>
      </c>
      <c r="D1384" s="189" t="s">
        <v>1969</v>
      </c>
      <c r="E1384" s="189" t="s">
        <v>1970</v>
      </c>
      <c r="F1384" s="189" t="s">
        <v>1970</v>
      </c>
      <c r="G1384" s="189" t="s">
        <v>1971</v>
      </c>
      <c r="H1384" s="191" t="n">
        <v>46120</v>
      </c>
      <c r="I1384" s="189" t="s">
        <v>113</v>
      </c>
      <c r="J1384" s="189" t="s">
        <v>108</v>
      </c>
      <c r="K1384" s="189" t="s">
        <v>1972</v>
      </c>
      <c r="L1384" s="189" t="s">
        <v>346</v>
      </c>
      <c r="M1384" s="189" t="s">
        <v>1074</v>
      </c>
      <c r="N1384" s="189" t="s">
        <v>1255</v>
      </c>
      <c r="O1384" s="189" t="s">
        <v>107</v>
      </c>
      <c r="P1384" s="189" t="s">
        <v>111</v>
      </c>
      <c r="Q1384" s="189" t="s">
        <v>112</v>
      </c>
      <c r="R1384" s="189" t="s">
        <v>22</v>
      </c>
      <c r="S1384" s="189" t="s">
        <v>152</v>
      </c>
      <c r="T1384" s="189" t="s">
        <v>264</v>
      </c>
      <c r="U1384" s="189" t="s">
        <v>785</v>
      </c>
      <c r="V1384" s="189" t="s">
        <v>123</v>
      </c>
      <c r="W1384" s="189" t="s">
        <v>124</v>
      </c>
      <c r="X1384" s="189" t="s">
        <v>715</v>
      </c>
      <c r="Y1384" s="189" t="s">
        <v>3066</v>
      </c>
      <c r="Z1384" s="0" t="n">
        <v>2</v>
      </c>
      <c r="AA1384" s="189" t="s">
        <v>2531</v>
      </c>
    </row>
    <row r="1385" customFormat="false" ht="15" hidden="false" customHeight="false" outlineLevel="0" collapsed="false">
      <c r="A1385" s="0" t="n">
        <v>295</v>
      </c>
      <c r="B1385" s="191" t="n">
        <v>46133.4673176642</v>
      </c>
      <c r="C1385" s="191" t="n">
        <v>46133.4812412753</v>
      </c>
      <c r="D1385" s="189" t="s">
        <v>1969</v>
      </c>
      <c r="E1385" s="189" t="s">
        <v>1970</v>
      </c>
      <c r="F1385" s="189" t="s">
        <v>1970</v>
      </c>
      <c r="G1385" s="189" t="s">
        <v>1971</v>
      </c>
      <c r="H1385" s="191" t="n">
        <v>46120</v>
      </c>
      <c r="I1385" s="189" t="s">
        <v>113</v>
      </c>
      <c r="J1385" s="189" t="s">
        <v>108</v>
      </c>
      <c r="K1385" s="189" t="s">
        <v>1972</v>
      </c>
      <c r="L1385" s="189" t="s">
        <v>346</v>
      </c>
      <c r="M1385" s="189" t="s">
        <v>1074</v>
      </c>
      <c r="N1385" s="189" t="s">
        <v>1255</v>
      </c>
      <c r="O1385" s="189" t="s">
        <v>107</v>
      </c>
      <c r="P1385" s="189" t="s">
        <v>111</v>
      </c>
      <c r="Q1385" s="189" t="s">
        <v>112</v>
      </c>
      <c r="R1385" s="189" t="s">
        <v>22</v>
      </c>
      <c r="S1385" s="189" t="s">
        <v>152</v>
      </c>
      <c r="T1385" s="189" t="s">
        <v>264</v>
      </c>
      <c r="U1385" s="189" t="s">
        <v>785</v>
      </c>
      <c r="V1385" s="189" t="s">
        <v>123</v>
      </c>
      <c r="W1385" s="189" t="s">
        <v>124</v>
      </c>
      <c r="X1385" s="189" t="s">
        <v>715</v>
      </c>
      <c r="Y1385" s="189" t="s">
        <v>3069</v>
      </c>
      <c r="Z1385" s="0" t="n">
        <v>1</v>
      </c>
      <c r="AA1385" s="189" t="s">
        <v>3256</v>
      </c>
    </row>
    <row r="1386" customFormat="false" ht="15" hidden="false" customHeight="false" outlineLevel="0" collapsed="false">
      <c r="A1386" s="0" t="n">
        <v>295</v>
      </c>
      <c r="B1386" s="191" t="n">
        <v>46133.4673176642</v>
      </c>
      <c r="C1386" s="191" t="n">
        <v>46133.4812412753</v>
      </c>
      <c r="D1386" s="189" t="s">
        <v>1969</v>
      </c>
      <c r="E1386" s="189" t="s">
        <v>1970</v>
      </c>
      <c r="F1386" s="189" t="s">
        <v>1970</v>
      </c>
      <c r="G1386" s="189" t="s">
        <v>1971</v>
      </c>
      <c r="H1386" s="191" t="n">
        <v>46120</v>
      </c>
      <c r="I1386" s="189" t="s">
        <v>113</v>
      </c>
      <c r="J1386" s="189" t="s">
        <v>108</v>
      </c>
      <c r="K1386" s="189" t="s">
        <v>1972</v>
      </c>
      <c r="L1386" s="189" t="s">
        <v>346</v>
      </c>
      <c r="M1386" s="189" t="s">
        <v>1074</v>
      </c>
      <c r="N1386" s="189" t="s">
        <v>1255</v>
      </c>
      <c r="O1386" s="189" t="s">
        <v>107</v>
      </c>
      <c r="P1386" s="189" t="s">
        <v>111</v>
      </c>
      <c r="Q1386" s="189" t="s">
        <v>112</v>
      </c>
      <c r="R1386" s="189" t="s">
        <v>22</v>
      </c>
      <c r="S1386" s="189" t="s">
        <v>152</v>
      </c>
      <c r="T1386" s="189" t="s">
        <v>264</v>
      </c>
      <c r="U1386" s="189" t="s">
        <v>785</v>
      </c>
      <c r="V1386" s="189" t="s">
        <v>123</v>
      </c>
      <c r="W1386" s="189" t="s">
        <v>124</v>
      </c>
      <c r="X1386" s="189" t="s">
        <v>715</v>
      </c>
      <c r="Y1386" s="189" t="s">
        <v>3069</v>
      </c>
      <c r="Z1386" s="0" t="n">
        <v>2</v>
      </c>
      <c r="AA1386" s="189" t="s">
        <v>3285</v>
      </c>
    </row>
    <row r="1387" customFormat="false" ht="15" hidden="false" customHeight="false" outlineLevel="0" collapsed="false">
      <c r="A1387" s="0" t="n">
        <v>297</v>
      </c>
      <c r="B1387" s="191" t="n">
        <v>46178.2021424875</v>
      </c>
      <c r="C1387" s="191" t="n">
        <v>46178.2038438763</v>
      </c>
      <c r="D1387" s="189" t="s">
        <v>1981</v>
      </c>
      <c r="E1387" s="189" t="s">
        <v>1982</v>
      </c>
      <c r="F1387" s="189" t="s">
        <v>1982</v>
      </c>
      <c r="G1387" s="189" t="s">
        <v>1983</v>
      </c>
      <c r="H1387" s="191" t="n">
        <v>46177</v>
      </c>
      <c r="I1387" s="189" t="s">
        <v>113</v>
      </c>
      <c r="J1387" s="189" t="s">
        <v>108</v>
      </c>
      <c r="K1387" s="189" t="s">
        <v>173</v>
      </c>
      <c r="L1387" s="189" t="s">
        <v>159</v>
      </c>
      <c r="M1387" s="189" t="s">
        <v>1074</v>
      </c>
      <c r="N1387" s="189" t="s">
        <v>758</v>
      </c>
      <c r="O1387" s="189" t="s">
        <v>244</v>
      </c>
      <c r="P1387" s="189" t="s">
        <v>111</v>
      </c>
      <c r="Q1387" s="189" t="s">
        <v>112</v>
      </c>
      <c r="R1387" s="189" t="s">
        <v>22</v>
      </c>
      <c r="S1387" s="189" t="s">
        <v>152</v>
      </c>
      <c r="T1387" s="189" t="s">
        <v>352</v>
      </c>
      <c r="U1387" s="189" t="s">
        <v>239</v>
      </c>
      <c r="V1387" s="189" t="s">
        <v>192</v>
      </c>
      <c r="W1387" s="189" t="s">
        <v>124</v>
      </c>
      <c r="X1387" s="189" t="s">
        <v>116</v>
      </c>
      <c r="Y1387" s="189" t="s">
        <v>3064</v>
      </c>
      <c r="Z1387" s="0" t="n">
        <v>1</v>
      </c>
      <c r="AA1387" s="189" t="s">
        <v>3107</v>
      </c>
    </row>
    <row r="1388" customFormat="false" ht="15" hidden="false" customHeight="false" outlineLevel="0" collapsed="false">
      <c r="A1388" s="0" t="n">
        <v>297</v>
      </c>
      <c r="B1388" s="191" t="n">
        <v>46178.2021424875</v>
      </c>
      <c r="C1388" s="191" t="n">
        <v>46178.2038438763</v>
      </c>
      <c r="D1388" s="189" t="s">
        <v>1981</v>
      </c>
      <c r="E1388" s="189" t="s">
        <v>1982</v>
      </c>
      <c r="F1388" s="189" t="s">
        <v>1982</v>
      </c>
      <c r="G1388" s="189" t="s">
        <v>1983</v>
      </c>
      <c r="H1388" s="191" t="n">
        <v>46177</v>
      </c>
      <c r="I1388" s="189" t="s">
        <v>113</v>
      </c>
      <c r="J1388" s="189" t="s">
        <v>108</v>
      </c>
      <c r="K1388" s="189" t="s">
        <v>173</v>
      </c>
      <c r="L1388" s="189" t="s">
        <v>159</v>
      </c>
      <c r="M1388" s="189" t="s">
        <v>1074</v>
      </c>
      <c r="N1388" s="189" t="s">
        <v>758</v>
      </c>
      <c r="O1388" s="189" t="s">
        <v>244</v>
      </c>
      <c r="P1388" s="189" t="s">
        <v>111</v>
      </c>
      <c r="Q1388" s="189" t="s">
        <v>112</v>
      </c>
      <c r="R1388" s="189" t="s">
        <v>22</v>
      </c>
      <c r="S1388" s="189" t="s">
        <v>152</v>
      </c>
      <c r="T1388" s="189" t="s">
        <v>352</v>
      </c>
      <c r="U1388" s="189" t="s">
        <v>239</v>
      </c>
      <c r="V1388" s="189" t="s">
        <v>192</v>
      </c>
      <c r="W1388" s="189" t="s">
        <v>124</v>
      </c>
      <c r="X1388" s="189" t="s">
        <v>116</v>
      </c>
      <c r="Y1388" s="189" t="s">
        <v>3066</v>
      </c>
      <c r="Z1388" s="0" t="n">
        <v>1</v>
      </c>
      <c r="AA1388" s="189" t="s">
        <v>122</v>
      </c>
    </row>
    <row r="1389" customFormat="false" ht="15" hidden="false" customHeight="false" outlineLevel="0" collapsed="false">
      <c r="A1389" s="0" t="n">
        <v>297</v>
      </c>
      <c r="B1389" s="191" t="n">
        <v>46178.2021424875</v>
      </c>
      <c r="C1389" s="191" t="n">
        <v>46178.2038438763</v>
      </c>
      <c r="D1389" s="189" t="s">
        <v>1981</v>
      </c>
      <c r="E1389" s="189" t="s">
        <v>1982</v>
      </c>
      <c r="F1389" s="189" t="s">
        <v>1982</v>
      </c>
      <c r="G1389" s="189" t="s">
        <v>1983</v>
      </c>
      <c r="H1389" s="191" t="n">
        <v>46177</v>
      </c>
      <c r="I1389" s="189" t="s">
        <v>113</v>
      </c>
      <c r="J1389" s="189" t="s">
        <v>108</v>
      </c>
      <c r="K1389" s="189" t="s">
        <v>173</v>
      </c>
      <c r="L1389" s="189" t="s">
        <v>159</v>
      </c>
      <c r="M1389" s="189" t="s">
        <v>1074</v>
      </c>
      <c r="N1389" s="189" t="s">
        <v>758</v>
      </c>
      <c r="O1389" s="189" t="s">
        <v>244</v>
      </c>
      <c r="P1389" s="189" t="s">
        <v>111</v>
      </c>
      <c r="Q1389" s="189" t="s">
        <v>112</v>
      </c>
      <c r="R1389" s="189" t="s">
        <v>22</v>
      </c>
      <c r="S1389" s="189" t="s">
        <v>152</v>
      </c>
      <c r="T1389" s="189" t="s">
        <v>352</v>
      </c>
      <c r="U1389" s="189" t="s">
        <v>239</v>
      </c>
      <c r="V1389" s="189" t="s">
        <v>192</v>
      </c>
      <c r="W1389" s="189" t="s">
        <v>124</v>
      </c>
      <c r="X1389" s="189" t="s">
        <v>116</v>
      </c>
      <c r="Y1389" s="189" t="s">
        <v>3066</v>
      </c>
      <c r="Z1389" s="0" t="n">
        <v>2</v>
      </c>
      <c r="AA1389" s="189" t="s">
        <v>3082</v>
      </c>
    </row>
    <row r="1390" customFormat="false" ht="15" hidden="false" customHeight="false" outlineLevel="0" collapsed="false">
      <c r="A1390" s="0" t="n">
        <v>297</v>
      </c>
      <c r="B1390" s="191" t="n">
        <v>46178.2021424875</v>
      </c>
      <c r="C1390" s="191" t="n">
        <v>46178.2038438763</v>
      </c>
      <c r="D1390" s="189" t="s">
        <v>1981</v>
      </c>
      <c r="E1390" s="189" t="s">
        <v>1982</v>
      </c>
      <c r="F1390" s="189" t="s">
        <v>1982</v>
      </c>
      <c r="G1390" s="189" t="s">
        <v>1983</v>
      </c>
      <c r="H1390" s="191" t="n">
        <v>46177</v>
      </c>
      <c r="I1390" s="189" t="s">
        <v>113</v>
      </c>
      <c r="J1390" s="189" t="s">
        <v>108</v>
      </c>
      <c r="K1390" s="189" t="s">
        <v>173</v>
      </c>
      <c r="L1390" s="189" t="s">
        <v>159</v>
      </c>
      <c r="M1390" s="189" t="s">
        <v>1074</v>
      </c>
      <c r="N1390" s="189" t="s">
        <v>758</v>
      </c>
      <c r="O1390" s="189" t="s">
        <v>244</v>
      </c>
      <c r="P1390" s="189" t="s">
        <v>111</v>
      </c>
      <c r="Q1390" s="189" t="s">
        <v>112</v>
      </c>
      <c r="R1390" s="189" t="s">
        <v>22</v>
      </c>
      <c r="S1390" s="189" t="s">
        <v>152</v>
      </c>
      <c r="T1390" s="189" t="s">
        <v>352</v>
      </c>
      <c r="U1390" s="189" t="s">
        <v>239</v>
      </c>
      <c r="V1390" s="189" t="s">
        <v>192</v>
      </c>
      <c r="W1390" s="189" t="s">
        <v>124</v>
      </c>
      <c r="X1390" s="189" t="s">
        <v>116</v>
      </c>
      <c r="Y1390" s="189" t="s">
        <v>3069</v>
      </c>
      <c r="Z1390" s="0" t="n">
        <v>1</v>
      </c>
      <c r="AA1390" s="189" t="s">
        <v>3083</v>
      </c>
    </row>
    <row r="1391" customFormat="false" ht="15" hidden="false" customHeight="false" outlineLevel="0" collapsed="false">
      <c r="A1391" s="0" t="n">
        <v>298</v>
      </c>
      <c r="B1391" s="191" t="n">
        <v>46127.8767015996</v>
      </c>
      <c r="C1391" s="191" t="n">
        <v>46127.8809377107</v>
      </c>
      <c r="D1391" s="189" t="s">
        <v>1985</v>
      </c>
      <c r="E1391" s="189" t="s">
        <v>1986</v>
      </c>
      <c r="F1391" s="189" t="s">
        <v>1986</v>
      </c>
      <c r="G1391" s="189" t="s">
        <v>1987</v>
      </c>
      <c r="H1391" s="191" t="n">
        <v>46119</v>
      </c>
      <c r="I1391" s="189" t="s">
        <v>113</v>
      </c>
      <c r="J1391" s="189" t="s">
        <v>128</v>
      </c>
      <c r="K1391" s="189" t="s">
        <v>143</v>
      </c>
      <c r="L1391" s="189" t="s">
        <v>110</v>
      </c>
      <c r="M1391" s="189" t="s">
        <v>397</v>
      </c>
      <c r="N1391" s="189" t="s">
        <v>990</v>
      </c>
      <c r="O1391" s="189" t="s">
        <v>1949</v>
      </c>
      <c r="P1391" s="189" t="s">
        <v>131</v>
      </c>
      <c r="Q1391" s="189" t="s">
        <v>112</v>
      </c>
      <c r="R1391" s="189" t="s">
        <v>25</v>
      </c>
      <c r="S1391" s="189" t="s">
        <v>152</v>
      </c>
      <c r="T1391" s="189" t="s">
        <v>121</v>
      </c>
      <c r="U1391" s="189" t="s">
        <v>1032</v>
      </c>
      <c r="V1391" s="189" t="s">
        <v>123</v>
      </c>
      <c r="W1391" s="189" t="s">
        <v>168</v>
      </c>
      <c r="X1391" s="189" t="s">
        <v>327</v>
      </c>
      <c r="Y1391" s="189" t="s">
        <v>3064</v>
      </c>
      <c r="Z1391" s="0" t="n">
        <v>1</v>
      </c>
      <c r="AA1391" s="189" t="s">
        <v>3095</v>
      </c>
    </row>
    <row r="1392" customFormat="false" ht="15" hidden="false" customHeight="false" outlineLevel="0" collapsed="false">
      <c r="A1392" s="0" t="n">
        <v>298</v>
      </c>
      <c r="B1392" s="191" t="n">
        <v>46127.8767015996</v>
      </c>
      <c r="C1392" s="191" t="n">
        <v>46127.8809377107</v>
      </c>
      <c r="D1392" s="189" t="s">
        <v>1985</v>
      </c>
      <c r="E1392" s="189" t="s">
        <v>1986</v>
      </c>
      <c r="F1392" s="189" t="s">
        <v>1986</v>
      </c>
      <c r="G1392" s="189" t="s">
        <v>1987</v>
      </c>
      <c r="H1392" s="191" t="n">
        <v>46119</v>
      </c>
      <c r="I1392" s="189" t="s">
        <v>113</v>
      </c>
      <c r="J1392" s="189" t="s">
        <v>128</v>
      </c>
      <c r="K1392" s="189" t="s">
        <v>143</v>
      </c>
      <c r="L1392" s="189" t="s">
        <v>110</v>
      </c>
      <c r="M1392" s="189" t="s">
        <v>397</v>
      </c>
      <c r="N1392" s="189" t="s">
        <v>990</v>
      </c>
      <c r="O1392" s="189" t="s">
        <v>1949</v>
      </c>
      <c r="P1392" s="189" t="s">
        <v>131</v>
      </c>
      <c r="Q1392" s="189" t="s">
        <v>112</v>
      </c>
      <c r="R1392" s="189" t="s">
        <v>25</v>
      </c>
      <c r="S1392" s="189" t="s">
        <v>152</v>
      </c>
      <c r="T1392" s="189" t="s">
        <v>121</v>
      </c>
      <c r="U1392" s="189" t="s">
        <v>1032</v>
      </c>
      <c r="V1392" s="189" t="s">
        <v>123</v>
      </c>
      <c r="W1392" s="189" t="s">
        <v>168</v>
      </c>
      <c r="X1392" s="189" t="s">
        <v>327</v>
      </c>
      <c r="Y1392" s="189" t="s">
        <v>3064</v>
      </c>
      <c r="Z1392" s="0" t="n">
        <v>2</v>
      </c>
      <c r="AA1392" s="189" t="s">
        <v>3065</v>
      </c>
    </row>
    <row r="1393" customFormat="false" ht="15" hidden="false" customHeight="false" outlineLevel="0" collapsed="false">
      <c r="A1393" s="0" t="n">
        <v>298</v>
      </c>
      <c r="B1393" s="191" t="n">
        <v>46127.8767015996</v>
      </c>
      <c r="C1393" s="191" t="n">
        <v>46127.8809377107</v>
      </c>
      <c r="D1393" s="189" t="s">
        <v>1985</v>
      </c>
      <c r="E1393" s="189" t="s">
        <v>1986</v>
      </c>
      <c r="F1393" s="189" t="s">
        <v>1986</v>
      </c>
      <c r="G1393" s="189" t="s">
        <v>1987</v>
      </c>
      <c r="H1393" s="191" t="n">
        <v>46119</v>
      </c>
      <c r="I1393" s="189" t="s">
        <v>113</v>
      </c>
      <c r="J1393" s="189" t="s">
        <v>128</v>
      </c>
      <c r="K1393" s="189" t="s">
        <v>143</v>
      </c>
      <c r="L1393" s="189" t="s">
        <v>110</v>
      </c>
      <c r="M1393" s="189" t="s">
        <v>397</v>
      </c>
      <c r="N1393" s="189" t="s">
        <v>990</v>
      </c>
      <c r="O1393" s="189" t="s">
        <v>1949</v>
      </c>
      <c r="P1393" s="189" t="s">
        <v>131</v>
      </c>
      <c r="Q1393" s="189" t="s">
        <v>112</v>
      </c>
      <c r="R1393" s="189" t="s">
        <v>25</v>
      </c>
      <c r="S1393" s="189" t="s">
        <v>152</v>
      </c>
      <c r="T1393" s="189" t="s">
        <v>121</v>
      </c>
      <c r="U1393" s="189" t="s">
        <v>1032</v>
      </c>
      <c r="V1393" s="189" t="s">
        <v>123</v>
      </c>
      <c r="W1393" s="189" t="s">
        <v>168</v>
      </c>
      <c r="X1393" s="189" t="s">
        <v>327</v>
      </c>
      <c r="Y1393" s="189" t="s">
        <v>3066</v>
      </c>
      <c r="Z1393" s="0" t="n">
        <v>1</v>
      </c>
      <c r="AA1393" s="189" t="s">
        <v>3211</v>
      </c>
    </row>
    <row r="1394" customFormat="false" ht="15" hidden="false" customHeight="false" outlineLevel="0" collapsed="false">
      <c r="A1394" s="0" t="n">
        <v>298</v>
      </c>
      <c r="B1394" s="191" t="n">
        <v>46127.8767015996</v>
      </c>
      <c r="C1394" s="191" t="n">
        <v>46127.8809377107</v>
      </c>
      <c r="D1394" s="189" t="s">
        <v>1985</v>
      </c>
      <c r="E1394" s="189" t="s">
        <v>1986</v>
      </c>
      <c r="F1394" s="189" t="s">
        <v>1986</v>
      </c>
      <c r="G1394" s="189" t="s">
        <v>1987</v>
      </c>
      <c r="H1394" s="191" t="n">
        <v>46119</v>
      </c>
      <c r="I1394" s="189" t="s">
        <v>113</v>
      </c>
      <c r="J1394" s="189" t="s">
        <v>128</v>
      </c>
      <c r="K1394" s="189" t="s">
        <v>143</v>
      </c>
      <c r="L1394" s="189" t="s">
        <v>110</v>
      </c>
      <c r="M1394" s="189" t="s">
        <v>397</v>
      </c>
      <c r="N1394" s="189" t="s">
        <v>990</v>
      </c>
      <c r="O1394" s="189" t="s">
        <v>1949</v>
      </c>
      <c r="P1394" s="189" t="s">
        <v>131</v>
      </c>
      <c r="Q1394" s="189" t="s">
        <v>112</v>
      </c>
      <c r="R1394" s="189" t="s">
        <v>25</v>
      </c>
      <c r="S1394" s="189" t="s">
        <v>152</v>
      </c>
      <c r="T1394" s="189" t="s">
        <v>121</v>
      </c>
      <c r="U1394" s="189" t="s">
        <v>1032</v>
      </c>
      <c r="V1394" s="189" t="s">
        <v>123</v>
      </c>
      <c r="W1394" s="189" t="s">
        <v>168</v>
      </c>
      <c r="X1394" s="189" t="s">
        <v>327</v>
      </c>
      <c r="Y1394" s="189" t="s">
        <v>3069</v>
      </c>
      <c r="Z1394" s="0" t="n">
        <v>1</v>
      </c>
      <c r="AA1394" s="189" t="s">
        <v>122</v>
      </c>
    </row>
    <row r="1395" customFormat="false" ht="15" hidden="false" customHeight="false" outlineLevel="0" collapsed="false">
      <c r="A1395" s="0" t="n">
        <v>298</v>
      </c>
      <c r="B1395" s="191" t="n">
        <v>46127.8767015996</v>
      </c>
      <c r="C1395" s="191" t="n">
        <v>46127.8809377107</v>
      </c>
      <c r="D1395" s="189" t="s">
        <v>1985</v>
      </c>
      <c r="E1395" s="189" t="s">
        <v>1986</v>
      </c>
      <c r="F1395" s="189" t="s">
        <v>1986</v>
      </c>
      <c r="G1395" s="189" t="s">
        <v>1987</v>
      </c>
      <c r="H1395" s="191" t="n">
        <v>46119</v>
      </c>
      <c r="I1395" s="189" t="s">
        <v>113</v>
      </c>
      <c r="J1395" s="189" t="s">
        <v>128</v>
      </c>
      <c r="K1395" s="189" t="s">
        <v>143</v>
      </c>
      <c r="L1395" s="189" t="s">
        <v>110</v>
      </c>
      <c r="M1395" s="189" t="s">
        <v>397</v>
      </c>
      <c r="N1395" s="189" t="s">
        <v>990</v>
      </c>
      <c r="O1395" s="189" t="s">
        <v>1949</v>
      </c>
      <c r="P1395" s="189" t="s">
        <v>131</v>
      </c>
      <c r="Q1395" s="189" t="s">
        <v>112</v>
      </c>
      <c r="R1395" s="189" t="s">
        <v>25</v>
      </c>
      <c r="S1395" s="189" t="s">
        <v>152</v>
      </c>
      <c r="T1395" s="189" t="s">
        <v>121</v>
      </c>
      <c r="U1395" s="189" t="s">
        <v>1032</v>
      </c>
      <c r="V1395" s="189" t="s">
        <v>123</v>
      </c>
      <c r="W1395" s="189" t="s">
        <v>168</v>
      </c>
      <c r="X1395" s="189" t="s">
        <v>327</v>
      </c>
      <c r="Y1395" s="189" t="s">
        <v>3069</v>
      </c>
      <c r="Z1395" s="0" t="n">
        <v>2</v>
      </c>
      <c r="AA1395" s="189" t="s">
        <v>3108</v>
      </c>
    </row>
    <row r="1396" customFormat="false" ht="15" hidden="false" customHeight="false" outlineLevel="0" collapsed="false">
      <c r="A1396" s="0" t="n">
        <v>299</v>
      </c>
      <c r="B1396" s="191" t="n">
        <v>46171.2995473917</v>
      </c>
      <c r="C1396" s="191" t="n">
        <v>46171.3085520213</v>
      </c>
      <c r="D1396" s="189" t="s">
        <v>1988</v>
      </c>
      <c r="E1396" s="189" t="s">
        <v>1989</v>
      </c>
      <c r="F1396" s="189" t="s">
        <v>1989</v>
      </c>
      <c r="G1396" s="189" t="s">
        <v>1990</v>
      </c>
      <c r="H1396" s="191" t="n">
        <v>46163</v>
      </c>
      <c r="I1396" s="189" t="s">
        <v>113</v>
      </c>
      <c r="J1396" s="189" t="s">
        <v>108</v>
      </c>
      <c r="K1396" s="189" t="s">
        <v>446</v>
      </c>
      <c r="L1396" s="189" t="s">
        <v>389</v>
      </c>
      <c r="M1396" s="189" t="s">
        <v>736</v>
      </c>
      <c r="N1396" s="189" t="s">
        <v>422</v>
      </c>
      <c r="O1396" s="189" t="s">
        <v>713</v>
      </c>
      <c r="P1396" s="189" t="s">
        <v>111</v>
      </c>
      <c r="Q1396" s="189" t="s">
        <v>112</v>
      </c>
      <c r="R1396" s="189" t="s">
        <v>22</v>
      </c>
      <c r="S1396" s="189" t="s">
        <v>152</v>
      </c>
      <c r="T1396" s="189" t="s">
        <v>264</v>
      </c>
      <c r="U1396" s="189" t="s">
        <v>122</v>
      </c>
      <c r="V1396" s="189" t="s">
        <v>123</v>
      </c>
      <c r="W1396" s="189" t="s">
        <v>124</v>
      </c>
      <c r="X1396" s="189" t="s">
        <v>298</v>
      </c>
      <c r="Y1396" s="189" t="s">
        <v>3064</v>
      </c>
      <c r="Z1396" s="0" t="n">
        <v>1</v>
      </c>
      <c r="AA1396" s="189" t="s">
        <v>3207</v>
      </c>
    </row>
    <row r="1397" customFormat="false" ht="15" hidden="false" customHeight="false" outlineLevel="0" collapsed="false">
      <c r="A1397" s="0" t="n">
        <v>299</v>
      </c>
      <c r="B1397" s="191" t="n">
        <v>46171.2995473917</v>
      </c>
      <c r="C1397" s="191" t="n">
        <v>46171.3085520213</v>
      </c>
      <c r="D1397" s="189" t="s">
        <v>1988</v>
      </c>
      <c r="E1397" s="189" t="s">
        <v>1989</v>
      </c>
      <c r="F1397" s="189" t="s">
        <v>1989</v>
      </c>
      <c r="G1397" s="189" t="s">
        <v>1990</v>
      </c>
      <c r="H1397" s="191" t="n">
        <v>46163</v>
      </c>
      <c r="I1397" s="189" t="s">
        <v>113</v>
      </c>
      <c r="J1397" s="189" t="s">
        <v>108</v>
      </c>
      <c r="K1397" s="189" t="s">
        <v>446</v>
      </c>
      <c r="L1397" s="189" t="s">
        <v>389</v>
      </c>
      <c r="M1397" s="189" t="s">
        <v>736</v>
      </c>
      <c r="N1397" s="189" t="s">
        <v>422</v>
      </c>
      <c r="O1397" s="189" t="s">
        <v>713</v>
      </c>
      <c r="P1397" s="189" t="s">
        <v>111</v>
      </c>
      <c r="Q1397" s="189" t="s">
        <v>112</v>
      </c>
      <c r="R1397" s="189" t="s">
        <v>22</v>
      </c>
      <c r="S1397" s="189" t="s">
        <v>152</v>
      </c>
      <c r="T1397" s="189" t="s">
        <v>264</v>
      </c>
      <c r="U1397" s="189" t="s">
        <v>122</v>
      </c>
      <c r="V1397" s="189" t="s">
        <v>123</v>
      </c>
      <c r="W1397" s="189" t="s">
        <v>124</v>
      </c>
      <c r="X1397" s="189" t="s">
        <v>298</v>
      </c>
      <c r="Y1397" s="189" t="s">
        <v>3064</v>
      </c>
      <c r="Z1397" s="0" t="n">
        <v>2</v>
      </c>
      <c r="AA1397" s="189" t="s">
        <v>3124</v>
      </c>
    </row>
    <row r="1398" customFormat="false" ht="15" hidden="false" customHeight="false" outlineLevel="0" collapsed="false">
      <c r="A1398" s="0" t="n">
        <v>299</v>
      </c>
      <c r="B1398" s="191" t="n">
        <v>46171.2995473917</v>
      </c>
      <c r="C1398" s="191" t="n">
        <v>46171.3085520213</v>
      </c>
      <c r="D1398" s="189" t="s">
        <v>1988</v>
      </c>
      <c r="E1398" s="189" t="s">
        <v>1989</v>
      </c>
      <c r="F1398" s="189" t="s">
        <v>1989</v>
      </c>
      <c r="G1398" s="189" t="s">
        <v>1990</v>
      </c>
      <c r="H1398" s="191" t="n">
        <v>46163</v>
      </c>
      <c r="I1398" s="189" t="s">
        <v>113</v>
      </c>
      <c r="J1398" s="189" t="s">
        <v>108</v>
      </c>
      <c r="K1398" s="189" t="s">
        <v>446</v>
      </c>
      <c r="L1398" s="189" t="s">
        <v>389</v>
      </c>
      <c r="M1398" s="189" t="s">
        <v>736</v>
      </c>
      <c r="N1398" s="189" t="s">
        <v>422</v>
      </c>
      <c r="O1398" s="189" t="s">
        <v>713</v>
      </c>
      <c r="P1398" s="189" t="s">
        <v>111</v>
      </c>
      <c r="Q1398" s="189" t="s">
        <v>112</v>
      </c>
      <c r="R1398" s="189" t="s">
        <v>22</v>
      </c>
      <c r="S1398" s="189" t="s">
        <v>152</v>
      </c>
      <c r="T1398" s="189" t="s">
        <v>264</v>
      </c>
      <c r="U1398" s="189" t="s">
        <v>122</v>
      </c>
      <c r="V1398" s="189" t="s">
        <v>123</v>
      </c>
      <c r="W1398" s="189" t="s">
        <v>124</v>
      </c>
      <c r="X1398" s="189" t="s">
        <v>298</v>
      </c>
      <c r="Y1398" s="189" t="s">
        <v>3066</v>
      </c>
      <c r="Z1398" s="0" t="n">
        <v>1</v>
      </c>
      <c r="AA1398" s="189" t="s">
        <v>3316</v>
      </c>
    </row>
    <row r="1399" customFormat="false" ht="15" hidden="false" customHeight="false" outlineLevel="0" collapsed="false">
      <c r="A1399" s="0" t="n">
        <v>299</v>
      </c>
      <c r="B1399" s="191" t="n">
        <v>46171.2995473917</v>
      </c>
      <c r="C1399" s="191" t="n">
        <v>46171.3085520213</v>
      </c>
      <c r="D1399" s="189" t="s">
        <v>1988</v>
      </c>
      <c r="E1399" s="189" t="s">
        <v>1989</v>
      </c>
      <c r="F1399" s="189" t="s">
        <v>1989</v>
      </c>
      <c r="G1399" s="189" t="s">
        <v>1990</v>
      </c>
      <c r="H1399" s="191" t="n">
        <v>46163</v>
      </c>
      <c r="I1399" s="189" t="s">
        <v>113</v>
      </c>
      <c r="J1399" s="189" t="s">
        <v>108</v>
      </c>
      <c r="K1399" s="189" t="s">
        <v>446</v>
      </c>
      <c r="L1399" s="189" t="s">
        <v>389</v>
      </c>
      <c r="M1399" s="189" t="s">
        <v>736</v>
      </c>
      <c r="N1399" s="189" t="s">
        <v>422</v>
      </c>
      <c r="O1399" s="189" t="s">
        <v>713</v>
      </c>
      <c r="P1399" s="189" t="s">
        <v>111</v>
      </c>
      <c r="Q1399" s="189" t="s">
        <v>112</v>
      </c>
      <c r="R1399" s="189" t="s">
        <v>22</v>
      </c>
      <c r="S1399" s="189" t="s">
        <v>152</v>
      </c>
      <c r="T1399" s="189" t="s">
        <v>264</v>
      </c>
      <c r="U1399" s="189" t="s">
        <v>122</v>
      </c>
      <c r="V1399" s="189" t="s">
        <v>123</v>
      </c>
      <c r="W1399" s="189" t="s">
        <v>124</v>
      </c>
      <c r="X1399" s="189" t="s">
        <v>298</v>
      </c>
      <c r="Y1399" s="189" t="s">
        <v>3066</v>
      </c>
      <c r="Z1399" s="0" t="n">
        <v>2</v>
      </c>
      <c r="AA1399" s="189" t="s">
        <v>3126</v>
      </c>
    </row>
    <row r="1400" customFormat="false" ht="15" hidden="false" customHeight="false" outlineLevel="0" collapsed="false">
      <c r="A1400" s="0" t="n">
        <v>299</v>
      </c>
      <c r="B1400" s="191" t="n">
        <v>46171.2995473917</v>
      </c>
      <c r="C1400" s="191" t="n">
        <v>46171.3085520213</v>
      </c>
      <c r="D1400" s="189" t="s">
        <v>1988</v>
      </c>
      <c r="E1400" s="189" t="s">
        <v>1989</v>
      </c>
      <c r="F1400" s="189" t="s">
        <v>1989</v>
      </c>
      <c r="G1400" s="189" t="s">
        <v>1990</v>
      </c>
      <c r="H1400" s="191" t="n">
        <v>46163</v>
      </c>
      <c r="I1400" s="189" t="s">
        <v>113</v>
      </c>
      <c r="J1400" s="189" t="s">
        <v>108</v>
      </c>
      <c r="K1400" s="189" t="s">
        <v>446</v>
      </c>
      <c r="L1400" s="189" t="s">
        <v>389</v>
      </c>
      <c r="M1400" s="189" t="s">
        <v>736</v>
      </c>
      <c r="N1400" s="189" t="s">
        <v>422</v>
      </c>
      <c r="O1400" s="189" t="s">
        <v>713</v>
      </c>
      <c r="P1400" s="189" t="s">
        <v>111</v>
      </c>
      <c r="Q1400" s="189" t="s">
        <v>112</v>
      </c>
      <c r="R1400" s="189" t="s">
        <v>22</v>
      </c>
      <c r="S1400" s="189" t="s">
        <v>152</v>
      </c>
      <c r="T1400" s="189" t="s">
        <v>264</v>
      </c>
      <c r="U1400" s="189" t="s">
        <v>122</v>
      </c>
      <c r="V1400" s="189" t="s">
        <v>123</v>
      </c>
      <c r="W1400" s="189" t="s">
        <v>124</v>
      </c>
      <c r="X1400" s="189" t="s">
        <v>298</v>
      </c>
      <c r="Y1400" s="189" t="s">
        <v>3069</v>
      </c>
      <c r="Z1400" s="0" t="n">
        <v>1</v>
      </c>
      <c r="AA1400" s="189" t="s">
        <v>3248</v>
      </c>
    </row>
    <row r="1401" customFormat="false" ht="15" hidden="false" customHeight="false" outlineLevel="0" collapsed="false">
      <c r="A1401" s="0" t="n">
        <v>299</v>
      </c>
      <c r="B1401" s="191" t="n">
        <v>46171.2995473917</v>
      </c>
      <c r="C1401" s="191" t="n">
        <v>46171.3085520213</v>
      </c>
      <c r="D1401" s="189" t="s">
        <v>1988</v>
      </c>
      <c r="E1401" s="189" t="s">
        <v>1989</v>
      </c>
      <c r="F1401" s="189" t="s">
        <v>1989</v>
      </c>
      <c r="G1401" s="189" t="s">
        <v>1990</v>
      </c>
      <c r="H1401" s="191" t="n">
        <v>46163</v>
      </c>
      <c r="I1401" s="189" t="s">
        <v>113</v>
      </c>
      <c r="J1401" s="189" t="s">
        <v>108</v>
      </c>
      <c r="K1401" s="189" t="s">
        <v>446</v>
      </c>
      <c r="L1401" s="189" t="s">
        <v>389</v>
      </c>
      <c r="M1401" s="189" t="s">
        <v>736</v>
      </c>
      <c r="N1401" s="189" t="s">
        <v>422</v>
      </c>
      <c r="O1401" s="189" t="s">
        <v>713</v>
      </c>
      <c r="P1401" s="189" t="s">
        <v>111</v>
      </c>
      <c r="Q1401" s="189" t="s">
        <v>112</v>
      </c>
      <c r="R1401" s="189" t="s">
        <v>22</v>
      </c>
      <c r="S1401" s="189" t="s">
        <v>152</v>
      </c>
      <c r="T1401" s="189" t="s">
        <v>264</v>
      </c>
      <c r="U1401" s="189" t="s">
        <v>122</v>
      </c>
      <c r="V1401" s="189" t="s">
        <v>123</v>
      </c>
      <c r="W1401" s="189" t="s">
        <v>124</v>
      </c>
      <c r="X1401" s="189" t="s">
        <v>298</v>
      </c>
      <c r="Y1401" s="189" t="s">
        <v>3069</v>
      </c>
      <c r="Z1401" s="0" t="n">
        <v>2</v>
      </c>
      <c r="AA1401" s="189" t="s">
        <v>122</v>
      </c>
    </row>
    <row r="1402" customFormat="false" ht="15" hidden="false" customHeight="false" outlineLevel="0" collapsed="false">
      <c r="A1402" s="0" t="n">
        <v>300</v>
      </c>
      <c r="B1402" s="191" t="n">
        <v>46083.6763838368</v>
      </c>
      <c r="C1402" s="191" t="n">
        <v>46083.6883282812</v>
      </c>
      <c r="D1402" s="189" t="s">
        <v>1993</v>
      </c>
      <c r="E1402" s="189" t="s">
        <v>1994</v>
      </c>
      <c r="F1402" s="189" t="s">
        <v>1995</v>
      </c>
      <c r="G1402" s="189" t="s">
        <v>1996</v>
      </c>
      <c r="H1402" s="191" t="n">
        <v>46066</v>
      </c>
      <c r="I1402" s="189" t="s">
        <v>113</v>
      </c>
      <c r="J1402" s="189" t="s">
        <v>108</v>
      </c>
      <c r="K1402" s="189" t="s">
        <v>143</v>
      </c>
      <c r="L1402" s="189" t="s">
        <v>431</v>
      </c>
      <c r="M1402" s="189" t="s">
        <v>774</v>
      </c>
      <c r="N1402" s="189" t="s">
        <v>1381</v>
      </c>
      <c r="O1402" s="189" t="s">
        <v>244</v>
      </c>
      <c r="P1402" s="189" t="s">
        <v>111</v>
      </c>
      <c r="Q1402" s="189" t="s">
        <v>112</v>
      </c>
      <c r="R1402" s="189" t="s">
        <v>24</v>
      </c>
      <c r="S1402" s="189" t="s">
        <v>120</v>
      </c>
      <c r="T1402" s="189" t="s">
        <v>121</v>
      </c>
      <c r="U1402" s="189" t="s">
        <v>961</v>
      </c>
      <c r="V1402" s="189" t="s">
        <v>123</v>
      </c>
      <c r="W1402" s="189" t="s">
        <v>124</v>
      </c>
      <c r="X1402" s="189" t="s">
        <v>19</v>
      </c>
      <c r="Y1402" s="189" t="s">
        <v>3172</v>
      </c>
      <c r="Z1402" s="0" t="n">
        <v>1</v>
      </c>
      <c r="AA1402" s="189" t="s">
        <v>880</v>
      </c>
    </row>
    <row r="1403" customFormat="false" ht="15" hidden="false" customHeight="false" outlineLevel="0" collapsed="false">
      <c r="A1403" s="0" t="n">
        <v>301</v>
      </c>
      <c r="B1403" s="191" t="n">
        <v>46211.5329174981</v>
      </c>
      <c r="C1403" s="191" t="n">
        <v>46211.5407994426</v>
      </c>
      <c r="D1403" s="189" t="s">
        <v>1997</v>
      </c>
      <c r="E1403" s="189" t="s">
        <v>1998</v>
      </c>
      <c r="F1403" s="189" t="s">
        <v>1998</v>
      </c>
      <c r="G1403" s="189" t="s">
        <v>1999</v>
      </c>
      <c r="H1403" s="191" t="n">
        <v>46202</v>
      </c>
      <c r="I1403" s="189" t="s">
        <v>113</v>
      </c>
      <c r="J1403" s="189" t="s">
        <v>108</v>
      </c>
      <c r="K1403" s="189" t="s">
        <v>143</v>
      </c>
      <c r="L1403" s="189" t="s">
        <v>210</v>
      </c>
      <c r="M1403" s="189" t="s">
        <v>365</v>
      </c>
      <c r="N1403" s="189" t="s">
        <v>939</v>
      </c>
      <c r="O1403" s="189" t="s">
        <v>107</v>
      </c>
      <c r="P1403" s="189" t="s">
        <v>111</v>
      </c>
      <c r="Q1403" s="189" t="s">
        <v>112</v>
      </c>
      <c r="R1403" s="189" t="s">
        <v>22</v>
      </c>
      <c r="S1403" s="189" t="s">
        <v>152</v>
      </c>
      <c r="T1403" s="189" t="s">
        <v>180</v>
      </c>
      <c r="V1403" s="189" t="s">
        <v>167</v>
      </c>
      <c r="W1403" s="189" t="s">
        <v>124</v>
      </c>
      <c r="X1403" s="189" t="s">
        <v>116</v>
      </c>
      <c r="Y1403" s="189" t="s">
        <v>3064</v>
      </c>
      <c r="Z1403" s="0" t="n">
        <v>1</v>
      </c>
      <c r="AA1403" s="189" t="s">
        <v>3065</v>
      </c>
    </row>
    <row r="1404" customFormat="false" ht="15" hidden="false" customHeight="false" outlineLevel="0" collapsed="false">
      <c r="A1404" s="0" t="n">
        <v>301</v>
      </c>
      <c r="B1404" s="191" t="n">
        <v>46211.5329174981</v>
      </c>
      <c r="C1404" s="191" t="n">
        <v>46211.5407994426</v>
      </c>
      <c r="D1404" s="189" t="s">
        <v>1997</v>
      </c>
      <c r="E1404" s="189" t="s">
        <v>1998</v>
      </c>
      <c r="F1404" s="189" t="s">
        <v>1998</v>
      </c>
      <c r="G1404" s="189" t="s">
        <v>1999</v>
      </c>
      <c r="H1404" s="191" t="n">
        <v>46202</v>
      </c>
      <c r="I1404" s="189" t="s">
        <v>113</v>
      </c>
      <c r="J1404" s="189" t="s">
        <v>108</v>
      </c>
      <c r="K1404" s="189" t="s">
        <v>143</v>
      </c>
      <c r="L1404" s="189" t="s">
        <v>210</v>
      </c>
      <c r="M1404" s="189" t="s">
        <v>365</v>
      </c>
      <c r="N1404" s="189" t="s">
        <v>939</v>
      </c>
      <c r="O1404" s="189" t="s">
        <v>107</v>
      </c>
      <c r="P1404" s="189" t="s">
        <v>111</v>
      </c>
      <c r="Q1404" s="189" t="s">
        <v>112</v>
      </c>
      <c r="R1404" s="189" t="s">
        <v>22</v>
      </c>
      <c r="S1404" s="189" t="s">
        <v>152</v>
      </c>
      <c r="T1404" s="189" t="s">
        <v>180</v>
      </c>
      <c r="V1404" s="189" t="s">
        <v>167</v>
      </c>
      <c r="W1404" s="189" t="s">
        <v>124</v>
      </c>
      <c r="X1404" s="189" t="s">
        <v>116</v>
      </c>
      <c r="Y1404" s="189" t="s">
        <v>3064</v>
      </c>
      <c r="Z1404" s="0" t="n">
        <v>2</v>
      </c>
      <c r="AA1404" s="189" t="s">
        <v>3095</v>
      </c>
    </row>
    <row r="1405" customFormat="false" ht="15" hidden="false" customHeight="false" outlineLevel="0" collapsed="false">
      <c r="A1405" s="0" t="n">
        <v>301</v>
      </c>
      <c r="B1405" s="191" t="n">
        <v>46211.5329174981</v>
      </c>
      <c r="C1405" s="191" t="n">
        <v>46211.5407994426</v>
      </c>
      <c r="D1405" s="189" t="s">
        <v>1997</v>
      </c>
      <c r="E1405" s="189" t="s">
        <v>1998</v>
      </c>
      <c r="F1405" s="189" t="s">
        <v>1998</v>
      </c>
      <c r="G1405" s="189" t="s">
        <v>1999</v>
      </c>
      <c r="H1405" s="191" t="n">
        <v>46202</v>
      </c>
      <c r="I1405" s="189" t="s">
        <v>113</v>
      </c>
      <c r="J1405" s="189" t="s">
        <v>108</v>
      </c>
      <c r="K1405" s="189" t="s">
        <v>143</v>
      </c>
      <c r="L1405" s="189" t="s">
        <v>210</v>
      </c>
      <c r="M1405" s="189" t="s">
        <v>365</v>
      </c>
      <c r="N1405" s="189" t="s">
        <v>939</v>
      </c>
      <c r="O1405" s="189" t="s">
        <v>107</v>
      </c>
      <c r="P1405" s="189" t="s">
        <v>111</v>
      </c>
      <c r="Q1405" s="189" t="s">
        <v>112</v>
      </c>
      <c r="R1405" s="189" t="s">
        <v>22</v>
      </c>
      <c r="S1405" s="189" t="s">
        <v>152</v>
      </c>
      <c r="T1405" s="189" t="s">
        <v>180</v>
      </c>
      <c r="V1405" s="189" t="s">
        <v>167</v>
      </c>
      <c r="W1405" s="189" t="s">
        <v>124</v>
      </c>
      <c r="X1405" s="189" t="s">
        <v>116</v>
      </c>
      <c r="Y1405" s="189" t="s">
        <v>3066</v>
      </c>
      <c r="Z1405" s="0" t="n">
        <v>1</v>
      </c>
      <c r="AA1405" s="189" t="s">
        <v>3211</v>
      </c>
    </row>
    <row r="1406" customFormat="false" ht="15" hidden="false" customHeight="false" outlineLevel="0" collapsed="false">
      <c r="A1406" s="0" t="n">
        <v>301</v>
      </c>
      <c r="B1406" s="191" t="n">
        <v>46211.5329174981</v>
      </c>
      <c r="C1406" s="191" t="n">
        <v>46211.5407994426</v>
      </c>
      <c r="D1406" s="189" t="s">
        <v>1997</v>
      </c>
      <c r="E1406" s="189" t="s">
        <v>1998</v>
      </c>
      <c r="F1406" s="189" t="s">
        <v>1998</v>
      </c>
      <c r="G1406" s="189" t="s">
        <v>1999</v>
      </c>
      <c r="H1406" s="191" t="n">
        <v>46202</v>
      </c>
      <c r="I1406" s="189" t="s">
        <v>113</v>
      </c>
      <c r="J1406" s="189" t="s">
        <v>108</v>
      </c>
      <c r="K1406" s="189" t="s">
        <v>143</v>
      </c>
      <c r="L1406" s="189" t="s">
        <v>210</v>
      </c>
      <c r="M1406" s="189" t="s">
        <v>365</v>
      </c>
      <c r="N1406" s="189" t="s">
        <v>939</v>
      </c>
      <c r="O1406" s="189" t="s">
        <v>107</v>
      </c>
      <c r="P1406" s="189" t="s">
        <v>111</v>
      </c>
      <c r="Q1406" s="189" t="s">
        <v>112</v>
      </c>
      <c r="R1406" s="189" t="s">
        <v>22</v>
      </c>
      <c r="S1406" s="189" t="s">
        <v>152</v>
      </c>
      <c r="T1406" s="189" t="s">
        <v>180</v>
      </c>
      <c r="V1406" s="189" t="s">
        <v>167</v>
      </c>
      <c r="W1406" s="189" t="s">
        <v>124</v>
      </c>
      <c r="X1406" s="189" t="s">
        <v>116</v>
      </c>
      <c r="Y1406" s="189" t="s">
        <v>3066</v>
      </c>
      <c r="Z1406" s="0" t="n">
        <v>2</v>
      </c>
      <c r="AA1406" s="189" t="s">
        <v>3082</v>
      </c>
    </row>
    <row r="1407" customFormat="false" ht="15" hidden="false" customHeight="false" outlineLevel="0" collapsed="false">
      <c r="A1407" s="0" t="n">
        <v>301</v>
      </c>
      <c r="B1407" s="191" t="n">
        <v>46211.5329174981</v>
      </c>
      <c r="C1407" s="191" t="n">
        <v>46211.5407994426</v>
      </c>
      <c r="D1407" s="189" t="s">
        <v>1997</v>
      </c>
      <c r="E1407" s="189" t="s">
        <v>1998</v>
      </c>
      <c r="F1407" s="189" t="s">
        <v>1998</v>
      </c>
      <c r="G1407" s="189" t="s">
        <v>1999</v>
      </c>
      <c r="H1407" s="191" t="n">
        <v>46202</v>
      </c>
      <c r="I1407" s="189" t="s">
        <v>113</v>
      </c>
      <c r="J1407" s="189" t="s">
        <v>108</v>
      </c>
      <c r="K1407" s="189" t="s">
        <v>143</v>
      </c>
      <c r="L1407" s="189" t="s">
        <v>210</v>
      </c>
      <c r="M1407" s="189" t="s">
        <v>365</v>
      </c>
      <c r="N1407" s="189" t="s">
        <v>939</v>
      </c>
      <c r="O1407" s="189" t="s">
        <v>107</v>
      </c>
      <c r="P1407" s="189" t="s">
        <v>111</v>
      </c>
      <c r="Q1407" s="189" t="s">
        <v>112</v>
      </c>
      <c r="R1407" s="189" t="s">
        <v>22</v>
      </c>
      <c r="S1407" s="189" t="s">
        <v>152</v>
      </c>
      <c r="T1407" s="189" t="s">
        <v>180</v>
      </c>
      <c r="V1407" s="189" t="s">
        <v>167</v>
      </c>
      <c r="W1407" s="189" t="s">
        <v>124</v>
      </c>
      <c r="X1407" s="189" t="s">
        <v>116</v>
      </c>
      <c r="Y1407" s="189" t="s">
        <v>3069</v>
      </c>
      <c r="Z1407" s="0" t="n">
        <v>1</v>
      </c>
      <c r="AA1407" s="189" t="s">
        <v>3070</v>
      </c>
    </row>
    <row r="1408" customFormat="false" ht="15" hidden="false" customHeight="false" outlineLevel="0" collapsed="false">
      <c r="A1408" s="0" t="n">
        <v>302</v>
      </c>
      <c r="B1408" s="191" t="n">
        <v>46202.5140352576</v>
      </c>
      <c r="C1408" s="191" t="n">
        <v>46202.5206440539</v>
      </c>
      <c r="D1408" s="189" t="s">
        <v>2001</v>
      </c>
      <c r="E1408" s="189" t="s">
        <v>2002</v>
      </c>
      <c r="F1408" s="189" t="s">
        <v>2002</v>
      </c>
      <c r="G1408" s="189" t="s">
        <v>2003</v>
      </c>
      <c r="H1408" s="191" t="n">
        <v>46185</v>
      </c>
      <c r="I1408" s="189" t="s">
        <v>113</v>
      </c>
      <c r="J1408" s="189" t="s">
        <v>108</v>
      </c>
      <c r="K1408" s="189" t="s">
        <v>232</v>
      </c>
      <c r="L1408" s="189" t="s">
        <v>197</v>
      </c>
      <c r="M1408" s="189" t="s">
        <v>1313</v>
      </c>
      <c r="N1408" s="189" t="s">
        <v>357</v>
      </c>
      <c r="O1408" s="189" t="s">
        <v>107</v>
      </c>
      <c r="P1408" s="189" t="s">
        <v>111</v>
      </c>
      <c r="Q1408" s="189" t="s">
        <v>247</v>
      </c>
      <c r="R1408" s="189" t="s">
        <v>24</v>
      </c>
      <c r="S1408" s="189" t="s">
        <v>152</v>
      </c>
      <c r="T1408" s="189" t="s">
        <v>352</v>
      </c>
      <c r="U1408" s="189" t="s">
        <v>122</v>
      </c>
      <c r="V1408" s="189" t="s">
        <v>123</v>
      </c>
      <c r="W1408" s="189" t="s">
        <v>124</v>
      </c>
      <c r="X1408" s="189" t="s">
        <v>260</v>
      </c>
      <c r="Y1408" s="189" t="s">
        <v>3064</v>
      </c>
      <c r="Z1408" s="0" t="n">
        <v>1</v>
      </c>
      <c r="AA1408" s="189" t="s">
        <v>3317</v>
      </c>
    </row>
    <row r="1409" customFormat="false" ht="15" hidden="false" customHeight="false" outlineLevel="0" collapsed="false">
      <c r="A1409" s="0" t="n">
        <v>302</v>
      </c>
      <c r="B1409" s="191" t="n">
        <v>46202.5140352576</v>
      </c>
      <c r="C1409" s="191" t="n">
        <v>46202.5206440539</v>
      </c>
      <c r="D1409" s="189" t="s">
        <v>2001</v>
      </c>
      <c r="E1409" s="189" t="s">
        <v>2002</v>
      </c>
      <c r="F1409" s="189" t="s">
        <v>2002</v>
      </c>
      <c r="G1409" s="189" t="s">
        <v>2003</v>
      </c>
      <c r="H1409" s="191" t="n">
        <v>46185</v>
      </c>
      <c r="I1409" s="189" t="s">
        <v>113</v>
      </c>
      <c r="J1409" s="189" t="s">
        <v>108</v>
      </c>
      <c r="K1409" s="189" t="s">
        <v>232</v>
      </c>
      <c r="L1409" s="189" t="s">
        <v>197</v>
      </c>
      <c r="M1409" s="189" t="s">
        <v>1313</v>
      </c>
      <c r="N1409" s="189" t="s">
        <v>357</v>
      </c>
      <c r="O1409" s="189" t="s">
        <v>107</v>
      </c>
      <c r="P1409" s="189" t="s">
        <v>111</v>
      </c>
      <c r="Q1409" s="189" t="s">
        <v>247</v>
      </c>
      <c r="R1409" s="189" t="s">
        <v>24</v>
      </c>
      <c r="S1409" s="189" t="s">
        <v>152</v>
      </c>
      <c r="T1409" s="189" t="s">
        <v>352</v>
      </c>
      <c r="U1409" s="189" t="s">
        <v>122</v>
      </c>
      <c r="V1409" s="189" t="s">
        <v>123</v>
      </c>
      <c r="W1409" s="189" t="s">
        <v>124</v>
      </c>
      <c r="X1409" s="189" t="s">
        <v>260</v>
      </c>
      <c r="Y1409" s="189" t="s">
        <v>3064</v>
      </c>
      <c r="Z1409" s="0" t="n">
        <v>2</v>
      </c>
      <c r="AA1409" s="189" t="s">
        <v>3318</v>
      </c>
    </row>
    <row r="1410" customFormat="false" ht="15" hidden="false" customHeight="false" outlineLevel="0" collapsed="false">
      <c r="A1410" s="0" t="n">
        <v>302</v>
      </c>
      <c r="B1410" s="191" t="n">
        <v>46202.5140352576</v>
      </c>
      <c r="C1410" s="191" t="n">
        <v>46202.5206440539</v>
      </c>
      <c r="D1410" s="189" t="s">
        <v>2001</v>
      </c>
      <c r="E1410" s="189" t="s">
        <v>2002</v>
      </c>
      <c r="F1410" s="189" t="s">
        <v>2002</v>
      </c>
      <c r="G1410" s="189" t="s">
        <v>2003</v>
      </c>
      <c r="H1410" s="191" t="n">
        <v>46185</v>
      </c>
      <c r="I1410" s="189" t="s">
        <v>113</v>
      </c>
      <c r="J1410" s="189" t="s">
        <v>108</v>
      </c>
      <c r="K1410" s="189" t="s">
        <v>232</v>
      </c>
      <c r="L1410" s="189" t="s">
        <v>197</v>
      </c>
      <c r="M1410" s="189" t="s">
        <v>1313</v>
      </c>
      <c r="N1410" s="189" t="s">
        <v>357</v>
      </c>
      <c r="O1410" s="189" t="s">
        <v>107</v>
      </c>
      <c r="P1410" s="189" t="s">
        <v>111</v>
      </c>
      <c r="Q1410" s="189" t="s">
        <v>247</v>
      </c>
      <c r="R1410" s="189" t="s">
        <v>24</v>
      </c>
      <c r="S1410" s="189" t="s">
        <v>152</v>
      </c>
      <c r="T1410" s="189" t="s">
        <v>352</v>
      </c>
      <c r="U1410" s="189" t="s">
        <v>122</v>
      </c>
      <c r="V1410" s="189" t="s">
        <v>123</v>
      </c>
      <c r="W1410" s="189" t="s">
        <v>124</v>
      </c>
      <c r="X1410" s="189" t="s">
        <v>260</v>
      </c>
      <c r="Y1410" s="189" t="s">
        <v>3064</v>
      </c>
      <c r="Z1410" s="0" t="n">
        <v>3</v>
      </c>
      <c r="AA1410" s="189" t="s">
        <v>3288</v>
      </c>
    </row>
    <row r="1411" customFormat="false" ht="15" hidden="false" customHeight="false" outlineLevel="0" collapsed="false">
      <c r="A1411" s="0" t="n">
        <v>302</v>
      </c>
      <c r="B1411" s="191" t="n">
        <v>46202.5140352576</v>
      </c>
      <c r="C1411" s="191" t="n">
        <v>46202.5206440539</v>
      </c>
      <c r="D1411" s="189" t="s">
        <v>2001</v>
      </c>
      <c r="E1411" s="189" t="s">
        <v>2002</v>
      </c>
      <c r="F1411" s="189" t="s">
        <v>2002</v>
      </c>
      <c r="G1411" s="189" t="s">
        <v>2003</v>
      </c>
      <c r="H1411" s="191" t="n">
        <v>46185</v>
      </c>
      <c r="I1411" s="189" t="s">
        <v>113</v>
      </c>
      <c r="J1411" s="189" t="s">
        <v>108</v>
      </c>
      <c r="K1411" s="189" t="s">
        <v>232</v>
      </c>
      <c r="L1411" s="189" t="s">
        <v>197</v>
      </c>
      <c r="M1411" s="189" t="s">
        <v>1313</v>
      </c>
      <c r="N1411" s="189" t="s">
        <v>357</v>
      </c>
      <c r="O1411" s="189" t="s">
        <v>107</v>
      </c>
      <c r="P1411" s="189" t="s">
        <v>111</v>
      </c>
      <c r="Q1411" s="189" t="s">
        <v>247</v>
      </c>
      <c r="R1411" s="189" t="s">
        <v>24</v>
      </c>
      <c r="S1411" s="189" t="s">
        <v>152</v>
      </c>
      <c r="T1411" s="189" t="s">
        <v>352</v>
      </c>
      <c r="U1411" s="189" t="s">
        <v>122</v>
      </c>
      <c r="V1411" s="189" t="s">
        <v>123</v>
      </c>
      <c r="W1411" s="189" t="s">
        <v>124</v>
      </c>
      <c r="X1411" s="189" t="s">
        <v>260</v>
      </c>
      <c r="Y1411" s="189" t="s">
        <v>3066</v>
      </c>
      <c r="Z1411" s="0" t="n">
        <v>1</v>
      </c>
      <c r="AA1411" s="189" t="s">
        <v>3319</v>
      </c>
    </row>
    <row r="1412" customFormat="false" ht="15" hidden="false" customHeight="false" outlineLevel="0" collapsed="false">
      <c r="A1412" s="0" t="n">
        <v>302</v>
      </c>
      <c r="B1412" s="191" t="n">
        <v>46202.5140352576</v>
      </c>
      <c r="C1412" s="191" t="n">
        <v>46202.5206440539</v>
      </c>
      <c r="D1412" s="189" t="s">
        <v>2001</v>
      </c>
      <c r="E1412" s="189" t="s">
        <v>2002</v>
      </c>
      <c r="F1412" s="189" t="s">
        <v>2002</v>
      </c>
      <c r="G1412" s="189" t="s">
        <v>2003</v>
      </c>
      <c r="H1412" s="191" t="n">
        <v>46185</v>
      </c>
      <c r="I1412" s="189" t="s">
        <v>113</v>
      </c>
      <c r="J1412" s="189" t="s">
        <v>108</v>
      </c>
      <c r="K1412" s="189" t="s">
        <v>232</v>
      </c>
      <c r="L1412" s="189" t="s">
        <v>197</v>
      </c>
      <c r="M1412" s="189" t="s">
        <v>1313</v>
      </c>
      <c r="N1412" s="189" t="s">
        <v>357</v>
      </c>
      <c r="O1412" s="189" t="s">
        <v>107</v>
      </c>
      <c r="P1412" s="189" t="s">
        <v>111</v>
      </c>
      <c r="Q1412" s="189" t="s">
        <v>247</v>
      </c>
      <c r="R1412" s="189" t="s">
        <v>24</v>
      </c>
      <c r="S1412" s="189" t="s">
        <v>152</v>
      </c>
      <c r="T1412" s="189" t="s">
        <v>352</v>
      </c>
      <c r="U1412" s="189" t="s">
        <v>122</v>
      </c>
      <c r="V1412" s="189" t="s">
        <v>123</v>
      </c>
      <c r="W1412" s="189" t="s">
        <v>124</v>
      </c>
      <c r="X1412" s="189" t="s">
        <v>260</v>
      </c>
      <c r="Y1412" s="189" t="s">
        <v>3069</v>
      </c>
      <c r="Z1412" s="0" t="n">
        <v>1</v>
      </c>
      <c r="AA1412" s="189" t="s">
        <v>3112</v>
      </c>
    </row>
    <row r="1413" customFormat="false" ht="15" hidden="false" customHeight="false" outlineLevel="0" collapsed="false">
      <c r="A1413" s="0" t="n">
        <v>302</v>
      </c>
      <c r="B1413" s="191" t="n">
        <v>46202.5140352576</v>
      </c>
      <c r="C1413" s="191" t="n">
        <v>46202.5206440539</v>
      </c>
      <c r="D1413" s="189" t="s">
        <v>2001</v>
      </c>
      <c r="E1413" s="189" t="s">
        <v>2002</v>
      </c>
      <c r="F1413" s="189" t="s">
        <v>2002</v>
      </c>
      <c r="G1413" s="189" t="s">
        <v>2003</v>
      </c>
      <c r="H1413" s="191" t="n">
        <v>46185</v>
      </c>
      <c r="I1413" s="189" t="s">
        <v>113</v>
      </c>
      <c r="J1413" s="189" t="s">
        <v>108</v>
      </c>
      <c r="K1413" s="189" t="s">
        <v>232</v>
      </c>
      <c r="L1413" s="189" t="s">
        <v>197</v>
      </c>
      <c r="M1413" s="189" t="s">
        <v>1313</v>
      </c>
      <c r="N1413" s="189" t="s">
        <v>357</v>
      </c>
      <c r="O1413" s="189" t="s">
        <v>107</v>
      </c>
      <c r="P1413" s="189" t="s">
        <v>111</v>
      </c>
      <c r="Q1413" s="189" t="s">
        <v>247</v>
      </c>
      <c r="R1413" s="189" t="s">
        <v>24</v>
      </c>
      <c r="S1413" s="189" t="s">
        <v>152</v>
      </c>
      <c r="T1413" s="189" t="s">
        <v>352</v>
      </c>
      <c r="U1413" s="189" t="s">
        <v>122</v>
      </c>
      <c r="V1413" s="189" t="s">
        <v>123</v>
      </c>
      <c r="W1413" s="189" t="s">
        <v>124</v>
      </c>
      <c r="X1413" s="189" t="s">
        <v>260</v>
      </c>
      <c r="Y1413" s="189" t="s">
        <v>3069</v>
      </c>
      <c r="Z1413" s="0" t="n">
        <v>2</v>
      </c>
      <c r="AA1413" s="189" t="s">
        <v>3113</v>
      </c>
    </row>
    <row r="1414" customFormat="false" ht="15" hidden="false" customHeight="false" outlineLevel="0" collapsed="false">
      <c r="A1414" s="0" t="n">
        <v>303</v>
      </c>
      <c r="B1414" s="191" t="n">
        <v>46048.2146460341</v>
      </c>
      <c r="C1414" s="191" t="n">
        <v>46048.224460849</v>
      </c>
      <c r="D1414" s="189" t="s">
        <v>2006</v>
      </c>
      <c r="E1414" s="189" t="s">
        <v>2007</v>
      </c>
      <c r="F1414" s="189" t="s">
        <v>2007</v>
      </c>
      <c r="G1414" s="189" t="s">
        <v>2008</v>
      </c>
      <c r="H1414" s="191" t="n">
        <v>46040</v>
      </c>
      <c r="I1414" s="189" t="s">
        <v>113</v>
      </c>
      <c r="J1414" s="189" t="s">
        <v>128</v>
      </c>
      <c r="K1414" s="189" t="s">
        <v>462</v>
      </c>
      <c r="L1414" s="189" t="s">
        <v>210</v>
      </c>
      <c r="M1414" s="189" t="s">
        <v>269</v>
      </c>
      <c r="N1414" s="189" t="s">
        <v>297</v>
      </c>
      <c r="O1414" s="189" t="s">
        <v>107</v>
      </c>
      <c r="P1414" s="189" t="s">
        <v>211</v>
      </c>
      <c r="Q1414" s="189" t="s">
        <v>112</v>
      </c>
      <c r="R1414" s="189" t="s">
        <v>22</v>
      </c>
      <c r="S1414" s="189" t="s">
        <v>152</v>
      </c>
      <c r="T1414" s="189" t="s">
        <v>352</v>
      </c>
      <c r="U1414" s="189" t="s">
        <v>122</v>
      </c>
      <c r="V1414" s="189" t="s">
        <v>123</v>
      </c>
      <c r="W1414" s="189" t="s">
        <v>124</v>
      </c>
      <c r="X1414" s="189" t="s">
        <v>381</v>
      </c>
      <c r="Y1414" s="189" t="s">
        <v>3064</v>
      </c>
      <c r="Z1414" s="0" t="n">
        <v>1</v>
      </c>
      <c r="AA1414" s="189" t="s">
        <v>3180</v>
      </c>
    </row>
    <row r="1415" customFormat="false" ht="15" hidden="false" customHeight="false" outlineLevel="0" collapsed="false">
      <c r="A1415" s="0" t="n">
        <v>303</v>
      </c>
      <c r="B1415" s="191" t="n">
        <v>46048.2146460341</v>
      </c>
      <c r="C1415" s="191" t="n">
        <v>46048.224460849</v>
      </c>
      <c r="D1415" s="189" t="s">
        <v>2006</v>
      </c>
      <c r="E1415" s="189" t="s">
        <v>2007</v>
      </c>
      <c r="F1415" s="189" t="s">
        <v>2007</v>
      </c>
      <c r="G1415" s="189" t="s">
        <v>2008</v>
      </c>
      <c r="H1415" s="191" t="n">
        <v>46040</v>
      </c>
      <c r="I1415" s="189" t="s">
        <v>113</v>
      </c>
      <c r="J1415" s="189" t="s">
        <v>128</v>
      </c>
      <c r="K1415" s="189" t="s">
        <v>462</v>
      </c>
      <c r="L1415" s="189" t="s">
        <v>210</v>
      </c>
      <c r="M1415" s="189" t="s">
        <v>269</v>
      </c>
      <c r="N1415" s="189" t="s">
        <v>297</v>
      </c>
      <c r="O1415" s="189" t="s">
        <v>107</v>
      </c>
      <c r="P1415" s="189" t="s">
        <v>211</v>
      </c>
      <c r="Q1415" s="189" t="s">
        <v>112</v>
      </c>
      <c r="R1415" s="189" t="s">
        <v>22</v>
      </c>
      <c r="S1415" s="189" t="s">
        <v>152</v>
      </c>
      <c r="T1415" s="189" t="s">
        <v>352</v>
      </c>
      <c r="U1415" s="189" t="s">
        <v>122</v>
      </c>
      <c r="V1415" s="189" t="s">
        <v>123</v>
      </c>
      <c r="W1415" s="189" t="s">
        <v>124</v>
      </c>
      <c r="X1415" s="189" t="s">
        <v>381</v>
      </c>
      <c r="Y1415" s="189" t="s">
        <v>3066</v>
      </c>
      <c r="Z1415" s="0" t="n">
        <v>1</v>
      </c>
      <c r="AA1415" s="189" t="s">
        <v>3250</v>
      </c>
    </row>
    <row r="1416" customFormat="false" ht="15" hidden="false" customHeight="false" outlineLevel="0" collapsed="false">
      <c r="A1416" s="0" t="n">
        <v>303</v>
      </c>
      <c r="B1416" s="191" t="n">
        <v>46048.2146460341</v>
      </c>
      <c r="C1416" s="191" t="n">
        <v>46048.224460849</v>
      </c>
      <c r="D1416" s="189" t="s">
        <v>2006</v>
      </c>
      <c r="E1416" s="189" t="s">
        <v>2007</v>
      </c>
      <c r="F1416" s="189" t="s">
        <v>2007</v>
      </c>
      <c r="G1416" s="189" t="s">
        <v>2008</v>
      </c>
      <c r="H1416" s="191" t="n">
        <v>46040</v>
      </c>
      <c r="I1416" s="189" t="s">
        <v>113</v>
      </c>
      <c r="J1416" s="189" t="s">
        <v>128</v>
      </c>
      <c r="K1416" s="189" t="s">
        <v>462</v>
      </c>
      <c r="L1416" s="189" t="s">
        <v>210</v>
      </c>
      <c r="M1416" s="189" t="s">
        <v>269</v>
      </c>
      <c r="N1416" s="189" t="s">
        <v>297</v>
      </c>
      <c r="O1416" s="189" t="s">
        <v>107</v>
      </c>
      <c r="P1416" s="189" t="s">
        <v>211</v>
      </c>
      <c r="Q1416" s="189" t="s">
        <v>112</v>
      </c>
      <c r="R1416" s="189" t="s">
        <v>22</v>
      </c>
      <c r="S1416" s="189" t="s">
        <v>152</v>
      </c>
      <c r="T1416" s="189" t="s">
        <v>352</v>
      </c>
      <c r="U1416" s="189" t="s">
        <v>122</v>
      </c>
      <c r="V1416" s="189" t="s">
        <v>123</v>
      </c>
      <c r="W1416" s="189" t="s">
        <v>124</v>
      </c>
      <c r="X1416" s="189" t="s">
        <v>381</v>
      </c>
      <c r="Y1416" s="189" t="s">
        <v>3066</v>
      </c>
      <c r="Z1416" s="0" t="n">
        <v>2</v>
      </c>
      <c r="AA1416" s="189" t="s">
        <v>3161</v>
      </c>
    </row>
    <row r="1417" customFormat="false" ht="15" hidden="false" customHeight="false" outlineLevel="0" collapsed="false">
      <c r="A1417" s="0" t="n">
        <v>303</v>
      </c>
      <c r="B1417" s="191" t="n">
        <v>46048.2146460341</v>
      </c>
      <c r="C1417" s="191" t="n">
        <v>46048.224460849</v>
      </c>
      <c r="D1417" s="189" t="s">
        <v>2006</v>
      </c>
      <c r="E1417" s="189" t="s">
        <v>2007</v>
      </c>
      <c r="F1417" s="189" t="s">
        <v>2007</v>
      </c>
      <c r="G1417" s="189" t="s">
        <v>2008</v>
      </c>
      <c r="H1417" s="191" t="n">
        <v>46040</v>
      </c>
      <c r="I1417" s="189" t="s">
        <v>113</v>
      </c>
      <c r="J1417" s="189" t="s">
        <v>128</v>
      </c>
      <c r="K1417" s="189" t="s">
        <v>462</v>
      </c>
      <c r="L1417" s="189" t="s">
        <v>210</v>
      </c>
      <c r="M1417" s="189" t="s">
        <v>269</v>
      </c>
      <c r="N1417" s="189" t="s">
        <v>297</v>
      </c>
      <c r="O1417" s="189" t="s">
        <v>107</v>
      </c>
      <c r="P1417" s="189" t="s">
        <v>211</v>
      </c>
      <c r="Q1417" s="189" t="s">
        <v>112</v>
      </c>
      <c r="R1417" s="189" t="s">
        <v>22</v>
      </c>
      <c r="S1417" s="189" t="s">
        <v>152</v>
      </c>
      <c r="T1417" s="189" t="s">
        <v>352</v>
      </c>
      <c r="U1417" s="189" t="s">
        <v>122</v>
      </c>
      <c r="V1417" s="189" t="s">
        <v>123</v>
      </c>
      <c r="W1417" s="189" t="s">
        <v>124</v>
      </c>
      <c r="X1417" s="189" t="s">
        <v>381</v>
      </c>
      <c r="Y1417" s="189" t="s">
        <v>3069</v>
      </c>
      <c r="Z1417" s="0" t="n">
        <v>1</v>
      </c>
      <c r="AA1417" s="189" t="s">
        <v>3163</v>
      </c>
    </row>
    <row r="1418" customFormat="false" ht="15" hidden="false" customHeight="false" outlineLevel="0" collapsed="false">
      <c r="A1418" s="0" t="n">
        <v>304</v>
      </c>
      <c r="B1418" s="191" t="n">
        <v>46052.5350590173</v>
      </c>
      <c r="C1418" s="191" t="n">
        <v>46052.5480682765</v>
      </c>
      <c r="D1418" s="189" t="s">
        <v>2009</v>
      </c>
      <c r="E1418" s="189" t="s">
        <v>2010</v>
      </c>
      <c r="F1418" s="189" t="s">
        <v>2010</v>
      </c>
      <c r="G1418" s="189" t="s">
        <v>2011</v>
      </c>
      <c r="H1418" s="191" t="n">
        <v>46043</v>
      </c>
      <c r="I1418" s="189" t="s">
        <v>113</v>
      </c>
      <c r="J1418" s="189" t="s">
        <v>108</v>
      </c>
      <c r="K1418" s="189" t="s">
        <v>2012</v>
      </c>
      <c r="L1418" s="189" t="s">
        <v>210</v>
      </c>
      <c r="M1418" s="189" t="s">
        <v>1074</v>
      </c>
      <c r="N1418" s="189" t="s">
        <v>758</v>
      </c>
      <c r="O1418" s="189" t="s">
        <v>107</v>
      </c>
      <c r="P1418" s="189" t="s">
        <v>111</v>
      </c>
      <c r="Q1418" s="189" t="s">
        <v>112</v>
      </c>
      <c r="R1418" s="189" t="s">
        <v>22</v>
      </c>
      <c r="S1418" s="189" t="s">
        <v>152</v>
      </c>
      <c r="T1418" s="189" t="s">
        <v>121</v>
      </c>
      <c r="V1418" s="189" t="s">
        <v>167</v>
      </c>
      <c r="W1418" s="189" t="s">
        <v>139</v>
      </c>
      <c r="X1418" s="189" t="s">
        <v>339</v>
      </c>
      <c r="Y1418" s="189" t="s">
        <v>3064</v>
      </c>
      <c r="Z1418" s="0" t="n">
        <v>1</v>
      </c>
      <c r="AA1418" s="189" t="s">
        <v>3141</v>
      </c>
    </row>
    <row r="1419" customFormat="false" ht="15" hidden="false" customHeight="false" outlineLevel="0" collapsed="false">
      <c r="A1419" s="0" t="n">
        <v>304</v>
      </c>
      <c r="B1419" s="191" t="n">
        <v>46052.5350590173</v>
      </c>
      <c r="C1419" s="191" t="n">
        <v>46052.5480682765</v>
      </c>
      <c r="D1419" s="189" t="s">
        <v>2009</v>
      </c>
      <c r="E1419" s="189" t="s">
        <v>2010</v>
      </c>
      <c r="F1419" s="189" t="s">
        <v>2010</v>
      </c>
      <c r="G1419" s="189" t="s">
        <v>2011</v>
      </c>
      <c r="H1419" s="191" t="n">
        <v>46043</v>
      </c>
      <c r="I1419" s="189" t="s">
        <v>113</v>
      </c>
      <c r="J1419" s="189" t="s">
        <v>108</v>
      </c>
      <c r="K1419" s="189" t="s">
        <v>2012</v>
      </c>
      <c r="L1419" s="189" t="s">
        <v>210</v>
      </c>
      <c r="M1419" s="189" t="s">
        <v>1074</v>
      </c>
      <c r="N1419" s="189" t="s">
        <v>758</v>
      </c>
      <c r="O1419" s="189" t="s">
        <v>107</v>
      </c>
      <c r="P1419" s="189" t="s">
        <v>111</v>
      </c>
      <c r="Q1419" s="189" t="s">
        <v>112</v>
      </c>
      <c r="R1419" s="189" t="s">
        <v>22</v>
      </c>
      <c r="S1419" s="189" t="s">
        <v>152</v>
      </c>
      <c r="T1419" s="189" t="s">
        <v>121</v>
      </c>
      <c r="V1419" s="189" t="s">
        <v>167</v>
      </c>
      <c r="W1419" s="189" t="s">
        <v>139</v>
      </c>
      <c r="X1419" s="189" t="s">
        <v>339</v>
      </c>
      <c r="Y1419" s="189" t="s">
        <v>3066</v>
      </c>
      <c r="Z1419" s="0" t="n">
        <v>1</v>
      </c>
      <c r="AA1419" s="189" t="s">
        <v>3143</v>
      </c>
    </row>
    <row r="1420" customFormat="false" ht="15" hidden="false" customHeight="false" outlineLevel="0" collapsed="false">
      <c r="A1420" s="0" t="n">
        <v>304</v>
      </c>
      <c r="B1420" s="191" t="n">
        <v>46052.5350590173</v>
      </c>
      <c r="C1420" s="191" t="n">
        <v>46052.5480682765</v>
      </c>
      <c r="D1420" s="189" t="s">
        <v>2009</v>
      </c>
      <c r="E1420" s="189" t="s">
        <v>2010</v>
      </c>
      <c r="F1420" s="189" t="s">
        <v>2010</v>
      </c>
      <c r="G1420" s="189" t="s">
        <v>2011</v>
      </c>
      <c r="H1420" s="191" t="n">
        <v>46043</v>
      </c>
      <c r="I1420" s="189" t="s">
        <v>113</v>
      </c>
      <c r="J1420" s="189" t="s">
        <v>108</v>
      </c>
      <c r="K1420" s="189" t="s">
        <v>2012</v>
      </c>
      <c r="L1420" s="189" t="s">
        <v>210</v>
      </c>
      <c r="M1420" s="189" t="s">
        <v>1074</v>
      </c>
      <c r="N1420" s="189" t="s">
        <v>758</v>
      </c>
      <c r="O1420" s="189" t="s">
        <v>107</v>
      </c>
      <c r="P1420" s="189" t="s">
        <v>111</v>
      </c>
      <c r="Q1420" s="189" t="s">
        <v>112</v>
      </c>
      <c r="R1420" s="189" t="s">
        <v>22</v>
      </c>
      <c r="S1420" s="189" t="s">
        <v>152</v>
      </c>
      <c r="T1420" s="189" t="s">
        <v>121</v>
      </c>
      <c r="V1420" s="189" t="s">
        <v>167</v>
      </c>
      <c r="W1420" s="189" t="s">
        <v>139</v>
      </c>
      <c r="X1420" s="189" t="s">
        <v>339</v>
      </c>
      <c r="Y1420" s="189" t="s">
        <v>3069</v>
      </c>
      <c r="Z1420" s="0" t="n">
        <v>1</v>
      </c>
      <c r="AA1420" s="189" t="s">
        <v>122</v>
      </c>
    </row>
    <row r="1421" customFormat="false" ht="15" hidden="false" customHeight="false" outlineLevel="0" collapsed="false">
      <c r="A1421" s="0" t="n">
        <v>305</v>
      </c>
      <c r="B1421" s="191" t="n">
        <v>46164.7967234615</v>
      </c>
      <c r="C1421" s="191" t="n">
        <v>46164.8129734615</v>
      </c>
      <c r="D1421" s="189" t="s">
        <v>2013</v>
      </c>
      <c r="E1421" s="189" t="s">
        <v>2014</v>
      </c>
      <c r="F1421" s="189" t="s">
        <v>2015</v>
      </c>
      <c r="G1421" s="189" t="s">
        <v>2016</v>
      </c>
      <c r="H1421" s="191" t="n">
        <v>46164</v>
      </c>
      <c r="I1421" s="189" t="s">
        <v>113</v>
      </c>
      <c r="J1421" s="189" t="s">
        <v>108</v>
      </c>
      <c r="K1421" s="189" t="s">
        <v>257</v>
      </c>
      <c r="L1421" s="189" t="s">
        <v>110</v>
      </c>
      <c r="M1421" s="189" t="s">
        <v>130</v>
      </c>
      <c r="N1421" s="189" t="s">
        <v>259</v>
      </c>
      <c r="O1421" s="189" t="s">
        <v>260</v>
      </c>
      <c r="P1421" s="189" t="s">
        <v>111</v>
      </c>
      <c r="Q1421" s="189" t="s">
        <v>112</v>
      </c>
      <c r="R1421" s="189" t="s">
        <v>22</v>
      </c>
      <c r="S1421" s="189" t="s">
        <v>120</v>
      </c>
      <c r="T1421" s="189" t="s">
        <v>121</v>
      </c>
      <c r="U1421" s="189" t="s">
        <v>122</v>
      </c>
      <c r="V1421" s="189" t="s">
        <v>167</v>
      </c>
      <c r="W1421" s="189" t="s">
        <v>124</v>
      </c>
      <c r="X1421" s="189" t="s">
        <v>381</v>
      </c>
      <c r="Y1421" s="189" t="s">
        <v>3064</v>
      </c>
      <c r="Z1421" s="0" t="n">
        <v>1</v>
      </c>
      <c r="AA1421" s="189" t="s">
        <v>3249</v>
      </c>
    </row>
    <row r="1422" customFormat="false" ht="15" hidden="false" customHeight="false" outlineLevel="0" collapsed="false">
      <c r="A1422" s="0" t="n">
        <v>305</v>
      </c>
      <c r="B1422" s="191" t="n">
        <v>46164.7967234615</v>
      </c>
      <c r="C1422" s="191" t="n">
        <v>46164.8129734615</v>
      </c>
      <c r="D1422" s="189" t="s">
        <v>2013</v>
      </c>
      <c r="E1422" s="189" t="s">
        <v>2014</v>
      </c>
      <c r="F1422" s="189" t="s">
        <v>2015</v>
      </c>
      <c r="G1422" s="189" t="s">
        <v>2016</v>
      </c>
      <c r="H1422" s="191" t="n">
        <v>46164</v>
      </c>
      <c r="I1422" s="189" t="s">
        <v>113</v>
      </c>
      <c r="J1422" s="189" t="s">
        <v>108</v>
      </c>
      <c r="K1422" s="189" t="s">
        <v>257</v>
      </c>
      <c r="L1422" s="189" t="s">
        <v>110</v>
      </c>
      <c r="M1422" s="189" t="s">
        <v>130</v>
      </c>
      <c r="N1422" s="189" t="s">
        <v>259</v>
      </c>
      <c r="O1422" s="189" t="s">
        <v>260</v>
      </c>
      <c r="P1422" s="189" t="s">
        <v>111</v>
      </c>
      <c r="Q1422" s="189" t="s">
        <v>112</v>
      </c>
      <c r="R1422" s="189" t="s">
        <v>22</v>
      </c>
      <c r="S1422" s="189" t="s">
        <v>120</v>
      </c>
      <c r="T1422" s="189" t="s">
        <v>121</v>
      </c>
      <c r="U1422" s="189" t="s">
        <v>122</v>
      </c>
      <c r="V1422" s="189" t="s">
        <v>167</v>
      </c>
      <c r="W1422" s="189" t="s">
        <v>124</v>
      </c>
      <c r="X1422" s="189" t="s">
        <v>381</v>
      </c>
      <c r="Y1422" s="189" t="s">
        <v>3066</v>
      </c>
      <c r="Z1422" s="0" t="n">
        <v>1</v>
      </c>
      <c r="AA1422" s="189" t="s">
        <v>3160</v>
      </c>
    </row>
    <row r="1423" customFormat="false" ht="15" hidden="false" customHeight="false" outlineLevel="0" collapsed="false">
      <c r="A1423" s="0" t="n">
        <v>305</v>
      </c>
      <c r="B1423" s="191" t="n">
        <v>46164.7967234615</v>
      </c>
      <c r="C1423" s="191" t="n">
        <v>46164.8129734615</v>
      </c>
      <c r="D1423" s="189" t="s">
        <v>2013</v>
      </c>
      <c r="E1423" s="189" t="s">
        <v>2014</v>
      </c>
      <c r="F1423" s="189" t="s">
        <v>2015</v>
      </c>
      <c r="G1423" s="189" t="s">
        <v>2016</v>
      </c>
      <c r="H1423" s="191" t="n">
        <v>46164</v>
      </c>
      <c r="I1423" s="189" t="s">
        <v>113</v>
      </c>
      <c r="J1423" s="189" t="s">
        <v>108</v>
      </c>
      <c r="K1423" s="189" t="s">
        <v>257</v>
      </c>
      <c r="L1423" s="189" t="s">
        <v>110</v>
      </c>
      <c r="M1423" s="189" t="s">
        <v>130</v>
      </c>
      <c r="N1423" s="189" t="s">
        <v>259</v>
      </c>
      <c r="O1423" s="189" t="s">
        <v>260</v>
      </c>
      <c r="P1423" s="189" t="s">
        <v>111</v>
      </c>
      <c r="Q1423" s="189" t="s">
        <v>112</v>
      </c>
      <c r="R1423" s="189" t="s">
        <v>22</v>
      </c>
      <c r="S1423" s="189" t="s">
        <v>120</v>
      </c>
      <c r="T1423" s="189" t="s">
        <v>121</v>
      </c>
      <c r="U1423" s="189" t="s">
        <v>122</v>
      </c>
      <c r="V1423" s="189" t="s">
        <v>167</v>
      </c>
      <c r="W1423" s="189" t="s">
        <v>124</v>
      </c>
      <c r="X1423" s="189" t="s">
        <v>381</v>
      </c>
      <c r="Y1423" s="189" t="s">
        <v>3069</v>
      </c>
      <c r="Z1423" s="0" t="n">
        <v>1</v>
      </c>
      <c r="AA1423" s="189" t="s">
        <v>3162</v>
      </c>
    </row>
    <row r="1424" customFormat="false" ht="15" hidden="false" customHeight="false" outlineLevel="0" collapsed="false">
      <c r="A1424" s="0" t="n">
        <v>305</v>
      </c>
      <c r="B1424" s="191" t="n">
        <v>46164.7967234615</v>
      </c>
      <c r="C1424" s="191" t="n">
        <v>46164.8129734615</v>
      </c>
      <c r="D1424" s="189" t="s">
        <v>2013</v>
      </c>
      <c r="E1424" s="189" t="s">
        <v>2014</v>
      </c>
      <c r="F1424" s="189" t="s">
        <v>2015</v>
      </c>
      <c r="G1424" s="189" t="s">
        <v>2016</v>
      </c>
      <c r="H1424" s="191" t="n">
        <v>46164</v>
      </c>
      <c r="I1424" s="189" t="s">
        <v>113</v>
      </c>
      <c r="J1424" s="189" t="s">
        <v>108</v>
      </c>
      <c r="K1424" s="189" t="s">
        <v>257</v>
      </c>
      <c r="L1424" s="189" t="s">
        <v>110</v>
      </c>
      <c r="M1424" s="189" t="s">
        <v>130</v>
      </c>
      <c r="N1424" s="189" t="s">
        <v>259</v>
      </c>
      <c r="O1424" s="189" t="s">
        <v>260</v>
      </c>
      <c r="P1424" s="189" t="s">
        <v>111</v>
      </c>
      <c r="Q1424" s="189" t="s">
        <v>112</v>
      </c>
      <c r="R1424" s="189" t="s">
        <v>22</v>
      </c>
      <c r="S1424" s="189" t="s">
        <v>120</v>
      </c>
      <c r="T1424" s="189" t="s">
        <v>121</v>
      </c>
      <c r="U1424" s="189" t="s">
        <v>122</v>
      </c>
      <c r="V1424" s="189" t="s">
        <v>167</v>
      </c>
      <c r="W1424" s="189" t="s">
        <v>124</v>
      </c>
      <c r="X1424" s="189" t="s">
        <v>381</v>
      </c>
      <c r="Y1424" s="189" t="s">
        <v>3069</v>
      </c>
      <c r="Z1424" s="0" t="n">
        <v>2</v>
      </c>
      <c r="AA1424" s="189" t="s">
        <v>3163</v>
      </c>
    </row>
    <row r="1425" customFormat="false" ht="15" hidden="false" customHeight="false" outlineLevel="0" collapsed="false">
      <c r="A1425" s="0" t="n">
        <v>306</v>
      </c>
      <c r="B1425" s="191" t="n">
        <v>46146.0315814198</v>
      </c>
      <c r="C1425" s="191" t="n">
        <v>46146.0413383642</v>
      </c>
      <c r="D1425" s="189" t="s">
        <v>2017</v>
      </c>
      <c r="E1425" s="189" t="s">
        <v>2018</v>
      </c>
      <c r="F1425" s="189" t="s">
        <v>2018</v>
      </c>
      <c r="G1425" s="189" t="s">
        <v>2019</v>
      </c>
      <c r="H1425" s="191" t="n">
        <v>46134</v>
      </c>
      <c r="I1425" s="189" t="s">
        <v>336</v>
      </c>
      <c r="J1425" s="189" t="s">
        <v>295</v>
      </c>
      <c r="K1425" s="189" t="s">
        <v>196</v>
      </c>
      <c r="L1425" s="189" t="s">
        <v>268</v>
      </c>
      <c r="M1425" s="189" t="s">
        <v>652</v>
      </c>
      <c r="N1425" s="189" t="s">
        <v>998</v>
      </c>
      <c r="O1425" s="189" t="s">
        <v>244</v>
      </c>
      <c r="P1425" s="189" t="s">
        <v>390</v>
      </c>
      <c r="Q1425" s="189" t="s">
        <v>112</v>
      </c>
      <c r="R1425" s="189" t="s">
        <v>21</v>
      </c>
      <c r="S1425" s="189" t="s">
        <v>152</v>
      </c>
      <c r="T1425" s="189" t="s">
        <v>121</v>
      </c>
      <c r="V1425" s="189" t="s">
        <v>167</v>
      </c>
      <c r="W1425" s="189" t="s">
        <v>124</v>
      </c>
      <c r="X1425" s="189" t="s">
        <v>250</v>
      </c>
      <c r="Y1425" s="189" t="s">
        <v>3064</v>
      </c>
      <c r="Z1425" s="0" t="n">
        <v>1</v>
      </c>
      <c r="AA1425" s="189" t="s">
        <v>3139</v>
      </c>
    </row>
    <row r="1426" customFormat="false" ht="15" hidden="false" customHeight="false" outlineLevel="0" collapsed="false">
      <c r="A1426" s="0" t="n">
        <v>306</v>
      </c>
      <c r="B1426" s="191" t="n">
        <v>46146.0315814198</v>
      </c>
      <c r="C1426" s="191" t="n">
        <v>46146.0413383642</v>
      </c>
      <c r="D1426" s="189" t="s">
        <v>2017</v>
      </c>
      <c r="E1426" s="189" t="s">
        <v>2018</v>
      </c>
      <c r="F1426" s="189" t="s">
        <v>2018</v>
      </c>
      <c r="G1426" s="189" t="s">
        <v>2019</v>
      </c>
      <c r="H1426" s="191" t="n">
        <v>46134</v>
      </c>
      <c r="I1426" s="189" t="s">
        <v>336</v>
      </c>
      <c r="J1426" s="189" t="s">
        <v>295</v>
      </c>
      <c r="K1426" s="189" t="s">
        <v>196</v>
      </c>
      <c r="L1426" s="189" t="s">
        <v>268</v>
      </c>
      <c r="M1426" s="189" t="s">
        <v>652</v>
      </c>
      <c r="N1426" s="189" t="s">
        <v>998</v>
      </c>
      <c r="O1426" s="189" t="s">
        <v>244</v>
      </c>
      <c r="P1426" s="189" t="s">
        <v>390</v>
      </c>
      <c r="Q1426" s="189" t="s">
        <v>112</v>
      </c>
      <c r="R1426" s="189" t="s">
        <v>21</v>
      </c>
      <c r="S1426" s="189" t="s">
        <v>152</v>
      </c>
      <c r="T1426" s="189" t="s">
        <v>121</v>
      </c>
      <c r="V1426" s="189" t="s">
        <v>167</v>
      </c>
      <c r="W1426" s="189" t="s">
        <v>124</v>
      </c>
      <c r="X1426" s="189" t="s">
        <v>250</v>
      </c>
      <c r="Y1426" s="189" t="s">
        <v>3066</v>
      </c>
      <c r="Z1426" s="0" t="n">
        <v>1</v>
      </c>
      <c r="AA1426" s="189" t="s">
        <v>122</v>
      </c>
    </row>
    <row r="1427" customFormat="false" ht="15" hidden="false" customHeight="false" outlineLevel="0" collapsed="false">
      <c r="A1427" s="0" t="n">
        <v>306</v>
      </c>
      <c r="B1427" s="191" t="n">
        <v>46146.0315814198</v>
      </c>
      <c r="C1427" s="191" t="n">
        <v>46146.0413383642</v>
      </c>
      <c r="D1427" s="189" t="s">
        <v>2017</v>
      </c>
      <c r="E1427" s="189" t="s">
        <v>2018</v>
      </c>
      <c r="F1427" s="189" t="s">
        <v>2018</v>
      </c>
      <c r="G1427" s="189" t="s">
        <v>2019</v>
      </c>
      <c r="H1427" s="191" t="n">
        <v>46134</v>
      </c>
      <c r="I1427" s="189" t="s">
        <v>336</v>
      </c>
      <c r="J1427" s="189" t="s">
        <v>295</v>
      </c>
      <c r="K1427" s="189" t="s">
        <v>196</v>
      </c>
      <c r="L1427" s="189" t="s">
        <v>268</v>
      </c>
      <c r="M1427" s="189" t="s">
        <v>652</v>
      </c>
      <c r="N1427" s="189" t="s">
        <v>998</v>
      </c>
      <c r="O1427" s="189" t="s">
        <v>244</v>
      </c>
      <c r="P1427" s="189" t="s">
        <v>390</v>
      </c>
      <c r="Q1427" s="189" t="s">
        <v>112</v>
      </c>
      <c r="R1427" s="189" t="s">
        <v>21</v>
      </c>
      <c r="S1427" s="189" t="s">
        <v>152</v>
      </c>
      <c r="T1427" s="189" t="s">
        <v>121</v>
      </c>
      <c r="V1427" s="189" t="s">
        <v>167</v>
      </c>
      <c r="W1427" s="189" t="s">
        <v>124</v>
      </c>
      <c r="X1427" s="189" t="s">
        <v>250</v>
      </c>
      <c r="Y1427" s="189" t="s">
        <v>3069</v>
      </c>
      <c r="Z1427" s="0" t="n">
        <v>1</v>
      </c>
      <c r="AA1427" s="189" t="s">
        <v>3070</v>
      </c>
    </row>
    <row r="1428" customFormat="false" ht="15" hidden="false" customHeight="false" outlineLevel="0" collapsed="false">
      <c r="A1428" s="0" t="n">
        <v>307</v>
      </c>
      <c r="B1428" s="191" t="n">
        <v>46047.5054023225</v>
      </c>
      <c r="C1428" s="191" t="n">
        <v>46047.5132148225</v>
      </c>
      <c r="D1428" s="189" t="s">
        <v>2020</v>
      </c>
      <c r="E1428" s="189" t="s">
        <v>2021</v>
      </c>
      <c r="F1428" s="189" t="s">
        <v>2021</v>
      </c>
      <c r="G1428" s="189" t="s">
        <v>2022</v>
      </c>
      <c r="H1428" s="191" t="n">
        <v>46039</v>
      </c>
      <c r="I1428" s="189" t="s">
        <v>325</v>
      </c>
      <c r="J1428" s="189" t="s">
        <v>295</v>
      </c>
      <c r="K1428" s="189" t="s">
        <v>2023</v>
      </c>
      <c r="L1428" s="189" t="s">
        <v>246</v>
      </c>
      <c r="M1428" s="189" t="s">
        <v>248</v>
      </c>
      <c r="N1428" s="189" t="s">
        <v>147</v>
      </c>
      <c r="O1428" s="189" t="s">
        <v>278</v>
      </c>
      <c r="P1428" s="189" t="s">
        <v>131</v>
      </c>
      <c r="Q1428" s="189" t="s">
        <v>198</v>
      </c>
      <c r="R1428" s="189" t="s">
        <v>22</v>
      </c>
      <c r="S1428" s="189" t="s">
        <v>152</v>
      </c>
      <c r="T1428" s="189" t="s">
        <v>121</v>
      </c>
      <c r="U1428" s="189" t="s">
        <v>1940</v>
      </c>
      <c r="V1428" s="189" t="s">
        <v>123</v>
      </c>
      <c r="W1428" s="189" t="s">
        <v>124</v>
      </c>
      <c r="X1428" s="189" t="s">
        <v>381</v>
      </c>
      <c r="Y1428" s="189" t="s">
        <v>3064</v>
      </c>
      <c r="Z1428" s="0" t="n">
        <v>1</v>
      </c>
      <c r="AA1428" s="189" t="s">
        <v>3233</v>
      </c>
    </row>
    <row r="1429" customFormat="false" ht="15" hidden="false" customHeight="false" outlineLevel="0" collapsed="false">
      <c r="A1429" s="0" t="n">
        <v>307</v>
      </c>
      <c r="B1429" s="191" t="n">
        <v>46047.5054023225</v>
      </c>
      <c r="C1429" s="191" t="n">
        <v>46047.5132148225</v>
      </c>
      <c r="D1429" s="189" t="s">
        <v>2020</v>
      </c>
      <c r="E1429" s="189" t="s">
        <v>2021</v>
      </c>
      <c r="F1429" s="189" t="s">
        <v>2021</v>
      </c>
      <c r="G1429" s="189" t="s">
        <v>2022</v>
      </c>
      <c r="H1429" s="191" t="n">
        <v>46039</v>
      </c>
      <c r="I1429" s="189" t="s">
        <v>325</v>
      </c>
      <c r="J1429" s="189" t="s">
        <v>295</v>
      </c>
      <c r="K1429" s="189" t="s">
        <v>2023</v>
      </c>
      <c r="L1429" s="189" t="s">
        <v>246</v>
      </c>
      <c r="M1429" s="189" t="s">
        <v>248</v>
      </c>
      <c r="N1429" s="189" t="s">
        <v>147</v>
      </c>
      <c r="O1429" s="189" t="s">
        <v>278</v>
      </c>
      <c r="P1429" s="189" t="s">
        <v>131</v>
      </c>
      <c r="Q1429" s="189" t="s">
        <v>198</v>
      </c>
      <c r="R1429" s="189" t="s">
        <v>22</v>
      </c>
      <c r="S1429" s="189" t="s">
        <v>152</v>
      </c>
      <c r="T1429" s="189" t="s">
        <v>121</v>
      </c>
      <c r="U1429" s="189" t="s">
        <v>1940</v>
      </c>
      <c r="V1429" s="189" t="s">
        <v>123</v>
      </c>
      <c r="W1429" s="189" t="s">
        <v>124</v>
      </c>
      <c r="X1429" s="189" t="s">
        <v>381</v>
      </c>
      <c r="Y1429" s="189" t="s">
        <v>3064</v>
      </c>
      <c r="Z1429" s="0" t="n">
        <v>2</v>
      </c>
      <c r="AA1429" s="189" t="s">
        <v>3159</v>
      </c>
    </row>
    <row r="1430" customFormat="false" ht="15" hidden="false" customHeight="false" outlineLevel="0" collapsed="false">
      <c r="A1430" s="0" t="n">
        <v>307</v>
      </c>
      <c r="B1430" s="191" t="n">
        <v>46047.5054023225</v>
      </c>
      <c r="C1430" s="191" t="n">
        <v>46047.5132148225</v>
      </c>
      <c r="D1430" s="189" t="s">
        <v>2020</v>
      </c>
      <c r="E1430" s="189" t="s">
        <v>2021</v>
      </c>
      <c r="F1430" s="189" t="s">
        <v>2021</v>
      </c>
      <c r="G1430" s="189" t="s">
        <v>2022</v>
      </c>
      <c r="H1430" s="191" t="n">
        <v>46039</v>
      </c>
      <c r="I1430" s="189" t="s">
        <v>325</v>
      </c>
      <c r="J1430" s="189" t="s">
        <v>295</v>
      </c>
      <c r="K1430" s="189" t="s">
        <v>2023</v>
      </c>
      <c r="L1430" s="189" t="s">
        <v>246</v>
      </c>
      <c r="M1430" s="189" t="s">
        <v>248</v>
      </c>
      <c r="N1430" s="189" t="s">
        <v>147</v>
      </c>
      <c r="O1430" s="189" t="s">
        <v>278</v>
      </c>
      <c r="P1430" s="189" t="s">
        <v>131</v>
      </c>
      <c r="Q1430" s="189" t="s">
        <v>198</v>
      </c>
      <c r="R1430" s="189" t="s">
        <v>22</v>
      </c>
      <c r="S1430" s="189" t="s">
        <v>152</v>
      </c>
      <c r="T1430" s="189" t="s">
        <v>121</v>
      </c>
      <c r="U1430" s="189" t="s">
        <v>1940</v>
      </c>
      <c r="V1430" s="189" t="s">
        <v>123</v>
      </c>
      <c r="W1430" s="189" t="s">
        <v>124</v>
      </c>
      <c r="X1430" s="189" t="s">
        <v>381</v>
      </c>
      <c r="Y1430" s="189" t="s">
        <v>3064</v>
      </c>
      <c r="Z1430" s="0" t="n">
        <v>3</v>
      </c>
      <c r="AA1430" s="189" t="s">
        <v>3180</v>
      </c>
    </row>
    <row r="1431" customFormat="false" ht="15" hidden="false" customHeight="false" outlineLevel="0" collapsed="false">
      <c r="A1431" s="0" t="n">
        <v>307</v>
      </c>
      <c r="B1431" s="191" t="n">
        <v>46047.5054023225</v>
      </c>
      <c r="C1431" s="191" t="n">
        <v>46047.5132148225</v>
      </c>
      <c r="D1431" s="189" t="s">
        <v>2020</v>
      </c>
      <c r="E1431" s="189" t="s">
        <v>2021</v>
      </c>
      <c r="F1431" s="189" t="s">
        <v>2021</v>
      </c>
      <c r="G1431" s="189" t="s">
        <v>2022</v>
      </c>
      <c r="H1431" s="191" t="n">
        <v>46039</v>
      </c>
      <c r="I1431" s="189" t="s">
        <v>325</v>
      </c>
      <c r="J1431" s="189" t="s">
        <v>295</v>
      </c>
      <c r="K1431" s="189" t="s">
        <v>2023</v>
      </c>
      <c r="L1431" s="189" t="s">
        <v>246</v>
      </c>
      <c r="M1431" s="189" t="s">
        <v>248</v>
      </c>
      <c r="N1431" s="189" t="s">
        <v>147</v>
      </c>
      <c r="O1431" s="189" t="s">
        <v>278</v>
      </c>
      <c r="P1431" s="189" t="s">
        <v>131</v>
      </c>
      <c r="Q1431" s="189" t="s">
        <v>198</v>
      </c>
      <c r="R1431" s="189" t="s">
        <v>22</v>
      </c>
      <c r="S1431" s="189" t="s">
        <v>152</v>
      </c>
      <c r="T1431" s="189" t="s">
        <v>121</v>
      </c>
      <c r="U1431" s="189" t="s">
        <v>1940</v>
      </c>
      <c r="V1431" s="189" t="s">
        <v>123</v>
      </c>
      <c r="W1431" s="189" t="s">
        <v>124</v>
      </c>
      <c r="X1431" s="189" t="s">
        <v>381</v>
      </c>
      <c r="Y1431" s="189" t="s">
        <v>3066</v>
      </c>
      <c r="Z1431" s="0" t="n">
        <v>1</v>
      </c>
      <c r="AA1431" s="189" t="s">
        <v>3160</v>
      </c>
    </row>
    <row r="1432" customFormat="false" ht="15" hidden="false" customHeight="false" outlineLevel="0" collapsed="false">
      <c r="A1432" s="0" t="n">
        <v>307</v>
      </c>
      <c r="B1432" s="191" t="n">
        <v>46047.5054023225</v>
      </c>
      <c r="C1432" s="191" t="n">
        <v>46047.5132148225</v>
      </c>
      <c r="D1432" s="189" t="s">
        <v>2020</v>
      </c>
      <c r="E1432" s="189" t="s">
        <v>2021</v>
      </c>
      <c r="F1432" s="189" t="s">
        <v>2021</v>
      </c>
      <c r="G1432" s="189" t="s">
        <v>2022</v>
      </c>
      <c r="H1432" s="191" t="n">
        <v>46039</v>
      </c>
      <c r="I1432" s="189" t="s">
        <v>325</v>
      </c>
      <c r="J1432" s="189" t="s">
        <v>295</v>
      </c>
      <c r="K1432" s="189" t="s">
        <v>2023</v>
      </c>
      <c r="L1432" s="189" t="s">
        <v>246</v>
      </c>
      <c r="M1432" s="189" t="s">
        <v>248</v>
      </c>
      <c r="N1432" s="189" t="s">
        <v>147</v>
      </c>
      <c r="O1432" s="189" t="s">
        <v>278</v>
      </c>
      <c r="P1432" s="189" t="s">
        <v>131</v>
      </c>
      <c r="Q1432" s="189" t="s">
        <v>198</v>
      </c>
      <c r="R1432" s="189" t="s">
        <v>22</v>
      </c>
      <c r="S1432" s="189" t="s">
        <v>152</v>
      </c>
      <c r="T1432" s="189" t="s">
        <v>121</v>
      </c>
      <c r="U1432" s="189" t="s">
        <v>1940</v>
      </c>
      <c r="V1432" s="189" t="s">
        <v>123</v>
      </c>
      <c r="W1432" s="189" t="s">
        <v>124</v>
      </c>
      <c r="X1432" s="189" t="s">
        <v>381</v>
      </c>
      <c r="Y1432" s="189" t="s">
        <v>3066</v>
      </c>
      <c r="Z1432" s="0" t="n">
        <v>2</v>
      </c>
      <c r="AA1432" s="189" t="s">
        <v>3161</v>
      </c>
    </row>
    <row r="1433" customFormat="false" ht="15" hidden="false" customHeight="false" outlineLevel="0" collapsed="false">
      <c r="A1433" s="0" t="n">
        <v>307</v>
      </c>
      <c r="B1433" s="191" t="n">
        <v>46047.5054023225</v>
      </c>
      <c r="C1433" s="191" t="n">
        <v>46047.5132148225</v>
      </c>
      <c r="D1433" s="189" t="s">
        <v>2020</v>
      </c>
      <c r="E1433" s="189" t="s">
        <v>2021</v>
      </c>
      <c r="F1433" s="189" t="s">
        <v>2021</v>
      </c>
      <c r="G1433" s="189" t="s">
        <v>2022</v>
      </c>
      <c r="H1433" s="191" t="n">
        <v>46039</v>
      </c>
      <c r="I1433" s="189" t="s">
        <v>325</v>
      </c>
      <c r="J1433" s="189" t="s">
        <v>295</v>
      </c>
      <c r="K1433" s="189" t="s">
        <v>2023</v>
      </c>
      <c r="L1433" s="189" t="s">
        <v>246</v>
      </c>
      <c r="M1433" s="189" t="s">
        <v>248</v>
      </c>
      <c r="N1433" s="189" t="s">
        <v>147</v>
      </c>
      <c r="O1433" s="189" t="s">
        <v>278</v>
      </c>
      <c r="P1433" s="189" t="s">
        <v>131</v>
      </c>
      <c r="Q1433" s="189" t="s">
        <v>198</v>
      </c>
      <c r="R1433" s="189" t="s">
        <v>22</v>
      </c>
      <c r="S1433" s="189" t="s">
        <v>152</v>
      </c>
      <c r="T1433" s="189" t="s">
        <v>121</v>
      </c>
      <c r="U1433" s="189" t="s">
        <v>1940</v>
      </c>
      <c r="V1433" s="189" t="s">
        <v>123</v>
      </c>
      <c r="W1433" s="189" t="s">
        <v>124</v>
      </c>
      <c r="X1433" s="189" t="s">
        <v>381</v>
      </c>
      <c r="Y1433" s="189" t="s">
        <v>3069</v>
      </c>
      <c r="Z1433" s="0" t="n">
        <v>1</v>
      </c>
      <c r="AA1433" s="189" t="s">
        <v>3162</v>
      </c>
    </row>
    <row r="1434" customFormat="false" ht="15" hidden="false" customHeight="false" outlineLevel="0" collapsed="false">
      <c r="A1434" s="0" t="n">
        <v>308</v>
      </c>
      <c r="B1434" s="191" t="n">
        <v>46059.8689974544</v>
      </c>
      <c r="C1434" s="191" t="n">
        <v>46059.8782798618</v>
      </c>
      <c r="D1434" s="189" t="s">
        <v>2025</v>
      </c>
      <c r="E1434" s="189" t="s">
        <v>2026</v>
      </c>
      <c r="F1434" s="189" t="s">
        <v>2026</v>
      </c>
      <c r="G1434" s="189" t="s">
        <v>2027</v>
      </c>
      <c r="H1434" s="191" t="n">
        <v>46039</v>
      </c>
      <c r="I1434" s="189" t="s">
        <v>113</v>
      </c>
      <c r="J1434" s="189" t="s">
        <v>108</v>
      </c>
      <c r="K1434" s="189" t="s">
        <v>196</v>
      </c>
      <c r="L1434" s="189" t="s">
        <v>184</v>
      </c>
      <c r="M1434" s="189" t="s">
        <v>133</v>
      </c>
      <c r="N1434" s="189" t="s">
        <v>1050</v>
      </c>
      <c r="O1434" s="189" t="s">
        <v>713</v>
      </c>
      <c r="P1434" s="189" t="s">
        <v>111</v>
      </c>
      <c r="Q1434" s="189" t="s">
        <v>112</v>
      </c>
      <c r="R1434" s="189" t="s">
        <v>22</v>
      </c>
      <c r="S1434" s="189" t="s">
        <v>152</v>
      </c>
      <c r="T1434" s="189" t="s">
        <v>165</v>
      </c>
      <c r="U1434" s="189" t="s">
        <v>218</v>
      </c>
      <c r="V1434" s="189" t="s">
        <v>167</v>
      </c>
      <c r="W1434" s="189" t="s">
        <v>124</v>
      </c>
      <c r="X1434" s="189" t="s">
        <v>176</v>
      </c>
      <c r="Y1434" s="189" t="s">
        <v>3064</v>
      </c>
      <c r="Z1434" s="0" t="n">
        <v>1</v>
      </c>
      <c r="AA1434" s="189" t="s">
        <v>3084</v>
      </c>
    </row>
    <row r="1435" customFormat="false" ht="15" hidden="false" customHeight="false" outlineLevel="0" collapsed="false">
      <c r="A1435" s="0" t="n">
        <v>308</v>
      </c>
      <c r="B1435" s="191" t="n">
        <v>46059.8689974544</v>
      </c>
      <c r="C1435" s="191" t="n">
        <v>46059.8782798618</v>
      </c>
      <c r="D1435" s="189" t="s">
        <v>2025</v>
      </c>
      <c r="E1435" s="189" t="s">
        <v>2026</v>
      </c>
      <c r="F1435" s="189" t="s">
        <v>2026</v>
      </c>
      <c r="G1435" s="189" t="s">
        <v>2027</v>
      </c>
      <c r="H1435" s="191" t="n">
        <v>46039</v>
      </c>
      <c r="I1435" s="189" t="s">
        <v>113</v>
      </c>
      <c r="J1435" s="189" t="s">
        <v>108</v>
      </c>
      <c r="K1435" s="189" t="s">
        <v>196</v>
      </c>
      <c r="L1435" s="189" t="s">
        <v>184</v>
      </c>
      <c r="M1435" s="189" t="s">
        <v>133</v>
      </c>
      <c r="N1435" s="189" t="s">
        <v>1050</v>
      </c>
      <c r="O1435" s="189" t="s">
        <v>713</v>
      </c>
      <c r="P1435" s="189" t="s">
        <v>111</v>
      </c>
      <c r="Q1435" s="189" t="s">
        <v>112</v>
      </c>
      <c r="R1435" s="189" t="s">
        <v>22</v>
      </c>
      <c r="S1435" s="189" t="s">
        <v>152</v>
      </c>
      <c r="T1435" s="189" t="s">
        <v>165</v>
      </c>
      <c r="U1435" s="189" t="s">
        <v>218</v>
      </c>
      <c r="V1435" s="189" t="s">
        <v>167</v>
      </c>
      <c r="W1435" s="189" t="s">
        <v>124</v>
      </c>
      <c r="X1435" s="189" t="s">
        <v>176</v>
      </c>
      <c r="Y1435" s="189" t="s">
        <v>3064</v>
      </c>
      <c r="Z1435" s="0" t="n">
        <v>2</v>
      </c>
      <c r="AA1435" s="189" t="s">
        <v>3269</v>
      </c>
    </row>
    <row r="1436" customFormat="false" ht="15" hidden="false" customHeight="false" outlineLevel="0" collapsed="false">
      <c r="A1436" s="0" t="n">
        <v>308</v>
      </c>
      <c r="B1436" s="191" t="n">
        <v>46059.8689974544</v>
      </c>
      <c r="C1436" s="191" t="n">
        <v>46059.8782798618</v>
      </c>
      <c r="D1436" s="189" t="s">
        <v>2025</v>
      </c>
      <c r="E1436" s="189" t="s">
        <v>2026</v>
      </c>
      <c r="F1436" s="189" t="s">
        <v>2026</v>
      </c>
      <c r="G1436" s="189" t="s">
        <v>2027</v>
      </c>
      <c r="H1436" s="191" t="n">
        <v>46039</v>
      </c>
      <c r="I1436" s="189" t="s">
        <v>113</v>
      </c>
      <c r="J1436" s="189" t="s">
        <v>108</v>
      </c>
      <c r="K1436" s="189" t="s">
        <v>196</v>
      </c>
      <c r="L1436" s="189" t="s">
        <v>184</v>
      </c>
      <c r="M1436" s="189" t="s">
        <v>133</v>
      </c>
      <c r="N1436" s="189" t="s">
        <v>1050</v>
      </c>
      <c r="O1436" s="189" t="s">
        <v>713</v>
      </c>
      <c r="P1436" s="189" t="s">
        <v>111</v>
      </c>
      <c r="Q1436" s="189" t="s">
        <v>112</v>
      </c>
      <c r="R1436" s="189" t="s">
        <v>22</v>
      </c>
      <c r="S1436" s="189" t="s">
        <v>152</v>
      </c>
      <c r="T1436" s="189" t="s">
        <v>165</v>
      </c>
      <c r="U1436" s="189" t="s">
        <v>218</v>
      </c>
      <c r="V1436" s="189" t="s">
        <v>167</v>
      </c>
      <c r="W1436" s="189" t="s">
        <v>124</v>
      </c>
      <c r="X1436" s="189" t="s">
        <v>176</v>
      </c>
      <c r="Y1436" s="189" t="s">
        <v>3064</v>
      </c>
      <c r="Z1436" s="0" t="n">
        <v>3</v>
      </c>
      <c r="AA1436" s="189" t="s">
        <v>3300</v>
      </c>
    </row>
    <row r="1437" customFormat="false" ht="15" hidden="false" customHeight="false" outlineLevel="0" collapsed="false">
      <c r="A1437" s="0" t="n">
        <v>308</v>
      </c>
      <c r="B1437" s="191" t="n">
        <v>46059.8689974544</v>
      </c>
      <c r="C1437" s="191" t="n">
        <v>46059.8782798618</v>
      </c>
      <c r="D1437" s="189" t="s">
        <v>2025</v>
      </c>
      <c r="E1437" s="189" t="s">
        <v>2026</v>
      </c>
      <c r="F1437" s="189" t="s">
        <v>2026</v>
      </c>
      <c r="G1437" s="189" t="s">
        <v>2027</v>
      </c>
      <c r="H1437" s="191" t="n">
        <v>46039</v>
      </c>
      <c r="I1437" s="189" t="s">
        <v>113</v>
      </c>
      <c r="J1437" s="189" t="s">
        <v>108</v>
      </c>
      <c r="K1437" s="189" t="s">
        <v>196</v>
      </c>
      <c r="L1437" s="189" t="s">
        <v>184</v>
      </c>
      <c r="M1437" s="189" t="s">
        <v>133</v>
      </c>
      <c r="N1437" s="189" t="s">
        <v>1050</v>
      </c>
      <c r="O1437" s="189" t="s">
        <v>713</v>
      </c>
      <c r="P1437" s="189" t="s">
        <v>111</v>
      </c>
      <c r="Q1437" s="189" t="s">
        <v>112</v>
      </c>
      <c r="R1437" s="189" t="s">
        <v>22</v>
      </c>
      <c r="S1437" s="189" t="s">
        <v>152</v>
      </c>
      <c r="T1437" s="189" t="s">
        <v>165</v>
      </c>
      <c r="U1437" s="189" t="s">
        <v>218</v>
      </c>
      <c r="V1437" s="189" t="s">
        <v>167</v>
      </c>
      <c r="W1437" s="189" t="s">
        <v>124</v>
      </c>
      <c r="X1437" s="189" t="s">
        <v>176</v>
      </c>
      <c r="Y1437" s="189" t="s">
        <v>3066</v>
      </c>
      <c r="Z1437" s="0" t="n">
        <v>1</v>
      </c>
      <c r="AA1437" s="189" t="s">
        <v>3293</v>
      </c>
    </row>
    <row r="1438" customFormat="false" ht="15" hidden="false" customHeight="false" outlineLevel="0" collapsed="false">
      <c r="A1438" s="0" t="n">
        <v>308</v>
      </c>
      <c r="B1438" s="191" t="n">
        <v>46059.8689974544</v>
      </c>
      <c r="C1438" s="191" t="n">
        <v>46059.8782798618</v>
      </c>
      <c r="D1438" s="189" t="s">
        <v>2025</v>
      </c>
      <c r="E1438" s="189" t="s">
        <v>2026</v>
      </c>
      <c r="F1438" s="189" t="s">
        <v>2026</v>
      </c>
      <c r="G1438" s="189" t="s">
        <v>2027</v>
      </c>
      <c r="H1438" s="191" t="n">
        <v>46039</v>
      </c>
      <c r="I1438" s="189" t="s">
        <v>113</v>
      </c>
      <c r="J1438" s="189" t="s">
        <v>108</v>
      </c>
      <c r="K1438" s="189" t="s">
        <v>196</v>
      </c>
      <c r="L1438" s="189" t="s">
        <v>184</v>
      </c>
      <c r="M1438" s="189" t="s">
        <v>133</v>
      </c>
      <c r="N1438" s="189" t="s">
        <v>1050</v>
      </c>
      <c r="O1438" s="189" t="s">
        <v>713</v>
      </c>
      <c r="P1438" s="189" t="s">
        <v>111</v>
      </c>
      <c r="Q1438" s="189" t="s">
        <v>112</v>
      </c>
      <c r="R1438" s="189" t="s">
        <v>22</v>
      </c>
      <c r="S1438" s="189" t="s">
        <v>152</v>
      </c>
      <c r="T1438" s="189" t="s">
        <v>165</v>
      </c>
      <c r="U1438" s="189" t="s">
        <v>218</v>
      </c>
      <c r="V1438" s="189" t="s">
        <v>167</v>
      </c>
      <c r="W1438" s="189" t="s">
        <v>124</v>
      </c>
      <c r="X1438" s="189" t="s">
        <v>176</v>
      </c>
      <c r="Y1438" s="189" t="s">
        <v>3069</v>
      </c>
      <c r="Z1438" s="0" t="n">
        <v>1</v>
      </c>
      <c r="AA1438" s="189" t="s">
        <v>122</v>
      </c>
    </row>
    <row r="1439" customFormat="false" ht="15" hidden="false" customHeight="false" outlineLevel="0" collapsed="false">
      <c r="A1439" s="0" t="n">
        <v>309</v>
      </c>
      <c r="B1439" s="191" t="n">
        <v>46046.080322315</v>
      </c>
      <c r="C1439" s="191" t="n">
        <v>46046.0926139817</v>
      </c>
      <c r="D1439" s="189" t="s">
        <v>2029</v>
      </c>
      <c r="E1439" s="189" t="s">
        <v>2030</v>
      </c>
      <c r="F1439" s="189" t="s">
        <v>2030</v>
      </c>
      <c r="G1439" s="189" t="s">
        <v>2031</v>
      </c>
      <c r="H1439" s="191" t="n">
        <v>46029</v>
      </c>
      <c r="I1439" s="189" t="s">
        <v>336</v>
      </c>
      <c r="J1439" s="189" t="s">
        <v>128</v>
      </c>
      <c r="K1439" s="189" t="s">
        <v>2032</v>
      </c>
      <c r="L1439" s="189" t="s">
        <v>184</v>
      </c>
      <c r="M1439" s="189" t="s">
        <v>1380</v>
      </c>
      <c r="N1439" s="189" t="s">
        <v>337</v>
      </c>
      <c r="O1439" s="189" t="s">
        <v>1506</v>
      </c>
      <c r="P1439" s="189" t="s">
        <v>111</v>
      </c>
      <c r="Q1439" s="189" t="s">
        <v>112</v>
      </c>
      <c r="R1439" s="189" t="s">
        <v>22</v>
      </c>
      <c r="S1439" s="189" t="s">
        <v>120</v>
      </c>
      <c r="T1439" s="189" t="s">
        <v>121</v>
      </c>
      <c r="V1439" s="189" t="s">
        <v>123</v>
      </c>
      <c r="W1439" s="189" t="s">
        <v>124</v>
      </c>
      <c r="X1439" s="189" t="s">
        <v>135</v>
      </c>
      <c r="Y1439" s="189" t="s">
        <v>3064</v>
      </c>
      <c r="Z1439" s="0" t="n">
        <v>1</v>
      </c>
      <c r="AA1439" s="189" t="s">
        <v>3183</v>
      </c>
    </row>
    <row r="1440" customFormat="false" ht="15" hidden="false" customHeight="false" outlineLevel="0" collapsed="false">
      <c r="A1440" s="0" t="n">
        <v>309</v>
      </c>
      <c r="B1440" s="191" t="n">
        <v>46046.080322315</v>
      </c>
      <c r="C1440" s="191" t="n">
        <v>46046.0926139817</v>
      </c>
      <c r="D1440" s="189" t="s">
        <v>2029</v>
      </c>
      <c r="E1440" s="189" t="s">
        <v>2030</v>
      </c>
      <c r="F1440" s="189" t="s">
        <v>2030</v>
      </c>
      <c r="G1440" s="189" t="s">
        <v>2031</v>
      </c>
      <c r="H1440" s="191" t="n">
        <v>46029</v>
      </c>
      <c r="I1440" s="189" t="s">
        <v>336</v>
      </c>
      <c r="J1440" s="189" t="s">
        <v>128</v>
      </c>
      <c r="K1440" s="189" t="s">
        <v>2032</v>
      </c>
      <c r="L1440" s="189" t="s">
        <v>184</v>
      </c>
      <c r="M1440" s="189" t="s">
        <v>1380</v>
      </c>
      <c r="N1440" s="189" t="s">
        <v>337</v>
      </c>
      <c r="O1440" s="189" t="s">
        <v>1506</v>
      </c>
      <c r="P1440" s="189" t="s">
        <v>111</v>
      </c>
      <c r="Q1440" s="189" t="s">
        <v>112</v>
      </c>
      <c r="R1440" s="189" t="s">
        <v>22</v>
      </c>
      <c r="S1440" s="189" t="s">
        <v>120</v>
      </c>
      <c r="T1440" s="189" t="s">
        <v>121</v>
      </c>
      <c r="V1440" s="189" t="s">
        <v>123</v>
      </c>
      <c r="W1440" s="189" t="s">
        <v>124</v>
      </c>
      <c r="X1440" s="189" t="s">
        <v>135</v>
      </c>
      <c r="Y1440" s="189" t="s">
        <v>3064</v>
      </c>
      <c r="Z1440" s="0" t="n">
        <v>2</v>
      </c>
      <c r="AA1440" s="189" t="s">
        <v>3072</v>
      </c>
    </row>
    <row r="1441" customFormat="false" ht="15" hidden="false" customHeight="false" outlineLevel="0" collapsed="false">
      <c r="A1441" s="0" t="n">
        <v>309</v>
      </c>
      <c r="B1441" s="191" t="n">
        <v>46046.080322315</v>
      </c>
      <c r="C1441" s="191" t="n">
        <v>46046.0926139817</v>
      </c>
      <c r="D1441" s="189" t="s">
        <v>2029</v>
      </c>
      <c r="E1441" s="189" t="s">
        <v>2030</v>
      </c>
      <c r="F1441" s="189" t="s">
        <v>2030</v>
      </c>
      <c r="G1441" s="189" t="s">
        <v>2031</v>
      </c>
      <c r="H1441" s="191" t="n">
        <v>46029</v>
      </c>
      <c r="I1441" s="189" t="s">
        <v>336</v>
      </c>
      <c r="J1441" s="189" t="s">
        <v>128</v>
      </c>
      <c r="K1441" s="189" t="s">
        <v>2032</v>
      </c>
      <c r="L1441" s="189" t="s">
        <v>184</v>
      </c>
      <c r="M1441" s="189" t="s">
        <v>1380</v>
      </c>
      <c r="N1441" s="189" t="s">
        <v>337</v>
      </c>
      <c r="O1441" s="189" t="s">
        <v>1506</v>
      </c>
      <c r="P1441" s="189" t="s">
        <v>111</v>
      </c>
      <c r="Q1441" s="189" t="s">
        <v>112</v>
      </c>
      <c r="R1441" s="189" t="s">
        <v>22</v>
      </c>
      <c r="S1441" s="189" t="s">
        <v>120</v>
      </c>
      <c r="T1441" s="189" t="s">
        <v>121</v>
      </c>
      <c r="V1441" s="189" t="s">
        <v>123</v>
      </c>
      <c r="W1441" s="189" t="s">
        <v>124</v>
      </c>
      <c r="X1441" s="189" t="s">
        <v>135</v>
      </c>
      <c r="Y1441" s="189" t="s">
        <v>3064</v>
      </c>
      <c r="Z1441" s="0" t="n">
        <v>3</v>
      </c>
      <c r="AA1441" s="189" t="s">
        <v>3073</v>
      </c>
    </row>
    <row r="1442" customFormat="false" ht="15" hidden="false" customHeight="false" outlineLevel="0" collapsed="false">
      <c r="A1442" s="0" t="n">
        <v>309</v>
      </c>
      <c r="B1442" s="191" t="n">
        <v>46046.080322315</v>
      </c>
      <c r="C1442" s="191" t="n">
        <v>46046.0926139817</v>
      </c>
      <c r="D1442" s="189" t="s">
        <v>2029</v>
      </c>
      <c r="E1442" s="189" t="s">
        <v>2030</v>
      </c>
      <c r="F1442" s="189" t="s">
        <v>2030</v>
      </c>
      <c r="G1442" s="189" t="s">
        <v>2031</v>
      </c>
      <c r="H1442" s="191" t="n">
        <v>46029</v>
      </c>
      <c r="I1442" s="189" t="s">
        <v>336</v>
      </c>
      <c r="J1442" s="189" t="s">
        <v>128</v>
      </c>
      <c r="K1442" s="189" t="s">
        <v>2032</v>
      </c>
      <c r="L1442" s="189" t="s">
        <v>184</v>
      </c>
      <c r="M1442" s="189" t="s">
        <v>1380</v>
      </c>
      <c r="N1442" s="189" t="s">
        <v>337</v>
      </c>
      <c r="O1442" s="189" t="s">
        <v>1506</v>
      </c>
      <c r="P1442" s="189" t="s">
        <v>111</v>
      </c>
      <c r="Q1442" s="189" t="s">
        <v>112</v>
      </c>
      <c r="R1442" s="189" t="s">
        <v>22</v>
      </c>
      <c r="S1442" s="189" t="s">
        <v>120</v>
      </c>
      <c r="T1442" s="189" t="s">
        <v>121</v>
      </c>
      <c r="V1442" s="189" t="s">
        <v>123</v>
      </c>
      <c r="W1442" s="189" t="s">
        <v>124</v>
      </c>
      <c r="X1442" s="189" t="s">
        <v>135</v>
      </c>
      <c r="Y1442" s="189" t="s">
        <v>3066</v>
      </c>
      <c r="Z1442" s="0" t="n">
        <v>1</v>
      </c>
      <c r="AA1442" s="189" t="s">
        <v>3074</v>
      </c>
    </row>
    <row r="1443" customFormat="false" ht="15" hidden="false" customHeight="false" outlineLevel="0" collapsed="false">
      <c r="A1443" s="0" t="n">
        <v>309</v>
      </c>
      <c r="B1443" s="191" t="n">
        <v>46046.080322315</v>
      </c>
      <c r="C1443" s="191" t="n">
        <v>46046.0926139817</v>
      </c>
      <c r="D1443" s="189" t="s">
        <v>2029</v>
      </c>
      <c r="E1443" s="189" t="s">
        <v>2030</v>
      </c>
      <c r="F1443" s="189" t="s">
        <v>2030</v>
      </c>
      <c r="G1443" s="189" t="s">
        <v>2031</v>
      </c>
      <c r="H1443" s="191" t="n">
        <v>46029</v>
      </c>
      <c r="I1443" s="189" t="s">
        <v>336</v>
      </c>
      <c r="J1443" s="189" t="s">
        <v>128</v>
      </c>
      <c r="K1443" s="189" t="s">
        <v>2032</v>
      </c>
      <c r="L1443" s="189" t="s">
        <v>184</v>
      </c>
      <c r="M1443" s="189" t="s">
        <v>1380</v>
      </c>
      <c r="N1443" s="189" t="s">
        <v>337</v>
      </c>
      <c r="O1443" s="189" t="s">
        <v>1506</v>
      </c>
      <c r="P1443" s="189" t="s">
        <v>111</v>
      </c>
      <c r="Q1443" s="189" t="s">
        <v>112</v>
      </c>
      <c r="R1443" s="189" t="s">
        <v>22</v>
      </c>
      <c r="S1443" s="189" t="s">
        <v>120</v>
      </c>
      <c r="T1443" s="189" t="s">
        <v>121</v>
      </c>
      <c r="V1443" s="189" t="s">
        <v>123</v>
      </c>
      <c r="W1443" s="189" t="s">
        <v>124</v>
      </c>
      <c r="X1443" s="189" t="s">
        <v>135</v>
      </c>
      <c r="Y1443" s="189" t="s">
        <v>3069</v>
      </c>
      <c r="Z1443" s="0" t="n">
        <v>1</v>
      </c>
      <c r="AA1443" s="189" t="s">
        <v>3212</v>
      </c>
    </row>
    <row r="1444" customFormat="false" ht="15" hidden="false" customHeight="false" outlineLevel="0" collapsed="false">
      <c r="A1444" s="0" t="n">
        <v>309</v>
      </c>
      <c r="B1444" s="191" t="n">
        <v>46046.080322315</v>
      </c>
      <c r="C1444" s="191" t="n">
        <v>46046.0926139817</v>
      </c>
      <c r="D1444" s="189" t="s">
        <v>2029</v>
      </c>
      <c r="E1444" s="189" t="s">
        <v>2030</v>
      </c>
      <c r="F1444" s="189" t="s">
        <v>2030</v>
      </c>
      <c r="G1444" s="189" t="s">
        <v>2031</v>
      </c>
      <c r="H1444" s="191" t="n">
        <v>46029</v>
      </c>
      <c r="I1444" s="189" t="s">
        <v>336</v>
      </c>
      <c r="J1444" s="189" t="s">
        <v>128</v>
      </c>
      <c r="K1444" s="189" t="s">
        <v>2032</v>
      </c>
      <c r="L1444" s="189" t="s">
        <v>184</v>
      </c>
      <c r="M1444" s="189" t="s">
        <v>1380</v>
      </c>
      <c r="N1444" s="189" t="s">
        <v>337</v>
      </c>
      <c r="O1444" s="189" t="s">
        <v>1506</v>
      </c>
      <c r="P1444" s="189" t="s">
        <v>111</v>
      </c>
      <c r="Q1444" s="189" t="s">
        <v>112</v>
      </c>
      <c r="R1444" s="189" t="s">
        <v>22</v>
      </c>
      <c r="S1444" s="189" t="s">
        <v>120</v>
      </c>
      <c r="T1444" s="189" t="s">
        <v>121</v>
      </c>
      <c r="V1444" s="189" t="s">
        <v>123</v>
      </c>
      <c r="W1444" s="189" t="s">
        <v>124</v>
      </c>
      <c r="X1444" s="189" t="s">
        <v>135</v>
      </c>
      <c r="Y1444" s="189" t="s">
        <v>3069</v>
      </c>
      <c r="Z1444" s="0" t="n">
        <v>2</v>
      </c>
      <c r="AA1444" s="189" t="s">
        <v>3152</v>
      </c>
    </row>
    <row r="1445" customFormat="false" ht="15" hidden="false" customHeight="false" outlineLevel="0" collapsed="false">
      <c r="A1445" s="0" t="n">
        <v>310</v>
      </c>
      <c r="B1445" s="191" t="n">
        <v>46061.8144224713</v>
      </c>
      <c r="C1445" s="191" t="n">
        <v>46061.833427101</v>
      </c>
      <c r="D1445" s="189" t="s">
        <v>2034</v>
      </c>
      <c r="E1445" s="189" t="s">
        <v>2035</v>
      </c>
      <c r="F1445" s="189" t="s">
        <v>2035</v>
      </c>
      <c r="G1445" s="189" t="s">
        <v>2036</v>
      </c>
      <c r="H1445" s="191" t="n">
        <v>46052</v>
      </c>
      <c r="I1445" s="189" t="s">
        <v>113</v>
      </c>
      <c r="J1445" s="189" t="s">
        <v>295</v>
      </c>
      <c r="K1445" s="189" t="s">
        <v>173</v>
      </c>
      <c r="L1445" s="189" t="s">
        <v>130</v>
      </c>
      <c r="M1445" s="189" t="s">
        <v>269</v>
      </c>
      <c r="N1445" s="189" t="s">
        <v>1140</v>
      </c>
      <c r="O1445" s="189" t="s">
        <v>172</v>
      </c>
      <c r="P1445" s="189" t="s">
        <v>111</v>
      </c>
      <c r="Q1445" s="189" t="s">
        <v>112</v>
      </c>
      <c r="R1445" s="189" t="s">
        <v>22</v>
      </c>
      <c r="S1445" s="189" t="s">
        <v>152</v>
      </c>
      <c r="T1445" s="189" t="s">
        <v>121</v>
      </c>
      <c r="U1445" s="189" t="s">
        <v>2039</v>
      </c>
      <c r="V1445" s="189" t="s">
        <v>167</v>
      </c>
      <c r="W1445" s="189" t="s">
        <v>124</v>
      </c>
      <c r="X1445" s="189" t="s">
        <v>298</v>
      </c>
      <c r="Y1445" s="189" t="s">
        <v>3064</v>
      </c>
      <c r="Z1445" s="0" t="n">
        <v>1</v>
      </c>
      <c r="AA1445" s="189" t="s">
        <v>3195</v>
      </c>
    </row>
    <row r="1446" customFormat="false" ht="15" hidden="false" customHeight="false" outlineLevel="0" collapsed="false">
      <c r="A1446" s="0" t="n">
        <v>310</v>
      </c>
      <c r="B1446" s="191" t="n">
        <v>46061.8144224713</v>
      </c>
      <c r="C1446" s="191" t="n">
        <v>46061.833427101</v>
      </c>
      <c r="D1446" s="189" t="s">
        <v>2034</v>
      </c>
      <c r="E1446" s="189" t="s">
        <v>2035</v>
      </c>
      <c r="F1446" s="189" t="s">
        <v>2035</v>
      </c>
      <c r="G1446" s="189" t="s">
        <v>2036</v>
      </c>
      <c r="H1446" s="191" t="n">
        <v>46052</v>
      </c>
      <c r="I1446" s="189" t="s">
        <v>113</v>
      </c>
      <c r="J1446" s="189" t="s">
        <v>295</v>
      </c>
      <c r="K1446" s="189" t="s">
        <v>173</v>
      </c>
      <c r="L1446" s="189" t="s">
        <v>130</v>
      </c>
      <c r="M1446" s="189" t="s">
        <v>269</v>
      </c>
      <c r="N1446" s="189" t="s">
        <v>1140</v>
      </c>
      <c r="O1446" s="189" t="s">
        <v>172</v>
      </c>
      <c r="P1446" s="189" t="s">
        <v>111</v>
      </c>
      <c r="Q1446" s="189" t="s">
        <v>112</v>
      </c>
      <c r="R1446" s="189" t="s">
        <v>22</v>
      </c>
      <c r="S1446" s="189" t="s">
        <v>152</v>
      </c>
      <c r="T1446" s="189" t="s">
        <v>121</v>
      </c>
      <c r="U1446" s="189" t="s">
        <v>2039</v>
      </c>
      <c r="V1446" s="189" t="s">
        <v>167</v>
      </c>
      <c r="W1446" s="189" t="s">
        <v>124</v>
      </c>
      <c r="X1446" s="189" t="s">
        <v>298</v>
      </c>
      <c r="Y1446" s="189" t="s">
        <v>3066</v>
      </c>
      <c r="Z1446" s="0" t="n">
        <v>1</v>
      </c>
      <c r="AA1446" s="189" t="s">
        <v>3126</v>
      </c>
    </row>
    <row r="1447" customFormat="false" ht="15" hidden="false" customHeight="false" outlineLevel="0" collapsed="false">
      <c r="A1447" s="0" t="n">
        <v>310</v>
      </c>
      <c r="B1447" s="191" t="n">
        <v>46061.8144224713</v>
      </c>
      <c r="C1447" s="191" t="n">
        <v>46061.833427101</v>
      </c>
      <c r="D1447" s="189" t="s">
        <v>2034</v>
      </c>
      <c r="E1447" s="189" t="s">
        <v>2035</v>
      </c>
      <c r="F1447" s="189" t="s">
        <v>2035</v>
      </c>
      <c r="G1447" s="189" t="s">
        <v>2036</v>
      </c>
      <c r="H1447" s="191" t="n">
        <v>46052</v>
      </c>
      <c r="I1447" s="189" t="s">
        <v>113</v>
      </c>
      <c r="J1447" s="189" t="s">
        <v>295</v>
      </c>
      <c r="K1447" s="189" t="s">
        <v>173</v>
      </c>
      <c r="L1447" s="189" t="s">
        <v>130</v>
      </c>
      <c r="M1447" s="189" t="s">
        <v>269</v>
      </c>
      <c r="N1447" s="189" t="s">
        <v>1140</v>
      </c>
      <c r="O1447" s="189" t="s">
        <v>172</v>
      </c>
      <c r="P1447" s="189" t="s">
        <v>111</v>
      </c>
      <c r="Q1447" s="189" t="s">
        <v>112</v>
      </c>
      <c r="R1447" s="189" t="s">
        <v>22</v>
      </c>
      <c r="S1447" s="189" t="s">
        <v>152</v>
      </c>
      <c r="T1447" s="189" t="s">
        <v>121</v>
      </c>
      <c r="U1447" s="189" t="s">
        <v>2039</v>
      </c>
      <c r="V1447" s="189" t="s">
        <v>167</v>
      </c>
      <c r="W1447" s="189" t="s">
        <v>124</v>
      </c>
      <c r="X1447" s="189" t="s">
        <v>298</v>
      </c>
      <c r="Y1447" s="189" t="s">
        <v>3066</v>
      </c>
      <c r="Z1447" s="0" t="n">
        <v>2</v>
      </c>
      <c r="AA1447" s="189" t="s">
        <v>3267</v>
      </c>
    </row>
    <row r="1448" customFormat="false" ht="15" hidden="false" customHeight="false" outlineLevel="0" collapsed="false">
      <c r="A1448" s="0" t="n">
        <v>310</v>
      </c>
      <c r="B1448" s="191" t="n">
        <v>46061.8144224713</v>
      </c>
      <c r="C1448" s="191" t="n">
        <v>46061.833427101</v>
      </c>
      <c r="D1448" s="189" t="s">
        <v>2034</v>
      </c>
      <c r="E1448" s="189" t="s">
        <v>2035</v>
      </c>
      <c r="F1448" s="189" t="s">
        <v>2035</v>
      </c>
      <c r="G1448" s="189" t="s">
        <v>2036</v>
      </c>
      <c r="H1448" s="191" t="n">
        <v>46052</v>
      </c>
      <c r="I1448" s="189" t="s">
        <v>113</v>
      </c>
      <c r="J1448" s="189" t="s">
        <v>295</v>
      </c>
      <c r="K1448" s="189" t="s">
        <v>173</v>
      </c>
      <c r="L1448" s="189" t="s">
        <v>130</v>
      </c>
      <c r="M1448" s="189" t="s">
        <v>269</v>
      </c>
      <c r="N1448" s="189" t="s">
        <v>1140</v>
      </c>
      <c r="O1448" s="189" t="s">
        <v>172</v>
      </c>
      <c r="P1448" s="189" t="s">
        <v>111</v>
      </c>
      <c r="Q1448" s="189" t="s">
        <v>112</v>
      </c>
      <c r="R1448" s="189" t="s">
        <v>22</v>
      </c>
      <c r="S1448" s="189" t="s">
        <v>152</v>
      </c>
      <c r="T1448" s="189" t="s">
        <v>121</v>
      </c>
      <c r="U1448" s="189" t="s">
        <v>2039</v>
      </c>
      <c r="V1448" s="189" t="s">
        <v>167</v>
      </c>
      <c r="W1448" s="189" t="s">
        <v>124</v>
      </c>
      <c r="X1448" s="189" t="s">
        <v>298</v>
      </c>
      <c r="Y1448" s="189" t="s">
        <v>3069</v>
      </c>
      <c r="Z1448" s="0" t="n">
        <v>1</v>
      </c>
      <c r="AA1448" s="189" t="s">
        <v>122</v>
      </c>
    </row>
    <row r="1449" customFormat="false" ht="15" hidden="false" customHeight="false" outlineLevel="0" collapsed="false">
      <c r="A1449" s="0" t="n">
        <v>310</v>
      </c>
      <c r="B1449" s="191" t="n">
        <v>46061.8144224713</v>
      </c>
      <c r="C1449" s="191" t="n">
        <v>46061.833427101</v>
      </c>
      <c r="D1449" s="189" t="s">
        <v>2034</v>
      </c>
      <c r="E1449" s="189" t="s">
        <v>2035</v>
      </c>
      <c r="F1449" s="189" t="s">
        <v>2035</v>
      </c>
      <c r="G1449" s="189" t="s">
        <v>2036</v>
      </c>
      <c r="H1449" s="191" t="n">
        <v>46052</v>
      </c>
      <c r="I1449" s="189" t="s">
        <v>113</v>
      </c>
      <c r="J1449" s="189" t="s">
        <v>295</v>
      </c>
      <c r="K1449" s="189" t="s">
        <v>173</v>
      </c>
      <c r="L1449" s="189" t="s">
        <v>130</v>
      </c>
      <c r="M1449" s="189" t="s">
        <v>269</v>
      </c>
      <c r="N1449" s="189" t="s">
        <v>1140</v>
      </c>
      <c r="O1449" s="189" t="s">
        <v>172</v>
      </c>
      <c r="P1449" s="189" t="s">
        <v>111</v>
      </c>
      <c r="Q1449" s="189" t="s">
        <v>112</v>
      </c>
      <c r="R1449" s="189" t="s">
        <v>22</v>
      </c>
      <c r="S1449" s="189" t="s">
        <v>152</v>
      </c>
      <c r="T1449" s="189" t="s">
        <v>121</v>
      </c>
      <c r="U1449" s="189" t="s">
        <v>2039</v>
      </c>
      <c r="V1449" s="189" t="s">
        <v>167</v>
      </c>
      <c r="W1449" s="189" t="s">
        <v>124</v>
      </c>
      <c r="X1449" s="189" t="s">
        <v>298</v>
      </c>
      <c r="Y1449" s="189" t="s">
        <v>3069</v>
      </c>
      <c r="Z1449" s="0" t="n">
        <v>2</v>
      </c>
      <c r="AA1449" s="189" t="s">
        <v>3128</v>
      </c>
    </row>
    <row r="1450" customFormat="false" ht="15" hidden="false" customHeight="false" outlineLevel="0" collapsed="false">
      <c r="A1450" s="0" t="n">
        <v>311</v>
      </c>
      <c r="B1450" s="191" t="n">
        <v>46114.8366879492</v>
      </c>
      <c r="C1450" s="191" t="n">
        <v>46114.8393962826</v>
      </c>
      <c r="D1450" s="189" t="s">
        <v>2040</v>
      </c>
      <c r="E1450" s="189" t="s">
        <v>2041</v>
      </c>
      <c r="F1450" s="189" t="s">
        <v>2041</v>
      </c>
      <c r="G1450" s="189" t="s">
        <v>2042</v>
      </c>
      <c r="H1450" s="191" t="n">
        <v>46097</v>
      </c>
      <c r="I1450" s="189" t="s">
        <v>113</v>
      </c>
      <c r="J1450" s="189" t="s">
        <v>108</v>
      </c>
      <c r="K1450" s="189" t="s">
        <v>196</v>
      </c>
      <c r="L1450" s="189" t="s">
        <v>144</v>
      </c>
      <c r="M1450" s="189" t="s">
        <v>686</v>
      </c>
      <c r="N1450" s="189" t="s">
        <v>1781</v>
      </c>
      <c r="O1450" s="189" t="s">
        <v>244</v>
      </c>
      <c r="P1450" s="189" t="s">
        <v>111</v>
      </c>
      <c r="Q1450" s="189" t="s">
        <v>112</v>
      </c>
      <c r="R1450" s="189" t="s">
        <v>22</v>
      </c>
      <c r="S1450" s="189" t="s">
        <v>152</v>
      </c>
      <c r="T1450" s="189" t="s">
        <v>496</v>
      </c>
      <c r="V1450" s="189" t="s">
        <v>192</v>
      </c>
      <c r="W1450" s="189" t="s">
        <v>124</v>
      </c>
      <c r="X1450" s="189" t="s">
        <v>339</v>
      </c>
      <c r="Y1450" s="189" t="s">
        <v>3064</v>
      </c>
      <c r="Z1450" s="0" t="n">
        <v>1</v>
      </c>
      <c r="AA1450" s="189" t="s">
        <v>3169</v>
      </c>
    </row>
    <row r="1451" customFormat="false" ht="15" hidden="false" customHeight="false" outlineLevel="0" collapsed="false">
      <c r="A1451" s="0" t="n">
        <v>311</v>
      </c>
      <c r="B1451" s="191" t="n">
        <v>46114.8366879492</v>
      </c>
      <c r="C1451" s="191" t="n">
        <v>46114.8393962826</v>
      </c>
      <c r="D1451" s="189" t="s">
        <v>2040</v>
      </c>
      <c r="E1451" s="189" t="s">
        <v>2041</v>
      </c>
      <c r="F1451" s="189" t="s">
        <v>2041</v>
      </c>
      <c r="G1451" s="189" t="s">
        <v>2042</v>
      </c>
      <c r="H1451" s="191" t="n">
        <v>46097</v>
      </c>
      <c r="I1451" s="189" t="s">
        <v>113</v>
      </c>
      <c r="J1451" s="189" t="s">
        <v>108</v>
      </c>
      <c r="K1451" s="189" t="s">
        <v>196</v>
      </c>
      <c r="L1451" s="189" t="s">
        <v>144</v>
      </c>
      <c r="M1451" s="189" t="s">
        <v>686</v>
      </c>
      <c r="N1451" s="189" t="s">
        <v>1781</v>
      </c>
      <c r="O1451" s="189" t="s">
        <v>244</v>
      </c>
      <c r="P1451" s="189" t="s">
        <v>111</v>
      </c>
      <c r="Q1451" s="189" t="s">
        <v>112</v>
      </c>
      <c r="R1451" s="189" t="s">
        <v>22</v>
      </c>
      <c r="S1451" s="189" t="s">
        <v>152</v>
      </c>
      <c r="T1451" s="189" t="s">
        <v>496</v>
      </c>
      <c r="V1451" s="189" t="s">
        <v>192</v>
      </c>
      <c r="W1451" s="189" t="s">
        <v>124</v>
      </c>
      <c r="X1451" s="189" t="s">
        <v>339</v>
      </c>
      <c r="Y1451" s="189" t="s">
        <v>3066</v>
      </c>
      <c r="Z1451" s="0" t="n">
        <v>1</v>
      </c>
      <c r="AA1451" s="189" t="s">
        <v>3235</v>
      </c>
    </row>
    <row r="1452" customFormat="false" ht="15" hidden="false" customHeight="false" outlineLevel="0" collapsed="false">
      <c r="A1452" s="0" t="n">
        <v>311</v>
      </c>
      <c r="B1452" s="191" t="n">
        <v>46114.8366879492</v>
      </c>
      <c r="C1452" s="191" t="n">
        <v>46114.8393962826</v>
      </c>
      <c r="D1452" s="189" t="s">
        <v>2040</v>
      </c>
      <c r="E1452" s="189" t="s">
        <v>2041</v>
      </c>
      <c r="F1452" s="189" t="s">
        <v>2041</v>
      </c>
      <c r="G1452" s="189" t="s">
        <v>2042</v>
      </c>
      <c r="H1452" s="191" t="n">
        <v>46097</v>
      </c>
      <c r="I1452" s="189" t="s">
        <v>113</v>
      </c>
      <c r="J1452" s="189" t="s">
        <v>108</v>
      </c>
      <c r="K1452" s="189" t="s">
        <v>196</v>
      </c>
      <c r="L1452" s="189" t="s">
        <v>144</v>
      </c>
      <c r="M1452" s="189" t="s">
        <v>686</v>
      </c>
      <c r="N1452" s="189" t="s">
        <v>1781</v>
      </c>
      <c r="O1452" s="189" t="s">
        <v>244</v>
      </c>
      <c r="P1452" s="189" t="s">
        <v>111</v>
      </c>
      <c r="Q1452" s="189" t="s">
        <v>112</v>
      </c>
      <c r="R1452" s="189" t="s">
        <v>22</v>
      </c>
      <c r="S1452" s="189" t="s">
        <v>152</v>
      </c>
      <c r="T1452" s="189" t="s">
        <v>496</v>
      </c>
      <c r="V1452" s="189" t="s">
        <v>192</v>
      </c>
      <c r="W1452" s="189" t="s">
        <v>124</v>
      </c>
      <c r="X1452" s="189" t="s">
        <v>339</v>
      </c>
      <c r="Y1452" s="189" t="s">
        <v>3069</v>
      </c>
      <c r="Z1452" s="0" t="n">
        <v>1</v>
      </c>
      <c r="AA1452" s="189" t="s">
        <v>3200</v>
      </c>
    </row>
    <row r="1453" customFormat="false" ht="15" hidden="false" customHeight="false" outlineLevel="0" collapsed="false">
      <c r="A1453" s="0" t="n">
        <v>313</v>
      </c>
      <c r="B1453" s="191" t="n">
        <v>46209.1230088283</v>
      </c>
      <c r="C1453" s="191" t="n">
        <v>46209.1362958653</v>
      </c>
      <c r="D1453" s="189" t="s">
        <v>2047</v>
      </c>
      <c r="E1453" s="189" t="s">
        <v>2048</v>
      </c>
      <c r="F1453" s="189" t="s">
        <v>2048</v>
      </c>
      <c r="G1453" s="189" t="s">
        <v>2049</v>
      </c>
      <c r="H1453" s="191" t="n">
        <v>46209</v>
      </c>
      <c r="I1453" s="189" t="s">
        <v>113</v>
      </c>
      <c r="J1453" s="189" t="s">
        <v>108</v>
      </c>
      <c r="K1453" s="189" t="s">
        <v>173</v>
      </c>
      <c r="L1453" s="189" t="s">
        <v>130</v>
      </c>
      <c r="M1453" s="189" t="s">
        <v>337</v>
      </c>
      <c r="N1453" s="189" t="s">
        <v>827</v>
      </c>
      <c r="O1453" s="189" t="s">
        <v>244</v>
      </c>
      <c r="P1453" s="189" t="s">
        <v>111</v>
      </c>
      <c r="Q1453" s="189" t="s">
        <v>145</v>
      </c>
      <c r="R1453" s="189" t="s">
        <v>24</v>
      </c>
      <c r="S1453" s="189" t="s">
        <v>152</v>
      </c>
      <c r="T1453" s="189" t="s">
        <v>121</v>
      </c>
      <c r="U1453" s="189" t="s">
        <v>122</v>
      </c>
      <c r="V1453" s="189" t="s">
        <v>167</v>
      </c>
      <c r="W1453" s="189" t="s">
        <v>124</v>
      </c>
      <c r="X1453" s="189" t="s">
        <v>223</v>
      </c>
      <c r="Y1453" s="189" t="s">
        <v>3064</v>
      </c>
      <c r="Z1453" s="0" t="n">
        <v>1</v>
      </c>
      <c r="AA1453" s="189" t="s">
        <v>3104</v>
      </c>
    </row>
    <row r="1454" customFormat="false" ht="15" hidden="false" customHeight="false" outlineLevel="0" collapsed="false">
      <c r="A1454" s="0" t="n">
        <v>313</v>
      </c>
      <c r="B1454" s="191" t="n">
        <v>46209.1230088283</v>
      </c>
      <c r="C1454" s="191" t="n">
        <v>46209.1362958653</v>
      </c>
      <c r="D1454" s="189" t="s">
        <v>2047</v>
      </c>
      <c r="E1454" s="189" t="s">
        <v>2048</v>
      </c>
      <c r="F1454" s="189" t="s">
        <v>2048</v>
      </c>
      <c r="G1454" s="189" t="s">
        <v>2049</v>
      </c>
      <c r="H1454" s="191" t="n">
        <v>46209</v>
      </c>
      <c r="I1454" s="189" t="s">
        <v>113</v>
      </c>
      <c r="J1454" s="189" t="s">
        <v>108</v>
      </c>
      <c r="K1454" s="189" t="s">
        <v>173</v>
      </c>
      <c r="L1454" s="189" t="s">
        <v>130</v>
      </c>
      <c r="M1454" s="189" t="s">
        <v>337</v>
      </c>
      <c r="N1454" s="189" t="s">
        <v>827</v>
      </c>
      <c r="O1454" s="189" t="s">
        <v>244</v>
      </c>
      <c r="P1454" s="189" t="s">
        <v>111</v>
      </c>
      <c r="Q1454" s="189" t="s">
        <v>145</v>
      </c>
      <c r="R1454" s="189" t="s">
        <v>24</v>
      </c>
      <c r="S1454" s="189" t="s">
        <v>152</v>
      </c>
      <c r="T1454" s="189" t="s">
        <v>121</v>
      </c>
      <c r="U1454" s="189" t="s">
        <v>122</v>
      </c>
      <c r="V1454" s="189" t="s">
        <v>167</v>
      </c>
      <c r="W1454" s="189" t="s">
        <v>124</v>
      </c>
      <c r="X1454" s="189" t="s">
        <v>223</v>
      </c>
      <c r="Y1454" s="189" t="s">
        <v>3066</v>
      </c>
      <c r="Z1454" s="0" t="n">
        <v>1</v>
      </c>
      <c r="AA1454" s="189" t="s">
        <v>3170</v>
      </c>
    </row>
    <row r="1455" customFormat="false" ht="15" hidden="false" customHeight="false" outlineLevel="0" collapsed="false">
      <c r="A1455" s="0" t="n">
        <v>313</v>
      </c>
      <c r="B1455" s="191" t="n">
        <v>46209.1230088283</v>
      </c>
      <c r="C1455" s="191" t="n">
        <v>46209.1362958653</v>
      </c>
      <c r="D1455" s="189" t="s">
        <v>2047</v>
      </c>
      <c r="E1455" s="189" t="s">
        <v>2048</v>
      </c>
      <c r="F1455" s="189" t="s">
        <v>2048</v>
      </c>
      <c r="G1455" s="189" t="s">
        <v>2049</v>
      </c>
      <c r="H1455" s="191" t="n">
        <v>46209</v>
      </c>
      <c r="I1455" s="189" t="s">
        <v>113</v>
      </c>
      <c r="J1455" s="189" t="s">
        <v>108</v>
      </c>
      <c r="K1455" s="189" t="s">
        <v>173</v>
      </c>
      <c r="L1455" s="189" t="s">
        <v>130</v>
      </c>
      <c r="M1455" s="189" t="s">
        <v>337</v>
      </c>
      <c r="N1455" s="189" t="s">
        <v>827</v>
      </c>
      <c r="O1455" s="189" t="s">
        <v>244</v>
      </c>
      <c r="P1455" s="189" t="s">
        <v>111</v>
      </c>
      <c r="Q1455" s="189" t="s">
        <v>145</v>
      </c>
      <c r="R1455" s="189" t="s">
        <v>24</v>
      </c>
      <c r="S1455" s="189" t="s">
        <v>152</v>
      </c>
      <c r="T1455" s="189" t="s">
        <v>121</v>
      </c>
      <c r="U1455" s="189" t="s">
        <v>122</v>
      </c>
      <c r="V1455" s="189" t="s">
        <v>167</v>
      </c>
      <c r="W1455" s="189" t="s">
        <v>124</v>
      </c>
      <c r="X1455" s="189" t="s">
        <v>223</v>
      </c>
      <c r="Y1455" s="189" t="s">
        <v>3069</v>
      </c>
      <c r="Z1455" s="0" t="n">
        <v>1</v>
      </c>
      <c r="AA1455" s="189" t="s">
        <v>3106</v>
      </c>
    </row>
    <row r="1456" customFormat="false" ht="15" hidden="false" customHeight="false" outlineLevel="0" collapsed="false">
      <c r="A1456" s="0" t="n">
        <v>314</v>
      </c>
      <c r="B1456" s="191" t="n">
        <v>46128.3077563374</v>
      </c>
      <c r="C1456" s="191" t="n">
        <v>46128.3236128189</v>
      </c>
      <c r="D1456" s="189" t="s">
        <v>2050</v>
      </c>
      <c r="E1456" s="189" t="s">
        <v>2051</v>
      </c>
      <c r="F1456" s="189" t="s">
        <v>2052</v>
      </c>
      <c r="G1456" s="189" t="s">
        <v>2053</v>
      </c>
      <c r="H1456" s="191" t="n">
        <v>46124</v>
      </c>
      <c r="I1456" s="189" t="s">
        <v>113</v>
      </c>
      <c r="J1456" s="189" t="s">
        <v>128</v>
      </c>
      <c r="K1456" s="189" t="s">
        <v>1456</v>
      </c>
      <c r="L1456" s="189" t="s">
        <v>246</v>
      </c>
      <c r="M1456" s="189" t="s">
        <v>864</v>
      </c>
      <c r="N1456" s="189" t="s">
        <v>544</v>
      </c>
      <c r="O1456" s="189" t="s">
        <v>244</v>
      </c>
      <c r="P1456" s="189" t="s">
        <v>111</v>
      </c>
      <c r="Q1456" s="189" t="s">
        <v>145</v>
      </c>
      <c r="R1456" s="189" t="s">
        <v>24</v>
      </c>
      <c r="S1456" s="189" t="s">
        <v>152</v>
      </c>
      <c r="T1456" s="189" t="s">
        <v>121</v>
      </c>
      <c r="V1456" s="189" t="s">
        <v>192</v>
      </c>
      <c r="W1456" s="189" t="s">
        <v>124</v>
      </c>
      <c r="X1456" s="189" t="s">
        <v>214</v>
      </c>
      <c r="Y1456" s="189" t="s">
        <v>3064</v>
      </c>
      <c r="Z1456" s="0" t="n">
        <v>1</v>
      </c>
      <c r="AA1456" s="189" t="s">
        <v>3095</v>
      </c>
    </row>
    <row r="1457" customFormat="false" ht="15" hidden="false" customHeight="false" outlineLevel="0" collapsed="false">
      <c r="A1457" s="0" t="n">
        <v>314</v>
      </c>
      <c r="B1457" s="191" t="n">
        <v>46128.3077563374</v>
      </c>
      <c r="C1457" s="191" t="n">
        <v>46128.3236128189</v>
      </c>
      <c r="D1457" s="189" t="s">
        <v>2050</v>
      </c>
      <c r="E1457" s="189" t="s">
        <v>2051</v>
      </c>
      <c r="F1457" s="189" t="s">
        <v>2052</v>
      </c>
      <c r="G1457" s="189" t="s">
        <v>2053</v>
      </c>
      <c r="H1457" s="191" t="n">
        <v>46124</v>
      </c>
      <c r="I1457" s="189" t="s">
        <v>113</v>
      </c>
      <c r="J1457" s="189" t="s">
        <v>128</v>
      </c>
      <c r="K1457" s="189" t="s">
        <v>1456</v>
      </c>
      <c r="L1457" s="189" t="s">
        <v>246</v>
      </c>
      <c r="M1457" s="189" t="s">
        <v>864</v>
      </c>
      <c r="N1457" s="189" t="s">
        <v>544</v>
      </c>
      <c r="O1457" s="189" t="s">
        <v>244</v>
      </c>
      <c r="P1457" s="189" t="s">
        <v>111</v>
      </c>
      <c r="Q1457" s="189" t="s">
        <v>145</v>
      </c>
      <c r="R1457" s="189" t="s">
        <v>24</v>
      </c>
      <c r="S1457" s="189" t="s">
        <v>152</v>
      </c>
      <c r="T1457" s="189" t="s">
        <v>121</v>
      </c>
      <c r="V1457" s="189" t="s">
        <v>192</v>
      </c>
      <c r="W1457" s="189" t="s">
        <v>124</v>
      </c>
      <c r="X1457" s="189" t="s">
        <v>214</v>
      </c>
      <c r="Y1457" s="189" t="s">
        <v>3066</v>
      </c>
      <c r="Z1457" s="0" t="n">
        <v>1</v>
      </c>
      <c r="AA1457" s="189" t="s">
        <v>3067</v>
      </c>
    </row>
    <row r="1458" customFormat="false" ht="15" hidden="false" customHeight="false" outlineLevel="0" collapsed="false">
      <c r="A1458" s="0" t="n">
        <v>314</v>
      </c>
      <c r="B1458" s="191" t="n">
        <v>46128.3077563374</v>
      </c>
      <c r="C1458" s="191" t="n">
        <v>46128.3236128189</v>
      </c>
      <c r="D1458" s="189" t="s">
        <v>2050</v>
      </c>
      <c r="E1458" s="189" t="s">
        <v>2051</v>
      </c>
      <c r="F1458" s="189" t="s">
        <v>2052</v>
      </c>
      <c r="G1458" s="189" t="s">
        <v>2053</v>
      </c>
      <c r="H1458" s="191" t="n">
        <v>46124</v>
      </c>
      <c r="I1458" s="189" t="s">
        <v>113</v>
      </c>
      <c r="J1458" s="189" t="s">
        <v>128</v>
      </c>
      <c r="K1458" s="189" t="s">
        <v>1456</v>
      </c>
      <c r="L1458" s="189" t="s">
        <v>246</v>
      </c>
      <c r="M1458" s="189" t="s">
        <v>864</v>
      </c>
      <c r="N1458" s="189" t="s">
        <v>544</v>
      </c>
      <c r="O1458" s="189" t="s">
        <v>244</v>
      </c>
      <c r="P1458" s="189" t="s">
        <v>111</v>
      </c>
      <c r="Q1458" s="189" t="s">
        <v>145</v>
      </c>
      <c r="R1458" s="189" t="s">
        <v>24</v>
      </c>
      <c r="S1458" s="189" t="s">
        <v>152</v>
      </c>
      <c r="T1458" s="189" t="s">
        <v>121</v>
      </c>
      <c r="V1458" s="189" t="s">
        <v>192</v>
      </c>
      <c r="W1458" s="189" t="s">
        <v>124</v>
      </c>
      <c r="X1458" s="189" t="s">
        <v>214</v>
      </c>
      <c r="Y1458" s="189" t="s">
        <v>3066</v>
      </c>
      <c r="Z1458" s="0" t="n">
        <v>2</v>
      </c>
      <c r="AA1458" s="189" t="s">
        <v>3082</v>
      </c>
    </row>
    <row r="1459" customFormat="false" ht="15" hidden="false" customHeight="false" outlineLevel="0" collapsed="false">
      <c r="A1459" s="0" t="n">
        <v>314</v>
      </c>
      <c r="B1459" s="191" t="n">
        <v>46128.3077563374</v>
      </c>
      <c r="C1459" s="191" t="n">
        <v>46128.3236128189</v>
      </c>
      <c r="D1459" s="189" t="s">
        <v>2050</v>
      </c>
      <c r="E1459" s="189" t="s">
        <v>2051</v>
      </c>
      <c r="F1459" s="189" t="s">
        <v>2052</v>
      </c>
      <c r="G1459" s="189" t="s">
        <v>2053</v>
      </c>
      <c r="H1459" s="191" t="n">
        <v>46124</v>
      </c>
      <c r="I1459" s="189" t="s">
        <v>113</v>
      </c>
      <c r="J1459" s="189" t="s">
        <v>128</v>
      </c>
      <c r="K1459" s="189" t="s">
        <v>1456</v>
      </c>
      <c r="L1459" s="189" t="s">
        <v>246</v>
      </c>
      <c r="M1459" s="189" t="s">
        <v>864</v>
      </c>
      <c r="N1459" s="189" t="s">
        <v>544</v>
      </c>
      <c r="O1459" s="189" t="s">
        <v>244</v>
      </c>
      <c r="P1459" s="189" t="s">
        <v>111</v>
      </c>
      <c r="Q1459" s="189" t="s">
        <v>145</v>
      </c>
      <c r="R1459" s="189" t="s">
        <v>24</v>
      </c>
      <c r="S1459" s="189" t="s">
        <v>152</v>
      </c>
      <c r="T1459" s="189" t="s">
        <v>121</v>
      </c>
      <c r="V1459" s="189" t="s">
        <v>192</v>
      </c>
      <c r="W1459" s="189" t="s">
        <v>124</v>
      </c>
      <c r="X1459" s="189" t="s">
        <v>214</v>
      </c>
      <c r="Y1459" s="189" t="s">
        <v>3069</v>
      </c>
      <c r="Z1459" s="0" t="n">
        <v>1</v>
      </c>
      <c r="AA1459" s="189" t="s">
        <v>122</v>
      </c>
    </row>
    <row r="1460" customFormat="false" ht="15" hidden="false" customHeight="false" outlineLevel="0" collapsed="false">
      <c r="A1460" s="0" t="n">
        <v>315</v>
      </c>
      <c r="B1460" s="191" t="n">
        <v>46056.1926711348</v>
      </c>
      <c r="C1460" s="191" t="n">
        <v>46056.2094651163</v>
      </c>
      <c r="D1460" s="189" t="s">
        <v>2055</v>
      </c>
      <c r="E1460" s="189" t="s">
        <v>2056</v>
      </c>
      <c r="F1460" s="189" t="s">
        <v>2056</v>
      </c>
      <c r="G1460" s="189" t="s">
        <v>2057</v>
      </c>
      <c r="H1460" s="191" t="n">
        <v>46038</v>
      </c>
      <c r="I1460" s="189" t="s">
        <v>113</v>
      </c>
      <c r="J1460" s="189" t="s">
        <v>108</v>
      </c>
      <c r="K1460" s="189" t="s">
        <v>1049</v>
      </c>
      <c r="L1460" s="189" t="s">
        <v>159</v>
      </c>
      <c r="M1460" s="189" t="s">
        <v>501</v>
      </c>
      <c r="N1460" s="189" t="s">
        <v>899</v>
      </c>
      <c r="O1460" s="189" t="s">
        <v>172</v>
      </c>
      <c r="P1460" s="189" t="s">
        <v>131</v>
      </c>
      <c r="Q1460" s="189" t="s">
        <v>145</v>
      </c>
      <c r="R1460" s="189" t="s">
        <v>24</v>
      </c>
      <c r="S1460" s="189" t="s">
        <v>227</v>
      </c>
      <c r="T1460" s="189" t="s">
        <v>121</v>
      </c>
      <c r="U1460" s="189" t="s">
        <v>1326</v>
      </c>
      <c r="V1460" s="189" t="s">
        <v>123</v>
      </c>
      <c r="W1460" s="189" t="s">
        <v>168</v>
      </c>
      <c r="X1460" s="189" t="s">
        <v>448</v>
      </c>
      <c r="Y1460" s="189" t="s">
        <v>3064</v>
      </c>
      <c r="Z1460" s="0" t="n">
        <v>1</v>
      </c>
      <c r="AA1460" s="189" t="s">
        <v>3175</v>
      </c>
    </row>
    <row r="1461" customFormat="false" ht="15" hidden="false" customHeight="false" outlineLevel="0" collapsed="false">
      <c r="A1461" s="0" t="n">
        <v>315</v>
      </c>
      <c r="B1461" s="191" t="n">
        <v>46056.1926711348</v>
      </c>
      <c r="C1461" s="191" t="n">
        <v>46056.2094651163</v>
      </c>
      <c r="D1461" s="189" t="s">
        <v>2055</v>
      </c>
      <c r="E1461" s="189" t="s">
        <v>2056</v>
      </c>
      <c r="F1461" s="189" t="s">
        <v>2056</v>
      </c>
      <c r="G1461" s="189" t="s">
        <v>2057</v>
      </c>
      <c r="H1461" s="191" t="n">
        <v>46038</v>
      </c>
      <c r="I1461" s="189" t="s">
        <v>113</v>
      </c>
      <c r="J1461" s="189" t="s">
        <v>108</v>
      </c>
      <c r="K1461" s="189" t="s">
        <v>1049</v>
      </c>
      <c r="L1461" s="189" t="s">
        <v>159</v>
      </c>
      <c r="M1461" s="189" t="s">
        <v>501</v>
      </c>
      <c r="N1461" s="189" t="s">
        <v>899</v>
      </c>
      <c r="O1461" s="189" t="s">
        <v>172</v>
      </c>
      <c r="P1461" s="189" t="s">
        <v>131</v>
      </c>
      <c r="Q1461" s="189" t="s">
        <v>145</v>
      </c>
      <c r="R1461" s="189" t="s">
        <v>24</v>
      </c>
      <c r="S1461" s="189" t="s">
        <v>227</v>
      </c>
      <c r="T1461" s="189" t="s">
        <v>121</v>
      </c>
      <c r="U1461" s="189" t="s">
        <v>1326</v>
      </c>
      <c r="V1461" s="189" t="s">
        <v>123</v>
      </c>
      <c r="W1461" s="189" t="s">
        <v>168</v>
      </c>
      <c r="X1461" s="189" t="s">
        <v>448</v>
      </c>
      <c r="Y1461" s="189" t="s">
        <v>3064</v>
      </c>
      <c r="Z1461" s="0" t="n">
        <v>2</v>
      </c>
      <c r="AA1461" s="189" t="s">
        <v>3191</v>
      </c>
    </row>
    <row r="1462" customFormat="false" ht="15" hidden="false" customHeight="false" outlineLevel="0" collapsed="false">
      <c r="A1462" s="0" t="n">
        <v>315</v>
      </c>
      <c r="B1462" s="191" t="n">
        <v>46056.1926711348</v>
      </c>
      <c r="C1462" s="191" t="n">
        <v>46056.2094651163</v>
      </c>
      <c r="D1462" s="189" t="s">
        <v>2055</v>
      </c>
      <c r="E1462" s="189" t="s">
        <v>2056</v>
      </c>
      <c r="F1462" s="189" t="s">
        <v>2056</v>
      </c>
      <c r="G1462" s="189" t="s">
        <v>2057</v>
      </c>
      <c r="H1462" s="191" t="n">
        <v>46038</v>
      </c>
      <c r="I1462" s="189" t="s">
        <v>113</v>
      </c>
      <c r="J1462" s="189" t="s">
        <v>108</v>
      </c>
      <c r="K1462" s="189" t="s">
        <v>1049</v>
      </c>
      <c r="L1462" s="189" t="s">
        <v>159</v>
      </c>
      <c r="M1462" s="189" t="s">
        <v>501</v>
      </c>
      <c r="N1462" s="189" t="s">
        <v>899</v>
      </c>
      <c r="O1462" s="189" t="s">
        <v>172</v>
      </c>
      <c r="P1462" s="189" t="s">
        <v>131</v>
      </c>
      <c r="Q1462" s="189" t="s">
        <v>145</v>
      </c>
      <c r="R1462" s="189" t="s">
        <v>24</v>
      </c>
      <c r="S1462" s="189" t="s">
        <v>227</v>
      </c>
      <c r="T1462" s="189" t="s">
        <v>121</v>
      </c>
      <c r="U1462" s="189" t="s">
        <v>1326</v>
      </c>
      <c r="V1462" s="189" t="s">
        <v>123</v>
      </c>
      <c r="W1462" s="189" t="s">
        <v>168</v>
      </c>
      <c r="X1462" s="189" t="s">
        <v>448</v>
      </c>
      <c r="Y1462" s="189" t="s">
        <v>3066</v>
      </c>
      <c r="Z1462" s="0" t="n">
        <v>1</v>
      </c>
      <c r="AA1462" s="189" t="s">
        <v>3279</v>
      </c>
    </row>
    <row r="1463" customFormat="false" ht="15" hidden="false" customHeight="false" outlineLevel="0" collapsed="false">
      <c r="A1463" s="0" t="n">
        <v>315</v>
      </c>
      <c r="B1463" s="191" t="n">
        <v>46056.1926711348</v>
      </c>
      <c r="C1463" s="191" t="n">
        <v>46056.2094651163</v>
      </c>
      <c r="D1463" s="189" t="s">
        <v>2055</v>
      </c>
      <c r="E1463" s="189" t="s">
        <v>2056</v>
      </c>
      <c r="F1463" s="189" t="s">
        <v>2056</v>
      </c>
      <c r="G1463" s="189" t="s">
        <v>2057</v>
      </c>
      <c r="H1463" s="191" t="n">
        <v>46038</v>
      </c>
      <c r="I1463" s="189" t="s">
        <v>113</v>
      </c>
      <c r="J1463" s="189" t="s">
        <v>108</v>
      </c>
      <c r="K1463" s="189" t="s">
        <v>1049</v>
      </c>
      <c r="L1463" s="189" t="s">
        <v>159</v>
      </c>
      <c r="M1463" s="189" t="s">
        <v>501</v>
      </c>
      <c r="N1463" s="189" t="s">
        <v>899</v>
      </c>
      <c r="O1463" s="189" t="s">
        <v>172</v>
      </c>
      <c r="P1463" s="189" t="s">
        <v>131</v>
      </c>
      <c r="Q1463" s="189" t="s">
        <v>145</v>
      </c>
      <c r="R1463" s="189" t="s">
        <v>24</v>
      </c>
      <c r="S1463" s="189" t="s">
        <v>227</v>
      </c>
      <c r="T1463" s="189" t="s">
        <v>121</v>
      </c>
      <c r="U1463" s="189" t="s">
        <v>1326</v>
      </c>
      <c r="V1463" s="189" t="s">
        <v>123</v>
      </c>
      <c r="W1463" s="189" t="s">
        <v>168</v>
      </c>
      <c r="X1463" s="189" t="s">
        <v>448</v>
      </c>
      <c r="Y1463" s="189" t="s">
        <v>3066</v>
      </c>
      <c r="Z1463" s="0" t="n">
        <v>2</v>
      </c>
      <c r="AA1463" s="189" t="s">
        <v>3176</v>
      </c>
    </row>
    <row r="1464" customFormat="false" ht="15" hidden="false" customHeight="false" outlineLevel="0" collapsed="false">
      <c r="A1464" s="0" t="n">
        <v>315</v>
      </c>
      <c r="B1464" s="191" t="n">
        <v>46056.1926711348</v>
      </c>
      <c r="C1464" s="191" t="n">
        <v>46056.2094651163</v>
      </c>
      <c r="D1464" s="189" t="s">
        <v>2055</v>
      </c>
      <c r="E1464" s="189" t="s">
        <v>2056</v>
      </c>
      <c r="F1464" s="189" t="s">
        <v>2056</v>
      </c>
      <c r="G1464" s="189" t="s">
        <v>2057</v>
      </c>
      <c r="H1464" s="191" t="n">
        <v>46038</v>
      </c>
      <c r="I1464" s="189" t="s">
        <v>113</v>
      </c>
      <c r="J1464" s="189" t="s">
        <v>108</v>
      </c>
      <c r="K1464" s="189" t="s">
        <v>1049</v>
      </c>
      <c r="L1464" s="189" t="s">
        <v>159</v>
      </c>
      <c r="M1464" s="189" t="s">
        <v>501</v>
      </c>
      <c r="N1464" s="189" t="s">
        <v>899</v>
      </c>
      <c r="O1464" s="189" t="s">
        <v>172</v>
      </c>
      <c r="P1464" s="189" t="s">
        <v>131</v>
      </c>
      <c r="Q1464" s="189" t="s">
        <v>145</v>
      </c>
      <c r="R1464" s="189" t="s">
        <v>24</v>
      </c>
      <c r="S1464" s="189" t="s">
        <v>227</v>
      </c>
      <c r="T1464" s="189" t="s">
        <v>121</v>
      </c>
      <c r="U1464" s="189" t="s">
        <v>1326</v>
      </c>
      <c r="V1464" s="189" t="s">
        <v>123</v>
      </c>
      <c r="W1464" s="189" t="s">
        <v>168</v>
      </c>
      <c r="X1464" s="189" t="s">
        <v>448</v>
      </c>
      <c r="Y1464" s="189" t="s">
        <v>3069</v>
      </c>
      <c r="Z1464" s="0" t="n">
        <v>1</v>
      </c>
      <c r="AA1464" s="189" t="s">
        <v>3190</v>
      </c>
    </row>
    <row r="1465" customFormat="false" ht="15" hidden="false" customHeight="false" outlineLevel="0" collapsed="false">
      <c r="A1465" s="0" t="n">
        <v>316</v>
      </c>
      <c r="B1465" s="191" t="n">
        <v>46181.7437615035</v>
      </c>
      <c r="C1465" s="191" t="n">
        <v>46181.7468749294</v>
      </c>
      <c r="D1465" s="189" t="s">
        <v>2060</v>
      </c>
      <c r="E1465" s="189" t="s">
        <v>2061</v>
      </c>
      <c r="F1465" s="189" t="s">
        <v>2061</v>
      </c>
      <c r="G1465" s="189" t="s">
        <v>2062</v>
      </c>
      <c r="H1465" s="191" t="n">
        <v>46167</v>
      </c>
      <c r="I1465" s="189" t="s">
        <v>305</v>
      </c>
      <c r="J1465" s="189" t="s">
        <v>108</v>
      </c>
      <c r="K1465" s="189" t="s">
        <v>196</v>
      </c>
      <c r="L1465" s="189" t="s">
        <v>114</v>
      </c>
      <c r="M1465" s="189" t="s">
        <v>199</v>
      </c>
      <c r="N1465" s="189" t="s">
        <v>552</v>
      </c>
      <c r="O1465" s="189" t="s">
        <v>244</v>
      </c>
      <c r="P1465" s="189" t="s">
        <v>111</v>
      </c>
      <c r="Q1465" s="189" t="s">
        <v>145</v>
      </c>
      <c r="R1465" s="189" t="s">
        <v>22</v>
      </c>
      <c r="S1465" s="189" t="s">
        <v>120</v>
      </c>
      <c r="T1465" s="189" t="s">
        <v>121</v>
      </c>
      <c r="U1465" s="189" t="s">
        <v>122</v>
      </c>
      <c r="V1465" s="189" t="s">
        <v>167</v>
      </c>
      <c r="W1465" s="189" t="s">
        <v>124</v>
      </c>
      <c r="X1465" s="189" t="s">
        <v>339</v>
      </c>
      <c r="Y1465" s="189" t="s">
        <v>3064</v>
      </c>
      <c r="Z1465" s="0" t="n">
        <v>1</v>
      </c>
      <c r="AA1465" s="189" t="s">
        <v>3216</v>
      </c>
    </row>
    <row r="1466" customFormat="false" ht="15" hidden="false" customHeight="false" outlineLevel="0" collapsed="false">
      <c r="A1466" s="0" t="n">
        <v>316</v>
      </c>
      <c r="B1466" s="191" t="n">
        <v>46181.7437615035</v>
      </c>
      <c r="C1466" s="191" t="n">
        <v>46181.7468749294</v>
      </c>
      <c r="D1466" s="189" t="s">
        <v>2060</v>
      </c>
      <c r="E1466" s="189" t="s">
        <v>2061</v>
      </c>
      <c r="F1466" s="189" t="s">
        <v>2061</v>
      </c>
      <c r="G1466" s="189" t="s">
        <v>2062</v>
      </c>
      <c r="H1466" s="191" t="n">
        <v>46167</v>
      </c>
      <c r="I1466" s="189" t="s">
        <v>305</v>
      </c>
      <c r="J1466" s="189" t="s">
        <v>108</v>
      </c>
      <c r="K1466" s="189" t="s">
        <v>196</v>
      </c>
      <c r="L1466" s="189" t="s">
        <v>114</v>
      </c>
      <c r="M1466" s="189" t="s">
        <v>199</v>
      </c>
      <c r="N1466" s="189" t="s">
        <v>552</v>
      </c>
      <c r="O1466" s="189" t="s">
        <v>244</v>
      </c>
      <c r="P1466" s="189" t="s">
        <v>111</v>
      </c>
      <c r="Q1466" s="189" t="s">
        <v>145</v>
      </c>
      <c r="R1466" s="189" t="s">
        <v>22</v>
      </c>
      <c r="S1466" s="189" t="s">
        <v>120</v>
      </c>
      <c r="T1466" s="189" t="s">
        <v>121</v>
      </c>
      <c r="U1466" s="189" t="s">
        <v>122</v>
      </c>
      <c r="V1466" s="189" t="s">
        <v>167</v>
      </c>
      <c r="W1466" s="189" t="s">
        <v>124</v>
      </c>
      <c r="X1466" s="189" t="s">
        <v>339</v>
      </c>
      <c r="Y1466" s="189" t="s">
        <v>3064</v>
      </c>
      <c r="Z1466" s="0" t="n">
        <v>2</v>
      </c>
      <c r="AA1466" s="189" t="s">
        <v>3169</v>
      </c>
    </row>
    <row r="1467" customFormat="false" ht="15" hidden="false" customHeight="false" outlineLevel="0" collapsed="false">
      <c r="A1467" s="0" t="n">
        <v>316</v>
      </c>
      <c r="B1467" s="191" t="n">
        <v>46181.7437615035</v>
      </c>
      <c r="C1467" s="191" t="n">
        <v>46181.7468749294</v>
      </c>
      <c r="D1467" s="189" t="s">
        <v>2060</v>
      </c>
      <c r="E1467" s="189" t="s">
        <v>2061</v>
      </c>
      <c r="F1467" s="189" t="s">
        <v>2061</v>
      </c>
      <c r="G1467" s="189" t="s">
        <v>2062</v>
      </c>
      <c r="H1467" s="191" t="n">
        <v>46167</v>
      </c>
      <c r="I1467" s="189" t="s">
        <v>305</v>
      </c>
      <c r="J1467" s="189" t="s">
        <v>108</v>
      </c>
      <c r="K1467" s="189" t="s">
        <v>196</v>
      </c>
      <c r="L1467" s="189" t="s">
        <v>114</v>
      </c>
      <c r="M1467" s="189" t="s">
        <v>199</v>
      </c>
      <c r="N1467" s="189" t="s">
        <v>552</v>
      </c>
      <c r="O1467" s="189" t="s">
        <v>244</v>
      </c>
      <c r="P1467" s="189" t="s">
        <v>111</v>
      </c>
      <c r="Q1467" s="189" t="s">
        <v>145</v>
      </c>
      <c r="R1467" s="189" t="s">
        <v>22</v>
      </c>
      <c r="S1467" s="189" t="s">
        <v>120</v>
      </c>
      <c r="T1467" s="189" t="s">
        <v>121</v>
      </c>
      <c r="U1467" s="189" t="s">
        <v>122</v>
      </c>
      <c r="V1467" s="189" t="s">
        <v>167</v>
      </c>
      <c r="W1467" s="189" t="s">
        <v>124</v>
      </c>
      <c r="X1467" s="189" t="s">
        <v>339</v>
      </c>
      <c r="Y1467" s="189" t="s">
        <v>3066</v>
      </c>
      <c r="Z1467" s="0" t="n">
        <v>1</v>
      </c>
      <c r="AA1467" s="189" t="s">
        <v>3142</v>
      </c>
    </row>
    <row r="1468" customFormat="false" ht="15" hidden="false" customHeight="false" outlineLevel="0" collapsed="false">
      <c r="A1468" s="0" t="n">
        <v>316</v>
      </c>
      <c r="B1468" s="191" t="n">
        <v>46181.7437615035</v>
      </c>
      <c r="C1468" s="191" t="n">
        <v>46181.7468749294</v>
      </c>
      <c r="D1468" s="189" t="s">
        <v>2060</v>
      </c>
      <c r="E1468" s="189" t="s">
        <v>2061</v>
      </c>
      <c r="F1468" s="189" t="s">
        <v>2061</v>
      </c>
      <c r="G1468" s="189" t="s">
        <v>2062</v>
      </c>
      <c r="H1468" s="191" t="n">
        <v>46167</v>
      </c>
      <c r="I1468" s="189" t="s">
        <v>305</v>
      </c>
      <c r="J1468" s="189" t="s">
        <v>108</v>
      </c>
      <c r="K1468" s="189" t="s">
        <v>196</v>
      </c>
      <c r="L1468" s="189" t="s">
        <v>114</v>
      </c>
      <c r="M1468" s="189" t="s">
        <v>199</v>
      </c>
      <c r="N1468" s="189" t="s">
        <v>552</v>
      </c>
      <c r="O1468" s="189" t="s">
        <v>244</v>
      </c>
      <c r="P1468" s="189" t="s">
        <v>111</v>
      </c>
      <c r="Q1468" s="189" t="s">
        <v>145</v>
      </c>
      <c r="R1468" s="189" t="s">
        <v>22</v>
      </c>
      <c r="S1468" s="189" t="s">
        <v>120</v>
      </c>
      <c r="T1468" s="189" t="s">
        <v>121</v>
      </c>
      <c r="U1468" s="189" t="s">
        <v>122</v>
      </c>
      <c r="V1468" s="189" t="s">
        <v>167</v>
      </c>
      <c r="W1468" s="189" t="s">
        <v>124</v>
      </c>
      <c r="X1468" s="189" t="s">
        <v>339</v>
      </c>
      <c r="Y1468" s="189" t="s">
        <v>3066</v>
      </c>
      <c r="Z1468" s="0" t="n">
        <v>2</v>
      </c>
      <c r="AA1468" s="189" t="s">
        <v>3243</v>
      </c>
    </row>
    <row r="1469" customFormat="false" ht="15" hidden="false" customHeight="false" outlineLevel="0" collapsed="false">
      <c r="A1469" s="0" t="n">
        <v>316</v>
      </c>
      <c r="B1469" s="191" t="n">
        <v>46181.7437615035</v>
      </c>
      <c r="C1469" s="191" t="n">
        <v>46181.7468749294</v>
      </c>
      <c r="D1469" s="189" t="s">
        <v>2060</v>
      </c>
      <c r="E1469" s="189" t="s">
        <v>2061</v>
      </c>
      <c r="F1469" s="189" t="s">
        <v>2061</v>
      </c>
      <c r="G1469" s="189" t="s">
        <v>2062</v>
      </c>
      <c r="H1469" s="191" t="n">
        <v>46167</v>
      </c>
      <c r="I1469" s="189" t="s">
        <v>305</v>
      </c>
      <c r="J1469" s="189" t="s">
        <v>108</v>
      </c>
      <c r="K1469" s="189" t="s">
        <v>196</v>
      </c>
      <c r="L1469" s="189" t="s">
        <v>114</v>
      </c>
      <c r="M1469" s="189" t="s">
        <v>199</v>
      </c>
      <c r="N1469" s="189" t="s">
        <v>552</v>
      </c>
      <c r="O1469" s="189" t="s">
        <v>244</v>
      </c>
      <c r="P1469" s="189" t="s">
        <v>111</v>
      </c>
      <c r="Q1469" s="189" t="s">
        <v>145</v>
      </c>
      <c r="R1469" s="189" t="s">
        <v>22</v>
      </c>
      <c r="S1469" s="189" t="s">
        <v>120</v>
      </c>
      <c r="T1469" s="189" t="s">
        <v>121</v>
      </c>
      <c r="U1469" s="189" t="s">
        <v>122</v>
      </c>
      <c r="V1469" s="189" t="s">
        <v>167</v>
      </c>
      <c r="W1469" s="189" t="s">
        <v>124</v>
      </c>
      <c r="X1469" s="189" t="s">
        <v>339</v>
      </c>
      <c r="Y1469" s="189" t="s">
        <v>3069</v>
      </c>
      <c r="Z1469" s="0" t="n">
        <v>1</v>
      </c>
      <c r="AA1469" s="189" t="s">
        <v>3145</v>
      </c>
    </row>
    <row r="1470" customFormat="false" ht="15" hidden="false" customHeight="false" outlineLevel="0" collapsed="false">
      <c r="A1470" s="0" t="n">
        <v>317</v>
      </c>
      <c r="B1470" s="191" t="n">
        <v>46134.1943682482</v>
      </c>
      <c r="C1470" s="191" t="n">
        <v>46134.2141020445</v>
      </c>
      <c r="D1470" s="189" t="s">
        <v>2064</v>
      </c>
      <c r="E1470" s="189" t="s">
        <v>2065</v>
      </c>
      <c r="F1470" s="189" t="s">
        <v>2066</v>
      </c>
      <c r="G1470" s="189" t="s">
        <v>2067</v>
      </c>
      <c r="H1470" s="191" t="n">
        <v>46123</v>
      </c>
      <c r="I1470" s="189" t="s">
        <v>113</v>
      </c>
      <c r="J1470" s="189" t="s">
        <v>128</v>
      </c>
      <c r="K1470" s="189" t="s">
        <v>2068</v>
      </c>
      <c r="L1470" s="189" t="s">
        <v>286</v>
      </c>
      <c r="M1470" s="189" t="s">
        <v>258</v>
      </c>
      <c r="N1470" s="189" t="s">
        <v>1028</v>
      </c>
      <c r="O1470" s="189" t="s">
        <v>278</v>
      </c>
      <c r="P1470" s="189" t="s">
        <v>131</v>
      </c>
      <c r="Q1470" s="189" t="s">
        <v>247</v>
      </c>
      <c r="R1470" s="189" t="s">
        <v>22</v>
      </c>
      <c r="S1470" s="189" t="s">
        <v>120</v>
      </c>
      <c r="T1470" s="189" t="s">
        <v>121</v>
      </c>
      <c r="U1470" s="189" t="s">
        <v>166</v>
      </c>
      <c r="V1470" s="189" t="s">
        <v>123</v>
      </c>
      <c r="W1470" s="189" t="s">
        <v>124</v>
      </c>
      <c r="X1470" s="189" t="s">
        <v>148</v>
      </c>
      <c r="Y1470" s="189" t="s">
        <v>3064</v>
      </c>
      <c r="Z1470" s="0" t="n">
        <v>1</v>
      </c>
      <c r="AA1470" s="189" t="s">
        <v>3281</v>
      </c>
    </row>
    <row r="1471" customFormat="false" ht="15" hidden="false" customHeight="false" outlineLevel="0" collapsed="false">
      <c r="A1471" s="0" t="n">
        <v>317</v>
      </c>
      <c r="B1471" s="191" t="n">
        <v>46134.1943682482</v>
      </c>
      <c r="C1471" s="191" t="n">
        <v>46134.2141020445</v>
      </c>
      <c r="D1471" s="189" t="s">
        <v>2064</v>
      </c>
      <c r="E1471" s="189" t="s">
        <v>2065</v>
      </c>
      <c r="F1471" s="189" t="s">
        <v>2066</v>
      </c>
      <c r="G1471" s="189" t="s">
        <v>2067</v>
      </c>
      <c r="H1471" s="191" t="n">
        <v>46123</v>
      </c>
      <c r="I1471" s="189" t="s">
        <v>113</v>
      </c>
      <c r="J1471" s="189" t="s">
        <v>128</v>
      </c>
      <c r="K1471" s="189" t="s">
        <v>2068</v>
      </c>
      <c r="L1471" s="189" t="s">
        <v>286</v>
      </c>
      <c r="M1471" s="189" t="s">
        <v>258</v>
      </c>
      <c r="N1471" s="189" t="s">
        <v>1028</v>
      </c>
      <c r="O1471" s="189" t="s">
        <v>278</v>
      </c>
      <c r="P1471" s="189" t="s">
        <v>131</v>
      </c>
      <c r="Q1471" s="189" t="s">
        <v>247</v>
      </c>
      <c r="R1471" s="189" t="s">
        <v>22</v>
      </c>
      <c r="S1471" s="189" t="s">
        <v>120</v>
      </c>
      <c r="T1471" s="189" t="s">
        <v>121</v>
      </c>
      <c r="U1471" s="189" t="s">
        <v>166</v>
      </c>
      <c r="V1471" s="189" t="s">
        <v>123</v>
      </c>
      <c r="W1471" s="189" t="s">
        <v>124</v>
      </c>
      <c r="X1471" s="189" t="s">
        <v>148</v>
      </c>
      <c r="Y1471" s="189" t="s">
        <v>3066</v>
      </c>
      <c r="Z1471" s="0" t="n">
        <v>1</v>
      </c>
      <c r="AA1471" s="189" t="s">
        <v>3078</v>
      </c>
    </row>
    <row r="1472" customFormat="false" ht="15" hidden="false" customHeight="false" outlineLevel="0" collapsed="false">
      <c r="A1472" s="0" t="n">
        <v>317</v>
      </c>
      <c r="B1472" s="191" t="n">
        <v>46134.1943682482</v>
      </c>
      <c r="C1472" s="191" t="n">
        <v>46134.2141020445</v>
      </c>
      <c r="D1472" s="189" t="s">
        <v>2064</v>
      </c>
      <c r="E1472" s="189" t="s">
        <v>2065</v>
      </c>
      <c r="F1472" s="189" t="s">
        <v>2066</v>
      </c>
      <c r="G1472" s="189" t="s">
        <v>2067</v>
      </c>
      <c r="H1472" s="191" t="n">
        <v>46123</v>
      </c>
      <c r="I1472" s="189" t="s">
        <v>113</v>
      </c>
      <c r="J1472" s="189" t="s">
        <v>128</v>
      </c>
      <c r="K1472" s="189" t="s">
        <v>2068</v>
      </c>
      <c r="L1472" s="189" t="s">
        <v>286</v>
      </c>
      <c r="M1472" s="189" t="s">
        <v>258</v>
      </c>
      <c r="N1472" s="189" t="s">
        <v>1028</v>
      </c>
      <c r="O1472" s="189" t="s">
        <v>278</v>
      </c>
      <c r="P1472" s="189" t="s">
        <v>131</v>
      </c>
      <c r="Q1472" s="189" t="s">
        <v>247</v>
      </c>
      <c r="R1472" s="189" t="s">
        <v>22</v>
      </c>
      <c r="S1472" s="189" t="s">
        <v>120</v>
      </c>
      <c r="T1472" s="189" t="s">
        <v>121</v>
      </c>
      <c r="U1472" s="189" t="s">
        <v>166</v>
      </c>
      <c r="V1472" s="189" t="s">
        <v>123</v>
      </c>
      <c r="W1472" s="189" t="s">
        <v>124</v>
      </c>
      <c r="X1472" s="189" t="s">
        <v>148</v>
      </c>
      <c r="Y1472" s="189" t="s">
        <v>3066</v>
      </c>
      <c r="Z1472" s="0" t="n">
        <v>2</v>
      </c>
      <c r="AA1472" s="189" t="s">
        <v>2818</v>
      </c>
    </row>
    <row r="1473" customFormat="false" ht="15" hidden="false" customHeight="false" outlineLevel="0" collapsed="false">
      <c r="A1473" s="0" t="n">
        <v>317</v>
      </c>
      <c r="B1473" s="191" t="n">
        <v>46134.1943682482</v>
      </c>
      <c r="C1473" s="191" t="n">
        <v>46134.2141020445</v>
      </c>
      <c r="D1473" s="189" t="s">
        <v>2064</v>
      </c>
      <c r="E1473" s="189" t="s">
        <v>2065</v>
      </c>
      <c r="F1473" s="189" t="s">
        <v>2066</v>
      </c>
      <c r="G1473" s="189" t="s">
        <v>2067</v>
      </c>
      <c r="H1473" s="191" t="n">
        <v>46123</v>
      </c>
      <c r="I1473" s="189" t="s">
        <v>113</v>
      </c>
      <c r="J1473" s="189" t="s">
        <v>128</v>
      </c>
      <c r="K1473" s="189" t="s">
        <v>2068</v>
      </c>
      <c r="L1473" s="189" t="s">
        <v>286</v>
      </c>
      <c r="M1473" s="189" t="s">
        <v>258</v>
      </c>
      <c r="N1473" s="189" t="s">
        <v>1028</v>
      </c>
      <c r="O1473" s="189" t="s">
        <v>278</v>
      </c>
      <c r="P1473" s="189" t="s">
        <v>131</v>
      </c>
      <c r="Q1473" s="189" t="s">
        <v>247</v>
      </c>
      <c r="R1473" s="189" t="s">
        <v>22</v>
      </c>
      <c r="S1473" s="189" t="s">
        <v>120</v>
      </c>
      <c r="T1473" s="189" t="s">
        <v>121</v>
      </c>
      <c r="U1473" s="189" t="s">
        <v>166</v>
      </c>
      <c r="V1473" s="189" t="s">
        <v>123</v>
      </c>
      <c r="W1473" s="189" t="s">
        <v>124</v>
      </c>
      <c r="X1473" s="189" t="s">
        <v>148</v>
      </c>
      <c r="Y1473" s="189" t="s">
        <v>3069</v>
      </c>
      <c r="Z1473" s="0" t="n">
        <v>1</v>
      </c>
      <c r="AA1473" s="189" t="s">
        <v>3079</v>
      </c>
    </row>
    <row r="1474" customFormat="false" ht="15" hidden="false" customHeight="false" outlineLevel="0" collapsed="false">
      <c r="A1474" s="0" t="n">
        <v>317</v>
      </c>
      <c r="B1474" s="191" t="n">
        <v>46134.1943682482</v>
      </c>
      <c r="C1474" s="191" t="n">
        <v>46134.2141020445</v>
      </c>
      <c r="D1474" s="189" t="s">
        <v>2064</v>
      </c>
      <c r="E1474" s="189" t="s">
        <v>2065</v>
      </c>
      <c r="F1474" s="189" t="s">
        <v>2066</v>
      </c>
      <c r="G1474" s="189" t="s">
        <v>2067</v>
      </c>
      <c r="H1474" s="191" t="n">
        <v>46123</v>
      </c>
      <c r="I1474" s="189" t="s">
        <v>113</v>
      </c>
      <c r="J1474" s="189" t="s">
        <v>128</v>
      </c>
      <c r="K1474" s="189" t="s">
        <v>2068</v>
      </c>
      <c r="L1474" s="189" t="s">
        <v>286</v>
      </c>
      <c r="M1474" s="189" t="s">
        <v>258</v>
      </c>
      <c r="N1474" s="189" t="s">
        <v>1028</v>
      </c>
      <c r="O1474" s="189" t="s">
        <v>278</v>
      </c>
      <c r="P1474" s="189" t="s">
        <v>131</v>
      </c>
      <c r="Q1474" s="189" t="s">
        <v>247</v>
      </c>
      <c r="R1474" s="189" t="s">
        <v>22</v>
      </c>
      <c r="S1474" s="189" t="s">
        <v>120</v>
      </c>
      <c r="T1474" s="189" t="s">
        <v>121</v>
      </c>
      <c r="U1474" s="189" t="s">
        <v>166</v>
      </c>
      <c r="V1474" s="189" t="s">
        <v>123</v>
      </c>
      <c r="W1474" s="189" t="s">
        <v>124</v>
      </c>
      <c r="X1474" s="189" t="s">
        <v>148</v>
      </c>
      <c r="Y1474" s="189" t="s">
        <v>3069</v>
      </c>
      <c r="Z1474" s="0" t="n">
        <v>2</v>
      </c>
      <c r="AA1474" s="189" t="s">
        <v>3080</v>
      </c>
    </row>
    <row r="1475" customFormat="false" ht="15" hidden="false" customHeight="false" outlineLevel="0" collapsed="false">
      <c r="A1475" s="0" t="n">
        <v>318</v>
      </c>
      <c r="B1475" s="191" t="n">
        <v>46213.6152813181</v>
      </c>
      <c r="C1475" s="191" t="n">
        <v>46213.623707244</v>
      </c>
      <c r="D1475" s="189" t="s">
        <v>2069</v>
      </c>
      <c r="E1475" s="189" t="s">
        <v>2070</v>
      </c>
      <c r="F1475" s="189" t="s">
        <v>2070</v>
      </c>
      <c r="G1475" s="189" t="s">
        <v>2071</v>
      </c>
      <c r="H1475" s="191" t="n">
        <v>46200</v>
      </c>
      <c r="I1475" s="189" t="s">
        <v>132</v>
      </c>
      <c r="J1475" s="189" t="s">
        <v>108</v>
      </c>
      <c r="K1475" s="189" t="s">
        <v>245</v>
      </c>
      <c r="L1475" s="189" t="s">
        <v>491</v>
      </c>
      <c r="M1475" s="189" t="s">
        <v>757</v>
      </c>
      <c r="N1475" s="189" t="s">
        <v>544</v>
      </c>
      <c r="O1475" s="189" t="s">
        <v>172</v>
      </c>
      <c r="P1475" s="189" t="s">
        <v>211</v>
      </c>
      <c r="Q1475" s="189" t="s">
        <v>112</v>
      </c>
      <c r="R1475" s="189" t="s">
        <v>24</v>
      </c>
      <c r="S1475" s="189" t="s">
        <v>120</v>
      </c>
      <c r="T1475" s="189" t="s">
        <v>228</v>
      </c>
      <c r="V1475" s="189" t="s">
        <v>192</v>
      </c>
      <c r="W1475" s="189" t="s">
        <v>124</v>
      </c>
      <c r="X1475" s="189" t="s">
        <v>223</v>
      </c>
      <c r="Y1475" s="189" t="s">
        <v>3064</v>
      </c>
      <c r="Z1475" s="0" t="n">
        <v>1</v>
      </c>
      <c r="AA1475" s="189" t="s">
        <v>3096</v>
      </c>
    </row>
    <row r="1476" customFormat="false" ht="15" hidden="false" customHeight="false" outlineLevel="0" collapsed="false">
      <c r="A1476" s="0" t="n">
        <v>318</v>
      </c>
      <c r="B1476" s="191" t="n">
        <v>46213.6152813181</v>
      </c>
      <c r="C1476" s="191" t="n">
        <v>46213.623707244</v>
      </c>
      <c r="D1476" s="189" t="s">
        <v>2069</v>
      </c>
      <c r="E1476" s="189" t="s">
        <v>2070</v>
      </c>
      <c r="F1476" s="189" t="s">
        <v>2070</v>
      </c>
      <c r="G1476" s="189" t="s">
        <v>2071</v>
      </c>
      <c r="H1476" s="191" t="n">
        <v>46200</v>
      </c>
      <c r="I1476" s="189" t="s">
        <v>132</v>
      </c>
      <c r="J1476" s="189" t="s">
        <v>108</v>
      </c>
      <c r="K1476" s="189" t="s">
        <v>245</v>
      </c>
      <c r="L1476" s="189" t="s">
        <v>491</v>
      </c>
      <c r="M1476" s="189" t="s">
        <v>757</v>
      </c>
      <c r="N1476" s="189" t="s">
        <v>544</v>
      </c>
      <c r="O1476" s="189" t="s">
        <v>172</v>
      </c>
      <c r="P1476" s="189" t="s">
        <v>211</v>
      </c>
      <c r="Q1476" s="189" t="s">
        <v>112</v>
      </c>
      <c r="R1476" s="189" t="s">
        <v>24</v>
      </c>
      <c r="S1476" s="189" t="s">
        <v>120</v>
      </c>
      <c r="T1476" s="189" t="s">
        <v>228</v>
      </c>
      <c r="V1476" s="189" t="s">
        <v>192</v>
      </c>
      <c r="W1476" s="189" t="s">
        <v>124</v>
      </c>
      <c r="X1476" s="189" t="s">
        <v>223</v>
      </c>
      <c r="Y1476" s="189" t="s">
        <v>3066</v>
      </c>
      <c r="Z1476" s="0" t="n">
        <v>1</v>
      </c>
      <c r="AA1476" s="189" t="s">
        <v>3105</v>
      </c>
    </row>
    <row r="1477" customFormat="false" ht="15" hidden="false" customHeight="false" outlineLevel="0" collapsed="false">
      <c r="A1477" s="0" t="n">
        <v>318</v>
      </c>
      <c r="B1477" s="191" t="n">
        <v>46213.6152813181</v>
      </c>
      <c r="C1477" s="191" t="n">
        <v>46213.623707244</v>
      </c>
      <c r="D1477" s="189" t="s">
        <v>2069</v>
      </c>
      <c r="E1477" s="189" t="s">
        <v>2070</v>
      </c>
      <c r="F1477" s="189" t="s">
        <v>2070</v>
      </c>
      <c r="G1477" s="189" t="s">
        <v>2071</v>
      </c>
      <c r="H1477" s="191" t="n">
        <v>46200</v>
      </c>
      <c r="I1477" s="189" t="s">
        <v>132</v>
      </c>
      <c r="J1477" s="189" t="s">
        <v>108</v>
      </c>
      <c r="K1477" s="189" t="s">
        <v>245</v>
      </c>
      <c r="L1477" s="189" t="s">
        <v>491</v>
      </c>
      <c r="M1477" s="189" t="s">
        <v>757</v>
      </c>
      <c r="N1477" s="189" t="s">
        <v>544</v>
      </c>
      <c r="O1477" s="189" t="s">
        <v>172</v>
      </c>
      <c r="P1477" s="189" t="s">
        <v>211</v>
      </c>
      <c r="Q1477" s="189" t="s">
        <v>112</v>
      </c>
      <c r="R1477" s="189" t="s">
        <v>24</v>
      </c>
      <c r="S1477" s="189" t="s">
        <v>120</v>
      </c>
      <c r="T1477" s="189" t="s">
        <v>228</v>
      </c>
      <c r="V1477" s="189" t="s">
        <v>192</v>
      </c>
      <c r="W1477" s="189" t="s">
        <v>124</v>
      </c>
      <c r="X1477" s="189" t="s">
        <v>223</v>
      </c>
      <c r="Y1477" s="189" t="s">
        <v>3069</v>
      </c>
      <c r="Z1477" s="0" t="n">
        <v>1</v>
      </c>
      <c r="AA1477" s="189" t="s">
        <v>3150</v>
      </c>
    </row>
    <row r="1478" customFormat="false" ht="15" hidden="false" customHeight="false" outlineLevel="0" collapsed="false">
      <c r="A1478" s="0" t="n">
        <v>318</v>
      </c>
      <c r="B1478" s="191" t="n">
        <v>46213.6152813181</v>
      </c>
      <c r="C1478" s="191" t="n">
        <v>46213.623707244</v>
      </c>
      <c r="D1478" s="189" t="s">
        <v>2069</v>
      </c>
      <c r="E1478" s="189" t="s">
        <v>2070</v>
      </c>
      <c r="F1478" s="189" t="s">
        <v>2070</v>
      </c>
      <c r="G1478" s="189" t="s">
        <v>2071</v>
      </c>
      <c r="H1478" s="191" t="n">
        <v>46200</v>
      </c>
      <c r="I1478" s="189" t="s">
        <v>132</v>
      </c>
      <c r="J1478" s="189" t="s">
        <v>108</v>
      </c>
      <c r="K1478" s="189" t="s">
        <v>245</v>
      </c>
      <c r="L1478" s="189" t="s">
        <v>491</v>
      </c>
      <c r="M1478" s="189" t="s">
        <v>757</v>
      </c>
      <c r="N1478" s="189" t="s">
        <v>544</v>
      </c>
      <c r="O1478" s="189" t="s">
        <v>172</v>
      </c>
      <c r="P1478" s="189" t="s">
        <v>211</v>
      </c>
      <c r="Q1478" s="189" t="s">
        <v>112</v>
      </c>
      <c r="R1478" s="189" t="s">
        <v>24</v>
      </c>
      <c r="S1478" s="189" t="s">
        <v>120</v>
      </c>
      <c r="T1478" s="189" t="s">
        <v>228</v>
      </c>
      <c r="V1478" s="189" t="s">
        <v>192</v>
      </c>
      <c r="W1478" s="189" t="s">
        <v>124</v>
      </c>
      <c r="X1478" s="189" t="s">
        <v>223</v>
      </c>
      <c r="Y1478" s="189" t="s">
        <v>3069</v>
      </c>
      <c r="Z1478" s="0" t="n">
        <v>2</v>
      </c>
      <c r="AA1478" s="189" t="s">
        <v>3101</v>
      </c>
    </row>
    <row r="1479" customFormat="false" ht="15" hidden="false" customHeight="false" outlineLevel="0" collapsed="false">
      <c r="A1479" s="0" t="n">
        <v>319</v>
      </c>
      <c r="B1479" s="191" t="n">
        <v>46038.6062494619</v>
      </c>
      <c r="C1479" s="191" t="n">
        <v>46038.6106128879</v>
      </c>
      <c r="D1479" s="189" t="s">
        <v>2073</v>
      </c>
      <c r="E1479" s="189" t="s">
        <v>2074</v>
      </c>
      <c r="F1479" s="189" t="s">
        <v>2074</v>
      </c>
      <c r="G1479" s="189" t="s">
        <v>2075</v>
      </c>
      <c r="H1479" s="191" t="n">
        <v>46020</v>
      </c>
      <c r="I1479" s="189" t="s">
        <v>113</v>
      </c>
      <c r="J1479" s="189" t="s">
        <v>108</v>
      </c>
      <c r="K1479" s="189" t="s">
        <v>245</v>
      </c>
      <c r="L1479" s="189" t="s">
        <v>268</v>
      </c>
      <c r="M1479" s="189" t="s">
        <v>797</v>
      </c>
      <c r="N1479" s="189" t="s">
        <v>2076</v>
      </c>
      <c r="O1479" s="189" t="s">
        <v>107</v>
      </c>
      <c r="P1479" s="189" t="s">
        <v>111</v>
      </c>
      <c r="Q1479" s="189" t="s">
        <v>112</v>
      </c>
      <c r="R1479" s="189" t="s">
        <v>22</v>
      </c>
      <c r="S1479" s="189" t="s">
        <v>152</v>
      </c>
      <c r="T1479" s="189" t="s">
        <v>814</v>
      </c>
      <c r="V1479" s="189" t="s">
        <v>167</v>
      </c>
      <c r="W1479" s="189" t="s">
        <v>124</v>
      </c>
      <c r="X1479" s="189" t="s">
        <v>135</v>
      </c>
      <c r="Y1479" s="189" t="s">
        <v>3064</v>
      </c>
      <c r="Z1479" s="0" t="n">
        <v>1</v>
      </c>
      <c r="AA1479" s="189" t="s">
        <v>3072</v>
      </c>
    </row>
    <row r="1480" customFormat="false" ht="15" hidden="false" customHeight="false" outlineLevel="0" collapsed="false">
      <c r="A1480" s="0" t="n">
        <v>319</v>
      </c>
      <c r="B1480" s="191" t="n">
        <v>46038.6062494619</v>
      </c>
      <c r="C1480" s="191" t="n">
        <v>46038.6106128879</v>
      </c>
      <c r="D1480" s="189" t="s">
        <v>2073</v>
      </c>
      <c r="E1480" s="189" t="s">
        <v>2074</v>
      </c>
      <c r="F1480" s="189" t="s">
        <v>2074</v>
      </c>
      <c r="G1480" s="189" t="s">
        <v>2075</v>
      </c>
      <c r="H1480" s="191" t="n">
        <v>46020</v>
      </c>
      <c r="I1480" s="189" t="s">
        <v>113</v>
      </c>
      <c r="J1480" s="189" t="s">
        <v>108</v>
      </c>
      <c r="K1480" s="189" t="s">
        <v>245</v>
      </c>
      <c r="L1480" s="189" t="s">
        <v>268</v>
      </c>
      <c r="M1480" s="189" t="s">
        <v>797</v>
      </c>
      <c r="N1480" s="189" t="s">
        <v>2076</v>
      </c>
      <c r="O1480" s="189" t="s">
        <v>107</v>
      </c>
      <c r="P1480" s="189" t="s">
        <v>111</v>
      </c>
      <c r="Q1480" s="189" t="s">
        <v>112</v>
      </c>
      <c r="R1480" s="189" t="s">
        <v>22</v>
      </c>
      <c r="S1480" s="189" t="s">
        <v>152</v>
      </c>
      <c r="T1480" s="189" t="s">
        <v>814</v>
      </c>
      <c r="V1480" s="189" t="s">
        <v>167</v>
      </c>
      <c r="W1480" s="189" t="s">
        <v>124</v>
      </c>
      <c r="X1480" s="189" t="s">
        <v>135</v>
      </c>
      <c r="Y1480" s="189" t="s">
        <v>3064</v>
      </c>
      <c r="Z1480" s="0" t="n">
        <v>2</v>
      </c>
      <c r="AA1480" s="189" t="s">
        <v>3073</v>
      </c>
    </row>
    <row r="1481" customFormat="false" ht="15" hidden="false" customHeight="false" outlineLevel="0" collapsed="false">
      <c r="A1481" s="0" t="n">
        <v>319</v>
      </c>
      <c r="B1481" s="191" t="n">
        <v>46038.6062494619</v>
      </c>
      <c r="C1481" s="191" t="n">
        <v>46038.6106128879</v>
      </c>
      <c r="D1481" s="189" t="s">
        <v>2073</v>
      </c>
      <c r="E1481" s="189" t="s">
        <v>2074</v>
      </c>
      <c r="F1481" s="189" t="s">
        <v>2074</v>
      </c>
      <c r="G1481" s="189" t="s">
        <v>2075</v>
      </c>
      <c r="H1481" s="191" t="n">
        <v>46020</v>
      </c>
      <c r="I1481" s="189" t="s">
        <v>113</v>
      </c>
      <c r="J1481" s="189" t="s">
        <v>108</v>
      </c>
      <c r="K1481" s="189" t="s">
        <v>245</v>
      </c>
      <c r="L1481" s="189" t="s">
        <v>268</v>
      </c>
      <c r="M1481" s="189" t="s">
        <v>797</v>
      </c>
      <c r="N1481" s="189" t="s">
        <v>2076</v>
      </c>
      <c r="O1481" s="189" t="s">
        <v>107</v>
      </c>
      <c r="P1481" s="189" t="s">
        <v>111</v>
      </c>
      <c r="Q1481" s="189" t="s">
        <v>112</v>
      </c>
      <c r="R1481" s="189" t="s">
        <v>22</v>
      </c>
      <c r="S1481" s="189" t="s">
        <v>152</v>
      </c>
      <c r="T1481" s="189" t="s">
        <v>814</v>
      </c>
      <c r="V1481" s="189" t="s">
        <v>167</v>
      </c>
      <c r="W1481" s="189" t="s">
        <v>124</v>
      </c>
      <c r="X1481" s="189" t="s">
        <v>135</v>
      </c>
      <c r="Y1481" s="189" t="s">
        <v>3066</v>
      </c>
      <c r="Z1481" s="0" t="n">
        <v>1</v>
      </c>
      <c r="AA1481" s="189" t="s">
        <v>122</v>
      </c>
    </row>
    <row r="1482" customFormat="false" ht="15" hidden="false" customHeight="false" outlineLevel="0" collapsed="false">
      <c r="A1482" s="0" t="n">
        <v>319</v>
      </c>
      <c r="B1482" s="191" t="n">
        <v>46038.6062494619</v>
      </c>
      <c r="C1482" s="191" t="n">
        <v>46038.6106128879</v>
      </c>
      <c r="D1482" s="189" t="s">
        <v>2073</v>
      </c>
      <c r="E1482" s="189" t="s">
        <v>2074</v>
      </c>
      <c r="F1482" s="189" t="s">
        <v>2074</v>
      </c>
      <c r="G1482" s="189" t="s">
        <v>2075</v>
      </c>
      <c r="H1482" s="191" t="n">
        <v>46020</v>
      </c>
      <c r="I1482" s="189" t="s">
        <v>113</v>
      </c>
      <c r="J1482" s="189" t="s">
        <v>108</v>
      </c>
      <c r="K1482" s="189" t="s">
        <v>245</v>
      </c>
      <c r="L1482" s="189" t="s">
        <v>268</v>
      </c>
      <c r="M1482" s="189" t="s">
        <v>797</v>
      </c>
      <c r="N1482" s="189" t="s">
        <v>2076</v>
      </c>
      <c r="O1482" s="189" t="s">
        <v>107</v>
      </c>
      <c r="P1482" s="189" t="s">
        <v>111</v>
      </c>
      <c r="Q1482" s="189" t="s">
        <v>112</v>
      </c>
      <c r="R1482" s="189" t="s">
        <v>22</v>
      </c>
      <c r="S1482" s="189" t="s">
        <v>152</v>
      </c>
      <c r="T1482" s="189" t="s">
        <v>814</v>
      </c>
      <c r="V1482" s="189" t="s">
        <v>167</v>
      </c>
      <c r="W1482" s="189" t="s">
        <v>124</v>
      </c>
      <c r="X1482" s="189" t="s">
        <v>135</v>
      </c>
      <c r="Y1482" s="189" t="s">
        <v>3066</v>
      </c>
      <c r="Z1482" s="0" t="n">
        <v>2</v>
      </c>
      <c r="AA1482" s="189" t="s">
        <v>3151</v>
      </c>
    </row>
    <row r="1483" customFormat="false" ht="15" hidden="false" customHeight="false" outlineLevel="0" collapsed="false">
      <c r="A1483" s="0" t="n">
        <v>319</v>
      </c>
      <c r="B1483" s="191" t="n">
        <v>46038.6062494619</v>
      </c>
      <c r="C1483" s="191" t="n">
        <v>46038.6106128879</v>
      </c>
      <c r="D1483" s="189" t="s">
        <v>2073</v>
      </c>
      <c r="E1483" s="189" t="s">
        <v>2074</v>
      </c>
      <c r="F1483" s="189" t="s">
        <v>2074</v>
      </c>
      <c r="G1483" s="189" t="s">
        <v>2075</v>
      </c>
      <c r="H1483" s="191" t="n">
        <v>46020</v>
      </c>
      <c r="I1483" s="189" t="s">
        <v>113</v>
      </c>
      <c r="J1483" s="189" t="s">
        <v>108</v>
      </c>
      <c r="K1483" s="189" t="s">
        <v>245</v>
      </c>
      <c r="L1483" s="189" t="s">
        <v>268</v>
      </c>
      <c r="M1483" s="189" t="s">
        <v>797</v>
      </c>
      <c r="N1483" s="189" t="s">
        <v>2076</v>
      </c>
      <c r="O1483" s="189" t="s">
        <v>107</v>
      </c>
      <c r="P1483" s="189" t="s">
        <v>111</v>
      </c>
      <c r="Q1483" s="189" t="s">
        <v>112</v>
      </c>
      <c r="R1483" s="189" t="s">
        <v>22</v>
      </c>
      <c r="S1483" s="189" t="s">
        <v>152</v>
      </c>
      <c r="T1483" s="189" t="s">
        <v>814</v>
      </c>
      <c r="V1483" s="189" t="s">
        <v>167</v>
      </c>
      <c r="W1483" s="189" t="s">
        <v>124</v>
      </c>
      <c r="X1483" s="189" t="s">
        <v>135</v>
      </c>
      <c r="Y1483" s="189" t="s">
        <v>3069</v>
      </c>
      <c r="Z1483" s="0" t="n">
        <v>1</v>
      </c>
      <c r="AA1483" s="189" t="s">
        <v>3257</v>
      </c>
    </row>
    <row r="1484" customFormat="false" ht="15" hidden="false" customHeight="false" outlineLevel="0" collapsed="false">
      <c r="A1484" s="0" t="n">
        <v>320</v>
      </c>
      <c r="B1484" s="191" t="n">
        <v>46145.5017040344</v>
      </c>
      <c r="C1484" s="191" t="n">
        <v>46145.5132433862</v>
      </c>
      <c r="D1484" s="189" t="s">
        <v>2079</v>
      </c>
      <c r="E1484" s="189" t="s">
        <v>2080</v>
      </c>
      <c r="F1484" s="189" t="s">
        <v>2080</v>
      </c>
      <c r="G1484" s="189" t="s">
        <v>2081</v>
      </c>
      <c r="H1484" s="191" t="n">
        <v>46126</v>
      </c>
      <c r="I1484" s="189" t="s">
        <v>863</v>
      </c>
      <c r="J1484" s="189" t="s">
        <v>108</v>
      </c>
      <c r="K1484" s="189" t="s">
        <v>2082</v>
      </c>
      <c r="L1484" s="189" t="s">
        <v>159</v>
      </c>
      <c r="M1484" s="189" t="s">
        <v>439</v>
      </c>
      <c r="N1484" s="189" t="s">
        <v>849</v>
      </c>
      <c r="O1484" s="189" t="s">
        <v>107</v>
      </c>
      <c r="P1484" s="189" t="s">
        <v>111</v>
      </c>
      <c r="Q1484" s="189" t="s">
        <v>145</v>
      </c>
      <c r="R1484" s="189" t="s">
        <v>25</v>
      </c>
      <c r="S1484" s="189" t="s">
        <v>152</v>
      </c>
      <c r="T1484" s="189" t="s">
        <v>352</v>
      </c>
      <c r="U1484" s="189" t="s">
        <v>1032</v>
      </c>
      <c r="V1484" s="189" t="s">
        <v>123</v>
      </c>
      <c r="W1484" s="189" t="s">
        <v>168</v>
      </c>
      <c r="X1484" s="189" t="s">
        <v>327</v>
      </c>
      <c r="Y1484" s="189" t="s">
        <v>3064</v>
      </c>
      <c r="Z1484" s="0" t="n">
        <v>1</v>
      </c>
      <c r="AA1484" s="189" t="s">
        <v>3081</v>
      </c>
    </row>
    <row r="1485" customFormat="false" ht="15" hidden="false" customHeight="false" outlineLevel="0" collapsed="false">
      <c r="A1485" s="0" t="n">
        <v>320</v>
      </c>
      <c r="B1485" s="191" t="n">
        <v>46145.5017040344</v>
      </c>
      <c r="C1485" s="191" t="n">
        <v>46145.5132433862</v>
      </c>
      <c r="D1485" s="189" t="s">
        <v>2079</v>
      </c>
      <c r="E1485" s="189" t="s">
        <v>2080</v>
      </c>
      <c r="F1485" s="189" t="s">
        <v>2080</v>
      </c>
      <c r="G1485" s="189" t="s">
        <v>2081</v>
      </c>
      <c r="H1485" s="191" t="n">
        <v>46126</v>
      </c>
      <c r="I1485" s="189" t="s">
        <v>863</v>
      </c>
      <c r="J1485" s="189" t="s">
        <v>108</v>
      </c>
      <c r="K1485" s="189" t="s">
        <v>2082</v>
      </c>
      <c r="L1485" s="189" t="s">
        <v>159</v>
      </c>
      <c r="M1485" s="189" t="s">
        <v>439</v>
      </c>
      <c r="N1485" s="189" t="s">
        <v>849</v>
      </c>
      <c r="O1485" s="189" t="s">
        <v>107</v>
      </c>
      <c r="P1485" s="189" t="s">
        <v>111</v>
      </c>
      <c r="Q1485" s="189" t="s">
        <v>145</v>
      </c>
      <c r="R1485" s="189" t="s">
        <v>25</v>
      </c>
      <c r="S1485" s="189" t="s">
        <v>152</v>
      </c>
      <c r="T1485" s="189" t="s">
        <v>352</v>
      </c>
      <c r="U1485" s="189" t="s">
        <v>1032</v>
      </c>
      <c r="V1485" s="189" t="s">
        <v>123</v>
      </c>
      <c r="W1485" s="189" t="s">
        <v>168</v>
      </c>
      <c r="X1485" s="189" t="s">
        <v>327</v>
      </c>
      <c r="Y1485" s="189" t="s">
        <v>3066</v>
      </c>
      <c r="Z1485" s="0" t="n">
        <v>1</v>
      </c>
      <c r="AA1485" s="189" t="s">
        <v>122</v>
      </c>
    </row>
    <row r="1486" customFormat="false" ht="15" hidden="false" customHeight="false" outlineLevel="0" collapsed="false">
      <c r="A1486" s="0" t="n">
        <v>320</v>
      </c>
      <c r="B1486" s="191" t="n">
        <v>46145.5017040344</v>
      </c>
      <c r="C1486" s="191" t="n">
        <v>46145.5132433862</v>
      </c>
      <c r="D1486" s="189" t="s">
        <v>2079</v>
      </c>
      <c r="E1486" s="189" t="s">
        <v>2080</v>
      </c>
      <c r="F1486" s="189" t="s">
        <v>2080</v>
      </c>
      <c r="G1486" s="189" t="s">
        <v>2081</v>
      </c>
      <c r="H1486" s="191" t="n">
        <v>46126</v>
      </c>
      <c r="I1486" s="189" t="s">
        <v>863</v>
      </c>
      <c r="J1486" s="189" t="s">
        <v>108</v>
      </c>
      <c r="K1486" s="189" t="s">
        <v>2082</v>
      </c>
      <c r="L1486" s="189" t="s">
        <v>159</v>
      </c>
      <c r="M1486" s="189" t="s">
        <v>439</v>
      </c>
      <c r="N1486" s="189" t="s">
        <v>849</v>
      </c>
      <c r="O1486" s="189" t="s">
        <v>107</v>
      </c>
      <c r="P1486" s="189" t="s">
        <v>111</v>
      </c>
      <c r="Q1486" s="189" t="s">
        <v>145</v>
      </c>
      <c r="R1486" s="189" t="s">
        <v>25</v>
      </c>
      <c r="S1486" s="189" t="s">
        <v>152</v>
      </c>
      <c r="T1486" s="189" t="s">
        <v>352</v>
      </c>
      <c r="U1486" s="189" t="s">
        <v>1032</v>
      </c>
      <c r="V1486" s="189" t="s">
        <v>123</v>
      </c>
      <c r="W1486" s="189" t="s">
        <v>168</v>
      </c>
      <c r="X1486" s="189" t="s">
        <v>327</v>
      </c>
      <c r="Y1486" s="189" t="s">
        <v>3066</v>
      </c>
      <c r="Z1486" s="0" t="n">
        <v>2</v>
      </c>
      <c r="AA1486" s="189" t="s">
        <v>3068</v>
      </c>
    </row>
    <row r="1487" customFormat="false" ht="15" hidden="false" customHeight="false" outlineLevel="0" collapsed="false">
      <c r="A1487" s="0" t="n">
        <v>320</v>
      </c>
      <c r="B1487" s="191" t="n">
        <v>46145.5017040344</v>
      </c>
      <c r="C1487" s="191" t="n">
        <v>46145.5132433862</v>
      </c>
      <c r="D1487" s="189" t="s">
        <v>2079</v>
      </c>
      <c r="E1487" s="189" t="s">
        <v>2080</v>
      </c>
      <c r="F1487" s="189" t="s">
        <v>2080</v>
      </c>
      <c r="G1487" s="189" t="s">
        <v>2081</v>
      </c>
      <c r="H1487" s="191" t="n">
        <v>46126</v>
      </c>
      <c r="I1487" s="189" t="s">
        <v>863</v>
      </c>
      <c r="J1487" s="189" t="s">
        <v>108</v>
      </c>
      <c r="K1487" s="189" t="s">
        <v>2082</v>
      </c>
      <c r="L1487" s="189" t="s">
        <v>159</v>
      </c>
      <c r="M1487" s="189" t="s">
        <v>439</v>
      </c>
      <c r="N1487" s="189" t="s">
        <v>849</v>
      </c>
      <c r="O1487" s="189" t="s">
        <v>107</v>
      </c>
      <c r="P1487" s="189" t="s">
        <v>111</v>
      </c>
      <c r="Q1487" s="189" t="s">
        <v>145</v>
      </c>
      <c r="R1487" s="189" t="s">
        <v>25</v>
      </c>
      <c r="S1487" s="189" t="s">
        <v>152</v>
      </c>
      <c r="T1487" s="189" t="s">
        <v>352</v>
      </c>
      <c r="U1487" s="189" t="s">
        <v>1032</v>
      </c>
      <c r="V1487" s="189" t="s">
        <v>123</v>
      </c>
      <c r="W1487" s="189" t="s">
        <v>168</v>
      </c>
      <c r="X1487" s="189" t="s">
        <v>327</v>
      </c>
      <c r="Y1487" s="189" t="s">
        <v>3069</v>
      </c>
      <c r="Z1487" s="0" t="n">
        <v>1</v>
      </c>
      <c r="AA1487" s="189" t="s">
        <v>3083</v>
      </c>
    </row>
    <row r="1488" customFormat="false" ht="15" hidden="false" customHeight="false" outlineLevel="0" collapsed="false">
      <c r="A1488" s="0" t="n">
        <v>321</v>
      </c>
      <c r="B1488" s="191" t="n">
        <v>46129.7588598085</v>
      </c>
      <c r="C1488" s="191" t="n">
        <v>46129.7631885122</v>
      </c>
      <c r="D1488" s="189" t="s">
        <v>2083</v>
      </c>
      <c r="E1488" s="189" t="s">
        <v>2084</v>
      </c>
      <c r="F1488" s="189" t="s">
        <v>2084</v>
      </c>
      <c r="G1488" s="189" t="s">
        <v>2085</v>
      </c>
      <c r="H1488" s="191" t="n">
        <v>46115</v>
      </c>
      <c r="I1488" s="189" t="s">
        <v>113</v>
      </c>
      <c r="J1488" s="189" t="s">
        <v>295</v>
      </c>
      <c r="K1488" s="189" t="s">
        <v>245</v>
      </c>
      <c r="L1488" s="189" t="s">
        <v>246</v>
      </c>
      <c r="M1488" s="189" t="s">
        <v>258</v>
      </c>
      <c r="N1488" s="189" t="s">
        <v>775</v>
      </c>
      <c r="O1488" s="189" t="s">
        <v>172</v>
      </c>
      <c r="P1488" s="189" t="s">
        <v>211</v>
      </c>
      <c r="Q1488" s="189" t="s">
        <v>145</v>
      </c>
      <c r="R1488" s="189" t="s">
        <v>22</v>
      </c>
      <c r="S1488" s="189" t="s">
        <v>120</v>
      </c>
      <c r="T1488" s="189" t="s">
        <v>496</v>
      </c>
      <c r="U1488" s="189" t="s">
        <v>122</v>
      </c>
      <c r="V1488" s="189" t="s">
        <v>123</v>
      </c>
      <c r="W1488" s="189" t="s">
        <v>124</v>
      </c>
      <c r="X1488" s="189" t="s">
        <v>339</v>
      </c>
      <c r="Y1488" s="189" t="s">
        <v>3064</v>
      </c>
      <c r="Z1488" s="0" t="n">
        <v>1</v>
      </c>
      <c r="AA1488" s="189" t="s">
        <v>3199</v>
      </c>
    </row>
    <row r="1489" customFormat="false" ht="15" hidden="false" customHeight="false" outlineLevel="0" collapsed="false">
      <c r="A1489" s="0" t="n">
        <v>321</v>
      </c>
      <c r="B1489" s="191" t="n">
        <v>46129.7588598085</v>
      </c>
      <c r="C1489" s="191" t="n">
        <v>46129.7631885122</v>
      </c>
      <c r="D1489" s="189" t="s">
        <v>2083</v>
      </c>
      <c r="E1489" s="189" t="s">
        <v>2084</v>
      </c>
      <c r="F1489" s="189" t="s">
        <v>2084</v>
      </c>
      <c r="G1489" s="189" t="s">
        <v>2085</v>
      </c>
      <c r="H1489" s="191" t="n">
        <v>46115</v>
      </c>
      <c r="I1489" s="189" t="s">
        <v>113</v>
      </c>
      <c r="J1489" s="189" t="s">
        <v>295</v>
      </c>
      <c r="K1489" s="189" t="s">
        <v>245</v>
      </c>
      <c r="L1489" s="189" t="s">
        <v>246</v>
      </c>
      <c r="M1489" s="189" t="s">
        <v>258</v>
      </c>
      <c r="N1489" s="189" t="s">
        <v>775</v>
      </c>
      <c r="O1489" s="189" t="s">
        <v>172</v>
      </c>
      <c r="P1489" s="189" t="s">
        <v>211</v>
      </c>
      <c r="Q1489" s="189" t="s">
        <v>145</v>
      </c>
      <c r="R1489" s="189" t="s">
        <v>22</v>
      </c>
      <c r="S1489" s="189" t="s">
        <v>120</v>
      </c>
      <c r="T1489" s="189" t="s">
        <v>496</v>
      </c>
      <c r="U1489" s="189" t="s">
        <v>122</v>
      </c>
      <c r="V1489" s="189" t="s">
        <v>123</v>
      </c>
      <c r="W1489" s="189" t="s">
        <v>124</v>
      </c>
      <c r="X1489" s="189" t="s">
        <v>339</v>
      </c>
      <c r="Y1489" s="189" t="s">
        <v>3064</v>
      </c>
      <c r="Z1489" s="0" t="n">
        <v>2</v>
      </c>
      <c r="AA1489" s="189" t="s">
        <v>3216</v>
      </c>
    </row>
    <row r="1490" customFormat="false" ht="15" hidden="false" customHeight="false" outlineLevel="0" collapsed="false">
      <c r="A1490" s="0" t="n">
        <v>321</v>
      </c>
      <c r="B1490" s="191" t="n">
        <v>46129.7588598085</v>
      </c>
      <c r="C1490" s="191" t="n">
        <v>46129.7631885122</v>
      </c>
      <c r="D1490" s="189" t="s">
        <v>2083</v>
      </c>
      <c r="E1490" s="189" t="s">
        <v>2084</v>
      </c>
      <c r="F1490" s="189" t="s">
        <v>2084</v>
      </c>
      <c r="G1490" s="189" t="s">
        <v>2085</v>
      </c>
      <c r="H1490" s="191" t="n">
        <v>46115</v>
      </c>
      <c r="I1490" s="189" t="s">
        <v>113</v>
      </c>
      <c r="J1490" s="189" t="s">
        <v>295</v>
      </c>
      <c r="K1490" s="189" t="s">
        <v>245</v>
      </c>
      <c r="L1490" s="189" t="s">
        <v>246</v>
      </c>
      <c r="M1490" s="189" t="s">
        <v>258</v>
      </c>
      <c r="N1490" s="189" t="s">
        <v>775</v>
      </c>
      <c r="O1490" s="189" t="s">
        <v>172</v>
      </c>
      <c r="P1490" s="189" t="s">
        <v>211</v>
      </c>
      <c r="Q1490" s="189" t="s">
        <v>145</v>
      </c>
      <c r="R1490" s="189" t="s">
        <v>22</v>
      </c>
      <c r="S1490" s="189" t="s">
        <v>120</v>
      </c>
      <c r="T1490" s="189" t="s">
        <v>496</v>
      </c>
      <c r="U1490" s="189" t="s">
        <v>122</v>
      </c>
      <c r="V1490" s="189" t="s">
        <v>123</v>
      </c>
      <c r="W1490" s="189" t="s">
        <v>124</v>
      </c>
      <c r="X1490" s="189" t="s">
        <v>339</v>
      </c>
      <c r="Y1490" s="189" t="s">
        <v>3064</v>
      </c>
      <c r="Z1490" s="0" t="n">
        <v>3</v>
      </c>
      <c r="AA1490" s="189" t="s">
        <v>3198</v>
      </c>
    </row>
    <row r="1491" customFormat="false" ht="15" hidden="false" customHeight="false" outlineLevel="0" collapsed="false">
      <c r="A1491" s="0" t="n">
        <v>321</v>
      </c>
      <c r="B1491" s="191" t="n">
        <v>46129.7588598085</v>
      </c>
      <c r="C1491" s="191" t="n">
        <v>46129.7631885122</v>
      </c>
      <c r="D1491" s="189" t="s">
        <v>2083</v>
      </c>
      <c r="E1491" s="189" t="s">
        <v>2084</v>
      </c>
      <c r="F1491" s="189" t="s">
        <v>2084</v>
      </c>
      <c r="G1491" s="189" t="s">
        <v>2085</v>
      </c>
      <c r="H1491" s="191" t="n">
        <v>46115</v>
      </c>
      <c r="I1491" s="189" t="s">
        <v>113</v>
      </c>
      <c r="J1491" s="189" t="s">
        <v>295</v>
      </c>
      <c r="K1491" s="189" t="s">
        <v>245</v>
      </c>
      <c r="L1491" s="189" t="s">
        <v>246</v>
      </c>
      <c r="M1491" s="189" t="s">
        <v>258</v>
      </c>
      <c r="N1491" s="189" t="s">
        <v>775</v>
      </c>
      <c r="O1491" s="189" t="s">
        <v>172</v>
      </c>
      <c r="P1491" s="189" t="s">
        <v>211</v>
      </c>
      <c r="Q1491" s="189" t="s">
        <v>145</v>
      </c>
      <c r="R1491" s="189" t="s">
        <v>22</v>
      </c>
      <c r="S1491" s="189" t="s">
        <v>120</v>
      </c>
      <c r="T1491" s="189" t="s">
        <v>496</v>
      </c>
      <c r="U1491" s="189" t="s">
        <v>122</v>
      </c>
      <c r="V1491" s="189" t="s">
        <v>123</v>
      </c>
      <c r="W1491" s="189" t="s">
        <v>124</v>
      </c>
      <c r="X1491" s="189" t="s">
        <v>339</v>
      </c>
      <c r="Y1491" s="189" t="s">
        <v>3066</v>
      </c>
      <c r="Z1491" s="0" t="n">
        <v>1</v>
      </c>
      <c r="AA1491" s="189" t="s">
        <v>3235</v>
      </c>
    </row>
    <row r="1492" customFormat="false" ht="15" hidden="false" customHeight="false" outlineLevel="0" collapsed="false">
      <c r="A1492" s="0" t="n">
        <v>321</v>
      </c>
      <c r="B1492" s="191" t="n">
        <v>46129.7588598085</v>
      </c>
      <c r="C1492" s="191" t="n">
        <v>46129.7631885122</v>
      </c>
      <c r="D1492" s="189" t="s">
        <v>2083</v>
      </c>
      <c r="E1492" s="189" t="s">
        <v>2084</v>
      </c>
      <c r="F1492" s="189" t="s">
        <v>2084</v>
      </c>
      <c r="G1492" s="189" t="s">
        <v>2085</v>
      </c>
      <c r="H1492" s="191" t="n">
        <v>46115</v>
      </c>
      <c r="I1492" s="189" t="s">
        <v>113</v>
      </c>
      <c r="J1492" s="189" t="s">
        <v>295</v>
      </c>
      <c r="K1492" s="189" t="s">
        <v>245</v>
      </c>
      <c r="L1492" s="189" t="s">
        <v>246</v>
      </c>
      <c r="M1492" s="189" t="s">
        <v>258</v>
      </c>
      <c r="N1492" s="189" t="s">
        <v>775</v>
      </c>
      <c r="O1492" s="189" t="s">
        <v>172</v>
      </c>
      <c r="P1492" s="189" t="s">
        <v>211</v>
      </c>
      <c r="Q1492" s="189" t="s">
        <v>145</v>
      </c>
      <c r="R1492" s="189" t="s">
        <v>22</v>
      </c>
      <c r="S1492" s="189" t="s">
        <v>120</v>
      </c>
      <c r="T1492" s="189" t="s">
        <v>496</v>
      </c>
      <c r="U1492" s="189" t="s">
        <v>122</v>
      </c>
      <c r="V1492" s="189" t="s">
        <v>123</v>
      </c>
      <c r="W1492" s="189" t="s">
        <v>124</v>
      </c>
      <c r="X1492" s="189" t="s">
        <v>339</v>
      </c>
      <c r="Y1492" s="189" t="s">
        <v>3069</v>
      </c>
      <c r="Z1492" s="0" t="n">
        <v>1</v>
      </c>
      <c r="AA1492" s="189" t="s">
        <v>3217</v>
      </c>
    </row>
    <row r="1493" customFormat="false" ht="15" hidden="false" customHeight="false" outlineLevel="0" collapsed="false">
      <c r="A1493" s="0" t="n">
        <v>322</v>
      </c>
      <c r="B1493" s="191" t="n">
        <v>46211.2876374848</v>
      </c>
      <c r="C1493" s="191" t="n">
        <v>46211.298297207</v>
      </c>
      <c r="D1493" s="189" t="s">
        <v>2087</v>
      </c>
      <c r="E1493" s="189" t="s">
        <v>2088</v>
      </c>
      <c r="F1493" s="189" t="s">
        <v>2088</v>
      </c>
      <c r="G1493" s="189" t="s">
        <v>2089</v>
      </c>
      <c r="H1493" s="191" t="n">
        <v>46199</v>
      </c>
      <c r="I1493" s="189" t="s">
        <v>305</v>
      </c>
      <c r="J1493" s="189" t="s">
        <v>295</v>
      </c>
      <c r="K1493" s="189" t="s">
        <v>364</v>
      </c>
      <c r="L1493" s="189" t="s">
        <v>210</v>
      </c>
      <c r="M1493" s="189" t="s">
        <v>144</v>
      </c>
      <c r="N1493" s="189" t="s">
        <v>259</v>
      </c>
      <c r="O1493" s="189" t="s">
        <v>278</v>
      </c>
      <c r="P1493" s="189" t="s">
        <v>390</v>
      </c>
      <c r="Q1493" s="189" t="s">
        <v>112</v>
      </c>
      <c r="R1493" s="189" t="s">
        <v>22</v>
      </c>
      <c r="S1493" s="189" t="s">
        <v>152</v>
      </c>
      <c r="T1493" s="189" t="s">
        <v>121</v>
      </c>
      <c r="U1493" s="189" t="s">
        <v>122</v>
      </c>
      <c r="V1493" s="189" t="s">
        <v>192</v>
      </c>
      <c r="W1493" s="189" t="s">
        <v>124</v>
      </c>
      <c r="X1493" s="189" t="s">
        <v>148</v>
      </c>
      <c r="Y1493" s="189" t="s">
        <v>3064</v>
      </c>
      <c r="Z1493" s="0" t="n">
        <v>1</v>
      </c>
      <c r="AA1493" s="189" t="s">
        <v>3092</v>
      </c>
    </row>
    <row r="1494" customFormat="false" ht="15" hidden="false" customHeight="false" outlineLevel="0" collapsed="false">
      <c r="A1494" s="0" t="n">
        <v>322</v>
      </c>
      <c r="B1494" s="191" t="n">
        <v>46211.2876374848</v>
      </c>
      <c r="C1494" s="191" t="n">
        <v>46211.298297207</v>
      </c>
      <c r="D1494" s="189" t="s">
        <v>2087</v>
      </c>
      <c r="E1494" s="189" t="s">
        <v>2088</v>
      </c>
      <c r="F1494" s="189" t="s">
        <v>2088</v>
      </c>
      <c r="G1494" s="189" t="s">
        <v>2089</v>
      </c>
      <c r="H1494" s="191" t="n">
        <v>46199</v>
      </c>
      <c r="I1494" s="189" t="s">
        <v>305</v>
      </c>
      <c r="J1494" s="189" t="s">
        <v>295</v>
      </c>
      <c r="K1494" s="189" t="s">
        <v>364</v>
      </c>
      <c r="L1494" s="189" t="s">
        <v>210</v>
      </c>
      <c r="M1494" s="189" t="s">
        <v>144</v>
      </c>
      <c r="N1494" s="189" t="s">
        <v>259</v>
      </c>
      <c r="O1494" s="189" t="s">
        <v>278</v>
      </c>
      <c r="P1494" s="189" t="s">
        <v>390</v>
      </c>
      <c r="Q1494" s="189" t="s">
        <v>112</v>
      </c>
      <c r="R1494" s="189" t="s">
        <v>22</v>
      </c>
      <c r="S1494" s="189" t="s">
        <v>152</v>
      </c>
      <c r="T1494" s="189" t="s">
        <v>121</v>
      </c>
      <c r="U1494" s="189" t="s">
        <v>122</v>
      </c>
      <c r="V1494" s="189" t="s">
        <v>192</v>
      </c>
      <c r="W1494" s="189" t="s">
        <v>124</v>
      </c>
      <c r="X1494" s="189" t="s">
        <v>148</v>
      </c>
      <c r="Y1494" s="189" t="s">
        <v>3064</v>
      </c>
      <c r="Z1494" s="0" t="n">
        <v>2</v>
      </c>
      <c r="AA1494" s="189" t="s">
        <v>3281</v>
      </c>
    </row>
    <row r="1495" customFormat="false" ht="15" hidden="false" customHeight="false" outlineLevel="0" collapsed="false">
      <c r="A1495" s="0" t="n">
        <v>322</v>
      </c>
      <c r="B1495" s="191" t="n">
        <v>46211.2876374848</v>
      </c>
      <c r="C1495" s="191" t="n">
        <v>46211.298297207</v>
      </c>
      <c r="D1495" s="189" t="s">
        <v>2087</v>
      </c>
      <c r="E1495" s="189" t="s">
        <v>2088</v>
      </c>
      <c r="F1495" s="189" t="s">
        <v>2088</v>
      </c>
      <c r="G1495" s="189" t="s">
        <v>2089</v>
      </c>
      <c r="H1495" s="191" t="n">
        <v>46199</v>
      </c>
      <c r="I1495" s="189" t="s">
        <v>305</v>
      </c>
      <c r="J1495" s="189" t="s">
        <v>295</v>
      </c>
      <c r="K1495" s="189" t="s">
        <v>364</v>
      </c>
      <c r="L1495" s="189" t="s">
        <v>210</v>
      </c>
      <c r="M1495" s="189" t="s">
        <v>144</v>
      </c>
      <c r="N1495" s="189" t="s">
        <v>259</v>
      </c>
      <c r="O1495" s="189" t="s">
        <v>278</v>
      </c>
      <c r="P1495" s="189" t="s">
        <v>390</v>
      </c>
      <c r="Q1495" s="189" t="s">
        <v>112</v>
      </c>
      <c r="R1495" s="189" t="s">
        <v>22</v>
      </c>
      <c r="S1495" s="189" t="s">
        <v>152</v>
      </c>
      <c r="T1495" s="189" t="s">
        <v>121</v>
      </c>
      <c r="U1495" s="189" t="s">
        <v>122</v>
      </c>
      <c r="V1495" s="189" t="s">
        <v>192</v>
      </c>
      <c r="W1495" s="189" t="s">
        <v>124</v>
      </c>
      <c r="X1495" s="189" t="s">
        <v>148</v>
      </c>
      <c r="Y1495" s="189" t="s">
        <v>3064</v>
      </c>
      <c r="Z1495" s="0" t="n">
        <v>3</v>
      </c>
      <c r="AA1495" s="189" t="s">
        <v>3186</v>
      </c>
    </row>
    <row r="1496" customFormat="false" ht="15" hidden="false" customHeight="false" outlineLevel="0" collapsed="false">
      <c r="A1496" s="0" t="n">
        <v>322</v>
      </c>
      <c r="B1496" s="191" t="n">
        <v>46211.2876374848</v>
      </c>
      <c r="C1496" s="191" t="n">
        <v>46211.298297207</v>
      </c>
      <c r="D1496" s="189" t="s">
        <v>2087</v>
      </c>
      <c r="E1496" s="189" t="s">
        <v>2088</v>
      </c>
      <c r="F1496" s="189" t="s">
        <v>2088</v>
      </c>
      <c r="G1496" s="189" t="s">
        <v>2089</v>
      </c>
      <c r="H1496" s="191" t="n">
        <v>46199</v>
      </c>
      <c r="I1496" s="189" t="s">
        <v>305</v>
      </c>
      <c r="J1496" s="189" t="s">
        <v>295</v>
      </c>
      <c r="K1496" s="189" t="s">
        <v>364</v>
      </c>
      <c r="L1496" s="189" t="s">
        <v>210</v>
      </c>
      <c r="M1496" s="189" t="s">
        <v>144</v>
      </c>
      <c r="N1496" s="189" t="s">
        <v>259</v>
      </c>
      <c r="O1496" s="189" t="s">
        <v>278</v>
      </c>
      <c r="P1496" s="189" t="s">
        <v>390</v>
      </c>
      <c r="Q1496" s="189" t="s">
        <v>112</v>
      </c>
      <c r="R1496" s="189" t="s">
        <v>22</v>
      </c>
      <c r="S1496" s="189" t="s">
        <v>152</v>
      </c>
      <c r="T1496" s="189" t="s">
        <v>121</v>
      </c>
      <c r="U1496" s="189" t="s">
        <v>122</v>
      </c>
      <c r="V1496" s="189" t="s">
        <v>192</v>
      </c>
      <c r="W1496" s="189" t="s">
        <v>124</v>
      </c>
      <c r="X1496" s="189" t="s">
        <v>148</v>
      </c>
      <c r="Y1496" s="189" t="s">
        <v>3066</v>
      </c>
      <c r="Z1496" s="0" t="n">
        <v>1</v>
      </c>
      <c r="AA1496" s="189" t="s">
        <v>122</v>
      </c>
    </row>
    <row r="1497" customFormat="false" ht="15" hidden="false" customHeight="false" outlineLevel="0" collapsed="false">
      <c r="A1497" s="0" t="n">
        <v>322</v>
      </c>
      <c r="B1497" s="191" t="n">
        <v>46211.2876374848</v>
      </c>
      <c r="C1497" s="191" t="n">
        <v>46211.298297207</v>
      </c>
      <c r="D1497" s="189" t="s">
        <v>2087</v>
      </c>
      <c r="E1497" s="189" t="s">
        <v>2088</v>
      </c>
      <c r="F1497" s="189" t="s">
        <v>2088</v>
      </c>
      <c r="G1497" s="189" t="s">
        <v>2089</v>
      </c>
      <c r="H1497" s="191" t="n">
        <v>46199</v>
      </c>
      <c r="I1497" s="189" t="s">
        <v>305</v>
      </c>
      <c r="J1497" s="189" t="s">
        <v>295</v>
      </c>
      <c r="K1497" s="189" t="s">
        <v>364</v>
      </c>
      <c r="L1497" s="189" t="s">
        <v>210</v>
      </c>
      <c r="M1497" s="189" t="s">
        <v>144</v>
      </c>
      <c r="N1497" s="189" t="s">
        <v>259</v>
      </c>
      <c r="O1497" s="189" t="s">
        <v>278</v>
      </c>
      <c r="P1497" s="189" t="s">
        <v>390</v>
      </c>
      <c r="Q1497" s="189" t="s">
        <v>112</v>
      </c>
      <c r="R1497" s="189" t="s">
        <v>22</v>
      </c>
      <c r="S1497" s="189" t="s">
        <v>152</v>
      </c>
      <c r="T1497" s="189" t="s">
        <v>121</v>
      </c>
      <c r="U1497" s="189" t="s">
        <v>122</v>
      </c>
      <c r="V1497" s="189" t="s">
        <v>192</v>
      </c>
      <c r="W1497" s="189" t="s">
        <v>124</v>
      </c>
      <c r="X1497" s="189" t="s">
        <v>148</v>
      </c>
      <c r="Y1497" s="189" t="s">
        <v>3066</v>
      </c>
      <c r="Z1497" s="0" t="n">
        <v>2</v>
      </c>
      <c r="AA1497" s="189" t="s">
        <v>3187</v>
      </c>
    </row>
    <row r="1498" customFormat="false" ht="15" hidden="false" customHeight="false" outlineLevel="0" collapsed="false">
      <c r="A1498" s="0" t="n">
        <v>322</v>
      </c>
      <c r="B1498" s="191" t="n">
        <v>46211.2876374848</v>
      </c>
      <c r="C1498" s="191" t="n">
        <v>46211.298297207</v>
      </c>
      <c r="D1498" s="189" t="s">
        <v>2087</v>
      </c>
      <c r="E1498" s="189" t="s">
        <v>2088</v>
      </c>
      <c r="F1498" s="189" t="s">
        <v>2088</v>
      </c>
      <c r="G1498" s="189" t="s">
        <v>2089</v>
      </c>
      <c r="H1498" s="191" t="n">
        <v>46199</v>
      </c>
      <c r="I1498" s="189" t="s">
        <v>305</v>
      </c>
      <c r="J1498" s="189" t="s">
        <v>295</v>
      </c>
      <c r="K1498" s="189" t="s">
        <v>364</v>
      </c>
      <c r="L1498" s="189" t="s">
        <v>210</v>
      </c>
      <c r="M1498" s="189" t="s">
        <v>144</v>
      </c>
      <c r="N1498" s="189" t="s">
        <v>259</v>
      </c>
      <c r="O1498" s="189" t="s">
        <v>278</v>
      </c>
      <c r="P1498" s="189" t="s">
        <v>390</v>
      </c>
      <c r="Q1498" s="189" t="s">
        <v>112</v>
      </c>
      <c r="R1498" s="189" t="s">
        <v>22</v>
      </c>
      <c r="S1498" s="189" t="s">
        <v>152</v>
      </c>
      <c r="T1498" s="189" t="s">
        <v>121</v>
      </c>
      <c r="U1498" s="189" t="s">
        <v>122</v>
      </c>
      <c r="V1498" s="189" t="s">
        <v>192</v>
      </c>
      <c r="W1498" s="189" t="s">
        <v>124</v>
      </c>
      <c r="X1498" s="189" t="s">
        <v>148</v>
      </c>
      <c r="Y1498" s="189" t="s">
        <v>3069</v>
      </c>
      <c r="Z1498" s="0" t="n">
        <v>1</v>
      </c>
      <c r="AA1498" s="189" t="s">
        <v>122</v>
      </c>
    </row>
    <row r="1499" customFormat="false" ht="15" hidden="false" customHeight="false" outlineLevel="0" collapsed="false">
      <c r="A1499" s="0" t="n">
        <v>324</v>
      </c>
      <c r="B1499" s="191" t="n">
        <v>46173.9443933394</v>
      </c>
      <c r="C1499" s="191" t="n">
        <v>46173.9599025987</v>
      </c>
      <c r="D1499" s="189" t="s">
        <v>2095</v>
      </c>
      <c r="E1499" s="189" t="s">
        <v>2096</v>
      </c>
      <c r="F1499" s="189" t="s">
        <v>2097</v>
      </c>
      <c r="G1499" s="189" t="s">
        <v>2098</v>
      </c>
      <c r="H1499" s="191" t="n">
        <v>46164</v>
      </c>
      <c r="I1499" s="189" t="s">
        <v>113</v>
      </c>
      <c r="J1499" s="189" t="s">
        <v>108</v>
      </c>
      <c r="K1499" s="189" t="s">
        <v>2099</v>
      </c>
      <c r="L1499" s="189" t="s">
        <v>491</v>
      </c>
      <c r="M1499" s="189" t="s">
        <v>447</v>
      </c>
      <c r="N1499" s="189" t="s">
        <v>2100</v>
      </c>
      <c r="O1499" s="189" t="s">
        <v>107</v>
      </c>
      <c r="P1499" s="189" t="s">
        <v>211</v>
      </c>
      <c r="Q1499" s="189" t="s">
        <v>112</v>
      </c>
      <c r="R1499" s="189" t="s">
        <v>22</v>
      </c>
      <c r="S1499" s="189" t="s">
        <v>152</v>
      </c>
      <c r="T1499" s="189" t="s">
        <v>264</v>
      </c>
      <c r="U1499" s="189" t="s">
        <v>1773</v>
      </c>
      <c r="V1499" s="189" t="s">
        <v>192</v>
      </c>
      <c r="W1499" s="189" t="s">
        <v>124</v>
      </c>
      <c r="X1499" s="189" t="s">
        <v>381</v>
      </c>
      <c r="Y1499" s="189" t="s">
        <v>3064</v>
      </c>
      <c r="Z1499" s="0" t="n">
        <v>1</v>
      </c>
      <c r="AA1499" s="189" t="s">
        <v>3159</v>
      </c>
    </row>
    <row r="1500" customFormat="false" ht="15" hidden="false" customHeight="false" outlineLevel="0" collapsed="false">
      <c r="A1500" s="0" t="n">
        <v>324</v>
      </c>
      <c r="B1500" s="191" t="n">
        <v>46173.9443933394</v>
      </c>
      <c r="C1500" s="191" t="n">
        <v>46173.9599025987</v>
      </c>
      <c r="D1500" s="189" t="s">
        <v>2095</v>
      </c>
      <c r="E1500" s="189" t="s">
        <v>2096</v>
      </c>
      <c r="F1500" s="189" t="s">
        <v>2097</v>
      </c>
      <c r="G1500" s="189" t="s">
        <v>2098</v>
      </c>
      <c r="H1500" s="191" t="n">
        <v>46164</v>
      </c>
      <c r="I1500" s="189" t="s">
        <v>113</v>
      </c>
      <c r="J1500" s="189" t="s">
        <v>108</v>
      </c>
      <c r="K1500" s="189" t="s">
        <v>2099</v>
      </c>
      <c r="L1500" s="189" t="s">
        <v>491</v>
      </c>
      <c r="M1500" s="189" t="s">
        <v>447</v>
      </c>
      <c r="N1500" s="189" t="s">
        <v>2100</v>
      </c>
      <c r="O1500" s="189" t="s">
        <v>107</v>
      </c>
      <c r="P1500" s="189" t="s">
        <v>211</v>
      </c>
      <c r="Q1500" s="189" t="s">
        <v>112</v>
      </c>
      <c r="R1500" s="189" t="s">
        <v>22</v>
      </c>
      <c r="S1500" s="189" t="s">
        <v>152</v>
      </c>
      <c r="T1500" s="189" t="s">
        <v>264</v>
      </c>
      <c r="U1500" s="189" t="s">
        <v>1773</v>
      </c>
      <c r="V1500" s="189" t="s">
        <v>192</v>
      </c>
      <c r="W1500" s="189" t="s">
        <v>124</v>
      </c>
      <c r="X1500" s="189" t="s">
        <v>381</v>
      </c>
      <c r="Y1500" s="189" t="s">
        <v>3064</v>
      </c>
      <c r="Z1500" s="0" t="n">
        <v>2</v>
      </c>
      <c r="AA1500" s="189" t="s">
        <v>3233</v>
      </c>
    </row>
    <row r="1501" customFormat="false" ht="15" hidden="false" customHeight="false" outlineLevel="0" collapsed="false">
      <c r="A1501" s="0" t="n">
        <v>324</v>
      </c>
      <c r="B1501" s="191" t="n">
        <v>46173.9443933394</v>
      </c>
      <c r="C1501" s="191" t="n">
        <v>46173.9599025987</v>
      </c>
      <c r="D1501" s="189" t="s">
        <v>2095</v>
      </c>
      <c r="E1501" s="189" t="s">
        <v>2096</v>
      </c>
      <c r="F1501" s="189" t="s">
        <v>2097</v>
      </c>
      <c r="G1501" s="189" t="s">
        <v>2098</v>
      </c>
      <c r="H1501" s="191" t="n">
        <v>46164</v>
      </c>
      <c r="I1501" s="189" t="s">
        <v>113</v>
      </c>
      <c r="J1501" s="189" t="s">
        <v>108</v>
      </c>
      <c r="K1501" s="189" t="s">
        <v>2099</v>
      </c>
      <c r="L1501" s="189" t="s">
        <v>491</v>
      </c>
      <c r="M1501" s="189" t="s">
        <v>447</v>
      </c>
      <c r="N1501" s="189" t="s">
        <v>2100</v>
      </c>
      <c r="O1501" s="189" t="s">
        <v>107</v>
      </c>
      <c r="P1501" s="189" t="s">
        <v>211</v>
      </c>
      <c r="Q1501" s="189" t="s">
        <v>112</v>
      </c>
      <c r="R1501" s="189" t="s">
        <v>22</v>
      </c>
      <c r="S1501" s="189" t="s">
        <v>152</v>
      </c>
      <c r="T1501" s="189" t="s">
        <v>264</v>
      </c>
      <c r="U1501" s="189" t="s">
        <v>1773</v>
      </c>
      <c r="V1501" s="189" t="s">
        <v>192</v>
      </c>
      <c r="W1501" s="189" t="s">
        <v>124</v>
      </c>
      <c r="X1501" s="189" t="s">
        <v>381</v>
      </c>
      <c r="Y1501" s="189" t="s">
        <v>3064</v>
      </c>
      <c r="Z1501" s="0" t="n">
        <v>3</v>
      </c>
      <c r="AA1501" s="189" t="s">
        <v>3249</v>
      </c>
    </row>
    <row r="1502" customFormat="false" ht="15" hidden="false" customHeight="false" outlineLevel="0" collapsed="false">
      <c r="A1502" s="0" t="n">
        <v>324</v>
      </c>
      <c r="B1502" s="191" t="n">
        <v>46173.9443933394</v>
      </c>
      <c r="C1502" s="191" t="n">
        <v>46173.9599025987</v>
      </c>
      <c r="D1502" s="189" t="s">
        <v>2095</v>
      </c>
      <c r="E1502" s="189" t="s">
        <v>2096</v>
      </c>
      <c r="F1502" s="189" t="s">
        <v>2097</v>
      </c>
      <c r="G1502" s="189" t="s">
        <v>2098</v>
      </c>
      <c r="H1502" s="191" t="n">
        <v>46164</v>
      </c>
      <c r="I1502" s="189" t="s">
        <v>113</v>
      </c>
      <c r="J1502" s="189" t="s">
        <v>108</v>
      </c>
      <c r="K1502" s="189" t="s">
        <v>2099</v>
      </c>
      <c r="L1502" s="189" t="s">
        <v>491</v>
      </c>
      <c r="M1502" s="189" t="s">
        <v>447</v>
      </c>
      <c r="N1502" s="189" t="s">
        <v>2100</v>
      </c>
      <c r="O1502" s="189" t="s">
        <v>107</v>
      </c>
      <c r="P1502" s="189" t="s">
        <v>211</v>
      </c>
      <c r="Q1502" s="189" t="s">
        <v>112</v>
      </c>
      <c r="R1502" s="189" t="s">
        <v>22</v>
      </c>
      <c r="S1502" s="189" t="s">
        <v>152</v>
      </c>
      <c r="T1502" s="189" t="s">
        <v>264</v>
      </c>
      <c r="U1502" s="189" t="s">
        <v>1773</v>
      </c>
      <c r="V1502" s="189" t="s">
        <v>192</v>
      </c>
      <c r="W1502" s="189" t="s">
        <v>124</v>
      </c>
      <c r="X1502" s="189" t="s">
        <v>381</v>
      </c>
      <c r="Y1502" s="189" t="s">
        <v>3066</v>
      </c>
      <c r="Z1502" s="0" t="n">
        <v>1</v>
      </c>
      <c r="AA1502" s="189" t="s">
        <v>3161</v>
      </c>
    </row>
    <row r="1503" customFormat="false" ht="15" hidden="false" customHeight="false" outlineLevel="0" collapsed="false">
      <c r="A1503" s="0" t="n">
        <v>324</v>
      </c>
      <c r="B1503" s="191" t="n">
        <v>46173.9443933394</v>
      </c>
      <c r="C1503" s="191" t="n">
        <v>46173.9599025987</v>
      </c>
      <c r="D1503" s="189" t="s">
        <v>2095</v>
      </c>
      <c r="E1503" s="189" t="s">
        <v>2096</v>
      </c>
      <c r="F1503" s="189" t="s">
        <v>2097</v>
      </c>
      <c r="G1503" s="189" t="s">
        <v>2098</v>
      </c>
      <c r="H1503" s="191" t="n">
        <v>46164</v>
      </c>
      <c r="I1503" s="189" t="s">
        <v>113</v>
      </c>
      <c r="J1503" s="189" t="s">
        <v>108</v>
      </c>
      <c r="K1503" s="189" t="s">
        <v>2099</v>
      </c>
      <c r="L1503" s="189" t="s">
        <v>491</v>
      </c>
      <c r="M1503" s="189" t="s">
        <v>447</v>
      </c>
      <c r="N1503" s="189" t="s">
        <v>2100</v>
      </c>
      <c r="O1503" s="189" t="s">
        <v>107</v>
      </c>
      <c r="P1503" s="189" t="s">
        <v>211</v>
      </c>
      <c r="Q1503" s="189" t="s">
        <v>112</v>
      </c>
      <c r="R1503" s="189" t="s">
        <v>22</v>
      </c>
      <c r="S1503" s="189" t="s">
        <v>152</v>
      </c>
      <c r="T1503" s="189" t="s">
        <v>264</v>
      </c>
      <c r="U1503" s="189" t="s">
        <v>1773</v>
      </c>
      <c r="V1503" s="189" t="s">
        <v>192</v>
      </c>
      <c r="W1503" s="189" t="s">
        <v>124</v>
      </c>
      <c r="X1503" s="189" t="s">
        <v>381</v>
      </c>
      <c r="Y1503" s="189" t="s">
        <v>3066</v>
      </c>
      <c r="Z1503" s="0" t="n">
        <v>2</v>
      </c>
      <c r="AA1503" s="189" t="s">
        <v>3160</v>
      </c>
    </row>
    <row r="1504" customFormat="false" ht="15" hidden="false" customHeight="false" outlineLevel="0" collapsed="false">
      <c r="A1504" s="0" t="n">
        <v>324</v>
      </c>
      <c r="B1504" s="191" t="n">
        <v>46173.9443933394</v>
      </c>
      <c r="C1504" s="191" t="n">
        <v>46173.9599025987</v>
      </c>
      <c r="D1504" s="189" t="s">
        <v>2095</v>
      </c>
      <c r="E1504" s="189" t="s">
        <v>2096</v>
      </c>
      <c r="F1504" s="189" t="s">
        <v>2097</v>
      </c>
      <c r="G1504" s="189" t="s">
        <v>2098</v>
      </c>
      <c r="H1504" s="191" t="n">
        <v>46164</v>
      </c>
      <c r="I1504" s="189" t="s">
        <v>113</v>
      </c>
      <c r="J1504" s="189" t="s">
        <v>108</v>
      </c>
      <c r="K1504" s="189" t="s">
        <v>2099</v>
      </c>
      <c r="L1504" s="189" t="s">
        <v>491</v>
      </c>
      <c r="M1504" s="189" t="s">
        <v>447</v>
      </c>
      <c r="N1504" s="189" t="s">
        <v>2100</v>
      </c>
      <c r="O1504" s="189" t="s">
        <v>107</v>
      </c>
      <c r="P1504" s="189" t="s">
        <v>211</v>
      </c>
      <c r="Q1504" s="189" t="s">
        <v>112</v>
      </c>
      <c r="R1504" s="189" t="s">
        <v>22</v>
      </c>
      <c r="S1504" s="189" t="s">
        <v>152</v>
      </c>
      <c r="T1504" s="189" t="s">
        <v>264</v>
      </c>
      <c r="U1504" s="189" t="s">
        <v>1773</v>
      </c>
      <c r="V1504" s="189" t="s">
        <v>192</v>
      </c>
      <c r="W1504" s="189" t="s">
        <v>124</v>
      </c>
      <c r="X1504" s="189" t="s">
        <v>381</v>
      </c>
      <c r="Y1504" s="189" t="s">
        <v>3069</v>
      </c>
      <c r="Z1504" s="0" t="n">
        <v>1</v>
      </c>
      <c r="AA1504" s="189" t="s">
        <v>3234</v>
      </c>
    </row>
    <row r="1505" customFormat="false" ht="15" hidden="false" customHeight="false" outlineLevel="0" collapsed="false">
      <c r="A1505" s="0" t="n">
        <v>325</v>
      </c>
      <c r="B1505" s="191" t="n">
        <v>46063.8620991104</v>
      </c>
      <c r="C1505" s="191" t="n">
        <v>46063.8764393882</v>
      </c>
      <c r="D1505" s="189" t="s">
        <v>2102</v>
      </c>
      <c r="E1505" s="189" t="s">
        <v>2103</v>
      </c>
      <c r="F1505" s="189" t="s">
        <v>2103</v>
      </c>
      <c r="G1505" s="189" t="s">
        <v>2104</v>
      </c>
      <c r="H1505" s="191" t="n">
        <v>46055</v>
      </c>
      <c r="I1505" s="189" t="s">
        <v>113</v>
      </c>
      <c r="J1505" s="189" t="s">
        <v>108</v>
      </c>
      <c r="K1505" s="189" t="s">
        <v>2105</v>
      </c>
      <c r="L1505" s="189" t="s">
        <v>246</v>
      </c>
      <c r="M1505" s="189" t="s">
        <v>501</v>
      </c>
      <c r="N1505" s="189" t="s">
        <v>810</v>
      </c>
      <c r="O1505" s="189" t="s">
        <v>713</v>
      </c>
      <c r="P1505" s="189" t="s">
        <v>111</v>
      </c>
      <c r="Q1505" s="189" t="s">
        <v>145</v>
      </c>
      <c r="R1505" s="189" t="s">
        <v>24</v>
      </c>
      <c r="S1505" s="189" t="s">
        <v>152</v>
      </c>
      <c r="T1505" s="189" t="s">
        <v>121</v>
      </c>
      <c r="U1505" s="189" t="s">
        <v>321</v>
      </c>
      <c r="V1505" s="189" t="s">
        <v>123</v>
      </c>
      <c r="W1505" s="189" t="s">
        <v>124</v>
      </c>
      <c r="X1505" s="189" t="s">
        <v>260</v>
      </c>
      <c r="Y1505" s="189" t="s">
        <v>3064</v>
      </c>
      <c r="Z1505" s="0" t="n">
        <v>1</v>
      </c>
      <c r="AA1505" s="189" t="s">
        <v>3258</v>
      </c>
    </row>
    <row r="1506" customFormat="false" ht="15" hidden="false" customHeight="false" outlineLevel="0" collapsed="false">
      <c r="A1506" s="0" t="n">
        <v>325</v>
      </c>
      <c r="B1506" s="191" t="n">
        <v>46063.8620991104</v>
      </c>
      <c r="C1506" s="191" t="n">
        <v>46063.8764393882</v>
      </c>
      <c r="D1506" s="189" t="s">
        <v>2102</v>
      </c>
      <c r="E1506" s="189" t="s">
        <v>2103</v>
      </c>
      <c r="F1506" s="189" t="s">
        <v>2103</v>
      </c>
      <c r="G1506" s="189" t="s">
        <v>2104</v>
      </c>
      <c r="H1506" s="191" t="n">
        <v>46055</v>
      </c>
      <c r="I1506" s="189" t="s">
        <v>113</v>
      </c>
      <c r="J1506" s="189" t="s">
        <v>108</v>
      </c>
      <c r="K1506" s="189" t="s">
        <v>2105</v>
      </c>
      <c r="L1506" s="189" t="s">
        <v>246</v>
      </c>
      <c r="M1506" s="189" t="s">
        <v>501</v>
      </c>
      <c r="N1506" s="189" t="s">
        <v>810</v>
      </c>
      <c r="O1506" s="189" t="s">
        <v>713</v>
      </c>
      <c r="P1506" s="189" t="s">
        <v>111</v>
      </c>
      <c r="Q1506" s="189" t="s">
        <v>145</v>
      </c>
      <c r="R1506" s="189" t="s">
        <v>24</v>
      </c>
      <c r="S1506" s="189" t="s">
        <v>152</v>
      </c>
      <c r="T1506" s="189" t="s">
        <v>121</v>
      </c>
      <c r="U1506" s="189" t="s">
        <v>321</v>
      </c>
      <c r="V1506" s="189" t="s">
        <v>123</v>
      </c>
      <c r="W1506" s="189" t="s">
        <v>124</v>
      </c>
      <c r="X1506" s="189" t="s">
        <v>260</v>
      </c>
      <c r="Y1506" s="189" t="s">
        <v>3064</v>
      </c>
      <c r="Z1506" s="0" t="n">
        <v>2</v>
      </c>
      <c r="AA1506" s="189" t="s">
        <v>3317</v>
      </c>
    </row>
    <row r="1507" customFormat="false" ht="15" hidden="false" customHeight="false" outlineLevel="0" collapsed="false">
      <c r="A1507" s="0" t="n">
        <v>325</v>
      </c>
      <c r="B1507" s="191" t="n">
        <v>46063.8620991104</v>
      </c>
      <c r="C1507" s="191" t="n">
        <v>46063.8764393882</v>
      </c>
      <c r="D1507" s="189" t="s">
        <v>2102</v>
      </c>
      <c r="E1507" s="189" t="s">
        <v>2103</v>
      </c>
      <c r="F1507" s="189" t="s">
        <v>2103</v>
      </c>
      <c r="G1507" s="189" t="s">
        <v>2104</v>
      </c>
      <c r="H1507" s="191" t="n">
        <v>46055</v>
      </c>
      <c r="I1507" s="189" t="s">
        <v>113</v>
      </c>
      <c r="J1507" s="189" t="s">
        <v>108</v>
      </c>
      <c r="K1507" s="189" t="s">
        <v>2105</v>
      </c>
      <c r="L1507" s="189" t="s">
        <v>246</v>
      </c>
      <c r="M1507" s="189" t="s">
        <v>501</v>
      </c>
      <c r="N1507" s="189" t="s">
        <v>810</v>
      </c>
      <c r="O1507" s="189" t="s">
        <v>713</v>
      </c>
      <c r="P1507" s="189" t="s">
        <v>111</v>
      </c>
      <c r="Q1507" s="189" t="s">
        <v>145</v>
      </c>
      <c r="R1507" s="189" t="s">
        <v>24</v>
      </c>
      <c r="S1507" s="189" t="s">
        <v>152</v>
      </c>
      <c r="T1507" s="189" t="s">
        <v>121</v>
      </c>
      <c r="U1507" s="189" t="s">
        <v>321</v>
      </c>
      <c r="V1507" s="189" t="s">
        <v>123</v>
      </c>
      <c r="W1507" s="189" t="s">
        <v>124</v>
      </c>
      <c r="X1507" s="189" t="s">
        <v>260</v>
      </c>
      <c r="Y1507" s="189" t="s">
        <v>3066</v>
      </c>
      <c r="Z1507" s="0" t="n">
        <v>1</v>
      </c>
      <c r="AA1507" s="189" t="s">
        <v>122</v>
      </c>
    </row>
    <row r="1508" customFormat="false" ht="15" hidden="false" customHeight="false" outlineLevel="0" collapsed="false">
      <c r="A1508" s="0" t="n">
        <v>325</v>
      </c>
      <c r="B1508" s="191" t="n">
        <v>46063.8620991104</v>
      </c>
      <c r="C1508" s="191" t="n">
        <v>46063.8764393882</v>
      </c>
      <c r="D1508" s="189" t="s">
        <v>2102</v>
      </c>
      <c r="E1508" s="189" t="s">
        <v>2103</v>
      </c>
      <c r="F1508" s="189" t="s">
        <v>2103</v>
      </c>
      <c r="G1508" s="189" t="s">
        <v>2104</v>
      </c>
      <c r="H1508" s="191" t="n">
        <v>46055</v>
      </c>
      <c r="I1508" s="189" t="s">
        <v>113</v>
      </c>
      <c r="J1508" s="189" t="s">
        <v>108</v>
      </c>
      <c r="K1508" s="189" t="s">
        <v>2105</v>
      </c>
      <c r="L1508" s="189" t="s">
        <v>246</v>
      </c>
      <c r="M1508" s="189" t="s">
        <v>501</v>
      </c>
      <c r="N1508" s="189" t="s">
        <v>810</v>
      </c>
      <c r="O1508" s="189" t="s">
        <v>713</v>
      </c>
      <c r="P1508" s="189" t="s">
        <v>111</v>
      </c>
      <c r="Q1508" s="189" t="s">
        <v>145</v>
      </c>
      <c r="R1508" s="189" t="s">
        <v>24</v>
      </c>
      <c r="S1508" s="189" t="s">
        <v>152</v>
      </c>
      <c r="T1508" s="189" t="s">
        <v>121</v>
      </c>
      <c r="U1508" s="189" t="s">
        <v>321</v>
      </c>
      <c r="V1508" s="189" t="s">
        <v>123</v>
      </c>
      <c r="W1508" s="189" t="s">
        <v>124</v>
      </c>
      <c r="X1508" s="189" t="s">
        <v>260</v>
      </c>
      <c r="Y1508" s="189" t="s">
        <v>3069</v>
      </c>
      <c r="Z1508" s="0" t="n">
        <v>1</v>
      </c>
      <c r="AA1508" s="189" t="s">
        <v>122</v>
      </c>
    </row>
    <row r="1509" customFormat="false" ht="15" hidden="false" customHeight="false" outlineLevel="0" collapsed="false">
      <c r="A1509" s="0" t="n">
        <v>325</v>
      </c>
      <c r="B1509" s="191" t="n">
        <v>46063.8620991104</v>
      </c>
      <c r="C1509" s="191" t="n">
        <v>46063.8764393882</v>
      </c>
      <c r="D1509" s="189" t="s">
        <v>2102</v>
      </c>
      <c r="E1509" s="189" t="s">
        <v>2103</v>
      </c>
      <c r="F1509" s="189" t="s">
        <v>2103</v>
      </c>
      <c r="G1509" s="189" t="s">
        <v>2104</v>
      </c>
      <c r="H1509" s="191" t="n">
        <v>46055</v>
      </c>
      <c r="I1509" s="189" t="s">
        <v>113</v>
      </c>
      <c r="J1509" s="189" t="s">
        <v>108</v>
      </c>
      <c r="K1509" s="189" t="s">
        <v>2105</v>
      </c>
      <c r="L1509" s="189" t="s">
        <v>246</v>
      </c>
      <c r="M1509" s="189" t="s">
        <v>501</v>
      </c>
      <c r="N1509" s="189" t="s">
        <v>810</v>
      </c>
      <c r="O1509" s="189" t="s">
        <v>713</v>
      </c>
      <c r="P1509" s="189" t="s">
        <v>111</v>
      </c>
      <c r="Q1509" s="189" t="s">
        <v>145</v>
      </c>
      <c r="R1509" s="189" t="s">
        <v>24</v>
      </c>
      <c r="S1509" s="189" t="s">
        <v>152</v>
      </c>
      <c r="T1509" s="189" t="s">
        <v>121</v>
      </c>
      <c r="U1509" s="189" t="s">
        <v>321</v>
      </c>
      <c r="V1509" s="189" t="s">
        <v>123</v>
      </c>
      <c r="W1509" s="189" t="s">
        <v>124</v>
      </c>
      <c r="X1509" s="189" t="s">
        <v>260</v>
      </c>
      <c r="Y1509" s="189" t="s">
        <v>3069</v>
      </c>
      <c r="Z1509" s="0" t="n">
        <v>2</v>
      </c>
      <c r="AA1509" s="189" t="s">
        <v>3320</v>
      </c>
    </row>
    <row r="1510" customFormat="false" ht="15" hidden="false" customHeight="false" outlineLevel="0" collapsed="false">
      <c r="A1510" s="0" t="n">
        <v>326</v>
      </c>
      <c r="B1510" s="191" t="n">
        <v>46079.5493698843</v>
      </c>
      <c r="C1510" s="191" t="n">
        <v>46079.5553305324</v>
      </c>
      <c r="D1510" s="189" t="s">
        <v>2108</v>
      </c>
      <c r="E1510" s="189" t="s">
        <v>2109</v>
      </c>
      <c r="F1510" s="189" t="s">
        <v>2109</v>
      </c>
      <c r="G1510" s="189" t="s">
        <v>2110</v>
      </c>
      <c r="H1510" s="191" t="n">
        <v>46071</v>
      </c>
      <c r="I1510" s="189" t="s">
        <v>113</v>
      </c>
      <c r="J1510" s="189" t="s">
        <v>108</v>
      </c>
      <c r="K1510" s="189" t="s">
        <v>232</v>
      </c>
      <c r="L1510" s="189" t="s">
        <v>268</v>
      </c>
      <c r="M1510" s="189" t="s">
        <v>870</v>
      </c>
      <c r="N1510" s="189" t="s">
        <v>595</v>
      </c>
      <c r="O1510" s="189" t="s">
        <v>260</v>
      </c>
      <c r="P1510" s="189" t="s">
        <v>131</v>
      </c>
      <c r="Q1510" s="189" t="s">
        <v>247</v>
      </c>
      <c r="R1510" s="189" t="s">
        <v>22</v>
      </c>
      <c r="S1510" s="189" t="s">
        <v>152</v>
      </c>
      <c r="T1510" s="189" t="s">
        <v>264</v>
      </c>
      <c r="U1510" s="189" t="s">
        <v>2114</v>
      </c>
      <c r="V1510" s="189" t="s">
        <v>192</v>
      </c>
      <c r="W1510" s="189" t="s">
        <v>124</v>
      </c>
      <c r="X1510" s="189" t="s">
        <v>715</v>
      </c>
      <c r="Y1510" s="189" t="s">
        <v>3064</v>
      </c>
      <c r="Z1510" s="0" t="n">
        <v>1</v>
      </c>
      <c r="AA1510" s="189" t="s">
        <v>3224</v>
      </c>
    </row>
    <row r="1511" customFormat="false" ht="15" hidden="false" customHeight="false" outlineLevel="0" collapsed="false">
      <c r="A1511" s="0" t="n">
        <v>326</v>
      </c>
      <c r="B1511" s="191" t="n">
        <v>46079.5493698843</v>
      </c>
      <c r="C1511" s="191" t="n">
        <v>46079.5553305324</v>
      </c>
      <c r="D1511" s="189" t="s">
        <v>2108</v>
      </c>
      <c r="E1511" s="189" t="s">
        <v>2109</v>
      </c>
      <c r="F1511" s="189" t="s">
        <v>2109</v>
      </c>
      <c r="G1511" s="189" t="s">
        <v>2110</v>
      </c>
      <c r="H1511" s="191" t="n">
        <v>46071</v>
      </c>
      <c r="I1511" s="189" t="s">
        <v>113</v>
      </c>
      <c r="J1511" s="189" t="s">
        <v>108</v>
      </c>
      <c r="K1511" s="189" t="s">
        <v>232</v>
      </c>
      <c r="L1511" s="189" t="s">
        <v>268</v>
      </c>
      <c r="M1511" s="189" t="s">
        <v>870</v>
      </c>
      <c r="N1511" s="189" t="s">
        <v>595</v>
      </c>
      <c r="O1511" s="189" t="s">
        <v>260</v>
      </c>
      <c r="P1511" s="189" t="s">
        <v>131</v>
      </c>
      <c r="Q1511" s="189" t="s">
        <v>247</v>
      </c>
      <c r="R1511" s="189" t="s">
        <v>22</v>
      </c>
      <c r="S1511" s="189" t="s">
        <v>152</v>
      </c>
      <c r="T1511" s="189" t="s">
        <v>264</v>
      </c>
      <c r="U1511" s="189" t="s">
        <v>2114</v>
      </c>
      <c r="V1511" s="189" t="s">
        <v>192</v>
      </c>
      <c r="W1511" s="189" t="s">
        <v>124</v>
      </c>
      <c r="X1511" s="189" t="s">
        <v>715</v>
      </c>
      <c r="Y1511" s="189" t="s">
        <v>3064</v>
      </c>
      <c r="Z1511" s="0" t="n">
        <v>2</v>
      </c>
      <c r="AA1511" s="189" t="s">
        <v>3252</v>
      </c>
    </row>
    <row r="1512" customFormat="false" ht="15" hidden="false" customHeight="false" outlineLevel="0" collapsed="false">
      <c r="A1512" s="0" t="n">
        <v>326</v>
      </c>
      <c r="B1512" s="191" t="n">
        <v>46079.5493698843</v>
      </c>
      <c r="C1512" s="191" t="n">
        <v>46079.5553305324</v>
      </c>
      <c r="D1512" s="189" t="s">
        <v>2108</v>
      </c>
      <c r="E1512" s="189" t="s">
        <v>2109</v>
      </c>
      <c r="F1512" s="189" t="s">
        <v>2109</v>
      </c>
      <c r="G1512" s="189" t="s">
        <v>2110</v>
      </c>
      <c r="H1512" s="191" t="n">
        <v>46071</v>
      </c>
      <c r="I1512" s="189" t="s">
        <v>113</v>
      </c>
      <c r="J1512" s="189" t="s">
        <v>108</v>
      </c>
      <c r="K1512" s="189" t="s">
        <v>232</v>
      </c>
      <c r="L1512" s="189" t="s">
        <v>268</v>
      </c>
      <c r="M1512" s="189" t="s">
        <v>870</v>
      </c>
      <c r="N1512" s="189" t="s">
        <v>595</v>
      </c>
      <c r="O1512" s="189" t="s">
        <v>260</v>
      </c>
      <c r="P1512" s="189" t="s">
        <v>131</v>
      </c>
      <c r="Q1512" s="189" t="s">
        <v>247</v>
      </c>
      <c r="R1512" s="189" t="s">
        <v>22</v>
      </c>
      <c r="S1512" s="189" t="s">
        <v>152</v>
      </c>
      <c r="T1512" s="189" t="s">
        <v>264</v>
      </c>
      <c r="U1512" s="189" t="s">
        <v>2114</v>
      </c>
      <c r="V1512" s="189" t="s">
        <v>192</v>
      </c>
      <c r="W1512" s="189" t="s">
        <v>124</v>
      </c>
      <c r="X1512" s="189" t="s">
        <v>715</v>
      </c>
      <c r="Y1512" s="189" t="s">
        <v>3066</v>
      </c>
      <c r="Z1512" s="0" t="n">
        <v>1</v>
      </c>
      <c r="AA1512" s="189" t="s">
        <v>3227</v>
      </c>
    </row>
    <row r="1513" customFormat="false" ht="15" hidden="false" customHeight="false" outlineLevel="0" collapsed="false">
      <c r="A1513" s="0" t="n">
        <v>326</v>
      </c>
      <c r="B1513" s="191" t="n">
        <v>46079.5493698843</v>
      </c>
      <c r="C1513" s="191" t="n">
        <v>46079.5553305324</v>
      </c>
      <c r="D1513" s="189" t="s">
        <v>2108</v>
      </c>
      <c r="E1513" s="189" t="s">
        <v>2109</v>
      </c>
      <c r="F1513" s="189" t="s">
        <v>2109</v>
      </c>
      <c r="G1513" s="189" t="s">
        <v>2110</v>
      </c>
      <c r="H1513" s="191" t="n">
        <v>46071</v>
      </c>
      <c r="I1513" s="189" t="s">
        <v>113</v>
      </c>
      <c r="J1513" s="189" t="s">
        <v>108</v>
      </c>
      <c r="K1513" s="189" t="s">
        <v>232</v>
      </c>
      <c r="L1513" s="189" t="s">
        <v>268</v>
      </c>
      <c r="M1513" s="189" t="s">
        <v>870</v>
      </c>
      <c r="N1513" s="189" t="s">
        <v>595</v>
      </c>
      <c r="O1513" s="189" t="s">
        <v>260</v>
      </c>
      <c r="P1513" s="189" t="s">
        <v>131</v>
      </c>
      <c r="Q1513" s="189" t="s">
        <v>247</v>
      </c>
      <c r="R1513" s="189" t="s">
        <v>22</v>
      </c>
      <c r="S1513" s="189" t="s">
        <v>152</v>
      </c>
      <c r="T1513" s="189" t="s">
        <v>264</v>
      </c>
      <c r="U1513" s="189" t="s">
        <v>2114</v>
      </c>
      <c r="V1513" s="189" t="s">
        <v>192</v>
      </c>
      <c r="W1513" s="189" t="s">
        <v>124</v>
      </c>
      <c r="X1513" s="189" t="s">
        <v>715</v>
      </c>
      <c r="Y1513" s="189" t="s">
        <v>3066</v>
      </c>
      <c r="Z1513" s="0" t="n">
        <v>2</v>
      </c>
      <c r="AA1513" s="189" t="s">
        <v>3231</v>
      </c>
    </row>
    <row r="1514" customFormat="false" ht="15" hidden="false" customHeight="false" outlineLevel="0" collapsed="false">
      <c r="A1514" s="0" t="n">
        <v>326</v>
      </c>
      <c r="B1514" s="191" t="n">
        <v>46079.5493698843</v>
      </c>
      <c r="C1514" s="191" t="n">
        <v>46079.5553305324</v>
      </c>
      <c r="D1514" s="189" t="s">
        <v>2108</v>
      </c>
      <c r="E1514" s="189" t="s">
        <v>2109</v>
      </c>
      <c r="F1514" s="189" t="s">
        <v>2109</v>
      </c>
      <c r="G1514" s="189" t="s">
        <v>2110</v>
      </c>
      <c r="H1514" s="191" t="n">
        <v>46071</v>
      </c>
      <c r="I1514" s="189" t="s">
        <v>113</v>
      </c>
      <c r="J1514" s="189" t="s">
        <v>108</v>
      </c>
      <c r="K1514" s="189" t="s">
        <v>232</v>
      </c>
      <c r="L1514" s="189" t="s">
        <v>268</v>
      </c>
      <c r="M1514" s="189" t="s">
        <v>870</v>
      </c>
      <c r="N1514" s="189" t="s">
        <v>595</v>
      </c>
      <c r="O1514" s="189" t="s">
        <v>260</v>
      </c>
      <c r="P1514" s="189" t="s">
        <v>131</v>
      </c>
      <c r="Q1514" s="189" t="s">
        <v>247</v>
      </c>
      <c r="R1514" s="189" t="s">
        <v>22</v>
      </c>
      <c r="S1514" s="189" t="s">
        <v>152</v>
      </c>
      <c r="T1514" s="189" t="s">
        <v>264</v>
      </c>
      <c r="U1514" s="189" t="s">
        <v>2114</v>
      </c>
      <c r="V1514" s="189" t="s">
        <v>192</v>
      </c>
      <c r="W1514" s="189" t="s">
        <v>124</v>
      </c>
      <c r="X1514" s="189" t="s">
        <v>715</v>
      </c>
      <c r="Y1514" s="189" t="s">
        <v>3069</v>
      </c>
      <c r="Z1514" s="0" t="n">
        <v>1</v>
      </c>
      <c r="AA1514" s="189" t="s">
        <v>3229</v>
      </c>
    </row>
    <row r="1515" customFormat="false" ht="15" hidden="false" customHeight="false" outlineLevel="0" collapsed="false">
      <c r="A1515" s="0" t="n">
        <v>326</v>
      </c>
      <c r="B1515" s="191" t="n">
        <v>46079.5493698843</v>
      </c>
      <c r="C1515" s="191" t="n">
        <v>46079.5553305324</v>
      </c>
      <c r="D1515" s="189" t="s">
        <v>2108</v>
      </c>
      <c r="E1515" s="189" t="s">
        <v>2109</v>
      </c>
      <c r="F1515" s="189" t="s">
        <v>2109</v>
      </c>
      <c r="G1515" s="189" t="s">
        <v>2110</v>
      </c>
      <c r="H1515" s="191" t="n">
        <v>46071</v>
      </c>
      <c r="I1515" s="189" t="s">
        <v>113</v>
      </c>
      <c r="J1515" s="189" t="s">
        <v>108</v>
      </c>
      <c r="K1515" s="189" t="s">
        <v>232</v>
      </c>
      <c r="L1515" s="189" t="s">
        <v>268</v>
      </c>
      <c r="M1515" s="189" t="s">
        <v>870</v>
      </c>
      <c r="N1515" s="189" t="s">
        <v>595</v>
      </c>
      <c r="O1515" s="189" t="s">
        <v>260</v>
      </c>
      <c r="P1515" s="189" t="s">
        <v>131</v>
      </c>
      <c r="Q1515" s="189" t="s">
        <v>247</v>
      </c>
      <c r="R1515" s="189" t="s">
        <v>22</v>
      </c>
      <c r="S1515" s="189" t="s">
        <v>152</v>
      </c>
      <c r="T1515" s="189" t="s">
        <v>264</v>
      </c>
      <c r="U1515" s="189" t="s">
        <v>2114</v>
      </c>
      <c r="V1515" s="189" t="s">
        <v>192</v>
      </c>
      <c r="W1515" s="189" t="s">
        <v>124</v>
      </c>
      <c r="X1515" s="189" t="s">
        <v>715</v>
      </c>
      <c r="Y1515" s="189" t="s">
        <v>3069</v>
      </c>
      <c r="Z1515" s="0" t="n">
        <v>2</v>
      </c>
      <c r="AA1515" s="189" t="s">
        <v>3253</v>
      </c>
    </row>
    <row r="1516" customFormat="false" ht="15" hidden="false" customHeight="false" outlineLevel="0" collapsed="false">
      <c r="A1516" s="0" t="n">
        <v>327</v>
      </c>
      <c r="B1516" s="191" t="n">
        <v>46145.9543382457</v>
      </c>
      <c r="C1516" s="191" t="n">
        <v>46145.964072042</v>
      </c>
      <c r="D1516" s="189" t="s">
        <v>2115</v>
      </c>
      <c r="E1516" s="189" t="s">
        <v>2116</v>
      </c>
      <c r="F1516" s="189" t="s">
        <v>2117</v>
      </c>
      <c r="G1516" s="189" t="s">
        <v>2118</v>
      </c>
      <c r="H1516" s="191" t="n">
        <v>46140</v>
      </c>
      <c r="I1516" s="189" t="s">
        <v>113</v>
      </c>
      <c r="J1516" s="189" t="s">
        <v>108</v>
      </c>
      <c r="K1516" s="189" t="s">
        <v>2119</v>
      </c>
      <c r="L1516" s="189" t="s">
        <v>184</v>
      </c>
      <c r="M1516" s="189" t="s">
        <v>326</v>
      </c>
      <c r="N1516" s="189" t="s">
        <v>147</v>
      </c>
      <c r="O1516" s="189" t="s">
        <v>278</v>
      </c>
      <c r="P1516" s="189" t="s">
        <v>111</v>
      </c>
      <c r="Q1516" s="189" t="s">
        <v>112</v>
      </c>
      <c r="R1516" s="189" t="s">
        <v>21</v>
      </c>
      <c r="S1516" s="189" t="s">
        <v>152</v>
      </c>
      <c r="T1516" s="189" t="s">
        <v>121</v>
      </c>
      <c r="V1516" s="189" t="s">
        <v>192</v>
      </c>
      <c r="W1516" s="189" t="s">
        <v>124</v>
      </c>
      <c r="X1516" s="189" t="s">
        <v>250</v>
      </c>
      <c r="Y1516" s="189" t="s">
        <v>3064</v>
      </c>
      <c r="Z1516" s="0" t="n">
        <v>1</v>
      </c>
      <c r="AA1516" s="189" t="s">
        <v>3081</v>
      </c>
    </row>
    <row r="1517" customFormat="false" ht="15" hidden="false" customHeight="false" outlineLevel="0" collapsed="false">
      <c r="A1517" s="0" t="n">
        <v>327</v>
      </c>
      <c r="B1517" s="191" t="n">
        <v>46145.9543382457</v>
      </c>
      <c r="C1517" s="191" t="n">
        <v>46145.964072042</v>
      </c>
      <c r="D1517" s="189" t="s">
        <v>2115</v>
      </c>
      <c r="E1517" s="189" t="s">
        <v>2116</v>
      </c>
      <c r="F1517" s="189" t="s">
        <v>2117</v>
      </c>
      <c r="G1517" s="189" t="s">
        <v>2118</v>
      </c>
      <c r="H1517" s="191" t="n">
        <v>46140</v>
      </c>
      <c r="I1517" s="189" t="s">
        <v>113</v>
      </c>
      <c r="J1517" s="189" t="s">
        <v>108</v>
      </c>
      <c r="K1517" s="189" t="s">
        <v>2119</v>
      </c>
      <c r="L1517" s="189" t="s">
        <v>184</v>
      </c>
      <c r="M1517" s="189" t="s">
        <v>326</v>
      </c>
      <c r="N1517" s="189" t="s">
        <v>147</v>
      </c>
      <c r="O1517" s="189" t="s">
        <v>278</v>
      </c>
      <c r="P1517" s="189" t="s">
        <v>111</v>
      </c>
      <c r="Q1517" s="189" t="s">
        <v>112</v>
      </c>
      <c r="R1517" s="189" t="s">
        <v>21</v>
      </c>
      <c r="S1517" s="189" t="s">
        <v>152</v>
      </c>
      <c r="T1517" s="189" t="s">
        <v>121</v>
      </c>
      <c r="V1517" s="189" t="s">
        <v>192</v>
      </c>
      <c r="W1517" s="189" t="s">
        <v>124</v>
      </c>
      <c r="X1517" s="189" t="s">
        <v>250</v>
      </c>
      <c r="Y1517" s="189" t="s">
        <v>3064</v>
      </c>
      <c r="Z1517" s="0" t="n">
        <v>2</v>
      </c>
      <c r="AA1517" s="189" t="s">
        <v>3139</v>
      </c>
    </row>
    <row r="1518" customFormat="false" ht="15" hidden="false" customHeight="false" outlineLevel="0" collapsed="false">
      <c r="A1518" s="0" t="n">
        <v>327</v>
      </c>
      <c r="B1518" s="191" t="n">
        <v>46145.9543382457</v>
      </c>
      <c r="C1518" s="191" t="n">
        <v>46145.964072042</v>
      </c>
      <c r="D1518" s="189" t="s">
        <v>2115</v>
      </c>
      <c r="E1518" s="189" t="s">
        <v>2116</v>
      </c>
      <c r="F1518" s="189" t="s">
        <v>2117</v>
      </c>
      <c r="G1518" s="189" t="s">
        <v>2118</v>
      </c>
      <c r="H1518" s="191" t="n">
        <v>46140</v>
      </c>
      <c r="I1518" s="189" t="s">
        <v>113</v>
      </c>
      <c r="J1518" s="189" t="s">
        <v>108</v>
      </c>
      <c r="K1518" s="189" t="s">
        <v>2119</v>
      </c>
      <c r="L1518" s="189" t="s">
        <v>184</v>
      </c>
      <c r="M1518" s="189" t="s">
        <v>326</v>
      </c>
      <c r="N1518" s="189" t="s">
        <v>147</v>
      </c>
      <c r="O1518" s="189" t="s">
        <v>278</v>
      </c>
      <c r="P1518" s="189" t="s">
        <v>111</v>
      </c>
      <c r="Q1518" s="189" t="s">
        <v>112</v>
      </c>
      <c r="R1518" s="189" t="s">
        <v>21</v>
      </c>
      <c r="S1518" s="189" t="s">
        <v>152</v>
      </c>
      <c r="T1518" s="189" t="s">
        <v>121</v>
      </c>
      <c r="V1518" s="189" t="s">
        <v>192</v>
      </c>
      <c r="W1518" s="189" t="s">
        <v>124</v>
      </c>
      <c r="X1518" s="189" t="s">
        <v>250</v>
      </c>
      <c r="Y1518" s="189" t="s">
        <v>3064</v>
      </c>
      <c r="Z1518" s="0" t="n">
        <v>3</v>
      </c>
      <c r="AA1518" s="189" t="s">
        <v>3065</v>
      </c>
    </row>
    <row r="1519" customFormat="false" ht="15" hidden="false" customHeight="false" outlineLevel="0" collapsed="false">
      <c r="A1519" s="0" t="n">
        <v>327</v>
      </c>
      <c r="B1519" s="191" t="n">
        <v>46145.9543382457</v>
      </c>
      <c r="C1519" s="191" t="n">
        <v>46145.964072042</v>
      </c>
      <c r="D1519" s="189" t="s">
        <v>2115</v>
      </c>
      <c r="E1519" s="189" t="s">
        <v>2116</v>
      </c>
      <c r="F1519" s="189" t="s">
        <v>2117</v>
      </c>
      <c r="G1519" s="189" t="s">
        <v>2118</v>
      </c>
      <c r="H1519" s="191" t="n">
        <v>46140</v>
      </c>
      <c r="I1519" s="189" t="s">
        <v>113</v>
      </c>
      <c r="J1519" s="189" t="s">
        <v>108</v>
      </c>
      <c r="K1519" s="189" t="s">
        <v>2119</v>
      </c>
      <c r="L1519" s="189" t="s">
        <v>184</v>
      </c>
      <c r="M1519" s="189" t="s">
        <v>326</v>
      </c>
      <c r="N1519" s="189" t="s">
        <v>147</v>
      </c>
      <c r="O1519" s="189" t="s">
        <v>278</v>
      </c>
      <c r="P1519" s="189" t="s">
        <v>111</v>
      </c>
      <c r="Q1519" s="189" t="s">
        <v>112</v>
      </c>
      <c r="R1519" s="189" t="s">
        <v>21</v>
      </c>
      <c r="S1519" s="189" t="s">
        <v>152</v>
      </c>
      <c r="T1519" s="189" t="s">
        <v>121</v>
      </c>
      <c r="V1519" s="189" t="s">
        <v>192</v>
      </c>
      <c r="W1519" s="189" t="s">
        <v>124</v>
      </c>
      <c r="X1519" s="189" t="s">
        <v>250</v>
      </c>
      <c r="Y1519" s="189" t="s">
        <v>3066</v>
      </c>
      <c r="Z1519" s="0" t="n">
        <v>1</v>
      </c>
      <c r="AA1519" s="189" t="s">
        <v>3211</v>
      </c>
    </row>
    <row r="1520" customFormat="false" ht="15" hidden="false" customHeight="false" outlineLevel="0" collapsed="false">
      <c r="A1520" s="0" t="n">
        <v>327</v>
      </c>
      <c r="B1520" s="191" t="n">
        <v>46145.9543382457</v>
      </c>
      <c r="C1520" s="191" t="n">
        <v>46145.964072042</v>
      </c>
      <c r="D1520" s="189" t="s">
        <v>2115</v>
      </c>
      <c r="E1520" s="189" t="s">
        <v>2116</v>
      </c>
      <c r="F1520" s="189" t="s">
        <v>2117</v>
      </c>
      <c r="G1520" s="189" t="s">
        <v>2118</v>
      </c>
      <c r="H1520" s="191" t="n">
        <v>46140</v>
      </c>
      <c r="I1520" s="189" t="s">
        <v>113</v>
      </c>
      <c r="J1520" s="189" t="s">
        <v>108</v>
      </c>
      <c r="K1520" s="189" t="s">
        <v>2119</v>
      </c>
      <c r="L1520" s="189" t="s">
        <v>184</v>
      </c>
      <c r="M1520" s="189" t="s">
        <v>326</v>
      </c>
      <c r="N1520" s="189" t="s">
        <v>147</v>
      </c>
      <c r="O1520" s="189" t="s">
        <v>278</v>
      </c>
      <c r="P1520" s="189" t="s">
        <v>111</v>
      </c>
      <c r="Q1520" s="189" t="s">
        <v>112</v>
      </c>
      <c r="R1520" s="189" t="s">
        <v>21</v>
      </c>
      <c r="S1520" s="189" t="s">
        <v>152</v>
      </c>
      <c r="T1520" s="189" t="s">
        <v>121</v>
      </c>
      <c r="V1520" s="189" t="s">
        <v>192</v>
      </c>
      <c r="W1520" s="189" t="s">
        <v>124</v>
      </c>
      <c r="X1520" s="189" t="s">
        <v>250</v>
      </c>
      <c r="Y1520" s="189" t="s">
        <v>3066</v>
      </c>
      <c r="Z1520" s="0" t="n">
        <v>2</v>
      </c>
      <c r="AA1520" s="189" t="s">
        <v>3082</v>
      </c>
    </row>
    <row r="1521" customFormat="false" ht="15" hidden="false" customHeight="false" outlineLevel="0" collapsed="false">
      <c r="A1521" s="0" t="n">
        <v>327</v>
      </c>
      <c r="B1521" s="191" t="n">
        <v>46145.9543382457</v>
      </c>
      <c r="C1521" s="191" t="n">
        <v>46145.964072042</v>
      </c>
      <c r="D1521" s="189" t="s">
        <v>2115</v>
      </c>
      <c r="E1521" s="189" t="s">
        <v>2116</v>
      </c>
      <c r="F1521" s="189" t="s">
        <v>2117</v>
      </c>
      <c r="G1521" s="189" t="s">
        <v>2118</v>
      </c>
      <c r="H1521" s="191" t="n">
        <v>46140</v>
      </c>
      <c r="I1521" s="189" t="s">
        <v>113</v>
      </c>
      <c r="J1521" s="189" t="s">
        <v>108</v>
      </c>
      <c r="K1521" s="189" t="s">
        <v>2119</v>
      </c>
      <c r="L1521" s="189" t="s">
        <v>184</v>
      </c>
      <c r="M1521" s="189" t="s">
        <v>326</v>
      </c>
      <c r="N1521" s="189" t="s">
        <v>147</v>
      </c>
      <c r="O1521" s="189" t="s">
        <v>278</v>
      </c>
      <c r="P1521" s="189" t="s">
        <v>111</v>
      </c>
      <c r="Q1521" s="189" t="s">
        <v>112</v>
      </c>
      <c r="R1521" s="189" t="s">
        <v>21</v>
      </c>
      <c r="S1521" s="189" t="s">
        <v>152</v>
      </c>
      <c r="T1521" s="189" t="s">
        <v>121</v>
      </c>
      <c r="V1521" s="189" t="s">
        <v>192</v>
      </c>
      <c r="W1521" s="189" t="s">
        <v>124</v>
      </c>
      <c r="X1521" s="189" t="s">
        <v>250</v>
      </c>
      <c r="Y1521" s="189" t="s">
        <v>3069</v>
      </c>
      <c r="Z1521" s="0" t="n">
        <v>1</v>
      </c>
      <c r="AA1521" s="189" t="s">
        <v>3140</v>
      </c>
    </row>
    <row r="1522" customFormat="false" ht="15" hidden="false" customHeight="false" outlineLevel="0" collapsed="false">
      <c r="A1522" s="0" t="n">
        <v>328</v>
      </c>
      <c r="B1522" s="191" t="n">
        <v>46048.633684364</v>
      </c>
      <c r="C1522" s="191" t="n">
        <v>46048.6450616788</v>
      </c>
      <c r="D1522" s="189" t="s">
        <v>2121</v>
      </c>
      <c r="E1522" s="189" t="s">
        <v>2122</v>
      </c>
      <c r="F1522" s="189" t="s">
        <v>2122</v>
      </c>
      <c r="G1522" s="189" t="s">
        <v>2123</v>
      </c>
      <c r="H1522" s="191" t="n">
        <v>46038</v>
      </c>
      <c r="I1522" s="189" t="s">
        <v>113</v>
      </c>
      <c r="J1522" s="189" t="s">
        <v>108</v>
      </c>
      <c r="K1522" s="189" t="s">
        <v>2124</v>
      </c>
      <c r="L1522" s="189" t="s">
        <v>389</v>
      </c>
      <c r="M1522" s="189" t="s">
        <v>566</v>
      </c>
      <c r="N1522" s="189" t="s">
        <v>595</v>
      </c>
      <c r="O1522" s="189" t="s">
        <v>278</v>
      </c>
      <c r="P1522" s="189" t="s">
        <v>111</v>
      </c>
      <c r="Q1522" s="189" t="s">
        <v>198</v>
      </c>
      <c r="R1522" s="189" t="s">
        <v>22</v>
      </c>
      <c r="S1522" s="189" t="s">
        <v>120</v>
      </c>
      <c r="T1522" s="189" t="s">
        <v>180</v>
      </c>
      <c r="V1522" s="189" t="s">
        <v>123</v>
      </c>
      <c r="W1522" s="189" t="s">
        <v>139</v>
      </c>
      <c r="X1522" s="189" t="s">
        <v>271</v>
      </c>
      <c r="Y1522" s="189" t="s">
        <v>3064</v>
      </c>
      <c r="Z1522" s="0" t="n">
        <v>1</v>
      </c>
      <c r="AA1522" s="189" t="s">
        <v>3135</v>
      </c>
    </row>
    <row r="1523" customFormat="false" ht="15" hidden="false" customHeight="false" outlineLevel="0" collapsed="false">
      <c r="A1523" s="0" t="n">
        <v>328</v>
      </c>
      <c r="B1523" s="191" t="n">
        <v>46048.633684364</v>
      </c>
      <c r="C1523" s="191" t="n">
        <v>46048.6450616788</v>
      </c>
      <c r="D1523" s="189" t="s">
        <v>2121</v>
      </c>
      <c r="E1523" s="189" t="s">
        <v>2122</v>
      </c>
      <c r="F1523" s="189" t="s">
        <v>2122</v>
      </c>
      <c r="G1523" s="189" t="s">
        <v>2123</v>
      </c>
      <c r="H1523" s="191" t="n">
        <v>46038</v>
      </c>
      <c r="I1523" s="189" t="s">
        <v>113</v>
      </c>
      <c r="J1523" s="189" t="s">
        <v>108</v>
      </c>
      <c r="K1523" s="189" t="s">
        <v>2124</v>
      </c>
      <c r="L1523" s="189" t="s">
        <v>389</v>
      </c>
      <c r="M1523" s="189" t="s">
        <v>566</v>
      </c>
      <c r="N1523" s="189" t="s">
        <v>595</v>
      </c>
      <c r="O1523" s="189" t="s">
        <v>278</v>
      </c>
      <c r="P1523" s="189" t="s">
        <v>111</v>
      </c>
      <c r="Q1523" s="189" t="s">
        <v>198</v>
      </c>
      <c r="R1523" s="189" t="s">
        <v>22</v>
      </c>
      <c r="S1523" s="189" t="s">
        <v>120</v>
      </c>
      <c r="T1523" s="189" t="s">
        <v>180</v>
      </c>
      <c r="V1523" s="189" t="s">
        <v>123</v>
      </c>
      <c r="W1523" s="189" t="s">
        <v>139</v>
      </c>
      <c r="X1523" s="189" t="s">
        <v>271</v>
      </c>
      <c r="Y1523" s="189" t="s">
        <v>3064</v>
      </c>
      <c r="Z1523" s="0" t="n">
        <v>2</v>
      </c>
      <c r="AA1523" s="189" t="s">
        <v>3230</v>
      </c>
    </row>
    <row r="1524" customFormat="false" ht="15" hidden="false" customHeight="false" outlineLevel="0" collapsed="false">
      <c r="A1524" s="0" t="n">
        <v>328</v>
      </c>
      <c r="B1524" s="191" t="n">
        <v>46048.633684364</v>
      </c>
      <c r="C1524" s="191" t="n">
        <v>46048.6450616788</v>
      </c>
      <c r="D1524" s="189" t="s">
        <v>2121</v>
      </c>
      <c r="E1524" s="189" t="s">
        <v>2122</v>
      </c>
      <c r="F1524" s="189" t="s">
        <v>2122</v>
      </c>
      <c r="G1524" s="189" t="s">
        <v>2123</v>
      </c>
      <c r="H1524" s="191" t="n">
        <v>46038</v>
      </c>
      <c r="I1524" s="189" t="s">
        <v>113</v>
      </c>
      <c r="J1524" s="189" t="s">
        <v>108</v>
      </c>
      <c r="K1524" s="189" t="s">
        <v>2124</v>
      </c>
      <c r="L1524" s="189" t="s">
        <v>389</v>
      </c>
      <c r="M1524" s="189" t="s">
        <v>566</v>
      </c>
      <c r="N1524" s="189" t="s">
        <v>595</v>
      </c>
      <c r="O1524" s="189" t="s">
        <v>278</v>
      </c>
      <c r="P1524" s="189" t="s">
        <v>111</v>
      </c>
      <c r="Q1524" s="189" t="s">
        <v>198</v>
      </c>
      <c r="R1524" s="189" t="s">
        <v>22</v>
      </c>
      <c r="S1524" s="189" t="s">
        <v>120</v>
      </c>
      <c r="T1524" s="189" t="s">
        <v>180</v>
      </c>
      <c r="V1524" s="189" t="s">
        <v>123</v>
      </c>
      <c r="W1524" s="189" t="s">
        <v>139</v>
      </c>
      <c r="X1524" s="189" t="s">
        <v>271</v>
      </c>
      <c r="Y1524" s="189" t="s">
        <v>3064</v>
      </c>
      <c r="Z1524" s="0" t="n">
        <v>3</v>
      </c>
      <c r="AA1524" s="189" t="s">
        <v>3136</v>
      </c>
    </row>
    <row r="1525" customFormat="false" ht="15" hidden="false" customHeight="false" outlineLevel="0" collapsed="false">
      <c r="A1525" s="0" t="n">
        <v>328</v>
      </c>
      <c r="B1525" s="191" t="n">
        <v>46048.633684364</v>
      </c>
      <c r="C1525" s="191" t="n">
        <v>46048.6450616788</v>
      </c>
      <c r="D1525" s="189" t="s">
        <v>2121</v>
      </c>
      <c r="E1525" s="189" t="s">
        <v>2122</v>
      </c>
      <c r="F1525" s="189" t="s">
        <v>2122</v>
      </c>
      <c r="G1525" s="189" t="s">
        <v>2123</v>
      </c>
      <c r="H1525" s="191" t="n">
        <v>46038</v>
      </c>
      <c r="I1525" s="189" t="s">
        <v>113</v>
      </c>
      <c r="J1525" s="189" t="s">
        <v>108</v>
      </c>
      <c r="K1525" s="189" t="s">
        <v>2124</v>
      </c>
      <c r="L1525" s="189" t="s">
        <v>389</v>
      </c>
      <c r="M1525" s="189" t="s">
        <v>566</v>
      </c>
      <c r="N1525" s="189" t="s">
        <v>595</v>
      </c>
      <c r="O1525" s="189" t="s">
        <v>278</v>
      </c>
      <c r="P1525" s="189" t="s">
        <v>111</v>
      </c>
      <c r="Q1525" s="189" t="s">
        <v>198</v>
      </c>
      <c r="R1525" s="189" t="s">
        <v>22</v>
      </c>
      <c r="S1525" s="189" t="s">
        <v>120</v>
      </c>
      <c r="T1525" s="189" t="s">
        <v>180</v>
      </c>
      <c r="V1525" s="189" t="s">
        <v>123</v>
      </c>
      <c r="W1525" s="189" t="s">
        <v>139</v>
      </c>
      <c r="X1525" s="189" t="s">
        <v>271</v>
      </c>
      <c r="Y1525" s="189" t="s">
        <v>3066</v>
      </c>
      <c r="Z1525" s="0" t="n">
        <v>1</v>
      </c>
      <c r="AA1525" s="189" t="s">
        <v>3137</v>
      </c>
    </row>
    <row r="1526" customFormat="false" ht="15" hidden="false" customHeight="false" outlineLevel="0" collapsed="false">
      <c r="A1526" s="0" t="n">
        <v>328</v>
      </c>
      <c r="B1526" s="191" t="n">
        <v>46048.633684364</v>
      </c>
      <c r="C1526" s="191" t="n">
        <v>46048.6450616788</v>
      </c>
      <c r="D1526" s="189" t="s">
        <v>2121</v>
      </c>
      <c r="E1526" s="189" t="s">
        <v>2122</v>
      </c>
      <c r="F1526" s="189" t="s">
        <v>2122</v>
      </c>
      <c r="G1526" s="189" t="s">
        <v>2123</v>
      </c>
      <c r="H1526" s="191" t="n">
        <v>46038</v>
      </c>
      <c r="I1526" s="189" t="s">
        <v>113</v>
      </c>
      <c r="J1526" s="189" t="s">
        <v>108</v>
      </c>
      <c r="K1526" s="189" t="s">
        <v>2124</v>
      </c>
      <c r="L1526" s="189" t="s">
        <v>389</v>
      </c>
      <c r="M1526" s="189" t="s">
        <v>566</v>
      </c>
      <c r="N1526" s="189" t="s">
        <v>595</v>
      </c>
      <c r="O1526" s="189" t="s">
        <v>278</v>
      </c>
      <c r="P1526" s="189" t="s">
        <v>111</v>
      </c>
      <c r="Q1526" s="189" t="s">
        <v>198</v>
      </c>
      <c r="R1526" s="189" t="s">
        <v>22</v>
      </c>
      <c r="S1526" s="189" t="s">
        <v>120</v>
      </c>
      <c r="T1526" s="189" t="s">
        <v>180</v>
      </c>
      <c r="V1526" s="189" t="s">
        <v>123</v>
      </c>
      <c r="W1526" s="189" t="s">
        <v>139</v>
      </c>
      <c r="X1526" s="189" t="s">
        <v>271</v>
      </c>
      <c r="Y1526" s="189" t="s">
        <v>3069</v>
      </c>
      <c r="Z1526" s="0" t="n">
        <v>1</v>
      </c>
      <c r="AA1526" s="189" t="s">
        <v>122</v>
      </c>
    </row>
    <row r="1527" customFormat="false" ht="15" hidden="false" customHeight="false" outlineLevel="0" collapsed="false">
      <c r="A1527" s="0" t="n">
        <v>329</v>
      </c>
      <c r="B1527" s="191" t="n">
        <v>46196.068599691</v>
      </c>
      <c r="C1527" s="191" t="n">
        <v>46196.077974691</v>
      </c>
      <c r="D1527" s="189" t="s">
        <v>2127</v>
      </c>
      <c r="E1527" s="189" t="s">
        <v>2128</v>
      </c>
      <c r="F1527" s="189" t="s">
        <v>2129</v>
      </c>
      <c r="G1527" s="189" t="s">
        <v>2130</v>
      </c>
      <c r="H1527" s="191" t="n">
        <v>46181</v>
      </c>
      <c r="I1527" s="189" t="s">
        <v>113</v>
      </c>
      <c r="J1527" s="189" t="s">
        <v>295</v>
      </c>
      <c r="K1527" s="189" t="s">
        <v>232</v>
      </c>
      <c r="L1527" s="189" t="s">
        <v>144</v>
      </c>
      <c r="M1527" s="189" t="s">
        <v>391</v>
      </c>
      <c r="N1527" s="189" t="s">
        <v>567</v>
      </c>
      <c r="O1527" s="189" t="s">
        <v>107</v>
      </c>
      <c r="P1527" s="189" t="s">
        <v>111</v>
      </c>
      <c r="Q1527" s="189" t="s">
        <v>112</v>
      </c>
      <c r="R1527" s="189" t="s">
        <v>22</v>
      </c>
      <c r="S1527" s="189" t="s">
        <v>152</v>
      </c>
      <c r="T1527" s="189" t="s">
        <v>121</v>
      </c>
      <c r="V1527" s="189" t="s">
        <v>123</v>
      </c>
      <c r="W1527" s="189" t="s">
        <v>124</v>
      </c>
      <c r="X1527" s="189" t="s">
        <v>339</v>
      </c>
      <c r="Y1527" s="189" t="s">
        <v>3064</v>
      </c>
      <c r="Z1527" s="0" t="n">
        <v>1</v>
      </c>
      <c r="AA1527" s="189" t="s">
        <v>3141</v>
      </c>
    </row>
    <row r="1528" customFormat="false" ht="15" hidden="false" customHeight="false" outlineLevel="0" collapsed="false">
      <c r="A1528" s="0" t="n">
        <v>329</v>
      </c>
      <c r="B1528" s="191" t="n">
        <v>46196.068599691</v>
      </c>
      <c r="C1528" s="191" t="n">
        <v>46196.077974691</v>
      </c>
      <c r="D1528" s="189" t="s">
        <v>2127</v>
      </c>
      <c r="E1528" s="189" t="s">
        <v>2128</v>
      </c>
      <c r="F1528" s="189" t="s">
        <v>2129</v>
      </c>
      <c r="G1528" s="189" t="s">
        <v>2130</v>
      </c>
      <c r="H1528" s="191" t="n">
        <v>46181</v>
      </c>
      <c r="I1528" s="189" t="s">
        <v>113</v>
      </c>
      <c r="J1528" s="189" t="s">
        <v>295</v>
      </c>
      <c r="K1528" s="189" t="s">
        <v>232</v>
      </c>
      <c r="L1528" s="189" t="s">
        <v>144</v>
      </c>
      <c r="M1528" s="189" t="s">
        <v>391</v>
      </c>
      <c r="N1528" s="189" t="s">
        <v>567</v>
      </c>
      <c r="O1528" s="189" t="s">
        <v>107</v>
      </c>
      <c r="P1528" s="189" t="s">
        <v>111</v>
      </c>
      <c r="Q1528" s="189" t="s">
        <v>112</v>
      </c>
      <c r="R1528" s="189" t="s">
        <v>22</v>
      </c>
      <c r="S1528" s="189" t="s">
        <v>152</v>
      </c>
      <c r="T1528" s="189" t="s">
        <v>121</v>
      </c>
      <c r="V1528" s="189" t="s">
        <v>123</v>
      </c>
      <c r="W1528" s="189" t="s">
        <v>124</v>
      </c>
      <c r="X1528" s="189" t="s">
        <v>339</v>
      </c>
      <c r="Y1528" s="189" t="s">
        <v>3064</v>
      </c>
      <c r="Z1528" s="0" t="n">
        <v>2</v>
      </c>
      <c r="AA1528" s="189" t="s">
        <v>3198</v>
      </c>
    </row>
    <row r="1529" customFormat="false" ht="15" hidden="false" customHeight="false" outlineLevel="0" collapsed="false">
      <c r="A1529" s="0" t="n">
        <v>329</v>
      </c>
      <c r="B1529" s="191" t="n">
        <v>46196.068599691</v>
      </c>
      <c r="C1529" s="191" t="n">
        <v>46196.077974691</v>
      </c>
      <c r="D1529" s="189" t="s">
        <v>2127</v>
      </c>
      <c r="E1529" s="189" t="s">
        <v>2128</v>
      </c>
      <c r="F1529" s="189" t="s">
        <v>2129</v>
      </c>
      <c r="G1529" s="189" t="s">
        <v>2130</v>
      </c>
      <c r="H1529" s="191" t="n">
        <v>46181</v>
      </c>
      <c r="I1529" s="189" t="s">
        <v>113</v>
      </c>
      <c r="J1529" s="189" t="s">
        <v>295</v>
      </c>
      <c r="K1529" s="189" t="s">
        <v>232</v>
      </c>
      <c r="L1529" s="189" t="s">
        <v>144</v>
      </c>
      <c r="M1529" s="189" t="s">
        <v>391</v>
      </c>
      <c r="N1529" s="189" t="s">
        <v>567</v>
      </c>
      <c r="O1529" s="189" t="s">
        <v>107</v>
      </c>
      <c r="P1529" s="189" t="s">
        <v>111</v>
      </c>
      <c r="Q1529" s="189" t="s">
        <v>112</v>
      </c>
      <c r="R1529" s="189" t="s">
        <v>22</v>
      </c>
      <c r="S1529" s="189" t="s">
        <v>152</v>
      </c>
      <c r="T1529" s="189" t="s">
        <v>121</v>
      </c>
      <c r="V1529" s="189" t="s">
        <v>123</v>
      </c>
      <c r="W1529" s="189" t="s">
        <v>124</v>
      </c>
      <c r="X1529" s="189" t="s">
        <v>339</v>
      </c>
      <c r="Y1529" s="189" t="s">
        <v>3066</v>
      </c>
      <c r="Z1529" s="0" t="n">
        <v>1</v>
      </c>
      <c r="AA1529" s="189" t="s">
        <v>3143</v>
      </c>
    </row>
    <row r="1530" customFormat="false" ht="15" hidden="false" customHeight="false" outlineLevel="0" collapsed="false">
      <c r="A1530" s="0" t="n">
        <v>329</v>
      </c>
      <c r="B1530" s="191" t="n">
        <v>46196.068599691</v>
      </c>
      <c r="C1530" s="191" t="n">
        <v>46196.077974691</v>
      </c>
      <c r="D1530" s="189" t="s">
        <v>2127</v>
      </c>
      <c r="E1530" s="189" t="s">
        <v>2128</v>
      </c>
      <c r="F1530" s="189" t="s">
        <v>2129</v>
      </c>
      <c r="G1530" s="189" t="s">
        <v>2130</v>
      </c>
      <c r="H1530" s="191" t="n">
        <v>46181</v>
      </c>
      <c r="I1530" s="189" t="s">
        <v>113</v>
      </c>
      <c r="J1530" s="189" t="s">
        <v>295</v>
      </c>
      <c r="K1530" s="189" t="s">
        <v>232</v>
      </c>
      <c r="L1530" s="189" t="s">
        <v>144</v>
      </c>
      <c r="M1530" s="189" t="s">
        <v>391</v>
      </c>
      <c r="N1530" s="189" t="s">
        <v>567</v>
      </c>
      <c r="O1530" s="189" t="s">
        <v>107</v>
      </c>
      <c r="P1530" s="189" t="s">
        <v>111</v>
      </c>
      <c r="Q1530" s="189" t="s">
        <v>112</v>
      </c>
      <c r="R1530" s="189" t="s">
        <v>22</v>
      </c>
      <c r="S1530" s="189" t="s">
        <v>152</v>
      </c>
      <c r="T1530" s="189" t="s">
        <v>121</v>
      </c>
      <c r="V1530" s="189" t="s">
        <v>123</v>
      </c>
      <c r="W1530" s="189" t="s">
        <v>124</v>
      </c>
      <c r="X1530" s="189" t="s">
        <v>339</v>
      </c>
      <c r="Y1530" s="189" t="s">
        <v>3066</v>
      </c>
      <c r="Z1530" s="0" t="n">
        <v>2</v>
      </c>
      <c r="AA1530" s="189" t="s">
        <v>3235</v>
      </c>
    </row>
    <row r="1531" customFormat="false" ht="15" hidden="false" customHeight="false" outlineLevel="0" collapsed="false">
      <c r="A1531" s="0" t="n">
        <v>329</v>
      </c>
      <c r="B1531" s="191" t="n">
        <v>46196.068599691</v>
      </c>
      <c r="C1531" s="191" t="n">
        <v>46196.077974691</v>
      </c>
      <c r="D1531" s="189" t="s">
        <v>2127</v>
      </c>
      <c r="E1531" s="189" t="s">
        <v>2128</v>
      </c>
      <c r="F1531" s="189" t="s">
        <v>2129</v>
      </c>
      <c r="G1531" s="189" t="s">
        <v>2130</v>
      </c>
      <c r="H1531" s="191" t="n">
        <v>46181</v>
      </c>
      <c r="I1531" s="189" t="s">
        <v>113</v>
      </c>
      <c r="J1531" s="189" t="s">
        <v>295</v>
      </c>
      <c r="K1531" s="189" t="s">
        <v>232</v>
      </c>
      <c r="L1531" s="189" t="s">
        <v>144</v>
      </c>
      <c r="M1531" s="189" t="s">
        <v>391</v>
      </c>
      <c r="N1531" s="189" t="s">
        <v>567</v>
      </c>
      <c r="O1531" s="189" t="s">
        <v>107</v>
      </c>
      <c r="P1531" s="189" t="s">
        <v>111</v>
      </c>
      <c r="Q1531" s="189" t="s">
        <v>112</v>
      </c>
      <c r="R1531" s="189" t="s">
        <v>22</v>
      </c>
      <c r="S1531" s="189" t="s">
        <v>152</v>
      </c>
      <c r="T1531" s="189" t="s">
        <v>121</v>
      </c>
      <c r="V1531" s="189" t="s">
        <v>123</v>
      </c>
      <c r="W1531" s="189" t="s">
        <v>124</v>
      </c>
      <c r="X1531" s="189" t="s">
        <v>339</v>
      </c>
      <c r="Y1531" s="189" t="s">
        <v>3069</v>
      </c>
      <c r="Z1531" s="0" t="n">
        <v>1</v>
      </c>
      <c r="AA1531" s="189" t="s">
        <v>122</v>
      </c>
    </row>
    <row r="1532" customFormat="false" ht="15" hidden="false" customHeight="false" outlineLevel="0" collapsed="false">
      <c r="A1532" s="0" t="n">
        <v>329</v>
      </c>
      <c r="B1532" s="191" t="n">
        <v>46196.068599691</v>
      </c>
      <c r="C1532" s="191" t="n">
        <v>46196.077974691</v>
      </c>
      <c r="D1532" s="189" t="s">
        <v>2127</v>
      </c>
      <c r="E1532" s="189" t="s">
        <v>2128</v>
      </c>
      <c r="F1532" s="189" t="s">
        <v>2129</v>
      </c>
      <c r="G1532" s="189" t="s">
        <v>2130</v>
      </c>
      <c r="H1532" s="191" t="n">
        <v>46181</v>
      </c>
      <c r="I1532" s="189" t="s">
        <v>113</v>
      </c>
      <c r="J1532" s="189" t="s">
        <v>295</v>
      </c>
      <c r="K1532" s="189" t="s">
        <v>232</v>
      </c>
      <c r="L1532" s="189" t="s">
        <v>144</v>
      </c>
      <c r="M1532" s="189" t="s">
        <v>391</v>
      </c>
      <c r="N1532" s="189" t="s">
        <v>567</v>
      </c>
      <c r="O1532" s="189" t="s">
        <v>107</v>
      </c>
      <c r="P1532" s="189" t="s">
        <v>111</v>
      </c>
      <c r="Q1532" s="189" t="s">
        <v>112</v>
      </c>
      <c r="R1532" s="189" t="s">
        <v>22</v>
      </c>
      <c r="S1532" s="189" t="s">
        <v>152</v>
      </c>
      <c r="T1532" s="189" t="s">
        <v>121</v>
      </c>
      <c r="V1532" s="189" t="s">
        <v>123</v>
      </c>
      <c r="W1532" s="189" t="s">
        <v>124</v>
      </c>
      <c r="X1532" s="189" t="s">
        <v>339</v>
      </c>
      <c r="Y1532" s="189" t="s">
        <v>3069</v>
      </c>
      <c r="Z1532" s="0" t="n">
        <v>2</v>
      </c>
      <c r="AA1532" s="189" t="s">
        <v>3235</v>
      </c>
    </row>
    <row r="1533" customFormat="false" ht="15" hidden="false" customHeight="false" outlineLevel="0" collapsed="false">
      <c r="A1533" s="0" t="n">
        <v>330</v>
      </c>
      <c r="B1533" s="191" t="n">
        <v>46116.5897640359</v>
      </c>
      <c r="C1533" s="191" t="n">
        <v>46116.6104006099</v>
      </c>
      <c r="D1533" s="189" t="s">
        <v>2133</v>
      </c>
      <c r="E1533" s="189" t="s">
        <v>2134</v>
      </c>
      <c r="F1533" s="189" t="s">
        <v>2134</v>
      </c>
      <c r="G1533" s="189" t="s">
        <v>2135</v>
      </c>
      <c r="H1533" s="191" t="n">
        <v>46099</v>
      </c>
      <c r="I1533" s="189" t="s">
        <v>113</v>
      </c>
      <c r="J1533" s="189" t="s">
        <v>128</v>
      </c>
      <c r="K1533" s="189" t="s">
        <v>232</v>
      </c>
      <c r="L1533" s="189" t="s">
        <v>197</v>
      </c>
      <c r="M1533" s="189" t="s">
        <v>612</v>
      </c>
      <c r="N1533" s="189" t="s">
        <v>1036</v>
      </c>
      <c r="O1533" s="189" t="s">
        <v>1949</v>
      </c>
      <c r="P1533" s="189" t="s">
        <v>111</v>
      </c>
      <c r="Q1533" s="189" t="s">
        <v>247</v>
      </c>
      <c r="R1533" s="189" t="s">
        <v>22</v>
      </c>
      <c r="S1533" s="189" t="s">
        <v>152</v>
      </c>
      <c r="T1533" s="189" t="s">
        <v>121</v>
      </c>
      <c r="U1533" s="189" t="s">
        <v>122</v>
      </c>
      <c r="V1533" s="189" t="s">
        <v>167</v>
      </c>
      <c r="W1533" s="189" t="s">
        <v>124</v>
      </c>
      <c r="X1533" s="189" t="s">
        <v>339</v>
      </c>
      <c r="Y1533" s="189" t="s">
        <v>3064</v>
      </c>
      <c r="Z1533" s="0" t="n">
        <v>1</v>
      </c>
      <c r="AA1533" s="189" t="s">
        <v>3141</v>
      </c>
    </row>
    <row r="1534" customFormat="false" ht="15" hidden="false" customHeight="false" outlineLevel="0" collapsed="false">
      <c r="A1534" s="0" t="n">
        <v>330</v>
      </c>
      <c r="B1534" s="191" t="n">
        <v>46116.5897640359</v>
      </c>
      <c r="C1534" s="191" t="n">
        <v>46116.6104006099</v>
      </c>
      <c r="D1534" s="189" t="s">
        <v>2133</v>
      </c>
      <c r="E1534" s="189" t="s">
        <v>2134</v>
      </c>
      <c r="F1534" s="189" t="s">
        <v>2134</v>
      </c>
      <c r="G1534" s="189" t="s">
        <v>2135</v>
      </c>
      <c r="H1534" s="191" t="n">
        <v>46099</v>
      </c>
      <c r="I1534" s="189" t="s">
        <v>113</v>
      </c>
      <c r="J1534" s="189" t="s">
        <v>128</v>
      </c>
      <c r="K1534" s="189" t="s">
        <v>232</v>
      </c>
      <c r="L1534" s="189" t="s">
        <v>197</v>
      </c>
      <c r="M1534" s="189" t="s">
        <v>612</v>
      </c>
      <c r="N1534" s="189" t="s">
        <v>1036</v>
      </c>
      <c r="O1534" s="189" t="s">
        <v>1949</v>
      </c>
      <c r="P1534" s="189" t="s">
        <v>111</v>
      </c>
      <c r="Q1534" s="189" t="s">
        <v>247</v>
      </c>
      <c r="R1534" s="189" t="s">
        <v>22</v>
      </c>
      <c r="S1534" s="189" t="s">
        <v>152</v>
      </c>
      <c r="T1534" s="189" t="s">
        <v>121</v>
      </c>
      <c r="U1534" s="189" t="s">
        <v>122</v>
      </c>
      <c r="V1534" s="189" t="s">
        <v>167</v>
      </c>
      <c r="W1534" s="189" t="s">
        <v>124</v>
      </c>
      <c r="X1534" s="189" t="s">
        <v>339</v>
      </c>
      <c r="Y1534" s="189" t="s">
        <v>3064</v>
      </c>
      <c r="Z1534" s="0" t="n">
        <v>2</v>
      </c>
      <c r="AA1534" s="189" t="s">
        <v>3199</v>
      </c>
    </row>
    <row r="1535" customFormat="false" ht="15" hidden="false" customHeight="false" outlineLevel="0" collapsed="false">
      <c r="A1535" s="0" t="n">
        <v>330</v>
      </c>
      <c r="B1535" s="191" t="n">
        <v>46116.5897640359</v>
      </c>
      <c r="C1535" s="191" t="n">
        <v>46116.6104006099</v>
      </c>
      <c r="D1535" s="189" t="s">
        <v>2133</v>
      </c>
      <c r="E1535" s="189" t="s">
        <v>2134</v>
      </c>
      <c r="F1535" s="189" t="s">
        <v>2134</v>
      </c>
      <c r="G1535" s="189" t="s">
        <v>2135</v>
      </c>
      <c r="H1535" s="191" t="n">
        <v>46099</v>
      </c>
      <c r="I1535" s="189" t="s">
        <v>113</v>
      </c>
      <c r="J1535" s="189" t="s">
        <v>128</v>
      </c>
      <c r="K1535" s="189" t="s">
        <v>232</v>
      </c>
      <c r="L1535" s="189" t="s">
        <v>197</v>
      </c>
      <c r="M1535" s="189" t="s">
        <v>612</v>
      </c>
      <c r="N1535" s="189" t="s">
        <v>1036</v>
      </c>
      <c r="O1535" s="189" t="s">
        <v>1949</v>
      </c>
      <c r="P1535" s="189" t="s">
        <v>111</v>
      </c>
      <c r="Q1535" s="189" t="s">
        <v>247</v>
      </c>
      <c r="R1535" s="189" t="s">
        <v>22</v>
      </c>
      <c r="S1535" s="189" t="s">
        <v>152</v>
      </c>
      <c r="T1535" s="189" t="s">
        <v>121</v>
      </c>
      <c r="U1535" s="189" t="s">
        <v>122</v>
      </c>
      <c r="V1535" s="189" t="s">
        <v>167</v>
      </c>
      <c r="W1535" s="189" t="s">
        <v>124</v>
      </c>
      <c r="X1535" s="189" t="s">
        <v>339</v>
      </c>
      <c r="Y1535" s="189" t="s">
        <v>3066</v>
      </c>
      <c r="Z1535" s="0" t="n">
        <v>1</v>
      </c>
      <c r="AA1535" s="189" t="s">
        <v>3142</v>
      </c>
    </row>
    <row r="1536" customFormat="false" ht="15" hidden="false" customHeight="false" outlineLevel="0" collapsed="false">
      <c r="A1536" s="0" t="n">
        <v>330</v>
      </c>
      <c r="B1536" s="191" t="n">
        <v>46116.5897640359</v>
      </c>
      <c r="C1536" s="191" t="n">
        <v>46116.6104006099</v>
      </c>
      <c r="D1536" s="189" t="s">
        <v>2133</v>
      </c>
      <c r="E1536" s="189" t="s">
        <v>2134</v>
      </c>
      <c r="F1536" s="189" t="s">
        <v>2134</v>
      </c>
      <c r="G1536" s="189" t="s">
        <v>2135</v>
      </c>
      <c r="H1536" s="191" t="n">
        <v>46099</v>
      </c>
      <c r="I1536" s="189" t="s">
        <v>113</v>
      </c>
      <c r="J1536" s="189" t="s">
        <v>128</v>
      </c>
      <c r="K1536" s="189" t="s">
        <v>232</v>
      </c>
      <c r="L1536" s="189" t="s">
        <v>197</v>
      </c>
      <c r="M1536" s="189" t="s">
        <v>612</v>
      </c>
      <c r="N1536" s="189" t="s">
        <v>1036</v>
      </c>
      <c r="O1536" s="189" t="s">
        <v>1949</v>
      </c>
      <c r="P1536" s="189" t="s">
        <v>111</v>
      </c>
      <c r="Q1536" s="189" t="s">
        <v>247</v>
      </c>
      <c r="R1536" s="189" t="s">
        <v>22</v>
      </c>
      <c r="S1536" s="189" t="s">
        <v>152</v>
      </c>
      <c r="T1536" s="189" t="s">
        <v>121</v>
      </c>
      <c r="U1536" s="189" t="s">
        <v>122</v>
      </c>
      <c r="V1536" s="189" t="s">
        <v>167</v>
      </c>
      <c r="W1536" s="189" t="s">
        <v>124</v>
      </c>
      <c r="X1536" s="189" t="s">
        <v>339</v>
      </c>
      <c r="Y1536" s="189" t="s">
        <v>3069</v>
      </c>
      <c r="Z1536" s="0" t="n">
        <v>1</v>
      </c>
      <c r="AA1536" s="189" t="s">
        <v>3235</v>
      </c>
    </row>
    <row r="1537" customFormat="false" ht="15" hidden="false" customHeight="false" outlineLevel="0" collapsed="false">
      <c r="A1537" s="0" t="n">
        <v>330</v>
      </c>
      <c r="B1537" s="191" t="n">
        <v>46116.5897640359</v>
      </c>
      <c r="C1537" s="191" t="n">
        <v>46116.6104006099</v>
      </c>
      <c r="D1537" s="189" t="s">
        <v>2133</v>
      </c>
      <c r="E1537" s="189" t="s">
        <v>2134</v>
      </c>
      <c r="F1537" s="189" t="s">
        <v>2134</v>
      </c>
      <c r="G1537" s="189" t="s">
        <v>2135</v>
      </c>
      <c r="H1537" s="191" t="n">
        <v>46099</v>
      </c>
      <c r="I1537" s="189" t="s">
        <v>113</v>
      </c>
      <c r="J1537" s="189" t="s">
        <v>128</v>
      </c>
      <c r="K1537" s="189" t="s">
        <v>232</v>
      </c>
      <c r="L1537" s="189" t="s">
        <v>197</v>
      </c>
      <c r="M1537" s="189" t="s">
        <v>612</v>
      </c>
      <c r="N1537" s="189" t="s">
        <v>1036</v>
      </c>
      <c r="O1537" s="189" t="s">
        <v>1949</v>
      </c>
      <c r="P1537" s="189" t="s">
        <v>111</v>
      </c>
      <c r="Q1537" s="189" t="s">
        <v>247</v>
      </c>
      <c r="R1537" s="189" t="s">
        <v>22</v>
      </c>
      <c r="S1537" s="189" t="s">
        <v>152</v>
      </c>
      <c r="T1537" s="189" t="s">
        <v>121</v>
      </c>
      <c r="U1537" s="189" t="s">
        <v>122</v>
      </c>
      <c r="V1537" s="189" t="s">
        <v>167</v>
      </c>
      <c r="W1537" s="189" t="s">
        <v>124</v>
      </c>
      <c r="X1537" s="189" t="s">
        <v>339</v>
      </c>
      <c r="Y1537" s="189" t="s">
        <v>3069</v>
      </c>
      <c r="Z1537" s="0" t="n">
        <v>2</v>
      </c>
      <c r="AA1537" s="189" t="s">
        <v>3217</v>
      </c>
    </row>
    <row r="1538" customFormat="false" ht="15" hidden="false" customHeight="false" outlineLevel="0" collapsed="false">
      <c r="A1538" s="0" t="n">
        <v>331</v>
      </c>
      <c r="B1538" s="191" t="n">
        <v>46109.6681700079</v>
      </c>
      <c r="C1538" s="191" t="n">
        <v>46109.6808783412</v>
      </c>
      <c r="D1538" s="189" t="s">
        <v>2137</v>
      </c>
      <c r="E1538" s="189" t="s">
        <v>2138</v>
      </c>
      <c r="F1538" s="189" t="s">
        <v>2138</v>
      </c>
      <c r="G1538" s="189" t="s">
        <v>2139</v>
      </c>
      <c r="H1538" s="191" t="n">
        <v>46101</v>
      </c>
      <c r="I1538" s="189" t="s">
        <v>113</v>
      </c>
      <c r="J1538" s="189" t="s">
        <v>295</v>
      </c>
      <c r="K1538" s="189" t="s">
        <v>2140</v>
      </c>
      <c r="L1538" s="189" t="s">
        <v>346</v>
      </c>
      <c r="M1538" s="189" t="s">
        <v>174</v>
      </c>
      <c r="N1538" s="189" t="s">
        <v>758</v>
      </c>
      <c r="O1538" s="189" t="s">
        <v>172</v>
      </c>
      <c r="P1538" s="189" t="s">
        <v>111</v>
      </c>
      <c r="Q1538" s="189" t="s">
        <v>145</v>
      </c>
      <c r="R1538" s="189" t="s">
        <v>22</v>
      </c>
      <c r="S1538" s="189" t="s">
        <v>152</v>
      </c>
      <c r="T1538" s="189" t="s">
        <v>496</v>
      </c>
      <c r="V1538" s="189" t="s">
        <v>123</v>
      </c>
      <c r="W1538" s="189" t="s">
        <v>124</v>
      </c>
      <c r="X1538" s="189" t="s">
        <v>176</v>
      </c>
      <c r="Y1538" s="189" t="s">
        <v>3064</v>
      </c>
      <c r="Z1538" s="0" t="n">
        <v>1</v>
      </c>
      <c r="AA1538" s="189" t="s">
        <v>3084</v>
      </c>
    </row>
    <row r="1539" customFormat="false" ht="15" hidden="false" customHeight="false" outlineLevel="0" collapsed="false">
      <c r="A1539" s="0" t="n">
        <v>331</v>
      </c>
      <c r="B1539" s="191" t="n">
        <v>46109.6681700079</v>
      </c>
      <c r="C1539" s="191" t="n">
        <v>46109.6808783412</v>
      </c>
      <c r="D1539" s="189" t="s">
        <v>2137</v>
      </c>
      <c r="E1539" s="189" t="s">
        <v>2138</v>
      </c>
      <c r="F1539" s="189" t="s">
        <v>2138</v>
      </c>
      <c r="G1539" s="189" t="s">
        <v>2139</v>
      </c>
      <c r="H1539" s="191" t="n">
        <v>46101</v>
      </c>
      <c r="I1539" s="189" t="s">
        <v>113</v>
      </c>
      <c r="J1539" s="189" t="s">
        <v>295</v>
      </c>
      <c r="K1539" s="189" t="s">
        <v>2140</v>
      </c>
      <c r="L1539" s="189" t="s">
        <v>346</v>
      </c>
      <c r="M1539" s="189" t="s">
        <v>174</v>
      </c>
      <c r="N1539" s="189" t="s">
        <v>758</v>
      </c>
      <c r="O1539" s="189" t="s">
        <v>172</v>
      </c>
      <c r="P1539" s="189" t="s">
        <v>111</v>
      </c>
      <c r="Q1539" s="189" t="s">
        <v>145</v>
      </c>
      <c r="R1539" s="189" t="s">
        <v>22</v>
      </c>
      <c r="S1539" s="189" t="s">
        <v>152</v>
      </c>
      <c r="T1539" s="189" t="s">
        <v>496</v>
      </c>
      <c r="V1539" s="189" t="s">
        <v>123</v>
      </c>
      <c r="W1539" s="189" t="s">
        <v>124</v>
      </c>
      <c r="X1539" s="189" t="s">
        <v>176</v>
      </c>
      <c r="Y1539" s="189" t="s">
        <v>3064</v>
      </c>
      <c r="Z1539" s="0" t="n">
        <v>2</v>
      </c>
      <c r="AA1539" s="189" t="s">
        <v>3085</v>
      </c>
    </row>
    <row r="1540" customFormat="false" ht="15" hidden="false" customHeight="false" outlineLevel="0" collapsed="false">
      <c r="A1540" s="0" t="n">
        <v>331</v>
      </c>
      <c r="B1540" s="191" t="n">
        <v>46109.6681700079</v>
      </c>
      <c r="C1540" s="191" t="n">
        <v>46109.6808783412</v>
      </c>
      <c r="D1540" s="189" t="s">
        <v>2137</v>
      </c>
      <c r="E1540" s="189" t="s">
        <v>2138</v>
      </c>
      <c r="F1540" s="189" t="s">
        <v>2138</v>
      </c>
      <c r="G1540" s="189" t="s">
        <v>2139</v>
      </c>
      <c r="H1540" s="191" t="n">
        <v>46101</v>
      </c>
      <c r="I1540" s="189" t="s">
        <v>113</v>
      </c>
      <c r="J1540" s="189" t="s">
        <v>295</v>
      </c>
      <c r="K1540" s="189" t="s">
        <v>2140</v>
      </c>
      <c r="L1540" s="189" t="s">
        <v>346</v>
      </c>
      <c r="M1540" s="189" t="s">
        <v>174</v>
      </c>
      <c r="N1540" s="189" t="s">
        <v>758</v>
      </c>
      <c r="O1540" s="189" t="s">
        <v>172</v>
      </c>
      <c r="P1540" s="189" t="s">
        <v>111</v>
      </c>
      <c r="Q1540" s="189" t="s">
        <v>145</v>
      </c>
      <c r="R1540" s="189" t="s">
        <v>22</v>
      </c>
      <c r="S1540" s="189" t="s">
        <v>152</v>
      </c>
      <c r="T1540" s="189" t="s">
        <v>496</v>
      </c>
      <c r="V1540" s="189" t="s">
        <v>123</v>
      </c>
      <c r="W1540" s="189" t="s">
        <v>124</v>
      </c>
      <c r="X1540" s="189" t="s">
        <v>176</v>
      </c>
      <c r="Y1540" s="189" t="s">
        <v>3064</v>
      </c>
      <c r="Z1540" s="0" t="n">
        <v>3</v>
      </c>
      <c r="AA1540" s="189" t="s">
        <v>3290</v>
      </c>
    </row>
    <row r="1541" customFormat="false" ht="15" hidden="false" customHeight="false" outlineLevel="0" collapsed="false">
      <c r="A1541" s="0" t="n">
        <v>331</v>
      </c>
      <c r="B1541" s="191" t="n">
        <v>46109.6681700079</v>
      </c>
      <c r="C1541" s="191" t="n">
        <v>46109.6808783412</v>
      </c>
      <c r="D1541" s="189" t="s">
        <v>2137</v>
      </c>
      <c r="E1541" s="189" t="s">
        <v>2138</v>
      </c>
      <c r="F1541" s="189" t="s">
        <v>2138</v>
      </c>
      <c r="G1541" s="189" t="s">
        <v>2139</v>
      </c>
      <c r="H1541" s="191" t="n">
        <v>46101</v>
      </c>
      <c r="I1541" s="189" t="s">
        <v>113</v>
      </c>
      <c r="J1541" s="189" t="s">
        <v>295</v>
      </c>
      <c r="K1541" s="189" t="s">
        <v>2140</v>
      </c>
      <c r="L1541" s="189" t="s">
        <v>346</v>
      </c>
      <c r="M1541" s="189" t="s">
        <v>174</v>
      </c>
      <c r="N1541" s="189" t="s">
        <v>758</v>
      </c>
      <c r="O1541" s="189" t="s">
        <v>172</v>
      </c>
      <c r="P1541" s="189" t="s">
        <v>111</v>
      </c>
      <c r="Q1541" s="189" t="s">
        <v>145</v>
      </c>
      <c r="R1541" s="189" t="s">
        <v>22</v>
      </c>
      <c r="S1541" s="189" t="s">
        <v>152</v>
      </c>
      <c r="T1541" s="189" t="s">
        <v>496</v>
      </c>
      <c r="V1541" s="189" t="s">
        <v>123</v>
      </c>
      <c r="W1541" s="189" t="s">
        <v>124</v>
      </c>
      <c r="X1541" s="189" t="s">
        <v>176</v>
      </c>
      <c r="Y1541" s="189" t="s">
        <v>3066</v>
      </c>
      <c r="Z1541" s="0" t="n">
        <v>1</v>
      </c>
      <c r="AA1541" s="189" t="s">
        <v>3293</v>
      </c>
    </row>
    <row r="1542" customFormat="false" ht="15" hidden="false" customHeight="false" outlineLevel="0" collapsed="false">
      <c r="A1542" s="0" t="n">
        <v>331</v>
      </c>
      <c r="B1542" s="191" t="n">
        <v>46109.6681700079</v>
      </c>
      <c r="C1542" s="191" t="n">
        <v>46109.6808783412</v>
      </c>
      <c r="D1542" s="189" t="s">
        <v>2137</v>
      </c>
      <c r="E1542" s="189" t="s">
        <v>2138</v>
      </c>
      <c r="F1542" s="189" t="s">
        <v>2138</v>
      </c>
      <c r="G1542" s="189" t="s">
        <v>2139</v>
      </c>
      <c r="H1542" s="191" t="n">
        <v>46101</v>
      </c>
      <c r="I1542" s="189" t="s">
        <v>113</v>
      </c>
      <c r="J1542" s="189" t="s">
        <v>295</v>
      </c>
      <c r="K1542" s="189" t="s">
        <v>2140</v>
      </c>
      <c r="L1542" s="189" t="s">
        <v>346</v>
      </c>
      <c r="M1542" s="189" t="s">
        <v>174</v>
      </c>
      <c r="N1542" s="189" t="s">
        <v>758</v>
      </c>
      <c r="O1542" s="189" t="s">
        <v>172</v>
      </c>
      <c r="P1542" s="189" t="s">
        <v>111</v>
      </c>
      <c r="Q1542" s="189" t="s">
        <v>145</v>
      </c>
      <c r="R1542" s="189" t="s">
        <v>22</v>
      </c>
      <c r="S1542" s="189" t="s">
        <v>152</v>
      </c>
      <c r="T1542" s="189" t="s">
        <v>496</v>
      </c>
      <c r="V1542" s="189" t="s">
        <v>123</v>
      </c>
      <c r="W1542" s="189" t="s">
        <v>124</v>
      </c>
      <c r="X1542" s="189" t="s">
        <v>176</v>
      </c>
      <c r="Y1542" s="189" t="s">
        <v>3069</v>
      </c>
      <c r="Z1542" s="0" t="n">
        <v>1</v>
      </c>
      <c r="AA1542" s="189" t="s">
        <v>3088</v>
      </c>
    </row>
    <row r="1543" customFormat="false" ht="15" hidden="false" customHeight="false" outlineLevel="0" collapsed="false">
      <c r="A1543" s="0" t="n">
        <v>332</v>
      </c>
      <c r="B1543" s="191" t="n">
        <v>46191.0471451124</v>
      </c>
      <c r="C1543" s="191" t="n">
        <v>46191.0559182605</v>
      </c>
      <c r="D1543" s="189" t="s">
        <v>2142</v>
      </c>
      <c r="E1543" s="189" t="s">
        <v>2143</v>
      </c>
      <c r="F1543" s="189" t="s">
        <v>2143</v>
      </c>
      <c r="G1543" s="189" t="s">
        <v>2144</v>
      </c>
      <c r="H1543" s="191" t="n">
        <v>46187</v>
      </c>
      <c r="I1543" s="189" t="s">
        <v>113</v>
      </c>
      <c r="J1543" s="189" t="s">
        <v>108</v>
      </c>
      <c r="K1543" s="189" t="s">
        <v>2145</v>
      </c>
      <c r="L1543" s="189" t="s">
        <v>491</v>
      </c>
      <c r="M1543" s="189" t="s">
        <v>797</v>
      </c>
      <c r="N1543" s="189" t="s">
        <v>1050</v>
      </c>
      <c r="O1543" s="189" t="s">
        <v>157</v>
      </c>
      <c r="P1543" s="189" t="s">
        <v>111</v>
      </c>
      <c r="Q1543" s="189" t="s">
        <v>112</v>
      </c>
      <c r="R1543" s="189" t="s">
        <v>22</v>
      </c>
      <c r="S1543" s="189" t="s">
        <v>120</v>
      </c>
      <c r="T1543" s="189" t="s">
        <v>352</v>
      </c>
      <c r="U1543" s="189" t="s">
        <v>122</v>
      </c>
      <c r="V1543" s="189" t="s">
        <v>123</v>
      </c>
      <c r="W1543" s="189" t="s">
        <v>124</v>
      </c>
      <c r="X1543" s="189" t="s">
        <v>148</v>
      </c>
      <c r="Y1543" s="189" t="s">
        <v>3064</v>
      </c>
      <c r="Z1543" s="0" t="n">
        <v>1</v>
      </c>
      <c r="AA1543" s="189" t="s">
        <v>3122</v>
      </c>
    </row>
    <row r="1544" customFormat="false" ht="15" hidden="false" customHeight="false" outlineLevel="0" collapsed="false">
      <c r="A1544" s="0" t="n">
        <v>332</v>
      </c>
      <c r="B1544" s="191" t="n">
        <v>46191.0471451124</v>
      </c>
      <c r="C1544" s="191" t="n">
        <v>46191.0559182605</v>
      </c>
      <c r="D1544" s="189" t="s">
        <v>2142</v>
      </c>
      <c r="E1544" s="189" t="s">
        <v>2143</v>
      </c>
      <c r="F1544" s="189" t="s">
        <v>2143</v>
      </c>
      <c r="G1544" s="189" t="s">
        <v>2144</v>
      </c>
      <c r="H1544" s="191" t="n">
        <v>46187</v>
      </c>
      <c r="I1544" s="189" t="s">
        <v>113</v>
      </c>
      <c r="J1544" s="189" t="s">
        <v>108</v>
      </c>
      <c r="K1544" s="189" t="s">
        <v>2145</v>
      </c>
      <c r="L1544" s="189" t="s">
        <v>491</v>
      </c>
      <c r="M1544" s="189" t="s">
        <v>797</v>
      </c>
      <c r="N1544" s="189" t="s">
        <v>1050</v>
      </c>
      <c r="O1544" s="189" t="s">
        <v>157</v>
      </c>
      <c r="P1544" s="189" t="s">
        <v>111</v>
      </c>
      <c r="Q1544" s="189" t="s">
        <v>112</v>
      </c>
      <c r="R1544" s="189" t="s">
        <v>22</v>
      </c>
      <c r="S1544" s="189" t="s">
        <v>120</v>
      </c>
      <c r="T1544" s="189" t="s">
        <v>352</v>
      </c>
      <c r="U1544" s="189" t="s">
        <v>122</v>
      </c>
      <c r="V1544" s="189" t="s">
        <v>123</v>
      </c>
      <c r="W1544" s="189" t="s">
        <v>124</v>
      </c>
      <c r="X1544" s="189" t="s">
        <v>148</v>
      </c>
      <c r="Y1544" s="189" t="s">
        <v>3064</v>
      </c>
      <c r="Z1544" s="0" t="n">
        <v>2</v>
      </c>
      <c r="AA1544" s="189" t="s">
        <v>3092</v>
      </c>
    </row>
    <row r="1545" customFormat="false" ht="15" hidden="false" customHeight="false" outlineLevel="0" collapsed="false">
      <c r="A1545" s="0" t="n">
        <v>332</v>
      </c>
      <c r="B1545" s="191" t="n">
        <v>46191.0471451124</v>
      </c>
      <c r="C1545" s="191" t="n">
        <v>46191.0559182605</v>
      </c>
      <c r="D1545" s="189" t="s">
        <v>2142</v>
      </c>
      <c r="E1545" s="189" t="s">
        <v>2143</v>
      </c>
      <c r="F1545" s="189" t="s">
        <v>2143</v>
      </c>
      <c r="G1545" s="189" t="s">
        <v>2144</v>
      </c>
      <c r="H1545" s="191" t="n">
        <v>46187</v>
      </c>
      <c r="I1545" s="189" t="s">
        <v>113</v>
      </c>
      <c r="J1545" s="189" t="s">
        <v>108</v>
      </c>
      <c r="K1545" s="189" t="s">
        <v>2145</v>
      </c>
      <c r="L1545" s="189" t="s">
        <v>491</v>
      </c>
      <c r="M1545" s="189" t="s">
        <v>797</v>
      </c>
      <c r="N1545" s="189" t="s">
        <v>1050</v>
      </c>
      <c r="O1545" s="189" t="s">
        <v>157</v>
      </c>
      <c r="P1545" s="189" t="s">
        <v>111</v>
      </c>
      <c r="Q1545" s="189" t="s">
        <v>112</v>
      </c>
      <c r="R1545" s="189" t="s">
        <v>22</v>
      </c>
      <c r="S1545" s="189" t="s">
        <v>120</v>
      </c>
      <c r="T1545" s="189" t="s">
        <v>352</v>
      </c>
      <c r="U1545" s="189" t="s">
        <v>122</v>
      </c>
      <c r="V1545" s="189" t="s">
        <v>123</v>
      </c>
      <c r="W1545" s="189" t="s">
        <v>124</v>
      </c>
      <c r="X1545" s="189" t="s">
        <v>148</v>
      </c>
      <c r="Y1545" s="189" t="s">
        <v>3066</v>
      </c>
      <c r="Z1545" s="0" t="n">
        <v>1</v>
      </c>
      <c r="AA1545" s="189" t="s">
        <v>3093</v>
      </c>
    </row>
    <row r="1546" customFormat="false" ht="15" hidden="false" customHeight="false" outlineLevel="0" collapsed="false">
      <c r="A1546" s="0" t="n">
        <v>332</v>
      </c>
      <c r="B1546" s="191" t="n">
        <v>46191.0471451124</v>
      </c>
      <c r="C1546" s="191" t="n">
        <v>46191.0559182605</v>
      </c>
      <c r="D1546" s="189" t="s">
        <v>2142</v>
      </c>
      <c r="E1546" s="189" t="s">
        <v>2143</v>
      </c>
      <c r="F1546" s="189" t="s">
        <v>2143</v>
      </c>
      <c r="G1546" s="189" t="s">
        <v>2144</v>
      </c>
      <c r="H1546" s="191" t="n">
        <v>46187</v>
      </c>
      <c r="I1546" s="189" t="s">
        <v>113</v>
      </c>
      <c r="J1546" s="189" t="s">
        <v>108</v>
      </c>
      <c r="K1546" s="189" t="s">
        <v>2145</v>
      </c>
      <c r="L1546" s="189" t="s">
        <v>491</v>
      </c>
      <c r="M1546" s="189" t="s">
        <v>797</v>
      </c>
      <c r="N1546" s="189" t="s">
        <v>1050</v>
      </c>
      <c r="O1546" s="189" t="s">
        <v>157</v>
      </c>
      <c r="P1546" s="189" t="s">
        <v>111</v>
      </c>
      <c r="Q1546" s="189" t="s">
        <v>112</v>
      </c>
      <c r="R1546" s="189" t="s">
        <v>22</v>
      </c>
      <c r="S1546" s="189" t="s">
        <v>120</v>
      </c>
      <c r="T1546" s="189" t="s">
        <v>352</v>
      </c>
      <c r="U1546" s="189" t="s">
        <v>122</v>
      </c>
      <c r="V1546" s="189" t="s">
        <v>123</v>
      </c>
      <c r="W1546" s="189" t="s">
        <v>124</v>
      </c>
      <c r="X1546" s="189" t="s">
        <v>148</v>
      </c>
      <c r="Y1546" s="189" t="s">
        <v>3066</v>
      </c>
      <c r="Z1546" s="0" t="n">
        <v>2</v>
      </c>
      <c r="AA1546" s="189" t="s">
        <v>2818</v>
      </c>
    </row>
    <row r="1547" customFormat="false" ht="15" hidden="false" customHeight="false" outlineLevel="0" collapsed="false">
      <c r="A1547" s="0" t="n">
        <v>332</v>
      </c>
      <c r="B1547" s="191" t="n">
        <v>46191.0471451124</v>
      </c>
      <c r="C1547" s="191" t="n">
        <v>46191.0559182605</v>
      </c>
      <c r="D1547" s="189" t="s">
        <v>2142</v>
      </c>
      <c r="E1547" s="189" t="s">
        <v>2143</v>
      </c>
      <c r="F1547" s="189" t="s">
        <v>2143</v>
      </c>
      <c r="G1547" s="189" t="s">
        <v>2144</v>
      </c>
      <c r="H1547" s="191" t="n">
        <v>46187</v>
      </c>
      <c r="I1547" s="189" t="s">
        <v>113</v>
      </c>
      <c r="J1547" s="189" t="s">
        <v>108</v>
      </c>
      <c r="K1547" s="189" t="s">
        <v>2145</v>
      </c>
      <c r="L1547" s="189" t="s">
        <v>491</v>
      </c>
      <c r="M1547" s="189" t="s">
        <v>797</v>
      </c>
      <c r="N1547" s="189" t="s">
        <v>1050</v>
      </c>
      <c r="O1547" s="189" t="s">
        <v>157</v>
      </c>
      <c r="P1547" s="189" t="s">
        <v>111</v>
      </c>
      <c r="Q1547" s="189" t="s">
        <v>112</v>
      </c>
      <c r="R1547" s="189" t="s">
        <v>22</v>
      </c>
      <c r="S1547" s="189" t="s">
        <v>120</v>
      </c>
      <c r="T1547" s="189" t="s">
        <v>352</v>
      </c>
      <c r="U1547" s="189" t="s">
        <v>122</v>
      </c>
      <c r="V1547" s="189" t="s">
        <v>123</v>
      </c>
      <c r="W1547" s="189" t="s">
        <v>124</v>
      </c>
      <c r="X1547" s="189" t="s">
        <v>148</v>
      </c>
      <c r="Y1547" s="189" t="s">
        <v>3069</v>
      </c>
      <c r="Z1547" s="0" t="n">
        <v>1</v>
      </c>
      <c r="AA1547" s="189" t="s">
        <v>3080</v>
      </c>
    </row>
    <row r="1548" customFormat="false" ht="15" hidden="false" customHeight="false" outlineLevel="0" collapsed="false">
      <c r="A1548" s="0" t="n">
        <v>333</v>
      </c>
      <c r="B1548" s="191" t="n">
        <v>46127.8030629616</v>
      </c>
      <c r="C1548" s="191" t="n">
        <v>46127.8174958319</v>
      </c>
      <c r="D1548" s="189" t="s">
        <v>2146</v>
      </c>
      <c r="E1548" s="189" t="s">
        <v>2147</v>
      </c>
      <c r="F1548" s="189" t="s">
        <v>2147</v>
      </c>
      <c r="G1548" s="189" t="s">
        <v>2148</v>
      </c>
      <c r="H1548" s="191" t="n">
        <v>46121</v>
      </c>
      <c r="I1548" s="189" t="s">
        <v>113</v>
      </c>
      <c r="J1548" s="189" t="s">
        <v>108</v>
      </c>
      <c r="K1548" s="189" t="s">
        <v>173</v>
      </c>
      <c r="L1548" s="189" t="s">
        <v>296</v>
      </c>
      <c r="M1548" s="189" t="s">
        <v>885</v>
      </c>
      <c r="N1548" s="189" t="s">
        <v>841</v>
      </c>
      <c r="O1548" s="189" t="s">
        <v>107</v>
      </c>
      <c r="P1548" s="189" t="s">
        <v>111</v>
      </c>
      <c r="Q1548" s="189" t="s">
        <v>112</v>
      </c>
      <c r="R1548" s="189" t="s">
        <v>22</v>
      </c>
      <c r="S1548" s="189" t="s">
        <v>152</v>
      </c>
      <c r="T1548" s="189" t="s">
        <v>121</v>
      </c>
      <c r="V1548" s="189" t="s">
        <v>167</v>
      </c>
      <c r="W1548" s="189" t="s">
        <v>124</v>
      </c>
      <c r="X1548" s="189" t="s">
        <v>176</v>
      </c>
      <c r="Y1548" s="189" t="s">
        <v>3064</v>
      </c>
      <c r="Z1548" s="0" t="n">
        <v>1</v>
      </c>
      <c r="AA1548" s="189" t="s">
        <v>3300</v>
      </c>
    </row>
    <row r="1549" customFormat="false" ht="15" hidden="false" customHeight="false" outlineLevel="0" collapsed="false">
      <c r="A1549" s="0" t="n">
        <v>333</v>
      </c>
      <c r="B1549" s="191" t="n">
        <v>46127.8030629616</v>
      </c>
      <c r="C1549" s="191" t="n">
        <v>46127.8174958319</v>
      </c>
      <c r="D1549" s="189" t="s">
        <v>2146</v>
      </c>
      <c r="E1549" s="189" t="s">
        <v>2147</v>
      </c>
      <c r="F1549" s="189" t="s">
        <v>2147</v>
      </c>
      <c r="G1549" s="189" t="s">
        <v>2148</v>
      </c>
      <c r="H1549" s="191" t="n">
        <v>46121</v>
      </c>
      <c r="I1549" s="189" t="s">
        <v>113</v>
      </c>
      <c r="J1549" s="189" t="s">
        <v>108</v>
      </c>
      <c r="K1549" s="189" t="s">
        <v>173</v>
      </c>
      <c r="L1549" s="189" t="s">
        <v>296</v>
      </c>
      <c r="M1549" s="189" t="s">
        <v>885</v>
      </c>
      <c r="N1549" s="189" t="s">
        <v>841</v>
      </c>
      <c r="O1549" s="189" t="s">
        <v>107</v>
      </c>
      <c r="P1549" s="189" t="s">
        <v>111</v>
      </c>
      <c r="Q1549" s="189" t="s">
        <v>112</v>
      </c>
      <c r="R1549" s="189" t="s">
        <v>22</v>
      </c>
      <c r="S1549" s="189" t="s">
        <v>152</v>
      </c>
      <c r="T1549" s="189" t="s">
        <v>121</v>
      </c>
      <c r="V1549" s="189" t="s">
        <v>167</v>
      </c>
      <c r="W1549" s="189" t="s">
        <v>124</v>
      </c>
      <c r="X1549" s="189" t="s">
        <v>176</v>
      </c>
      <c r="Y1549" s="189" t="s">
        <v>3064</v>
      </c>
      <c r="Z1549" s="0" t="n">
        <v>2</v>
      </c>
      <c r="AA1549" s="189" t="s">
        <v>3264</v>
      </c>
    </row>
    <row r="1550" customFormat="false" ht="15" hidden="false" customHeight="false" outlineLevel="0" collapsed="false">
      <c r="A1550" s="0" t="n">
        <v>333</v>
      </c>
      <c r="B1550" s="191" t="n">
        <v>46127.8030629616</v>
      </c>
      <c r="C1550" s="191" t="n">
        <v>46127.8174958319</v>
      </c>
      <c r="D1550" s="189" t="s">
        <v>2146</v>
      </c>
      <c r="E1550" s="189" t="s">
        <v>2147</v>
      </c>
      <c r="F1550" s="189" t="s">
        <v>2147</v>
      </c>
      <c r="G1550" s="189" t="s">
        <v>2148</v>
      </c>
      <c r="H1550" s="191" t="n">
        <v>46121</v>
      </c>
      <c r="I1550" s="189" t="s">
        <v>113</v>
      </c>
      <c r="J1550" s="189" t="s">
        <v>108</v>
      </c>
      <c r="K1550" s="189" t="s">
        <v>173</v>
      </c>
      <c r="L1550" s="189" t="s">
        <v>296</v>
      </c>
      <c r="M1550" s="189" t="s">
        <v>885</v>
      </c>
      <c r="N1550" s="189" t="s">
        <v>841</v>
      </c>
      <c r="O1550" s="189" t="s">
        <v>107</v>
      </c>
      <c r="P1550" s="189" t="s">
        <v>111</v>
      </c>
      <c r="Q1550" s="189" t="s">
        <v>112</v>
      </c>
      <c r="R1550" s="189" t="s">
        <v>22</v>
      </c>
      <c r="S1550" s="189" t="s">
        <v>152</v>
      </c>
      <c r="T1550" s="189" t="s">
        <v>121</v>
      </c>
      <c r="V1550" s="189" t="s">
        <v>167</v>
      </c>
      <c r="W1550" s="189" t="s">
        <v>124</v>
      </c>
      <c r="X1550" s="189" t="s">
        <v>176</v>
      </c>
      <c r="Y1550" s="189" t="s">
        <v>3066</v>
      </c>
      <c r="Z1550" s="0" t="n">
        <v>1</v>
      </c>
      <c r="AA1550" s="189" t="s">
        <v>1174</v>
      </c>
    </row>
    <row r="1551" customFormat="false" ht="15" hidden="false" customHeight="false" outlineLevel="0" collapsed="false">
      <c r="A1551" s="0" t="n">
        <v>333</v>
      </c>
      <c r="B1551" s="191" t="n">
        <v>46127.8030629616</v>
      </c>
      <c r="C1551" s="191" t="n">
        <v>46127.8174958319</v>
      </c>
      <c r="D1551" s="189" t="s">
        <v>2146</v>
      </c>
      <c r="E1551" s="189" t="s">
        <v>2147</v>
      </c>
      <c r="F1551" s="189" t="s">
        <v>2147</v>
      </c>
      <c r="G1551" s="189" t="s">
        <v>2148</v>
      </c>
      <c r="H1551" s="191" t="n">
        <v>46121</v>
      </c>
      <c r="I1551" s="189" t="s">
        <v>113</v>
      </c>
      <c r="J1551" s="189" t="s">
        <v>108</v>
      </c>
      <c r="K1551" s="189" t="s">
        <v>173</v>
      </c>
      <c r="L1551" s="189" t="s">
        <v>296</v>
      </c>
      <c r="M1551" s="189" t="s">
        <v>885</v>
      </c>
      <c r="N1551" s="189" t="s">
        <v>841</v>
      </c>
      <c r="O1551" s="189" t="s">
        <v>107</v>
      </c>
      <c r="P1551" s="189" t="s">
        <v>111</v>
      </c>
      <c r="Q1551" s="189" t="s">
        <v>112</v>
      </c>
      <c r="R1551" s="189" t="s">
        <v>22</v>
      </c>
      <c r="S1551" s="189" t="s">
        <v>152</v>
      </c>
      <c r="T1551" s="189" t="s">
        <v>121</v>
      </c>
      <c r="V1551" s="189" t="s">
        <v>167</v>
      </c>
      <c r="W1551" s="189" t="s">
        <v>124</v>
      </c>
      <c r="X1551" s="189" t="s">
        <v>176</v>
      </c>
      <c r="Y1551" s="189" t="s">
        <v>3066</v>
      </c>
      <c r="Z1551" s="0" t="n">
        <v>2</v>
      </c>
      <c r="AA1551" s="189" t="s">
        <v>3291</v>
      </c>
    </row>
    <row r="1552" customFormat="false" ht="15" hidden="false" customHeight="false" outlineLevel="0" collapsed="false">
      <c r="A1552" s="0" t="n">
        <v>333</v>
      </c>
      <c r="B1552" s="191" t="n">
        <v>46127.8030629616</v>
      </c>
      <c r="C1552" s="191" t="n">
        <v>46127.8174958319</v>
      </c>
      <c r="D1552" s="189" t="s">
        <v>2146</v>
      </c>
      <c r="E1552" s="189" t="s">
        <v>2147</v>
      </c>
      <c r="F1552" s="189" t="s">
        <v>2147</v>
      </c>
      <c r="G1552" s="189" t="s">
        <v>2148</v>
      </c>
      <c r="H1552" s="191" t="n">
        <v>46121</v>
      </c>
      <c r="I1552" s="189" t="s">
        <v>113</v>
      </c>
      <c r="J1552" s="189" t="s">
        <v>108</v>
      </c>
      <c r="K1552" s="189" t="s">
        <v>173</v>
      </c>
      <c r="L1552" s="189" t="s">
        <v>296</v>
      </c>
      <c r="M1552" s="189" t="s">
        <v>885</v>
      </c>
      <c r="N1552" s="189" t="s">
        <v>841</v>
      </c>
      <c r="O1552" s="189" t="s">
        <v>107</v>
      </c>
      <c r="P1552" s="189" t="s">
        <v>111</v>
      </c>
      <c r="Q1552" s="189" t="s">
        <v>112</v>
      </c>
      <c r="R1552" s="189" t="s">
        <v>22</v>
      </c>
      <c r="S1552" s="189" t="s">
        <v>152</v>
      </c>
      <c r="T1552" s="189" t="s">
        <v>121</v>
      </c>
      <c r="V1552" s="189" t="s">
        <v>167</v>
      </c>
      <c r="W1552" s="189" t="s">
        <v>124</v>
      </c>
      <c r="X1552" s="189" t="s">
        <v>176</v>
      </c>
      <c r="Y1552" s="189" t="s">
        <v>3069</v>
      </c>
      <c r="Z1552" s="0" t="n">
        <v>1</v>
      </c>
      <c r="AA1552" s="189" t="s">
        <v>3206</v>
      </c>
    </row>
    <row r="1553" customFormat="false" ht="15" hidden="false" customHeight="false" outlineLevel="0" collapsed="false">
      <c r="A1553" s="0" t="n">
        <v>333</v>
      </c>
      <c r="B1553" s="191" t="n">
        <v>46127.8030629616</v>
      </c>
      <c r="C1553" s="191" t="n">
        <v>46127.8174958319</v>
      </c>
      <c r="D1553" s="189" t="s">
        <v>2146</v>
      </c>
      <c r="E1553" s="189" t="s">
        <v>2147</v>
      </c>
      <c r="F1553" s="189" t="s">
        <v>2147</v>
      </c>
      <c r="G1553" s="189" t="s">
        <v>2148</v>
      </c>
      <c r="H1553" s="191" t="n">
        <v>46121</v>
      </c>
      <c r="I1553" s="189" t="s">
        <v>113</v>
      </c>
      <c r="J1553" s="189" t="s">
        <v>108</v>
      </c>
      <c r="K1553" s="189" t="s">
        <v>173</v>
      </c>
      <c r="L1553" s="189" t="s">
        <v>296</v>
      </c>
      <c r="M1553" s="189" t="s">
        <v>885</v>
      </c>
      <c r="N1553" s="189" t="s">
        <v>841</v>
      </c>
      <c r="O1553" s="189" t="s">
        <v>107</v>
      </c>
      <c r="P1553" s="189" t="s">
        <v>111</v>
      </c>
      <c r="Q1553" s="189" t="s">
        <v>112</v>
      </c>
      <c r="R1553" s="189" t="s">
        <v>22</v>
      </c>
      <c r="S1553" s="189" t="s">
        <v>152</v>
      </c>
      <c r="T1553" s="189" t="s">
        <v>121</v>
      </c>
      <c r="V1553" s="189" t="s">
        <v>167</v>
      </c>
      <c r="W1553" s="189" t="s">
        <v>124</v>
      </c>
      <c r="X1553" s="189" t="s">
        <v>176</v>
      </c>
      <c r="Y1553" s="189" t="s">
        <v>3069</v>
      </c>
      <c r="Z1553" s="0" t="n">
        <v>2</v>
      </c>
      <c r="AA1553" s="189" t="s">
        <v>3088</v>
      </c>
    </row>
    <row r="1554" customFormat="false" ht="15" hidden="false" customHeight="false" outlineLevel="0" collapsed="false">
      <c r="A1554" s="0" t="n">
        <v>334</v>
      </c>
      <c r="B1554" s="191" t="n">
        <v>46118.9494618252</v>
      </c>
      <c r="C1554" s="191" t="n">
        <v>46118.9655497881</v>
      </c>
      <c r="D1554" s="189" t="s">
        <v>2152</v>
      </c>
      <c r="E1554" s="189" t="s">
        <v>2153</v>
      </c>
      <c r="F1554" s="189" t="s">
        <v>2153</v>
      </c>
      <c r="G1554" s="189" t="s">
        <v>2154</v>
      </c>
      <c r="H1554" s="191" t="n">
        <v>46106</v>
      </c>
      <c r="I1554" s="189" t="s">
        <v>113</v>
      </c>
      <c r="J1554" s="189" t="s">
        <v>108</v>
      </c>
      <c r="K1554" s="189" t="s">
        <v>232</v>
      </c>
      <c r="L1554" s="189" t="s">
        <v>389</v>
      </c>
      <c r="M1554" s="189" t="s">
        <v>652</v>
      </c>
      <c r="N1554" s="189" t="s">
        <v>1553</v>
      </c>
      <c r="O1554" s="189" t="s">
        <v>172</v>
      </c>
      <c r="P1554" s="189" t="s">
        <v>111</v>
      </c>
      <c r="Q1554" s="189" t="s">
        <v>145</v>
      </c>
      <c r="R1554" s="189" t="s">
        <v>22</v>
      </c>
      <c r="S1554" s="189" t="s">
        <v>152</v>
      </c>
      <c r="T1554" s="189" t="s">
        <v>121</v>
      </c>
      <c r="U1554" s="189" t="s">
        <v>122</v>
      </c>
      <c r="V1554" s="189" t="s">
        <v>123</v>
      </c>
      <c r="W1554" s="189" t="s">
        <v>124</v>
      </c>
      <c r="X1554" s="189" t="s">
        <v>135</v>
      </c>
      <c r="Y1554" s="189" t="s">
        <v>3064</v>
      </c>
      <c r="Z1554" s="0" t="n">
        <v>1</v>
      </c>
      <c r="AA1554" s="189" t="s">
        <v>3071</v>
      </c>
    </row>
    <row r="1555" customFormat="false" ht="15" hidden="false" customHeight="false" outlineLevel="0" collapsed="false">
      <c r="A1555" s="0" t="n">
        <v>334</v>
      </c>
      <c r="B1555" s="191" t="n">
        <v>46118.9494618252</v>
      </c>
      <c r="C1555" s="191" t="n">
        <v>46118.9655497881</v>
      </c>
      <c r="D1555" s="189" t="s">
        <v>2152</v>
      </c>
      <c r="E1555" s="189" t="s">
        <v>2153</v>
      </c>
      <c r="F1555" s="189" t="s">
        <v>2153</v>
      </c>
      <c r="G1555" s="189" t="s">
        <v>2154</v>
      </c>
      <c r="H1555" s="191" t="n">
        <v>46106</v>
      </c>
      <c r="I1555" s="189" t="s">
        <v>113</v>
      </c>
      <c r="J1555" s="189" t="s">
        <v>108</v>
      </c>
      <c r="K1555" s="189" t="s">
        <v>232</v>
      </c>
      <c r="L1555" s="189" t="s">
        <v>389</v>
      </c>
      <c r="M1555" s="189" t="s">
        <v>652</v>
      </c>
      <c r="N1555" s="189" t="s">
        <v>1553</v>
      </c>
      <c r="O1555" s="189" t="s">
        <v>172</v>
      </c>
      <c r="P1555" s="189" t="s">
        <v>111</v>
      </c>
      <c r="Q1555" s="189" t="s">
        <v>145</v>
      </c>
      <c r="R1555" s="189" t="s">
        <v>22</v>
      </c>
      <c r="S1555" s="189" t="s">
        <v>152</v>
      </c>
      <c r="T1555" s="189" t="s">
        <v>121</v>
      </c>
      <c r="U1555" s="189" t="s">
        <v>122</v>
      </c>
      <c r="V1555" s="189" t="s">
        <v>123</v>
      </c>
      <c r="W1555" s="189" t="s">
        <v>124</v>
      </c>
      <c r="X1555" s="189" t="s">
        <v>135</v>
      </c>
      <c r="Y1555" s="189" t="s">
        <v>3066</v>
      </c>
      <c r="Z1555" s="0" t="n">
        <v>1</v>
      </c>
      <c r="AA1555" s="189" t="s">
        <v>122</v>
      </c>
    </row>
    <row r="1556" customFormat="false" ht="15" hidden="false" customHeight="false" outlineLevel="0" collapsed="false">
      <c r="A1556" s="0" t="n">
        <v>334</v>
      </c>
      <c r="B1556" s="191" t="n">
        <v>46118.9494618252</v>
      </c>
      <c r="C1556" s="191" t="n">
        <v>46118.9655497881</v>
      </c>
      <c r="D1556" s="189" t="s">
        <v>2152</v>
      </c>
      <c r="E1556" s="189" t="s">
        <v>2153</v>
      </c>
      <c r="F1556" s="189" t="s">
        <v>2153</v>
      </c>
      <c r="G1556" s="189" t="s">
        <v>2154</v>
      </c>
      <c r="H1556" s="191" t="n">
        <v>46106</v>
      </c>
      <c r="I1556" s="189" t="s">
        <v>113</v>
      </c>
      <c r="J1556" s="189" t="s">
        <v>108</v>
      </c>
      <c r="K1556" s="189" t="s">
        <v>232</v>
      </c>
      <c r="L1556" s="189" t="s">
        <v>389</v>
      </c>
      <c r="M1556" s="189" t="s">
        <v>652</v>
      </c>
      <c r="N1556" s="189" t="s">
        <v>1553</v>
      </c>
      <c r="O1556" s="189" t="s">
        <v>172</v>
      </c>
      <c r="P1556" s="189" t="s">
        <v>111</v>
      </c>
      <c r="Q1556" s="189" t="s">
        <v>145</v>
      </c>
      <c r="R1556" s="189" t="s">
        <v>22</v>
      </c>
      <c r="S1556" s="189" t="s">
        <v>152</v>
      </c>
      <c r="T1556" s="189" t="s">
        <v>121</v>
      </c>
      <c r="U1556" s="189" t="s">
        <v>122</v>
      </c>
      <c r="V1556" s="189" t="s">
        <v>123</v>
      </c>
      <c r="W1556" s="189" t="s">
        <v>124</v>
      </c>
      <c r="X1556" s="189" t="s">
        <v>135</v>
      </c>
      <c r="Y1556" s="189" t="s">
        <v>3066</v>
      </c>
      <c r="Z1556" s="0" t="n">
        <v>2</v>
      </c>
      <c r="AA1556" s="189" t="s">
        <v>3184</v>
      </c>
    </row>
    <row r="1557" customFormat="false" ht="15" hidden="false" customHeight="false" outlineLevel="0" collapsed="false">
      <c r="A1557" s="0" t="n">
        <v>334</v>
      </c>
      <c r="B1557" s="191" t="n">
        <v>46118.9494618252</v>
      </c>
      <c r="C1557" s="191" t="n">
        <v>46118.9655497881</v>
      </c>
      <c r="D1557" s="189" t="s">
        <v>2152</v>
      </c>
      <c r="E1557" s="189" t="s">
        <v>2153</v>
      </c>
      <c r="F1557" s="189" t="s">
        <v>2153</v>
      </c>
      <c r="G1557" s="189" t="s">
        <v>2154</v>
      </c>
      <c r="H1557" s="191" t="n">
        <v>46106</v>
      </c>
      <c r="I1557" s="189" t="s">
        <v>113</v>
      </c>
      <c r="J1557" s="189" t="s">
        <v>108</v>
      </c>
      <c r="K1557" s="189" t="s">
        <v>232</v>
      </c>
      <c r="L1557" s="189" t="s">
        <v>389</v>
      </c>
      <c r="M1557" s="189" t="s">
        <v>652</v>
      </c>
      <c r="N1557" s="189" t="s">
        <v>1553</v>
      </c>
      <c r="O1557" s="189" t="s">
        <v>172</v>
      </c>
      <c r="P1557" s="189" t="s">
        <v>111</v>
      </c>
      <c r="Q1557" s="189" t="s">
        <v>145</v>
      </c>
      <c r="R1557" s="189" t="s">
        <v>22</v>
      </c>
      <c r="S1557" s="189" t="s">
        <v>152</v>
      </c>
      <c r="T1557" s="189" t="s">
        <v>121</v>
      </c>
      <c r="U1557" s="189" t="s">
        <v>122</v>
      </c>
      <c r="V1557" s="189" t="s">
        <v>123</v>
      </c>
      <c r="W1557" s="189" t="s">
        <v>124</v>
      </c>
      <c r="X1557" s="189" t="s">
        <v>135</v>
      </c>
      <c r="Y1557" s="189" t="s">
        <v>3069</v>
      </c>
      <c r="Z1557" s="0" t="n">
        <v>1</v>
      </c>
      <c r="AA1557" s="189" t="s">
        <v>3193</v>
      </c>
    </row>
    <row r="1558" customFormat="false" ht="15" hidden="false" customHeight="false" outlineLevel="0" collapsed="false">
      <c r="A1558" s="0" t="n">
        <v>335</v>
      </c>
      <c r="B1558" s="191" t="n">
        <v>46059.5218748306</v>
      </c>
      <c r="C1558" s="191" t="n">
        <v>46059.5295137195</v>
      </c>
      <c r="D1558" s="189" t="s">
        <v>2156</v>
      </c>
      <c r="E1558" s="189" t="s">
        <v>2157</v>
      </c>
      <c r="F1558" s="189" t="s">
        <v>2157</v>
      </c>
      <c r="G1558" s="189" t="s">
        <v>2158</v>
      </c>
      <c r="H1558" s="191" t="n">
        <v>46059</v>
      </c>
      <c r="I1558" s="189" t="s">
        <v>113</v>
      </c>
      <c r="J1558" s="189" t="s">
        <v>128</v>
      </c>
      <c r="K1558" s="189" t="s">
        <v>196</v>
      </c>
      <c r="L1558" s="189" t="s">
        <v>184</v>
      </c>
      <c r="M1558" s="189" t="s">
        <v>594</v>
      </c>
      <c r="N1558" s="189" t="s">
        <v>1067</v>
      </c>
      <c r="O1558" s="189" t="s">
        <v>244</v>
      </c>
      <c r="P1558" s="189" t="s">
        <v>111</v>
      </c>
      <c r="Q1558" s="189" t="s">
        <v>112</v>
      </c>
      <c r="R1558" s="189" t="s">
        <v>24</v>
      </c>
      <c r="S1558" s="189" t="s">
        <v>120</v>
      </c>
      <c r="T1558" s="189" t="s">
        <v>352</v>
      </c>
      <c r="U1558" s="189" t="s">
        <v>122</v>
      </c>
      <c r="V1558" s="189" t="s">
        <v>123</v>
      </c>
      <c r="W1558" s="189" t="s">
        <v>124</v>
      </c>
      <c r="X1558" s="189" t="s">
        <v>19</v>
      </c>
      <c r="Y1558" s="189" t="s">
        <v>3172</v>
      </c>
      <c r="Z1558" s="0" t="n">
        <v>1</v>
      </c>
      <c r="AA1558" s="189" t="s">
        <v>880</v>
      </c>
    </row>
    <row r="1559" customFormat="false" ht="15" hidden="false" customHeight="false" outlineLevel="0" collapsed="false">
      <c r="A1559" s="0" t="n">
        <v>336</v>
      </c>
      <c r="B1559" s="191" t="n">
        <v>46191.536074857</v>
      </c>
      <c r="C1559" s="191" t="n">
        <v>46191.5434706904</v>
      </c>
      <c r="D1559" s="189" t="s">
        <v>2159</v>
      </c>
      <c r="E1559" s="189" t="s">
        <v>2160</v>
      </c>
      <c r="F1559" s="189" t="s">
        <v>2160</v>
      </c>
      <c r="G1559" s="189" t="s">
        <v>2161</v>
      </c>
      <c r="H1559" s="191" t="n">
        <v>46180</v>
      </c>
      <c r="I1559" s="189" t="s">
        <v>113</v>
      </c>
      <c r="J1559" s="189" t="s">
        <v>108</v>
      </c>
      <c r="K1559" s="189" t="s">
        <v>196</v>
      </c>
      <c r="L1559" s="189" t="s">
        <v>114</v>
      </c>
      <c r="M1559" s="189" t="s">
        <v>248</v>
      </c>
      <c r="N1559" s="189" t="s">
        <v>701</v>
      </c>
      <c r="O1559" s="189" t="s">
        <v>172</v>
      </c>
      <c r="P1559" s="189" t="s">
        <v>111</v>
      </c>
      <c r="Q1559" s="189" t="s">
        <v>112</v>
      </c>
      <c r="R1559" s="189" t="s">
        <v>24</v>
      </c>
      <c r="S1559" s="189" t="s">
        <v>120</v>
      </c>
      <c r="T1559" s="189" t="s">
        <v>121</v>
      </c>
      <c r="U1559" s="189" t="s">
        <v>2164</v>
      </c>
      <c r="V1559" s="189" t="s">
        <v>123</v>
      </c>
      <c r="W1559" s="189" t="s">
        <v>124</v>
      </c>
      <c r="X1559" s="189" t="s">
        <v>223</v>
      </c>
      <c r="Y1559" s="189" t="s">
        <v>3064</v>
      </c>
      <c r="Z1559" s="0" t="n">
        <v>1</v>
      </c>
      <c r="AA1559" s="189" t="s">
        <v>3121</v>
      </c>
    </row>
    <row r="1560" customFormat="false" ht="15" hidden="false" customHeight="false" outlineLevel="0" collapsed="false">
      <c r="A1560" s="0" t="n">
        <v>336</v>
      </c>
      <c r="B1560" s="191" t="n">
        <v>46191.536074857</v>
      </c>
      <c r="C1560" s="191" t="n">
        <v>46191.5434706904</v>
      </c>
      <c r="D1560" s="189" t="s">
        <v>2159</v>
      </c>
      <c r="E1560" s="189" t="s">
        <v>2160</v>
      </c>
      <c r="F1560" s="189" t="s">
        <v>2160</v>
      </c>
      <c r="G1560" s="189" t="s">
        <v>2161</v>
      </c>
      <c r="H1560" s="191" t="n">
        <v>46180</v>
      </c>
      <c r="I1560" s="189" t="s">
        <v>113</v>
      </c>
      <c r="J1560" s="189" t="s">
        <v>108</v>
      </c>
      <c r="K1560" s="189" t="s">
        <v>196</v>
      </c>
      <c r="L1560" s="189" t="s">
        <v>114</v>
      </c>
      <c r="M1560" s="189" t="s">
        <v>248</v>
      </c>
      <c r="N1560" s="189" t="s">
        <v>701</v>
      </c>
      <c r="O1560" s="189" t="s">
        <v>172</v>
      </c>
      <c r="P1560" s="189" t="s">
        <v>111</v>
      </c>
      <c r="Q1560" s="189" t="s">
        <v>112</v>
      </c>
      <c r="R1560" s="189" t="s">
        <v>24</v>
      </c>
      <c r="S1560" s="189" t="s">
        <v>120</v>
      </c>
      <c r="T1560" s="189" t="s">
        <v>121</v>
      </c>
      <c r="U1560" s="189" t="s">
        <v>2164</v>
      </c>
      <c r="V1560" s="189" t="s">
        <v>123</v>
      </c>
      <c r="W1560" s="189" t="s">
        <v>124</v>
      </c>
      <c r="X1560" s="189" t="s">
        <v>223</v>
      </c>
      <c r="Y1560" s="189" t="s">
        <v>3064</v>
      </c>
      <c r="Z1560" s="0" t="n">
        <v>2</v>
      </c>
      <c r="AA1560" s="189" t="s">
        <v>3103</v>
      </c>
    </row>
    <row r="1561" customFormat="false" ht="15" hidden="false" customHeight="false" outlineLevel="0" collapsed="false">
      <c r="A1561" s="0" t="n">
        <v>336</v>
      </c>
      <c r="B1561" s="191" t="n">
        <v>46191.536074857</v>
      </c>
      <c r="C1561" s="191" t="n">
        <v>46191.5434706904</v>
      </c>
      <c r="D1561" s="189" t="s">
        <v>2159</v>
      </c>
      <c r="E1561" s="189" t="s">
        <v>2160</v>
      </c>
      <c r="F1561" s="189" t="s">
        <v>2160</v>
      </c>
      <c r="G1561" s="189" t="s">
        <v>2161</v>
      </c>
      <c r="H1561" s="191" t="n">
        <v>46180</v>
      </c>
      <c r="I1561" s="189" t="s">
        <v>113</v>
      </c>
      <c r="J1561" s="189" t="s">
        <v>108</v>
      </c>
      <c r="K1561" s="189" t="s">
        <v>196</v>
      </c>
      <c r="L1561" s="189" t="s">
        <v>114</v>
      </c>
      <c r="M1561" s="189" t="s">
        <v>248</v>
      </c>
      <c r="N1561" s="189" t="s">
        <v>701</v>
      </c>
      <c r="O1561" s="189" t="s">
        <v>172</v>
      </c>
      <c r="P1561" s="189" t="s">
        <v>111</v>
      </c>
      <c r="Q1561" s="189" t="s">
        <v>112</v>
      </c>
      <c r="R1561" s="189" t="s">
        <v>24</v>
      </c>
      <c r="S1561" s="189" t="s">
        <v>120</v>
      </c>
      <c r="T1561" s="189" t="s">
        <v>121</v>
      </c>
      <c r="U1561" s="189" t="s">
        <v>2164</v>
      </c>
      <c r="V1561" s="189" t="s">
        <v>123</v>
      </c>
      <c r="W1561" s="189" t="s">
        <v>124</v>
      </c>
      <c r="X1561" s="189" t="s">
        <v>223</v>
      </c>
      <c r="Y1561" s="189" t="s">
        <v>3066</v>
      </c>
      <c r="Z1561" s="0" t="n">
        <v>1</v>
      </c>
      <c r="AA1561" s="189" t="s">
        <v>3213</v>
      </c>
    </row>
    <row r="1562" customFormat="false" ht="15" hidden="false" customHeight="false" outlineLevel="0" collapsed="false">
      <c r="A1562" s="0" t="n">
        <v>336</v>
      </c>
      <c r="B1562" s="191" t="n">
        <v>46191.536074857</v>
      </c>
      <c r="C1562" s="191" t="n">
        <v>46191.5434706904</v>
      </c>
      <c r="D1562" s="189" t="s">
        <v>2159</v>
      </c>
      <c r="E1562" s="189" t="s">
        <v>2160</v>
      </c>
      <c r="F1562" s="189" t="s">
        <v>2160</v>
      </c>
      <c r="G1562" s="189" t="s">
        <v>2161</v>
      </c>
      <c r="H1562" s="191" t="n">
        <v>46180</v>
      </c>
      <c r="I1562" s="189" t="s">
        <v>113</v>
      </c>
      <c r="J1562" s="189" t="s">
        <v>108</v>
      </c>
      <c r="K1562" s="189" t="s">
        <v>196</v>
      </c>
      <c r="L1562" s="189" t="s">
        <v>114</v>
      </c>
      <c r="M1562" s="189" t="s">
        <v>248</v>
      </c>
      <c r="N1562" s="189" t="s">
        <v>701</v>
      </c>
      <c r="O1562" s="189" t="s">
        <v>172</v>
      </c>
      <c r="P1562" s="189" t="s">
        <v>111</v>
      </c>
      <c r="Q1562" s="189" t="s">
        <v>112</v>
      </c>
      <c r="R1562" s="189" t="s">
        <v>24</v>
      </c>
      <c r="S1562" s="189" t="s">
        <v>120</v>
      </c>
      <c r="T1562" s="189" t="s">
        <v>121</v>
      </c>
      <c r="U1562" s="189" t="s">
        <v>2164</v>
      </c>
      <c r="V1562" s="189" t="s">
        <v>123</v>
      </c>
      <c r="W1562" s="189" t="s">
        <v>124</v>
      </c>
      <c r="X1562" s="189" t="s">
        <v>223</v>
      </c>
      <c r="Y1562" s="189" t="s">
        <v>3069</v>
      </c>
      <c r="Z1562" s="0" t="n">
        <v>1</v>
      </c>
      <c r="AA1562" s="189" t="s">
        <v>3106</v>
      </c>
    </row>
    <row r="1563" customFormat="false" ht="15" hidden="false" customHeight="false" outlineLevel="0" collapsed="false">
      <c r="A1563" s="0" t="n">
        <v>336</v>
      </c>
      <c r="B1563" s="191" t="n">
        <v>46191.536074857</v>
      </c>
      <c r="C1563" s="191" t="n">
        <v>46191.5434706904</v>
      </c>
      <c r="D1563" s="189" t="s">
        <v>2159</v>
      </c>
      <c r="E1563" s="189" t="s">
        <v>2160</v>
      </c>
      <c r="F1563" s="189" t="s">
        <v>2160</v>
      </c>
      <c r="G1563" s="189" t="s">
        <v>2161</v>
      </c>
      <c r="H1563" s="191" t="n">
        <v>46180</v>
      </c>
      <c r="I1563" s="189" t="s">
        <v>113</v>
      </c>
      <c r="J1563" s="189" t="s">
        <v>108</v>
      </c>
      <c r="K1563" s="189" t="s">
        <v>196</v>
      </c>
      <c r="L1563" s="189" t="s">
        <v>114</v>
      </c>
      <c r="M1563" s="189" t="s">
        <v>248</v>
      </c>
      <c r="N1563" s="189" t="s">
        <v>701</v>
      </c>
      <c r="O1563" s="189" t="s">
        <v>172</v>
      </c>
      <c r="P1563" s="189" t="s">
        <v>111</v>
      </c>
      <c r="Q1563" s="189" t="s">
        <v>112</v>
      </c>
      <c r="R1563" s="189" t="s">
        <v>24</v>
      </c>
      <c r="S1563" s="189" t="s">
        <v>120</v>
      </c>
      <c r="T1563" s="189" t="s">
        <v>121</v>
      </c>
      <c r="U1563" s="189" t="s">
        <v>2164</v>
      </c>
      <c r="V1563" s="189" t="s">
        <v>123</v>
      </c>
      <c r="W1563" s="189" t="s">
        <v>124</v>
      </c>
      <c r="X1563" s="189" t="s">
        <v>223</v>
      </c>
      <c r="Y1563" s="189" t="s">
        <v>3069</v>
      </c>
      <c r="Z1563" s="0" t="n">
        <v>2</v>
      </c>
      <c r="AA1563" s="189" t="s">
        <v>3150</v>
      </c>
    </row>
    <row r="1564" customFormat="false" ht="15" hidden="false" customHeight="false" outlineLevel="0" collapsed="false">
      <c r="A1564" s="0" t="n">
        <v>337</v>
      </c>
      <c r="B1564" s="191" t="n">
        <v>46182.284865421</v>
      </c>
      <c r="C1564" s="191" t="n">
        <v>46182.2987427358</v>
      </c>
      <c r="D1564" s="189" t="s">
        <v>2165</v>
      </c>
      <c r="E1564" s="189" t="s">
        <v>2166</v>
      </c>
      <c r="F1564" s="189" t="s">
        <v>2166</v>
      </c>
      <c r="G1564" s="189" t="s">
        <v>2167</v>
      </c>
      <c r="H1564" s="191" t="n">
        <v>46171</v>
      </c>
      <c r="I1564" s="189" t="s">
        <v>325</v>
      </c>
      <c r="J1564" s="189" t="s">
        <v>108</v>
      </c>
      <c r="K1564" s="189" t="s">
        <v>232</v>
      </c>
      <c r="L1564" s="189" t="s">
        <v>130</v>
      </c>
      <c r="M1564" s="189" t="s">
        <v>174</v>
      </c>
      <c r="N1564" s="189" t="s">
        <v>1094</v>
      </c>
      <c r="O1564" s="189" t="s">
        <v>157</v>
      </c>
      <c r="P1564" s="189" t="s">
        <v>111</v>
      </c>
      <c r="Q1564" s="189" t="s">
        <v>112</v>
      </c>
      <c r="R1564" s="189" t="s">
        <v>21</v>
      </c>
      <c r="S1564" s="189" t="s">
        <v>120</v>
      </c>
      <c r="T1564" s="189" t="s">
        <v>121</v>
      </c>
      <c r="U1564" s="189" t="s">
        <v>122</v>
      </c>
      <c r="V1564" s="189" t="s">
        <v>123</v>
      </c>
      <c r="W1564" s="189" t="s">
        <v>124</v>
      </c>
      <c r="X1564" s="189" t="s">
        <v>307</v>
      </c>
      <c r="Y1564" s="189" t="s">
        <v>3064</v>
      </c>
      <c r="Z1564" s="0" t="n">
        <v>1</v>
      </c>
      <c r="AA1564" s="189" t="s">
        <v>3130</v>
      </c>
    </row>
    <row r="1565" customFormat="false" ht="15" hidden="false" customHeight="false" outlineLevel="0" collapsed="false">
      <c r="A1565" s="0" t="n">
        <v>337</v>
      </c>
      <c r="B1565" s="191" t="n">
        <v>46182.284865421</v>
      </c>
      <c r="C1565" s="191" t="n">
        <v>46182.2987427358</v>
      </c>
      <c r="D1565" s="189" t="s">
        <v>2165</v>
      </c>
      <c r="E1565" s="189" t="s">
        <v>2166</v>
      </c>
      <c r="F1565" s="189" t="s">
        <v>2166</v>
      </c>
      <c r="G1565" s="189" t="s">
        <v>2167</v>
      </c>
      <c r="H1565" s="191" t="n">
        <v>46171</v>
      </c>
      <c r="I1565" s="189" t="s">
        <v>325</v>
      </c>
      <c r="J1565" s="189" t="s">
        <v>108</v>
      </c>
      <c r="K1565" s="189" t="s">
        <v>232</v>
      </c>
      <c r="L1565" s="189" t="s">
        <v>130</v>
      </c>
      <c r="M1565" s="189" t="s">
        <v>174</v>
      </c>
      <c r="N1565" s="189" t="s">
        <v>1094</v>
      </c>
      <c r="O1565" s="189" t="s">
        <v>157</v>
      </c>
      <c r="P1565" s="189" t="s">
        <v>111</v>
      </c>
      <c r="Q1565" s="189" t="s">
        <v>112</v>
      </c>
      <c r="R1565" s="189" t="s">
        <v>21</v>
      </c>
      <c r="S1565" s="189" t="s">
        <v>120</v>
      </c>
      <c r="T1565" s="189" t="s">
        <v>121</v>
      </c>
      <c r="U1565" s="189" t="s">
        <v>122</v>
      </c>
      <c r="V1565" s="189" t="s">
        <v>123</v>
      </c>
      <c r="W1565" s="189" t="s">
        <v>124</v>
      </c>
      <c r="X1565" s="189" t="s">
        <v>307</v>
      </c>
      <c r="Y1565" s="189" t="s">
        <v>3064</v>
      </c>
      <c r="Z1565" s="0" t="n">
        <v>2</v>
      </c>
      <c r="AA1565" s="189" t="s">
        <v>3129</v>
      </c>
    </row>
    <row r="1566" customFormat="false" ht="15" hidden="false" customHeight="false" outlineLevel="0" collapsed="false">
      <c r="A1566" s="0" t="n">
        <v>337</v>
      </c>
      <c r="B1566" s="191" t="n">
        <v>46182.284865421</v>
      </c>
      <c r="C1566" s="191" t="n">
        <v>46182.2987427358</v>
      </c>
      <c r="D1566" s="189" t="s">
        <v>2165</v>
      </c>
      <c r="E1566" s="189" t="s">
        <v>2166</v>
      </c>
      <c r="F1566" s="189" t="s">
        <v>2166</v>
      </c>
      <c r="G1566" s="189" t="s">
        <v>2167</v>
      </c>
      <c r="H1566" s="191" t="n">
        <v>46171</v>
      </c>
      <c r="I1566" s="189" t="s">
        <v>325</v>
      </c>
      <c r="J1566" s="189" t="s">
        <v>108</v>
      </c>
      <c r="K1566" s="189" t="s">
        <v>232</v>
      </c>
      <c r="L1566" s="189" t="s">
        <v>130</v>
      </c>
      <c r="M1566" s="189" t="s">
        <v>174</v>
      </c>
      <c r="N1566" s="189" t="s">
        <v>1094</v>
      </c>
      <c r="O1566" s="189" t="s">
        <v>157</v>
      </c>
      <c r="P1566" s="189" t="s">
        <v>111</v>
      </c>
      <c r="Q1566" s="189" t="s">
        <v>112</v>
      </c>
      <c r="R1566" s="189" t="s">
        <v>21</v>
      </c>
      <c r="S1566" s="189" t="s">
        <v>120</v>
      </c>
      <c r="T1566" s="189" t="s">
        <v>121</v>
      </c>
      <c r="U1566" s="189" t="s">
        <v>122</v>
      </c>
      <c r="V1566" s="189" t="s">
        <v>123</v>
      </c>
      <c r="W1566" s="189" t="s">
        <v>124</v>
      </c>
      <c r="X1566" s="189" t="s">
        <v>307</v>
      </c>
      <c r="Y1566" s="189" t="s">
        <v>3066</v>
      </c>
      <c r="Z1566" s="0" t="n">
        <v>1</v>
      </c>
      <c r="AA1566" s="189" t="s">
        <v>3182</v>
      </c>
    </row>
    <row r="1567" customFormat="false" ht="15" hidden="false" customHeight="false" outlineLevel="0" collapsed="false">
      <c r="A1567" s="0" t="n">
        <v>337</v>
      </c>
      <c r="B1567" s="191" t="n">
        <v>46182.284865421</v>
      </c>
      <c r="C1567" s="191" t="n">
        <v>46182.2987427358</v>
      </c>
      <c r="D1567" s="189" t="s">
        <v>2165</v>
      </c>
      <c r="E1567" s="189" t="s">
        <v>2166</v>
      </c>
      <c r="F1567" s="189" t="s">
        <v>2166</v>
      </c>
      <c r="G1567" s="189" t="s">
        <v>2167</v>
      </c>
      <c r="H1567" s="191" t="n">
        <v>46171</v>
      </c>
      <c r="I1567" s="189" t="s">
        <v>325</v>
      </c>
      <c r="J1567" s="189" t="s">
        <v>108</v>
      </c>
      <c r="K1567" s="189" t="s">
        <v>232</v>
      </c>
      <c r="L1567" s="189" t="s">
        <v>130</v>
      </c>
      <c r="M1567" s="189" t="s">
        <v>174</v>
      </c>
      <c r="N1567" s="189" t="s">
        <v>1094</v>
      </c>
      <c r="O1567" s="189" t="s">
        <v>157</v>
      </c>
      <c r="P1567" s="189" t="s">
        <v>111</v>
      </c>
      <c r="Q1567" s="189" t="s">
        <v>112</v>
      </c>
      <c r="R1567" s="189" t="s">
        <v>21</v>
      </c>
      <c r="S1567" s="189" t="s">
        <v>120</v>
      </c>
      <c r="T1567" s="189" t="s">
        <v>121</v>
      </c>
      <c r="U1567" s="189" t="s">
        <v>122</v>
      </c>
      <c r="V1567" s="189" t="s">
        <v>123</v>
      </c>
      <c r="W1567" s="189" t="s">
        <v>124</v>
      </c>
      <c r="X1567" s="189" t="s">
        <v>307</v>
      </c>
      <c r="Y1567" s="189" t="s">
        <v>3066</v>
      </c>
      <c r="Z1567" s="0" t="n">
        <v>2</v>
      </c>
      <c r="AA1567" s="189" t="s">
        <v>1174</v>
      </c>
    </row>
    <row r="1568" customFormat="false" ht="15" hidden="false" customHeight="false" outlineLevel="0" collapsed="false">
      <c r="A1568" s="0" t="n">
        <v>337</v>
      </c>
      <c r="B1568" s="191" t="n">
        <v>46182.284865421</v>
      </c>
      <c r="C1568" s="191" t="n">
        <v>46182.2987427358</v>
      </c>
      <c r="D1568" s="189" t="s">
        <v>2165</v>
      </c>
      <c r="E1568" s="189" t="s">
        <v>2166</v>
      </c>
      <c r="F1568" s="189" t="s">
        <v>2166</v>
      </c>
      <c r="G1568" s="189" t="s">
        <v>2167</v>
      </c>
      <c r="H1568" s="191" t="n">
        <v>46171</v>
      </c>
      <c r="I1568" s="189" t="s">
        <v>325</v>
      </c>
      <c r="J1568" s="189" t="s">
        <v>108</v>
      </c>
      <c r="K1568" s="189" t="s">
        <v>232</v>
      </c>
      <c r="L1568" s="189" t="s">
        <v>130</v>
      </c>
      <c r="M1568" s="189" t="s">
        <v>174</v>
      </c>
      <c r="N1568" s="189" t="s">
        <v>1094</v>
      </c>
      <c r="O1568" s="189" t="s">
        <v>157</v>
      </c>
      <c r="P1568" s="189" t="s">
        <v>111</v>
      </c>
      <c r="Q1568" s="189" t="s">
        <v>112</v>
      </c>
      <c r="R1568" s="189" t="s">
        <v>21</v>
      </c>
      <c r="S1568" s="189" t="s">
        <v>120</v>
      </c>
      <c r="T1568" s="189" t="s">
        <v>121</v>
      </c>
      <c r="U1568" s="189" t="s">
        <v>122</v>
      </c>
      <c r="V1568" s="189" t="s">
        <v>123</v>
      </c>
      <c r="W1568" s="189" t="s">
        <v>124</v>
      </c>
      <c r="X1568" s="189" t="s">
        <v>307</v>
      </c>
      <c r="Y1568" s="189" t="s">
        <v>3069</v>
      </c>
      <c r="Z1568" s="0" t="n">
        <v>1</v>
      </c>
      <c r="AA1568" s="189" t="s">
        <v>3133</v>
      </c>
    </row>
    <row r="1569" customFormat="false" ht="15" hidden="false" customHeight="false" outlineLevel="0" collapsed="false">
      <c r="A1569" s="0" t="n">
        <v>337</v>
      </c>
      <c r="B1569" s="191" t="n">
        <v>46182.284865421</v>
      </c>
      <c r="C1569" s="191" t="n">
        <v>46182.2987427358</v>
      </c>
      <c r="D1569" s="189" t="s">
        <v>2165</v>
      </c>
      <c r="E1569" s="189" t="s">
        <v>2166</v>
      </c>
      <c r="F1569" s="189" t="s">
        <v>2166</v>
      </c>
      <c r="G1569" s="189" t="s">
        <v>2167</v>
      </c>
      <c r="H1569" s="191" t="n">
        <v>46171</v>
      </c>
      <c r="I1569" s="189" t="s">
        <v>325</v>
      </c>
      <c r="J1569" s="189" t="s">
        <v>108</v>
      </c>
      <c r="K1569" s="189" t="s">
        <v>232</v>
      </c>
      <c r="L1569" s="189" t="s">
        <v>130</v>
      </c>
      <c r="M1569" s="189" t="s">
        <v>174</v>
      </c>
      <c r="N1569" s="189" t="s">
        <v>1094</v>
      </c>
      <c r="O1569" s="189" t="s">
        <v>157</v>
      </c>
      <c r="P1569" s="189" t="s">
        <v>111</v>
      </c>
      <c r="Q1569" s="189" t="s">
        <v>112</v>
      </c>
      <c r="R1569" s="189" t="s">
        <v>21</v>
      </c>
      <c r="S1569" s="189" t="s">
        <v>120</v>
      </c>
      <c r="T1569" s="189" t="s">
        <v>121</v>
      </c>
      <c r="U1569" s="189" t="s">
        <v>122</v>
      </c>
      <c r="V1569" s="189" t="s">
        <v>123</v>
      </c>
      <c r="W1569" s="189" t="s">
        <v>124</v>
      </c>
      <c r="X1569" s="189" t="s">
        <v>307</v>
      </c>
      <c r="Y1569" s="189" t="s">
        <v>3069</v>
      </c>
      <c r="Z1569" s="0" t="n">
        <v>2</v>
      </c>
      <c r="AA1569" s="189" t="s">
        <v>3134</v>
      </c>
    </row>
    <row r="1570" customFormat="false" ht="15" hidden="false" customHeight="false" outlineLevel="0" collapsed="false">
      <c r="A1570" s="0" t="n">
        <v>338</v>
      </c>
      <c r="B1570" s="191" t="n">
        <v>46124.7523156257</v>
      </c>
      <c r="C1570" s="191" t="n">
        <v>46124.7588549775</v>
      </c>
      <c r="D1570" s="189" t="s">
        <v>2169</v>
      </c>
      <c r="E1570" s="189" t="s">
        <v>2170</v>
      </c>
      <c r="F1570" s="189" t="s">
        <v>2170</v>
      </c>
      <c r="G1570" s="189" t="s">
        <v>2171</v>
      </c>
      <c r="H1570" s="191" t="n">
        <v>46121</v>
      </c>
      <c r="I1570" s="189" t="s">
        <v>113</v>
      </c>
      <c r="J1570" s="189" t="s">
        <v>108</v>
      </c>
      <c r="K1570" s="189" t="s">
        <v>173</v>
      </c>
      <c r="L1570" s="189" t="s">
        <v>197</v>
      </c>
      <c r="M1570" s="189" t="s">
        <v>543</v>
      </c>
      <c r="N1570" s="189" t="s">
        <v>115</v>
      </c>
      <c r="O1570" s="189" t="s">
        <v>107</v>
      </c>
      <c r="P1570" s="189" t="s">
        <v>111</v>
      </c>
      <c r="Q1570" s="189" t="s">
        <v>112</v>
      </c>
      <c r="R1570" s="189" t="s">
        <v>22</v>
      </c>
      <c r="S1570" s="189" t="s">
        <v>152</v>
      </c>
      <c r="T1570" s="189" t="s">
        <v>121</v>
      </c>
      <c r="U1570" s="189" t="s">
        <v>2172</v>
      </c>
      <c r="V1570" s="189" t="s">
        <v>167</v>
      </c>
      <c r="W1570" s="189" t="s">
        <v>124</v>
      </c>
      <c r="X1570" s="189" t="s">
        <v>116</v>
      </c>
      <c r="Y1570" s="189" t="s">
        <v>3064</v>
      </c>
      <c r="Z1570" s="0" t="n">
        <v>1</v>
      </c>
      <c r="AA1570" s="189" t="s">
        <v>3081</v>
      </c>
    </row>
    <row r="1571" customFormat="false" ht="15" hidden="false" customHeight="false" outlineLevel="0" collapsed="false">
      <c r="A1571" s="0" t="n">
        <v>338</v>
      </c>
      <c r="B1571" s="191" t="n">
        <v>46124.7523156257</v>
      </c>
      <c r="C1571" s="191" t="n">
        <v>46124.7588549775</v>
      </c>
      <c r="D1571" s="189" t="s">
        <v>2169</v>
      </c>
      <c r="E1571" s="189" t="s">
        <v>2170</v>
      </c>
      <c r="F1571" s="189" t="s">
        <v>2170</v>
      </c>
      <c r="G1571" s="189" t="s">
        <v>2171</v>
      </c>
      <c r="H1571" s="191" t="n">
        <v>46121</v>
      </c>
      <c r="I1571" s="189" t="s">
        <v>113</v>
      </c>
      <c r="J1571" s="189" t="s">
        <v>108</v>
      </c>
      <c r="K1571" s="189" t="s">
        <v>173</v>
      </c>
      <c r="L1571" s="189" t="s">
        <v>197</v>
      </c>
      <c r="M1571" s="189" t="s">
        <v>543</v>
      </c>
      <c r="N1571" s="189" t="s">
        <v>115</v>
      </c>
      <c r="O1571" s="189" t="s">
        <v>107</v>
      </c>
      <c r="P1571" s="189" t="s">
        <v>111</v>
      </c>
      <c r="Q1571" s="189" t="s">
        <v>112</v>
      </c>
      <c r="R1571" s="189" t="s">
        <v>22</v>
      </c>
      <c r="S1571" s="189" t="s">
        <v>152</v>
      </c>
      <c r="T1571" s="189" t="s">
        <v>121</v>
      </c>
      <c r="U1571" s="189" t="s">
        <v>2172</v>
      </c>
      <c r="V1571" s="189" t="s">
        <v>167</v>
      </c>
      <c r="W1571" s="189" t="s">
        <v>124</v>
      </c>
      <c r="X1571" s="189" t="s">
        <v>116</v>
      </c>
      <c r="Y1571" s="189" t="s">
        <v>3066</v>
      </c>
      <c r="Z1571" s="0" t="n">
        <v>1</v>
      </c>
      <c r="AA1571" s="189" t="s">
        <v>3067</v>
      </c>
    </row>
    <row r="1572" customFormat="false" ht="15" hidden="false" customHeight="false" outlineLevel="0" collapsed="false">
      <c r="A1572" s="0" t="n">
        <v>338</v>
      </c>
      <c r="B1572" s="191" t="n">
        <v>46124.7523156257</v>
      </c>
      <c r="C1572" s="191" t="n">
        <v>46124.7588549775</v>
      </c>
      <c r="D1572" s="189" t="s">
        <v>2169</v>
      </c>
      <c r="E1572" s="189" t="s">
        <v>2170</v>
      </c>
      <c r="F1572" s="189" t="s">
        <v>2170</v>
      </c>
      <c r="G1572" s="189" t="s">
        <v>2171</v>
      </c>
      <c r="H1572" s="191" t="n">
        <v>46121</v>
      </c>
      <c r="I1572" s="189" t="s">
        <v>113</v>
      </c>
      <c r="J1572" s="189" t="s">
        <v>108</v>
      </c>
      <c r="K1572" s="189" t="s">
        <v>173</v>
      </c>
      <c r="L1572" s="189" t="s">
        <v>197</v>
      </c>
      <c r="M1572" s="189" t="s">
        <v>543</v>
      </c>
      <c r="N1572" s="189" t="s">
        <v>115</v>
      </c>
      <c r="O1572" s="189" t="s">
        <v>107</v>
      </c>
      <c r="P1572" s="189" t="s">
        <v>111</v>
      </c>
      <c r="Q1572" s="189" t="s">
        <v>112</v>
      </c>
      <c r="R1572" s="189" t="s">
        <v>22</v>
      </c>
      <c r="S1572" s="189" t="s">
        <v>152</v>
      </c>
      <c r="T1572" s="189" t="s">
        <v>121</v>
      </c>
      <c r="U1572" s="189" t="s">
        <v>2172</v>
      </c>
      <c r="V1572" s="189" t="s">
        <v>167</v>
      </c>
      <c r="W1572" s="189" t="s">
        <v>124</v>
      </c>
      <c r="X1572" s="189" t="s">
        <v>116</v>
      </c>
      <c r="Y1572" s="189" t="s">
        <v>3066</v>
      </c>
      <c r="Z1572" s="0" t="n">
        <v>2</v>
      </c>
      <c r="AA1572" s="189" t="s">
        <v>3211</v>
      </c>
    </row>
    <row r="1573" customFormat="false" ht="15" hidden="false" customHeight="false" outlineLevel="0" collapsed="false">
      <c r="A1573" s="0" t="n">
        <v>338</v>
      </c>
      <c r="B1573" s="191" t="n">
        <v>46124.7523156257</v>
      </c>
      <c r="C1573" s="191" t="n">
        <v>46124.7588549775</v>
      </c>
      <c r="D1573" s="189" t="s">
        <v>2169</v>
      </c>
      <c r="E1573" s="189" t="s">
        <v>2170</v>
      </c>
      <c r="F1573" s="189" t="s">
        <v>2170</v>
      </c>
      <c r="G1573" s="189" t="s">
        <v>2171</v>
      </c>
      <c r="H1573" s="191" t="n">
        <v>46121</v>
      </c>
      <c r="I1573" s="189" t="s">
        <v>113</v>
      </c>
      <c r="J1573" s="189" t="s">
        <v>108</v>
      </c>
      <c r="K1573" s="189" t="s">
        <v>173</v>
      </c>
      <c r="L1573" s="189" t="s">
        <v>197</v>
      </c>
      <c r="M1573" s="189" t="s">
        <v>543</v>
      </c>
      <c r="N1573" s="189" t="s">
        <v>115</v>
      </c>
      <c r="O1573" s="189" t="s">
        <v>107</v>
      </c>
      <c r="P1573" s="189" t="s">
        <v>111</v>
      </c>
      <c r="Q1573" s="189" t="s">
        <v>112</v>
      </c>
      <c r="R1573" s="189" t="s">
        <v>22</v>
      </c>
      <c r="S1573" s="189" t="s">
        <v>152</v>
      </c>
      <c r="T1573" s="189" t="s">
        <v>121</v>
      </c>
      <c r="U1573" s="189" t="s">
        <v>2172</v>
      </c>
      <c r="V1573" s="189" t="s">
        <v>167</v>
      </c>
      <c r="W1573" s="189" t="s">
        <v>124</v>
      </c>
      <c r="X1573" s="189" t="s">
        <v>116</v>
      </c>
      <c r="Y1573" s="189" t="s">
        <v>3069</v>
      </c>
      <c r="Z1573" s="0" t="n">
        <v>1</v>
      </c>
      <c r="AA1573" s="189" t="s">
        <v>3140</v>
      </c>
    </row>
    <row r="1574" customFormat="false" ht="15" hidden="false" customHeight="false" outlineLevel="0" collapsed="false">
      <c r="A1574" s="0" t="n">
        <v>338</v>
      </c>
      <c r="B1574" s="191" t="n">
        <v>46124.7523156257</v>
      </c>
      <c r="C1574" s="191" t="n">
        <v>46124.7588549775</v>
      </c>
      <c r="D1574" s="189" t="s">
        <v>2169</v>
      </c>
      <c r="E1574" s="189" t="s">
        <v>2170</v>
      </c>
      <c r="F1574" s="189" t="s">
        <v>2170</v>
      </c>
      <c r="G1574" s="189" t="s">
        <v>2171</v>
      </c>
      <c r="H1574" s="191" t="n">
        <v>46121</v>
      </c>
      <c r="I1574" s="189" t="s">
        <v>113</v>
      </c>
      <c r="J1574" s="189" t="s">
        <v>108</v>
      </c>
      <c r="K1574" s="189" t="s">
        <v>173</v>
      </c>
      <c r="L1574" s="189" t="s">
        <v>197</v>
      </c>
      <c r="M1574" s="189" t="s">
        <v>543</v>
      </c>
      <c r="N1574" s="189" t="s">
        <v>115</v>
      </c>
      <c r="O1574" s="189" t="s">
        <v>107</v>
      </c>
      <c r="P1574" s="189" t="s">
        <v>111</v>
      </c>
      <c r="Q1574" s="189" t="s">
        <v>112</v>
      </c>
      <c r="R1574" s="189" t="s">
        <v>22</v>
      </c>
      <c r="S1574" s="189" t="s">
        <v>152</v>
      </c>
      <c r="T1574" s="189" t="s">
        <v>121</v>
      </c>
      <c r="U1574" s="189" t="s">
        <v>2172</v>
      </c>
      <c r="V1574" s="189" t="s">
        <v>167</v>
      </c>
      <c r="W1574" s="189" t="s">
        <v>124</v>
      </c>
      <c r="X1574" s="189" t="s">
        <v>116</v>
      </c>
      <c r="Y1574" s="189" t="s">
        <v>3069</v>
      </c>
      <c r="Z1574" s="0" t="n">
        <v>2</v>
      </c>
      <c r="AA1574" s="189" t="s">
        <v>122</v>
      </c>
    </row>
    <row r="1575" customFormat="false" ht="15" hidden="false" customHeight="false" outlineLevel="0" collapsed="false">
      <c r="A1575" s="0" t="n">
        <v>339</v>
      </c>
      <c r="B1575" s="191" t="n">
        <v>46124.5889111255</v>
      </c>
      <c r="C1575" s="191" t="n">
        <v>46124.596492144</v>
      </c>
      <c r="D1575" s="189" t="s">
        <v>2173</v>
      </c>
      <c r="E1575" s="189" t="s">
        <v>2174</v>
      </c>
      <c r="F1575" s="189" t="s">
        <v>2174</v>
      </c>
      <c r="G1575" s="189" t="s">
        <v>2175</v>
      </c>
      <c r="H1575" s="191" t="n">
        <v>46119</v>
      </c>
      <c r="I1575" s="189" t="s">
        <v>113</v>
      </c>
      <c r="J1575" s="189" t="s">
        <v>295</v>
      </c>
      <c r="K1575" s="189" t="s">
        <v>364</v>
      </c>
      <c r="L1575" s="189" t="s">
        <v>286</v>
      </c>
      <c r="M1575" s="189" t="s">
        <v>477</v>
      </c>
      <c r="N1575" s="189" t="s">
        <v>560</v>
      </c>
      <c r="O1575" s="189" t="s">
        <v>244</v>
      </c>
      <c r="P1575" s="189" t="s">
        <v>111</v>
      </c>
      <c r="Q1575" s="189" t="s">
        <v>112</v>
      </c>
      <c r="R1575" s="189" t="s">
        <v>22</v>
      </c>
      <c r="S1575" s="189" t="s">
        <v>227</v>
      </c>
      <c r="T1575" s="189" t="s">
        <v>352</v>
      </c>
      <c r="V1575" s="189" t="s">
        <v>123</v>
      </c>
      <c r="W1575" s="189" t="s">
        <v>124</v>
      </c>
      <c r="X1575" s="189" t="s">
        <v>381</v>
      </c>
      <c r="Y1575" s="189" t="s">
        <v>3064</v>
      </c>
      <c r="Z1575" s="0" t="n">
        <v>1</v>
      </c>
      <c r="AA1575" s="189" t="s">
        <v>3249</v>
      </c>
    </row>
    <row r="1576" customFormat="false" ht="15" hidden="false" customHeight="false" outlineLevel="0" collapsed="false">
      <c r="A1576" s="0" t="n">
        <v>339</v>
      </c>
      <c r="B1576" s="191" t="n">
        <v>46124.5889111255</v>
      </c>
      <c r="C1576" s="191" t="n">
        <v>46124.596492144</v>
      </c>
      <c r="D1576" s="189" t="s">
        <v>2173</v>
      </c>
      <c r="E1576" s="189" t="s">
        <v>2174</v>
      </c>
      <c r="F1576" s="189" t="s">
        <v>2174</v>
      </c>
      <c r="G1576" s="189" t="s">
        <v>2175</v>
      </c>
      <c r="H1576" s="191" t="n">
        <v>46119</v>
      </c>
      <c r="I1576" s="189" t="s">
        <v>113</v>
      </c>
      <c r="J1576" s="189" t="s">
        <v>295</v>
      </c>
      <c r="K1576" s="189" t="s">
        <v>364</v>
      </c>
      <c r="L1576" s="189" t="s">
        <v>286</v>
      </c>
      <c r="M1576" s="189" t="s">
        <v>477</v>
      </c>
      <c r="N1576" s="189" t="s">
        <v>560</v>
      </c>
      <c r="O1576" s="189" t="s">
        <v>244</v>
      </c>
      <c r="P1576" s="189" t="s">
        <v>111</v>
      </c>
      <c r="Q1576" s="189" t="s">
        <v>112</v>
      </c>
      <c r="R1576" s="189" t="s">
        <v>22</v>
      </c>
      <c r="S1576" s="189" t="s">
        <v>227</v>
      </c>
      <c r="T1576" s="189" t="s">
        <v>352</v>
      </c>
      <c r="V1576" s="189" t="s">
        <v>123</v>
      </c>
      <c r="W1576" s="189" t="s">
        <v>124</v>
      </c>
      <c r="X1576" s="189" t="s">
        <v>381</v>
      </c>
      <c r="Y1576" s="189" t="s">
        <v>3064</v>
      </c>
      <c r="Z1576" s="0" t="n">
        <v>2</v>
      </c>
      <c r="AA1576" s="189" t="s">
        <v>3233</v>
      </c>
    </row>
    <row r="1577" customFormat="false" ht="15" hidden="false" customHeight="false" outlineLevel="0" collapsed="false">
      <c r="A1577" s="0" t="n">
        <v>339</v>
      </c>
      <c r="B1577" s="191" t="n">
        <v>46124.5889111255</v>
      </c>
      <c r="C1577" s="191" t="n">
        <v>46124.596492144</v>
      </c>
      <c r="D1577" s="189" t="s">
        <v>2173</v>
      </c>
      <c r="E1577" s="189" t="s">
        <v>2174</v>
      </c>
      <c r="F1577" s="189" t="s">
        <v>2174</v>
      </c>
      <c r="G1577" s="189" t="s">
        <v>2175</v>
      </c>
      <c r="H1577" s="191" t="n">
        <v>46119</v>
      </c>
      <c r="I1577" s="189" t="s">
        <v>113</v>
      </c>
      <c r="J1577" s="189" t="s">
        <v>295</v>
      </c>
      <c r="K1577" s="189" t="s">
        <v>364</v>
      </c>
      <c r="L1577" s="189" t="s">
        <v>286</v>
      </c>
      <c r="M1577" s="189" t="s">
        <v>477</v>
      </c>
      <c r="N1577" s="189" t="s">
        <v>560</v>
      </c>
      <c r="O1577" s="189" t="s">
        <v>244</v>
      </c>
      <c r="P1577" s="189" t="s">
        <v>111</v>
      </c>
      <c r="Q1577" s="189" t="s">
        <v>112</v>
      </c>
      <c r="R1577" s="189" t="s">
        <v>22</v>
      </c>
      <c r="S1577" s="189" t="s">
        <v>227</v>
      </c>
      <c r="T1577" s="189" t="s">
        <v>352</v>
      </c>
      <c r="V1577" s="189" t="s">
        <v>123</v>
      </c>
      <c r="W1577" s="189" t="s">
        <v>124</v>
      </c>
      <c r="X1577" s="189" t="s">
        <v>381</v>
      </c>
      <c r="Y1577" s="189" t="s">
        <v>3064</v>
      </c>
      <c r="Z1577" s="0" t="n">
        <v>3</v>
      </c>
      <c r="AA1577" s="189" t="s">
        <v>3180</v>
      </c>
    </row>
    <row r="1578" customFormat="false" ht="15" hidden="false" customHeight="false" outlineLevel="0" collapsed="false">
      <c r="A1578" s="0" t="n">
        <v>339</v>
      </c>
      <c r="B1578" s="191" t="n">
        <v>46124.5889111255</v>
      </c>
      <c r="C1578" s="191" t="n">
        <v>46124.596492144</v>
      </c>
      <c r="D1578" s="189" t="s">
        <v>2173</v>
      </c>
      <c r="E1578" s="189" t="s">
        <v>2174</v>
      </c>
      <c r="F1578" s="189" t="s">
        <v>2174</v>
      </c>
      <c r="G1578" s="189" t="s">
        <v>2175</v>
      </c>
      <c r="H1578" s="191" t="n">
        <v>46119</v>
      </c>
      <c r="I1578" s="189" t="s">
        <v>113</v>
      </c>
      <c r="J1578" s="189" t="s">
        <v>295</v>
      </c>
      <c r="K1578" s="189" t="s">
        <v>364</v>
      </c>
      <c r="L1578" s="189" t="s">
        <v>286</v>
      </c>
      <c r="M1578" s="189" t="s">
        <v>477</v>
      </c>
      <c r="N1578" s="189" t="s">
        <v>560</v>
      </c>
      <c r="O1578" s="189" t="s">
        <v>244</v>
      </c>
      <c r="P1578" s="189" t="s">
        <v>111</v>
      </c>
      <c r="Q1578" s="189" t="s">
        <v>112</v>
      </c>
      <c r="R1578" s="189" t="s">
        <v>22</v>
      </c>
      <c r="S1578" s="189" t="s">
        <v>227</v>
      </c>
      <c r="T1578" s="189" t="s">
        <v>352</v>
      </c>
      <c r="V1578" s="189" t="s">
        <v>123</v>
      </c>
      <c r="W1578" s="189" t="s">
        <v>124</v>
      </c>
      <c r="X1578" s="189" t="s">
        <v>381</v>
      </c>
      <c r="Y1578" s="189" t="s">
        <v>3066</v>
      </c>
      <c r="Z1578" s="0" t="n">
        <v>1</v>
      </c>
      <c r="AA1578" s="189" t="s">
        <v>3250</v>
      </c>
    </row>
    <row r="1579" customFormat="false" ht="15" hidden="false" customHeight="false" outlineLevel="0" collapsed="false">
      <c r="A1579" s="0" t="n">
        <v>339</v>
      </c>
      <c r="B1579" s="191" t="n">
        <v>46124.5889111255</v>
      </c>
      <c r="C1579" s="191" t="n">
        <v>46124.596492144</v>
      </c>
      <c r="D1579" s="189" t="s">
        <v>2173</v>
      </c>
      <c r="E1579" s="189" t="s">
        <v>2174</v>
      </c>
      <c r="F1579" s="189" t="s">
        <v>2174</v>
      </c>
      <c r="G1579" s="189" t="s">
        <v>2175</v>
      </c>
      <c r="H1579" s="191" t="n">
        <v>46119</v>
      </c>
      <c r="I1579" s="189" t="s">
        <v>113</v>
      </c>
      <c r="J1579" s="189" t="s">
        <v>295</v>
      </c>
      <c r="K1579" s="189" t="s">
        <v>364</v>
      </c>
      <c r="L1579" s="189" t="s">
        <v>286</v>
      </c>
      <c r="M1579" s="189" t="s">
        <v>477</v>
      </c>
      <c r="N1579" s="189" t="s">
        <v>560</v>
      </c>
      <c r="O1579" s="189" t="s">
        <v>244</v>
      </c>
      <c r="P1579" s="189" t="s">
        <v>111</v>
      </c>
      <c r="Q1579" s="189" t="s">
        <v>112</v>
      </c>
      <c r="R1579" s="189" t="s">
        <v>22</v>
      </c>
      <c r="S1579" s="189" t="s">
        <v>227</v>
      </c>
      <c r="T1579" s="189" t="s">
        <v>352</v>
      </c>
      <c r="V1579" s="189" t="s">
        <v>123</v>
      </c>
      <c r="W1579" s="189" t="s">
        <v>124</v>
      </c>
      <c r="X1579" s="189" t="s">
        <v>381</v>
      </c>
      <c r="Y1579" s="189" t="s">
        <v>3069</v>
      </c>
      <c r="Z1579" s="0" t="n">
        <v>1</v>
      </c>
      <c r="AA1579" s="189" t="s">
        <v>3181</v>
      </c>
    </row>
    <row r="1580" customFormat="false" ht="15" hidden="false" customHeight="false" outlineLevel="0" collapsed="false">
      <c r="A1580" s="0" t="n">
        <v>339</v>
      </c>
      <c r="B1580" s="191" t="n">
        <v>46124.5889111255</v>
      </c>
      <c r="C1580" s="191" t="n">
        <v>46124.596492144</v>
      </c>
      <c r="D1580" s="189" t="s">
        <v>2173</v>
      </c>
      <c r="E1580" s="189" t="s">
        <v>2174</v>
      </c>
      <c r="F1580" s="189" t="s">
        <v>2174</v>
      </c>
      <c r="G1580" s="189" t="s">
        <v>2175</v>
      </c>
      <c r="H1580" s="191" t="n">
        <v>46119</v>
      </c>
      <c r="I1580" s="189" t="s">
        <v>113</v>
      </c>
      <c r="J1580" s="189" t="s">
        <v>295</v>
      </c>
      <c r="K1580" s="189" t="s">
        <v>364</v>
      </c>
      <c r="L1580" s="189" t="s">
        <v>286</v>
      </c>
      <c r="M1580" s="189" t="s">
        <v>477</v>
      </c>
      <c r="N1580" s="189" t="s">
        <v>560</v>
      </c>
      <c r="O1580" s="189" t="s">
        <v>244</v>
      </c>
      <c r="P1580" s="189" t="s">
        <v>111</v>
      </c>
      <c r="Q1580" s="189" t="s">
        <v>112</v>
      </c>
      <c r="R1580" s="189" t="s">
        <v>22</v>
      </c>
      <c r="S1580" s="189" t="s">
        <v>227</v>
      </c>
      <c r="T1580" s="189" t="s">
        <v>352</v>
      </c>
      <c r="V1580" s="189" t="s">
        <v>123</v>
      </c>
      <c r="W1580" s="189" t="s">
        <v>124</v>
      </c>
      <c r="X1580" s="189" t="s">
        <v>381</v>
      </c>
      <c r="Y1580" s="189" t="s">
        <v>3069</v>
      </c>
      <c r="Z1580" s="0" t="n">
        <v>2</v>
      </c>
      <c r="AA1580" s="189" t="s">
        <v>3163</v>
      </c>
    </row>
    <row r="1581" customFormat="false" ht="15" hidden="false" customHeight="false" outlineLevel="0" collapsed="false">
      <c r="A1581" s="0" t="n">
        <v>340</v>
      </c>
      <c r="B1581" s="191" t="n">
        <v>46117.2626257014</v>
      </c>
      <c r="C1581" s="191" t="n">
        <v>46117.2739914421</v>
      </c>
      <c r="D1581" s="189" t="s">
        <v>2178</v>
      </c>
      <c r="E1581" s="189" t="s">
        <v>2179</v>
      </c>
      <c r="F1581" s="189" t="s">
        <v>2179</v>
      </c>
      <c r="G1581" s="189" t="s">
        <v>2180</v>
      </c>
      <c r="H1581" s="191" t="n">
        <v>46098</v>
      </c>
      <c r="I1581" s="189" t="s">
        <v>305</v>
      </c>
      <c r="J1581" s="189" t="s">
        <v>295</v>
      </c>
      <c r="K1581" s="189" t="s">
        <v>257</v>
      </c>
      <c r="L1581" s="189" t="s">
        <v>431</v>
      </c>
      <c r="M1581" s="189" t="s">
        <v>686</v>
      </c>
      <c r="N1581" s="189" t="s">
        <v>1140</v>
      </c>
      <c r="O1581" s="189" t="s">
        <v>713</v>
      </c>
      <c r="P1581" s="189" t="s">
        <v>111</v>
      </c>
      <c r="Q1581" s="189" t="s">
        <v>145</v>
      </c>
      <c r="R1581" s="189" t="s">
        <v>24</v>
      </c>
      <c r="S1581" s="189" t="s">
        <v>152</v>
      </c>
      <c r="T1581" s="189" t="s">
        <v>496</v>
      </c>
      <c r="U1581" s="189" t="s">
        <v>1605</v>
      </c>
      <c r="V1581" s="189" t="s">
        <v>192</v>
      </c>
      <c r="W1581" s="189" t="s">
        <v>168</v>
      </c>
      <c r="X1581" s="189" t="s">
        <v>223</v>
      </c>
      <c r="Y1581" s="189" t="s">
        <v>3064</v>
      </c>
      <c r="Z1581" s="0" t="n">
        <v>1</v>
      </c>
      <c r="AA1581" s="189" t="s">
        <v>3096</v>
      </c>
    </row>
    <row r="1582" customFormat="false" ht="15" hidden="false" customHeight="false" outlineLevel="0" collapsed="false">
      <c r="A1582" s="0" t="n">
        <v>340</v>
      </c>
      <c r="B1582" s="191" t="n">
        <v>46117.2626257014</v>
      </c>
      <c r="C1582" s="191" t="n">
        <v>46117.2739914421</v>
      </c>
      <c r="D1582" s="189" t="s">
        <v>2178</v>
      </c>
      <c r="E1582" s="189" t="s">
        <v>2179</v>
      </c>
      <c r="F1582" s="189" t="s">
        <v>2179</v>
      </c>
      <c r="G1582" s="189" t="s">
        <v>2180</v>
      </c>
      <c r="H1582" s="191" t="n">
        <v>46098</v>
      </c>
      <c r="I1582" s="189" t="s">
        <v>305</v>
      </c>
      <c r="J1582" s="189" t="s">
        <v>295</v>
      </c>
      <c r="K1582" s="189" t="s">
        <v>257</v>
      </c>
      <c r="L1582" s="189" t="s">
        <v>431</v>
      </c>
      <c r="M1582" s="189" t="s">
        <v>686</v>
      </c>
      <c r="N1582" s="189" t="s">
        <v>1140</v>
      </c>
      <c r="O1582" s="189" t="s">
        <v>713</v>
      </c>
      <c r="P1582" s="189" t="s">
        <v>111</v>
      </c>
      <c r="Q1582" s="189" t="s">
        <v>145</v>
      </c>
      <c r="R1582" s="189" t="s">
        <v>24</v>
      </c>
      <c r="S1582" s="189" t="s">
        <v>152</v>
      </c>
      <c r="T1582" s="189" t="s">
        <v>496</v>
      </c>
      <c r="U1582" s="189" t="s">
        <v>1605</v>
      </c>
      <c r="V1582" s="189" t="s">
        <v>192</v>
      </c>
      <c r="W1582" s="189" t="s">
        <v>168</v>
      </c>
      <c r="X1582" s="189" t="s">
        <v>223</v>
      </c>
      <c r="Y1582" s="189" t="s">
        <v>3064</v>
      </c>
      <c r="Z1582" s="0" t="n">
        <v>2</v>
      </c>
      <c r="AA1582" s="189" t="s">
        <v>3103</v>
      </c>
    </row>
    <row r="1583" customFormat="false" ht="15" hidden="false" customHeight="false" outlineLevel="0" collapsed="false">
      <c r="A1583" s="0" t="n">
        <v>340</v>
      </c>
      <c r="B1583" s="191" t="n">
        <v>46117.2626257014</v>
      </c>
      <c r="C1583" s="191" t="n">
        <v>46117.2739914421</v>
      </c>
      <c r="D1583" s="189" t="s">
        <v>2178</v>
      </c>
      <c r="E1583" s="189" t="s">
        <v>2179</v>
      </c>
      <c r="F1583" s="189" t="s">
        <v>2179</v>
      </c>
      <c r="G1583" s="189" t="s">
        <v>2180</v>
      </c>
      <c r="H1583" s="191" t="n">
        <v>46098</v>
      </c>
      <c r="I1583" s="189" t="s">
        <v>305</v>
      </c>
      <c r="J1583" s="189" t="s">
        <v>295</v>
      </c>
      <c r="K1583" s="189" t="s">
        <v>257</v>
      </c>
      <c r="L1583" s="189" t="s">
        <v>431</v>
      </c>
      <c r="M1583" s="189" t="s">
        <v>686</v>
      </c>
      <c r="N1583" s="189" t="s">
        <v>1140</v>
      </c>
      <c r="O1583" s="189" t="s">
        <v>713</v>
      </c>
      <c r="P1583" s="189" t="s">
        <v>111</v>
      </c>
      <c r="Q1583" s="189" t="s">
        <v>145</v>
      </c>
      <c r="R1583" s="189" t="s">
        <v>24</v>
      </c>
      <c r="S1583" s="189" t="s">
        <v>152</v>
      </c>
      <c r="T1583" s="189" t="s">
        <v>496</v>
      </c>
      <c r="U1583" s="189" t="s">
        <v>1605</v>
      </c>
      <c r="V1583" s="189" t="s">
        <v>192</v>
      </c>
      <c r="W1583" s="189" t="s">
        <v>168</v>
      </c>
      <c r="X1583" s="189" t="s">
        <v>223</v>
      </c>
      <c r="Y1583" s="189" t="s">
        <v>3066</v>
      </c>
      <c r="Z1583" s="0" t="n">
        <v>1</v>
      </c>
      <c r="AA1583" s="189" t="s">
        <v>3170</v>
      </c>
    </row>
    <row r="1584" customFormat="false" ht="15" hidden="false" customHeight="false" outlineLevel="0" collapsed="false">
      <c r="A1584" s="0" t="n">
        <v>340</v>
      </c>
      <c r="B1584" s="191" t="n">
        <v>46117.2626257014</v>
      </c>
      <c r="C1584" s="191" t="n">
        <v>46117.2739914421</v>
      </c>
      <c r="D1584" s="189" t="s">
        <v>2178</v>
      </c>
      <c r="E1584" s="189" t="s">
        <v>2179</v>
      </c>
      <c r="F1584" s="189" t="s">
        <v>2179</v>
      </c>
      <c r="G1584" s="189" t="s">
        <v>2180</v>
      </c>
      <c r="H1584" s="191" t="n">
        <v>46098</v>
      </c>
      <c r="I1584" s="189" t="s">
        <v>305</v>
      </c>
      <c r="J1584" s="189" t="s">
        <v>295</v>
      </c>
      <c r="K1584" s="189" t="s">
        <v>257</v>
      </c>
      <c r="L1584" s="189" t="s">
        <v>431</v>
      </c>
      <c r="M1584" s="189" t="s">
        <v>686</v>
      </c>
      <c r="N1584" s="189" t="s">
        <v>1140</v>
      </c>
      <c r="O1584" s="189" t="s">
        <v>713</v>
      </c>
      <c r="P1584" s="189" t="s">
        <v>111</v>
      </c>
      <c r="Q1584" s="189" t="s">
        <v>145</v>
      </c>
      <c r="R1584" s="189" t="s">
        <v>24</v>
      </c>
      <c r="S1584" s="189" t="s">
        <v>152</v>
      </c>
      <c r="T1584" s="189" t="s">
        <v>496</v>
      </c>
      <c r="U1584" s="189" t="s">
        <v>1605</v>
      </c>
      <c r="V1584" s="189" t="s">
        <v>192</v>
      </c>
      <c r="W1584" s="189" t="s">
        <v>168</v>
      </c>
      <c r="X1584" s="189" t="s">
        <v>223</v>
      </c>
      <c r="Y1584" s="189" t="s">
        <v>3066</v>
      </c>
      <c r="Z1584" s="0" t="n">
        <v>2</v>
      </c>
      <c r="AA1584" s="189" t="s">
        <v>3213</v>
      </c>
    </row>
    <row r="1585" customFormat="false" ht="15" hidden="false" customHeight="false" outlineLevel="0" collapsed="false">
      <c r="A1585" s="0" t="n">
        <v>340</v>
      </c>
      <c r="B1585" s="191" t="n">
        <v>46117.2626257014</v>
      </c>
      <c r="C1585" s="191" t="n">
        <v>46117.2739914421</v>
      </c>
      <c r="D1585" s="189" t="s">
        <v>2178</v>
      </c>
      <c r="E1585" s="189" t="s">
        <v>2179</v>
      </c>
      <c r="F1585" s="189" t="s">
        <v>2179</v>
      </c>
      <c r="G1585" s="189" t="s">
        <v>2180</v>
      </c>
      <c r="H1585" s="191" t="n">
        <v>46098</v>
      </c>
      <c r="I1585" s="189" t="s">
        <v>305</v>
      </c>
      <c r="J1585" s="189" t="s">
        <v>295</v>
      </c>
      <c r="K1585" s="189" t="s">
        <v>257</v>
      </c>
      <c r="L1585" s="189" t="s">
        <v>431</v>
      </c>
      <c r="M1585" s="189" t="s">
        <v>686</v>
      </c>
      <c r="N1585" s="189" t="s">
        <v>1140</v>
      </c>
      <c r="O1585" s="189" t="s">
        <v>713</v>
      </c>
      <c r="P1585" s="189" t="s">
        <v>111</v>
      </c>
      <c r="Q1585" s="189" t="s">
        <v>145</v>
      </c>
      <c r="R1585" s="189" t="s">
        <v>24</v>
      </c>
      <c r="S1585" s="189" t="s">
        <v>152</v>
      </c>
      <c r="T1585" s="189" t="s">
        <v>496</v>
      </c>
      <c r="U1585" s="189" t="s">
        <v>1605</v>
      </c>
      <c r="V1585" s="189" t="s">
        <v>192</v>
      </c>
      <c r="W1585" s="189" t="s">
        <v>168</v>
      </c>
      <c r="X1585" s="189" t="s">
        <v>223</v>
      </c>
      <c r="Y1585" s="189" t="s">
        <v>3069</v>
      </c>
      <c r="Z1585" s="0" t="n">
        <v>1</v>
      </c>
      <c r="AA1585" s="189" t="s">
        <v>3150</v>
      </c>
    </row>
    <row r="1586" customFormat="false" ht="15" hidden="false" customHeight="false" outlineLevel="0" collapsed="false">
      <c r="A1586" s="0" t="n">
        <v>340</v>
      </c>
      <c r="B1586" s="191" t="n">
        <v>46117.2626257014</v>
      </c>
      <c r="C1586" s="191" t="n">
        <v>46117.2739914421</v>
      </c>
      <c r="D1586" s="189" t="s">
        <v>2178</v>
      </c>
      <c r="E1586" s="189" t="s">
        <v>2179</v>
      </c>
      <c r="F1586" s="189" t="s">
        <v>2179</v>
      </c>
      <c r="G1586" s="189" t="s">
        <v>2180</v>
      </c>
      <c r="H1586" s="191" t="n">
        <v>46098</v>
      </c>
      <c r="I1586" s="189" t="s">
        <v>305</v>
      </c>
      <c r="J1586" s="189" t="s">
        <v>295</v>
      </c>
      <c r="K1586" s="189" t="s">
        <v>257</v>
      </c>
      <c r="L1586" s="189" t="s">
        <v>431</v>
      </c>
      <c r="M1586" s="189" t="s">
        <v>686</v>
      </c>
      <c r="N1586" s="189" t="s">
        <v>1140</v>
      </c>
      <c r="O1586" s="189" t="s">
        <v>713</v>
      </c>
      <c r="P1586" s="189" t="s">
        <v>111</v>
      </c>
      <c r="Q1586" s="189" t="s">
        <v>145</v>
      </c>
      <c r="R1586" s="189" t="s">
        <v>24</v>
      </c>
      <c r="S1586" s="189" t="s">
        <v>152</v>
      </c>
      <c r="T1586" s="189" t="s">
        <v>496</v>
      </c>
      <c r="U1586" s="189" t="s">
        <v>1605</v>
      </c>
      <c r="V1586" s="189" t="s">
        <v>192</v>
      </c>
      <c r="W1586" s="189" t="s">
        <v>168</v>
      </c>
      <c r="X1586" s="189" t="s">
        <v>223</v>
      </c>
      <c r="Y1586" s="189" t="s">
        <v>3069</v>
      </c>
      <c r="Z1586" s="0" t="n">
        <v>2</v>
      </c>
      <c r="AA1586" s="189" t="s">
        <v>3101</v>
      </c>
    </row>
    <row r="1587" customFormat="false" ht="15" hidden="false" customHeight="false" outlineLevel="0" collapsed="false">
      <c r="A1587" s="0" t="n">
        <v>341</v>
      </c>
      <c r="B1587" s="191" t="n">
        <v>46042.6899713112</v>
      </c>
      <c r="C1587" s="191" t="n">
        <v>46042.6942305705</v>
      </c>
      <c r="D1587" s="189" t="s">
        <v>2182</v>
      </c>
      <c r="E1587" s="189" t="s">
        <v>2183</v>
      </c>
      <c r="F1587" s="189" t="s">
        <v>2183</v>
      </c>
      <c r="G1587" s="189" t="s">
        <v>2184</v>
      </c>
      <c r="H1587" s="191" t="n">
        <v>46026</v>
      </c>
      <c r="I1587" s="189" t="s">
        <v>113</v>
      </c>
      <c r="J1587" s="189" t="s">
        <v>108</v>
      </c>
      <c r="K1587" s="189" t="s">
        <v>742</v>
      </c>
      <c r="L1587" s="189" t="s">
        <v>431</v>
      </c>
      <c r="M1587" s="189" t="s">
        <v>439</v>
      </c>
      <c r="N1587" s="189" t="s">
        <v>2076</v>
      </c>
      <c r="O1587" s="189" t="s">
        <v>278</v>
      </c>
      <c r="P1587" s="189" t="s">
        <v>111</v>
      </c>
      <c r="Q1587" s="189" t="s">
        <v>247</v>
      </c>
      <c r="R1587" s="189" t="s">
        <v>22</v>
      </c>
      <c r="S1587" s="189" t="s">
        <v>152</v>
      </c>
      <c r="T1587" s="189" t="s">
        <v>180</v>
      </c>
      <c r="V1587" s="189" t="s">
        <v>123</v>
      </c>
      <c r="W1587" s="189" t="s">
        <v>124</v>
      </c>
      <c r="X1587" s="189" t="s">
        <v>298</v>
      </c>
      <c r="Y1587" s="189" t="s">
        <v>3064</v>
      </c>
      <c r="Z1587" s="0" t="n">
        <v>1</v>
      </c>
      <c r="AA1587" s="189" t="s">
        <v>3194</v>
      </c>
    </row>
    <row r="1588" customFormat="false" ht="15" hidden="false" customHeight="false" outlineLevel="0" collapsed="false">
      <c r="A1588" s="0" t="n">
        <v>341</v>
      </c>
      <c r="B1588" s="191" t="n">
        <v>46042.6899713112</v>
      </c>
      <c r="C1588" s="191" t="n">
        <v>46042.6942305705</v>
      </c>
      <c r="D1588" s="189" t="s">
        <v>2182</v>
      </c>
      <c r="E1588" s="189" t="s">
        <v>2183</v>
      </c>
      <c r="F1588" s="189" t="s">
        <v>2183</v>
      </c>
      <c r="G1588" s="189" t="s">
        <v>2184</v>
      </c>
      <c r="H1588" s="191" t="n">
        <v>46026</v>
      </c>
      <c r="I1588" s="189" t="s">
        <v>113</v>
      </c>
      <c r="J1588" s="189" t="s">
        <v>108</v>
      </c>
      <c r="K1588" s="189" t="s">
        <v>742</v>
      </c>
      <c r="L1588" s="189" t="s">
        <v>431</v>
      </c>
      <c r="M1588" s="189" t="s">
        <v>439</v>
      </c>
      <c r="N1588" s="189" t="s">
        <v>2076</v>
      </c>
      <c r="O1588" s="189" t="s">
        <v>278</v>
      </c>
      <c r="P1588" s="189" t="s">
        <v>111</v>
      </c>
      <c r="Q1588" s="189" t="s">
        <v>247</v>
      </c>
      <c r="R1588" s="189" t="s">
        <v>22</v>
      </c>
      <c r="S1588" s="189" t="s">
        <v>152</v>
      </c>
      <c r="T1588" s="189" t="s">
        <v>180</v>
      </c>
      <c r="V1588" s="189" t="s">
        <v>123</v>
      </c>
      <c r="W1588" s="189" t="s">
        <v>124</v>
      </c>
      <c r="X1588" s="189" t="s">
        <v>298</v>
      </c>
      <c r="Y1588" s="189" t="s">
        <v>3064</v>
      </c>
      <c r="Z1588" s="0" t="n">
        <v>2</v>
      </c>
      <c r="AA1588" s="189" t="s">
        <v>3273</v>
      </c>
    </row>
    <row r="1589" customFormat="false" ht="15" hidden="false" customHeight="false" outlineLevel="0" collapsed="false">
      <c r="A1589" s="0" t="n">
        <v>341</v>
      </c>
      <c r="B1589" s="191" t="n">
        <v>46042.6899713112</v>
      </c>
      <c r="C1589" s="191" t="n">
        <v>46042.6942305705</v>
      </c>
      <c r="D1589" s="189" t="s">
        <v>2182</v>
      </c>
      <c r="E1589" s="189" t="s">
        <v>2183</v>
      </c>
      <c r="F1589" s="189" t="s">
        <v>2183</v>
      </c>
      <c r="G1589" s="189" t="s">
        <v>2184</v>
      </c>
      <c r="H1589" s="191" t="n">
        <v>46026</v>
      </c>
      <c r="I1589" s="189" t="s">
        <v>113</v>
      </c>
      <c r="J1589" s="189" t="s">
        <v>108</v>
      </c>
      <c r="K1589" s="189" t="s">
        <v>742</v>
      </c>
      <c r="L1589" s="189" t="s">
        <v>431</v>
      </c>
      <c r="M1589" s="189" t="s">
        <v>439</v>
      </c>
      <c r="N1589" s="189" t="s">
        <v>2076</v>
      </c>
      <c r="O1589" s="189" t="s">
        <v>278</v>
      </c>
      <c r="P1589" s="189" t="s">
        <v>111</v>
      </c>
      <c r="Q1589" s="189" t="s">
        <v>247</v>
      </c>
      <c r="R1589" s="189" t="s">
        <v>22</v>
      </c>
      <c r="S1589" s="189" t="s">
        <v>152</v>
      </c>
      <c r="T1589" s="189" t="s">
        <v>180</v>
      </c>
      <c r="V1589" s="189" t="s">
        <v>123</v>
      </c>
      <c r="W1589" s="189" t="s">
        <v>124</v>
      </c>
      <c r="X1589" s="189" t="s">
        <v>298</v>
      </c>
      <c r="Y1589" s="189" t="s">
        <v>3066</v>
      </c>
      <c r="Z1589" s="0" t="n">
        <v>1</v>
      </c>
      <c r="AA1589" s="189" t="s">
        <v>3196</v>
      </c>
    </row>
    <row r="1590" customFormat="false" ht="15" hidden="false" customHeight="false" outlineLevel="0" collapsed="false">
      <c r="A1590" s="0" t="n">
        <v>341</v>
      </c>
      <c r="B1590" s="191" t="n">
        <v>46042.6899713112</v>
      </c>
      <c r="C1590" s="191" t="n">
        <v>46042.6942305705</v>
      </c>
      <c r="D1590" s="189" t="s">
        <v>2182</v>
      </c>
      <c r="E1590" s="189" t="s">
        <v>2183</v>
      </c>
      <c r="F1590" s="189" t="s">
        <v>2183</v>
      </c>
      <c r="G1590" s="189" t="s">
        <v>2184</v>
      </c>
      <c r="H1590" s="191" t="n">
        <v>46026</v>
      </c>
      <c r="I1590" s="189" t="s">
        <v>113</v>
      </c>
      <c r="J1590" s="189" t="s">
        <v>108</v>
      </c>
      <c r="K1590" s="189" t="s">
        <v>742</v>
      </c>
      <c r="L1590" s="189" t="s">
        <v>431</v>
      </c>
      <c r="M1590" s="189" t="s">
        <v>439</v>
      </c>
      <c r="N1590" s="189" t="s">
        <v>2076</v>
      </c>
      <c r="O1590" s="189" t="s">
        <v>278</v>
      </c>
      <c r="P1590" s="189" t="s">
        <v>111</v>
      </c>
      <c r="Q1590" s="189" t="s">
        <v>247</v>
      </c>
      <c r="R1590" s="189" t="s">
        <v>22</v>
      </c>
      <c r="S1590" s="189" t="s">
        <v>152</v>
      </c>
      <c r="T1590" s="189" t="s">
        <v>180</v>
      </c>
      <c r="V1590" s="189" t="s">
        <v>123</v>
      </c>
      <c r="W1590" s="189" t="s">
        <v>124</v>
      </c>
      <c r="X1590" s="189" t="s">
        <v>298</v>
      </c>
      <c r="Y1590" s="189" t="s">
        <v>3066</v>
      </c>
      <c r="Z1590" s="0" t="n">
        <v>2</v>
      </c>
      <c r="AA1590" s="189" t="s">
        <v>3316</v>
      </c>
    </row>
    <row r="1591" customFormat="false" ht="15" hidden="false" customHeight="false" outlineLevel="0" collapsed="false">
      <c r="A1591" s="0" t="n">
        <v>341</v>
      </c>
      <c r="B1591" s="191" t="n">
        <v>46042.6899713112</v>
      </c>
      <c r="C1591" s="191" t="n">
        <v>46042.6942305705</v>
      </c>
      <c r="D1591" s="189" t="s">
        <v>2182</v>
      </c>
      <c r="E1591" s="189" t="s">
        <v>2183</v>
      </c>
      <c r="F1591" s="189" t="s">
        <v>2183</v>
      </c>
      <c r="G1591" s="189" t="s">
        <v>2184</v>
      </c>
      <c r="H1591" s="191" t="n">
        <v>46026</v>
      </c>
      <c r="I1591" s="189" t="s">
        <v>113</v>
      </c>
      <c r="J1591" s="189" t="s">
        <v>108</v>
      </c>
      <c r="K1591" s="189" t="s">
        <v>742</v>
      </c>
      <c r="L1591" s="189" t="s">
        <v>431</v>
      </c>
      <c r="M1591" s="189" t="s">
        <v>439</v>
      </c>
      <c r="N1591" s="189" t="s">
        <v>2076</v>
      </c>
      <c r="O1591" s="189" t="s">
        <v>278</v>
      </c>
      <c r="P1591" s="189" t="s">
        <v>111</v>
      </c>
      <c r="Q1591" s="189" t="s">
        <v>247</v>
      </c>
      <c r="R1591" s="189" t="s">
        <v>22</v>
      </c>
      <c r="S1591" s="189" t="s">
        <v>152</v>
      </c>
      <c r="T1591" s="189" t="s">
        <v>180</v>
      </c>
      <c r="V1591" s="189" t="s">
        <v>123</v>
      </c>
      <c r="W1591" s="189" t="s">
        <v>124</v>
      </c>
      <c r="X1591" s="189" t="s">
        <v>298</v>
      </c>
      <c r="Y1591" s="189" t="s">
        <v>3069</v>
      </c>
      <c r="Z1591" s="0" t="n">
        <v>1</v>
      </c>
      <c r="AA1591" s="189" t="s">
        <v>3238</v>
      </c>
    </row>
    <row r="1592" customFormat="false" ht="15" hidden="false" customHeight="false" outlineLevel="0" collapsed="false">
      <c r="A1592" s="0" t="n">
        <v>342</v>
      </c>
      <c r="B1592" s="191" t="n">
        <v>46035.3014290224</v>
      </c>
      <c r="C1592" s="191" t="n">
        <v>46035.3056998557</v>
      </c>
      <c r="D1592" s="189" t="s">
        <v>2188</v>
      </c>
      <c r="E1592" s="189" t="s">
        <v>2189</v>
      </c>
      <c r="F1592" s="189" t="s">
        <v>2189</v>
      </c>
      <c r="G1592" s="189" t="s">
        <v>2190</v>
      </c>
      <c r="H1592" s="191" t="n">
        <v>46030</v>
      </c>
      <c r="I1592" s="189" t="s">
        <v>113</v>
      </c>
      <c r="J1592" s="189" t="s">
        <v>295</v>
      </c>
      <c r="K1592" s="189" t="s">
        <v>196</v>
      </c>
      <c r="L1592" s="189" t="s">
        <v>114</v>
      </c>
      <c r="M1592" s="189" t="s">
        <v>484</v>
      </c>
      <c r="N1592" s="189" t="s">
        <v>1539</v>
      </c>
      <c r="O1592" s="189" t="s">
        <v>278</v>
      </c>
      <c r="P1592" s="189" t="s">
        <v>111</v>
      </c>
      <c r="Q1592" s="189" t="s">
        <v>112</v>
      </c>
      <c r="R1592" s="189" t="s">
        <v>22</v>
      </c>
      <c r="S1592" s="189" t="s">
        <v>152</v>
      </c>
      <c r="T1592" s="189" t="s">
        <v>180</v>
      </c>
      <c r="U1592" s="189" t="s">
        <v>122</v>
      </c>
      <c r="V1592" s="189" t="s">
        <v>123</v>
      </c>
      <c r="W1592" s="189" t="s">
        <v>124</v>
      </c>
      <c r="X1592" s="189" t="s">
        <v>298</v>
      </c>
      <c r="Y1592" s="189" t="s">
        <v>3064</v>
      </c>
      <c r="Z1592" s="0" t="n">
        <v>1</v>
      </c>
      <c r="AA1592" s="189" t="s">
        <v>3124</v>
      </c>
    </row>
    <row r="1593" customFormat="false" ht="15" hidden="false" customHeight="false" outlineLevel="0" collapsed="false">
      <c r="A1593" s="0" t="n">
        <v>342</v>
      </c>
      <c r="B1593" s="191" t="n">
        <v>46035.3014290224</v>
      </c>
      <c r="C1593" s="191" t="n">
        <v>46035.3056998557</v>
      </c>
      <c r="D1593" s="189" t="s">
        <v>2188</v>
      </c>
      <c r="E1593" s="189" t="s">
        <v>2189</v>
      </c>
      <c r="F1593" s="189" t="s">
        <v>2189</v>
      </c>
      <c r="G1593" s="189" t="s">
        <v>2190</v>
      </c>
      <c r="H1593" s="191" t="n">
        <v>46030</v>
      </c>
      <c r="I1593" s="189" t="s">
        <v>113</v>
      </c>
      <c r="J1593" s="189" t="s">
        <v>295</v>
      </c>
      <c r="K1593" s="189" t="s">
        <v>196</v>
      </c>
      <c r="L1593" s="189" t="s">
        <v>114</v>
      </c>
      <c r="M1593" s="189" t="s">
        <v>484</v>
      </c>
      <c r="N1593" s="189" t="s">
        <v>1539</v>
      </c>
      <c r="O1593" s="189" t="s">
        <v>278</v>
      </c>
      <c r="P1593" s="189" t="s">
        <v>111</v>
      </c>
      <c r="Q1593" s="189" t="s">
        <v>112</v>
      </c>
      <c r="R1593" s="189" t="s">
        <v>22</v>
      </c>
      <c r="S1593" s="189" t="s">
        <v>152</v>
      </c>
      <c r="T1593" s="189" t="s">
        <v>180</v>
      </c>
      <c r="U1593" s="189" t="s">
        <v>122</v>
      </c>
      <c r="V1593" s="189" t="s">
        <v>123</v>
      </c>
      <c r="W1593" s="189" t="s">
        <v>124</v>
      </c>
      <c r="X1593" s="189" t="s">
        <v>298</v>
      </c>
      <c r="Y1593" s="189" t="s">
        <v>3064</v>
      </c>
      <c r="Z1593" s="0" t="n">
        <v>2</v>
      </c>
      <c r="AA1593" s="189" t="s">
        <v>3208</v>
      </c>
    </row>
    <row r="1594" customFormat="false" ht="15" hidden="false" customHeight="false" outlineLevel="0" collapsed="false">
      <c r="A1594" s="0" t="n">
        <v>342</v>
      </c>
      <c r="B1594" s="191" t="n">
        <v>46035.3014290224</v>
      </c>
      <c r="C1594" s="191" t="n">
        <v>46035.3056998557</v>
      </c>
      <c r="D1594" s="189" t="s">
        <v>2188</v>
      </c>
      <c r="E1594" s="189" t="s">
        <v>2189</v>
      </c>
      <c r="F1594" s="189" t="s">
        <v>2189</v>
      </c>
      <c r="G1594" s="189" t="s">
        <v>2190</v>
      </c>
      <c r="H1594" s="191" t="n">
        <v>46030</v>
      </c>
      <c r="I1594" s="189" t="s">
        <v>113</v>
      </c>
      <c r="J1594" s="189" t="s">
        <v>295</v>
      </c>
      <c r="K1594" s="189" t="s">
        <v>196</v>
      </c>
      <c r="L1594" s="189" t="s">
        <v>114</v>
      </c>
      <c r="M1594" s="189" t="s">
        <v>484</v>
      </c>
      <c r="N1594" s="189" t="s">
        <v>1539</v>
      </c>
      <c r="O1594" s="189" t="s">
        <v>278</v>
      </c>
      <c r="P1594" s="189" t="s">
        <v>111</v>
      </c>
      <c r="Q1594" s="189" t="s">
        <v>112</v>
      </c>
      <c r="R1594" s="189" t="s">
        <v>22</v>
      </c>
      <c r="S1594" s="189" t="s">
        <v>152</v>
      </c>
      <c r="T1594" s="189" t="s">
        <v>180</v>
      </c>
      <c r="U1594" s="189" t="s">
        <v>122</v>
      </c>
      <c r="V1594" s="189" t="s">
        <v>123</v>
      </c>
      <c r="W1594" s="189" t="s">
        <v>124</v>
      </c>
      <c r="X1594" s="189" t="s">
        <v>298</v>
      </c>
      <c r="Y1594" s="189" t="s">
        <v>3064</v>
      </c>
      <c r="Z1594" s="0" t="n">
        <v>3</v>
      </c>
      <c r="AA1594" s="189" t="s">
        <v>3123</v>
      </c>
    </row>
    <row r="1595" customFormat="false" ht="15" hidden="false" customHeight="false" outlineLevel="0" collapsed="false">
      <c r="A1595" s="0" t="n">
        <v>342</v>
      </c>
      <c r="B1595" s="191" t="n">
        <v>46035.3014290224</v>
      </c>
      <c r="C1595" s="191" t="n">
        <v>46035.3056998557</v>
      </c>
      <c r="D1595" s="189" t="s">
        <v>2188</v>
      </c>
      <c r="E1595" s="189" t="s">
        <v>2189</v>
      </c>
      <c r="F1595" s="189" t="s">
        <v>2189</v>
      </c>
      <c r="G1595" s="189" t="s">
        <v>2190</v>
      </c>
      <c r="H1595" s="191" t="n">
        <v>46030</v>
      </c>
      <c r="I1595" s="189" t="s">
        <v>113</v>
      </c>
      <c r="J1595" s="189" t="s">
        <v>295</v>
      </c>
      <c r="K1595" s="189" t="s">
        <v>196</v>
      </c>
      <c r="L1595" s="189" t="s">
        <v>114</v>
      </c>
      <c r="M1595" s="189" t="s">
        <v>484</v>
      </c>
      <c r="N1595" s="189" t="s">
        <v>1539</v>
      </c>
      <c r="O1595" s="189" t="s">
        <v>278</v>
      </c>
      <c r="P1595" s="189" t="s">
        <v>111</v>
      </c>
      <c r="Q1595" s="189" t="s">
        <v>112</v>
      </c>
      <c r="R1595" s="189" t="s">
        <v>22</v>
      </c>
      <c r="S1595" s="189" t="s">
        <v>152</v>
      </c>
      <c r="T1595" s="189" t="s">
        <v>180</v>
      </c>
      <c r="U1595" s="189" t="s">
        <v>122</v>
      </c>
      <c r="V1595" s="189" t="s">
        <v>123</v>
      </c>
      <c r="W1595" s="189" t="s">
        <v>124</v>
      </c>
      <c r="X1595" s="189" t="s">
        <v>298</v>
      </c>
      <c r="Y1595" s="189" t="s">
        <v>3066</v>
      </c>
      <c r="Z1595" s="0" t="n">
        <v>1</v>
      </c>
      <c r="AA1595" s="189" t="s">
        <v>3237</v>
      </c>
    </row>
    <row r="1596" customFormat="false" ht="15" hidden="false" customHeight="false" outlineLevel="0" collapsed="false">
      <c r="A1596" s="0" t="n">
        <v>342</v>
      </c>
      <c r="B1596" s="191" t="n">
        <v>46035.3014290224</v>
      </c>
      <c r="C1596" s="191" t="n">
        <v>46035.3056998557</v>
      </c>
      <c r="D1596" s="189" t="s">
        <v>2188</v>
      </c>
      <c r="E1596" s="189" t="s">
        <v>2189</v>
      </c>
      <c r="F1596" s="189" t="s">
        <v>2189</v>
      </c>
      <c r="G1596" s="189" t="s">
        <v>2190</v>
      </c>
      <c r="H1596" s="191" t="n">
        <v>46030</v>
      </c>
      <c r="I1596" s="189" t="s">
        <v>113</v>
      </c>
      <c r="J1596" s="189" t="s">
        <v>295</v>
      </c>
      <c r="K1596" s="189" t="s">
        <v>196</v>
      </c>
      <c r="L1596" s="189" t="s">
        <v>114</v>
      </c>
      <c r="M1596" s="189" t="s">
        <v>484</v>
      </c>
      <c r="N1596" s="189" t="s">
        <v>1539</v>
      </c>
      <c r="O1596" s="189" t="s">
        <v>278</v>
      </c>
      <c r="P1596" s="189" t="s">
        <v>111</v>
      </c>
      <c r="Q1596" s="189" t="s">
        <v>112</v>
      </c>
      <c r="R1596" s="189" t="s">
        <v>22</v>
      </c>
      <c r="S1596" s="189" t="s">
        <v>152</v>
      </c>
      <c r="T1596" s="189" t="s">
        <v>180</v>
      </c>
      <c r="U1596" s="189" t="s">
        <v>122</v>
      </c>
      <c r="V1596" s="189" t="s">
        <v>123</v>
      </c>
      <c r="W1596" s="189" t="s">
        <v>124</v>
      </c>
      <c r="X1596" s="189" t="s">
        <v>298</v>
      </c>
      <c r="Y1596" s="189" t="s">
        <v>3066</v>
      </c>
      <c r="Z1596" s="0" t="n">
        <v>2</v>
      </c>
      <c r="AA1596" s="189" t="s">
        <v>3209</v>
      </c>
    </row>
    <row r="1597" customFormat="false" ht="15" hidden="false" customHeight="false" outlineLevel="0" collapsed="false">
      <c r="A1597" s="0" t="n">
        <v>342</v>
      </c>
      <c r="B1597" s="191" t="n">
        <v>46035.3014290224</v>
      </c>
      <c r="C1597" s="191" t="n">
        <v>46035.3056998557</v>
      </c>
      <c r="D1597" s="189" t="s">
        <v>2188</v>
      </c>
      <c r="E1597" s="189" t="s">
        <v>2189</v>
      </c>
      <c r="F1597" s="189" t="s">
        <v>2189</v>
      </c>
      <c r="G1597" s="189" t="s">
        <v>2190</v>
      </c>
      <c r="H1597" s="191" t="n">
        <v>46030</v>
      </c>
      <c r="I1597" s="189" t="s">
        <v>113</v>
      </c>
      <c r="J1597" s="189" t="s">
        <v>295</v>
      </c>
      <c r="K1597" s="189" t="s">
        <v>196</v>
      </c>
      <c r="L1597" s="189" t="s">
        <v>114</v>
      </c>
      <c r="M1597" s="189" t="s">
        <v>484</v>
      </c>
      <c r="N1597" s="189" t="s">
        <v>1539</v>
      </c>
      <c r="O1597" s="189" t="s">
        <v>278</v>
      </c>
      <c r="P1597" s="189" t="s">
        <v>111</v>
      </c>
      <c r="Q1597" s="189" t="s">
        <v>112</v>
      </c>
      <c r="R1597" s="189" t="s">
        <v>22</v>
      </c>
      <c r="S1597" s="189" t="s">
        <v>152</v>
      </c>
      <c r="T1597" s="189" t="s">
        <v>180</v>
      </c>
      <c r="U1597" s="189" t="s">
        <v>122</v>
      </c>
      <c r="V1597" s="189" t="s">
        <v>123</v>
      </c>
      <c r="W1597" s="189" t="s">
        <v>124</v>
      </c>
      <c r="X1597" s="189" t="s">
        <v>298</v>
      </c>
      <c r="Y1597" s="189" t="s">
        <v>3069</v>
      </c>
      <c r="Z1597" s="0" t="n">
        <v>1</v>
      </c>
      <c r="AA1597" s="189" t="s">
        <v>122</v>
      </c>
    </row>
    <row r="1598" customFormat="false" ht="15" hidden="false" customHeight="false" outlineLevel="0" collapsed="false">
      <c r="A1598" s="0" t="n">
        <v>343</v>
      </c>
      <c r="B1598" s="191" t="n">
        <v>46194.8747088962</v>
      </c>
      <c r="C1598" s="191" t="n">
        <v>46194.8894658406</v>
      </c>
      <c r="D1598" s="189" t="s">
        <v>2192</v>
      </c>
      <c r="E1598" s="189" t="s">
        <v>2193</v>
      </c>
      <c r="F1598" s="189" t="s">
        <v>2194</v>
      </c>
      <c r="G1598" s="189" t="s">
        <v>2195</v>
      </c>
      <c r="H1598" s="191" t="n">
        <v>46185</v>
      </c>
      <c r="I1598" s="189" t="s">
        <v>113</v>
      </c>
      <c r="J1598" s="189" t="s">
        <v>295</v>
      </c>
      <c r="K1598" s="189" t="s">
        <v>196</v>
      </c>
      <c r="L1598" s="189" t="s">
        <v>197</v>
      </c>
      <c r="M1598" s="189" t="s">
        <v>870</v>
      </c>
      <c r="N1598" s="189" t="s">
        <v>389</v>
      </c>
      <c r="O1598" s="189" t="s">
        <v>107</v>
      </c>
      <c r="P1598" s="189" t="s">
        <v>211</v>
      </c>
      <c r="Q1598" s="189" t="s">
        <v>112</v>
      </c>
      <c r="R1598" s="189" t="s">
        <v>22</v>
      </c>
      <c r="S1598" s="189" t="s">
        <v>152</v>
      </c>
      <c r="T1598" s="189" t="s">
        <v>121</v>
      </c>
      <c r="U1598" s="189" t="s">
        <v>956</v>
      </c>
      <c r="V1598" s="189" t="s">
        <v>123</v>
      </c>
      <c r="W1598" s="189" t="s">
        <v>124</v>
      </c>
      <c r="X1598" s="189" t="s">
        <v>135</v>
      </c>
      <c r="Y1598" s="189" t="s">
        <v>3064</v>
      </c>
      <c r="Z1598" s="0" t="n">
        <v>1</v>
      </c>
      <c r="AA1598" s="189" t="s">
        <v>3072</v>
      </c>
    </row>
    <row r="1599" customFormat="false" ht="15" hidden="false" customHeight="false" outlineLevel="0" collapsed="false">
      <c r="A1599" s="0" t="n">
        <v>343</v>
      </c>
      <c r="B1599" s="191" t="n">
        <v>46194.8747088962</v>
      </c>
      <c r="C1599" s="191" t="n">
        <v>46194.8894658406</v>
      </c>
      <c r="D1599" s="189" t="s">
        <v>2192</v>
      </c>
      <c r="E1599" s="189" t="s">
        <v>2193</v>
      </c>
      <c r="F1599" s="189" t="s">
        <v>2194</v>
      </c>
      <c r="G1599" s="189" t="s">
        <v>2195</v>
      </c>
      <c r="H1599" s="191" t="n">
        <v>46185</v>
      </c>
      <c r="I1599" s="189" t="s">
        <v>113</v>
      </c>
      <c r="J1599" s="189" t="s">
        <v>295</v>
      </c>
      <c r="K1599" s="189" t="s">
        <v>196</v>
      </c>
      <c r="L1599" s="189" t="s">
        <v>197</v>
      </c>
      <c r="M1599" s="189" t="s">
        <v>870</v>
      </c>
      <c r="N1599" s="189" t="s">
        <v>389</v>
      </c>
      <c r="O1599" s="189" t="s">
        <v>107</v>
      </c>
      <c r="P1599" s="189" t="s">
        <v>211</v>
      </c>
      <c r="Q1599" s="189" t="s">
        <v>112</v>
      </c>
      <c r="R1599" s="189" t="s">
        <v>22</v>
      </c>
      <c r="S1599" s="189" t="s">
        <v>152</v>
      </c>
      <c r="T1599" s="189" t="s">
        <v>121</v>
      </c>
      <c r="U1599" s="189" t="s">
        <v>956</v>
      </c>
      <c r="V1599" s="189" t="s">
        <v>123</v>
      </c>
      <c r="W1599" s="189" t="s">
        <v>124</v>
      </c>
      <c r="X1599" s="189" t="s">
        <v>135</v>
      </c>
      <c r="Y1599" s="189" t="s">
        <v>3066</v>
      </c>
      <c r="Z1599" s="0" t="n">
        <v>1</v>
      </c>
      <c r="AA1599" s="189" t="s">
        <v>3185</v>
      </c>
    </row>
    <row r="1600" customFormat="false" ht="15" hidden="false" customHeight="false" outlineLevel="0" collapsed="false">
      <c r="A1600" s="0" t="n">
        <v>343</v>
      </c>
      <c r="B1600" s="191" t="n">
        <v>46194.8747088962</v>
      </c>
      <c r="C1600" s="191" t="n">
        <v>46194.8894658406</v>
      </c>
      <c r="D1600" s="189" t="s">
        <v>2192</v>
      </c>
      <c r="E1600" s="189" t="s">
        <v>2193</v>
      </c>
      <c r="F1600" s="189" t="s">
        <v>2194</v>
      </c>
      <c r="G1600" s="189" t="s">
        <v>2195</v>
      </c>
      <c r="H1600" s="191" t="n">
        <v>46185</v>
      </c>
      <c r="I1600" s="189" t="s">
        <v>113</v>
      </c>
      <c r="J1600" s="189" t="s">
        <v>295</v>
      </c>
      <c r="K1600" s="189" t="s">
        <v>196</v>
      </c>
      <c r="L1600" s="189" t="s">
        <v>197</v>
      </c>
      <c r="M1600" s="189" t="s">
        <v>870</v>
      </c>
      <c r="N1600" s="189" t="s">
        <v>389</v>
      </c>
      <c r="O1600" s="189" t="s">
        <v>107</v>
      </c>
      <c r="P1600" s="189" t="s">
        <v>211</v>
      </c>
      <c r="Q1600" s="189" t="s">
        <v>112</v>
      </c>
      <c r="R1600" s="189" t="s">
        <v>22</v>
      </c>
      <c r="S1600" s="189" t="s">
        <v>152</v>
      </c>
      <c r="T1600" s="189" t="s">
        <v>121</v>
      </c>
      <c r="U1600" s="189" t="s">
        <v>956</v>
      </c>
      <c r="V1600" s="189" t="s">
        <v>123</v>
      </c>
      <c r="W1600" s="189" t="s">
        <v>124</v>
      </c>
      <c r="X1600" s="189" t="s">
        <v>135</v>
      </c>
      <c r="Y1600" s="189" t="s">
        <v>3069</v>
      </c>
      <c r="Z1600" s="0" t="n">
        <v>1</v>
      </c>
      <c r="AA1600" s="189" t="s">
        <v>3152</v>
      </c>
    </row>
    <row r="1601" customFormat="false" ht="15" hidden="false" customHeight="false" outlineLevel="0" collapsed="false">
      <c r="A1601" s="0" t="n">
        <v>343</v>
      </c>
      <c r="B1601" s="191" t="n">
        <v>46194.8747088962</v>
      </c>
      <c r="C1601" s="191" t="n">
        <v>46194.8894658406</v>
      </c>
      <c r="D1601" s="189" t="s">
        <v>2192</v>
      </c>
      <c r="E1601" s="189" t="s">
        <v>2193</v>
      </c>
      <c r="F1601" s="189" t="s">
        <v>2194</v>
      </c>
      <c r="G1601" s="189" t="s">
        <v>2195</v>
      </c>
      <c r="H1601" s="191" t="n">
        <v>46185</v>
      </c>
      <c r="I1601" s="189" t="s">
        <v>113</v>
      </c>
      <c r="J1601" s="189" t="s">
        <v>295</v>
      </c>
      <c r="K1601" s="189" t="s">
        <v>196</v>
      </c>
      <c r="L1601" s="189" t="s">
        <v>197</v>
      </c>
      <c r="M1601" s="189" t="s">
        <v>870</v>
      </c>
      <c r="N1601" s="189" t="s">
        <v>389</v>
      </c>
      <c r="O1601" s="189" t="s">
        <v>107</v>
      </c>
      <c r="P1601" s="189" t="s">
        <v>211</v>
      </c>
      <c r="Q1601" s="189" t="s">
        <v>112</v>
      </c>
      <c r="R1601" s="189" t="s">
        <v>22</v>
      </c>
      <c r="S1601" s="189" t="s">
        <v>152</v>
      </c>
      <c r="T1601" s="189" t="s">
        <v>121</v>
      </c>
      <c r="U1601" s="189" t="s">
        <v>956</v>
      </c>
      <c r="V1601" s="189" t="s">
        <v>123</v>
      </c>
      <c r="W1601" s="189" t="s">
        <v>124</v>
      </c>
      <c r="X1601" s="189" t="s">
        <v>135</v>
      </c>
      <c r="Y1601" s="189" t="s">
        <v>3069</v>
      </c>
      <c r="Z1601" s="0" t="n">
        <v>2</v>
      </c>
      <c r="AA1601" s="189" t="s">
        <v>3203</v>
      </c>
    </row>
    <row r="1602" customFormat="false" ht="15" hidden="false" customHeight="false" outlineLevel="0" collapsed="false">
      <c r="A1602" s="0" t="n">
        <v>344</v>
      </c>
      <c r="B1602" s="191" t="n">
        <v>46137.8966945301</v>
      </c>
      <c r="C1602" s="191" t="n">
        <v>46137.9052593449</v>
      </c>
      <c r="D1602" s="189" t="s">
        <v>2197</v>
      </c>
      <c r="E1602" s="189" t="s">
        <v>2198</v>
      </c>
      <c r="F1602" s="189" t="s">
        <v>2199</v>
      </c>
      <c r="G1602" s="189" t="s">
        <v>2200</v>
      </c>
      <c r="H1602" s="191" t="n">
        <v>46117</v>
      </c>
      <c r="I1602" s="189" t="s">
        <v>113</v>
      </c>
      <c r="J1602" s="189" t="s">
        <v>128</v>
      </c>
      <c r="K1602" s="189" t="s">
        <v>364</v>
      </c>
      <c r="L1602" s="189" t="s">
        <v>233</v>
      </c>
      <c r="M1602" s="189" t="s">
        <v>391</v>
      </c>
      <c r="N1602" s="189" t="s">
        <v>2201</v>
      </c>
      <c r="O1602" s="189" t="s">
        <v>172</v>
      </c>
      <c r="P1602" s="189" t="s">
        <v>111</v>
      </c>
      <c r="Q1602" s="189" t="s">
        <v>112</v>
      </c>
      <c r="R1602" s="189" t="s">
        <v>24</v>
      </c>
      <c r="S1602" s="189" t="s">
        <v>152</v>
      </c>
      <c r="T1602" s="189" t="s">
        <v>121</v>
      </c>
      <c r="U1602" s="189" t="s">
        <v>562</v>
      </c>
      <c r="V1602" s="189" t="s">
        <v>123</v>
      </c>
      <c r="W1602" s="189" t="s">
        <v>124</v>
      </c>
      <c r="X1602" s="189" t="s">
        <v>448</v>
      </c>
      <c r="Y1602" s="189" t="s">
        <v>3064</v>
      </c>
      <c r="Z1602" s="0" t="n">
        <v>1</v>
      </c>
      <c r="AA1602" s="189" t="s">
        <v>3173</v>
      </c>
    </row>
    <row r="1603" customFormat="false" ht="15" hidden="false" customHeight="false" outlineLevel="0" collapsed="false">
      <c r="A1603" s="0" t="n">
        <v>344</v>
      </c>
      <c r="B1603" s="191" t="n">
        <v>46137.8966945301</v>
      </c>
      <c r="C1603" s="191" t="n">
        <v>46137.9052593449</v>
      </c>
      <c r="D1603" s="189" t="s">
        <v>2197</v>
      </c>
      <c r="E1603" s="189" t="s">
        <v>2198</v>
      </c>
      <c r="F1603" s="189" t="s">
        <v>2199</v>
      </c>
      <c r="G1603" s="189" t="s">
        <v>2200</v>
      </c>
      <c r="H1603" s="191" t="n">
        <v>46117</v>
      </c>
      <c r="I1603" s="189" t="s">
        <v>113</v>
      </c>
      <c r="J1603" s="189" t="s">
        <v>128</v>
      </c>
      <c r="K1603" s="189" t="s">
        <v>364</v>
      </c>
      <c r="L1603" s="189" t="s">
        <v>233</v>
      </c>
      <c r="M1603" s="189" t="s">
        <v>391</v>
      </c>
      <c r="N1603" s="189" t="s">
        <v>2201</v>
      </c>
      <c r="O1603" s="189" t="s">
        <v>172</v>
      </c>
      <c r="P1603" s="189" t="s">
        <v>111</v>
      </c>
      <c r="Q1603" s="189" t="s">
        <v>112</v>
      </c>
      <c r="R1603" s="189" t="s">
        <v>24</v>
      </c>
      <c r="S1603" s="189" t="s">
        <v>152</v>
      </c>
      <c r="T1603" s="189" t="s">
        <v>121</v>
      </c>
      <c r="U1603" s="189" t="s">
        <v>562</v>
      </c>
      <c r="V1603" s="189" t="s">
        <v>123</v>
      </c>
      <c r="W1603" s="189" t="s">
        <v>124</v>
      </c>
      <c r="X1603" s="189" t="s">
        <v>448</v>
      </c>
      <c r="Y1603" s="189" t="s">
        <v>3064</v>
      </c>
      <c r="Z1603" s="0" t="n">
        <v>2</v>
      </c>
      <c r="AA1603" s="189" t="s">
        <v>3191</v>
      </c>
    </row>
    <row r="1604" customFormat="false" ht="15" hidden="false" customHeight="false" outlineLevel="0" collapsed="false">
      <c r="A1604" s="0" t="n">
        <v>344</v>
      </c>
      <c r="B1604" s="191" t="n">
        <v>46137.8966945301</v>
      </c>
      <c r="C1604" s="191" t="n">
        <v>46137.9052593449</v>
      </c>
      <c r="D1604" s="189" t="s">
        <v>2197</v>
      </c>
      <c r="E1604" s="189" t="s">
        <v>2198</v>
      </c>
      <c r="F1604" s="189" t="s">
        <v>2199</v>
      </c>
      <c r="G1604" s="189" t="s">
        <v>2200</v>
      </c>
      <c r="H1604" s="191" t="n">
        <v>46117</v>
      </c>
      <c r="I1604" s="189" t="s">
        <v>113</v>
      </c>
      <c r="J1604" s="189" t="s">
        <v>128</v>
      </c>
      <c r="K1604" s="189" t="s">
        <v>364</v>
      </c>
      <c r="L1604" s="189" t="s">
        <v>233</v>
      </c>
      <c r="M1604" s="189" t="s">
        <v>391</v>
      </c>
      <c r="N1604" s="189" t="s">
        <v>2201</v>
      </c>
      <c r="O1604" s="189" t="s">
        <v>172</v>
      </c>
      <c r="P1604" s="189" t="s">
        <v>111</v>
      </c>
      <c r="Q1604" s="189" t="s">
        <v>112</v>
      </c>
      <c r="R1604" s="189" t="s">
        <v>24</v>
      </c>
      <c r="S1604" s="189" t="s">
        <v>152</v>
      </c>
      <c r="T1604" s="189" t="s">
        <v>121</v>
      </c>
      <c r="U1604" s="189" t="s">
        <v>562</v>
      </c>
      <c r="V1604" s="189" t="s">
        <v>123</v>
      </c>
      <c r="W1604" s="189" t="s">
        <v>124</v>
      </c>
      <c r="X1604" s="189" t="s">
        <v>448</v>
      </c>
      <c r="Y1604" s="189" t="s">
        <v>3064</v>
      </c>
      <c r="Z1604" s="0" t="n">
        <v>3</v>
      </c>
      <c r="AA1604" s="189" t="s">
        <v>3175</v>
      </c>
    </row>
    <row r="1605" customFormat="false" ht="15" hidden="false" customHeight="false" outlineLevel="0" collapsed="false">
      <c r="A1605" s="0" t="n">
        <v>344</v>
      </c>
      <c r="B1605" s="191" t="n">
        <v>46137.8966945301</v>
      </c>
      <c r="C1605" s="191" t="n">
        <v>46137.9052593449</v>
      </c>
      <c r="D1605" s="189" t="s">
        <v>2197</v>
      </c>
      <c r="E1605" s="189" t="s">
        <v>2198</v>
      </c>
      <c r="F1605" s="189" t="s">
        <v>2199</v>
      </c>
      <c r="G1605" s="189" t="s">
        <v>2200</v>
      </c>
      <c r="H1605" s="191" t="n">
        <v>46117</v>
      </c>
      <c r="I1605" s="189" t="s">
        <v>113</v>
      </c>
      <c r="J1605" s="189" t="s">
        <v>128</v>
      </c>
      <c r="K1605" s="189" t="s">
        <v>364</v>
      </c>
      <c r="L1605" s="189" t="s">
        <v>233</v>
      </c>
      <c r="M1605" s="189" t="s">
        <v>391</v>
      </c>
      <c r="N1605" s="189" t="s">
        <v>2201</v>
      </c>
      <c r="O1605" s="189" t="s">
        <v>172</v>
      </c>
      <c r="P1605" s="189" t="s">
        <v>111</v>
      </c>
      <c r="Q1605" s="189" t="s">
        <v>112</v>
      </c>
      <c r="R1605" s="189" t="s">
        <v>24</v>
      </c>
      <c r="S1605" s="189" t="s">
        <v>152</v>
      </c>
      <c r="T1605" s="189" t="s">
        <v>121</v>
      </c>
      <c r="U1605" s="189" t="s">
        <v>562</v>
      </c>
      <c r="V1605" s="189" t="s">
        <v>123</v>
      </c>
      <c r="W1605" s="189" t="s">
        <v>124</v>
      </c>
      <c r="X1605" s="189" t="s">
        <v>448</v>
      </c>
      <c r="Y1605" s="189" t="s">
        <v>3066</v>
      </c>
      <c r="Z1605" s="0" t="n">
        <v>1</v>
      </c>
      <c r="AA1605" s="189" t="s">
        <v>3276</v>
      </c>
    </row>
    <row r="1606" customFormat="false" ht="15" hidden="false" customHeight="false" outlineLevel="0" collapsed="false">
      <c r="A1606" s="0" t="n">
        <v>344</v>
      </c>
      <c r="B1606" s="191" t="n">
        <v>46137.8966945301</v>
      </c>
      <c r="C1606" s="191" t="n">
        <v>46137.9052593449</v>
      </c>
      <c r="D1606" s="189" t="s">
        <v>2197</v>
      </c>
      <c r="E1606" s="189" t="s">
        <v>2198</v>
      </c>
      <c r="F1606" s="189" t="s">
        <v>2199</v>
      </c>
      <c r="G1606" s="189" t="s">
        <v>2200</v>
      </c>
      <c r="H1606" s="191" t="n">
        <v>46117</v>
      </c>
      <c r="I1606" s="189" t="s">
        <v>113</v>
      </c>
      <c r="J1606" s="189" t="s">
        <v>128</v>
      </c>
      <c r="K1606" s="189" t="s">
        <v>364</v>
      </c>
      <c r="L1606" s="189" t="s">
        <v>233</v>
      </c>
      <c r="M1606" s="189" t="s">
        <v>391</v>
      </c>
      <c r="N1606" s="189" t="s">
        <v>2201</v>
      </c>
      <c r="O1606" s="189" t="s">
        <v>172</v>
      </c>
      <c r="P1606" s="189" t="s">
        <v>111</v>
      </c>
      <c r="Q1606" s="189" t="s">
        <v>112</v>
      </c>
      <c r="R1606" s="189" t="s">
        <v>24</v>
      </c>
      <c r="S1606" s="189" t="s">
        <v>152</v>
      </c>
      <c r="T1606" s="189" t="s">
        <v>121</v>
      </c>
      <c r="U1606" s="189" t="s">
        <v>562</v>
      </c>
      <c r="V1606" s="189" t="s">
        <v>123</v>
      </c>
      <c r="W1606" s="189" t="s">
        <v>124</v>
      </c>
      <c r="X1606" s="189" t="s">
        <v>448</v>
      </c>
      <c r="Y1606" s="189" t="s">
        <v>3069</v>
      </c>
      <c r="Z1606" s="0" t="n">
        <v>1</v>
      </c>
      <c r="AA1606" s="189" t="s">
        <v>3178</v>
      </c>
    </row>
    <row r="1607" customFormat="false" ht="15" hidden="false" customHeight="false" outlineLevel="0" collapsed="false">
      <c r="A1607" s="0" t="n">
        <v>345</v>
      </c>
      <c r="B1607" s="191" t="n">
        <v>46116.0075704434</v>
      </c>
      <c r="C1607" s="191" t="n">
        <v>46116.0114477582</v>
      </c>
      <c r="D1607" s="189" t="s">
        <v>2203</v>
      </c>
      <c r="E1607" s="189" t="s">
        <v>2204</v>
      </c>
      <c r="F1607" s="189" t="s">
        <v>2204</v>
      </c>
      <c r="G1607" s="189" t="s">
        <v>2205</v>
      </c>
      <c r="H1607" s="191" t="n">
        <v>46104</v>
      </c>
      <c r="I1607" s="189" t="s">
        <v>113</v>
      </c>
      <c r="J1607" s="189" t="s">
        <v>108</v>
      </c>
      <c r="K1607" s="189" t="s">
        <v>2206</v>
      </c>
      <c r="L1607" s="189" t="s">
        <v>346</v>
      </c>
      <c r="M1607" s="189" t="s">
        <v>905</v>
      </c>
      <c r="N1607" s="189" t="s">
        <v>227</v>
      </c>
      <c r="O1607" s="189" t="s">
        <v>278</v>
      </c>
      <c r="P1607" s="189" t="s">
        <v>111</v>
      </c>
      <c r="Q1607" s="189" t="s">
        <v>145</v>
      </c>
      <c r="R1607" s="189" t="s">
        <v>22</v>
      </c>
      <c r="S1607" s="189" t="s">
        <v>152</v>
      </c>
      <c r="T1607" s="189" t="s">
        <v>121</v>
      </c>
      <c r="V1607" s="189" t="s">
        <v>123</v>
      </c>
      <c r="W1607" s="189" t="s">
        <v>124</v>
      </c>
      <c r="X1607" s="189" t="s">
        <v>135</v>
      </c>
      <c r="Y1607" s="189" t="s">
        <v>3064</v>
      </c>
      <c r="Z1607" s="0" t="n">
        <v>1</v>
      </c>
      <c r="AA1607" s="189" t="s">
        <v>3072</v>
      </c>
    </row>
    <row r="1608" customFormat="false" ht="15" hidden="false" customHeight="false" outlineLevel="0" collapsed="false">
      <c r="A1608" s="0" t="n">
        <v>345</v>
      </c>
      <c r="B1608" s="191" t="n">
        <v>46116.0075704434</v>
      </c>
      <c r="C1608" s="191" t="n">
        <v>46116.0114477582</v>
      </c>
      <c r="D1608" s="189" t="s">
        <v>2203</v>
      </c>
      <c r="E1608" s="189" t="s">
        <v>2204</v>
      </c>
      <c r="F1608" s="189" t="s">
        <v>2204</v>
      </c>
      <c r="G1608" s="189" t="s">
        <v>2205</v>
      </c>
      <c r="H1608" s="191" t="n">
        <v>46104</v>
      </c>
      <c r="I1608" s="189" t="s">
        <v>113</v>
      </c>
      <c r="J1608" s="189" t="s">
        <v>108</v>
      </c>
      <c r="K1608" s="189" t="s">
        <v>2206</v>
      </c>
      <c r="L1608" s="189" t="s">
        <v>346</v>
      </c>
      <c r="M1608" s="189" t="s">
        <v>905</v>
      </c>
      <c r="N1608" s="189" t="s">
        <v>227</v>
      </c>
      <c r="O1608" s="189" t="s">
        <v>278</v>
      </c>
      <c r="P1608" s="189" t="s">
        <v>111</v>
      </c>
      <c r="Q1608" s="189" t="s">
        <v>145</v>
      </c>
      <c r="R1608" s="189" t="s">
        <v>22</v>
      </c>
      <c r="S1608" s="189" t="s">
        <v>152</v>
      </c>
      <c r="T1608" s="189" t="s">
        <v>121</v>
      </c>
      <c r="V1608" s="189" t="s">
        <v>123</v>
      </c>
      <c r="W1608" s="189" t="s">
        <v>124</v>
      </c>
      <c r="X1608" s="189" t="s">
        <v>135</v>
      </c>
      <c r="Y1608" s="189" t="s">
        <v>3066</v>
      </c>
      <c r="Z1608" s="0" t="n">
        <v>1</v>
      </c>
      <c r="AA1608" s="189" t="s">
        <v>3151</v>
      </c>
    </row>
    <row r="1609" customFormat="false" ht="15" hidden="false" customHeight="false" outlineLevel="0" collapsed="false">
      <c r="A1609" s="0" t="n">
        <v>345</v>
      </c>
      <c r="B1609" s="191" t="n">
        <v>46116.0075704434</v>
      </c>
      <c r="C1609" s="191" t="n">
        <v>46116.0114477582</v>
      </c>
      <c r="D1609" s="189" t="s">
        <v>2203</v>
      </c>
      <c r="E1609" s="189" t="s">
        <v>2204</v>
      </c>
      <c r="F1609" s="189" t="s">
        <v>2204</v>
      </c>
      <c r="G1609" s="189" t="s">
        <v>2205</v>
      </c>
      <c r="H1609" s="191" t="n">
        <v>46104</v>
      </c>
      <c r="I1609" s="189" t="s">
        <v>113</v>
      </c>
      <c r="J1609" s="189" t="s">
        <v>108</v>
      </c>
      <c r="K1609" s="189" t="s">
        <v>2206</v>
      </c>
      <c r="L1609" s="189" t="s">
        <v>346</v>
      </c>
      <c r="M1609" s="189" t="s">
        <v>905</v>
      </c>
      <c r="N1609" s="189" t="s">
        <v>227</v>
      </c>
      <c r="O1609" s="189" t="s">
        <v>278</v>
      </c>
      <c r="P1609" s="189" t="s">
        <v>111</v>
      </c>
      <c r="Q1609" s="189" t="s">
        <v>145</v>
      </c>
      <c r="R1609" s="189" t="s">
        <v>22</v>
      </c>
      <c r="S1609" s="189" t="s">
        <v>152</v>
      </c>
      <c r="T1609" s="189" t="s">
        <v>121</v>
      </c>
      <c r="V1609" s="189" t="s">
        <v>123</v>
      </c>
      <c r="W1609" s="189" t="s">
        <v>124</v>
      </c>
      <c r="X1609" s="189" t="s">
        <v>135</v>
      </c>
      <c r="Y1609" s="189" t="s">
        <v>3069</v>
      </c>
      <c r="Z1609" s="0" t="n">
        <v>1</v>
      </c>
      <c r="AA1609" s="189" t="s">
        <v>3193</v>
      </c>
    </row>
    <row r="1610" customFormat="false" ht="15" hidden="false" customHeight="false" outlineLevel="0" collapsed="false">
      <c r="A1610" s="0" t="n">
        <v>345</v>
      </c>
      <c r="B1610" s="191" t="n">
        <v>46116.0075704434</v>
      </c>
      <c r="C1610" s="191" t="n">
        <v>46116.0114477582</v>
      </c>
      <c r="D1610" s="189" t="s">
        <v>2203</v>
      </c>
      <c r="E1610" s="189" t="s">
        <v>2204</v>
      </c>
      <c r="F1610" s="189" t="s">
        <v>2204</v>
      </c>
      <c r="G1610" s="189" t="s">
        <v>2205</v>
      </c>
      <c r="H1610" s="191" t="n">
        <v>46104</v>
      </c>
      <c r="I1610" s="189" t="s">
        <v>113</v>
      </c>
      <c r="J1610" s="189" t="s">
        <v>108</v>
      </c>
      <c r="K1610" s="189" t="s">
        <v>2206</v>
      </c>
      <c r="L1610" s="189" t="s">
        <v>346</v>
      </c>
      <c r="M1610" s="189" t="s">
        <v>905</v>
      </c>
      <c r="N1610" s="189" t="s">
        <v>227</v>
      </c>
      <c r="O1610" s="189" t="s">
        <v>278</v>
      </c>
      <c r="P1610" s="189" t="s">
        <v>111</v>
      </c>
      <c r="Q1610" s="189" t="s">
        <v>145</v>
      </c>
      <c r="R1610" s="189" t="s">
        <v>22</v>
      </c>
      <c r="S1610" s="189" t="s">
        <v>152</v>
      </c>
      <c r="T1610" s="189" t="s">
        <v>121</v>
      </c>
      <c r="V1610" s="189" t="s">
        <v>123</v>
      </c>
      <c r="W1610" s="189" t="s">
        <v>124</v>
      </c>
      <c r="X1610" s="189" t="s">
        <v>135</v>
      </c>
      <c r="Y1610" s="189" t="s">
        <v>3069</v>
      </c>
      <c r="Z1610" s="0" t="n">
        <v>2</v>
      </c>
      <c r="AA1610" s="189" t="s">
        <v>3257</v>
      </c>
    </row>
    <row r="1611" customFormat="false" ht="15" hidden="false" customHeight="false" outlineLevel="0" collapsed="false">
      <c r="A1611" s="0" t="n">
        <v>346</v>
      </c>
      <c r="B1611" s="191" t="n">
        <v>46101.9250492349</v>
      </c>
      <c r="C1611" s="191" t="n">
        <v>46101.9309867349</v>
      </c>
      <c r="D1611" s="189" t="s">
        <v>2208</v>
      </c>
      <c r="E1611" s="189" t="s">
        <v>2209</v>
      </c>
      <c r="F1611" s="189" t="s">
        <v>2209</v>
      </c>
      <c r="G1611" s="189" t="s">
        <v>2210</v>
      </c>
      <c r="H1611" s="191" t="n">
        <v>46081</v>
      </c>
      <c r="I1611" s="189" t="s">
        <v>113</v>
      </c>
      <c r="J1611" s="189" t="s">
        <v>108</v>
      </c>
      <c r="K1611" s="189" t="s">
        <v>2012</v>
      </c>
      <c r="L1611" s="189" t="s">
        <v>431</v>
      </c>
      <c r="M1611" s="189" t="s">
        <v>578</v>
      </c>
      <c r="N1611" s="189" t="s">
        <v>1006</v>
      </c>
      <c r="O1611" s="189" t="s">
        <v>260</v>
      </c>
      <c r="P1611" s="189" t="s">
        <v>131</v>
      </c>
      <c r="Q1611" s="189" t="s">
        <v>112</v>
      </c>
      <c r="R1611" s="189" t="s">
        <v>22</v>
      </c>
      <c r="S1611" s="189" t="s">
        <v>120</v>
      </c>
      <c r="T1611" s="189" t="s">
        <v>121</v>
      </c>
      <c r="U1611" s="189" t="s">
        <v>204</v>
      </c>
      <c r="V1611" s="189" t="s">
        <v>192</v>
      </c>
      <c r="W1611" s="189" t="s">
        <v>124</v>
      </c>
      <c r="X1611" s="189" t="s">
        <v>116</v>
      </c>
      <c r="Y1611" s="189" t="s">
        <v>3064</v>
      </c>
      <c r="Z1611" s="0" t="n">
        <v>1</v>
      </c>
      <c r="AA1611" s="189" t="s">
        <v>3107</v>
      </c>
    </row>
    <row r="1612" customFormat="false" ht="15" hidden="false" customHeight="false" outlineLevel="0" collapsed="false">
      <c r="A1612" s="0" t="n">
        <v>346</v>
      </c>
      <c r="B1612" s="191" t="n">
        <v>46101.9250492349</v>
      </c>
      <c r="C1612" s="191" t="n">
        <v>46101.9309867349</v>
      </c>
      <c r="D1612" s="189" t="s">
        <v>2208</v>
      </c>
      <c r="E1612" s="189" t="s">
        <v>2209</v>
      </c>
      <c r="F1612" s="189" t="s">
        <v>2209</v>
      </c>
      <c r="G1612" s="189" t="s">
        <v>2210</v>
      </c>
      <c r="H1612" s="191" t="n">
        <v>46081</v>
      </c>
      <c r="I1612" s="189" t="s">
        <v>113</v>
      </c>
      <c r="J1612" s="189" t="s">
        <v>108</v>
      </c>
      <c r="K1612" s="189" t="s">
        <v>2012</v>
      </c>
      <c r="L1612" s="189" t="s">
        <v>431</v>
      </c>
      <c r="M1612" s="189" t="s">
        <v>578</v>
      </c>
      <c r="N1612" s="189" t="s">
        <v>1006</v>
      </c>
      <c r="O1612" s="189" t="s">
        <v>260</v>
      </c>
      <c r="P1612" s="189" t="s">
        <v>131</v>
      </c>
      <c r="Q1612" s="189" t="s">
        <v>112</v>
      </c>
      <c r="R1612" s="189" t="s">
        <v>22</v>
      </c>
      <c r="S1612" s="189" t="s">
        <v>120</v>
      </c>
      <c r="T1612" s="189" t="s">
        <v>121</v>
      </c>
      <c r="U1612" s="189" t="s">
        <v>204</v>
      </c>
      <c r="V1612" s="189" t="s">
        <v>192</v>
      </c>
      <c r="W1612" s="189" t="s">
        <v>124</v>
      </c>
      <c r="X1612" s="189" t="s">
        <v>116</v>
      </c>
      <c r="Y1612" s="189" t="s">
        <v>3064</v>
      </c>
      <c r="Z1612" s="0" t="n">
        <v>2</v>
      </c>
      <c r="AA1612" s="189" t="s">
        <v>3065</v>
      </c>
    </row>
    <row r="1613" customFormat="false" ht="15" hidden="false" customHeight="false" outlineLevel="0" collapsed="false">
      <c r="A1613" s="0" t="n">
        <v>346</v>
      </c>
      <c r="B1613" s="191" t="n">
        <v>46101.9250492349</v>
      </c>
      <c r="C1613" s="191" t="n">
        <v>46101.9309867349</v>
      </c>
      <c r="D1613" s="189" t="s">
        <v>2208</v>
      </c>
      <c r="E1613" s="189" t="s">
        <v>2209</v>
      </c>
      <c r="F1613" s="189" t="s">
        <v>2209</v>
      </c>
      <c r="G1613" s="189" t="s">
        <v>2210</v>
      </c>
      <c r="H1613" s="191" t="n">
        <v>46081</v>
      </c>
      <c r="I1613" s="189" t="s">
        <v>113</v>
      </c>
      <c r="J1613" s="189" t="s">
        <v>108</v>
      </c>
      <c r="K1613" s="189" t="s">
        <v>2012</v>
      </c>
      <c r="L1613" s="189" t="s">
        <v>431</v>
      </c>
      <c r="M1613" s="189" t="s">
        <v>578</v>
      </c>
      <c r="N1613" s="189" t="s">
        <v>1006</v>
      </c>
      <c r="O1613" s="189" t="s">
        <v>260</v>
      </c>
      <c r="P1613" s="189" t="s">
        <v>131</v>
      </c>
      <c r="Q1613" s="189" t="s">
        <v>112</v>
      </c>
      <c r="R1613" s="189" t="s">
        <v>22</v>
      </c>
      <c r="S1613" s="189" t="s">
        <v>120</v>
      </c>
      <c r="T1613" s="189" t="s">
        <v>121</v>
      </c>
      <c r="U1613" s="189" t="s">
        <v>204</v>
      </c>
      <c r="V1613" s="189" t="s">
        <v>192</v>
      </c>
      <c r="W1613" s="189" t="s">
        <v>124</v>
      </c>
      <c r="X1613" s="189" t="s">
        <v>116</v>
      </c>
      <c r="Y1613" s="189" t="s">
        <v>3066</v>
      </c>
      <c r="Z1613" s="0" t="n">
        <v>1</v>
      </c>
      <c r="AA1613" s="189" t="s">
        <v>3211</v>
      </c>
    </row>
    <row r="1614" customFormat="false" ht="15" hidden="false" customHeight="false" outlineLevel="0" collapsed="false">
      <c r="A1614" s="0" t="n">
        <v>346</v>
      </c>
      <c r="B1614" s="191" t="n">
        <v>46101.9250492349</v>
      </c>
      <c r="C1614" s="191" t="n">
        <v>46101.9309867349</v>
      </c>
      <c r="D1614" s="189" t="s">
        <v>2208</v>
      </c>
      <c r="E1614" s="189" t="s">
        <v>2209</v>
      </c>
      <c r="F1614" s="189" t="s">
        <v>2209</v>
      </c>
      <c r="G1614" s="189" t="s">
        <v>2210</v>
      </c>
      <c r="H1614" s="191" t="n">
        <v>46081</v>
      </c>
      <c r="I1614" s="189" t="s">
        <v>113</v>
      </c>
      <c r="J1614" s="189" t="s">
        <v>108</v>
      </c>
      <c r="K1614" s="189" t="s">
        <v>2012</v>
      </c>
      <c r="L1614" s="189" t="s">
        <v>431</v>
      </c>
      <c r="M1614" s="189" t="s">
        <v>578</v>
      </c>
      <c r="N1614" s="189" t="s">
        <v>1006</v>
      </c>
      <c r="O1614" s="189" t="s">
        <v>260</v>
      </c>
      <c r="P1614" s="189" t="s">
        <v>131</v>
      </c>
      <c r="Q1614" s="189" t="s">
        <v>112</v>
      </c>
      <c r="R1614" s="189" t="s">
        <v>22</v>
      </c>
      <c r="S1614" s="189" t="s">
        <v>120</v>
      </c>
      <c r="T1614" s="189" t="s">
        <v>121</v>
      </c>
      <c r="U1614" s="189" t="s">
        <v>204</v>
      </c>
      <c r="V1614" s="189" t="s">
        <v>192</v>
      </c>
      <c r="W1614" s="189" t="s">
        <v>124</v>
      </c>
      <c r="X1614" s="189" t="s">
        <v>116</v>
      </c>
      <c r="Y1614" s="189" t="s">
        <v>3066</v>
      </c>
      <c r="Z1614" s="0" t="n">
        <v>2</v>
      </c>
      <c r="AA1614" s="189" t="s">
        <v>3082</v>
      </c>
    </row>
    <row r="1615" customFormat="false" ht="15" hidden="false" customHeight="false" outlineLevel="0" collapsed="false">
      <c r="A1615" s="0" t="n">
        <v>346</v>
      </c>
      <c r="B1615" s="191" t="n">
        <v>46101.9250492349</v>
      </c>
      <c r="C1615" s="191" t="n">
        <v>46101.9309867349</v>
      </c>
      <c r="D1615" s="189" t="s">
        <v>2208</v>
      </c>
      <c r="E1615" s="189" t="s">
        <v>2209</v>
      </c>
      <c r="F1615" s="189" t="s">
        <v>2209</v>
      </c>
      <c r="G1615" s="189" t="s">
        <v>2210</v>
      </c>
      <c r="H1615" s="191" t="n">
        <v>46081</v>
      </c>
      <c r="I1615" s="189" t="s">
        <v>113</v>
      </c>
      <c r="J1615" s="189" t="s">
        <v>108</v>
      </c>
      <c r="K1615" s="189" t="s">
        <v>2012</v>
      </c>
      <c r="L1615" s="189" t="s">
        <v>431</v>
      </c>
      <c r="M1615" s="189" t="s">
        <v>578</v>
      </c>
      <c r="N1615" s="189" t="s">
        <v>1006</v>
      </c>
      <c r="O1615" s="189" t="s">
        <v>260</v>
      </c>
      <c r="P1615" s="189" t="s">
        <v>131</v>
      </c>
      <c r="Q1615" s="189" t="s">
        <v>112</v>
      </c>
      <c r="R1615" s="189" t="s">
        <v>22</v>
      </c>
      <c r="S1615" s="189" t="s">
        <v>120</v>
      </c>
      <c r="T1615" s="189" t="s">
        <v>121</v>
      </c>
      <c r="U1615" s="189" t="s">
        <v>204</v>
      </c>
      <c r="V1615" s="189" t="s">
        <v>192</v>
      </c>
      <c r="W1615" s="189" t="s">
        <v>124</v>
      </c>
      <c r="X1615" s="189" t="s">
        <v>116</v>
      </c>
      <c r="Y1615" s="189" t="s">
        <v>3069</v>
      </c>
      <c r="Z1615" s="0" t="n">
        <v>1</v>
      </c>
      <c r="AA1615" s="189" t="s">
        <v>3140</v>
      </c>
    </row>
    <row r="1616" customFormat="false" ht="15" hidden="false" customHeight="false" outlineLevel="0" collapsed="false">
      <c r="A1616" s="0" t="n">
        <v>346</v>
      </c>
      <c r="B1616" s="191" t="n">
        <v>46101.9250492349</v>
      </c>
      <c r="C1616" s="191" t="n">
        <v>46101.9309867349</v>
      </c>
      <c r="D1616" s="189" t="s">
        <v>2208</v>
      </c>
      <c r="E1616" s="189" t="s">
        <v>2209</v>
      </c>
      <c r="F1616" s="189" t="s">
        <v>2209</v>
      </c>
      <c r="G1616" s="189" t="s">
        <v>2210</v>
      </c>
      <c r="H1616" s="191" t="n">
        <v>46081</v>
      </c>
      <c r="I1616" s="189" t="s">
        <v>113</v>
      </c>
      <c r="J1616" s="189" t="s">
        <v>108</v>
      </c>
      <c r="K1616" s="189" t="s">
        <v>2012</v>
      </c>
      <c r="L1616" s="189" t="s">
        <v>431</v>
      </c>
      <c r="M1616" s="189" t="s">
        <v>578</v>
      </c>
      <c r="N1616" s="189" t="s">
        <v>1006</v>
      </c>
      <c r="O1616" s="189" t="s">
        <v>260</v>
      </c>
      <c r="P1616" s="189" t="s">
        <v>131</v>
      </c>
      <c r="Q1616" s="189" t="s">
        <v>112</v>
      </c>
      <c r="R1616" s="189" t="s">
        <v>22</v>
      </c>
      <c r="S1616" s="189" t="s">
        <v>120</v>
      </c>
      <c r="T1616" s="189" t="s">
        <v>121</v>
      </c>
      <c r="U1616" s="189" t="s">
        <v>204</v>
      </c>
      <c r="V1616" s="189" t="s">
        <v>192</v>
      </c>
      <c r="W1616" s="189" t="s">
        <v>124</v>
      </c>
      <c r="X1616" s="189" t="s">
        <v>116</v>
      </c>
      <c r="Y1616" s="189" t="s">
        <v>3069</v>
      </c>
      <c r="Z1616" s="0" t="n">
        <v>2</v>
      </c>
      <c r="AA1616" s="189" t="s">
        <v>3070</v>
      </c>
    </row>
    <row r="1617" customFormat="false" ht="15" hidden="false" customHeight="false" outlineLevel="0" collapsed="false">
      <c r="A1617" s="0" t="n">
        <v>347</v>
      </c>
      <c r="B1617" s="191" t="n">
        <v>46126.7339305503</v>
      </c>
      <c r="C1617" s="191" t="n">
        <v>46126.736534717</v>
      </c>
      <c r="D1617" s="189" t="s">
        <v>2212</v>
      </c>
      <c r="E1617" s="189" t="s">
        <v>2213</v>
      </c>
      <c r="F1617" s="189" t="s">
        <v>2213</v>
      </c>
      <c r="G1617" s="189" t="s">
        <v>2214</v>
      </c>
      <c r="H1617" s="191" t="n">
        <v>46126</v>
      </c>
      <c r="I1617" s="189" t="s">
        <v>305</v>
      </c>
      <c r="J1617" s="189" t="s">
        <v>128</v>
      </c>
      <c r="K1617" s="189" t="s">
        <v>232</v>
      </c>
      <c r="L1617" s="189" t="s">
        <v>210</v>
      </c>
      <c r="M1617" s="189" t="s">
        <v>652</v>
      </c>
      <c r="N1617" s="189" t="s">
        <v>1006</v>
      </c>
      <c r="O1617" s="189" t="s">
        <v>107</v>
      </c>
      <c r="P1617" s="189" t="s">
        <v>111</v>
      </c>
      <c r="Q1617" s="189" t="s">
        <v>112</v>
      </c>
      <c r="R1617" s="189" t="s">
        <v>22</v>
      </c>
      <c r="S1617" s="189" t="s">
        <v>152</v>
      </c>
      <c r="T1617" s="189" t="s">
        <v>121</v>
      </c>
      <c r="V1617" s="189" t="s">
        <v>192</v>
      </c>
      <c r="W1617" s="189" t="s">
        <v>124</v>
      </c>
      <c r="X1617" s="189" t="s">
        <v>176</v>
      </c>
      <c r="Y1617" s="189" t="s">
        <v>3064</v>
      </c>
      <c r="Z1617" s="0" t="n">
        <v>1</v>
      </c>
      <c r="AA1617" s="189" t="s">
        <v>3264</v>
      </c>
    </row>
    <row r="1618" customFormat="false" ht="15" hidden="false" customHeight="false" outlineLevel="0" collapsed="false">
      <c r="A1618" s="0" t="n">
        <v>347</v>
      </c>
      <c r="B1618" s="191" t="n">
        <v>46126.7339305503</v>
      </c>
      <c r="C1618" s="191" t="n">
        <v>46126.736534717</v>
      </c>
      <c r="D1618" s="189" t="s">
        <v>2212</v>
      </c>
      <c r="E1618" s="189" t="s">
        <v>2213</v>
      </c>
      <c r="F1618" s="189" t="s">
        <v>2213</v>
      </c>
      <c r="G1618" s="189" t="s">
        <v>2214</v>
      </c>
      <c r="H1618" s="191" t="n">
        <v>46126</v>
      </c>
      <c r="I1618" s="189" t="s">
        <v>305</v>
      </c>
      <c r="J1618" s="189" t="s">
        <v>128</v>
      </c>
      <c r="K1618" s="189" t="s">
        <v>232</v>
      </c>
      <c r="L1618" s="189" t="s">
        <v>210</v>
      </c>
      <c r="M1618" s="189" t="s">
        <v>652</v>
      </c>
      <c r="N1618" s="189" t="s">
        <v>1006</v>
      </c>
      <c r="O1618" s="189" t="s">
        <v>107</v>
      </c>
      <c r="P1618" s="189" t="s">
        <v>111</v>
      </c>
      <c r="Q1618" s="189" t="s">
        <v>112</v>
      </c>
      <c r="R1618" s="189" t="s">
        <v>22</v>
      </c>
      <c r="S1618" s="189" t="s">
        <v>152</v>
      </c>
      <c r="T1618" s="189" t="s">
        <v>121</v>
      </c>
      <c r="V1618" s="189" t="s">
        <v>192</v>
      </c>
      <c r="W1618" s="189" t="s">
        <v>124</v>
      </c>
      <c r="X1618" s="189" t="s">
        <v>176</v>
      </c>
      <c r="Y1618" s="189" t="s">
        <v>3064</v>
      </c>
      <c r="Z1618" s="0" t="n">
        <v>2</v>
      </c>
      <c r="AA1618" s="189" t="s">
        <v>3244</v>
      </c>
    </row>
    <row r="1619" customFormat="false" ht="15" hidden="false" customHeight="false" outlineLevel="0" collapsed="false">
      <c r="A1619" s="0" t="n">
        <v>347</v>
      </c>
      <c r="B1619" s="191" t="n">
        <v>46126.7339305503</v>
      </c>
      <c r="C1619" s="191" t="n">
        <v>46126.736534717</v>
      </c>
      <c r="D1619" s="189" t="s">
        <v>2212</v>
      </c>
      <c r="E1619" s="189" t="s">
        <v>2213</v>
      </c>
      <c r="F1619" s="189" t="s">
        <v>2213</v>
      </c>
      <c r="G1619" s="189" t="s">
        <v>2214</v>
      </c>
      <c r="H1619" s="191" t="n">
        <v>46126</v>
      </c>
      <c r="I1619" s="189" t="s">
        <v>305</v>
      </c>
      <c r="J1619" s="189" t="s">
        <v>128</v>
      </c>
      <c r="K1619" s="189" t="s">
        <v>232</v>
      </c>
      <c r="L1619" s="189" t="s">
        <v>210</v>
      </c>
      <c r="M1619" s="189" t="s">
        <v>652</v>
      </c>
      <c r="N1619" s="189" t="s">
        <v>1006</v>
      </c>
      <c r="O1619" s="189" t="s">
        <v>107</v>
      </c>
      <c r="P1619" s="189" t="s">
        <v>111</v>
      </c>
      <c r="Q1619" s="189" t="s">
        <v>112</v>
      </c>
      <c r="R1619" s="189" t="s">
        <v>22</v>
      </c>
      <c r="S1619" s="189" t="s">
        <v>152</v>
      </c>
      <c r="T1619" s="189" t="s">
        <v>121</v>
      </c>
      <c r="V1619" s="189" t="s">
        <v>192</v>
      </c>
      <c r="W1619" s="189" t="s">
        <v>124</v>
      </c>
      <c r="X1619" s="189" t="s">
        <v>176</v>
      </c>
      <c r="Y1619" s="189" t="s">
        <v>3064</v>
      </c>
      <c r="Z1619" s="0" t="n">
        <v>3</v>
      </c>
      <c r="AA1619" s="189" t="s">
        <v>3321</v>
      </c>
    </row>
    <row r="1620" customFormat="false" ht="15" hidden="false" customHeight="false" outlineLevel="0" collapsed="false">
      <c r="A1620" s="0" t="n">
        <v>347</v>
      </c>
      <c r="B1620" s="191" t="n">
        <v>46126.7339305503</v>
      </c>
      <c r="C1620" s="191" t="n">
        <v>46126.736534717</v>
      </c>
      <c r="D1620" s="189" t="s">
        <v>2212</v>
      </c>
      <c r="E1620" s="189" t="s">
        <v>2213</v>
      </c>
      <c r="F1620" s="189" t="s">
        <v>2213</v>
      </c>
      <c r="G1620" s="189" t="s">
        <v>2214</v>
      </c>
      <c r="H1620" s="191" t="n">
        <v>46126</v>
      </c>
      <c r="I1620" s="189" t="s">
        <v>305</v>
      </c>
      <c r="J1620" s="189" t="s">
        <v>128</v>
      </c>
      <c r="K1620" s="189" t="s">
        <v>232</v>
      </c>
      <c r="L1620" s="189" t="s">
        <v>210</v>
      </c>
      <c r="M1620" s="189" t="s">
        <v>652</v>
      </c>
      <c r="N1620" s="189" t="s">
        <v>1006</v>
      </c>
      <c r="O1620" s="189" t="s">
        <v>107</v>
      </c>
      <c r="P1620" s="189" t="s">
        <v>111</v>
      </c>
      <c r="Q1620" s="189" t="s">
        <v>112</v>
      </c>
      <c r="R1620" s="189" t="s">
        <v>22</v>
      </c>
      <c r="S1620" s="189" t="s">
        <v>152</v>
      </c>
      <c r="T1620" s="189" t="s">
        <v>121</v>
      </c>
      <c r="V1620" s="189" t="s">
        <v>192</v>
      </c>
      <c r="W1620" s="189" t="s">
        <v>124</v>
      </c>
      <c r="X1620" s="189" t="s">
        <v>176</v>
      </c>
      <c r="Y1620" s="189" t="s">
        <v>3066</v>
      </c>
      <c r="Z1620" s="0" t="n">
        <v>1</v>
      </c>
      <c r="AA1620" s="189" t="s">
        <v>3322</v>
      </c>
    </row>
    <row r="1621" customFormat="false" ht="15" hidden="false" customHeight="false" outlineLevel="0" collapsed="false">
      <c r="A1621" s="0" t="n">
        <v>347</v>
      </c>
      <c r="B1621" s="191" t="n">
        <v>46126.7339305503</v>
      </c>
      <c r="C1621" s="191" t="n">
        <v>46126.736534717</v>
      </c>
      <c r="D1621" s="189" t="s">
        <v>2212</v>
      </c>
      <c r="E1621" s="189" t="s">
        <v>2213</v>
      </c>
      <c r="F1621" s="189" t="s">
        <v>2213</v>
      </c>
      <c r="G1621" s="189" t="s">
        <v>2214</v>
      </c>
      <c r="H1621" s="191" t="n">
        <v>46126</v>
      </c>
      <c r="I1621" s="189" t="s">
        <v>305</v>
      </c>
      <c r="J1621" s="189" t="s">
        <v>128</v>
      </c>
      <c r="K1621" s="189" t="s">
        <v>232</v>
      </c>
      <c r="L1621" s="189" t="s">
        <v>210</v>
      </c>
      <c r="M1621" s="189" t="s">
        <v>652</v>
      </c>
      <c r="N1621" s="189" t="s">
        <v>1006</v>
      </c>
      <c r="O1621" s="189" t="s">
        <v>107</v>
      </c>
      <c r="P1621" s="189" t="s">
        <v>111</v>
      </c>
      <c r="Q1621" s="189" t="s">
        <v>112</v>
      </c>
      <c r="R1621" s="189" t="s">
        <v>22</v>
      </c>
      <c r="S1621" s="189" t="s">
        <v>152</v>
      </c>
      <c r="T1621" s="189" t="s">
        <v>121</v>
      </c>
      <c r="V1621" s="189" t="s">
        <v>192</v>
      </c>
      <c r="W1621" s="189" t="s">
        <v>124</v>
      </c>
      <c r="X1621" s="189" t="s">
        <v>176</v>
      </c>
      <c r="Y1621" s="189" t="s">
        <v>3069</v>
      </c>
      <c r="Z1621" s="0" t="n">
        <v>1</v>
      </c>
      <c r="AA1621" s="189" t="s">
        <v>3294</v>
      </c>
    </row>
    <row r="1622" customFormat="false" ht="15" hidden="false" customHeight="false" outlineLevel="0" collapsed="false">
      <c r="A1622" s="0" t="n">
        <v>347</v>
      </c>
      <c r="B1622" s="191" t="n">
        <v>46126.7339305503</v>
      </c>
      <c r="C1622" s="191" t="n">
        <v>46126.736534717</v>
      </c>
      <c r="D1622" s="189" t="s">
        <v>2212</v>
      </c>
      <c r="E1622" s="189" t="s">
        <v>2213</v>
      </c>
      <c r="F1622" s="189" t="s">
        <v>2213</v>
      </c>
      <c r="G1622" s="189" t="s">
        <v>2214</v>
      </c>
      <c r="H1622" s="191" t="n">
        <v>46126</v>
      </c>
      <c r="I1622" s="189" t="s">
        <v>305</v>
      </c>
      <c r="J1622" s="189" t="s">
        <v>128</v>
      </c>
      <c r="K1622" s="189" t="s">
        <v>232</v>
      </c>
      <c r="L1622" s="189" t="s">
        <v>210</v>
      </c>
      <c r="M1622" s="189" t="s">
        <v>652</v>
      </c>
      <c r="N1622" s="189" t="s">
        <v>1006</v>
      </c>
      <c r="O1622" s="189" t="s">
        <v>107</v>
      </c>
      <c r="P1622" s="189" t="s">
        <v>111</v>
      </c>
      <c r="Q1622" s="189" t="s">
        <v>112</v>
      </c>
      <c r="R1622" s="189" t="s">
        <v>22</v>
      </c>
      <c r="S1622" s="189" t="s">
        <v>152</v>
      </c>
      <c r="T1622" s="189" t="s">
        <v>121</v>
      </c>
      <c r="V1622" s="189" t="s">
        <v>192</v>
      </c>
      <c r="W1622" s="189" t="s">
        <v>124</v>
      </c>
      <c r="X1622" s="189" t="s">
        <v>176</v>
      </c>
      <c r="Y1622" s="189" t="s">
        <v>3069</v>
      </c>
      <c r="Z1622" s="0" t="n">
        <v>2</v>
      </c>
      <c r="AA1622" s="189" t="s">
        <v>3088</v>
      </c>
    </row>
    <row r="1623" customFormat="false" ht="15" hidden="false" customHeight="false" outlineLevel="0" collapsed="false">
      <c r="A1623" s="0" t="n">
        <v>348</v>
      </c>
      <c r="B1623" s="191" t="n">
        <v>46058.8207677924</v>
      </c>
      <c r="C1623" s="191" t="n">
        <v>46058.8378742739</v>
      </c>
      <c r="D1623" s="189" t="s">
        <v>2218</v>
      </c>
      <c r="E1623" s="189" t="s">
        <v>2219</v>
      </c>
      <c r="F1623" s="189" t="s">
        <v>2219</v>
      </c>
      <c r="G1623" s="189" t="s">
        <v>2220</v>
      </c>
      <c r="H1623" s="191" t="n">
        <v>46056</v>
      </c>
      <c r="I1623" s="189" t="s">
        <v>113</v>
      </c>
      <c r="J1623" s="189" t="s">
        <v>108</v>
      </c>
      <c r="K1623" s="189" t="s">
        <v>173</v>
      </c>
      <c r="L1623" s="189" t="s">
        <v>491</v>
      </c>
      <c r="M1623" s="189" t="s">
        <v>515</v>
      </c>
      <c r="N1623" s="189" t="s">
        <v>560</v>
      </c>
      <c r="O1623" s="189" t="s">
        <v>278</v>
      </c>
      <c r="P1623" s="189" t="s">
        <v>390</v>
      </c>
      <c r="Q1623" s="189" t="s">
        <v>247</v>
      </c>
      <c r="R1623" s="189" t="s">
        <v>24</v>
      </c>
      <c r="S1623" s="189" t="s">
        <v>152</v>
      </c>
      <c r="T1623" s="189" t="s">
        <v>180</v>
      </c>
      <c r="V1623" s="189" t="s">
        <v>167</v>
      </c>
      <c r="W1623" s="189" t="s">
        <v>139</v>
      </c>
      <c r="X1623" s="189" t="s">
        <v>214</v>
      </c>
      <c r="Y1623" s="189" t="s">
        <v>3064</v>
      </c>
      <c r="Z1623" s="0" t="n">
        <v>1</v>
      </c>
      <c r="AA1623" s="189" t="s">
        <v>3139</v>
      </c>
    </row>
    <row r="1624" customFormat="false" ht="15" hidden="false" customHeight="false" outlineLevel="0" collapsed="false">
      <c r="A1624" s="0" t="n">
        <v>348</v>
      </c>
      <c r="B1624" s="191" t="n">
        <v>46058.8207677924</v>
      </c>
      <c r="C1624" s="191" t="n">
        <v>46058.8378742739</v>
      </c>
      <c r="D1624" s="189" t="s">
        <v>2218</v>
      </c>
      <c r="E1624" s="189" t="s">
        <v>2219</v>
      </c>
      <c r="F1624" s="189" t="s">
        <v>2219</v>
      </c>
      <c r="G1624" s="189" t="s">
        <v>2220</v>
      </c>
      <c r="H1624" s="191" t="n">
        <v>46056</v>
      </c>
      <c r="I1624" s="189" t="s">
        <v>113</v>
      </c>
      <c r="J1624" s="189" t="s">
        <v>108</v>
      </c>
      <c r="K1624" s="189" t="s">
        <v>173</v>
      </c>
      <c r="L1624" s="189" t="s">
        <v>491</v>
      </c>
      <c r="M1624" s="189" t="s">
        <v>515</v>
      </c>
      <c r="N1624" s="189" t="s">
        <v>560</v>
      </c>
      <c r="O1624" s="189" t="s">
        <v>278</v>
      </c>
      <c r="P1624" s="189" t="s">
        <v>390</v>
      </c>
      <c r="Q1624" s="189" t="s">
        <v>247</v>
      </c>
      <c r="R1624" s="189" t="s">
        <v>24</v>
      </c>
      <c r="S1624" s="189" t="s">
        <v>152</v>
      </c>
      <c r="T1624" s="189" t="s">
        <v>180</v>
      </c>
      <c r="V1624" s="189" t="s">
        <v>167</v>
      </c>
      <c r="W1624" s="189" t="s">
        <v>139</v>
      </c>
      <c r="X1624" s="189" t="s">
        <v>214</v>
      </c>
      <c r="Y1624" s="189" t="s">
        <v>3066</v>
      </c>
      <c r="Z1624" s="0" t="n">
        <v>1</v>
      </c>
      <c r="AA1624" s="189" t="s">
        <v>122</v>
      </c>
    </row>
    <row r="1625" customFormat="false" ht="15" hidden="false" customHeight="false" outlineLevel="0" collapsed="false">
      <c r="A1625" s="0" t="n">
        <v>348</v>
      </c>
      <c r="B1625" s="191" t="n">
        <v>46058.8207677924</v>
      </c>
      <c r="C1625" s="191" t="n">
        <v>46058.8378742739</v>
      </c>
      <c r="D1625" s="189" t="s">
        <v>2218</v>
      </c>
      <c r="E1625" s="189" t="s">
        <v>2219</v>
      </c>
      <c r="F1625" s="189" t="s">
        <v>2219</v>
      </c>
      <c r="G1625" s="189" t="s">
        <v>2220</v>
      </c>
      <c r="H1625" s="191" t="n">
        <v>46056</v>
      </c>
      <c r="I1625" s="189" t="s">
        <v>113</v>
      </c>
      <c r="J1625" s="189" t="s">
        <v>108</v>
      </c>
      <c r="K1625" s="189" t="s">
        <v>173</v>
      </c>
      <c r="L1625" s="189" t="s">
        <v>491</v>
      </c>
      <c r="M1625" s="189" t="s">
        <v>515</v>
      </c>
      <c r="N1625" s="189" t="s">
        <v>560</v>
      </c>
      <c r="O1625" s="189" t="s">
        <v>278</v>
      </c>
      <c r="P1625" s="189" t="s">
        <v>390</v>
      </c>
      <c r="Q1625" s="189" t="s">
        <v>247</v>
      </c>
      <c r="R1625" s="189" t="s">
        <v>24</v>
      </c>
      <c r="S1625" s="189" t="s">
        <v>152</v>
      </c>
      <c r="T1625" s="189" t="s">
        <v>180</v>
      </c>
      <c r="V1625" s="189" t="s">
        <v>167</v>
      </c>
      <c r="W1625" s="189" t="s">
        <v>139</v>
      </c>
      <c r="X1625" s="189" t="s">
        <v>214</v>
      </c>
      <c r="Y1625" s="189" t="s">
        <v>3069</v>
      </c>
      <c r="Z1625" s="0" t="n">
        <v>1</v>
      </c>
      <c r="AA1625" s="189" t="s">
        <v>3083</v>
      </c>
    </row>
    <row r="1626" customFormat="false" ht="15" hidden="false" customHeight="false" outlineLevel="0" collapsed="false">
      <c r="A1626" s="0" t="n">
        <v>349</v>
      </c>
      <c r="B1626" s="191" t="n">
        <v>46117.2184407292</v>
      </c>
      <c r="C1626" s="191" t="n">
        <v>46117.2390541551</v>
      </c>
      <c r="D1626" s="189" t="s">
        <v>2221</v>
      </c>
      <c r="E1626" s="189" t="s">
        <v>2222</v>
      </c>
      <c r="F1626" s="189" t="s">
        <v>2222</v>
      </c>
      <c r="G1626" s="189" t="s">
        <v>2223</v>
      </c>
      <c r="H1626" s="191" t="n">
        <v>46105</v>
      </c>
      <c r="I1626" s="189" t="s">
        <v>113</v>
      </c>
      <c r="J1626" s="189" t="s">
        <v>295</v>
      </c>
      <c r="K1626" s="189" t="s">
        <v>173</v>
      </c>
      <c r="L1626" s="189" t="s">
        <v>210</v>
      </c>
      <c r="M1626" s="189" t="s">
        <v>1074</v>
      </c>
      <c r="N1626" s="189" t="s">
        <v>297</v>
      </c>
      <c r="O1626" s="189" t="s">
        <v>244</v>
      </c>
      <c r="P1626" s="189" t="s">
        <v>111</v>
      </c>
      <c r="Q1626" s="189" t="s">
        <v>145</v>
      </c>
      <c r="R1626" s="189" t="s">
        <v>22</v>
      </c>
      <c r="S1626" s="189" t="s">
        <v>152</v>
      </c>
      <c r="T1626" s="189" t="s">
        <v>180</v>
      </c>
      <c r="U1626" s="189" t="s">
        <v>122</v>
      </c>
      <c r="V1626" s="189" t="s">
        <v>167</v>
      </c>
      <c r="W1626" s="189" t="s">
        <v>168</v>
      </c>
      <c r="X1626" s="189" t="s">
        <v>381</v>
      </c>
      <c r="Y1626" s="189" t="s">
        <v>3064</v>
      </c>
      <c r="Z1626" s="0" t="n">
        <v>1</v>
      </c>
      <c r="AA1626" s="189" t="s">
        <v>3180</v>
      </c>
    </row>
    <row r="1627" customFormat="false" ht="15" hidden="false" customHeight="false" outlineLevel="0" collapsed="false">
      <c r="A1627" s="0" t="n">
        <v>349</v>
      </c>
      <c r="B1627" s="191" t="n">
        <v>46117.2184407292</v>
      </c>
      <c r="C1627" s="191" t="n">
        <v>46117.2390541551</v>
      </c>
      <c r="D1627" s="189" t="s">
        <v>2221</v>
      </c>
      <c r="E1627" s="189" t="s">
        <v>2222</v>
      </c>
      <c r="F1627" s="189" t="s">
        <v>2222</v>
      </c>
      <c r="G1627" s="189" t="s">
        <v>2223</v>
      </c>
      <c r="H1627" s="191" t="n">
        <v>46105</v>
      </c>
      <c r="I1627" s="189" t="s">
        <v>113</v>
      </c>
      <c r="J1627" s="189" t="s">
        <v>295</v>
      </c>
      <c r="K1627" s="189" t="s">
        <v>173</v>
      </c>
      <c r="L1627" s="189" t="s">
        <v>210</v>
      </c>
      <c r="M1627" s="189" t="s">
        <v>1074</v>
      </c>
      <c r="N1627" s="189" t="s">
        <v>297</v>
      </c>
      <c r="O1627" s="189" t="s">
        <v>244</v>
      </c>
      <c r="P1627" s="189" t="s">
        <v>111</v>
      </c>
      <c r="Q1627" s="189" t="s">
        <v>145</v>
      </c>
      <c r="R1627" s="189" t="s">
        <v>22</v>
      </c>
      <c r="S1627" s="189" t="s">
        <v>152</v>
      </c>
      <c r="T1627" s="189" t="s">
        <v>180</v>
      </c>
      <c r="U1627" s="189" t="s">
        <v>122</v>
      </c>
      <c r="V1627" s="189" t="s">
        <v>167</v>
      </c>
      <c r="W1627" s="189" t="s">
        <v>168</v>
      </c>
      <c r="X1627" s="189" t="s">
        <v>381</v>
      </c>
      <c r="Y1627" s="189" t="s">
        <v>3066</v>
      </c>
      <c r="Z1627" s="0" t="n">
        <v>1</v>
      </c>
      <c r="AA1627" s="189" t="s">
        <v>3250</v>
      </c>
    </row>
    <row r="1628" customFormat="false" ht="15" hidden="false" customHeight="false" outlineLevel="0" collapsed="false">
      <c r="A1628" s="0" t="n">
        <v>349</v>
      </c>
      <c r="B1628" s="191" t="n">
        <v>46117.2184407292</v>
      </c>
      <c r="C1628" s="191" t="n">
        <v>46117.2390541551</v>
      </c>
      <c r="D1628" s="189" t="s">
        <v>2221</v>
      </c>
      <c r="E1628" s="189" t="s">
        <v>2222</v>
      </c>
      <c r="F1628" s="189" t="s">
        <v>2222</v>
      </c>
      <c r="G1628" s="189" t="s">
        <v>2223</v>
      </c>
      <c r="H1628" s="191" t="n">
        <v>46105</v>
      </c>
      <c r="I1628" s="189" t="s">
        <v>113</v>
      </c>
      <c r="J1628" s="189" t="s">
        <v>295</v>
      </c>
      <c r="K1628" s="189" t="s">
        <v>173</v>
      </c>
      <c r="L1628" s="189" t="s">
        <v>210</v>
      </c>
      <c r="M1628" s="189" t="s">
        <v>1074</v>
      </c>
      <c r="N1628" s="189" t="s">
        <v>297</v>
      </c>
      <c r="O1628" s="189" t="s">
        <v>244</v>
      </c>
      <c r="P1628" s="189" t="s">
        <v>111</v>
      </c>
      <c r="Q1628" s="189" t="s">
        <v>145</v>
      </c>
      <c r="R1628" s="189" t="s">
        <v>22</v>
      </c>
      <c r="S1628" s="189" t="s">
        <v>152</v>
      </c>
      <c r="T1628" s="189" t="s">
        <v>180</v>
      </c>
      <c r="U1628" s="189" t="s">
        <v>122</v>
      </c>
      <c r="V1628" s="189" t="s">
        <v>167</v>
      </c>
      <c r="W1628" s="189" t="s">
        <v>168</v>
      </c>
      <c r="X1628" s="189" t="s">
        <v>381</v>
      </c>
      <c r="Y1628" s="189" t="s">
        <v>3066</v>
      </c>
      <c r="Z1628" s="0" t="n">
        <v>2</v>
      </c>
      <c r="AA1628" s="189" t="s">
        <v>3161</v>
      </c>
    </row>
    <row r="1629" customFormat="false" ht="15" hidden="false" customHeight="false" outlineLevel="0" collapsed="false">
      <c r="A1629" s="0" t="n">
        <v>349</v>
      </c>
      <c r="B1629" s="191" t="n">
        <v>46117.2184407292</v>
      </c>
      <c r="C1629" s="191" t="n">
        <v>46117.2390541551</v>
      </c>
      <c r="D1629" s="189" t="s">
        <v>2221</v>
      </c>
      <c r="E1629" s="189" t="s">
        <v>2222</v>
      </c>
      <c r="F1629" s="189" t="s">
        <v>2222</v>
      </c>
      <c r="G1629" s="189" t="s">
        <v>2223</v>
      </c>
      <c r="H1629" s="191" t="n">
        <v>46105</v>
      </c>
      <c r="I1629" s="189" t="s">
        <v>113</v>
      </c>
      <c r="J1629" s="189" t="s">
        <v>295</v>
      </c>
      <c r="K1629" s="189" t="s">
        <v>173</v>
      </c>
      <c r="L1629" s="189" t="s">
        <v>210</v>
      </c>
      <c r="M1629" s="189" t="s">
        <v>1074</v>
      </c>
      <c r="N1629" s="189" t="s">
        <v>297</v>
      </c>
      <c r="O1629" s="189" t="s">
        <v>244</v>
      </c>
      <c r="P1629" s="189" t="s">
        <v>111</v>
      </c>
      <c r="Q1629" s="189" t="s">
        <v>145</v>
      </c>
      <c r="R1629" s="189" t="s">
        <v>22</v>
      </c>
      <c r="S1629" s="189" t="s">
        <v>152</v>
      </c>
      <c r="T1629" s="189" t="s">
        <v>180</v>
      </c>
      <c r="U1629" s="189" t="s">
        <v>122</v>
      </c>
      <c r="V1629" s="189" t="s">
        <v>167</v>
      </c>
      <c r="W1629" s="189" t="s">
        <v>168</v>
      </c>
      <c r="X1629" s="189" t="s">
        <v>381</v>
      </c>
      <c r="Y1629" s="189" t="s">
        <v>3069</v>
      </c>
      <c r="Z1629" s="0" t="n">
        <v>1</v>
      </c>
      <c r="AA1629" s="189" t="s">
        <v>3162</v>
      </c>
    </row>
    <row r="1630" customFormat="false" ht="15" hidden="false" customHeight="false" outlineLevel="0" collapsed="false">
      <c r="A1630" s="0" t="n">
        <v>349</v>
      </c>
      <c r="B1630" s="191" t="n">
        <v>46117.2184407292</v>
      </c>
      <c r="C1630" s="191" t="n">
        <v>46117.2390541551</v>
      </c>
      <c r="D1630" s="189" t="s">
        <v>2221</v>
      </c>
      <c r="E1630" s="189" t="s">
        <v>2222</v>
      </c>
      <c r="F1630" s="189" t="s">
        <v>2222</v>
      </c>
      <c r="G1630" s="189" t="s">
        <v>2223</v>
      </c>
      <c r="H1630" s="191" t="n">
        <v>46105</v>
      </c>
      <c r="I1630" s="189" t="s">
        <v>113</v>
      </c>
      <c r="J1630" s="189" t="s">
        <v>295</v>
      </c>
      <c r="K1630" s="189" t="s">
        <v>173</v>
      </c>
      <c r="L1630" s="189" t="s">
        <v>210</v>
      </c>
      <c r="M1630" s="189" t="s">
        <v>1074</v>
      </c>
      <c r="N1630" s="189" t="s">
        <v>297</v>
      </c>
      <c r="O1630" s="189" t="s">
        <v>244</v>
      </c>
      <c r="P1630" s="189" t="s">
        <v>111</v>
      </c>
      <c r="Q1630" s="189" t="s">
        <v>145</v>
      </c>
      <c r="R1630" s="189" t="s">
        <v>22</v>
      </c>
      <c r="S1630" s="189" t="s">
        <v>152</v>
      </c>
      <c r="T1630" s="189" t="s">
        <v>180</v>
      </c>
      <c r="U1630" s="189" t="s">
        <v>122</v>
      </c>
      <c r="V1630" s="189" t="s">
        <v>167</v>
      </c>
      <c r="W1630" s="189" t="s">
        <v>168</v>
      </c>
      <c r="X1630" s="189" t="s">
        <v>381</v>
      </c>
      <c r="Y1630" s="189" t="s">
        <v>3069</v>
      </c>
      <c r="Z1630" s="0" t="n">
        <v>2</v>
      </c>
      <c r="AA1630" s="189" t="s">
        <v>3163</v>
      </c>
    </row>
    <row r="1631" customFormat="false" ht="15" hidden="false" customHeight="false" outlineLevel="0" collapsed="false">
      <c r="A1631" s="0" t="n">
        <v>350</v>
      </c>
      <c r="B1631" s="191" t="n">
        <v>46063.4687623024</v>
      </c>
      <c r="C1631" s="191" t="n">
        <v>46063.4872113764</v>
      </c>
      <c r="D1631" s="189" t="s">
        <v>2224</v>
      </c>
      <c r="E1631" s="189" t="s">
        <v>2225</v>
      </c>
      <c r="F1631" s="189" t="s">
        <v>2225</v>
      </c>
      <c r="G1631" s="189" t="s">
        <v>2226</v>
      </c>
      <c r="H1631" s="191" t="n">
        <v>46061</v>
      </c>
      <c r="I1631" s="189" t="s">
        <v>113</v>
      </c>
      <c r="J1631" s="189" t="s">
        <v>108</v>
      </c>
      <c r="K1631" s="189" t="s">
        <v>2227</v>
      </c>
      <c r="L1631" s="189" t="s">
        <v>144</v>
      </c>
      <c r="M1631" s="189" t="s">
        <v>652</v>
      </c>
      <c r="N1631" s="189" t="s">
        <v>2228</v>
      </c>
      <c r="O1631" s="189" t="s">
        <v>107</v>
      </c>
      <c r="P1631" s="189" t="s">
        <v>111</v>
      </c>
      <c r="Q1631" s="189" t="s">
        <v>112</v>
      </c>
      <c r="R1631" s="189" t="s">
        <v>22</v>
      </c>
      <c r="S1631" s="189" t="s">
        <v>120</v>
      </c>
      <c r="T1631" s="189" t="s">
        <v>496</v>
      </c>
      <c r="U1631" s="189" t="s">
        <v>369</v>
      </c>
      <c r="V1631" s="189" t="s">
        <v>123</v>
      </c>
      <c r="W1631" s="189" t="s">
        <v>124</v>
      </c>
      <c r="X1631" s="189" t="s">
        <v>381</v>
      </c>
      <c r="Y1631" s="189" t="s">
        <v>3064</v>
      </c>
      <c r="Z1631" s="0" t="n">
        <v>1</v>
      </c>
      <c r="AA1631" s="189" t="s">
        <v>3159</v>
      </c>
    </row>
    <row r="1632" customFormat="false" ht="15" hidden="false" customHeight="false" outlineLevel="0" collapsed="false">
      <c r="A1632" s="0" t="n">
        <v>350</v>
      </c>
      <c r="B1632" s="191" t="n">
        <v>46063.4687623024</v>
      </c>
      <c r="C1632" s="191" t="n">
        <v>46063.4872113764</v>
      </c>
      <c r="D1632" s="189" t="s">
        <v>2224</v>
      </c>
      <c r="E1632" s="189" t="s">
        <v>2225</v>
      </c>
      <c r="F1632" s="189" t="s">
        <v>2225</v>
      </c>
      <c r="G1632" s="189" t="s">
        <v>2226</v>
      </c>
      <c r="H1632" s="191" t="n">
        <v>46061</v>
      </c>
      <c r="I1632" s="189" t="s">
        <v>113</v>
      </c>
      <c r="J1632" s="189" t="s">
        <v>108</v>
      </c>
      <c r="K1632" s="189" t="s">
        <v>2227</v>
      </c>
      <c r="L1632" s="189" t="s">
        <v>144</v>
      </c>
      <c r="M1632" s="189" t="s">
        <v>652</v>
      </c>
      <c r="N1632" s="189" t="s">
        <v>2228</v>
      </c>
      <c r="O1632" s="189" t="s">
        <v>107</v>
      </c>
      <c r="P1632" s="189" t="s">
        <v>111</v>
      </c>
      <c r="Q1632" s="189" t="s">
        <v>112</v>
      </c>
      <c r="R1632" s="189" t="s">
        <v>22</v>
      </c>
      <c r="S1632" s="189" t="s">
        <v>120</v>
      </c>
      <c r="T1632" s="189" t="s">
        <v>496</v>
      </c>
      <c r="U1632" s="189" t="s">
        <v>369</v>
      </c>
      <c r="V1632" s="189" t="s">
        <v>123</v>
      </c>
      <c r="W1632" s="189" t="s">
        <v>124</v>
      </c>
      <c r="X1632" s="189" t="s">
        <v>381</v>
      </c>
      <c r="Y1632" s="189" t="s">
        <v>3064</v>
      </c>
      <c r="Z1632" s="0" t="n">
        <v>2</v>
      </c>
      <c r="AA1632" s="189" t="s">
        <v>3180</v>
      </c>
    </row>
    <row r="1633" customFormat="false" ht="15" hidden="false" customHeight="false" outlineLevel="0" collapsed="false">
      <c r="A1633" s="0" t="n">
        <v>350</v>
      </c>
      <c r="B1633" s="191" t="n">
        <v>46063.4687623024</v>
      </c>
      <c r="C1633" s="191" t="n">
        <v>46063.4872113764</v>
      </c>
      <c r="D1633" s="189" t="s">
        <v>2224</v>
      </c>
      <c r="E1633" s="189" t="s">
        <v>2225</v>
      </c>
      <c r="F1633" s="189" t="s">
        <v>2225</v>
      </c>
      <c r="G1633" s="189" t="s">
        <v>2226</v>
      </c>
      <c r="H1633" s="191" t="n">
        <v>46061</v>
      </c>
      <c r="I1633" s="189" t="s">
        <v>113</v>
      </c>
      <c r="J1633" s="189" t="s">
        <v>108</v>
      </c>
      <c r="K1633" s="189" t="s">
        <v>2227</v>
      </c>
      <c r="L1633" s="189" t="s">
        <v>144</v>
      </c>
      <c r="M1633" s="189" t="s">
        <v>652</v>
      </c>
      <c r="N1633" s="189" t="s">
        <v>2228</v>
      </c>
      <c r="O1633" s="189" t="s">
        <v>107</v>
      </c>
      <c r="P1633" s="189" t="s">
        <v>111</v>
      </c>
      <c r="Q1633" s="189" t="s">
        <v>112</v>
      </c>
      <c r="R1633" s="189" t="s">
        <v>22</v>
      </c>
      <c r="S1633" s="189" t="s">
        <v>120</v>
      </c>
      <c r="T1633" s="189" t="s">
        <v>496</v>
      </c>
      <c r="U1633" s="189" t="s">
        <v>369</v>
      </c>
      <c r="V1633" s="189" t="s">
        <v>123</v>
      </c>
      <c r="W1633" s="189" t="s">
        <v>124</v>
      </c>
      <c r="X1633" s="189" t="s">
        <v>381</v>
      </c>
      <c r="Y1633" s="189" t="s">
        <v>3064</v>
      </c>
      <c r="Z1633" s="0" t="n">
        <v>3</v>
      </c>
      <c r="AA1633" s="189" t="s">
        <v>3233</v>
      </c>
    </row>
    <row r="1634" customFormat="false" ht="15" hidden="false" customHeight="false" outlineLevel="0" collapsed="false">
      <c r="A1634" s="0" t="n">
        <v>350</v>
      </c>
      <c r="B1634" s="191" t="n">
        <v>46063.4687623024</v>
      </c>
      <c r="C1634" s="191" t="n">
        <v>46063.4872113764</v>
      </c>
      <c r="D1634" s="189" t="s">
        <v>2224</v>
      </c>
      <c r="E1634" s="189" t="s">
        <v>2225</v>
      </c>
      <c r="F1634" s="189" t="s">
        <v>2225</v>
      </c>
      <c r="G1634" s="189" t="s">
        <v>2226</v>
      </c>
      <c r="H1634" s="191" t="n">
        <v>46061</v>
      </c>
      <c r="I1634" s="189" t="s">
        <v>113</v>
      </c>
      <c r="J1634" s="189" t="s">
        <v>108</v>
      </c>
      <c r="K1634" s="189" t="s">
        <v>2227</v>
      </c>
      <c r="L1634" s="189" t="s">
        <v>144</v>
      </c>
      <c r="M1634" s="189" t="s">
        <v>652</v>
      </c>
      <c r="N1634" s="189" t="s">
        <v>2228</v>
      </c>
      <c r="O1634" s="189" t="s">
        <v>107</v>
      </c>
      <c r="P1634" s="189" t="s">
        <v>111</v>
      </c>
      <c r="Q1634" s="189" t="s">
        <v>112</v>
      </c>
      <c r="R1634" s="189" t="s">
        <v>22</v>
      </c>
      <c r="S1634" s="189" t="s">
        <v>120</v>
      </c>
      <c r="T1634" s="189" t="s">
        <v>496</v>
      </c>
      <c r="U1634" s="189" t="s">
        <v>369</v>
      </c>
      <c r="V1634" s="189" t="s">
        <v>123</v>
      </c>
      <c r="W1634" s="189" t="s">
        <v>124</v>
      </c>
      <c r="X1634" s="189" t="s">
        <v>381</v>
      </c>
      <c r="Y1634" s="189" t="s">
        <v>3066</v>
      </c>
      <c r="Z1634" s="0" t="n">
        <v>1</v>
      </c>
      <c r="AA1634" s="189" t="s">
        <v>3161</v>
      </c>
    </row>
    <row r="1635" customFormat="false" ht="15" hidden="false" customHeight="false" outlineLevel="0" collapsed="false">
      <c r="A1635" s="0" t="n">
        <v>350</v>
      </c>
      <c r="B1635" s="191" t="n">
        <v>46063.4687623024</v>
      </c>
      <c r="C1635" s="191" t="n">
        <v>46063.4872113764</v>
      </c>
      <c r="D1635" s="189" t="s">
        <v>2224</v>
      </c>
      <c r="E1635" s="189" t="s">
        <v>2225</v>
      </c>
      <c r="F1635" s="189" t="s">
        <v>2225</v>
      </c>
      <c r="G1635" s="189" t="s">
        <v>2226</v>
      </c>
      <c r="H1635" s="191" t="n">
        <v>46061</v>
      </c>
      <c r="I1635" s="189" t="s">
        <v>113</v>
      </c>
      <c r="J1635" s="189" t="s">
        <v>108</v>
      </c>
      <c r="K1635" s="189" t="s">
        <v>2227</v>
      </c>
      <c r="L1635" s="189" t="s">
        <v>144</v>
      </c>
      <c r="M1635" s="189" t="s">
        <v>652</v>
      </c>
      <c r="N1635" s="189" t="s">
        <v>2228</v>
      </c>
      <c r="O1635" s="189" t="s">
        <v>107</v>
      </c>
      <c r="P1635" s="189" t="s">
        <v>111</v>
      </c>
      <c r="Q1635" s="189" t="s">
        <v>112</v>
      </c>
      <c r="R1635" s="189" t="s">
        <v>22</v>
      </c>
      <c r="S1635" s="189" t="s">
        <v>120</v>
      </c>
      <c r="T1635" s="189" t="s">
        <v>496</v>
      </c>
      <c r="U1635" s="189" t="s">
        <v>369</v>
      </c>
      <c r="V1635" s="189" t="s">
        <v>123</v>
      </c>
      <c r="W1635" s="189" t="s">
        <v>124</v>
      </c>
      <c r="X1635" s="189" t="s">
        <v>381</v>
      </c>
      <c r="Y1635" s="189" t="s">
        <v>3069</v>
      </c>
      <c r="Z1635" s="0" t="n">
        <v>1</v>
      </c>
      <c r="AA1635" s="189" t="s">
        <v>3163</v>
      </c>
    </row>
    <row r="1636" customFormat="false" ht="15" hidden="false" customHeight="false" outlineLevel="0" collapsed="false">
      <c r="A1636" s="0" t="n">
        <v>351</v>
      </c>
      <c r="B1636" s="191" t="n">
        <v>46088.5266627648</v>
      </c>
      <c r="C1636" s="191" t="n">
        <v>46088.5338386907</v>
      </c>
      <c r="D1636" s="189" t="s">
        <v>2230</v>
      </c>
      <c r="E1636" s="189" t="s">
        <v>2231</v>
      </c>
      <c r="F1636" s="189" t="s">
        <v>2231</v>
      </c>
      <c r="G1636" s="189" t="s">
        <v>2232</v>
      </c>
      <c r="H1636" s="191" t="n">
        <v>46078</v>
      </c>
      <c r="I1636" s="189" t="s">
        <v>113</v>
      </c>
      <c r="J1636" s="189" t="s">
        <v>108</v>
      </c>
      <c r="K1636" s="189" t="s">
        <v>2233</v>
      </c>
      <c r="L1636" s="189" t="s">
        <v>159</v>
      </c>
      <c r="M1636" s="189" t="s">
        <v>507</v>
      </c>
      <c r="N1636" s="189" t="s">
        <v>766</v>
      </c>
      <c r="O1636" s="189" t="s">
        <v>278</v>
      </c>
      <c r="P1636" s="189" t="s">
        <v>111</v>
      </c>
      <c r="Q1636" s="189" t="s">
        <v>112</v>
      </c>
      <c r="R1636" s="189" t="s">
        <v>24</v>
      </c>
      <c r="S1636" s="189" t="s">
        <v>152</v>
      </c>
      <c r="T1636" s="189" t="s">
        <v>180</v>
      </c>
      <c r="U1636" s="189" t="s">
        <v>122</v>
      </c>
      <c r="V1636" s="189" t="s">
        <v>192</v>
      </c>
      <c r="W1636" s="189" t="s">
        <v>124</v>
      </c>
      <c r="X1636" s="189" t="s">
        <v>19</v>
      </c>
      <c r="Y1636" s="189" t="s">
        <v>3172</v>
      </c>
      <c r="Z1636" s="0" t="n">
        <v>1</v>
      </c>
      <c r="AA1636" s="189" t="s">
        <v>880</v>
      </c>
    </row>
    <row r="1637" customFormat="false" ht="15" hidden="false" customHeight="false" outlineLevel="0" collapsed="false">
      <c r="A1637" s="0" t="n">
        <v>352</v>
      </c>
      <c r="B1637" s="191" t="n">
        <v>46140.3462038191</v>
      </c>
      <c r="C1637" s="191" t="n">
        <v>46140.3502894673</v>
      </c>
      <c r="D1637" s="189" t="s">
        <v>2234</v>
      </c>
      <c r="E1637" s="189" t="s">
        <v>2235</v>
      </c>
      <c r="F1637" s="189" t="s">
        <v>2235</v>
      </c>
      <c r="G1637" s="189" t="s">
        <v>2236</v>
      </c>
      <c r="H1637" s="191" t="n">
        <v>46139</v>
      </c>
      <c r="I1637" s="189" t="s">
        <v>113</v>
      </c>
      <c r="J1637" s="189" t="s">
        <v>108</v>
      </c>
      <c r="K1637" s="189" t="s">
        <v>462</v>
      </c>
      <c r="L1637" s="189" t="s">
        <v>197</v>
      </c>
      <c r="M1637" s="189" t="s">
        <v>406</v>
      </c>
      <c r="N1637" s="189" t="s">
        <v>1323</v>
      </c>
      <c r="O1637" s="189" t="s">
        <v>107</v>
      </c>
      <c r="P1637" s="189" t="s">
        <v>111</v>
      </c>
      <c r="Q1637" s="189" t="s">
        <v>112</v>
      </c>
      <c r="R1637" s="189" t="s">
        <v>22</v>
      </c>
      <c r="S1637" s="189" t="s">
        <v>120</v>
      </c>
      <c r="T1637" s="189" t="s">
        <v>121</v>
      </c>
      <c r="U1637" s="189" t="s">
        <v>1229</v>
      </c>
      <c r="V1637" s="189" t="s">
        <v>167</v>
      </c>
      <c r="W1637" s="189" t="s">
        <v>168</v>
      </c>
      <c r="X1637" s="189" t="s">
        <v>135</v>
      </c>
      <c r="Y1637" s="189" t="s">
        <v>3064</v>
      </c>
      <c r="Z1637" s="0" t="n">
        <v>1</v>
      </c>
      <c r="AA1637" s="189" t="s">
        <v>3071</v>
      </c>
    </row>
    <row r="1638" customFormat="false" ht="15" hidden="false" customHeight="false" outlineLevel="0" collapsed="false">
      <c r="A1638" s="0" t="n">
        <v>352</v>
      </c>
      <c r="B1638" s="191" t="n">
        <v>46140.3462038191</v>
      </c>
      <c r="C1638" s="191" t="n">
        <v>46140.3502894673</v>
      </c>
      <c r="D1638" s="189" t="s">
        <v>2234</v>
      </c>
      <c r="E1638" s="189" t="s">
        <v>2235</v>
      </c>
      <c r="F1638" s="189" t="s">
        <v>2235</v>
      </c>
      <c r="G1638" s="189" t="s">
        <v>2236</v>
      </c>
      <c r="H1638" s="191" t="n">
        <v>46139</v>
      </c>
      <c r="I1638" s="189" t="s">
        <v>113</v>
      </c>
      <c r="J1638" s="189" t="s">
        <v>108</v>
      </c>
      <c r="K1638" s="189" t="s">
        <v>462</v>
      </c>
      <c r="L1638" s="189" t="s">
        <v>197</v>
      </c>
      <c r="M1638" s="189" t="s">
        <v>406</v>
      </c>
      <c r="N1638" s="189" t="s">
        <v>1323</v>
      </c>
      <c r="O1638" s="189" t="s">
        <v>107</v>
      </c>
      <c r="P1638" s="189" t="s">
        <v>111</v>
      </c>
      <c r="Q1638" s="189" t="s">
        <v>112</v>
      </c>
      <c r="R1638" s="189" t="s">
        <v>22</v>
      </c>
      <c r="S1638" s="189" t="s">
        <v>120</v>
      </c>
      <c r="T1638" s="189" t="s">
        <v>121</v>
      </c>
      <c r="U1638" s="189" t="s">
        <v>1229</v>
      </c>
      <c r="V1638" s="189" t="s">
        <v>167</v>
      </c>
      <c r="W1638" s="189" t="s">
        <v>168</v>
      </c>
      <c r="X1638" s="189" t="s">
        <v>135</v>
      </c>
      <c r="Y1638" s="189" t="s">
        <v>3066</v>
      </c>
      <c r="Z1638" s="0" t="n">
        <v>1</v>
      </c>
      <c r="AA1638" s="189" t="s">
        <v>3192</v>
      </c>
    </row>
    <row r="1639" customFormat="false" ht="15" hidden="false" customHeight="false" outlineLevel="0" collapsed="false">
      <c r="A1639" s="0" t="n">
        <v>352</v>
      </c>
      <c r="B1639" s="191" t="n">
        <v>46140.3462038191</v>
      </c>
      <c r="C1639" s="191" t="n">
        <v>46140.3502894673</v>
      </c>
      <c r="D1639" s="189" t="s">
        <v>2234</v>
      </c>
      <c r="E1639" s="189" t="s">
        <v>2235</v>
      </c>
      <c r="F1639" s="189" t="s">
        <v>2235</v>
      </c>
      <c r="G1639" s="189" t="s">
        <v>2236</v>
      </c>
      <c r="H1639" s="191" t="n">
        <v>46139</v>
      </c>
      <c r="I1639" s="189" t="s">
        <v>113</v>
      </c>
      <c r="J1639" s="189" t="s">
        <v>108</v>
      </c>
      <c r="K1639" s="189" t="s">
        <v>462</v>
      </c>
      <c r="L1639" s="189" t="s">
        <v>197</v>
      </c>
      <c r="M1639" s="189" t="s">
        <v>406</v>
      </c>
      <c r="N1639" s="189" t="s">
        <v>1323</v>
      </c>
      <c r="O1639" s="189" t="s">
        <v>107</v>
      </c>
      <c r="P1639" s="189" t="s">
        <v>111</v>
      </c>
      <c r="Q1639" s="189" t="s">
        <v>112</v>
      </c>
      <c r="R1639" s="189" t="s">
        <v>22</v>
      </c>
      <c r="S1639" s="189" t="s">
        <v>120</v>
      </c>
      <c r="T1639" s="189" t="s">
        <v>121</v>
      </c>
      <c r="U1639" s="189" t="s">
        <v>1229</v>
      </c>
      <c r="V1639" s="189" t="s">
        <v>167</v>
      </c>
      <c r="W1639" s="189" t="s">
        <v>168</v>
      </c>
      <c r="X1639" s="189" t="s">
        <v>135</v>
      </c>
      <c r="Y1639" s="189" t="s">
        <v>3066</v>
      </c>
      <c r="Z1639" s="0" t="n">
        <v>2</v>
      </c>
      <c r="AA1639" s="189" t="s">
        <v>3185</v>
      </c>
    </row>
    <row r="1640" customFormat="false" ht="15" hidden="false" customHeight="false" outlineLevel="0" collapsed="false">
      <c r="A1640" s="0" t="n">
        <v>352</v>
      </c>
      <c r="B1640" s="191" t="n">
        <v>46140.3462038191</v>
      </c>
      <c r="C1640" s="191" t="n">
        <v>46140.3502894673</v>
      </c>
      <c r="D1640" s="189" t="s">
        <v>2234</v>
      </c>
      <c r="E1640" s="189" t="s">
        <v>2235</v>
      </c>
      <c r="F1640" s="189" t="s">
        <v>2235</v>
      </c>
      <c r="G1640" s="189" t="s">
        <v>2236</v>
      </c>
      <c r="H1640" s="191" t="n">
        <v>46139</v>
      </c>
      <c r="I1640" s="189" t="s">
        <v>113</v>
      </c>
      <c r="J1640" s="189" t="s">
        <v>108</v>
      </c>
      <c r="K1640" s="189" t="s">
        <v>462</v>
      </c>
      <c r="L1640" s="189" t="s">
        <v>197</v>
      </c>
      <c r="M1640" s="189" t="s">
        <v>406</v>
      </c>
      <c r="N1640" s="189" t="s">
        <v>1323</v>
      </c>
      <c r="O1640" s="189" t="s">
        <v>107</v>
      </c>
      <c r="P1640" s="189" t="s">
        <v>111</v>
      </c>
      <c r="Q1640" s="189" t="s">
        <v>112</v>
      </c>
      <c r="R1640" s="189" t="s">
        <v>22</v>
      </c>
      <c r="S1640" s="189" t="s">
        <v>120</v>
      </c>
      <c r="T1640" s="189" t="s">
        <v>121</v>
      </c>
      <c r="U1640" s="189" t="s">
        <v>1229</v>
      </c>
      <c r="V1640" s="189" t="s">
        <v>167</v>
      </c>
      <c r="W1640" s="189" t="s">
        <v>168</v>
      </c>
      <c r="X1640" s="189" t="s">
        <v>135</v>
      </c>
      <c r="Y1640" s="189" t="s">
        <v>3069</v>
      </c>
      <c r="Z1640" s="0" t="n">
        <v>1</v>
      </c>
      <c r="AA1640" s="189" t="s">
        <v>3152</v>
      </c>
    </row>
    <row r="1641" customFormat="false" ht="15" hidden="false" customHeight="false" outlineLevel="0" collapsed="false">
      <c r="A1641" s="0" t="n">
        <v>352</v>
      </c>
      <c r="B1641" s="191" t="n">
        <v>46140.3462038191</v>
      </c>
      <c r="C1641" s="191" t="n">
        <v>46140.3502894673</v>
      </c>
      <c r="D1641" s="189" t="s">
        <v>2234</v>
      </c>
      <c r="E1641" s="189" t="s">
        <v>2235</v>
      </c>
      <c r="F1641" s="189" t="s">
        <v>2235</v>
      </c>
      <c r="G1641" s="189" t="s">
        <v>2236</v>
      </c>
      <c r="H1641" s="191" t="n">
        <v>46139</v>
      </c>
      <c r="I1641" s="189" t="s">
        <v>113</v>
      </c>
      <c r="J1641" s="189" t="s">
        <v>108</v>
      </c>
      <c r="K1641" s="189" t="s">
        <v>462</v>
      </c>
      <c r="L1641" s="189" t="s">
        <v>197</v>
      </c>
      <c r="M1641" s="189" t="s">
        <v>406</v>
      </c>
      <c r="N1641" s="189" t="s">
        <v>1323</v>
      </c>
      <c r="O1641" s="189" t="s">
        <v>107</v>
      </c>
      <c r="P1641" s="189" t="s">
        <v>111</v>
      </c>
      <c r="Q1641" s="189" t="s">
        <v>112</v>
      </c>
      <c r="R1641" s="189" t="s">
        <v>22</v>
      </c>
      <c r="S1641" s="189" t="s">
        <v>120</v>
      </c>
      <c r="T1641" s="189" t="s">
        <v>121</v>
      </c>
      <c r="U1641" s="189" t="s">
        <v>1229</v>
      </c>
      <c r="V1641" s="189" t="s">
        <v>167</v>
      </c>
      <c r="W1641" s="189" t="s">
        <v>168</v>
      </c>
      <c r="X1641" s="189" t="s">
        <v>135</v>
      </c>
      <c r="Y1641" s="189" t="s">
        <v>3069</v>
      </c>
      <c r="Z1641" s="0" t="n">
        <v>2</v>
      </c>
      <c r="AA1641" s="189" t="s">
        <v>3203</v>
      </c>
    </row>
    <row r="1642" customFormat="false" ht="15" hidden="false" customHeight="false" outlineLevel="0" collapsed="false">
      <c r="A1642" s="0" t="n">
        <v>353</v>
      </c>
      <c r="B1642" s="191" t="n">
        <v>46210.3186323542</v>
      </c>
      <c r="C1642" s="191" t="n">
        <v>46210.3378684653</v>
      </c>
      <c r="D1642" s="189" t="s">
        <v>2238</v>
      </c>
      <c r="E1642" s="189" t="s">
        <v>2239</v>
      </c>
      <c r="F1642" s="189" t="s">
        <v>2239</v>
      </c>
      <c r="G1642" s="189" t="s">
        <v>2240</v>
      </c>
      <c r="H1642" s="191" t="n">
        <v>46210</v>
      </c>
      <c r="I1642" s="189" t="s">
        <v>336</v>
      </c>
      <c r="J1642" s="189" t="s">
        <v>295</v>
      </c>
      <c r="K1642" s="189" t="s">
        <v>245</v>
      </c>
      <c r="L1642" s="189" t="s">
        <v>197</v>
      </c>
      <c r="M1642" s="189" t="s">
        <v>594</v>
      </c>
      <c r="N1642" s="189" t="s">
        <v>440</v>
      </c>
      <c r="O1642" s="189" t="s">
        <v>172</v>
      </c>
      <c r="P1642" s="189" t="s">
        <v>131</v>
      </c>
      <c r="Q1642" s="189" t="s">
        <v>112</v>
      </c>
      <c r="R1642" s="189" t="s">
        <v>24</v>
      </c>
      <c r="S1642" s="189" t="s">
        <v>152</v>
      </c>
      <c r="T1642" s="189" t="s">
        <v>352</v>
      </c>
      <c r="U1642" s="189" t="s">
        <v>166</v>
      </c>
      <c r="V1642" s="189" t="s">
        <v>123</v>
      </c>
      <c r="W1642" s="189" t="s">
        <v>124</v>
      </c>
      <c r="X1642" s="189" t="s">
        <v>19</v>
      </c>
      <c r="Y1642" s="189" t="s">
        <v>3172</v>
      </c>
      <c r="Z1642" s="0" t="n">
        <v>1</v>
      </c>
      <c r="AA1642" s="189" t="s">
        <v>880</v>
      </c>
    </row>
    <row r="1643" customFormat="false" ht="15" hidden="false" customHeight="false" outlineLevel="0" collapsed="false">
      <c r="A1643" s="0" t="n">
        <v>354</v>
      </c>
      <c r="B1643" s="191" t="n">
        <v>46064.9307503989</v>
      </c>
      <c r="C1643" s="191" t="n">
        <v>46064.9324980841</v>
      </c>
      <c r="D1643" s="189" t="s">
        <v>2241</v>
      </c>
      <c r="E1643" s="189" t="s">
        <v>2242</v>
      </c>
      <c r="F1643" s="189" t="s">
        <v>2242</v>
      </c>
      <c r="G1643" s="189" t="s">
        <v>2243</v>
      </c>
      <c r="H1643" s="191" t="n">
        <v>46056</v>
      </c>
      <c r="I1643" s="189" t="s">
        <v>113</v>
      </c>
      <c r="J1643" s="189" t="s">
        <v>108</v>
      </c>
      <c r="K1643" s="189" t="s">
        <v>257</v>
      </c>
      <c r="L1643" s="189" t="s">
        <v>210</v>
      </c>
      <c r="M1643" s="189" t="s">
        <v>774</v>
      </c>
      <c r="N1643" s="189" t="s">
        <v>544</v>
      </c>
      <c r="O1643" s="189" t="s">
        <v>107</v>
      </c>
      <c r="P1643" s="189" t="s">
        <v>111</v>
      </c>
      <c r="Q1643" s="189" t="s">
        <v>112</v>
      </c>
      <c r="R1643" s="189" t="s">
        <v>22</v>
      </c>
      <c r="S1643" s="189" t="s">
        <v>152</v>
      </c>
      <c r="T1643" s="189" t="s">
        <v>121</v>
      </c>
      <c r="U1643" s="189" t="s">
        <v>122</v>
      </c>
      <c r="V1643" s="189" t="s">
        <v>192</v>
      </c>
      <c r="W1643" s="189" t="s">
        <v>168</v>
      </c>
      <c r="X1643" s="189" t="s">
        <v>135</v>
      </c>
      <c r="Y1643" s="189" t="s">
        <v>3064</v>
      </c>
      <c r="Z1643" s="0" t="n">
        <v>1</v>
      </c>
      <c r="AA1643" s="189" t="s">
        <v>3072</v>
      </c>
    </row>
    <row r="1644" customFormat="false" ht="15" hidden="false" customHeight="false" outlineLevel="0" collapsed="false">
      <c r="A1644" s="0" t="n">
        <v>354</v>
      </c>
      <c r="B1644" s="191" t="n">
        <v>46064.9307503989</v>
      </c>
      <c r="C1644" s="191" t="n">
        <v>46064.9324980841</v>
      </c>
      <c r="D1644" s="189" t="s">
        <v>2241</v>
      </c>
      <c r="E1644" s="189" t="s">
        <v>2242</v>
      </c>
      <c r="F1644" s="189" t="s">
        <v>2242</v>
      </c>
      <c r="G1644" s="189" t="s">
        <v>2243</v>
      </c>
      <c r="H1644" s="191" t="n">
        <v>46056</v>
      </c>
      <c r="I1644" s="189" t="s">
        <v>113</v>
      </c>
      <c r="J1644" s="189" t="s">
        <v>108</v>
      </c>
      <c r="K1644" s="189" t="s">
        <v>257</v>
      </c>
      <c r="L1644" s="189" t="s">
        <v>210</v>
      </c>
      <c r="M1644" s="189" t="s">
        <v>774</v>
      </c>
      <c r="N1644" s="189" t="s">
        <v>544</v>
      </c>
      <c r="O1644" s="189" t="s">
        <v>107</v>
      </c>
      <c r="P1644" s="189" t="s">
        <v>111</v>
      </c>
      <c r="Q1644" s="189" t="s">
        <v>112</v>
      </c>
      <c r="R1644" s="189" t="s">
        <v>22</v>
      </c>
      <c r="S1644" s="189" t="s">
        <v>152</v>
      </c>
      <c r="T1644" s="189" t="s">
        <v>121</v>
      </c>
      <c r="U1644" s="189" t="s">
        <v>122</v>
      </c>
      <c r="V1644" s="189" t="s">
        <v>192</v>
      </c>
      <c r="W1644" s="189" t="s">
        <v>168</v>
      </c>
      <c r="X1644" s="189" t="s">
        <v>135</v>
      </c>
      <c r="Y1644" s="189" t="s">
        <v>3066</v>
      </c>
      <c r="Z1644" s="0" t="n">
        <v>1</v>
      </c>
      <c r="AA1644" s="189" t="s">
        <v>122</v>
      </c>
    </row>
    <row r="1645" customFormat="false" ht="15" hidden="false" customHeight="false" outlineLevel="0" collapsed="false">
      <c r="A1645" s="0" t="n">
        <v>354</v>
      </c>
      <c r="B1645" s="191" t="n">
        <v>46064.9307503989</v>
      </c>
      <c r="C1645" s="191" t="n">
        <v>46064.9324980841</v>
      </c>
      <c r="D1645" s="189" t="s">
        <v>2241</v>
      </c>
      <c r="E1645" s="189" t="s">
        <v>2242</v>
      </c>
      <c r="F1645" s="189" t="s">
        <v>2242</v>
      </c>
      <c r="G1645" s="189" t="s">
        <v>2243</v>
      </c>
      <c r="H1645" s="191" t="n">
        <v>46056</v>
      </c>
      <c r="I1645" s="189" t="s">
        <v>113</v>
      </c>
      <c r="J1645" s="189" t="s">
        <v>108</v>
      </c>
      <c r="K1645" s="189" t="s">
        <v>257</v>
      </c>
      <c r="L1645" s="189" t="s">
        <v>210</v>
      </c>
      <c r="M1645" s="189" t="s">
        <v>774</v>
      </c>
      <c r="N1645" s="189" t="s">
        <v>544</v>
      </c>
      <c r="O1645" s="189" t="s">
        <v>107</v>
      </c>
      <c r="P1645" s="189" t="s">
        <v>111</v>
      </c>
      <c r="Q1645" s="189" t="s">
        <v>112</v>
      </c>
      <c r="R1645" s="189" t="s">
        <v>22</v>
      </c>
      <c r="S1645" s="189" t="s">
        <v>152</v>
      </c>
      <c r="T1645" s="189" t="s">
        <v>121</v>
      </c>
      <c r="U1645" s="189" t="s">
        <v>122</v>
      </c>
      <c r="V1645" s="189" t="s">
        <v>192</v>
      </c>
      <c r="W1645" s="189" t="s">
        <v>168</v>
      </c>
      <c r="X1645" s="189" t="s">
        <v>135</v>
      </c>
      <c r="Y1645" s="189" t="s">
        <v>3066</v>
      </c>
      <c r="Z1645" s="0" t="n">
        <v>2</v>
      </c>
      <c r="AA1645" s="189" t="s">
        <v>3184</v>
      </c>
    </row>
    <row r="1646" customFormat="false" ht="15" hidden="false" customHeight="false" outlineLevel="0" collapsed="false">
      <c r="A1646" s="0" t="n">
        <v>354</v>
      </c>
      <c r="B1646" s="191" t="n">
        <v>46064.9307503989</v>
      </c>
      <c r="C1646" s="191" t="n">
        <v>46064.9324980841</v>
      </c>
      <c r="D1646" s="189" t="s">
        <v>2241</v>
      </c>
      <c r="E1646" s="189" t="s">
        <v>2242</v>
      </c>
      <c r="F1646" s="189" t="s">
        <v>2242</v>
      </c>
      <c r="G1646" s="189" t="s">
        <v>2243</v>
      </c>
      <c r="H1646" s="191" t="n">
        <v>46056</v>
      </c>
      <c r="I1646" s="189" t="s">
        <v>113</v>
      </c>
      <c r="J1646" s="189" t="s">
        <v>108</v>
      </c>
      <c r="K1646" s="189" t="s">
        <v>257</v>
      </c>
      <c r="L1646" s="189" t="s">
        <v>210</v>
      </c>
      <c r="M1646" s="189" t="s">
        <v>774</v>
      </c>
      <c r="N1646" s="189" t="s">
        <v>544</v>
      </c>
      <c r="O1646" s="189" t="s">
        <v>107</v>
      </c>
      <c r="P1646" s="189" t="s">
        <v>111</v>
      </c>
      <c r="Q1646" s="189" t="s">
        <v>112</v>
      </c>
      <c r="R1646" s="189" t="s">
        <v>22</v>
      </c>
      <c r="S1646" s="189" t="s">
        <v>152</v>
      </c>
      <c r="T1646" s="189" t="s">
        <v>121</v>
      </c>
      <c r="U1646" s="189" t="s">
        <v>122</v>
      </c>
      <c r="V1646" s="189" t="s">
        <v>192</v>
      </c>
      <c r="W1646" s="189" t="s">
        <v>168</v>
      </c>
      <c r="X1646" s="189" t="s">
        <v>135</v>
      </c>
      <c r="Y1646" s="189" t="s">
        <v>3069</v>
      </c>
      <c r="Z1646" s="0" t="n">
        <v>1</v>
      </c>
      <c r="AA1646" s="189" t="s">
        <v>122</v>
      </c>
    </row>
    <row r="1647" customFormat="false" ht="15" hidden="false" customHeight="false" outlineLevel="0" collapsed="false">
      <c r="A1647" s="0" t="n">
        <v>355</v>
      </c>
      <c r="B1647" s="191" t="n">
        <v>46039.5711389841</v>
      </c>
      <c r="C1647" s="191" t="n">
        <v>46039.5790787989</v>
      </c>
      <c r="D1647" s="189" t="s">
        <v>2244</v>
      </c>
      <c r="E1647" s="189" t="s">
        <v>2245</v>
      </c>
      <c r="F1647" s="189" t="s">
        <v>2245</v>
      </c>
      <c r="G1647" s="189" t="s">
        <v>2246</v>
      </c>
      <c r="H1647" s="191" t="n">
        <v>46037</v>
      </c>
      <c r="I1647" s="189" t="s">
        <v>113</v>
      </c>
      <c r="J1647" s="189" t="s">
        <v>108</v>
      </c>
      <c r="K1647" s="189" t="s">
        <v>232</v>
      </c>
      <c r="L1647" s="189" t="s">
        <v>389</v>
      </c>
      <c r="M1647" s="189" t="s">
        <v>515</v>
      </c>
      <c r="N1647" s="189" t="s">
        <v>714</v>
      </c>
      <c r="O1647" s="189" t="s">
        <v>172</v>
      </c>
      <c r="P1647" s="189" t="s">
        <v>111</v>
      </c>
      <c r="Q1647" s="189" t="s">
        <v>112</v>
      </c>
      <c r="R1647" s="189" t="s">
        <v>21</v>
      </c>
      <c r="S1647" s="189" t="s">
        <v>120</v>
      </c>
      <c r="T1647" s="189" t="s">
        <v>121</v>
      </c>
      <c r="U1647" s="189" t="s">
        <v>166</v>
      </c>
      <c r="V1647" s="189" t="s">
        <v>167</v>
      </c>
      <c r="W1647" s="189" t="s">
        <v>124</v>
      </c>
      <c r="X1647" s="189" t="s">
        <v>1830</v>
      </c>
      <c r="Y1647" s="189" t="s">
        <v>3064</v>
      </c>
      <c r="Z1647" s="0" t="n">
        <v>1</v>
      </c>
      <c r="AA1647" s="189" t="s">
        <v>3323</v>
      </c>
    </row>
    <row r="1648" customFormat="false" ht="15" hidden="false" customHeight="false" outlineLevel="0" collapsed="false">
      <c r="A1648" s="0" t="n">
        <v>355</v>
      </c>
      <c r="B1648" s="191" t="n">
        <v>46039.5711389841</v>
      </c>
      <c r="C1648" s="191" t="n">
        <v>46039.5790787989</v>
      </c>
      <c r="D1648" s="189" t="s">
        <v>2244</v>
      </c>
      <c r="E1648" s="189" t="s">
        <v>2245</v>
      </c>
      <c r="F1648" s="189" t="s">
        <v>2245</v>
      </c>
      <c r="G1648" s="189" t="s">
        <v>2246</v>
      </c>
      <c r="H1648" s="191" t="n">
        <v>46037</v>
      </c>
      <c r="I1648" s="189" t="s">
        <v>113</v>
      </c>
      <c r="J1648" s="189" t="s">
        <v>108</v>
      </c>
      <c r="K1648" s="189" t="s">
        <v>232</v>
      </c>
      <c r="L1648" s="189" t="s">
        <v>389</v>
      </c>
      <c r="M1648" s="189" t="s">
        <v>515</v>
      </c>
      <c r="N1648" s="189" t="s">
        <v>714</v>
      </c>
      <c r="O1648" s="189" t="s">
        <v>172</v>
      </c>
      <c r="P1648" s="189" t="s">
        <v>111</v>
      </c>
      <c r="Q1648" s="189" t="s">
        <v>112</v>
      </c>
      <c r="R1648" s="189" t="s">
        <v>21</v>
      </c>
      <c r="S1648" s="189" t="s">
        <v>120</v>
      </c>
      <c r="T1648" s="189" t="s">
        <v>121</v>
      </c>
      <c r="U1648" s="189" t="s">
        <v>166</v>
      </c>
      <c r="V1648" s="189" t="s">
        <v>167</v>
      </c>
      <c r="W1648" s="189" t="s">
        <v>124</v>
      </c>
      <c r="X1648" s="189" t="s">
        <v>1830</v>
      </c>
      <c r="Y1648" s="189" t="s">
        <v>3064</v>
      </c>
      <c r="Z1648" s="0" t="n">
        <v>2</v>
      </c>
      <c r="AA1648" s="189" t="s">
        <v>3324</v>
      </c>
    </row>
    <row r="1649" customFormat="false" ht="15" hidden="false" customHeight="false" outlineLevel="0" collapsed="false">
      <c r="A1649" s="0" t="n">
        <v>355</v>
      </c>
      <c r="B1649" s="191" t="n">
        <v>46039.5711389841</v>
      </c>
      <c r="C1649" s="191" t="n">
        <v>46039.5790787989</v>
      </c>
      <c r="D1649" s="189" t="s">
        <v>2244</v>
      </c>
      <c r="E1649" s="189" t="s">
        <v>2245</v>
      </c>
      <c r="F1649" s="189" t="s">
        <v>2245</v>
      </c>
      <c r="G1649" s="189" t="s">
        <v>2246</v>
      </c>
      <c r="H1649" s="191" t="n">
        <v>46037</v>
      </c>
      <c r="I1649" s="189" t="s">
        <v>113</v>
      </c>
      <c r="J1649" s="189" t="s">
        <v>108</v>
      </c>
      <c r="K1649" s="189" t="s">
        <v>232</v>
      </c>
      <c r="L1649" s="189" t="s">
        <v>389</v>
      </c>
      <c r="M1649" s="189" t="s">
        <v>515</v>
      </c>
      <c r="N1649" s="189" t="s">
        <v>714</v>
      </c>
      <c r="O1649" s="189" t="s">
        <v>172</v>
      </c>
      <c r="P1649" s="189" t="s">
        <v>111</v>
      </c>
      <c r="Q1649" s="189" t="s">
        <v>112</v>
      </c>
      <c r="R1649" s="189" t="s">
        <v>21</v>
      </c>
      <c r="S1649" s="189" t="s">
        <v>120</v>
      </c>
      <c r="T1649" s="189" t="s">
        <v>121</v>
      </c>
      <c r="U1649" s="189" t="s">
        <v>166</v>
      </c>
      <c r="V1649" s="189" t="s">
        <v>167</v>
      </c>
      <c r="W1649" s="189" t="s">
        <v>124</v>
      </c>
      <c r="X1649" s="189" t="s">
        <v>1830</v>
      </c>
      <c r="Y1649" s="189" t="s">
        <v>3064</v>
      </c>
      <c r="Z1649" s="0" t="n">
        <v>3</v>
      </c>
      <c r="AA1649" s="189" t="s">
        <v>3312</v>
      </c>
    </row>
    <row r="1650" customFormat="false" ht="15" hidden="false" customHeight="false" outlineLevel="0" collapsed="false">
      <c r="A1650" s="0" t="n">
        <v>355</v>
      </c>
      <c r="B1650" s="191" t="n">
        <v>46039.5711389841</v>
      </c>
      <c r="C1650" s="191" t="n">
        <v>46039.5790787989</v>
      </c>
      <c r="D1650" s="189" t="s">
        <v>2244</v>
      </c>
      <c r="E1650" s="189" t="s">
        <v>2245</v>
      </c>
      <c r="F1650" s="189" t="s">
        <v>2245</v>
      </c>
      <c r="G1650" s="189" t="s">
        <v>2246</v>
      </c>
      <c r="H1650" s="191" t="n">
        <v>46037</v>
      </c>
      <c r="I1650" s="189" t="s">
        <v>113</v>
      </c>
      <c r="J1650" s="189" t="s">
        <v>108</v>
      </c>
      <c r="K1650" s="189" t="s">
        <v>232</v>
      </c>
      <c r="L1650" s="189" t="s">
        <v>389</v>
      </c>
      <c r="M1650" s="189" t="s">
        <v>515</v>
      </c>
      <c r="N1650" s="189" t="s">
        <v>714</v>
      </c>
      <c r="O1650" s="189" t="s">
        <v>172</v>
      </c>
      <c r="P1650" s="189" t="s">
        <v>111</v>
      </c>
      <c r="Q1650" s="189" t="s">
        <v>112</v>
      </c>
      <c r="R1650" s="189" t="s">
        <v>21</v>
      </c>
      <c r="S1650" s="189" t="s">
        <v>120</v>
      </c>
      <c r="T1650" s="189" t="s">
        <v>121</v>
      </c>
      <c r="U1650" s="189" t="s">
        <v>166</v>
      </c>
      <c r="V1650" s="189" t="s">
        <v>167</v>
      </c>
      <c r="W1650" s="189" t="s">
        <v>124</v>
      </c>
      <c r="X1650" s="189" t="s">
        <v>1830</v>
      </c>
      <c r="Y1650" s="189" t="s">
        <v>3066</v>
      </c>
      <c r="Z1650" s="0" t="n">
        <v>1</v>
      </c>
      <c r="AA1650" s="189" t="s">
        <v>3314</v>
      </c>
    </row>
    <row r="1651" customFormat="false" ht="15" hidden="false" customHeight="false" outlineLevel="0" collapsed="false">
      <c r="A1651" s="0" t="n">
        <v>355</v>
      </c>
      <c r="B1651" s="191" t="n">
        <v>46039.5711389841</v>
      </c>
      <c r="C1651" s="191" t="n">
        <v>46039.5790787989</v>
      </c>
      <c r="D1651" s="189" t="s">
        <v>2244</v>
      </c>
      <c r="E1651" s="189" t="s">
        <v>2245</v>
      </c>
      <c r="F1651" s="189" t="s">
        <v>2245</v>
      </c>
      <c r="G1651" s="189" t="s">
        <v>2246</v>
      </c>
      <c r="H1651" s="191" t="n">
        <v>46037</v>
      </c>
      <c r="I1651" s="189" t="s">
        <v>113</v>
      </c>
      <c r="J1651" s="189" t="s">
        <v>108</v>
      </c>
      <c r="K1651" s="189" t="s">
        <v>232</v>
      </c>
      <c r="L1651" s="189" t="s">
        <v>389</v>
      </c>
      <c r="M1651" s="189" t="s">
        <v>515</v>
      </c>
      <c r="N1651" s="189" t="s">
        <v>714</v>
      </c>
      <c r="O1651" s="189" t="s">
        <v>172</v>
      </c>
      <c r="P1651" s="189" t="s">
        <v>111</v>
      </c>
      <c r="Q1651" s="189" t="s">
        <v>112</v>
      </c>
      <c r="R1651" s="189" t="s">
        <v>21</v>
      </c>
      <c r="S1651" s="189" t="s">
        <v>120</v>
      </c>
      <c r="T1651" s="189" t="s">
        <v>121</v>
      </c>
      <c r="U1651" s="189" t="s">
        <v>166</v>
      </c>
      <c r="V1651" s="189" t="s">
        <v>167</v>
      </c>
      <c r="W1651" s="189" t="s">
        <v>124</v>
      </c>
      <c r="X1651" s="189" t="s">
        <v>1830</v>
      </c>
      <c r="Y1651" s="189" t="s">
        <v>3066</v>
      </c>
      <c r="Z1651" s="0" t="n">
        <v>2</v>
      </c>
      <c r="AA1651" s="189" t="s">
        <v>3325</v>
      </c>
    </row>
    <row r="1652" customFormat="false" ht="15" hidden="false" customHeight="false" outlineLevel="0" collapsed="false">
      <c r="A1652" s="0" t="n">
        <v>355</v>
      </c>
      <c r="B1652" s="191" t="n">
        <v>46039.5711389841</v>
      </c>
      <c r="C1652" s="191" t="n">
        <v>46039.5790787989</v>
      </c>
      <c r="D1652" s="189" t="s">
        <v>2244</v>
      </c>
      <c r="E1652" s="189" t="s">
        <v>2245</v>
      </c>
      <c r="F1652" s="189" t="s">
        <v>2245</v>
      </c>
      <c r="G1652" s="189" t="s">
        <v>2246</v>
      </c>
      <c r="H1652" s="191" t="n">
        <v>46037</v>
      </c>
      <c r="I1652" s="189" t="s">
        <v>113</v>
      </c>
      <c r="J1652" s="189" t="s">
        <v>108</v>
      </c>
      <c r="K1652" s="189" t="s">
        <v>232</v>
      </c>
      <c r="L1652" s="189" t="s">
        <v>389</v>
      </c>
      <c r="M1652" s="189" t="s">
        <v>515</v>
      </c>
      <c r="N1652" s="189" t="s">
        <v>714</v>
      </c>
      <c r="O1652" s="189" t="s">
        <v>172</v>
      </c>
      <c r="P1652" s="189" t="s">
        <v>111</v>
      </c>
      <c r="Q1652" s="189" t="s">
        <v>112</v>
      </c>
      <c r="R1652" s="189" t="s">
        <v>21</v>
      </c>
      <c r="S1652" s="189" t="s">
        <v>120</v>
      </c>
      <c r="T1652" s="189" t="s">
        <v>121</v>
      </c>
      <c r="U1652" s="189" t="s">
        <v>166</v>
      </c>
      <c r="V1652" s="189" t="s">
        <v>167</v>
      </c>
      <c r="W1652" s="189" t="s">
        <v>124</v>
      </c>
      <c r="X1652" s="189" t="s">
        <v>1830</v>
      </c>
      <c r="Y1652" s="189" t="s">
        <v>3069</v>
      </c>
      <c r="Z1652" s="0" t="n">
        <v>1</v>
      </c>
      <c r="AA1652" s="189" t="s">
        <v>3326</v>
      </c>
    </row>
    <row r="1653" customFormat="false" ht="15" hidden="false" customHeight="false" outlineLevel="0" collapsed="false">
      <c r="A1653" s="0" t="n">
        <v>356</v>
      </c>
      <c r="B1653" s="191" t="n">
        <v>46114.3072479889</v>
      </c>
      <c r="C1653" s="191" t="n">
        <v>46114.3096901186</v>
      </c>
      <c r="D1653" s="189" t="s">
        <v>2250</v>
      </c>
      <c r="E1653" s="189" t="s">
        <v>2251</v>
      </c>
      <c r="F1653" s="189" t="s">
        <v>2251</v>
      </c>
      <c r="G1653" s="189" t="s">
        <v>2252</v>
      </c>
      <c r="H1653" s="191" t="n">
        <v>46111</v>
      </c>
      <c r="I1653" s="189" t="s">
        <v>132</v>
      </c>
      <c r="J1653" s="189" t="s">
        <v>108</v>
      </c>
      <c r="K1653" s="189" t="s">
        <v>143</v>
      </c>
      <c r="L1653" s="189" t="s">
        <v>286</v>
      </c>
      <c r="M1653" s="189" t="s">
        <v>279</v>
      </c>
      <c r="N1653" s="189" t="s">
        <v>1006</v>
      </c>
      <c r="O1653" s="189" t="s">
        <v>107</v>
      </c>
      <c r="P1653" s="189" t="s">
        <v>111</v>
      </c>
      <c r="Q1653" s="189" t="s">
        <v>112</v>
      </c>
      <c r="R1653" s="189" t="s">
        <v>22</v>
      </c>
      <c r="S1653" s="189" t="s">
        <v>152</v>
      </c>
      <c r="T1653" s="189" t="s">
        <v>2255</v>
      </c>
      <c r="U1653" s="189" t="s">
        <v>2256</v>
      </c>
      <c r="V1653" s="189" t="s">
        <v>123</v>
      </c>
      <c r="W1653" s="189" t="s">
        <v>124</v>
      </c>
      <c r="X1653" s="189" t="s">
        <v>715</v>
      </c>
      <c r="Y1653" s="189" t="s">
        <v>3064</v>
      </c>
      <c r="Z1653" s="0" t="n">
        <v>1</v>
      </c>
      <c r="AA1653" s="189" t="s">
        <v>3252</v>
      </c>
    </row>
    <row r="1654" customFormat="false" ht="15" hidden="false" customHeight="false" outlineLevel="0" collapsed="false">
      <c r="A1654" s="0" t="n">
        <v>356</v>
      </c>
      <c r="B1654" s="191" t="n">
        <v>46114.3072479889</v>
      </c>
      <c r="C1654" s="191" t="n">
        <v>46114.3096901186</v>
      </c>
      <c r="D1654" s="189" t="s">
        <v>2250</v>
      </c>
      <c r="E1654" s="189" t="s">
        <v>2251</v>
      </c>
      <c r="F1654" s="189" t="s">
        <v>2251</v>
      </c>
      <c r="G1654" s="189" t="s">
        <v>2252</v>
      </c>
      <c r="H1654" s="191" t="n">
        <v>46111</v>
      </c>
      <c r="I1654" s="189" t="s">
        <v>132</v>
      </c>
      <c r="J1654" s="189" t="s">
        <v>108</v>
      </c>
      <c r="K1654" s="189" t="s">
        <v>143</v>
      </c>
      <c r="L1654" s="189" t="s">
        <v>286</v>
      </c>
      <c r="M1654" s="189" t="s">
        <v>279</v>
      </c>
      <c r="N1654" s="189" t="s">
        <v>1006</v>
      </c>
      <c r="O1654" s="189" t="s">
        <v>107</v>
      </c>
      <c r="P1654" s="189" t="s">
        <v>111</v>
      </c>
      <c r="Q1654" s="189" t="s">
        <v>112</v>
      </c>
      <c r="R1654" s="189" t="s">
        <v>22</v>
      </c>
      <c r="S1654" s="189" t="s">
        <v>152</v>
      </c>
      <c r="T1654" s="189" t="s">
        <v>2255</v>
      </c>
      <c r="U1654" s="189" t="s">
        <v>2256</v>
      </c>
      <c r="V1654" s="189" t="s">
        <v>123</v>
      </c>
      <c r="W1654" s="189" t="s">
        <v>124</v>
      </c>
      <c r="X1654" s="189" t="s">
        <v>715</v>
      </c>
      <c r="Y1654" s="189" t="s">
        <v>3066</v>
      </c>
      <c r="Z1654" s="0" t="n">
        <v>1</v>
      </c>
      <c r="AA1654" s="189" t="s">
        <v>2531</v>
      </c>
    </row>
    <row r="1655" customFormat="false" ht="15" hidden="false" customHeight="false" outlineLevel="0" collapsed="false">
      <c r="A1655" s="0" t="n">
        <v>356</v>
      </c>
      <c r="B1655" s="191" t="n">
        <v>46114.3072479889</v>
      </c>
      <c r="C1655" s="191" t="n">
        <v>46114.3096901186</v>
      </c>
      <c r="D1655" s="189" t="s">
        <v>2250</v>
      </c>
      <c r="E1655" s="189" t="s">
        <v>2251</v>
      </c>
      <c r="F1655" s="189" t="s">
        <v>2251</v>
      </c>
      <c r="G1655" s="189" t="s">
        <v>2252</v>
      </c>
      <c r="H1655" s="191" t="n">
        <v>46111</v>
      </c>
      <c r="I1655" s="189" t="s">
        <v>132</v>
      </c>
      <c r="J1655" s="189" t="s">
        <v>108</v>
      </c>
      <c r="K1655" s="189" t="s">
        <v>143</v>
      </c>
      <c r="L1655" s="189" t="s">
        <v>286</v>
      </c>
      <c r="M1655" s="189" t="s">
        <v>279</v>
      </c>
      <c r="N1655" s="189" t="s">
        <v>1006</v>
      </c>
      <c r="O1655" s="189" t="s">
        <v>107</v>
      </c>
      <c r="P1655" s="189" t="s">
        <v>111</v>
      </c>
      <c r="Q1655" s="189" t="s">
        <v>112</v>
      </c>
      <c r="R1655" s="189" t="s">
        <v>22</v>
      </c>
      <c r="S1655" s="189" t="s">
        <v>152</v>
      </c>
      <c r="T1655" s="189" t="s">
        <v>2255</v>
      </c>
      <c r="U1655" s="189" t="s">
        <v>2256</v>
      </c>
      <c r="V1655" s="189" t="s">
        <v>123</v>
      </c>
      <c r="W1655" s="189" t="s">
        <v>124</v>
      </c>
      <c r="X1655" s="189" t="s">
        <v>715</v>
      </c>
      <c r="Y1655" s="189" t="s">
        <v>3066</v>
      </c>
      <c r="Z1655" s="0" t="n">
        <v>2</v>
      </c>
      <c r="AA1655" s="189" t="s">
        <v>3327</v>
      </c>
    </row>
    <row r="1656" customFormat="false" ht="15" hidden="false" customHeight="false" outlineLevel="0" collapsed="false">
      <c r="A1656" s="0" t="n">
        <v>356</v>
      </c>
      <c r="B1656" s="191" t="n">
        <v>46114.3072479889</v>
      </c>
      <c r="C1656" s="191" t="n">
        <v>46114.3096901186</v>
      </c>
      <c r="D1656" s="189" t="s">
        <v>2250</v>
      </c>
      <c r="E1656" s="189" t="s">
        <v>2251</v>
      </c>
      <c r="F1656" s="189" t="s">
        <v>2251</v>
      </c>
      <c r="G1656" s="189" t="s">
        <v>2252</v>
      </c>
      <c r="H1656" s="191" t="n">
        <v>46111</v>
      </c>
      <c r="I1656" s="189" t="s">
        <v>132</v>
      </c>
      <c r="J1656" s="189" t="s">
        <v>108</v>
      </c>
      <c r="K1656" s="189" t="s">
        <v>143</v>
      </c>
      <c r="L1656" s="189" t="s">
        <v>286</v>
      </c>
      <c r="M1656" s="189" t="s">
        <v>279</v>
      </c>
      <c r="N1656" s="189" t="s">
        <v>1006</v>
      </c>
      <c r="O1656" s="189" t="s">
        <v>107</v>
      </c>
      <c r="P1656" s="189" t="s">
        <v>111</v>
      </c>
      <c r="Q1656" s="189" t="s">
        <v>112</v>
      </c>
      <c r="R1656" s="189" t="s">
        <v>22</v>
      </c>
      <c r="S1656" s="189" t="s">
        <v>152</v>
      </c>
      <c r="T1656" s="189" t="s">
        <v>2255</v>
      </c>
      <c r="U1656" s="189" t="s">
        <v>2256</v>
      </c>
      <c r="V1656" s="189" t="s">
        <v>123</v>
      </c>
      <c r="W1656" s="189" t="s">
        <v>124</v>
      </c>
      <c r="X1656" s="189" t="s">
        <v>715</v>
      </c>
      <c r="Y1656" s="189" t="s">
        <v>3069</v>
      </c>
      <c r="Z1656" s="0" t="n">
        <v>1</v>
      </c>
      <c r="AA1656" s="189" t="s">
        <v>3285</v>
      </c>
    </row>
    <row r="1657" customFormat="false" ht="15" hidden="false" customHeight="false" outlineLevel="0" collapsed="false">
      <c r="A1657" s="0" t="n">
        <v>356</v>
      </c>
      <c r="B1657" s="191" t="n">
        <v>46114.3072479889</v>
      </c>
      <c r="C1657" s="191" t="n">
        <v>46114.3096901186</v>
      </c>
      <c r="D1657" s="189" t="s">
        <v>2250</v>
      </c>
      <c r="E1657" s="189" t="s">
        <v>2251</v>
      </c>
      <c r="F1657" s="189" t="s">
        <v>2251</v>
      </c>
      <c r="G1657" s="189" t="s">
        <v>2252</v>
      </c>
      <c r="H1657" s="191" t="n">
        <v>46111</v>
      </c>
      <c r="I1657" s="189" t="s">
        <v>132</v>
      </c>
      <c r="J1657" s="189" t="s">
        <v>108</v>
      </c>
      <c r="K1657" s="189" t="s">
        <v>143</v>
      </c>
      <c r="L1657" s="189" t="s">
        <v>286</v>
      </c>
      <c r="M1657" s="189" t="s">
        <v>279</v>
      </c>
      <c r="N1657" s="189" t="s">
        <v>1006</v>
      </c>
      <c r="O1657" s="189" t="s">
        <v>107</v>
      </c>
      <c r="P1657" s="189" t="s">
        <v>111</v>
      </c>
      <c r="Q1657" s="189" t="s">
        <v>112</v>
      </c>
      <c r="R1657" s="189" t="s">
        <v>22</v>
      </c>
      <c r="S1657" s="189" t="s">
        <v>152</v>
      </c>
      <c r="T1657" s="189" t="s">
        <v>2255</v>
      </c>
      <c r="U1657" s="189" t="s">
        <v>2256</v>
      </c>
      <c r="V1657" s="189" t="s">
        <v>123</v>
      </c>
      <c r="W1657" s="189" t="s">
        <v>124</v>
      </c>
      <c r="X1657" s="189" t="s">
        <v>715</v>
      </c>
      <c r="Y1657" s="189" t="s">
        <v>3069</v>
      </c>
      <c r="Z1657" s="0" t="n">
        <v>2</v>
      </c>
      <c r="AA1657" s="189" t="s">
        <v>3229</v>
      </c>
    </row>
    <row r="1658" customFormat="false" ht="15" hidden="false" customHeight="false" outlineLevel="0" collapsed="false">
      <c r="A1658" s="0" t="n">
        <v>357</v>
      </c>
      <c r="B1658" s="191" t="n">
        <v>46159.8389965117</v>
      </c>
      <c r="C1658" s="191" t="n">
        <v>46159.8453969747</v>
      </c>
      <c r="D1658" s="189" t="s">
        <v>2257</v>
      </c>
      <c r="E1658" s="189" t="s">
        <v>2258</v>
      </c>
      <c r="F1658" s="189" t="s">
        <v>2258</v>
      </c>
      <c r="G1658" s="189" t="s">
        <v>2259</v>
      </c>
      <c r="H1658" s="191" t="n">
        <v>46143</v>
      </c>
      <c r="I1658" s="189" t="s">
        <v>325</v>
      </c>
      <c r="J1658" s="189" t="s">
        <v>295</v>
      </c>
      <c r="K1658" s="189" t="s">
        <v>245</v>
      </c>
      <c r="L1658" s="189" t="s">
        <v>197</v>
      </c>
      <c r="M1658" s="189" t="s">
        <v>789</v>
      </c>
      <c r="N1658" s="189" t="s">
        <v>560</v>
      </c>
      <c r="O1658" s="189" t="s">
        <v>278</v>
      </c>
      <c r="P1658" s="189" t="s">
        <v>111</v>
      </c>
      <c r="Q1658" s="189" t="s">
        <v>112</v>
      </c>
      <c r="R1658" s="189" t="s">
        <v>24</v>
      </c>
      <c r="S1658" s="189" t="s">
        <v>152</v>
      </c>
      <c r="T1658" s="189" t="s">
        <v>180</v>
      </c>
      <c r="V1658" s="189" t="s">
        <v>123</v>
      </c>
      <c r="W1658" s="189" t="s">
        <v>124</v>
      </c>
      <c r="X1658" s="189" t="s">
        <v>223</v>
      </c>
      <c r="Y1658" s="189" t="s">
        <v>3064</v>
      </c>
      <c r="Z1658" s="0" t="n">
        <v>1</v>
      </c>
      <c r="AA1658" s="189" t="s">
        <v>3120</v>
      </c>
    </row>
    <row r="1659" customFormat="false" ht="15" hidden="false" customHeight="false" outlineLevel="0" collapsed="false">
      <c r="A1659" s="0" t="n">
        <v>357</v>
      </c>
      <c r="B1659" s="191" t="n">
        <v>46159.8389965117</v>
      </c>
      <c r="C1659" s="191" t="n">
        <v>46159.8453969747</v>
      </c>
      <c r="D1659" s="189" t="s">
        <v>2257</v>
      </c>
      <c r="E1659" s="189" t="s">
        <v>2258</v>
      </c>
      <c r="F1659" s="189" t="s">
        <v>2258</v>
      </c>
      <c r="G1659" s="189" t="s">
        <v>2259</v>
      </c>
      <c r="H1659" s="191" t="n">
        <v>46143</v>
      </c>
      <c r="I1659" s="189" t="s">
        <v>325</v>
      </c>
      <c r="J1659" s="189" t="s">
        <v>295</v>
      </c>
      <c r="K1659" s="189" t="s">
        <v>245</v>
      </c>
      <c r="L1659" s="189" t="s">
        <v>197</v>
      </c>
      <c r="M1659" s="189" t="s">
        <v>789</v>
      </c>
      <c r="N1659" s="189" t="s">
        <v>560</v>
      </c>
      <c r="O1659" s="189" t="s">
        <v>278</v>
      </c>
      <c r="P1659" s="189" t="s">
        <v>111</v>
      </c>
      <c r="Q1659" s="189" t="s">
        <v>112</v>
      </c>
      <c r="R1659" s="189" t="s">
        <v>24</v>
      </c>
      <c r="S1659" s="189" t="s">
        <v>152</v>
      </c>
      <c r="T1659" s="189" t="s">
        <v>180</v>
      </c>
      <c r="V1659" s="189" t="s">
        <v>123</v>
      </c>
      <c r="W1659" s="189" t="s">
        <v>124</v>
      </c>
      <c r="X1659" s="189" t="s">
        <v>223</v>
      </c>
      <c r="Y1659" s="189" t="s">
        <v>3064</v>
      </c>
      <c r="Z1659" s="0" t="n">
        <v>2</v>
      </c>
      <c r="AA1659" s="189" t="s">
        <v>3104</v>
      </c>
    </row>
    <row r="1660" customFormat="false" ht="15" hidden="false" customHeight="false" outlineLevel="0" collapsed="false">
      <c r="A1660" s="0" t="n">
        <v>357</v>
      </c>
      <c r="B1660" s="191" t="n">
        <v>46159.8389965117</v>
      </c>
      <c r="C1660" s="191" t="n">
        <v>46159.8453969747</v>
      </c>
      <c r="D1660" s="189" t="s">
        <v>2257</v>
      </c>
      <c r="E1660" s="189" t="s">
        <v>2258</v>
      </c>
      <c r="F1660" s="189" t="s">
        <v>2258</v>
      </c>
      <c r="G1660" s="189" t="s">
        <v>2259</v>
      </c>
      <c r="H1660" s="191" t="n">
        <v>46143</v>
      </c>
      <c r="I1660" s="189" t="s">
        <v>325</v>
      </c>
      <c r="J1660" s="189" t="s">
        <v>295</v>
      </c>
      <c r="K1660" s="189" t="s">
        <v>245</v>
      </c>
      <c r="L1660" s="189" t="s">
        <v>197</v>
      </c>
      <c r="M1660" s="189" t="s">
        <v>789</v>
      </c>
      <c r="N1660" s="189" t="s">
        <v>560</v>
      </c>
      <c r="O1660" s="189" t="s">
        <v>278</v>
      </c>
      <c r="P1660" s="189" t="s">
        <v>111</v>
      </c>
      <c r="Q1660" s="189" t="s">
        <v>112</v>
      </c>
      <c r="R1660" s="189" t="s">
        <v>24</v>
      </c>
      <c r="S1660" s="189" t="s">
        <v>152</v>
      </c>
      <c r="T1660" s="189" t="s">
        <v>180</v>
      </c>
      <c r="V1660" s="189" t="s">
        <v>123</v>
      </c>
      <c r="W1660" s="189" t="s">
        <v>124</v>
      </c>
      <c r="X1660" s="189" t="s">
        <v>223</v>
      </c>
      <c r="Y1660" s="189" t="s">
        <v>3064</v>
      </c>
      <c r="Z1660" s="0" t="n">
        <v>3</v>
      </c>
      <c r="AA1660" s="189" t="s">
        <v>3096</v>
      </c>
    </row>
    <row r="1661" customFormat="false" ht="15" hidden="false" customHeight="false" outlineLevel="0" collapsed="false">
      <c r="A1661" s="0" t="n">
        <v>357</v>
      </c>
      <c r="B1661" s="191" t="n">
        <v>46159.8389965117</v>
      </c>
      <c r="C1661" s="191" t="n">
        <v>46159.8453969747</v>
      </c>
      <c r="D1661" s="189" t="s">
        <v>2257</v>
      </c>
      <c r="E1661" s="189" t="s">
        <v>2258</v>
      </c>
      <c r="F1661" s="189" t="s">
        <v>2258</v>
      </c>
      <c r="G1661" s="189" t="s">
        <v>2259</v>
      </c>
      <c r="H1661" s="191" t="n">
        <v>46143</v>
      </c>
      <c r="I1661" s="189" t="s">
        <v>325</v>
      </c>
      <c r="J1661" s="189" t="s">
        <v>295</v>
      </c>
      <c r="K1661" s="189" t="s">
        <v>245</v>
      </c>
      <c r="L1661" s="189" t="s">
        <v>197</v>
      </c>
      <c r="M1661" s="189" t="s">
        <v>789</v>
      </c>
      <c r="N1661" s="189" t="s">
        <v>560</v>
      </c>
      <c r="O1661" s="189" t="s">
        <v>278</v>
      </c>
      <c r="P1661" s="189" t="s">
        <v>111</v>
      </c>
      <c r="Q1661" s="189" t="s">
        <v>112</v>
      </c>
      <c r="R1661" s="189" t="s">
        <v>24</v>
      </c>
      <c r="S1661" s="189" t="s">
        <v>152</v>
      </c>
      <c r="T1661" s="189" t="s">
        <v>180</v>
      </c>
      <c r="V1661" s="189" t="s">
        <v>123</v>
      </c>
      <c r="W1661" s="189" t="s">
        <v>124</v>
      </c>
      <c r="X1661" s="189" t="s">
        <v>223</v>
      </c>
      <c r="Y1661" s="189" t="s">
        <v>3066</v>
      </c>
      <c r="Z1661" s="0" t="n">
        <v>1</v>
      </c>
      <c r="AA1661" s="189" t="s">
        <v>3213</v>
      </c>
    </row>
    <row r="1662" customFormat="false" ht="15" hidden="false" customHeight="false" outlineLevel="0" collapsed="false">
      <c r="A1662" s="0" t="n">
        <v>357</v>
      </c>
      <c r="B1662" s="191" t="n">
        <v>46159.8389965117</v>
      </c>
      <c r="C1662" s="191" t="n">
        <v>46159.8453969747</v>
      </c>
      <c r="D1662" s="189" t="s">
        <v>2257</v>
      </c>
      <c r="E1662" s="189" t="s">
        <v>2258</v>
      </c>
      <c r="F1662" s="189" t="s">
        <v>2258</v>
      </c>
      <c r="G1662" s="189" t="s">
        <v>2259</v>
      </c>
      <c r="H1662" s="191" t="n">
        <v>46143</v>
      </c>
      <c r="I1662" s="189" t="s">
        <v>325</v>
      </c>
      <c r="J1662" s="189" t="s">
        <v>295</v>
      </c>
      <c r="K1662" s="189" t="s">
        <v>245</v>
      </c>
      <c r="L1662" s="189" t="s">
        <v>197</v>
      </c>
      <c r="M1662" s="189" t="s">
        <v>789</v>
      </c>
      <c r="N1662" s="189" t="s">
        <v>560</v>
      </c>
      <c r="O1662" s="189" t="s">
        <v>278</v>
      </c>
      <c r="P1662" s="189" t="s">
        <v>111</v>
      </c>
      <c r="Q1662" s="189" t="s">
        <v>112</v>
      </c>
      <c r="R1662" s="189" t="s">
        <v>24</v>
      </c>
      <c r="S1662" s="189" t="s">
        <v>152</v>
      </c>
      <c r="T1662" s="189" t="s">
        <v>180</v>
      </c>
      <c r="V1662" s="189" t="s">
        <v>123</v>
      </c>
      <c r="W1662" s="189" t="s">
        <v>124</v>
      </c>
      <c r="X1662" s="189" t="s">
        <v>223</v>
      </c>
      <c r="Y1662" s="189" t="s">
        <v>3066</v>
      </c>
      <c r="Z1662" s="0" t="n">
        <v>2</v>
      </c>
      <c r="AA1662" s="189" t="s">
        <v>3149</v>
      </c>
    </row>
    <row r="1663" customFormat="false" ht="15" hidden="false" customHeight="false" outlineLevel="0" collapsed="false">
      <c r="A1663" s="0" t="n">
        <v>357</v>
      </c>
      <c r="B1663" s="191" t="n">
        <v>46159.8389965117</v>
      </c>
      <c r="C1663" s="191" t="n">
        <v>46159.8453969747</v>
      </c>
      <c r="D1663" s="189" t="s">
        <v>2257</v>
      </c>
      <c r="E1663" s="189" t="s">
        <v>2258</v>
      </c>
      <c r="F1663" s="189" t="s">
        <v>2258</v>
      </c>
      <c r="G1663" s="189" t="s">
        <v>2259</v>
      </c>
      <c r="H1663" s="191" t="n">
        <v>46143</v>
      </c>
      <c r="I1663" s="189" t="s">
        <v>325</v>
      </c>
      <c r="J1663" s="189" t="s">
        <v>295</v>
      </c>
      <c r="K1663" s="189" t="s">
        <v>245</v>
      </c>
      <c r="L1663" s="189" t="s">
        <v>197</v>
      </c>
      <c r="M1663" s="189" t="s">
        <v>789</v>
      </c>
      <c r="N1663" s="189" t="s">
        <v>560</v>
      </c>
      <c r="O1663" s="189" t="s">
        <v>278</v>
      </c>
      <c r="P1663" s="189" t="s">
        <v>111</v>
      </c>
      <c r="Q1663" s="189" t="s">
        <v>112</v>
      </c>
      <c r="R1663" s="189" t="s">
        <v>24</v>
      </c>
      <c r="S1663" s="189" t="s">
        <v>152</v>
      </c>
      <c r="T1663" s="189" t="s">
        <v>180</v>
      </c>
      <c r="V1663" s="189" t="s">
        <v>123</v>
      </c>
      <c r="W1663" s="189" t="s">
        <v>124</v>
      </c>
      <c r="X1663" s="189" t="s">
        <v>223</v>
      </c>
      <c r="Y1663" s="189" t="s">
        <v>3069</v>
      </c>
      <c r="Z1663" s="0" t="n">
        <v>1</v>
      </c>
      <c r="AA1663" s="189" t="s">
        <v>3150</v>
      </c>
    </row>
    <row r="1664" customFormat="false" ht="15" hidden="false" customHeight="false" outlineLevel="0" collapsed="false">
      <c r="A1664" s="0" t="n">
        <v>358</v>
      </c>
      <c r="B1664" s="191" t="n">
        <v>46193.1155771196</v>
      </c>
      <c r="C1664" s="191" t="n">
        <v>46193.1255423974</v>
      </c>
      <c r="D1664" s="189" t="s">
        <v>2262</v>
      </c>
      <c r="E1664" s="189" t="s">
        <v>2263</v>
      </c>
      <c r="F1664" s="189" t="s">
        <v>2263</v>
      </c>
      <c r="G1664" s="189" t="s">
        <v>2264</v>
      </c>
      <c r="H1664" s="191" t="n">
        <v>46190</v>
      </c>
      <c r="I1664" s="189" t="s">
        <v>113</v>
      </c>
      <c r="J1664" s="189" t="s">
        <v>108</v>
      </c>
      <c r="K1664" s="189" t="s">
        <v>245</v>
      </c>
      <c r="L1664" s="189" t="s">
        <v>491</v>
      </c>
      <c r="M1664" s="189" t="s">
        <v>501</v>
      </c>
      <c r="N1664" s="189" t="s">
        <v>714</v>
      </c>
      <c r="O1664" s="189" t="s">
        <v>244</v>
      </c>
      <c r="P1664" s="189" t="s">
        <v>111</v>
      </c>
      <c r="Q1664" s="189" t="s">
        <v>112</v>
      </c>
      <c r="R1664" s="189" t="s">
        <v>22</v>
      </c>
      <c r="S1664" s="189" t="s">
        <v>120</v>
      </c>
      <c r="T1664" s="189" t="s">
        <v>180</v>
      </c>
      <c r="U1664" s="189" t="s">
        <v>2268</v>
      </c>
      <c r="V1664" s="189" t="s">
        <v>123</v>
      </c>
      <c r="W1664" s="189" t="s">
        <v>124</v>
      </c>
      <c r="X1664" s="189" t="s">
        <v>176</v>
      </c>
      <c r="Y1664" s="189" t="s">
        <v>3064</v>
      </c>
      <c r="Z1664" s="0" t="n">
        <v>1</v>
      </c>
      <c r="AA1664" s="189" t="s">
        <v>3204</v>
      </c>
    </row>
    <row r="1665" customFormat="false" ht="15" hidden="false" customHeight="false" outlineLevel="0" collapsed="false">
      <c r="A1665" s="0" t="n">
        <v>358</v>
      </c>
      <c r="B1665" s="191" t="n">
        <v>46193.1155771196</v>
      </c>
      <c r="C1665" s="191" t="n">
        <v>46193.1255423974</v>
      </c>
      <c r="D1665" s="189" t="s">
        <v>2262</v>
      </c>
      <c r="E1665" s="189" t="s">
        <v>2263</v>
      </c>
      <c r="F1665" s="189" t="s">
        <v>2263</v>
      </c>
      <c r="G1665" s="189" t="s">
        <v>2264</v>
      </c>
      <c r="H1665" s="191" t="n">
        <v>46190</v>
      </c>
      <c r="I1665" s="189" t="s">
        <v>113</v>
      </c>
      <c r="J1665" s="189" t="s">
        <v>108</v>
      </c>
      <c r="K1665" s="189" t="s">
        <v>245</v>
      </c>
      <c r="L1665" s="189" t="s">
        <v>491</v>
      </c>
      <c r="M1665" s="189" t="s">
        <v>501</v>
      </c>
      <c r="N1665" s="189" t="s">
        <v>714</v>
      </c>
      <c r="O1665" s="189" t="s">
        <v>244</v>
      </c>
      <c r="P1665" s="189" t="s">
        <v>111</v>
      </c>
      <c r="Q1665" s="189" t="s">
        <v>112</v>
      </c>
      <c r="R1665" s="189" t="s">
        <v>22</v>
      </c>
      <c r="S1665" s="189" t="s">
        <v>120</v>
      </c>
      <c r="T1665" s="189" t="s">
        <v>180</v>
      </c>
      <c r="U1665" s="189" t="s">
        <v>2268</v>
      </c>
      <c r="V1665" s="189" t="s">
        <v>123</v>
      </c>
      <c r="W1665" s="189" t="s">
        <v>124</v>
      </c>
      <c r="X1665" s="189" t="s">
        <v>176</v>
      </c>
      <c r="Y1665" s="189" t="s">
        <v>3064</v>
      </c>
      <c r="Z1665" s="0" t="n">
        <v>2</v>
      </c>
      <c r="AA1665" s="189" t="s">
        <v>3269</v>
      </c>
    </row>
    <row r="1666" customFormat="false" ht="15" hidden="false" customHeight="false" outlineLevel="0" collapsed="false">
      <c r="A1666" s="0" t="n">
        <v>358</v>
      </c>
      <c r="B1666" s="191" t="n">
        <v>46193.1155771196</v>
      </c>
      <c r="C1666" s="191" t="n">
        <v>46193.1255423974</v>
      </c>
      <c r="D1666" s="189" t="s">
        <v>2262</v>
      </c>
      <c r="E1666" s="189" t="s">
        <v>2263</v>
      </c>
      <c r="F1666" s="189" t="s">
        <v>2263</v>
      </c>
      <c r="G1666" s="189" t="s">
        <v>2264</v>
      </c>
      <c r="H1666" s="191" t="n">
        <v>46190</v>
      </c>
      <c r="I1666" s="189" t="s">
        <v>113</v>
      </c>
      <c r="J1666" s="189" t="s">
        <v>108</v>
      </c>
      <c r="K1666" s="189" t="s">
        <v>245</v>
      </c>
      <c r="L1666" s="189" t="s">
        <v>491</v>
      </c>
      <c r="M1666" s="189" t="s">
        <v>501</v>
      </c>
      <c r="N1666" s="189" t="s">
        <v>714</v>
      </c>
      <c r="O1666" s="189" t="s">
        <v>244</v>
      </c>
      <c r="P1666" s="189" t="s">
        <v>111</v>
      </c>
      <c r="Q1666" s="189" t="s">
        <v>112</v>
      </c>
      <c r="R1666" s="189" t="s">
        <v>22</v>
      </c>
      <c r="S1666" s="189" t="s">
        <v>120</v>
      </c>
      <c r="T1666" s="189" t="s">
        <v>180</v>
      </c>
      <c r="U1666" s="189" t="s">
        <v>2268</v>
      </c>
      <c r="V1666" s="189" t="s">
        <v>123</v>
      </c>
      <c r="W1666" s="189" t="s">
        <v>124</v>
      </c>
      <c r="X1666" s="189" t="s">
        <v>176</v>
      </c>
      <c r="Y1666" s="189" t="s">
        <v>3066</v>
      </c>
      <c r="Z1666" s="0" t="n">
        <v>1</v>
      </c>
      <c r="AA1666" s="189" t="s">
        <v>3328</v>
      </c>
    </row>
    <row r="1667" customFormat="false" ht="15" hidden="false" customHeight="false" outlineLevel="0" collapsed="false">
      <c r="A1667" s="0" t="n">
        <v>358</v>
      </c>
      <c r="B1667" s="191" t="n">
        <v>46193.1155771196</v>
      </c>
      <c r="C1667" s="191" t="n">
        <v>46193.1255423974</v>
      </c>
      <c r="D1667" s="189" t="s">
        <v>2262</v>
      </c>
      <c r="E1667" s="189" t="s">
        <v>2263</v>
      </c>
      <c r="F1667" s="189" t="s">
        <v>2263</v>
      </c>
      <c r="G1667" s="189" t="s">
        <v>2264</v>
      </c>
      <c r="H1667" s="191" t="n">
        <v>46190</v>
      </c>
      <c r="I1667" s="189" t="s">
        <v>113</v>
      </c>
      <c r="J1667" s="189" t="s">
        <v>108</v>
      </c>
      <c r="K1667" s="189" t="s">
        <v>245</v>
      </c>
      <c r="L1667" s="189" t="s">
        <v>491</v>
      </c>
      <c r="M1667" s="189" t="s">
        <v>501</v>
      </c>
      <c r="N1667" s="189" t="s">
        <v>714</v>
      </c>
      <c r="O1667" s="189" t="s">
        <v>244</v>
      </c>
      <c r="P1667" s="189" t="s">
        <v>111</v>
      </c>
      <c r="Q1667" s="189" t="s">
        <v>112</v>
      </c>
      <c r="R1667" s="189" t="s">
        <v>22</v>
      </c>
      <c r="S1667" s="189" t="s">
        <v>120</v>
      </c>
      <c r="T1667" s="189" t="s">
        <v>180</v>
      </c>
      <c r="U1667" s="189" t="s">
        <v>2268</v>
      </c>
      <c r="V1667" s="189" t="s">
        <v>123</v>
      </c>
      <c r="W1667" s="189" t="s">
        <v>124</v>
      </c>
      <c r="X1667" s="189" t="s">
        <v>176</v>
      </c>
      <c r="Y1667" s="189" t="s">
        <v>3069</v>
      </c>
      <c r="Z1667" s="0" t="n">
        <v>1</v>
      </c>
      <c r="AA1667" s="189" t="s">
        <v>3088</v>
      </c>
    </row>
    <row r="1668" customFormat="false" ht="15" hidden="false" customHeight="false" outlineLevel="0" collapsed="false">
      <c r="A1668" s="0" t="n">
        <v>358</v>
      </c>
      <c r="B1668" s="191" t="n">
        <v>46193.1155771196</v>
      </c>
      <c r="C1668" s="191" t="n">
        <v>46193.1255423974</v>
      </c>
      <c r="D1668" s="189" t="s">
        <v>2262</v>
      </c>
      <c r="E1668" s="189" t="s">
        <v>2263</v>
      </c>
      <c r="F1668" s="189" t="s">
        <v>2263</v>
      </c>
      <c r="G1668" s="189" t="s">
        <v>2264</v>
      </c>
      <c r="H1668" s="191" t="n">
        <v>46190</v>
      </c>
      <c r="I1668" s="189" t="s">
        <v>113</v>
      </c>
      <c r="J1668" s="189" t="s">
        <v>108</v>
      </c>
      <c r="K1668" s="189" t="s">
        <v>245</v>
      </c>
      <c r="L1668" s="189" t="s">
        <v>491</v>
      </c>
      <c r="M1668" s="189" t="s">
        <v>501</v>
      </c>
      <c r="N1668" s="189" t="s">
        <v>714</v>
      </c>
      <c r="O1668" s="189" t="s">
        <v>244</v>
      </c>
      <c r="P1668" s="189" t="s">
        <v>111</v>
      </c>
      <c r="Q1668" s="189" t="s">
        <v>112</v>
      </c>
      <c r="R1668" s="189" t="s">
        <v>22</v>
      </c>
      <c r="S1668" s="189" t="s">
        <v>120</v>
      </c>
      <c r="T1668" s="189" t="s">
        <v>180</v>
      </c>
      <c r="U1668" s="189" t="s">
        <v>2268</v>
      </c>
      <c r="V1668" s="189" t="s">
        <v>123</v>
      </c>
      <c r="W1668" s="189" t="s">
        <v>124</v>
      </c>
      <c r="X1668" s="189" t="s">
        <v>176</v>
      </c>
      <c r="Y1668" s="189" t="s">
        <v>3069</v>
      </c>
      <c r="Z1668" s="0" t="n">
        <v>2</v>
      </c>
      <c r="AA1668" s="189" t="s">
        <v>3241</v>
      </c>
    </row>
    <row r="1669" customFormat="false" ht="15" hidden="false" customHeight="false" outlineLevel="0" collapsed="false">
      <c r="A1669" s="0" t="n">
        <v>359</v>
      </c>
      <c r="B1669" s="191" t="n">
        <v>46071.6528968802</v>
      </c>
      <c r="C1669" s="191" t="n">
        <v>46071.6692741951</v>
      </c>
      <c r="D1669" s="189" t="s">
        <v>2269</v>
      </c>
      <c r="E1669" s="189" t="s">
        <v>2270</v>
      </c>
      <c r="F1669" s="189" t="s">
        <v>2270</v>
      </c>
      <c r="G1669" s="189" t="s">
        <v>2271</v>
      </c>
      <c r="H1669" s="191" t="n">
        <v>46066</v>
      </c>
      <c r="I1669" s="189" t="s">
        <v>113</v>
      </c>
      <c r="J1669" s="189" t="s">
        <v>108</v>
      </c>
      <c r="K1669" s="189" t="s">
        <v>2140</v>
      </c>
      <c r="L1669" s="189" t="s">
        <v>346</v>
      </c>
      <c r="M1669" s="189" t="s">
        <v>1112</v>
      </c>
      <c r="N1669" s="189" t="s">
        <v>2228</v>
      </c>
      <c r="O1669" s="189" t="s">
        <v>157</v>
      </c>
      <c r="P1669" s="189" t="s">
        <v>111</v>
      </c>
      <c r="Q1669" s="189" t="s">
        <v>145</v>
      </c>
      <c r="R1669" s="189" t="s">
        <v>24</v>
      </c>
      <c r="S1669" s="189" t="s">
        <v>152</v>
      </c>
      <c r="T1669" s="189" t="s">
        <v>352</v>
      </c>
      <c r="V1669" s="189" t="s">
        <v>123</v>
      </c>
      <c r="W1669" s="189" t="s">
        <v>168</v>
      </c>
      <c r="X1669" s="189" t="s">
        <v>214</v>
      </c>
      <c r="Y1669" s="189" t="s">
        <v>3064</v>
      </c>
      <c r="Z1669" s="0" t="n">
        <v>1</v>
      </c>
      <c r="AA1669" s="189" t="s">
        <v>3107</v>
      </c>
    </row>
    <row r="1670" customFormat="false" ht="15" hidden="false" customHeight="false" outlineLevel="0" collapsed="false">
      <c r="A1670" s="0" t="n">
        <v>359</v>
      </c>
      <c r="B1670" s="191" t="n">
        <v>46071.6528968802</v>
      </c>
      <c r="C1670" s="191" t="n">
        <v>46071.6692741951</v>
      </c>
      <c r="D1670" s="189" t="s">
        <v>2269</v>
      </c>
      <c r="E1670" s="189" t="s">
        <v>2270</v>
      </c>
      <c r="F1670" s="189" t="s">
        <v>2270</v>
      </c>
      <c r="G1670" s="189" t="s">
        <v>2271</v>
      </c>
      <c r="H1670" s="191" t="n">
        <v>46066</v>
      </c>
      <c r="I1670" s="189" t="s">
        <v>113</v>
      </c>
      <c r="J1670" s="189" t="s">
        <v>108</v>
      </c>
      <c r="K1670" s="189" t="s">
        <v>2140</v>
      </c>
      <c r="L1670" s="189" t="s">
        <v>346</v>
      </c>
      <c r="M1670" s="189" t="s">
        <v>1112</v>
      </c>
      <c r="N1670" s="189" t="s">
        <v>2228</v>
      </c>
      <c r="O1670" s="189" t="s">
        <v>157</v>
      </c>
      <c r="P1670" s="189" t="s">
        <v>111</v>
      </c>
      <c r="Q1670" s="189" t="s">
        <v>145</v>
      </c>
      <c r="R1670" s="189" t="s">
        <v>24</v>
      </c>
      <c r="S1670" s="189" t="s">
        <v>152</v>
      </c>
      <c r="T1670" s="189" t="s">
        <v>352</v>
      </c>
      <c r="V1670" s="189" t="s">
        <v>123</v>
      </c>
      <c r="W1670" s="189" t="s">
        <v>168</v>
      </c>
      <c r="X1670" s="189" t="s">
        <v>214</v>
      </c>
      <c r="Y1670" s="189" t="s">
        <v>3066</v>
      </c>
      <c r="Z1670" s="0" t="n">
        <v>1</v>
      </c>
      <c r="AA1670" s="189" t="s">
        <v>3067</v>
      </c>
    </row>
    <row r="1671" customFormat="false" ht="15" hidden="false" customHeight="false" outlineLevel="0" collapsed="false">
      <c r="A1671" s="0" t="n">
        <v>359</v>
      </c>
      <c r="B1671" s="191" t="n">
        <v>46071.6528968802</v>
      </c>
      <c r="C1671" s="191" t="n">
        <v>46071.6692741951</v>
      </c>
      <c r="D1671" s="189" t="s">
        <v>2269</v>
      </c>
      <c r="E1671" s="189" t="s">
        <v>2270</v>
      </c>
      <c r="F1671" s="189" t="s">
        <v>2270</v>
      </c>
      <c r="G1671" s="189" t="s">
        <v>2271</v>
      </c>
      <c r="H1671" s="191" t="n">
        <v>46066</v>
      </c>
      <c r="I1671" s="189" t="s">
        <v>113</v>
      </c>
      <c r="J1671" s="189" t="s">
        <v>108</v>
      </c>
      <c r="K1671" s="189" t="s">
        <v>2140</v>
      </c>
      <c r="L1671" s="189" t="s">
        <v>346</v>
      </c>
      <c r="M1671" s="189" t="s">
        <v>1112</v>
      </c>
      <c r="N1671" s="189" t="s">
        <v>2228</v>
      </c>
      <c r="O1671" s="189" t="s">
        <v>157</v>
      </c>
      <c r="P1671" s="189" t="s">
        <v>111</v>
      </c>
      <c r="Q1671" s="189" t="s">
        <v>145</v>
      </c>
      <c r="R1671" s="189" t="s">
        <v>24</v>
      </c>
      <c r="S1671" s="189" t="s">
        <v>152</v>
      </c>
      <c r="T1671" s="189" t="s">
        <v>352</v>
      </c>
      <c r="V1671" s="189" t="s">
        <v>123</v>
      </c>
      <c r="W1671" s="189" t="s">
        <v>168</v>
      </c>
      <c r="X1671" s="189" t="s">
        <v>214</v>
      </c>
      <c r="Y1671" s="189" t="s">
        <v>3069</v>
      </c>
      <c r="Z1671" s="0" t="n">
        <v>1</v>
      </c>
      <c r="AA1671" s="189" t="s">
        <v>3083</v>
      </c>
    </row>
    <row r="1672" customFormat="false" ht="15" hidden="false" customHeight="false" outlineLevel="0" collapsed="false">
      <c r="A1672" s="0" t="n">
        <v>359</v>
      </c>
      <c r="B1672" s="191" t="n">
        <v>46071.6528968802</v>
      </c>
      <c r="C1672" s="191" t="n">
        <v>46071.6692741951</v>
      </c>
      <c r="D1672" s="189" t="s">
        <v>2269</v>
      </c>
      <c r="E1672" s="189" t="s">
        <v>2270</v>
      </c>
      <c r="F1672" s="189" t="s">
        <v>2270</v>
      </c>
      <c r="G1672" s="189" t="s">
        <v>2271</v>
      </c>
      <c r="H1672" s="191" t="n">
        <v>46066</v>
      </c>
      <c r="I1672" s="189" t="s">
        <v>113</v>
      </c>
      <c r="J1672" s="189" t="s">
        <v>108</v>
      </c>
      <c r="K1672" s="189" t="s">
        <v>2140</v>
      </c>
      <c r="L1672" s="189" t="s">
        <v>346</v>
      </c>
      <c r="M1672" s="189" t="s">
        <v>1112</v>
      </c>
      <c r="N1672" s="189" t="s">
        <v>2228</v>
      </c>
      <c r="O1672" s="189" t="s">
        <v>157</v>
      </c>
      <c r="P1672" s="189" t="s">
        <v>111</v>
      </c>
      <c r="Q1672" s="189" t="s">
        <v>145</v>
      </c>
      <c r="R1672" s="189" t="s">
        <v>24</v>
      </c>
      <c r="S1672" s="189" t="s">
        <v>152</v>
      </c>
      <c r="T1672" s="189" t="s">
        <v>352</v>
      </c>
      <c r="V1672" s="189" t="s">
        <v>123</v>
      </c>
      <c r="W1672" s="189" t="s">
        <v>168</v>
      </c>
      <c r="X1672" s="189" t="s">
        <v>214</v>
      </c>
      <c r="Y1672" s="189" t="s">
        <v>3069</v>
      </c>
      <c r="Z1672" s="0" t="n">
        <v>2</v>
      </c>
      <c r="AA1672" s="189" t="s">
        <v>3108</v>
      </c>
    </row>
    <row r="1673" customFormat="false" ht="15" hidden="false" customHeight="false" outlineLevel="0" collapsed="false">
      <c r="A1673" s="0" t="n">
        <v>360</v>
      </c>
      <c r="B1673" s="191" t="n">
        <v>46208.4231249246</v>
      </c>
      <c r="C1673" s="191" t="n">
        <v>46208.4416318691</v>
      </c>
      <c r="D1673" s="189" t="s">
        <v>2273</v>
      </c>
      <c r="E1673" s="189" t="s">
        <v>2274</v>
      </c>
      <c r="F1673" s="189" t="s">
        <v>2275</v>
      </c>
      <c r="G1673" s="189" t="s">
        <v>2276</v>
      </c>
      <c r="H1673" s="191" t="n">
        <v>46197</v>
      </c>
      <c r="I1673" s="189" t="s">
        <v>325</v>
      </c>
      <c r="J1673" s="189" t="s">
        <v>128</v>
      </c>
      <c r="K1673" s="189" t="s">
        <v>245</v>
      </c>
      <c r="L1673" s="189" t="s">
        <v>130</v>
      </c>
      <c r="M1673" s="189" t="s">
        <v>885</v>
      </c>
      <c r="N1673" s="189" t="s">
        <v>552</v>
      </c>
      <c r="O1673" s="189" t="s">
        <v>750</v>
      </c>
      <c r="P1673" s="189" t="s">
        <v>111</v>
      </c>
      <c r="Q1673" s="189" t="s">
        <v>145</v>
      </c>
      <c r="R1673" s="189" t="s">
        <v>22</v>
      </c>
      <c r="S1673" s="189" t="s">
        <v>152</v>
      </c>
      <c r="T1673" s="189" t="s">
        <v>121</v>
      </c>
      <c r="U1673" s="189" t="s">
        <v>822</v>
      </c>
      <c r="V1673" s="189" t="s">
        <v>167</v>
      </c>
      <c r="W1673" s="189" t="s">
        <v>124</v>
      </c>
      <c r="X1673" s="189" t="s">
        <v>116</v>
      </c>
      <c r="Y1673" s="189" t="s">
        <v>3064</v>
      </c>
      <c r="Z1673" s="0" t="n">
        <v>1</v>
      </c>
      <c r="AA1673" s="189" t="s">
        <v>3107</v>
      </c>
    </row>
    <row r="1674" customFormat="false" ht="15" hidden="false" customHeight="false" outlineLevel="0" collapsed="false">
      <c r="A1674" s="0" t="n">
        <v>360</v>
      </c>
      <c r="B1674" s="191" t="n">
        <v>46208.4231249246</v>
      </c>
      <c r="C1674" s="191" t="n">
        <v>46208.4416318691</v>
      </c>
      <c r="D1674" s="189" t="s">
        <v>2273</v>
      </c>
      <c r="E1674" s="189" t="s">
        <v>2274</v>
      </c>
      <c r="F1674" s="189" t="s">
        <v>2275</v>
      </c>
      <c r="G1674" s="189" t="s">
        <v>2276</v>
      </c>
      <c r="H1674" s="191" t="n">
        <v>46197</v>
      </c>
      <c r="I1674" s="189" t="s">
        <v>325</v>
      </c>
      <c r="J1674" s="189" t="s">
        <v>128</v>
      </c>
      <c r="K1674" s="189" t="s">
        <v>245</v>
      </c>
      <c r="L1674" s="189" t="s">
        <v>130</v>
      </c>
      <c r="M1674" s="189" t="s">
        <v>885</v>
      </c>
      <c r="N1674" s="189" t="s">
        <v>552</v>
      </c>
      <c r="O1674" s="189" t="s">
        <v>750</v>
      </c>
      <c r="P1674" s="189" t="s">
        <v>111</v>
      </c>
      <c r="Q1674" s="189" t="s">
        <v>145</v>
      </c>
      <c r="R1674" s="189" t="s">
        <v>22</v>
      </c>
      <c r="S1674" s="189" t="s">
        <v>152</v>
      </c>
      <c r="T1674" s="189" t="s">
        <v>121</v>
      </c>
      <c r="U1674" s="189" t="s">
        <v>822</v>
      </c>
      <c r="V1674" s="189" t="s">
        <v>167</v>
      </c>
      <c r="W1674" s="189" t="s">
        <v>124</v>
      </c>
      <c r="X1674" s="189" t="s">
        <v>116</v>
      </c>
      <c r="Y1674" s="189" t="s">
        <v>3066</v>
      </c>
      <c r="Z1674" s="0" t="n">
        <v>1</v>
      </c>
      <c r="AA1674" s="189" t="s">
        <v>3211</v>
      </c>
    </row>
    <row r="1675" customFormat="false" ht="15" hidden="false" customHeight="false" outlineLevel="0" collapsed="false">
      <c r="A1675" s="0" t="n">
        <v>360</v>
      </c>
      <c r="B1675" s="191" t="n">
        <v>46208.4231249246</v>
      </c>
      <c r="C1675" s="191" t="n">
        <v>46208.4416318691</v>
      </c>
      <c r="D1675" s="189" t="s">
        <v>2273</v>
      </c>
      <c r="E1675" s="189" t="s">
        <v>2274</v>
      </c>
      <c r="F1675" s="189" t="s">
        <v>2275</v>
      </c>
      <c r="G1675" s="189" t="s">
        <v>2276</v>
      </c>
      <c r="H1675" s="191" t="n">
        <v>46197</v>
      </c>
      <c r="I1675" s="189" t="s">
        <v>325</v>
      </c>
      <c r="J1675" s="189" t="s">
        <v>128</v>
      </c>
      <c r="K1675" s="189" t="s">
        <v>245</v>
      </c>
      <c r="L1675" s="189" t="s">
        <v>130</v>
      </c>
      <c r="M1675" s="189" t="s">
        <v>885</v>
      </c>
      <c r="N1675" s="189" t="s">
        <v>552</v>
      </c>
      <c r="O1675" s="189" t="s">
        <v>750</v>
      </c>
      <c r="P1675" s="189" t="s">
        <v>111</v>
      </c>
      <c r="Q1675" s="189" t="s">
        <v>145</v>
      </c>
      <c r="R1675" s="189" t="s">
        <v>22</v>
      </c>
      <c r="S1675" s="189" t="s">
        <v>152</v>
      </c>
      <c r="T1675" s="189" t="s">
        <v>121</v>
      </c>
      <c r="U1675" s="189" t="s">
        <v>822</v>
      </c>
      <c r="V1675" s="189" t="s">
        <v>167</v>
      </c>
      <c r="W1675" s="189" t="s">
        <v>124</v>
      </c>
      <c r="X1675" s="189" t="s">
        <v>116</v>
      </c>
      <c r="Y1675" s="189" t="s">
        <v>3069</v>
      </c>
      <c r="Z1675" s="0" t="n">
        <v>1</v>
      </c>
      <c r="AA1675" s="189" t="s">
        <v>3083</v>
      </c>
    </row>
    <row r="1676" customFormat="false" ht="15" hidden="false" customHeight="false" outlineLevel="0" collapsed="false">
      <c r="A1676" s="0" t="n">
        <v>360</v>
      </c>
      <c r="B1676" s="191" t="n">
        <v>46208.4231249246</v>
      </c>
      <c r="C1676" s="191" t="n">
        <v>46208.4416318691</v>
      </c>
      <c r="D1676" s="189" t="s">
        <v>2273</v>
      </c>
      <c r="E1676" s="189" t="s">
        <v>2274</v>
      </c>
      <c r="F1676" s="189" t="s">
        <v>2275</v>
      </c>
      <c r="G1676" s="189" t="s">
        <v>2276</v>
      </c>
      <c r="H1676" s="191" t="n">
        <v>46197</v>
      </c>
      <c r="I1676" s="189" t="s">
        <v>325</v>
      </c>
      <c r="J1676" s="189" t="s">
        <v>128</v>
      </c>
      <c r="K1676" s="189" t="s">
        <v>245</v>
      </c>
      <c r="L1676" s="189" t="s">
        <v>130</v>
      </c>
      <c r="M1676" s="189" t="s">
        <v>885</v>
      </c>
      <c r="N1676" s="189" t="s">
        <v>552</v>
      </c>
      <c r="O1676" s="189" t="s">
        <v>750</v>
      </c>
      <c r="P1676" s="189" t="s">
        <v>111</v>
      </c>
      <c r="Q1676" s="189" t="s">
        <v>145</v>
      </c>
      <c r="R1676" s="189" t="s">
        <v>22</v>
      </c>
      <c r="S1676" s="189" t="s">
        <v>152</v>
      </c>
      <c r="T1676" s="189" t="s">
        <v>121</v>
      </c>
      <c r="U1676" s="189" t="s">
        <v>822</v>
      </c>
      <c r="V1676" s="189" t="s">
        <v>167</v>
      </c>
      <c r="W1676" s="189" t="s">
        <v>124</v>
      </c>
      <c r="X1676" s="189" t="s">
        <v>116</v>
      </c>
      <c r="Y1676" s="189" t="s">
        <v>3069</v>
      </c>
      <c r="Z1676" s="0" t="n">
        <v>2</v>
      </c>
      <c r="AA1676" s="189" t="s">
        <v>3140</v>
      </c>
    </row>
    <row r="1677" customFormat="false" ht="15" hidden="false" customHeight="false" outlineLevel="0" collapsed="false">
      <c r="A1677" s="0" t="n">
        <v>361</v>
      </c>
      <c r="B1677" s="191" t="n">
        <v>46208.5421104421</v>
      </c>
      <c r="C1677" s="191" t="n">
        <v>46208.5559414606</v>
      </c>
      <c r="D1677" s="189" t="s">
        <v>2278</v>
      </c>
      <c r="E1677" s="189" t="s">
        <v>2279</v>
      </c>
      <c r="F1677" s="189" t="s">
        <v>2279</v>
      </c>
      <c r="G1677" s="189" t="s">
        <v>2280</v>
      </c>
      <c r="H1677" s="191" t="n">
        <v>46195</v>
      </c>
      <c r="I1677" s="189" t="s">
        <v>577</v>
      </c>
      <c r="J1677" s="189" t="s">
        <v>108</v>
      </c>
      <c r="K1677" s="189" t="s">
        <v>364</v>
      </c>
      <c r="L1677" s="189" t="s">
        <v>197</v>
      </c>
      <c r="M1677" s="189" t="s">
        <v>507</v>
      </c>
      <c r="N1677" s="189" t="s">
        <v>270</v>
      </c>
      <c r="O1677" s="189" t="s">
        <v>172</v>
      </c>
      <c r="P1677" s="189" t="s">
        <v>131</v>
      </c>
      <c r="Q1677" s="189" t="s">
        <v>145</v>
      </c>
      <c r="R1677" s="189" t="s">
        <v>22</v>
      </c>
      <c r="S1677" s="189" t="s">
        <v>152</v>
      </c>
      <c r="T1677" s="189" t="s">
        <v>264</v>
      </c>
      <c r="U1677" s="189" t="s">
        <v>122</v>
      </c>
      <c r="V1677" s="189" t="s">
        <v>167</v>
      </c>
      <c r="W1677" s="189" t="s">
        <v>168</v>
      </c>
      <c r="X1677" s="189" t="s">
        <v>271</v>
      </c>
      <c r="Y1677" s="189" t="s">
        <v>3064</v>
      </c>
      <c r="Z1677" s="0" t="n">
        <v>1</v>
      </c>
      <c r="AA1677" s="189" t="s">
        <v>3136</v>
      </c>
    </row>
    <row r="1678" customFormat="false" ht="15" hidden="false" customHeight="false" outlineLevel="0" collapsed="false">
      <c r="A1678" s="0" t="n">
        <v>361</v>
      </c>
      <c r="B1678" s="191" t="n">
        <v>46208.5421104421</v>
      </c>
      <c r="C1678" s="191" t="n">
        <v>46208.5559414606</v>
      </c>
      <c r="D1678" s="189" t="s">
        <v>2278</v>
      </c>
      <c r="E1678" s="189" t="s">
        <v>2279</v>
      </c>
      <c r="F1678" s="189" t="s">
        <v>2279</v>
      </c>
      <c r="G1678" s="189" t="s">
        <v>2280</v>
      </c>
      <c r="H1678" s="191" t="n">
        <v>46195</v>
      </c>
      <c r="I1678" s="189" t="s">
        <v>577</v>
      </c>
      <c r="J1678" s="189" t="s">
        <v>108</v>
      </c>
      <c r="K1678" s="189" t="s">
        <v>364</v>
      </c>
      <c r="L1678" s="189" t="s">
        <v>197</v>
      </c>
      <c r="M1678" s="189" t="s">
        <v>507</v>
      </c>
      <c r="N1678" s="189" t="s">
        <v>270</v>
      </c>
      <c r="O1678" s="189" t="s">
        <v>172</v>
      </c>
      <c r="P1678" s="189" t="s">
        <v>131</v>
      </c>
      <c r="Q1678" s="189" t="s">
        <v>145</v>
      </c>
      <c r="R1678" s="189" t="s">
        <v>22</v>
      </c>
      <c r="S1678" s="189" t="s">
        <v>152</v>
      </c>
      <c r="T1678" s="189" t="s">
        <v>264</v>
      </c>
      <c r="U1678" s="189" t="s">
        <v>122</v>
      </c>
      <c r="V1678" s="189" t="s">
        <v>167</v>
      </c>
      <c r="W1678" s="189" t="s">
        <v>168</v>
      </c>
      <c r="X1678" s="189" t="s">
        <v>271</v>
      </c>
      <c r="Y1678" s="189" t="s">
        <v>3066</v>
      </c>
      <c r="Z1678" s="0" t="n">
        <v>1</v>
      </c>
      <c r="AA1678" s="189" t="s">
        <v>3117</v>
      </c>
    </row>
    <row r="1679" customFormat="false" ht="15" hidden="false" customHeight="false" outlineLevel="0" collapsed="false">
      <c r="A1679" s="0" t="n">
        <v>361</v>
      </c>
      <c r="B1679" s="191" t="n">
        <v>46208.5421104421</v>
      </c>
      <c r="C1679" s="191" t="n">
        <v>46208.5559414606</v>
      </c>
      <c r="D1679" s="189" t="s">
        <v>2278</v>
      </c>
      <c r="E1679" s="189" t="s">
        <v>2279</v>
      </c>
      <c r="F1679" s="189" t="s">
        <v>2279</v>
      </c>
      <c r="G1679" s="189" t="s">
        <v>2280</v>
      </c>
      <c r="H1679" s="191" t="n">
        <v>46195</v>
      </c>
      <c r="I1679" s="189" t="s">
        <v>577</v>
      </c>
      <c r="J1679" s="189" t="s">
        <v>108</v>
      </c>
      <c r="K1679" s="189" t="s">
        <v>364</v>
      </c>
      <c r="L1679" s="189" t="s">
        <v>197</v>
      </c>
      <c r="M1679" s="189" t="s">
        <v>507</v>
      </c>
      <c r="N1679" s="189" t="s">
        <v>270</v>
      </c>
      <c r="O1679" s="189" t="s">
        <v>172</v>
      </c>
      <c r="P1679" s="189" t="s">
        <v>131</v>
      </c>
      <c r="Q1679" s="189" t="s">
        <v>145</v>
      </c>
      <c r="R1679" s="189" t="s">
        <v>22</v>
      </c>
      <c r="S1679" s="189" t="s">
        <v>152</v>
      </c>
      <c r="T1679" s="189" t="s">
        <v>264</v>
      </c>
      <c r="U1679" s="189" t="s">
        <v>122</v>
      </c>
      <c r="V1679" s="189" t="s">
        <v>167</v>
      </c>
      <c r="W1679" s="189" t="s">
        <v>168</v>
      </c>
      <c r="X1679" s="189" t="s">
        <v>271</v>
      </c>
      <c r="Y1679" s="189" t="s">
        <v>3066</v>
      </c>
      <c r="Z1679" s="0" t="n">
        <v>2</v>
      </c>
      <c r="AA1679" s="189" t="s">
        <v>3138</v>
      </c>
    </row>
    <row r="1680" customFormat="false" ht="15" hidden="false" customHeight="false" outlineLevel="0" collapsed="false">
      <c r="A1680" s="0" t="n">
        <v>361</v>
      </c>
      <c r="B1680" s="191" t="n">
        <v>46208.5421104421</v>
      </c>
      <c r="C1680" s="191" t="n">
        <v>46208.5559414606</v>
      </c>
      <c r="D1680" s="189" t="s">
        <v>2278</v>
      </c>
      <c r="E1680" s="189" t="s">
        <v>2279</v>
      </c>
      <c r="F1680" s="189" t="s">
        <v>2279</v>
      </c>
      <c r="G1680" s="189" t="s">
        <v>2280</v>
      </c>
      <c r="H1680" s="191" t="n">
        <v>46195</v>
      </c>
      <c r="I1680" s="189" t="s">
        <v>577</v>
      </c>
      <c r="J1680" s="189" t="s">
        <v>108</v>
      </c>
      <c r="K1680" s="189" t="s">
        <v>364</v>
      </c>
      <c r="L1680" s="189" t="s">
        <v>197</v>
      </c>
      <c r="M1680" s="189" t="s">
        <v>507</v>
      </c>
      <c r="N1680" s="189" t="s">
        <v>270</v>
      </c>
      <c r="O1680" s="189" t="s">
        <v>172</v>
      </c>
      <c r="P1680" s="189" t="s">
        <v>131</v>
      </c>
      <c r="Q1680" s="189" t="s">
        <v>145</v>
      </c>
      <c r="R1680" s="189" t="s">
        <v>22</v>
      </c>
      <c r="S1680" s="189" t="s">
        <v>152</v>
      </c>
      <c r="T1680" s="189" t="s">
        <v>264</v>
      </c>
      <c r="U1680" s="189" t="s">
        <v>122</v>
      </c>
      <c r="V1680" s="189" t="s">
        <v>167</v>
      </c>
      <c r="W1680" s="189" t="s">
        <v>168</v>
      </c>
      <c r="X1680" s="189" t="s">
        <v>271</v>
      </c>
      <c r="Y1680" s="189" t="s">
        <v>3069</v>
      </c>
      <c r="Z1680" s="0" t="n">
        <v>1</v>
      </c>
      <c r="AA1680" s="189" t="s">
        <v>3119</v>
      </c>
    </row>
    <row r="1681" customFormat="false" ht="15" hidden="false" customHeight="false" outlineLevel="0" collapsed="false">
      <c r="A1681" s="0" t="n">
        <v>361</v>
      </c>
      <c r="B1681" s="191" t="n">
        <v>46208.5421104421</v>
      </c>
      <c r="C1681" s="191" t="n">
        <v>46208.5559414606</v>
      </c>
      <c r="D1681" s="189" t="s">
        <v>2278</v>
      </c>
      <c r="E1681" s="189" t="s">
        <v>2279</v>
      </c>
      <c r="F1681" s="189" t="s">
        <v>2279</v>
      </c>
      <c r="G1681" s="189" t="s">
        <v>2280</v>
      </c>
      <c r="H1681" s="191" t="n">
        <v>46195</v>
      </c>
      <c r="I1681" s="189" t="s">
        <v>577</v>
      </c>
      <c r="J1681" s="189" t="s">
        <v>108</v>
      </c>
      <c r="K1681" s="189" t="s">
        <v>364</v>
      </c>
      <c r="L1681" s="189" t="s">
        <v>197</v>
      </c>
      <c r="M1681" s="189" t="s">
        <v>507</v>
      </c>
      <c r="N1681" s="189" t="s">
        <v>270</v>
      </c>
      <c r="O1681" s="189" t="s">
        <v>172</v>
      </c>
      <c r="P1681" s="189" t="s">
        <v>131</v>
      </c>
      <c r="Q1681" s="189" t="s">
        <v>145</v>
      </c>
      <c r="R1681" s="189" t="s">
        <v>22</v>
      </c>
      <c r="S1681" s="189" t="s">
        <v>152</v>
      </c>
      <c r="T1681" s="189" t="s">
        <v>264</v>
      </c>
      <c r="U1681" s="189" t="s">
        <v>122</v>
      </c>
      <c r="V1681" s="189" t="s">
        <v>167</v>
      </c>
      <c r="W1681" s="189" t="s">
        <v>168</v>
      </c>
      <c r="X1681" s="189" t="s">
        <v>271</v>
      </c>
      <c r="Y1681" s="189" t="s">
        <v>3069</v>
      </c>
      <c r="Z1681" s="0" t="n">
        <v>2</v>
      </c>
      <c r="AA1681" s="189" t="s">
        <v>122</v>
      </c>
    </row>
    <row r="1682" customFormat="false" ht="15" hidden="false" customHeight="false" outlineLevel="0" collapsed="false">
      <c r="A1682" s="0" t="n">
        <v>362</v>
      </c>
      <c r="B1682" s="191" t="n">
        <v>46205.6488308046</v>
      </c>
      <c r="C1682" s="191" t="n">
        <v>46205.6632983972</v>
      </c>
      <c r="D1682" s="189" t="s">
        <v>2282</v>
      </c>
      <c r="E1682" s="189" t="s">
        <v>2283</v>
      </c>
      <c r="F1682" s="189" t="s">
        <v>2283</v>
      </c>
      <c r="G1682" s="189" t="s">
        <v>2284</v>
      </c>
      <c r="H1682" s="191" t="n">
        <v>46200</v>
      </c>
      <c r="I1682" s="189" t="s">
        <v>113</v>
      </c>
      <c r="J1682" s="189" t="s">
        <v>128</v>
      </c>
      <c r="K1682" s="189" t="s">
        <v>143</v>
      </c>
      <c r="L1682" s="189" t="s">
        <v>246</v>
      </c>
      <c r="M1682" s="189" t="s">
        <v>652</v>
      </c>
      <c r="N1682" s="189" t="s">
        <v>1628</v>
      </c>
      <c r="O1682" s="189" t="s">
        <v>107</v>
      </c>
      <c r="P1682" s="189" t="s">
        <v>111</v>
      </c>
      <c r="Q1682" s="189" t="s">
        <v>145</v>
      </c>
      <c r="R1682" s="189" t="s">
        <v>22</v>
      </c>
      <c r="S1682" s="189" t="s">
        <v>120</v>
      </c>
      <c r="T1682" s="189" t="s">
        <v>121</v>
      </c>
      <c r="V1682" s="189" t="s">
        <v>123</v>
      </c>
      <c r="W1682" s="189" t="s">
        <v>124</v>
      </c>
      <c r="X1682" s="189" t="s">
        <v>381</v>
      </c>
      <c r="Y1682" s="189" t="s">
        <v>3064</v>
      </c>
      <c r="Z1682" s="0" t="n">
        <v>1</v>
      </c>
      <c r="AA1682" s="189" t="s">
        <v>3249</v>
      </c>
    </row>
    <row r="1683" customFormat="false" ht="15" hidden="false" customHeight="false" outlineLevel="0" collapsed="false">
      <c r="A1683" s="0" t="n">
        <v>362</v>
      </c>
      <c r="B1683" s="191" t="n">
        <v>46205.6488308046</v>
      </c>
      <c r="C1683" s="191" t="n">
        <v>46205.6632983972</v>
      </c>
      <c r="D1683" s="189" t="s">
        <v>2282</v>
      </c>
      <c r="E1683" s="189" t="s">
        <v>2283</v>
      </c>
      <c r="F1683" s="189" t="s">
        <v>2283</v>
      </c>
      <c r="G1683" s="189" t="s">
        <v>2284</v>
      </c>
      <c r="H1683" s="191" t="n">
        <v>46200</v>
      </c>
      <c r="I1683" s="189" t="s">
        <v>113</v>
      </c>
      <c r="J1683" s="189" t="s">
        <v>128</v>
      </c>
      <c r="K1683" s="189" t="s">
        <v>143</v>
      </c>
      <c r="L1683" s="189" t="s">
        <v>246</v>
      </c>
      <c r="M1683" s="189" t="s">
        <v>652</v>
      </c>
      <c r="N1683" s="189" t="s">
        <v>1628</v>
      </c>
      <c r="O1683" s="189" t="s">
        <v>107</v>
      </c>
      <c r="P1683" s="189" t="s">
        <v>111</v>
      </c>
      <c r="Q1683" s="189" t="s">
        <v>145</v>
      </c>
      <c r="R1683" s="189" t="s">
        <v>22</v>
      </c>
      <c r="S1683" s="189" t="s">
        <v>120</v>
      </c>
      <c r="T1683" s="189" t="s">
        <v>121</v>
      </c>
      <c r="V1683" s="189" t="s">
        <v>123</v>
      </c>
      <c r="W1683" s="189" t="s">
        <v>124</v>
      </c>
      <c r="X1683" s="189" t="s">
        <v>381</v>
      </c>
      <c r="Y1683" s="189" t="s">
        <v>3064</v>
      </c>
      <c r="Z1683" s="0" t="n">
        <v>2</v>
      </c>
      <c r="AA1683" s="189" t="s">
        <v>3233</v>
      </c>
    </row>
    <row r="1684" customFormat="false" ht="15" hidden="false" customHeight="false" outlineLevel="0" collapsed="false">
      <c r="A1684" s="0" t="n">
        <v>362</v>
      </c>
      <c r="B1684" s="191" t="n">
        <v>46205.6488308046</v>
      </c>
      <c r="C1684" s="191" t="n">
        <v>46205.6632983972</v>
      </c>
      <c r="D1684" s="189" t="s">
        <v>2282</v>
      </c>
      <c r="E1684" s="189" t="s">
        <v>2283</v>
      </c>
      <c r="F1684" s="189" t="s">
        <v>2283</v>
      </c>
      <c r="G1684" s="189" t="s">
        <v>2284</v>
      </c>
      <c r="H1684" s="191" t="n">
        <v>46200</v>
      </c>
      <c r="I1684" s="189" t="s">
        <v>113</v>
      </c>
      <c r="J1684" s="189" t="s">
        <v>128</v>
      </c>
      <c r="K1684" s="189" t="s">
        <v>143</v>
      </c>
      <c r="L1684" s="189" t="s">
        <v>246</v>
      </c>
      <c r="M1684" s="189" t="s">
        <v>652</v>
      </c>
      <c r="N1684" s="189" t="s">
        <v>1628</v>
      </c>
      <c r="O1684" s="189" t="s">
        <v>107</v>
      </c>
      <c r="P1684" s="189" t="s">
        <v>111</v>
      </c>
      <c r="Q1684" s="189" t="s">
        <v>145</v>
      </c>
      <c r="R1684" s="189" t="s">
        <v>22</v>
      </c>
      <c r="S1684" s="189" t="s">
        <v>120</v>
      </c>
      <c r="T1684" s="189" t="s">
        <v>121</v>
      </c>
      <c r="V1684" s="189" t="s">
        <v>123</v>
      </c>
      <c r="W1684" s="189" t="s">
        <v>124</v>
      </c>
      <c r="X1684" s="189" t="s">
        <v>381</v>
      </c>
      <c r="Y1684" s="189" t="s">
        <v>3064</v>
      </c>
      <c r="Z1684" s="0" t="n">
        <v>3</v>
      </c>
      <c r="AA1684" s="189" t="s">
        <v>3180</v>
      </c>
    </row>
    <row r="1685" customFormat="false" ht="15" hidden="false" customHeight="false" outlineLevel="0" collapsed="false">
      <c r="A1685" s="0" t="n">
        <v>362</v>
      </c>
      <c r="B1685" s="191" t="n">
        <v>46205.6488308046</v>
      </c>
      <c r="C1685" s="191" t="n">
        <v>46205.6632983972</v>
      </c>
      <c r="D1685" s="189" t="s">
        <v>2282</v>
      </c>
      <c r="E1685" s="189" t="s">
        <v>2283</v>
      </c>
      <c r="F1685" s="189" t="s">
        <v>2283</v>
      </c>
      <c r="G1685" s="189" t="s">
        <v>2284</v>
      </c>
      <c r="H1685" s="191" t="n">
        <v>46200</v>
      </c>
      <c r="I1685" s="189" t="s">
        <v>113</v>
      </c>
      <c r="J1685" s="189" t="s">
        <v>128</v>
      </c>
      <c r="K1685" s="189" t="s">
        <v>143</v>
      </c>
      <c r="L1685" s="189" t="s">
        <v>246</v>
      </c>
      <c r="M1685" s="189" t="s">
        <v>652</v>
      </c>
      <c r="N1685" s="189" t="s">
        <v>1628</v>
      </c>
      <c r="O1685" s="189" t="s">
        <v>107</v>
      </c>
      <c r="P1685" s="189" t="s">
        <v>111</v>
      </c>
      <c r="Q1685" s="189" t="s">
        <v>145</v>
      </c>
      <c r="R1685" s="189" t="s">
        <v>22</v>
      </c>
      <c r="S1685" s="189" t="s">
        <v>120</v>
      </c>
      <c r="T1685" s="189" t="s">
        <v>121</v>
      </c>
      <c r="V1685" s="189" t="s">
        <v>123</v>
      </c>
      <c r="W1685" s="189" t="s">
        <v>124</v>
      </c>
      <c r="X1685" s="189" t="s">
        <v>381</v>
      </c>
      <c r="Y1685" s="189" t="s">
        <v>3066</v>
      </c>
      <c r="Z1685" s="0" t="n">
        <v>1</v>
      </c>
      <c r="AA1685" s="189" t="s">
        <v>3160</v>
      </c>
    </row>
    <row r="1686" customFormat="false" ht="15" hidden="false" customHeight="false" outlineLevel="0" collapsed="false">
      <c r="A1686" s="0" t="n">
        <v>362</v>
      </c>
      <c r="B1686" s="191" t="n">
        <v>46205.6488308046</v>
      </c>
      <c r="C1686" s="191" t="n">
        <v>46205.6632983972</v>
      </c>
      <c r="D1686" s="189" t="s">
        <v>2282</v>
      </c>
      <c r="E1686" s="189" t="s">
        <v>2283</v>
      </c>
      <c r="F1686" s="189" t="s">
        <v>2283</v>
      </c>
      <c r="G1686" s="189" t="s">
        <v>2284</v>
      </c>
      <c r="H1686" s="191" t="n">
        <v>46200</v>
      </c>
      <c r="I1686" s="189" t="s">
        <v>113</v>
      </c>
      <c r="J1686" s="189" t="s">
        <v>128</v>
      </c>
      <c r="K1686" s="189" t="s">
        <v>143</v>
      </c>
      <c r="L1686" s="189" t="s">
        <v>246</v>
      </c>
      <c r="M1686" s="189" t="s">
        <v>652</v>
      </c>
      <c r="N1686" s="189" t="s">
        <v>1628</v>
      </c>
      <c r="O1686" s="189" t="s">
        <v>107</v>
      </c>
      <c r="P1686" s="189" t="s">
        <v>111</v>
      </c>
      <c r="Q1686" s="189" t="s">
        <v>145</v>
      </c>
      <c r="R1686" s="189" t="s">
        <v>22</v>
      </c>
      <c r="S1686" s="189" t="s">
        <v>120</v>
      </c>
      <c r="T1686" s="189" t="s">
        <v>121</v>
      </c>
      <c r="V1686" s="189" t="s">
        <v>123</v>
      </c>
      <c r="W1686" s="189" t="s">
        <v>124</v>
      </c>
      <c r="X1686" s="189" t="s">
        <v>381</v>
      </c>
      <c r="Y1686" s="189" t="s">
        <v>3069</v>
      </c>
      <c r="Z1686" s="0" t="n">
        <v>1</v>
      </c>
      <c r="AA1686" s="189" t="s">
        <v>3163</v>
      </c>
    </row>
    <row r="1687" customFormat="false" ht="15" hidden="false" customHeight="false" outlineLevel="0" collapsed="false">
      <c r="A1687" s="0" t="n">
        <v>363</v>
      </c>
      <c r="B1687" s="191" t="n">
        <v>46159.7914775475</v>
      </c>
      <c r="C1687" s="191" t="n">
        <v>46159.7946256956</v>
      </c>
      <c r="D1687" s="189" t="s">
        <v>2285</v>
      </c>
      <c r="E1687" s="189" t="s">
        <v>2286</v>
      </c>
      <c r="F1687" s="189" t="s">
        <v>2286</v>
      </c>
      <c r="G1687" s="189" t="s">
        <v>2287</v>
      </c>
      <c r="H1687" s="191" t="n">
        <v>46149</v>
      </c>
      <c r="I1687" s="189" t="s">
        <v>113</v>
      </c>
      <c r="J1687" s="189" t="s">
        <v>108</v>
      </c>
      <c r="K1687" s="189" t="s">
        <v>462</v>
      </c>
      <c r="L1687" s="189" t="s">
        <v>144</v>
      </c>
      <c r="M1687" s="189" t="s">
        <v>1380</v>
      </c>
      <c r="N1687" s="189" t="s">
        <v>414</v>
      </c>
      <c r="O1687" s="189" t="s">
        <v>107</v>
      </c>
      <c r="P1687" s="189" t="s">
        <v>131</v>
      </c>
      <c r="Q1687" s="189" t="s">
        <v>112</v>
      </c>
      <c r="R1687" s="189" t="s">
        <v>22</v>
      </c>
      <c r="S1687" s="189" t="s">
        <v>152</v>
      </c>
      <c r="T1687" s="189" t="s">
        <v>228</v>
      </c>
      <c r="U1687" s="189" t="s">
        <v>166</v>
      </c>
      <c r="V1687" s="189" t="s">
        <v>192</v>
      </c>
      <c r="W1687" s="189" t="s">
        <v>124</v>
      </c>
      <c r="X1687" s="189" t="s">
        <v>176</v>
      </c>
      <c r="Y1687" s="189" t="s">
        <v>3064</v>
      </c>
      <c r="Z1687" s="0" t="n">
        <v>1</v>
      </c>
      <c r="AA1687" s="189" t="s">
        <v>3085</v>
      </c>
    </row>
    <row r="1688" customFormat="false" ht="15" hidden="false" customHeight="false" outlineLevel="0" collapsed="false">
      <c r="A1688" s="0" t="n">
        <v>363</v>
      </c>
      <c r="B1688" s="191" t="n">
        <v>46159.7914775475</v>
      </c>
      <c r="C1688" s="191" t="n">
        <v>46159.7946256956</v>
      </c>
      <c r="D1688" s="189" t="s">
        <v>2285</v>
      </c>
      <c r="E1688" s="189" t="s">
        <v>2286</v>
      </c>
      <c r="F1688" s="189" t="s">
        <v>2286</v>
      </c>
      <c r="G1688" s="189" t="s">
        <v>2287</v>
      </c>
      <c r="H1688" s="191" t="n">
        <v>46149</v>
      </c>
      <c r="I1688" s="189" t="s">
        <v>113</v>
      </c>
      <c r="J1688" s="189" t="s">
        <v>108</v>
      </c>
      <c r="K1688" s="189" t="s">
        <v>462</v>
      </c>
      <c r="L1688" s="189" t="s">
        <v>144</v>
      </c>
      <c r="M1688" s="189" t="s">
        <v>1380</v>
      </c>
      <c r="N1688" s="189" t="s">
        <v>414</v>
      </c>
      <c r="O1688" s="189" t="s">
        <v>107</v>
      </c>
      <c r="P1688" s="189" t="s">
        <v>131</v>
      </c>
      <c r="Q1688" s="189" t="s">
        <v>112</v>
      </c>
      <c r="R1688" s="189" t="s">
        <v>22</v>
      </c>
      <c r="S1688" s="189" t="s">
        <v>152</v>
      </c>
      <c r="T1688" s="189" t="s">
        <v>228</v>
      </c>
      <c r="U1688" s="189" t="s">
        <v>166</v>
      </c>
      <c r="V1688" s="189" t="s">
        <v>192</v>
      </c>
      <c r="W1688" s="189" t="s">
        <v>124</v>
      </c>
      <c r="X1688" s="189" t="s">
        <v>176</v>
      </c>
      <c r="Y1688" s="189" t="s">
        <v>3064</v>
      </c>
      <c r="Z1688" s="0" t="n">
        <v>2</v>
      </c>
      <c r="AA1688" s="189" t="s">
        <v>3239</v>
      </c>
    </row>
    <row r="1689" customFormat="false" ht="15" hidden="false" customHeight="false" outlineLevel="0" collapsed="false">
      <c r="A1689" s="0" t="n">
        <v>363</v>
      </c>
      <c r="B1689" s="191" t="n">
        <v>46159.7914775475</v>
      </c>
      <c r="C1689" s="191" t="n">
        <v>46159.7946256956</v>
      </c>
      <c r="D1689" s="189" t="s">
        <v>2285</v>
      </c>
      <c r="E1689" s="189" t="s">
        <v>2286</v>
      </c>
      <c r="F1689" s="189" t="s">
        <v>2286</v>
      </c>
      <c r="G1689" s="189" t="s">
        <v>2287</v>
      </c>
      <c r="H1689" s="191" t="n">
        <v>46149</v>
      </c>
      <c r="I1689" s="189" t="s">
        <v>113</v>
      </c>
      <c r="J1689" s="189" t="s">
        <v>108</v>
      </c>
      <c r="K1689" s="189" t="s">
        <v>462</v>
      </c>
      <c r="L1689" s="189" t="s">
        <v>144</v>
      </c>
      <c r="M1689" s="189" t="s">
        <v>1380</v>
      </c>
      <c r="N1689" s="189" t="s">
        <v>414</v>
      </c>
      <c r="O1689" s="189" t="s">
        <v>107</v>
      </c>
      <c r="P1689" s="189" t="s">
        <v>131</v>
      </c>
      <c r="Q1689" s="189" t="s">
        <v>112</v>
      </c>
      <c r="R1689" s="189" t="s">
        <v>22</v>
      </c>
      <c r="S1689" s="189" t="s">
        <v>152</v>
      </c>
      <c r="T1689" s="189" t="s">
        <v>228</v>
      </c>
      <c r="U1689" s="189" t="s">
        <v>166</v>
      </c>
      <c r="V1689" s="189" t="s">
        <v>192</v>
      </c>
      <c r="W1689" s="189" t="s">
        <v>124</v>
      </c>
      <c r="X1689" s="189" t="s">
        <v>176</v>
      </c>
      <c r="Y1689" s="189" t="s">
        <v>3064</v>
      </c>
      <c r="Z1689" s="0" t="n">
        <v>3</v>
      </c>
      <c r="AA1689" s="189" t="s">
        <v>3329</v>
      </c>
    </row>
    <row r="1690" customFormat="false" ht="15" hidden="false" customHeight="false" outlineLevel="0" collapsed="false">
      <c r="A1690" s="0" t="n">
        <v>363</v>
      </c>
      <c r="B1690" s="191" t="n">
        <v>46159.7914775475</v>
      </c>
      <c r="C1690" s="191" t="n">
        <v>46159.7946256956</v>
      </c>
      <c r="D1690" s="189" t="s">
        <v>2285</v>
      </c>
      <c r="E1690" s="189" t="s">
        <v>2286</v>
      </c>
      <c r="F1690" s="189" t="s">
        <v>2286</v>
      </c>
      <c r="G1690" s="189" t="s">
        <v>2287</v>
      </c>
      <c r="H1690" s="191" t="n">
        <v>46149</v>
      </c>
      <c r="I1690" s="189" t="s">
        <v>113</v>
      </c>
      <c r="J1690" s="189" t="s">
        <v>108</v>
      </c>
      <c r="K1690" s="189" t="s">
        <v>462</v>
      </c>
      <c r="L1690" s="189" t="s">
        <v>144</v>
      </c>
      <c r="M1690" s="189" t="s">
        <v>1380</v>
      </c>
      <c r="N1690" s="189" t="s">
        <v>414</v>
      </c>
      <c r="O1690" s="189" t="s">
        <v>107</v>
      </c>
      <c r="P1690" s="189" t="s">
        <v>131</v>
      </c>
      <c r="Q1690" s="189" t="s">
        <v>112</v>
      </c>
      <c r="R1690" s="189" t="s">
        <v>22</v>
      </c>
      <c r="S1690" s="189" t="s">
        <v>152</v>
      </c>
      <c r="T1690" s="189" t="s">
        <v>228</v>
      </c>
      <c r="U1690" s="189" t="s">
        <v>166</v>
      </c>
      <c r="V1690" s="189" t="s">
        <v>192</v>
      </c>
      <c r="W1690" s="189" t="s">
        <v>124</v>
      </c>
      <c r="X1690" s="189" t="s">
        <v>176</v>
      </c>
      <c r="Y1690" s="189" t="s">
        <v>3066</v>
      </c>
      <c r="Z1690" s="0" t="n">
        <v>1</v>
      </c>
      <c r="AA1690" s="189" t="s">
        <v>3328</v>
      </c>
    </row>
    <row r="1691" customFormat="false" ht="15" hidden="false" customHeight="false" outlineLevel="0" collapsed="false">
      <c r="A1691" s="0" t="n">
        <v>363</v>
      </c>
      <c r="B1691" s="191" t="n">
        <v>46159.7914775475</v>
      </c>
      <c r="C1691" s="191" t="n">
        <v>46159.7946256956</v>
      </c>
      <c r="D1691" s="189" t="s">
        <v>2285</v>
      </c>
      <c r="E1691" s="189" t="s">
        <v>2286</v>
      </c>
      <c r="F1691" s="189" t="s">
        <v>2286</v>
      </c>
      <c r="G1691" s="189" t="s">
        <v>2287</v>
      </c>
      <c r="H1691" s="191" t="n">
        <v>46149</v>
      </c>
      <c r="I1691" s="189" t="s">
        <v>113</v>
      </c>
      <c r="J1691" s="189" t="s">
        <v>108</v>
      </c>
      <c r="K1691" s="189" t="s">
        <v>462</v>
      </c>
      <c r="L1691" s="189" t="s">
        <v>144</v>
      </c>
      <c r="M1691" s="189" t="s">
        <v>1380</v>
      </c>
      <c r="N1691" s="189" t="s">
        <v>414</v>
      </c>
      <c r="O1691" s="189" t="s">
        <v>107</v>
      </c>
      <c r="P1691" s="189" t="s">
        <v>131</v>
      </c>
      <c r="Q1691" s="189" t="s">
        <v>112</v>
      </c>
      <c r="R1691" s="189" t="s">
        <v>22</v>
      </c>
      <c r="S1691" s="189" t="s">
        <v>152</v>
      </c>
      <c r="T1691" s="189" t="s">
        <v>228</v>
      </c>
      <c r="U1691" s="189" t="s">
        <v>166</v>
      </c>
      <c r="V1691" s="189" t="s">
        <v>192</v>
      </c>
      <c r="W1691" s="189" t="s">
        <v>124</v>
      </c>
      <c r="X1691" s="189" t="s">
        <v>176</v>
      </c>
      <c r="Y1691" s="189" t="s">
        <v>3069</v>
      </c>
      <c r="Z1691" s="0" t="n">
        <v>1</v>
      </c>
      <c r="AA1691" s="189" t="s">
        <v>3241</v>
      </c>
    </row>
    <row r="1692" customFormat="false" ht="15" hidden="false" customHeight="false" outlineLevel="0" collapsed="false">
      <c r="A1692" s="0" t="n">
        <v>364</v>
      </c>
      <c r="B1692" s="191" t="n">
        <v>46097.4724442441</v>
      </c>
      <c r="C1692" s="191" t="n">
        <v>46097.4888794293</v>
      </c>
      <c r="D1692" s="189" t="s">
        <v>2290</v>
      </c>
      <c r="E1692" s="189" t="s">
        <v>2291</v>
      </c>
      <c r="F1692" s="189" t="s">
        <v>2291</v>
      </c>
      <c r="G1692" s="189" t="s">
        <v>2292</v>
      </c>
      <c r="H1692" s="191" t="n">
        <v>46091</v>
      </c>
      <c r="I1692" s="189" t="s">
        <v>113</v>
      </c>
      <c r="J1692" s="189" t="s">
        <v>108</v>
      </c>
      <c r="K1692" s="189" t="s">
        <v>143</v>
      </c>
      <c r="L1692" s="189" t="s">
        <v>268</v>
      </c>
      <c r="M1692" s="189" t="s">
        <v>337</v>
      </c>
      <c r="N1692" s="189" t="s">
        <v>638</v>
      </c>
      <c r="O1692" s="189" t="s">
        <v>107</v>
      </c>
      <c r="P1692" s="189" t="s">
        <v>111</v>
      </c>
      <c r="Q1692" s="189" t="s">
        <v>145</v>
      </c>
      <c r="R1692" s="189" t="s">
        <v>22</v>
      </c>
      <c r="S1692" s="189" t="s">
        <v>152</v>
      </c>
      <c r="T1692" s="189" t="s">
        <v>121</v>
      </c>
      <c r="V1692" s="189" t="s">
        <v>167</v>
      </c>
      <c r="W1692" s="189" t="s">
        <v>168</v>
      </c>
      <c r="X1692" s="189" t="s">
        <v>271</v>
      </c>
      <c r="Y1692" s="189" t="s">
        <v>3064</v>
      </c>
      <c r="Z1692" s="0" t="n">
        <v>1</v>
      </c>
      <c r="AA1692" s="189" t="s">
        <v>3114</v>
      </c>
    </row>
    <row r="1693" customFormat="false" ht="15" hidden="false" customHeight="false" outlineLevel="0" collapsed="false">
      <c r="A1693" s="0" t="n">
        <v>364</v>
      </c>
      <c r="B1693" s="191" t="n">
        <v>46097.4724442441</v>
      </c>
      <c r="C1693" s="191" t="n">
        <v>46097.4888794293</v>
      </c>
      <c r="D1693" s="189" t="s">
        <v>2290</v>
      </c>
      <c r="E1693" s="189" t="s">
        <v>2291</v>
      </c>
      <c r="F1693" s="189" t="s">
        <v>2291</v>
      </c>
      <c r="G1693" s="189" t="s">
        <v>2292</v>
      </c>
      <c r="H1693" s="191" t="n">
        <v>46091</v>
      </c>
      <c r="I1693" s="189" t="s">
        <v>113</v>
      </c>
      <c r="J1693" s="189" t="s">
        <v>108</v>
      </c>
      <c r="K1693" s="189" t="s">
        <v>143</v>
      </c>
      <c r="L1693" s="189" t="s">
        <v>268</v>
      </c>
      <c r="M1693" s="189" t="s">
        <v>337</v>
      </c>
      <c r="N1693" s="189" t="s">
        <v>638</v>
      </c>
      <c r="O1693" s="189" t="s">
        <v>107</v>
      </c>
      <c r="P1693" s="189" t="s">
        <v>111</v>
      </c>
      <c r="Q1693" s="189" t="s">
        <v>145</v>
      </c>
      <c r="R1693" s="189" t="s">
        <v>22</v>
      </c>
      <c r="S1693" s="189" t="s">
        <v>152</v>
      </c>
      <c r="T1693" s="189" t="s">
        <v>121</v>
      </c>
      <c r="V1693" s="189" t="s">
        <v>167</v>
      </c>
      <c r="W1693" s="189" t="s">
        <v>168</v>
      </c>
      <c r="X1693" s="189" t="s">
        <v>271</v>
      </c>
      <c r="Y1693" s="189" t="s">
        <v>3064</v>
      </c>
      <c r="Z1693" s="0" t="n">
        <v>2</v>
      </c>
      <c r="AA1693" s="189" t="s">
        <v>3230</v>
      </c>
    </row>
    <row r="1694" customFormat="false" ht="15" hidden="false" customHeight="false" outlineLevel="0" collapsed="false">
      <c r="A1694" s="0" t="n">
        <v>364</v>
      </c>
      <c r="B1694" s="191" t="n">
        <v>46097.4724442441</v>
      </c>
      <c r="C1694" s="191" t="n">
        <v>46097.4888794293</v>
      </c>
      <c r="D1694" s="189" t="s">
        <v>2290</v>
      </c>
      <c r="E1694" s="189" t="s">
        <v>2291</v>
      </c>
      <c r="F1694" s="189" t="s">
        <v>2291</v>
      </c>
      <c r="G1694" s="189" t="s">
        <v>2292</v>
      </c>
      <c r="H1694" s="191" t="n">
        <v>46091</v>
      </c>
      <c r="I1694" s="189" t="s">
        <v>113</v>
      </c>
      <c r="J1694" s="189" t="s">
        <v>108</v>
      </c>
      <c r="K1694" s="189" t="s">
        <v>143</v>
      </c>
      <c r="L1694" s="189" t="s">
        <v>268</v>
      </c>
      <c r="M1694" s="189" t="s">
        <v>337</v>
      </c>
      <c r="N1694" s="189" t="s">
        <v>638</v>
      </c>
      <c r="O1694" s="189" t="s">
        <v>107</v>
      </c>
      <c r="P1694" s="189" t="s">
        <v>111</v>
      </c>
      <c r="Q1694" s="189" t="s">
        <v>145</v>
      </c>
      <c r="R1694" s="189" t="s">
        <v>22</v>
      </c>
      <c r="S1694" s="189" t="s">
        <v>152</v>
      </c>
      <c r="T1694" s="189" t="s">
        <v>121</v>
      </c>
      <c r="V1694" s="189" t="s">
        <v>167</v>
      </c>
      <c r="W1694" s="189" t="s">
        <v>168</v>
      </c>
      <c r="X1694" s="189" t="s">
        <v>271</v>
      </c>
      <c r="Y1694" s="189" t="s">
        <v>3066</v>
      </c>
      <c r="Z1694" s="0" t="n">
        <v>1</v>
      </c>
      <c r="AA1694" s="189" t="s">
        <v>3117</v>
      </c>
    </row>
    <row r="1695" customFormat="false" ht="15" hidden="false" customHeight="false" outlineLevel="0" collapsed="false">
      <c r="A1695" s="0" t="n">
        <v>364</v>
      </c>
      <c r="B1695" s="191" t="n">
        <v>46097.4724442441</v>
      </c>
      <c r="C1695" s="191" t="n">
        <v>46097.4888794293</v>
      </c>
      <c r="D1695" s="189" t="s">
        <v>2290</v>
      </c>
      <c r="E1695" s="189" t="s">
        <v>2291</v>
      </c>
      <c r="F1695" s="189" t="s">
        <v>2291</v>
      </c>
      <c r="G1695" s="189" t="s">
        <v>2292</v>
      </c>
      <c r="H1695" s="191" t="n">
        <v>46091</v>
      </c>
      <c r="I1695" s="189" t="s">
        <v>113</v>
      </c>
      <c r="J1695" s="189" t="s">
        <v>108</v>
      </c>
      <c r="K1695" s="189" t="s">
        <v>143</v>
      </c>
      <c r="L1695" s="189" t="s">
        <v>268</v>
      </c>
      <c r="M1695" s="189" t="s">
        <v>337</v>
      </c>
      <c r="N1695" s="189" t="s">
        <v>638</v>
      </c>
      <c r="O1695" s="189" t="s">
        <v>107</v>
      </c>
      <c r="P1695" s="189" t="s">
        <v>111</v>
      </c>
      <c r="Q1695" s="189" t="s">
        <v>145</v>
      </c>
      <c r="R1695" s="189" t="s">
        <v>22</v>
      </c>
      <c r="S1695" s="189" t="s">
        <v>152</v>
      </c>
      <c r="T1695" s="189" t="s">
        <v>121</v>
      </c>
      <c r="V1695" s="189" t="s">
        <v>167</v>
      </c>
      <c r="W1695" s="189" t="s">
        <v>168</v>
      </c>
      <c r="X1695" s="189" t="s">
        <v>271</v>
      </c>
      <c r="Y1695" s="189" t="s">
        <v>3066</v>
      </c>
      <c r="Z1695" s="0" t="n">
        <v>2</v>
      </c>
      <c r="AA1695" s="189" t="s">
        <v>3137</v>
      </c>
    </row>
    <row r="1696" customFormat="false" ht="15" hidden="false" customHeight="false" outlineLevel="0" collapsed="false">
      <c r="A1696" s="0" t="n">
        <v>364</v>
      </c>
      <c r="B1696" s="191" t="n">
        <v>46097.4724442441</v>
      </c>
      <c r="C1696" s="191" t="n">
        <v>46097.4888794293</v>
      </c>
      <c r="D1696" s="189" t="s">
        <v>2290</v>
      </c>
      <c r="E1696" s="189" t="s">
        <v>2291</v>
      </c>
      <c r="F1696" s="189" t="s">
        <v>2291</v>
      </c>
      <c r="G1696" s="189" t="s">
        <v>2292</v>
      </c>
      <c r="H1696" s="191" t="n">
        <v>46091</v>
      </c>
      <c r="I1696" s="189" t="s">
        <v>113</v>
      </c>
      <c r="J1696" s="189" t="s">
        <v>108</v>
      </c>
      <c r="K1696" s="189" t="s">
        <v>143</v>
      </c>
      <c r="L1696" s="189" t="s">
        <v>268</v>
      </c>
      <c r="M1696" s="189" t="s">
        <v>337</v>
      </c>
      <c r="N1696" s="189" t="s">
        <v>638</v>
      </c>
      <c r="O1696" s="189" t="s">
        <v>107</v>
      </c>
      <c r="P1696" s="189" t="s">
        <v>111</v>
      </c>
      <c r="Q1696" s="189" t="s">
        <v>145</v>
      </c>
      <c r="R1696" s="189" t="s">
        <v>22</v>
      </c>
      <c r="S1696" s="189" t="s">
        <v>152</v>
      </c>
      <c r="T1696" s="189" t="s">
        <v>121</v>
      </c>
      <c r="V1696" s="189" t="s">
        <v>167</v>
      </c>
      <c r="W1696" s="189" t="s">
        <v>168</v>
      </c>
      <c r="X1696" s="189" t="s">
        <v>271</v>
      </c>
      <c r="Y1696" s="189" t="s">
        <v>3069</v>
      </c>
      <c r="Z1696" s="0" t="n">
        <v>1</v>
      </c>
      <c r="AA1696" s="189" t="s">
        <v>3119</v>
      </c>
    </row>
    <row r="1697" customFormat="false" ht="15" hidden="false" customHeight="false" outlineLevel="0" collapsed="false">
      <c r="A1697" s="0" t="n">
        <v>364</v>
      </c>
      <c r="B1697" s="191" t="n">
        <v>46097.4724442441</v>
      </c>
      <c r="C1697" s="191" t="n">
        <v>46097.4888794293</v>
      </c>
      <c r="D1697" s="189" t="s">
        <v>2290</v>
      </c>
      <c r="E1697" s="189" t="s">
        <v>2291</v>
      </c>
      <c r="F1697" s="189" t="s">
        <v>2291</v>
      </c>
      <c r="G1697" s="189" t="s">
        <v>2292</v>
      </c>
      <c r="H1697" s="191" t="n">
        <v>46091</v>
      </c>
      <c r="I1697" s="189" t="s">
        <v>113</v>
      </c>
      <c r="J1697" s="189" t="s">
        <v>108</v>
      </c>
      <c r="K1697" s="189" t="s">
        <v>143</v>
      </c>
      <c r="L1697" s="189" t="s">
        <v>268</v>
      </c>
      <c r="M1697" s="189" t="s">
        <v>337</v>
      </c>
      <c r="N1697" s="189" t="s">
        <v>638</v>
      </c>
      <c r="O1697" s="189" t="s">
        <v>107</v>
      </c>
      <c r="P1697" s="189" t="s">
        <v>111</v>
      </c>
      <c r="Q1697" s="189" t="s">
        <v>145</v>
      </c>
      <c r="R1697" s="189" t="s">
        <v>22</v>
      </c>
      <c r="S1697" s="189" t="s">
        <v>152</v>
      </c>
      <c r="T1697" s="189" t="s">
        <v>121</v>
      </c>
      <c r="V1697" s="189" t="s">
        <v>167</v>
      </c>
      <c r="W1697" s="189" t="s">
        <v>168</v>
      </c>
      <c r="X1697" s="189" t="s">
        <v>271</v>
      </c>
      <c r="Y1697" s="189" t="s">
        <v>3069</v>
      </c>
      <c r="Z1697" s="0" t="n">
        <v>2</v>
      </c>
      <c r="AA1697" s="189" t="s">
        <v>122</v>
      </c>
    </row>
    <row r="1698" customFormat="false" ht="15" hidden="false" customHeight="false" outlineLevel="0" collapsed="false">
      <c r="A1698" s="0" t="n">
        <v>365</v>
      </c>
      <c r="B1698" s="191" t="n">
        <v>46138.4798751319</v>
      </c>
      <c r="C1698" s="191" t="n">
        <v>46138.4871205023</v>
      </c>
      <c r="D1698" s="189" t="s">
        <v>2295</v>
      </c>
      <c r="E1698" s="189" t="s">
        <v>2296</v>
      </c>
      <c r="F1698" s="189" t="s">
        <v>2296</v>
      </c>
      <c r="G1698" s="189" t="s">
        <v>2297</v>
      </c>
      <c r="H1698" s="191" t="n">
        <v>46133</v>
      </c>
      <c r="I1698" s="189" t="s">
        <v>113</v>
      </c>
      <c r="J1698" s="189" t="s">
        <v>108</v>
      </c>
      <c r="K1698" s="189" t="s">
        <v>2298</v>
      </c>
      <c r="L1698" s="189" t="s">
        <v>210</v>
      </c>
      <c r="M1698" s="189" t="s">
        <v>864</v>
      </c>
      <c r="N1698" s="189" t="s">
        <v>398</v>
      </c>
      <c r="O1698" s="189" t="s">
        <v>172</v>
      </c>
      <c r="P1698" s="189" t="s">
        <v>111</v>
      </c>
      <c r="Q1698" s="189" t="s">
        <v>145</v>
      </c>
      <c r="R1698" s="189" t="s">
        <v>22</v>
      </c>
      <c r="S1698" s="189" t="s">
        <v>120</v>
      </c>
      <c r="T1698" s="189" t="s">
        <v>121</v>
      </c>
      <c r="V1698" s="189" t="s">
        <v>123</v>
      </c>
      <c r="W1698" s="189" t="s">
        <v>124</v>
      </c>
      <c r="X1698" s="189" t="s">
        <v>176</v>
      </c>
      <c r="Y1698" s="189" t="s">
        <v>3064</v>
      </c>
      <c r="Z1698" s="0" t="n">
        <v>1</v>
      </c>
      <c r="AA1698" s="189" t="s">
        <v>3264</v>
      </c>
    </row>
    <row r="1699" customFormat="false" ht="15" hidden="false" customHeight="false" outlineLevel="0" collapsed="false">
      <c r="A1699" s="0" t="n">
        <v>365</v>
      </c>
      <c r="B1699" s="191" t="n">
        <v>46138.4798751319</v>
      </c>
      <c r="C1699" s="191" t="n">
        <v>46138.4871205023</v>
      </c>
      <c r="D1699" s="189" t="s">
        <v>2295</v>
      </c>
      <c r="E1699" s="189" t="s">
        <v>2296</v>
      </c>
      <c r="F1699" s="189" t="s">
        <v>2296</v>
      </c>
      <c r="G1699" s="189" t="s">
        <v>2297</v>
      </c>
      <c r="H1699" s="191" t="n">
        <v>46133</v>
      </c>
      <c r="I1699" s="189" t="s">
        <v>113</v>
      </c>
      <c r="J1699" s="189" t="s">
        <v>108</v>
      </c>
      <c r="K1699" s="189" t="s">
        <v>2298</v>
      </c>
      <c r="L1699" s="189" t="s">
        <v>210</v>
      </c>
      <c r="M1699" s="189" t="s">
        <v>864</v>
      </c>
      <c r="N1699" s="189" t="s">
        <v>398</v>
      </c>
      <c r="O1699" s="189" t="s">
        <v>172</v>
      </c>
      <c r="P1699" s="189" t="s">
        <v>111</v>
      </c>
      <c r="Q1699" s="189" t="s">
        <v>145</v>
      </c>
      <c r="R1699" s="189" t="s">
        <v>22</v>
      </c>
      <c r="S1699" s="189" t="s">
        <v>120</v>
      </c>
      <c r="T1699" s="189" t="s">
        <v>121</v>
      </c>
      <c r="V1699" s="189" t="s">
        <v>123</v>
      </c>
      <c r="W1699" s="189" t="s">
        <v>124</v>
      </c>
      <c r="X1699" s="189" t="s">
        <v>176</v>
      </c>
      <c r="Y1699" s="189" t="s">
        <v>3066</v>
      </c>
      <c r="Z1699" s="0" t="n">
        <v>1</v>
      </c>
      <c r="AA1699" s="189" t="s">
        <v>1174</v>
      </c>
    </row>
    <row r="1700" customFormat="false" ht="15" hidden="false" customHeight="false" outlineLevel="0" collapsed="false">
      <c r="A1700" s="0" t="n">
        <v>365</v>
      </c>
      <c r="B1700" s="191" t="n">
        <v>46138.4798751319</v>
      </c>
      <c r="C1700" s="191" t="n">
        <v>46138.4871205023</v>
      </c>
      <c r="D1700" s="189" t="s">
        <v>2295</v>
      </c>
      <c r="E1700" s="189" t="s">
        <v>2296</v>
      </c>
      <c r="F1700" s="189" t="s">
        <v>2296</v>
      </c>
      <c r="G1700" s="189" t="s">
        <v>2297</v>
      </c>
      <c r="H1700" s="191" t="n">
        <v>46133</v>
      </c>
      <c r="I1700" s="189" t="s">
        <v>113</v>
      </c>
      <c r="J1700" s="189" t="s">
        <v>108</v>
      </c>
      <c r="K1700" s="189" t="s">
        <v>2298</v>
      </c>
      <c r="L1700" s="189" t="s">
        <v>210</v>
      </c>
      <c r="M1700" s="189" t="s">
        <v>864</v>
      </c>
      <c r="N1700" s="189" t="s">
        <v>398</v>
      </c>
      <c r="O1700" s="189" t="s">
        <v>172</v>
      </c>
      <c r="P1700" s="189" t="s">
        <v>111</v>
      </c>
      <c r="Q1700" s="189" t="s">
        <v>145</v>
      </c>
      <c r="R1700" s="189" t="s">
        <v>22</v>
      </c>
      <c r="S1700" s="189" t="s">
        <v>120</v>
      </c>
      <c r="T1700" s="189" t="s">
        <v>121</v>
      </c>
      <c r="V1700" s="189" t="s">
        <v>123</v>
      </c>
      <c r="W1700" s="189" t="s">
        <v>124</v>
      </c>
      <c r="X1700" s="189" t="s">
        <v>176</v>
      </c>
      <c r="Y1700" s="189" t="s">
        <v>3066</v>
      </c>
      <c r="Z1700" s="0" t="n">
        <v>2</v>
      </c>
      <c r="AA1700" s="189" t="s">
        <v>3293</v>
      </c>
    </row>
    <row r="1701" customFormat="false" ht="15" hidden="false" customHeight="false" outlineLevel="0" collapsed="false">
      <c r="A1701" s="0" t="n">
        <v>365</v>
      </c>
      <c r="B1701" s="191" t="n">
        <v>46138.4798751319</v>
      </c>
      <c r="C1701" s="191" t="n">
        <v>46138.4871205023</v>
      </c>
      <c r="D1701" s="189" t="s">
        <v>2295</v>
      </c>
      <c r="E1701" s="189" t="s">
        <v>2296</v>
      </c>
      <c r="F1701" s="189" t="s">
        <v>2296</v>
      </c>
      <c r="G1701" s="189" t="s">
        <v>2297</v>
      </c>
      <c r="H1701" s="191" t="n">
        <v>46133</v>
      </c>
      <c r="I1701" s="189" t="s">
        <v>113</v>
      </c>
      <c r="J1701" s="189" t="s">
        <v>108</v>
      </c>
      <c r="K1701" s="189" t="s">
        <v>2298</v>
      </c>
      <c r="L1701" s="189" t="s">
        <v>210</v>
      </c>
      <c r="M1701" s="189" t="s">
        <v>864</v>
      </c>
      <c r="N1701" s="189" t="s">
        <v>398</v>
      </c>
      <c r="O1701" s="189" t="s">
        <v>172</v>
      </c>
      <c r="P1701" s="189" t="s">
        <v>111</v>
      </c>
      <c r="Q1701" s="189" t="s">
        <v>145</v>
      </c>
      <c r="R1701" s="189" t="s">
        <v>22</v>
      </c>
      <c r="S1701" s="189" t="s">
        <v>120</v>
      </c>
      <c r="T1701" s="189" t="s">
        <v>121</v>
      </c>
      <c r="V1701" s="189" t="s">
        <v>123</v>
      </c>
      <c r="W1701" s="189" t="s">
        <v>124</v>
      </c>
      <c r="X1701" s="189" t="s">
        <v>176</v>
      </c>
      <c r="Y1701" s="189" t="s">
        <v>3069</v>
      </c>
      <c r="Z1701" s="0" t="n">
        <v>1</v>
      </c>
      <c r="AA1701" s="189" t="s">
        <v>3084</v>
      </c>
    </row>
    <row r="1702" customFormat="false" ht="15" hidden="false" customHeight="false" outlineLevel="0" collapsed="false">
      <c r="A1702" s="0" t="n">
        <v>365</v>
      </c>
      <c r="B1702" s="191" t="n">
        <v>46138.4798751319</v>
      </c>
      <c r="C1702" s="191" t="n">
        <v>46138.4871205023</v>
      </c>
      <c r="D1702" s="189" t="s">
        <v>2295</v>
      </c>
      <c r="E1702" s="189" t="s">
        <v>2296</v>
      </c>
      <c r="F1702" s="189" t="s">
        <v>2296</v>
      </c>
      <c r="G1702" s="189" t="s">
        <v>2297</v>
      </c>
      <c r="H1702" s="191" t="n">
        <v>46133</v>
      </c>
      <c r="I1702" s="189" t="s">
        <v>113</v>
      </c>
      <c r="J1702" s="189" t="s">
        <v>108</v>
      </c>
      <c r="K1702" s="189" t="s">
        <v>2298</v>
      </c>
      <c r="L1702" s="189" t="s">
        <v>210</v>
      </c>
      <c r="M1702" s="189" t="s">
        <v>864</v>
      </c>
      <c r="N1702" s="189" t="s">
        <v>398</v>
      </c>
      <c r="O1702" s="189" t="s">
        <v>172</v>
      </c>
      <c r="P1702" s="189" t="s">
        <v>111</v>
      </c>
      <c r="Q1702" s="189" t="s">
        <v>145</v>
      </c>
      <c r="R1702" s="189" t="s">
        <v>22</v>
      </c>
      <c r="S1702" s="189" t="s">
        <v>120</v>
      </c>
      <c r="T1702" s="189" t="s">
        <v>121</v>
      </c>
      <c r="V1702" s="189" t="s">
        <v>123</v>
      </c>
      <c r="W1702" s="189" t="s">
        <v>124</v>
      </c>
      <c r="X1702" s="189" t="s">
        <v>176</v>
      </c>
      <c r="Y1702" s="189" t="s">
        <v>3069</v>
      </c>
      <c r="Z1702" s="0" t="n">
        <v>2</v>
      </c>
      <c r="AA1702" s="189" t="s">
        <v>3330</v>
      </c>
    </row>
    <row r="1703" customFormat="false" ht="15" hidden="false" customHeight="false" outlineLevel="0" collapsed="false">
      <c r="A1703" s="0" t="n">
        <v>366</v>
      </c>
      <c r="B1703" s="191" t="n">
        <v>46041.4868640656</v>
      </c>
      <c r="C1703" s="191" t="n">
        <v>46041.503333973</v>
      </c>
      <c r="D1703" s="189" t="s">
        <v>2301</v>
      </c>
      <c r="E1703" s="189" t="s">
        <v>2302</v>
      </c>
      <c r="F1703" s="189" t="s">
        <v>2303</v>
      </c>
      <c r="G1703" s="189" t="s">
        <v>2304</v>
      </c>
      <c r="H1703" s="191" t="n">
        <v>46027</v>
      </c>
      <c r="I1703" s="189" t="s">
        <v>336</v>
      </c>
      <c r="J1703" s="189" t="s">
        <v>108</v>
      </c>
      <c r="K1703" s="189" t="s">
        <v>932</v>
      </c>
      <c r="L1703" s="189" t="s">
        <v>286</v>
      </c>
      <c r="M1703" s="189" t="s">
        <v>515</v>
      </c>
      <c r="N1703" s="189" t="s">
        <v>905</v>
      </c>
      <c r="O1703" s="189" t="s">
        <v>172</v>
      </c>
      <c r="P1703" s="189" t="s">
        <v>111</v>
      </c>
      <c r="Q1703" s="189" t="s">
        <v>112</v>
      </c>
      <c r="R1703" s="189" t="s">
        <v>21</v>
      </c>
      <c r="S1703" s="189" t="s">
        <v>120</v>
      </c>
      <c r="T1703" s="189" t="s">
        <v>121</v>
      </c>
      <c r="V1703" s="189" t="s">
        <v>123</v>
      </c>
      <c r="W1703" s="189" t="s">
        <v>124</v>
      </c>
      <c r="X1703" s="189" t="s">
        <v>457</v>
      </c>
      <c r="Y1703" s="189" t="s">
        <v>3064</v>
      </c>
      <c r="Z1703" s="0" t="n">
        <v>1</v>
      </c>
      <c r="AA1703" s="189" t="s">
        <v>3081</v>
      </c>
    </row>
    <row r="1704" customFormat="false" ht="15" hidden="false" customHeight="false" outlineLevel="0" collapsed="false">
      <c r="A1704" s="0" t="n">
        <v>366</v>
      </c>
      <c r="B1704" s="191" t="n">
        <v>46041.4868640656</v>
      </c>
      <c r="C1704" s="191" t="n">
        <v>46041.503333973</v>
      </c>
      <c r="D1704" s="189" t="s">
        <v>2301</v>
      </c>
      <c r="E1704" s="189" t="s">
        <v>2302</v>
      </c>
      <c r="F1704" s="189" t="s">
        <v>2303</v>
      </c>
      <c r="G1704" s="189" t="s">
        <v>2304</v>
      </c>
      <c r="H1704" s="191" t="n">
        <v>46027</v>
      </c>
      <c r="I1704" s="189" t="s">
        <v>336</v>
      </c>
      <c r="J1704" s="189" t="s">
        <v>108</v>
      </c>
      <c r="K1704" s="189" t="s">
        <v>932</v>
      </c>
      <c r="L1704" s="189" t="s">
        <v>286</v>
      </c>
      <c r="M1704" s="189" t="s">
        <v>515</v>
      </c>
      <c r="N1704" s="189" t="s">
        <v>905</v>
      </c>
      <c r="O1704" s="189" t="s">
        <v>172</v>
      </c>
      <c r="P1704" s="189" t="s">
        <v>111</v>
      </c>
      <c r="Q1704" s="189" t="s">
        <v>112</v>
      </c>
      <c r="R1704" s="189" t="s">
        <v>21</v>
      </c>
      <c r="S1704" s="189" t="s">
        <v>120</v>
      </c>
      <c r="T1704" s="189" t="s">
        <v>121</v>
      </c>
      <c r="V1704" s="189" t="s">
        <v>123</v>
      </c>
      <c r="W1704" s="189" t="s">
        <v>124</v>
      </c>
      <c r="X1704" s="189" t="s">
        <v>457</v>
      </c>
      <c r="Y1704" s="189" t="s">
        <v>3066</v>
      </c>
      <c r="Z1704" s="0" t="n">
        <v>1</v>
      </c>
      <c r="AA1704" s="189" t="s">
        <v>122</v>
      </c>
    </row>
    <row r="1705" customFormat="false" ht="15" hidden="false" customHeight="false" outlineLevel="0" collapsed="false">
      <c r="A1705" s="0" t="n">
        <v>366</v>
      </c>
      <c r="B1705" s="191" t="n">
        <v>46041.4868640656</v>
      </c>
      <c r="C1705" s="191" t="n">
        <v>46041.503333973</v>
      </c>
      <c r="D1705" s="189" t="s">
        <v>2301</v>
      </c>
      <c r="E1705" s="189" t="s">
        <v>2302</v>
      </c>
      <c r="F1705" s="189" t="s">
        <v>2303</v>
      </c>
      <c r="G1705" s="189" t="s">
        <v>2304</v>
      </c>
      <c r="H1705" s="191" t="n">
        <v>46027</v>
      </c>
      <c r="I1705" s="189" t="s">
        <v>336</v>
      </c>
      <c r="J1705" s="189" t="s">
        <v>108</v>
      </c>
      <c r="K1705" s="189" t="s">
        <v>932</v>
      </c>
      <c r="L1705" s="189" t="s">
        <v>286</v>
      </c>
      <c r="M1705" s="189" t="s">
        <v>515</v>
      </c>
      <c r="N1705" s="189" t="s">
        <v>905</v>
      </c>
      <c r="O1705" s="189" t="s">
        <v>172</v>
      </c>
      <c r="P1705" s="189" t="s">
        <v>111</v>
      </c>
      <c r="Q1705" s="189" t="s">
        <v>112</v>
      </c>
      <c r="R1705" s="189" t="s">
        <v>21</v>
      </c>
      <c r="S1705" s="189" t="s">
        <v>120</v>
      </c>
      <c r="T1705" s="189" t="s">
        <v>121</v>
      </c>
      <c r="V1705" s="189" t="s">
        <v>123</v>
      </c>
      <c r="W1705" s="189" t="s">
        <v>124</v>
      </c>
      <c r="X1705" s="189" t="s">
        <v>457</v>
      </c>
      <c r="Y1705" s="189" t="s">
        <v>3066</v>
      </c>
      <c r="Z1705" s="0" t="n">
        <v>2</v>
      </c>
      <c r="AA1705" s="189" t="s">
        <v>3082</v>
      </c>
    </row>
    <row r="1706" customFormat="false" ht="15" hidden="false" customHeight="false" outlineLevel="0" collapsed="false">
      <c r="A1706" s="0" t="n">
        <v>366</v>
      </c>
      <c r="B1706" s="191" t="n">
        <v>46041.4868640656</v>
      </c>
      <c r="C1706" s="191" t="n">
        <v>46041.503333973</v>
      </c>
      <c r="D1706" s="189" t="s">
        <v>2301</v>
      </c>
      <c r="E1706" s="189" t="s">
        <v>2302</v>
      </c>
      <c r="F1706" s="189" t="s">
        <v>2303</v>
      </c>
      <c r="G1706" s="189" t="s">
        <v>2304</v>
      </c>
      <c r="H1706" s="191" t="n">
        <v>46027</v>
      </c>
      <c r="I1706" s="189" t="s">
        <v>336</v>
      </c>
      <c r="J1706" s="189" t="s">
        <v>108</v>
      </c>
      <c r="K1706" s="189" t="s">
        <v>932</v>
      </c>
      <c r="L1706" s="189" t="s">
        <v>286</v>
      </c>
      <c r="M1706" s="189" t="s">
        <v>515</v>
      </c>
      <c r="N1706" s="189" t="s">
        <v>905</v>
      </c>
      <c r="O1706" s="189" t="s">
        <v>172</v>
      </c>
      <c r="P1706" s="189" t="s">
        <v>111</v>
      </c>
      <c r="Q1706" s="189" t="s">
        <v>112</v>
      </c>
      <c r="R1706" s="189" t="s">
        <v>21</v>
      </c>
      <c r="S1706" s="189" t="s">
        <v>120</v>
      </c>
      <c r="T1706" s="189" t="s">
        <v>121</v>
      </c>
      <c r="V1706" s="189" t="s">
        <v>123</v>
      </c>
      <c r="W1706" s="189" t="s">
        <v>124</v>
      </c>
      <c r="X1706" s="189" t="s">
        <v>457</v>
      </c>
      <c r="Y1706" s="189" t="s">
        <v>3069</v>
      </c>
      <c r="Z1706" s="0" t="n">
        <v>1</v>
      </c>
      <c r="AA1706" s="189" t="s">
        <v>3140</v>
      </c>
    </row>
    <row r="1707" customFormat="false" ht="15" hidden="false" customHeight="false" outlineLevel="0" collapsed="false">
      <c r="A1707" s="0" t="n">
        <v>366</v>
      </c>
      <c r="B1707" s="191" t="n">
        <v>46041.4868640656</v>
      </c>
      <c r="C1707" s="191" t="n">
        <v>46041.503333973</v>
      </c>
      <c r="D1707" s="189" t="s">
        <v>2301</v>
      </c>
      <c r="E1707" s="189" t="s">
        <v>2302</v>
      </c>
      <c r="F1707" s="189" t="s">
        <v>2303</v>
      </c>
      <c r="G1707" s="189" t="s">
        <v>2304</v>
      </c>
      <c r="H1707" s="191" t="n">
        <v>46027</v>
      </c>
      <c r="I1707" s="189" t="s">
        <v>336</v>
      </c>
      <c r="J1707" s="189" t="s">
        <v>108</v>
      </c>
      <c r="K1707" s="189" t="s">
        <v>932</v>
      </c>
      <c r="L1707" s="189" t="s">
        <v>286</v>
      </c>
      <c r="M1707" s="189" t="s">
        <v>515</v>
      </c>
      <c r="N1707" s="189" t="s">
        <v>905</v>
      </c>
      <c r="O1707" s="189" t="s">
        <v>172</v>
      </c>
      <c r="P1707" s="189" t="s">
        <v>111</v>
      </c>
      <c r="Q1707" s="189" t="s">
        <v>112</v>
      </c>
      <c r="R1707" s="189" t="s">
        <v>21</v>
      </c>
      <c r="S1707" s="189" t="s">
        <v>120</v>
      </c>
      <c r="T1707" s="189" t="s">
        <v>121</v>
      </c>
      <c r="V1707" s="189" t="s">
        <v>123</v>
      </c>
      <c r="W1707" s="189" t="s">
        <v>124</v>
      </c>
      <c r="X1707" s="189" t="s">
        <v>457</v>
      </c>
      <c r="Y1707" s="189" t="s">
        <v>3069</v>
      </c>
      <c r="Z1707" s="0" t="n">
        <v>2</v>
      </c>
      <c r="AA1707" s="189" t="s">
        <v>122</v>
      </c>
    </row>
    <row r="1708" customFormat="false" ht="15" hidden="false" customHeight="false" outlineLevel="0" collapsed="false">
      <c r="A1708" s="0" t="n">
        <v>367</v>
      </c>
      <c r="B1708" s="191" t="n">
        <v>46083.296033308</v>
      </c>
      <c r="C1708" s="191" t="n">
        <v>46083.3062763635</v>
      </c>
      <c r="D1708" s="189" t="s">
        <v>2305</v>
      </c>
      <c r="E1708" s="189" t="s">
        <v>2306</v>
      </c>
      <c r="F1708" s="189" t="s">
        <v>2306</v>
      </c>
      <c r="G1708" s="189" t="s">
        <v>2307</v>
      </c>
      <c r="H1708" s="191" t="n">
        <v>46066</v>
      </c>
      <c r="I1708" s="189" t="s">
        <v>113</v>
      </c>
      <c r="J1708" s="189" t="s">
        <v>128</v>
      </c>
      <c r="K1708" s="189" t="s">
        <v>1527</v>
      </c>
      <c r="L1708" s="189" t="s">
        <v>246</v>
      </c>
      <c r="M1708" s="189" t="s">
        <v>447</v>
      </c>
      <c r="N1708" s="189" t="s">
        <v>398</v>
      </c>
      <c r="O1708" s="189" t="s">
        <v>278</v>
      </c>
      <c r="P1708" s="189" t="s">
        <v>111</v>
      </c>
      <c r="Q1708" s="189" t="s">
        <v>112</v>
      </c>
      <c r="R1708" s="189" t="s">
        <v>21</v>
      </c>
      <c r="S1708" s="189" t="s">
        <v>120</v>
      </c>
      <c r="T1708" s="189" t="s">
        <v>121</v>
      </c>
      <c r="U1708" s="189" t="s">
        <v>2039</v>
      </c>
      <c r="V1708" s="189" t="s">
        <v>167</v>
      </c>
      <c r="W1708" s="189" t="s">
        <v>124</v>
      </c>
      <c r="X1708" s="189" t="s">
        <v>250</v>
      </c>
      <c r="Y1708" s="189" t="s">
        <v>3064</v>
      </c>
      <c r="Z1708" s="0" t="n">
        <v>1</v>
      </c>
      <c r="AA1708" s="189" t="s">
        <v>3081</v>
      </c>
    </row>
    <row r="1709" customFormat="false" ht="15" hidden="false" customHeight="false" outlineLevel="0" collapsed="false">
      <c r="A1709" s="0" t="n">
        <v>367</v>
      </c>
      <c r="B1709" s="191" t="n">
        <v>46083.296033308</v>
      </c>
      <c r="C1709" s="191" t="n">
        <v>46083.3062763635</v>
      </c>
      <c r="D1709" s="189" t="s">
        <v>2305</v>
      </c>
      <c r="E1709" s="189" t="s">
        <v>2306</v>
      </c>
      <c r="F1709" s="189" t="s">
        <v>2306</v>
      </c>
      <c r="G1709" s="189" t="s">
        <v>2307</v>
      </c>
      <c r="H1709" s="191" t="n">
        <v>46066</v>
      </c>
      <c r="I1709" s="189" t="s">
        <v>113</v>
      </c>
      <c r="J1709" s="189" t="s">
        <v>128</v>
      </c>
      <c r="K1709" s="189" t="s">
        <v>1527</v>
      </c>
      <c r="L1709" s="189" t="s">
        <v>246</v>
      </c>
      <c r="M1709" s="189" t="s">
        <v>447</v>
      </c>
      <c r="N1709" s="189" t="s">
        <v>398</v>
      </c>
      <c r="O1709" s="189" t="s">
        <v>278</v>
      </c>
      <c r="P1709" s="189" t="s">
        <v>111</v>
      </c>
      <c r="Q1709" s="189" t="s">
        <v>112</v>
      </c>
      <c r="R1709" s="189" t="s">
        <v>21</v>
      </c>
      <c r="S1709" s="189" t="s">
        <v>120</v>
      </c>
      <c r="T1709" s="189" t="s">
        <v>121</v>
      </c>
      <c r="U1709" s="189" t="s">
        <v>2039</v>
      </c>
      <c r="V1709" s="189" t="s">
        <v>167</v>
      </c>
      <c r="W1709" s="189" t="s">
        <v>124</v>
      </c>
      <c r="X1709" s="189" t="s">
        <v>250</v>
      </c>
      <c r="Y1709" s="189" t="s">
        <v>3064</v>
      </c>
      <c r="Z1709" s="0" t="n">
        <v>2</v>
      </c>
      <c r="AA1709" s="189" t="s">
        <v>3107</v>
      </c>
    </row>
    <row r="1710" customFormat="false" ht="15" hidden="false" customHeight="false" outlineLevel="0" collapsed="false">
      <c r="A1710" s="0" t="n">
        <v>367</v>
      </c>
      <c r="B1710" s="191" t="n">
        <v>46083.296033308</v>
      </c>
      <c r="C1710" s="191" t="n">
        <v>46083.3062763635</v>
      </c>
      <c r="D1710" s="189" t="s">
        <v>2305</v>
      </c>
      <c r="E1710" s="189" t="s">
        <v>2306</v>
      </c>
      <c r="F1710" s="189" t="s">
        <v>2306</v>
      </c>
      <c r="G1710" s="189" t="s">
        <v>2307</v>
      </c>
      <c r="H1710" s="191" t="n">
        <v>46066</v>
      </c>
      <c r="I1710" s="189" t="s">
        <v>113</v>
      </c>
      <c r="J1710" s="189" t="s">
        <v>128</v>
      </c>
      <c r="K1710" s="189" t="s">
        <v>1527</v>
      </c>
      <c r="L1710" s="189" t="s">
        <v>246</v>
      </c>
      <c r="M1710" s="189" t="s">
        <v>447</v>
      </c>
      <c r="N1710" s="189" t="s">
        <v>398</v>
      </c>
      <c r="O1710" s="189" t="s">
        <v>278</v>
      </c>
      <c r="P1710" s="189" t="s">
        <v>111</v>
      </c>
      <c r="Q1710" s="189" t="s">
        <v>112</v>
      </c>
      <c r="R1710" s="189" t="s">
        <v>21</v>
      </c>
      <c r="S1710" s="189" t="s">
        <v>120</v>
      </c>
      <c r="T1710" s="189" t="s">
        <v>121</v>
      </c>
      <c r="U1710" s="189" t="s">
        <v>2039</v>
      </c>
      <c r="V1710" s="189" t="s">
        <v>167</v>
      </c>
      <c r="W1710" s="189" t="s">
        <v>124</v>
      </c>
      <c r="X1710" s="189" t="s">
        <v>250</v>
      </c>
      <c r="Y1710" s="189" t="s">
        <v>3066</v>
      </c>
      <c r="Z1710" s="0" t="n">
        <v>1</v>
      </c>
      <c r="AA1710" s="189" t="s">
        <v>122</v>
      </c>
    </row>
    <row r="1711" customFormat="false" ht="15" hidden="false" customHeight="false" outlineLevel="0" collapsed="false">
      <c r="A1711" s="0" t="n">
        <v>367</v>
      </c>
      <c r="B1711" s="191" t="n">
        <v>46083.296033308</v>
      </c>
      <c r="C1711" s="191" t="n">
        <v>46083.3062763635</v>
      </c>
      <c r="D1711" s="189" t="s">
        <v>2305</v>
      </c>
      <c r="E1711" s="189" t="s">
        <v>2306</v>
      </c>
      <c r="F1711" s="189" t="s">
        <v>2306</v>
      </c>
      <c r="G1711" s="189" t="s">
        <v>2307</v>
      </c>
      <c r="H1711" s="191" t="n">
        <v>46066</v>
      </c>
      <c r="I1711" s="189" t="s">
        <v>113</v>
      </c>
      <c r="J1711" s="189" t="s">
        <v>128</v>
      </c>
      <c r="K1711" s="189" t="s">
        <v>1527</v>
      </c>
      <c r="L1711" s="189" t="s">
        <v>246</v>
      </c>
      <c r="M1711" s="189" t="s">
        <v>447</v>
      </c>
      <c r="N1711" s="189" t="s">
        <v>398</v>
      </c>
      <c r="O1711" s="189" t="s">
        <v>278</v>
      </c>
      <c r="P1711" s="189" t="s">
        <v>111</v>
      </c>
      <c r="Q1711" s="189" t="s">
        <v>112</v>
      </c>
      <c r="R1711" s="189" t="s">
        <v>21</v>
      </c>
      <c r="S1711" s="189" t="s">
        <v>120</v>
      </c>
      <c r="T1711" s="189" t="s">
        <v>121</v>
      </c>
      <c r="U1711" s="189" t="s">
        <v>2039</v>
      </c>
      <c r="V1711" s="189" t="s">
        <v>167</v>
      </c>
      <c r="W1711" s="189" t="s">
        <v>124</v>
      </c>
      <c r="X1711" s="189" t="s">
        <v>250</v>
      </c>
      <c r="Y1711" s="189" t="s">
        <v>3069</v>
      </c>
      <c r="Z1711" s="0" t="n">
        <v>1</v>
      </c>
      <c r="AA1711" s="189" t="s">
        <v>122</v>
      </c>
    </row>
    <row r="1712" customFormat="false" ht="15" hidden="false" customHeight="false" outlineLevel="0" collapsed="false">
      <c r="A1712" s="0" t="n">
        <v>367</v>
      </c>
      <c r="B1712" s="191" t="n">
        <v>46083.296033308</v>
      </c>
      <c r="C1712" s="191" t="n">
        <v>46083.3062763635</v>
      </c>
      <c r="D1712" s="189" t="s">
        <v>2305</v>
      </c>
      <c r="E1712" s="189" t="s">
        <v>2306</v>
      </c>
      <c r="F1712" s="189" t="s">
        <v>2306</v>
      </c>
      <c r="G1712" s="189" t="s">
        <v>2307</v>
      </c>
      <c r="H1712" s="191" t="n">
        <v>46066</v>
      </c>
      <c r="I1712" s="189" t="s">
        <v>113</v>
      </c>
      <c r="J1712" s="189" t="s">
        <v>128</v>
      </c>
      <c r="K1712" s="189" t="s">
        <v>1527</v>
      </c>
      <c r="L1712" s="189" t="s">
        <v>246</v>
      </c>
      <c r="M1712" s="189" t="s">
        <v>447</v>
      </c>
      <c r="N1712" s="189" t="s">
        <v>398</v>
      </c>
      <c r="O1712" s="189" t="s">
        <v>278</v>
      </c>
      <c r="P1712" s="189" t="s">
        <v>111</v>
      </c>
      <c r="Q1712" s="189" t="s">
        <v>112</v>
      </c>
      <c r="R1712" s="189" t="s">
        <v>21</v>
      </c>
      <c r="S1712" s="189" t="s">
        <v>120</v>
      </c>
      <c r="T1712" s="189" t="s">
        <v>121</v>
      </c>
      <c r="U1712" s="189" t="s">
        <v>2039</v>
      </c>
      <c r="V1712" s="189" t="s">
        <v>167</v>
      </c>
      <c r="W1712" s="189" t="s">
        <v>124</v>
      </c>
      <c r="X1712" s="189" t="s">
        <v>250</v>
      </c>
      <c r="Y1712" s="189" t="s">
        <v>3069</v>
      </c>
      <c r="Z1712" s="0" t="n">
        <v>2</v>
      </c>
      <c r="AA1712" s="189" t="s">
        <v>3083</v>
      </c>
    </row>
    <row r="1713" customFormat="false" ht="15" hidden="false" customHeight="false" outlineLevel="0" collapsed="false">
      <c r="A1713" s="0" t="n">
        <v>369</v>
      </c>
      <c r="B1713" s="191" t="n">
        <v>46052.0970203738</v>
      </c>
      <c r="C1713" s="191" t="n">
        <v>46052.109856022</v>
      </c>
      <c r="D1713" s="189" t="s">
        <v>2312</v>
      </c>
      <c r="E1713" s="189" t="s">
        <v>2313</v>
      </c>
      <c r="F1713" s="189" t="s">
        <v>2313</v>
      </c>
      <c r="G1713" s="189" t="s">
        <v>2314</v>
      </c>
      <c r="H1713" s="191" t="n">
        <v>46035</v>
      </c>
      <c r="I1713" s="189" t="s">
        <v>113</v>
      </c>
      <c r="J1713" s="189" t="s">
        <v>108</v>
      </c>
      <c r="K1713" s="189" t="s">
        <v>245</v>
      </c>
      <c r="L1713" s="189" t="s">
        <v>491</v>
      </c>
      <c r="M1713" s="189" t="s">
        <v>133</v>
      </c>
      <c r="N1713" s="189" t="s">
        <v>2315</v>
      </c>
      <c r="O1713" s="189" t="s">
        <v>172</v>
      </c>
      <c r="P1713" s="189" t="s">
        <v>111</v>
      </c>
      <c r="Q1713" s="189" t="s">
        <v>145</v>
      </c>
      <c r="R1713" s="189" t="s">
        <v>22</v>
      </c>
      <c r="S1713" s="189" t="s">
        <v>227</v>
      </c>
      <c r="T1713" s="189" t="s">
        <v>121</v>
      </c>
      <c r="U1713" s="189" t="s">
        <v>122</v>
      </c>
      <c r="V1713" s="189" t="s">
        <v>192</v>
      </c>
      <c r="W1713" s="189" t="s">
        <v>124</v>
      </c>
      <c r="X1713" s="189" t="s">
        <v>176</v>
      </c>
      <c r="Y1713" s="189" t="s">
        <v>3064</v>
      </c>
      <c r="Z1713" s="0" t="n">
        <v>1</v>
      </c>
      <c r="AA1713" s="189" t="s">
        <v>3086</v>
      </c>
    </row>
    <row r="1714" customFormat="false" ht="15" hidden="false" customHeight="false" outlineLevel="0" collapsed="false">
      <c r="A1714" s="0" t="n">
        <v>369</v>
      </c>
      <c r="B1714" s="191" t="n">
        <v>46052.0970203738</v>
      </c>
      <c r="C1714" s="191" t="n">
        <v>46052.109856022</v>
      </c>
      <c r="D1714" s="189" t="s">
        <v>2312</v>
      </c>
      <c r="E1714" s="189" t="s">
        <v>2313</v>
      </c>
      <c r="F1714" s="189" t="s">
        <v>2313</v>
      </c>
      <c r="G1714" s="189" t="s">
        <v>2314</v>
      </c>
      <c r="H1714" s="191" t="n">
        <v>46035</v>
      </c>
      <c r="I1714" s="189" t="s">
        <v>113</v>
      </c>
      <c r="J1714" s="189" t="s">
        <v>108</v>
      </c>
      <c r="K1714" s="189" t="s">
        <v>245</v>
      </c>
      <c r="L1714" s="189" t="s">
        <v>491</v>
      </c>
      <c r="M1714" s="189" t="s">
        <v>133</v>
      </c>
      <c r="N1714" s="189" t="s">
        <v>2315</v>
      </c>
      <c r="O1714" s="189" t="s">
        <v>172</v>
      </c>
      <c r="P1714" s="189" t="s">
        <v>111</v>
      </c>
      <c r="Q1714" s="189" t="s">
        <v>145</v>
      </c>
      <c r="R1714" s="189" t="s">
        <v>22</v>
      </c>
      <c r="S1714" s="189" t="s">
        <v>227</v>
      </c>
      <c r="T1714" s="189" t="s">
        <v>121</v>
      </c>
      <c r="U1714" s="189" t="s">
        <v>122</v>
      </c>
      <c r="V1714" s="189" t="s">
        <v>192</v>
      </c>
      <c r="W1714" s="189" t="s">
        <v>124</v>
      </c>
      <c r="X1714" s="189" t="s">
        <v>176</v>
      </c>
      <c r="Y1714" s="189" t="s">
        <v>3064</v>
      </c>
      <c r="Z1714" s="0" t="n">
        <v>2</v>
      </c>
      <c r="AA1714" s="189" t="s">
        <v>3290</v>
      </c>
    </row>
    <row r="1715" customFormat="false" ht="15" hidden="false" customHeight="false" outlineLevel="0" collapsed="false">
      <c r="A1715" s="0" t="n">
        <v>369</v>
      </c>
      <c r="B1715" s="191" t="n">
        <v>46052.0970203738</v>
      </c>
      <c r="C1715" s="191" t="n">
        <v>46052.109856022</v>
      </c>
      <c r="D1715" s="189" t="s">
        <v>2312</v>
      </c>
      <c r="E1715" s="189" t="s">
        <v>2313</v>
      </c>
      <c r="F1715" s="189" t="s">
        <v>2313</v>
      </c>
      <c r="G1715" s="189" t="s">
        <v>2314</v>
      </c>
      <c r="H1715" s="191" t="n">
        <v>46035</v>
      </c>
      <c r="I1715" s="189" t="s">
        <v>113</v>
      </c>
      <c r="J1715" s="189" t="s">
        <v>108</v>
      </c>
      <c r="K1715" s="189" t="s">
        <v>245</v>
      </c>
      <c r="L1715" s="189" t="s">
        <v>491</v>
      </c>
      <c r="M1715" s="189" t="s">
        <v>133</v>
      </c>
      <c r="N1715" s="189" t="s">
        <v>2315</v>
      </c>
      <c r="O1715" s="189" t="s">
        <v>172</v>
      </c>
      <c r="P1715" s="189" t="s">
        <v>111</v>
      </c>
      <c r="Q1715" s="189" t="s">
        <v>145</v>
      </c>
      <c r="R1715" s="189" t="s">
        <v>22</v>
      </c>
      <c r="S1715" s="189" t="s">
        <v>227</v>
      </c>
      <c r="T1715" s="189" t="s">
        <v>121</v>
      </c>
      <c r="U1715" s="189" t="s">
        <v>122</v>
      </c>
      <c r="V1715" s="189" t="s">
        <v>192</v>
      </c>
      <c r="W1715" s="189" t="s">
        <v>124</v>
      </c>
      <c r="X1715" s="189" t="s">
        <v>176</v>
      </c>
      <c r="Y1715" s="189" t="s">
        <v>3066</v>
      </c>
      <c r="Z1715" s="0" t="n">
        <v>1</v>
      </c>
      <c r="AA1715" s="189" t="s">
        <v>3240</v>
      </c>
    </row>
    <row r="1716" customFormat="false" ht="15" hidden="false" customHeight="false" outlineLevel="0" collapsed="false">
      <c r="A1716" s="0" t="n">
        <v>369</v>
      </c>
      <c r="B1716" s="191" t="n">
        <v>46052.0970203738</v>
      </c>
      <c r="C1716" s="191" t="n">
        <v>46052.109856022</v>
      </c>
      <c r="D1716" s="189" t="s">
        <v>2312</v>
      </c>
      <c r="E1716" s="189" t="s">
        <v>2313</v>
      </c>
      <c r="F1716" s="189" t="s">
        <v>2313</v>
      </c>
      <c r="G1716" s="189" t="s">
        <v>2314</v>
      </c>
      <c r="H1716" s="191" t="n">
        <v>46035</v>
      </c>
      <c r="I1716" s="189" t="s">
        <v>113</v>
      </c>
      <c r="J1716" s="189" t="s">
        <v>108</v>
      </c>
      <c r="K1716" s="189" t="s">
        <v>245</v>
      </c>
      <c r="L1716" s="189" t="s">
        <v>491</v>
      </c>
      <c r="M1716" s="189" t="s">
        <v>133</v>
      </c>
      <c r="N1716" s="189" t="s">
        <v>2315</v>
      </c>
      <c r="O1716" s="189" t="s">
        <v>172</v>
      </c>
      <c r="P1716" s="189" t="s">
        <v>111</v>
      </c>
      <c r="Q1716" s="189" t="s">
        <v>145</v>
      </c>
      <c r="R1716" s="189" t="s">
        <v>22</v>
      </c>
      <c r="S1716" s="189" t="s">
        <v>227</v>
      </c>
      <c r="T1716" s="189" t="s">
        <v>121</v>
      </c>
      <c r="U1716" s="189" t="s">
        <v>122</v>
      </c>
      <c r="V1716" s="189" t="s">
        <v>192</v>
      </c>
      <c r="W1716" s="189" t="s">
        <v>124</v>
      </c>
      <c r="X1716" s="189" t="s">
        <v>176</v>
      </c>
      <c r="Y1716" s="189" t="s">
        <v>3069</v>
      </c>
      <c r="Z1716" s="0" t="n">
        <v>1</v>
      </c>
      <c r="AA1716" s="189" t="s">
        <v>3270</v>
      </c>
    </row>
    <row r="1717" customFormat="false" ht="15" hidden="false" customHeight="false" outlineLevel="0" collapsed="false">
      <c r="A1717" s="0" t="n">
        <v>369</v>
      </c>
      <c r="B1717" s="191" t="n">
        <v>46052.0970203738</v>
      </c>
      <c r="C1717" s="191" t="n">
        <v>46052.109856022</v>
      </c>
      <c r="D1717" s="189" t="s">
        <v>2312</v>
      </c>
      <c r="E1717" s="189" t="s">
        <v>2313</v>
      </c>
      <c r="F1717" s="189" t="s">
        <v>2313</v>
      </c>
      <c r="G1717" s="189" t="s">
        <v>2314</v>
      </c>
      <c r="H1717" s="191" t="n">
        <v>46035</v>
      </c>
      <c r="I1717" s="189" t="s">
        <v>113</v>
      </c>
      <c r="J1717" s="189" t="s">
        <v>108</v>
      </c>
      <c r="K1717" s="189" t="s">
        <v>245</v>
      </c>
      <c r="L1717" s="189" t="s">
        <v>491</v>
      </c>
      <c r="M1717" s="189" t="s">
        <v>133</v>
      </c>
      <c r="N1717" s="189" t="s">
        <v>2315</v>
      </c>
      <c r="O1717" s="189" t="s">
        <v>172</v>
      </c>
      <c r="P1717" s="189" t="s">
        <v>111</v>
      </c>
      <c r="Q1717" s="189" t="s">
        <v>145</v>
      </c>
      <c r="R1717" s="189" t="s">
        <v>22</v>
      </c>
      <c r="S1717" s="189" t="s">
        <v>227</v>
      </c>
      <c r="T1717" s="189" t="s">
        <v>121</v>
      </c>
      <c r="U1717" s="189" t="s">
        <v>122</v>
      </c>
      <c r="V1717" s="189" t="s">
        <v>192</v>
      </c>
      <c r="W1717" s="189" t="s">
        <v>124</v>
      </c>
      <c r="X1717" s="189" t="s">
        <v>176</v>
      </c>
      <c r="Y1717" s="189" t="s">
        <v>3069</v>
      </c>
      <c r="Z1717" s="0" t="n">
        <v>2</v>
      </c>
      <c r="AA1717" s="189" t="s">
        <v>3088</v>
      </c>
    </row>
    <row r="1718" customFormat="false" ht="15" hidden="false" customHeight="false" outlineLevel="0" collapsed="false">
      <c r="A1718" s="0" t="n">
        <v>370</v>
      </c>
      <c r="B1718" s="191" t="n">
        <v>46158.1400502797</v>
      </c>
      <c r="C1718" s="191" t="n">
        <v>46158.1585687983</v>
      </c>
      <c r="D1718" s="189" t="s">
        <v>2319</v>
      </c>
      <c r="E1718" s="189" t="s">
        <v>2320</v>
      </c>
      <c r="F1718" s="189" t="s">
        <v>2320</v>
      </c>
      <c r="G1718" s="189" t="s">
        <v>2321</v>
      </c>
      <c r="H1718" s="191" t="n">
        <v>46151</v>
      </c>
      <c r="I1718" s="189" t="s">
        <v>113</v>
      </c>
      <c r="J1718" s="189" t="s">
        <v>108</v>
      </c>
      <c r="K1718" s="189" t="s">
        <v>257</v>
      </c>
      <c r="L1718" s="189" t="s">
        <v>431</v>
      </c>
      <c r="M1718" s="189" t="s">
        <v>406</v>
      </c>
      <c r="N1718" s="189" t="s">
        <v>1229</v>
      </c>
      <c r="O1718" s="189" t="s">
        <v>107</v>
      </c>
      <c r="P1718" s="189" t="s">
        <v>111</v>
      </c>
      <c r="Q1718" s="189" t="s">
        <v>145</v>
      </c>
      <c r="R1718" s="189" t="s">
        <v>22</v>
      </c>
      <c r="S1718" s="189" t="s">
        <v>152</v>
      </c>
      <c r="T1718" s="189" t="s">
        <v>264</v>
      </c>
      <c r="U1718" s="189" t="s">
        <v>2325</v>
      </c>
      <c r="V1718" s="189" t="s">
        <v>167</v>
      </c>
      <c r="W1718" s="189" t="s">
        <v>124</v>
      </c>
      <c r="X1718" s="189" t="s">
        <v>176</v>
      </c>
      <c r="Y1718" s="189" t="s">
        <v>3064</v>
      </c>
      <c r="Z1718" s="0" t="n">
        <v>1</v>
      </c>
      <c r="AA1718" s="189" t="s">
        <v>3321</v>
      </c>
    </row>
    <row r="1719" customFormat="false" ht="15" hidden="false" customHeight="false" outlineLevel="0" collapsed="false">
      <c r="A1719" s="0" t="n">
        <v>370</v>
      </c>
      <c r="B1719" s="191" t="n">
        <v>46158.1400502797</v>
      </c>
      <c r="C1719" s="191" t="n">
        <v>46158.1585687983</v>
      </c>
      <c r="D1719" s="189" t="s">
        <v>2319</v>
      </c>
      <c r="E1719" s="189" t="s">
        <v>2320</v>
      </c>
      <c r="F1719" s="189" t="s">
        <v>2320</v>
      </c>
      <c r="G1719" s="189" t="s">
        <v>2321</v>
      </c>
      <c r="H1719" s="191" t="n">
        <v>46151</v>
      </c>
      <c r="I1719" s="189" t="s">
        <v>113</v>
      </c>
      <c r="J1719" s="189" t="s">
        <v>108</v>
      </c>
      <c r="K1719" s="189" t="s">
        <v>257</v>
      </c>
      <c r="L1719" s="189" t="s">
        <v>431</v>
      </c>
      <c r="M1719" s="189" t="s">
        <v>406</v>
      </c>
      <c r="N1719" s="189" t="s">
        <v>1229</v>
      </c>
      <c r="O1719" s="189" t="s">
        <v>107</v>
      </c>
      <c r="P1719" s="189" t="s">
        <v>111</v>
      </c>
      <c r="Q1719" s="189" t="s">
        <v>145</v>
      </c>
      <c r="R1719" s="189" t="s">
        <v>22</v>
      </c>
      <c r="S1719" s="189" t="s">
        <v>152</v>
      </c>
      <c r="T1719" s="189" t="s">
        <v>264</v>
      </c>
      <c r="U1719" s="189" t="s">
        <v>2325</v>
      </c>
      <c r="V1719" s="189" t="s">
        <v>167</v>
      </c>
      <c r="W1719" s="189" t="s">
        <v>124</v>
      </c>
      <c r="X1719" s="189" t="s">
        <v>176</v>
      </c>
      <c r="Y1719" s="189" t="s">
        <v>3064</v>
      </c>
      <c r="Z1719" s="0" t="n">
        <v>2</v>
      </c>
      <c r="AA1719" s="189" t="s">
        <v>3287</v>
      </c>
    </row>
    <row r="1720" customFormat="false" ht="15" hidden="false" customHeight="false" outlineLevel="0" collapsed="false">
      <c r="A1720" s="0" t="n">
        <v>370</v>
      </c>
      <c r="B1720" s="191" t="n">
        <v>46158.1400502797</v>
      </c>
      <c r="C1720" s="191" t="n">
        <v>46158.1585687983</v>
      </c>
      <c r="D1720" s="189" t="s">
        <v>2319</v>
      </c>
      <c r="E1720" s="189" t="s">
        <v>2320</v>
      </c>
      <c r="F1720" s="189" t="s">
        <v>2320</v>
      </c>
      <c r="G1720" s="189" t="s">
        <v>2321</v>
      </c>
      <c r="H1720" s="191" t="n">
        <v>46151</v>
      </c>
      <c r="I1720" s="189" t="s">
        <v>113</v>
      </c>
      <c r="J1720" s="189" t="s">
        <v>108</v>
      </c>
      <c r="K1720" s="189" t="s">
        <v>257</v>
      </c>
      <c r="L1720" s="189" t="s">
        <v>431</v>
      </c>
      <c r="M1720" s="189" t="s">
        <v>406</v>
      </c>
      <c r="N1720" s="189" t="s">
        <v>1229</v>
      </c>
      <c r="O1720" s="189" t="s">
        <v>107</v>
      </c>
      <c r="P1720" s="189" t="s">
        <v>111</v>
      </c>
      <c r="Q1720" s="189" t="s">
        <v>145</v>
      </c>
      <c r="R1720" s="189" t="s">
        <v>22</v>
      </c>
      <c r="S1720" s="189" t="s">
        <v>152</v>
      </c>
      <c r="T1720" s="189" t="s">
        <v>264</v>
      </c>
      <c r="U1720" s="189" t="s">
        <v>2325</v>
      </c>
      <c r="V1720" s="189" t="s">
        <v>167</v>
      </c>
      <c r="W1720" s="189" t="s">
        <v>124</v>
      </c>
      <c r="X1720" s="189" t="s">
        <v>176</v>
      </c>
      <c r="Y1720" s="189" t="s">
        <v>3064</v>
      </c>
      <c r="Z1720" s="0" t="n">
        <v>3</v>
      </c>
      <c r="AA1720" s="189" t="s">
        <v>3290</v>
      </c>
    </row>
    <row r="1721" customFormat="false" ht="15" hidden="false" customHeight="false" outlineLevel="0" collapsed="false">
      <c r="A1721" s="0" t="n">
        <v>370</v>
      </c>
      <c r="B1721" s="191" t="n">
        <v>46158.1400502797</v>
      </c>
      <c r="C1721" s="191" t="n">
        <v>46158.1585687983</v>
      </c>
      <c r="D1721" s="189" t="s">
        <v>2319</v>
      </c>
      <c r="E1721" s="189" t="s">
        <v>2320</v>
      </c>
      <c r="F1721" s="189" t="s">
        <v>2320</v>
      </c>
      <c r="G1721" s="189" t="s">
        <v>2321</v>
      </c>
      <c r="H1721" s="191" t="n">
        <v>46151</v>
      </c>
      <c r="I1721" s="189" t="s">
        <v>113</v>
      </c>
      <c r="J1721" s="189" t="s">
        <v>108</v>
      </c>
      <c r="K1721" s="189" t="s">
        <v>257</v>
      </c>
      <c r="L1721" s="189" t="s">
        <v>431</v>
      </c>
      <c r="M1721" s="189" t="s">
        <v>406</v>
      </c>
      <c r="N1721" s="189" t="s">
        <v>1229</v>
      </c>
      <c r="O1721" s="189" t="s">
        <v>107</v>
      </c>
      <c r="P1721" s="189" t="s">
        <v>111</v>
      </c>
      <c r="Q1721" s="189" t="s">
        <v>145</v>
      </c>
      <c r="R1721" s="189" t="s">
        <v>22</v>
      </c>
      <c r="S1721" s="189" t="s">
        <v>152</v>
      </c>
      <c r="T1721" s="189" t="s">
        <v>264</v>
      </c>
      <c r="U1721" s="189" t="s">
        <v>2325</v>
      </c>
      <c r="V1721" s="189" t="s">
        <v>167</v>
      </c>
      <c r="W1721" s="189" t="s">
        <v>124</v>
      </c>
      <c r="X1721" s="189" t="s">
        <v>176</v>
      </c>
      <c r="Y1721" s="189" t="s">
        <v>3066</v>
      </c>
      <c r="Z1721" s="0" t="n">
        <v>1</v>
      </c>
      <c r="AA1721" s="189" t="s">
        <v>3328</v>
      </c>
    </row>
    <row r="1722" customFormat="false" ht="15" hidden="false" customHeight="false" outlineLevel="0" collapsed="false">
      <c r="A1722" s="0" t="n">
        <v>370</v>
      </c>
      <c r="B1722" s="191" t="n">
        <v>46158.1400502797</v>
      </c>
      <c r="C1722" s="191" t="n">
        <v>46158.1585687983</v>
      </c>
      <c r="D1722" s="189" t="s">
        <v>2319</v>
      </c>
      <c r="E1722" s="189" t="s">
        <v>2320</v>
      </c>
      <c r="F1722" s="189" t="s">
        <v>2320</v>
      </c>
      <c r="G1722" s="189" t="s">
        <v>2321</v>
      </c>
      <c r="H1722" s="191" t="n">
        <v>46151</v>
      </c>
      <c r="I1722" s="189" t="s">
        <v>113</v>
      </c>
      <c r="J1722" s="189" t="s">
        <v>108</v>
      </c>
      <c r="K1722" s="189" t="s">
        <v>257</v>
      </c>
      <c r="L1722" s="189" t="s">
        <v>431</v>
      </c>
      <c r="M1722" s="189" t="s">
        <v>406</v>
      </c>
      <c r="N1722" s="189" t="s">
        <v>1229</v>
      </c>
      <c r="O1722" s="189" t="s">
        <v>107</v>
      </c>
      <c r="P1722" s="189" t="s">
        <v>111</v>
      </c>
      <c r="Q1722" s="189" t="s">
        <v>145</v>
      </c>
      <c r="R1722" s="189" t="s">
        <v>22</v>
      </c>
      <c r="S1722" s="189" t="s">
        <v>152</v>
      </c>
      <c r="T1722" s="189" t="s">
        <v>264</v>
      </c>
      <c r="U1722" s="189" t="s">
        <v>2325</v>
      </c>
      <c r="V1722" s="189" t="s">
        <v>167</v>
      </c>
      <c r="W1722" s="189" t="s">
        <v>124</v>
      </c>
      <c r="X1722" s="189" t="s">
        <v>176</v>
      </c>
      <c r="Y1722" s="189" t="s">
        <v>3066</v>
      </c>
      <c r="Z1722" s="0" t="n">
        <v>2</v>
      </c>
      <c r="AA1722" s="189" t="s">
        <v>3205</v>
      </c>
    </row>
    <row r="1723" customFormat="false" ht="15" hidden="false" customHeight="false" outlineLevel="0" collapsed="false">
      <c r="A1723" s="0" t="n">
        <v>370</v>
      </c>
      <c r="B1723" s="191" t="n">
        <v>46158.1400502797</v>
      </c>
      <c r="C1723" s="191" t="n">
        <v>46158.1585687983</v>
      </c>
      <c r="D1723" s="189" t="s">
        <v>2319</v>
      </c>
      <c r="E1723" s="189" t="s">
        <v>2320</v>
      </c>
      <c r="F1723" s="189" t="s">
        <v>2320</v>
      </c>
      <c r="G1723" s="189" t="s">
        <v>2321</v>
      </c>
      <c r="H1723" s="191" t="n">
        <v>46151</v>
      </c>
      <c r="I1723" s="189" t="s">
        <v>113</v>
      </c>
      <c r="J1723" s="189" t="s">
        <v>108</v>
      </c>
      <c r="K1723" s="189" t="s">
        <v>257</v>
      </c>
      <c r="L1723" s="189" t="s">
        <v>431</v>
      </c>
      <c r="M1723" s="189" t="s">
        <v>406</v>
      </c>
      <c r="N1723" s="189" t="s">
        <v>1229</v>
      </c>
      <c r="O1723" s="189" t="s">
        <v>107</v>
      </c>
      <c r="P1723" s="189" t="s">
        <v>111</v>
      </c>
      <c r="Q1723" s="189" t="s">
        <v>145</v>
      </c>
      <c r="R1723" s="189" t="s">
        <v>22</v>
      </c>
      <c r="S1723" s="189" t="s">
        <v>152</v>
      </c>
      <c r="T1723" s="189" t="s">
        <v>264</v>
      </c>
      <c r="U1723" s="189" t="s">
        <v>2325</v>
      </c>
      <c r="V1723" s="189" t="s">
        <v>167</v>
      </c>
      <c r="W1723" s="189" t="s">
        <v>124</v>
      </c>
      <c r="X1723" s="189" t="s">
        <v>176</v>
      </c>
      <c r="Y1723" s="189" t="s">
        <v>3069</v>
      </c>
      <c r="Z1723" s="0" t="n">
        <v>1</v>
      </c>
      <c r="AA1723" s="189" t="s">
        <v>3296</v>
      </c>
    </row>
    <row r="1724" customFormat="false" ht="15" hidden="false" customHeight="false" outlineLevel="0" collapsed="false">
      <c r="A1724" s="0" t="n">
        <v>370</v>
      </c>
      <c r="B1724" s="191" t="n">
        <v>46158.1400502797</v>
      </c>
      <c r="C1724" s="191" t="n">
        <v>46158.1585687983</v>
      </c>
      <c r="D1724" s="189" t="s">
        <v>2319</v>
      </c>
      <c r="E1724" s="189" t="s">
        <v>2320</v>
      </c>
      <c r="F1724" s="189" t="s">
        <v>2320</v>
      </c>
      <c r="G1724" s="189" t="s">
        <v>2321</v>
      </c>
      <c r="H1724" s="191" t="n">
        <v>46151</v>
      </c>
      <c r="I1724" s="189" t="s">
        <v>113</v>
      </c>
      <c r="J1724" s="189" t="s">
        <v>108</v>
      </c>
      <c r="K1724" s="189" t="s">
        <v>257</v>
      </c>
      <c r="L1724" s="189" t="s">
        <v>431</v>
      </c>
      <c r="M1724" s="189" t="s">
        <v>406</v>
      </c>
      <c r="N1724" s="189" t="s">
        <v>1229</v>
      </c>
      <c r="O1724" s="189" t="s">
        <v>107</v>
      </c>
      <c r="P1724" s="189" t="s">
        <v>111</v>
      </c>
      <c r="Q1724" s="189" t="s">
        <v>145</v>
      </c>
      <c r="R1724" s="189" t="s">
        <v>22</v>
      </c>
      <c r="S1724" s="189" t="s">
        <v>152</v>
      </c>
      <c r="T1724" s="189" t="s">
        <v>264</v>
      </c>
      <c r="U1724" s="189" t="s">
        <v>2325</v>
      </c>
      <c r="V1724" s="189" t="s">
        <v>167</v>
      </c>
      <c r="W1724" s="189" t="s">
        <v>124</v>
      </c>
      <c r="X1724" s="189" t="s">
        <v>176</v>
      </c>
      <c r="Y1724" s="189" t="s">
        <v>3069</v>
      </c>
      <c r="Z1724" s="0" t="n">
        <v>2</v>
      </c>
      <c r="AA1724" s="189" t="s">
        <v>3245</v>
      </c>
    </row>
    <row r="1725" customFormat="false" ht="68.65" hidden="false" customHeight="false" outlineLevel="0" collapsed="false">
      <c r="A1725" s="0" t="n">
        <v>371</v>
      </c>
      <c r="B1725" s="191" t="n">
        <v>46108.0776369452</v>
      </c>
      <c r="C1725" s="191" t="n">
        <v>46108.0913406489</v>
      </c>
      <c r="D1725" s="189" t="s">
        <v>2326</v>
      </c>
      <c r="E1725" s="189" t="s">
        <v>2327</v>
      </c>
      <c r="F1725" s="189" t="s">
        <v>2328</v>
      </c>
      <c r="G1725" s="189" t="s">
        <v>2329</v>
      </c>
      <c r="H1725" s="191" t="n">
        <v>46102</v>
      </c>
      <c r="I1725" s="189" t="s">
        <v>113</v>
      </c>
      <c r="J1725" s="189" t="s">
        <v>128</v>
      </c>
      <c r="K1725" s="189" t="s">
        <v>2330</v>
      </c>
      <c r="L1725" s="189" t="s">
        <v>159</v>
      </c>
      <c r="M1725" s="189" t="s">
        <v>1313</v>
      </c>
      <c r="N1725" s="189" t="s">
        <v>1539</v>
      </c>
      <c r="O1725" s="189" t="s">
        <v>172</v>
      </c>
      <c r="P1725" s="189" t="s">
        <v>111</v>
      </c>
      <c r="Q1725" s="189" t="s">
        <v>112</v>
      </c>
      <c r="R1725" s="189" t="s">
        <v>24</v>
      </c>
      <c r="S1725" s="189" t="s">
        <v>152</v>
      </c>
      <c r="T1725" s="189" t="s">
        <v>121</v>
      </c>
      <c r="U1725" s="132" t="s">
        <v>641</v>
      </c>
      <c r="V1725" s="189" t="s">
        <v>123</v>
      </c>
      <c r="W1725" s="189" t="s">
        <v>124</v>
      </c>
      <c r="X1725" s="189" t="s">
        <v>214</v>
      </c>
      <c r="Y1725" s="189" t="s">
        <v>3064</v>
      </c>
      <c r="Z1725" s="0" t="n">
        <v>1</v>
      </c>
      <c r="AA1725" s="189" t="s">
        <v>3081</v>
      </c>
    </row>
    <row r="1726" customFormat="false" ht="68.65" hidden="false" customHeight="false" outlineLevel="0" collapsed="false">
      <c r="A1726" s="0" t="n">
        <v>371</v>
      </c>
      <c r="B1726" s="191" t="n">
        <v>46108.0776369452</v>
      </c>
      <c r="C1726" s="191" t="n">
        <v>46108.0913406489</v>
      </c>
      <c r="D1726" s="189" t="s">
        <v>2326</v>
      </c>
      <c r="E1726" s="189" t="s">
        <v>2327</v>
      </c>
      <c r="F1726" s="189" t="s">
        <v>2328</v>
      </c>
      <c r="G1726" s="189" t="s">
        <v>2329</v>
      </c>
      <c r="H1726" s="191" t="n">
        <v>46102</v>
      </c>
      <c r="I1726" s="189" t="s">
        <v>113</v>
      </c>
      <c r="J1726" s="189" t="s">
        <v>128</v>
      </c>
      <c r="K1726" s="189" t="s">
        <v>2330</v>
      </c>
      <c r="L1726" s="189" t="s">
        <v>159</v>
      </c>
      <c r="M1726" s="189" t="s">
        <v>1313</v>
      </c>
      <c r="N1726" s="189" t="s">
        <v>1539</v>
      </c>
      <c r="O1726" s="189" t="s">
        <v>172</v>
      </c>
      <c r="P1726" s="189" t="s">
        <v>111</v>
      </c>
      <c r="Q1726" s="189" t="s">
        <v>112</v>
      </c>
      <c r="R1726" s="189" t="s">
        <v>24</v>
      </c>
      <c r="S1726" s="189" t="s">
        <v>152</v>
      </c>
      <c r="T1726" s="189" t="s">
        <v>121</v>
      </c>
      <c r="U1726" s="132" t="s">
        <v>641</v>
      </c>
      <c r="V1726" s="189" t="s">
        <v>123</v>
      </c>
      <c r="W1726" s="189" t="s">
        <v>124</v>
      </c>
      <c r="X1726" s="189" t="s">
        <v>214</v>
      </c>
      <c r="Y1726" s="189" t="s">
        <v>3064</v>
      </c>
      <c r="Z1726" s="0" t="n">
        <v>2</v>
      </c>
      <c r="AA1726" s="189" t="s">
        <v>3139</v>
      </c>
    </row>
    <row r="1727" customFormat="false" ht="68.65" hidden="false" customHeight="false" outlineLevel="0" collapsed="false">
      <c r="A1727" s="0" t="n">
        <v>371</v>
      </c>
      <c r="B1727" s="191" t="n">
        <v>46108.0776369452</v>
      </c>
      <c r="C1727" s="191" t="n">
        <v>46108.0913406489</v>
      </c>
      <c r="D1727" s="189" t="s">
        <v>2326</v>
      </c>
      <c r="E1727" s="189" t="s">
        <v>2327</v>
      </c>
      <c r="F1727" s="189" t="s">
        <v>2328</v>
      </c>
      <c r="G1727" s="189" t="s">
        <v>2329</v>
      </c>
      <c r="H1727" s="191" t="n">
        <v>46102</v>
      </c>
      <c r="I1727" s="189" t="s">
        <v>113</v>
      </c>
      <c r="J1727" s="189" t="s">
        <v>128</v>
      </c>
      <c r="K1727" s="189" t="s">
        <v>2330</v>
      </c>
      <c r="L1727" s="189" t="s">
        <v>159</v>
      </c>
      <c r="M1727" s="189" t="s">
        <v>1313</v>
      </c>
      <c r="N1727" s="189" t="s">
        <v>1539</v>
      </c>
      <c r="O1727" s="189" t="s">
        <v>172</v>
      </c>
      <c r="P1727" s="189" t="s">
        <v>111</v>
      </c>
      <c r="Q1727" s="189" t="s">
        <v>112</v>
      </c>
      <c r="R1727" s="189" t="s">
        <v>24</v>
      </c>
      <c r="S1727" s="189" t="s">
        <v>152</v>
      </c>
      <c r="T1727" s="189" t="s">
        <v>121</v>
      </c>
      <c r="U1727" s="132" t="s">
        <v>641</v>
      </c>
      <c r="V1727" s="189" t="s">
        <v>123</v>
      </c>
      <c r="W1727" s="189" t="s">
        <v>124</v>
      </c>
      <c r="X1727" s="189" t="s">
        <v>214</v>
      </c>
      <c r="Y1727" s="189" t="s">
        <v>3066</v>
      </c>
      <c r="Z1727" s="0" t="n">
        <v>1</v>
      </c>
      <c r="AA1727" s="189" t="s">
        <v>3068</v>
      </c>
    </row>
    <row r="1728" customFormat="false" ht="68.65" hidden="false" customHeight="false" outlineLevel="0" collapsed="false">
      <c r="A1728" s="0" t="n">
        <v>371</v>
      </c>
      <c r="B1728" s="191" t="n">
        <v>46108.0776369452</v>
      </c>
      <c r="C1728" s="191" t="n">
        <v>46108.0913406489</v>
      </c>
      <c r="D1728" s="189" t="s">
        <v>2326</v>
      </c>
      <c r="E1728" s="189" t="s">
        <v>2327</v>
      </c>
      <c r="F1728" s="189" t="s">
        <v>2328</v>
      </c>
      <c r="G1728" s="189" t="s">
        <v>2329</v>
      </c>
      <c r="H1728" s="191" t="n">
        <v>46102</v>
      </c>
      <c r="I1728" s="189" t="s">
        <v>113</v>
      </c>
      <c r="J1728" s="189" t="s">
        <v>128</v>
      </c>
      <c r="K1728" s="189" t="s">
        <v>2330</v>
      </c>
      <c r="L1728" s="189" t="s">
        <v>159</v>
      </c>
      <c r="M1728" s="189" t="s">
        <v>1313</v>
      </c>
      <c r="N1728" s="189" t="s">
        <v>1539</v>
      </c>
      <c r="O1728" s="189" t="s">
        <v>172</v>
      </c>
      <c r="P1728" s="189" t="s">
        <v>111</v>
      </c>
      <c r="Q1728" s="189" t="s">
        <v>112</v>
      </c>
      <c r="R1728" s="189" t="s">
        <v>24</v>
      </c>
      <c r="S1728" s="189" t="s">
        <v>152</v>
      </c>
      <c r="T1728" s="189" t="s">
        <v>121</v>
      </c>
      <c r="U1728" s="132" t="s">
        <v>641</v>
      </c>
      <c r="V1728" s="189" t="s">
        <v>123</v>
      </c>
      <c r="W1728" s="189" t="s">
        <v>124</v>
      </c>
      <c r="X1728" s="189" t="s">
        <v>214</v>
      </c>
      <c r="Y1728" s="189" t="s">
        <v>3069</v>
      </c>
      <c r="Z1728" s="0" t="n">
        <v>1</v>
      </c>
      <c r="AA1728" s="189" t="s">
        <v>3108</v>
      </c>
    </row>
    <row r="1729" customFormat="false" ht="68.65" hidden="false" customHeight="false" outlineLevel="0" collapsed="false">
      <c r="A1729" s="0" t="n">
        <v>371</v>
      </c>
      <c r="B1729" s="191" t="n">
        <v>46108.0776369452</v>
      </c>
      <c r="C1729" s="191" t="n">
        <v>46108.0913406489</v>
      </c>
      <c r="D1729" s="189" t="s">
        <v>2326</v>
      </c>
      <c r="E1729" s="189" t="s">
        <v>2327</v>
      </c>
      <c r="F1729" s="189" t="s">
        <v>2328</v>
      </c>
      <c r="G1729" s="189" t="s">
        <v>2329</v>
      </c>
      <c r="H1729" s="191" t="n">
        <v>46102</v>
      </c>
      <c r="I1729" s="189" t="s">
        <v>113</v>
      </c>
      <c r="J1729" s="189" t="s">
        <v>128</v>
      </c>
      <c r="K1729" s="189" t="s">
        <v>2330</v>
      </c>
      <c r="L1729" s="189" t="s">
        <v>159</v>
      </c>
      <c r="M1729" s="189" t="s">
        <v>1313</v>
      </c>
      <c r="N1729" s="189" t="s">
        <v>1539</v>
      </c>
      <c r="O1729" s="189" t="s">
        <v>172</v>
      </c>
      <c r="P1729" s="189" t="s">
        <v>111</v>
      </c>
      <c r="Q1729" s="189" t="s">
        <v>112</v>
      </c>
      <c r="R1729" s="189" t="s">
        <v>24</v>
      </c>
      <c r="S1729" s="189" t="s">
        <v>152</v>
      </c>
      <c r="T1729" s="189" t="s">
        <v>121</v>
      </c>
      <c r="U1729" s="132" t="s">
        <v>641</v>
      </c>
      <c r="V1729" s="189" t="s">
        <v>123</v>
      </c>
      <c r="W1729" s="189" t="s">
        <v>124</v>
      </c>
      <c r="X1729" s="189" t="s">
        <v>214</v>
      </c>
      <c r="Y1729" s="189" t="s">
        <v>3069</v>
      </c>
      <c r="Z1729" s="0" t="n">
        <v>2</v>
      </c>
      <c r="AA1729" s="189" t="s">
        <v>3140</v>
      </c>
    </row>
    <row r="1730" customFormat="false" ht="15" hidden="false" customHeight="false" outlineLevel="0" collapsed="false">
      <c r="A1730" s="0" t="n">
        <v>372</v>
      </c>
      <c r="B1730" s="191" t="n">
        <v>46152.866453165</v>
      </c>
      <c r="C1730" s="191" t="n">
        <v>46152.8821707576</v>
      </c>
      <c r="D1730" s="189" t="s">
        <v>2333</v>
      </c>
      <c r="E1730" s="189" t="s">
        <v>2334</v>
      </c>
      <c r="F1730" s="189" t="s">
        <v>2334</v>
      </c>
      <c r="G1730" s="189" t="s">
        <v>2335</v>
      </c>
      <c r="H1730" s="191" t="n">
        <v>46146</v>
      </c>
      <c r="I1730" s="189" t="s">
        <v>113</v>
      </c>
      <c r="J1730" s="189" t="s">
        <v>128</v>
      </c>
      <c r="K1730" s="189" t="s">
        <v>364</v>
      </c>
      <c r="L1730" s="189" t="s">
        <v>268</v>
      </c>
      <c r="M1730" s="189" t="s">
        <v>279</v>
      </c>
      <c r="N1730" s="189" t="s">
        <v>523</v>
      </c>
      <c r="O1730" s="189" t="s">
        <v>750</v>
      </c>
      <c r="P1730" s="189" t="s">
        <v>111</v>
      </c>
      <c r="Q1730" s="189" t="s">
        <v>145</v>
      </c>
      <c r="R1730" s="189" t="s">
        <v>22</v>
      </c>
      <c r="S1730" s="189" t="s">
        <v>152</v>
      </c>
      <c r="T1730" s="189" t="s">
        <v>121</v>
      </c>
      <c r="U1730" s="189" t="s">
        <v>1245</v>
      </c>
      <c r="V1730" s="189" t="s">
        <v>123</v>
      </c>
      <c r="W1730" s="189" t="s">
        <v>124</v>
      </c>
      <c r="X1730" s="189" t="s">
        <v>148</v>
      </c>
      <c r="Y1730" s="189" t="s">
        <v>3064</v>
      </c>
      <c r="Z1730" s="0" t="n">
        <v>1</v>
      </c>
      <c r="AA1730" s="189" t="s">
        <v>3186</v>
      </c>
    </row>
    <row r="1731" customFormat="false" ht="15" hidden="false" customHeight="false" outlineLevel="0" collapsed="false">
      <c r="A1731" s="0" t="n">
        <v>372</v>
      </c>
      <c r="B1731" s="191" t="n">
        <v>46152.866453165</v>
      </c>
      <c r="C1731" s="191" t="n">
        <v>46152.8821707576</v>
      </c>
      <c r="D1731" s="189" t="s">
        <v>2333</v>
      </c>
      <c r="E1731" s="189" t="s">
        <v>2334</v>
      </c>
      <c r="F1731" s="189" t="s">
        <v>2334</v>
      </c>
      <c r="G1731" s="189" t="s">
        <v>2335</v>
      </c>
      <c r="H1731" s="191" t="n">
        <v>46146</v>
      </c>
      <c r="I1731" s="189" t="s">
        <v>113</v>
      </c>
      <c r="J1731" s="189" t="s">
        <v>128</v>
      </c>
      <c r="K1731" s="189" t="s">
        <v>364</v>
      </c>
      <c r="L1731" s="189" t="s">
        <v>268</v>
      </c>
      <c r="M1731" s="189" t="s">
        <v>279</v>
      </c>
      <c r="N1731" s="189" t="s">
        <v>523</v>
      </c>
      <c r="O1731" s="189" t="s">
        <v>750</v>
      </c>
      <c r="P1731" s="189" t="s">
        <v>111</v>
      </c>
      <c r="Q1731" s="189" t="s">
        <v>145</v>
      </c>
      <c r="R1731" s="189" t="s">
        <v>22</v>
      </c>
      <c r="S1731" s="189" t="s">
        <v>152</v>
      </c>
      <c r="T1731" s="189" t="s">
        <v>121</v>
      </c>
      <c r="U1731" s="189" t="s">
        <v>1245</v>
      </c>
      <c r="V1731" s="189" t="s">
        <v>123</v>
      </c>
      <c r="W1731" s="189" t="s">
        <v>124</v>
      </c>
      <c r="X1731" s="189" t="s">
        <v>148</v>
      </c>
      <c r="Y1731" s="189" t="s">
        <v>3066</v>
      </c>
      <c r="Z1731" s="0" t="n">
        <v>1</v>
      </c>
      <c r="AA1731" s="189" t="s">
        <v>3077</v>
      </c>
    </row>
    <row r="1732" customFormat="false" ht="15" hidden="false" customHeight="false" outlineLevel="0" collapsed="false">
      <c r="A1732" s="0" t="n">
        <v>372</v>
      </c>
      <c r="B1732" s="191" t="n">
        <v>46152.866453165</v>
      </c>
      <c r="C1732" s="191" t="n">
        <v>46152.8821707576</v>
      </c>
      <c r="D1732" s="189" t="s">
        <v>2333</v>
      </c>
      <c r="E1732" s="189" t="s">
        <v>2334</v>
      </c>
      <c r="F1732" s="189" t="s">
        <v>2334</v>
      </c>
      <c r="G1732" s="189" t="s">
        <v>2335</v>
      </c>
      <c r="H1732" s="191" t="n">
        <v>46146</v>
      </c>
      <c r="I1732" s="189" t="s">
        <v>113</v>
      </c>
      <c r="J1732" s="189" t="s">
        <v>128</v>
      </c>
      <c r="K1732" s="189" t="s">
        <v>364</v>
      </c>
      <c r="L1732" s="189" t="s">
        <v>268</v>
      </c>
      <c r="M1732" s="189" t="s">
        <v>279</v>
      </c>
      <c r="N1732" s="189" t="s">
        <v>523</v>
      </c>
      <c r="O1732" s="189" t="s">
        <v>750</v>
      </c>
      <c r="P1732" s="189" t="s">
        <v>111</v>
      </c>
      <c r="Q1732" s="189" t="s">
        <v>145</v>
      </c>
      <c r="R1732" s="189" t="s">
        <v>22</v>
      </c>
      <c r="S1732" s="189" t="s">
        <v>152</v>
      </c>
      <c r="T1732" s="189" t="s">
        <v>121</v>
      </c>
      <c r="U1732" s="189" t="s">
        <v>1245</v>
      </c>
      <c r="V1732" s="189" t="s">
        <v>123</v>
      </c>
      <c r="W1732" s="189" t="s">
        <v>124</v>
      </c>
      <c r="X1732" s="189" t="s">
        <v>148</v>
      </c>
      <c r="Y1732" s="189" t="s">
        <v>3069</v>
      </c>
      <c r="Z1732" s="0" t="n">
        <v>1</v>
      </c>
      <c r="AA1732" s="189" t="s">
        <v>3282</v>
      </c>
    </row>
    <row r="1733" customFormat="false" ht="15" hidden="false" customHeight="false" outlineLevel="0" collapsed="false">
      <c r="A1733" s="0" t="n">
        <v>373</v>
      </c>
      <c r="B1733" s="191" t="n">
        <v>46110.0812558483</v>
      </c>
      <c r="C1733" s="191" t="n">
        <v>46110.0872049223</v>
      </c>
      <c r="D1733" s="189" t="s">
        <v>2338</v>
      </c>
      <c r="E1733" s="189" t="s">
        <v>2339</v>
      </c>
      <c r="F1733" s="189" t="s">
        <v>2339</v>
      </c>
      <c r="G1733" s="189" t="s">
        <v>2340</v>
      </c>
      <c r="H1733" s="191" t="n">
        <v>46097</v>
      </c>
      <c r="I1733" s="189" t="s">
        <v>113</v>
      </c>
      <c r="J1733" s="189" t="s">
        <v>108</v>
      </c>
      <c r="K1733" s="189" t="s">
        <v>245</v>
      </c>
      <c r="L1733" s="189" t="s">
        <v>346</v>
      </c>
      <c r="M1733" s="189" t="s">
        <v>185</v>
      </c>
      <c r="N1733" s="189" t="s">
        <v>234</v>
      </c>
      <c r="O1733" s="189" t="s">
        <v>244</v>
      </c>
      <c r="P1733" s="189" t="s">
        <v>111</v>
      </c>
      <c r="Q1733" s="189" t="s">
        <v>112</v>
      </c>
      <c r="R1733" s="189" t="s">
        <v>21</v>
      </c>
      <c r="S1733" s="189" t="s">
        <v>227</v>
      </c>
      <c r="T1733" s="189" t="s">
        <v>352</v>
      </c>
      <c r="U1733" s="189" t="s">
        <v>562</v>
      </c>
      <c r="V1733" s="189" t="s">
        <v>123</v>
      </c>
      <c r="W1733" s="189" t="s">
        <v>124</v>
      </c>
      <c r="X1733" s="189" t="s">
        <v>348</v>
      </c>
      <c r="Y1733" s="189" t="s">
        <v>3064</v>
      </c>
      <c r="Z1733" s="0" t="n">
        <v>1</v>
      </c>
      <c r="AA1733" s="189" t="s">
        <v>3146</v>
      </c>
    </row>
    <row r="1734" customFormat="false" ht="15" hidden="false" customHeight="false" outlineLevel="0" collapsed="false">
      <c r="A1734" s="0" t="n">
        <v>373</v>
      </c>
      <c r="B1734" s="191" t="n">
        <v>46110.0812558483</v>
      </c>
      <c r="C1734" s="191" t="n">
        <v>46110.0872049223</v>
      </c>
      <c r="D1734" s="189" t="s">
        <v>2338</v>
      </c>
      <c r="E1734" s="189" t="s">
        <v>2339</v>
      </c>
      <c r="F1734" s="189" t="s">
        <v>2339</v>
      </c>
      <c r="G1734" s="189" t="s">
        <v>2340</v>
      </c>
      <c r="H1734" s="191" t="n">
        <v>46097</v>
      </c>
      <c r="I1734" s="189" t="s">
        <v>113</v>
      </c>
      <c r="J1734" s="189" t="s">
        <v>108</v>
      </c>
      <c r="K1734" s="189" t="s">
        <v>245</v>
      </c>
      <c r="L1734" s="189" t="s">
        <v>346</v>
      </c>
      <c r="M1734" s="189" t="s">
        <v>185</v>
      </c>
      <c r="N1734" s="189" t="s">
        <v>234</v>
      </c>
      <c r="O1734" s="189" t="s">
        <v>244</v>
      </c>
      <c r="P1734" s="189" t="s">
        <v>111</v>
      </c>
      <c r="Q1734" s="189" t="s">
        <v>112</v>
      </c>
      <c r="R1734" s="189" t="s">
        <v>21</v>
      </c>
      <c r="S1734" s="189" t="s">
        <v>227</v>
      </c>
      <c r="T1734" s="189" t="s">
        <v>352</v>
      </c>
      <c r="U1734" s="189" t="s">
        <v>562</v>
      </c>
      <c r="V1734" s="189" t="s">
        <v>123</v>
      </c>
      <c r="W1734" s="189" t="s">
        <v>124</v>
      </c>
      <c r="X1734" s="189" t="s">
        <v>348</v>
      </c>
      <c r="Y1734" s="189" t="s">
        <v>3064</v>
      </c>
      <c r="Z1734" s="0" t="n">
        <v>2</v>
      </c>
      <c r="AA1734" s="189" t="s">
        <v>3277</v>
      </c>
    </row>
    <row r="1735" customFormat="false" ht="15" hidden="false" customHeight="false" outlineLevel="0" collapsed="false">
      <c r="A1735" s="0" t="n">
        <v>373</v>
      </c>
      <c r="B1735" s="191" t="n">
        <v>46110.0812558483</v>
      </c>
      <c r="C1735" s="191" t="n">
        <v>46110.0872049223</v>
      </c>
      <c r="D1735" s="189" t="s">
        <v>2338</v>
      </c>
      <c r="E1735" s="189" t="s">
        <v>2339</v>
      </c>
      <c r="F1735" s="189" t="s">
        <v>2339</v>
      </c>
      <c r="G1735" s="189" t="s">
        <v>2340</v>
      </c>
      <c r="H1735" s="191" t="n">
        <v>46097</v>
      </c>
      <c r="I1735" s="189" t="s">
        <v>113</v>
      </c>
      <c r="J1735" s="189" t="s">
        <v>108</v>
      </c>
      <c r="K1735" s="189" t="s">
        <v>245</v>
      </c>
      <c r="L1735" s="189" t="s">
        <v>346</v>
      </c>
      <c r="M1735" s="189" t="s">
        <v>185</v>
      </c>
      <c r="N1735" s="189" t="s">
        <v>234</v>
      </c>
      <c r="O1735" s="189" t="s">
        <v>244</v>
      </c>
      <c r="P1735" s="189" t="s">
        <v>111</v>
      </c>
      <c r="Q1735" s="189" t="s">
        <v>112</v>
      </c>
      <c r="R1735" s="189" t="s">
        <v>21</v>
      </c>
      <c r="S1735" s="189" t="s">
        <v>227</v>
      </c>
      <c r="T1735" s="189" t="s">
        <v>352</v>
      </c>
      <c r="U1735" s="189" t="s">
        <v>562</v>
      </c>
      <c r="V1735" s="189" t="s">
        <v>123</v>
      </c>
      <c r="W1735" s="189" t="s">
        <v>124</v>
      </c>
      <c r="X1735" s="189" t="s">
        <v>348</v>
      </c>
      <c r="Y1735" s="189" t="s">
        <v>3066</v>
      </c>
      <c r="Z1735" s="0" t="n">
        <v>1</v>
      </c>
      <c r="AA1735" s="189" t="s">
        <v>3147</v>
      </c>
    </row>
    <row r="1736" customFormat="false" ht="15" hidden="false" customHeight="false" outlineLevel="0" collapsed="false">
      <c r="A1736" s="0" t="n">
        <v>373</v>
      </c>
      <c r="B1736" s="191" t="n">
        <v>46110.0812558483</v>
      </c>
      <c r="C1736" s="191" t="n">
        <v>46110.0872049223</v>
      </c>
      <c r="D1736" s="189" t="s">
        <v>2338</v>
      </c>
      <c r="E1736" s="189" t="s">
        <v>2339</v>
      </c>
      <c r="F1736" s="189" t="s">
        <v>2339</v>
      </c>
      <c r="G1736" s="189" t="s">
        <v>2340</v>
      </c>
      <c r="H1736" s="191" t="n">
        <v>46097</v>
      </c>
      <c r="I1736" s="189" t="s">
        <v>113</v>
      </c>
      <c r="J1736" s="189" t="s">
        <v>108</v>
      </c>
      <c r="K1736" s="189" t="s">
        <v>245</v>
      </c>
      <c r="L1736" s="189" t="s">
        <v>346</v>
      </c>
      <c r="M1736" s="189" t="s">
        <v>185</v>
      </c>
      <c r="N1736" s="189" t="s">
        <v>234</v>
      </c>
      <c r="O1736" s="189" t="s">
        <v>244</v>
      </c>
      <c r="P1736" s="189" t="s">
        <v>111</v>
      </c>
      <c r="Q1736" s="189" t="s">
        <v>112</v>
      </c>
      <c r="R1736" s="189" t="s">
        <v>21</v>
      </c>
      <c r="S1736" s="189" t="s">
        <v>227</v>
      </c>
      <c r="T1736" s="189" t="s">
        <v>352</v>
      </c>
      <c r="U1736" s="189" t="s">
        <v>562</v>
      </c>
      <c r="V1736" s="189" t="s">
        <v>123</v>
      </c>
      <c r="W1736" s="189" t="s">
        <v>124</v>
      </c>
      <c r="X1736" s="189" t="s">
        <v>348</v>
      </c>
      <c r="Y1736" s="189" t="s">
        <v>3069</v>
      </c>
      <c r="Z1736" s="0" t="n">
        <v>1</v>
      </c>
      <c r="AA1736" s="189" t="s">
        <v>3166</v>
      </c>
    </row>
    <row r="1737" customFormat="false" ht="15" hidden="false" customHeight="false" outlineLevel="0" collapsed="false">
      <c r="A1737" s="0" t="n">
        <v>373</v>
      </c>
      <c r="B1737" s="191" t="n">
        <v>46110.0812558483</v>
      </c>
      <c r="C1737" s="191" t="n">
        <v>46110.0872049223</v>
      </c>
      <c r="D1737" s="189" t="s">
        <v>2338</v>
      </c>
      <c r="E1737" s="189" t="s">
        <v>2339</v>
      </c>
      <c r="F1737" s="189" t="s">
        <v>2339</v>
      </c>
      <c r="G1737" s="189" t="s">
        <v>2340</v>
      </c>
      <c r="H1737" s="191" t="n">
        <v>46097</v>
      </c>
      <c r="I1737" s="189" t="s">
        <v>113</v>
      </c>
      <c r="J1737" s="189" t="s">
        <v>108</v>
      </c>
      <c r="K1737" s="189" t="s">
        <v>245</v>
      </c>
      <c r="L1737" s="189" t="s">
        <v>346</v>
      </c>
      <c r="M1737" s="189" t="s">
        <v>185</v>
      </c>
      <c r="N1737" s="189" t="s">
        <v>234</v>
      </c>
      <c r="O1737" s="189" t="s">
        <v>244</v>
      </c>
      <c r="P1737" s="189" t="s">
        <v>111</v>
      </c>
      <c r="Q1737" s="189" t="s">
        <v>112</v>
      </c>
      <c r="R1737" s="189" t="s">
        <v>21</v>
      </c>
      <c r="S1737" s="189" t="s">
        <v>227</v>
      </c>
      <c r="T1737" s="189" t="s">
        <v>352</v>
      </c>
      <c r="U1737" s="189" t="s">
        <v>562</v>
      </c>
      <c r="V1737" s="189" t="s">
        <v>123</v>
      </c>
      <c r="W1737" s="189" t="s">
        <v>124</v>
      </c>
      <c r="X1737" s="189" t="s">
        <v>348</v>
      </c>
      <c r="Y1737" s="189" t="s">
        <v>3069</v>
      </c>
      <c r="Z1737" s="0" t="n">
        <v>2</v>
      </c>
      <c r="AA1737" s="189" t="s">
        <v>3148</v>
      </c>
    </row>
    <row r="1738" customFormat="false" ht="15" hidden="false" customHeight="false" outlineLevel="0" collapsed="false">
      <c r="A1738" s="0" t="n">
        <v>374</v>
      </c>
      <c r="B1738" s="191" t="n">
        <v>46177.6274630538</v>
      </c>
      <c r="C1738" s="191" t="n">
        <v>46177.643423702</v>
      </c>
      <c r="D1738" s="189" t="s">
        <v>2343</v>
      </c>
      <c r="E1738" s="189" t="s">
        <v>2344</v>
      </c>
      <c r="F1738" s="189" t="s">
        <v>2345</v>
      </c>
      <c r="G1738" s="189" t="s">
        <v>2346</v>
      </c>
      <c r="H1738" s="191" t="n">
        <v>46162</v>
      </c>
      <c r="I1738" s="189" t="s">
        <v>113</v>
      </c>
      <c r="J1738" s="189" t="s">
        <v>108</v>
      </c>
      <c r="K1738" s="189" t="s">
        <v>173</v>
      </c>
      <c r="L1738" s="189" t="s">
        <v>431</v>
      </c>
      <c r="M1738" s="189" t="s">
        <v>391</v>
      </c>
      <c r="N1738" s="189" t="s">
        <v>508</v>
      </c>
      <c r="O1738" s="189" t="s">
        <v>157</v>
      </c>
      <c r="P1738" s="189" t="s">
        <v>111</v>
      </c>
      <c r="Q1738" s="189" t="s">
        <v>112</v>
      </c>
      <c r="R1738" s="189" t="s">
        <v>22</v>
      </c>
      <c r="S1738" s="189" t="s">
        <v>120</v>
      </c>
      <c r="T1738" s="189" t="s">
        <v>121</v>
      </c>
      <c r="U1738" s="189" t="s">
        <v>122</v>
      </c>
      <c r="V1738" s="189" t="s">
        <v>123</v>
      </c>
      <c r="W1738" s="189" t="s">
        <v>124</v>
      </c>
      <c r="X1738" s="189" t="s">
        <v>148</v>
      </c>
      <c r="Y1738" s="189" t="s">
        <v>3064</v>
      </c>
      <c r="Z1738" s="0" t="n">
        <v>1</v>
      </c>
      <c r="AA1738" s="189" t="s">
        <v>3076</v>
      </c>
    </row>
    <row r="1739" customFormat="false" ht="15" hidden="false" customHeight="false" outlineLevel="0" collapsed="false">
      <c r="A1739" s="0" t="n">
        <v>374</v>
      </c>
      <c r="B1739" s="191" t="n">
        <v>46177.6274630538</v>
      </c>
      <c r="C1739" s="191" t="n">
        <v>46177.643423702</v>
      </c>
      <c r="D1739" s="189" t="s">
        <v>2343</v>
      </c>
      <c r="E1739" s="189" t="s">
        <v>2344</v>
      </c>
      <c r="F1739" s="189" t="s">
        <v>2345</v>
      </c>
      <c r="G1739" s="189" t="s">
        <v>2346</v>
      </c>
      <c r="H1739" s="191" t="n">
        <v>46162</v>
      </c>
      <c r="I1739" s="189" t="s">
        <v>113</v>
      </c>
      <c r="J1739" s="189" t="s">
        <v>108</v>
      </c>
      <c r="K1739" s="189" t="s">
        <v>173</v>
      </c>
      <c r="L1739" s="189" t="s">
        <v>431</v>
      </c>
      <c r="M1739" s="189" t="s">
        <v>391</v>
      </c>
      <c r="N1739" s="189" t="s">
        <v>508</v>
      </c>
      <c r="O1739" s="189" t="s">
        <v>157</v>
      </c>
      <c r="P1739" s="189" t="s">
        <v>111</v>
      </c>
      <c r="Q1739" s="189" t="s">
        <v>112</v>
      </c>
      <c r="R1739" s="189" t="s">
        <v>22</v>
      </c>
      <c r="S1739" s="189" t="s">
        <v>120</v>
      </c>
      <c r="T1739" s="189" t="s">
        <v>121</v>
      </c>
      <c r="U1739" s="189" t="s">
        <v>122</v>
      </c>
      <c r="V1739" s="189" t="s">
        <v>123</v>
      </c>
      <c r="W1739" s="189" t="s">
        <v>124</v>
      </c>
      <c r="X1739" s="189" t="s">
        <v>148</v>
      </c>
      <c r="Y1739" s="189" t="s">
        <v>3066</v>
      </c>
      <c r="Z1739" s="0" t="n">
        <v>1</v>
      </c>
      <c r="AA1739" s="189" t="s">
        <v>3078</v>
      </c>
    </row>
    <row r="1740" customFormat="false" ht="15" hidden="false" customHeight="false" outlineLevel="0" collapsed="false">
      <c r="A1740" s="0" t="n">
        <v>374</v>
      </c>
      <c r="B1740" s="191" t="n">
        <v>46177.6274630538</v>
      </c>
      <c r="C1740" s="191" t="n">
        <v>46177.643423702</v>
      </c>
      <c r="D1740" s="189" t="s">
        <v>2343</v>
      </c>
      <c r="E1740" s="189" t="s">
        <v>2344</v>
      </c>
      <c r="F1740" s="189" t="s">
        <v>2345</v>
      </c>
      <c r="G1740" s="189" t="s">
        <v>2346</v>
      </c>
      <c r="H1740" s="191" t="n">
        <v>46162</v>
      </c>
      <c r="I1740" s="189" t="s">
        <v>113</v>
      </c>
      <c r="J1740" s="189" t="s">
        <v>108</v>
      </c>
      <c r="K1740" s="189" t="s">
        <v>173</v>
      </c>
      <c r="L1740" s="189" t="s">
        <v>431</v>
      </c>
      <c r="M1740" s="189" t="s">
        <v>391</v>
      </c>
      <c r="N1740" s="189" t="s">
        <v>508</v>
      </c>
      <c r="O1740" s="189" t="s">
        <v>157</v>
      </c>
      <c r="P1740" s="189" t="s">
        <v>111</v>
      </c>
      <c r="Q1740" s="189" t="s">
        <v>112</v>
      </c>
      <c r="R1740" s="189" t="s">
        <v>22</v>
      </c>
      <c r="S1740" s="189" t="s">
        <v>120</v>
      </c>
      <c r="T1740" s="189" t="s">
        <v>121</v>
      </c>
      <c r="U1740" s="189" t="s">
        <v>122</v>
      </c>
      <c r="V1740" s="189" t="s">
        <v>123</v>
      </c>
      <c r="W1740" s="189" t="s">
        <v>124</v>
      </c>
      <c r="X1740" s="189" t="s">
        <v>148</v>
      </c>
      <c r="Y1740" s="189" t="s">
        <v>3066</v>
      </c>
      <c r="Z1740" s="0" t="n">
        <v>2</v>
      </c>
      <c r="AA1740" s="189" t="s">
        <v>122</v>
      </c>
    </row>
    <row r="1741" customFormat="false" ht="15" hidden="false" customHeight="false" outlineLevel="0" collapsed="false">
      <c r="A1741" s="0" t="n">
        <v>374</v>
      </c>
      <c r="B1741" s="191" t="n">
        <v>46177.6274630538</v>
      </c>
      <c r="C1741" s="191" t="n">
        <v>46177.643423702</v>
      </c>
      <c r="D1741" s="189" t="s">
        <v>2343</v>
      </c>
      <c r="E1741" s="189" t="s">
        <v>2344</v>
      </c>
      <c r="F1741" s="189" t="s">
        <v>2345</v>
      </c>
      <c r="G1741" s="189" t="s">
        <v>2346</v>
      </c>
      <c r="H1741" s="191" t="n">
        <v>46162</v>
      </c>
      <c r="I1741" s="189" t="s">
        <v>113</v>
      </c>
      <c r="J1741" s="189" t="s">
        <v>108</v>
      </c>
      <c r="K1741" s="189" t="s">
        <v>173</v>
      </c>
      <c r="L1741" s="189" t="s">
        <v>431</v>
      </c>
      <c r="M1741" s="189" t="s">
        <v>391</v>
      </c>
      <c r="N1741" s="189" t="s">
        <v>508</v>
      </c>
      <c r="O1741" s="189" t="s">
        <v>157</v>
      </c>
      <c r="P1741" s="189" t="s">
        <v>111</v>
      </c>
      <c r="Q1741" s="189" t="s">
        <v>112</v>
      </c>
      <c r="R1741" s="189" t="s">
        <v>22</v>
      </c>
      <c r="S1741" s="189" t="s">
        <v>120</v>
      </c>
      <c r="T1741" s="189" t="s">
        <v>121</v>
      </c>
      <c r="U1741" s="189" t="s">
        <v>122</v>
      </c>
      <c r="V1741" s="189" t="s">
        <v>123</v>
      </c>
      <c r="W1741" s="189" t="s">
        <v>124</v>
      </c>
      <c r="X1741" s="189" t="s">
        <v>148</v>
      </c>
      <c r="Y1741" s="189" t="s">
        <v>3069</v>
      </c>
      <c r="Z1741" s="0" t="n">
        <v>1</v>
      </c>
      <c r="AA1741" s="189" t="s">
        <v>122</v>
      </c>
    </row>
    <row r="1742" customFormat="false" ht="15" hidden="false" customHeight="false" outlineLevel="0" collapsed="false">
      <c r="A1742" s="0" t="n">
        <v>374</v>
      </c>
      <c r="B1742" s="191" t="n">
        <v>46177.6274630538</v>
      </c>
      <c r="C1742" s="191" t="n">
        <v>46177.643423702</v>
      </c>
      <c r="D1742" s="189" t="s">
        <v>2343</v>
      </c>
      <c r="E1742" s="189" t="s">
        <v>2344</v>
      </c>
      <c r="F1742" s="189" t="s">
        <v>2345</v>
      </c>
      <c r="G1742" s="189" t="s">
        <v>2346</v>
      </c>
      <c r="H1742" s="191" t="n">
        <v>46162</v>
      </c>
      <c r="I1742" s="189" t="s">
        <v>113</v>
      </c>
      <c r="J1742" s="189" t="s">
        <v>108</v>
      </c>
      <c r="K1742" s="189" t="s">
        <v>173</v>
      </c>
      <c r="L1742" s="189" t="s">
        <v>431</v>
      </c>
      <c r="M1742" s="189" t="s">
        <v>391</v>
      </c>
      <c r="N1742" s="189" t="s">
        <v>508</v>
      </c>
      <c r="O1742" s="189" t="s">
        <v>157</v>
      </c>
      <c r="P1742" s="189" t="s">
        <v>111</v>
      </c>
      <c r="Q1742" s="189" t="s">
        <v>112</v>
      </c>
      <c r="R1742" s="189" t="s">
        <v>22</v>
      </c>
      <c r="S1742" s="189" t="s">
        <v>120</v>
      </c>
      <c r="T1742" s="189" t="s">
        <v>121</v>
      </c>
      <c r="U1742" s="189" t="s">
        <v>122</v>
      </c>
      <c r="V1742" s="189" t="s">
        <v>123</v>
      </c>
      <c r="W1742" s="189" t="s">
        <v>124</v>
      </c>
      <c r="X1742" s="189" t="s">
        <v>148</v>
      </c>
      <c r="Y1742" s="189" t="s">
        <v>3069</v>
      </c>
      <c r="Z1742" s="0" t="n">
        <v>2</v>
      </c>
      <c r="AA1742" s="189" t="s">
        <v>3079</v>
      </c>
    </row>
    <row r="1743" customFormat="false" ht="41.75" hidden="false" customHeight="false" outlineLevel="0" collapsed="false">
      <c r="A1743" s="0" t="n">
        <v>375</v>
      </c>
      <c r="B1743" s="191" t="n">
        <v>46203.2704673839</v>
      </c>
      <c r="C1743" s="191" t="n">
        <v>46203.2822150691</v>
      </c>
      <c r="D1743" s="189" t="s">
        <v>2348</v>
      </c>
      <c r="E1743" s="189" t="s">
        <v>2349</v>
      </c>
      <c r="F1743" s="189" t="s">
        <v>2349</v>
      </c>
      <c r="G1743" s="189" t="s">
        <v>2350</v>
      </c>
      <c r="H1743" s="191" t="n">
        <v>46195</v>
      </c>
      <c r="I1743" s="189" t="s">
        <v>113</v>
      </c>
      <c r="J1743" s="189" t="s">
        <v>108</v>
      </c>
      <c r="K1743" s="189" t="s">
        <v>257</v>
      </c>
      <c r="L1743" s="189" t="s">
        <v>268</v>
      </c>
      <c r="M1743" s="189" t="s">
        <v>234</v>
      </c>
      <c r="N1743" s="189" t="s">
        <v>111</v>
      </c>
      <c r="O1743" s="189" t="s">
        <v>244</v>
      </c>
      <c r="P1743" s="189" t="s">
        <v>111</v>
      </c>
      <c r="Q1743" s="189" t="s">
        <v>112</v>
      </c>
      <c r="R1743" s="189" t="s">
        <v>23</v>
      </c>
      <c r="S1743" s="189" t="s">
        <v>152</v>
      </c>
      <c r="T1743" s="189" t="s">
        <v>121</v>
      </c>
      <c r="U1743" s="132" t="s">
        <v>2351</v>
      </c>
      <c r="V1743" s="189" t="s">
        <v>123</v>
      </c>
      <c r="W1743" s="189" t="s">
        <v>124</v>
      </c>
      <c r="X1743" s="189" t="s">
        <v>442</v>
      </c>
      <c r="Y1743" s="189" t="s">
        <v>3172</v>
      </c>
      <c r="Z1743" s="0" t="n">
        <v>1</v>
      </c>
      <c r="AA1743" s="189" t="s">
        <v>441</v>
      </c>
    </row>
    <row r="1744" customFormat="false" ht="15" hidden="false" customHeight="false" outlineLevel="0" collapsed="false">
      <c r="A1744" s="0" t="n">
        <v>376</v>
      </c>
      <c r="B1744" s="191" t="n">
        <v>46214.3393241695</v>
      </c>
      <c r="C1744" s="191" t="n">
        <v>46214.3494514843</v>
      </c>
      <c r="D1744" s="189" t="s">
        <v>2352</v>
      </c>
      <c r="E1744" s="189" t="s">
        <v>2353</v>
      </c>
      <c r="F1744" s="189" t="s">
        <v>2353</v>
      </c>
      <c r="G1744" s="189" t="s">
        <v>2354</v>
      </c>
      <c r="H1744" s="191" t="n">
        <v>46214</v>
      </c>
      <c r="I1744" s="189" t="s">
        <v>325</v>
      </c>
      <c r="J1744" s="189" t="s">
        <v>108</v>
      </c>
      <c r="K1744" s="189" t="s">
        <v>2355</v>
      </c>
      <c r="L1744" s="189" t="s">
        <v>389</v>
      </c>
      <c r="M1744" s="189" t="s">
        <v>258</v>
      </c>
      <c r="N1744" s="189" t="s">
        <v>1622</v>
      </c>
      <c r="O1744" s="189" t="s">
        <v>244</v>
      </c>
      <c r="P1744" s="189" t="s">
        <v>111</v>
      </c>
      <c r="Q1744" s="189" t="s">
        <v>198</v>
      </c>
      <c r="R1744" s="189" t="s">
        <v>21</v>
      </c>
      <c r="S1744" s="189" t="s">
        <v>152</v>
      </c>
      <c r="T1744" s="189" t="s">
        <v>121</v>
      </c>
      <c r="U1744" s="189" t="s">
        <v>948</v>
      </c>
      <c r="V1744" s="189" t="s">
        <v>192</v>
      </c>
      <c r="W1744" s="189" t="s">
        <v>124</v>
      </c>
      <c r="X1744" s="189" t="s">
        <v>457</v>
      </c>
      <c r="Y1744" s="189" t="s">
        <v>3064</v>
      </c>
      <c r="Z1744" s="0" t="n">
        <v>1</v>
      </c>
      <c r="AA1744" s="189" t="s">
        <v>3095</v>
      </c>
    </row>
    <row r="1745" customFormat="false" ht="15" hidden="false" customHeight="false" outlineLevel="0" collapsed="false">
      <c r="A1745" s="0" t="n">
        <v>376</v>
      </c>
      <c r="B1745" s="191" t="n">
        <v>46214.3393241695</v>
      </c>
      <c r="C1745" s="191" t="n">
        <v>46214.3494514843</v>
      </c>
      <c r="D1745" s="189" t="s">
        <v>2352</v>
      </c>
      <c r="E1745" s="189" t="s">
        <v>2353</v>
      </c>
      <c r="F1745" s="189" t="s">
        <v>2353</v>
      </c>
      <c r="G1745" s="189" t="s">
        <v>2354</v>
      </c>
      <c r="H1745" s="191" t="n">
        <v>46214</v>
      </c>
      <c r="I1745" s="189" t="s">
        <v>325</v>
      </c>
      <c r="J1745" s="189" t="s">
        <v>108</v>
      </c>
      <c r="K1745" s="189" t="s">
        <v>2355</v>
      </c>
      <c r="L1745" s="189" t="s">
        <v>389</v>
      </c>
      <c r="M1745" s="189" t="s">
        <v>258</v>
      </c>
      <c r="N1745" s="189" t="s">
        <v>1622</v>
      </c>
      <c r="O1745" s="189" t="s">
        <v>244</v>
      </c>
      <c r="P1745" s="189" t="s">
        <v>111</v>
      </c>
      <c r="Q1745" s="189" t="s">
        <v>198</v>
      </c>
      <c r="R1745" s="189" t="s">
        <v>21</v>
      </c>
      <c r="S1745" s="189" t="s">
        <v>152</v>
      </c>
      <c r="T1745" s="189" t="s">
        <v>121</v>
      </c>
      <c r="U1745" s="189" t="s">
        <v>948</v>
      </c>
      <c r="V1745" s="189" t="s">
        <v>192</v>
      </c>
      <c r="W1745" s="189" t="s">
        <v>124</v>
      </c>
      <c r="X1745" s="189" t="s">
        <v>457</v>
      </c>
      <c r="Y1745" s="189" t="s">
        <v>3066</v>
      </c>
      <c r="Z1745" s="0" t="n">
        <v>1</v>
      </c>
      <c r="AA1745" s="189" t="s">
        <v>3068</v>
      </c>
    </row>
    <row r="1746" customFormat="false" ht="15" hidden="false" customHeight="false" outlineLevel="0" collapsed="false">
      <c r="A1746" s="0" t="n">
        <v>376</v>
      </c>
      <c r="B1746" s="191" t="n">
        <v>46214.3393241695</v>
      </c>
      <c r="C1746" s="191" t="n">
        <v>46214.3494514843</v>
      </c>
      <c r="D1746" s="189" t="s">
        <v>2352</v>
      </c>
      <c r="E1746" s="189" t="s">
        <v>2353</v>
      </c>
      <c r="F1746" s="189" t="s">
        <v>2353</v>
      </c>
      <c r="G1746" s="189" t="s">
        <v>2354</v>
      </c>
      <c r="H1746" s="191" t="n">
        <v>46214</v>
      </c>
      <c r="I1746" s="189" t="s">
        <v>325</v>
      </c>
      <c r="J1746" s="189" t="s">
        <v>108</v>
      </c>
      <c r="K1746" s="189" t="s">
        <v>2355</v>
      </c>
      <c r="L1746" s="189" t="s">
        <v>389</v>
      </c>
      <c r="M1746" s="189" t="s">
        <v>258</v>
      </c>
      <c r="N1746" s="189" t="s">
        <v>1622</v>
      </c>
      <c r="O1746" s="189" t="s">
        <v>244</v>
      </c>
      <c r="P1746" s="189" t="s">
        <v>111</v>
      </c>
      <c r="Q1746" s="189" t="s">
        <v>198</v>
      </c>
      <c r="R1746" s="189" t="s">
        <v>21</v>
      </c>
      <c r="S1746" s="189" t="s">
        <v>152</v>
      </c>
      <c r="T1746" s="189" t="s">
        <v>121</v>
      </c>
      <c r="U1746" s="189" t="s">
        <v>948</v>
      </c>
      <c r="V1746" s="189" t="s">
        <v>192</v>
      </c>
      <c r="W1746" s="189" t="s">
        <v>124</v>
      </c>
      <c r="X1746" s="189" t="s">
        <v>457</v>
      </c>
      <c r="Y1746" s="189" t="s">
        <v>3066</v>
      </c>
      <c r="Z1746" s="0" t="n">
        <v>2</v>
      </c>
      <c r="AA1746" s="189" t="s">
        <v>3067</v>
      </c>
    </row>
    <row r="1747" customFormat="false" ht="15" hidden="false" customHeight="false" outlineLevel="0" collapsed="false">
      <c r="A1747" s="0" t="n">
        <v>376</v>
      </c>
      <c r="B1747" s="191" t="n">
        <v>46214.3393241695</v>
      </c>
      <c r="C1747" s="191" t="n">
        <v>46214.3494514843</v>
      </c>
      <c r="D1747" s="189" t="s">
        <v>2352</v>
      </c>
      <c r="E1747" s="189" t="s">
        <v>2353</v>
      </c>
      <c r="F1747" s="189" t="s">
        <v>2353</v>
      </c>
      <c r="G1747" s="189" t="s">
        <v>2354</v>
      </c>
      <c r="H1747" s="191" t="n">
        <v>46214</v>
      </c>
      <c r="I1747" s="189" t="s">
        <v>325</v>
      </c>
      <c r="J1747" s="189" t="s">
        <v>108</v>
      </c>
      <c r="K1747" s="189" t="s">
        <v>2355</v>
      </c>
      <c r="L1747" s="189" t="s">
        <v>389</v>
      </c>
      <c r="M1747" s="189" t="s">
        <v>258</v>
      </c>
      <c r="N1747" s="189" t="s">
        <v>1622</v>
      </c>
      <c r="O1747" s="189" t="s">
        <v>244</v>
      </c>
      <c r="P1747" s="189" t="s">
        <v>111</v>
      </c>
      <c r="Q1747" s="189" t="s">
        <v>198</v>
      </c>
      <c r="R1747" s="189" t="s">
        <v>21</v>
      </c>
      <c r="S1747" s="189" t="s">
        <v>152</v>
      </c>
      <c r="T1747" s="189" t="s">
        <v>121</v>
      </c>
      <c r="U1747" s="189" t="s">
        <v>948</v>
      </c>
      <c r="V1747" s="189" t="s">
        <v>192</v>
      </c>
      <c r="W1747" s="189" t="s">
        <v>124</v>
      </c>
      <c r="X1747" s="189" t="s">
        <v>457</v>
      </c>
      <c r="Y1747" s="189" t="s">
        <v>3069</v>
      </c>
      <c r="Z1747" s="0" t="n">
        <v>1</v>
      </c>
      <c r="AA1747" s="189" t="s">
        <v>3140</v>
      </c>
    </row>
    <row r="1748" customFormat="false" ht="15" hidden="false" customHeight="false" outlineLevel="0" collapsed="false">
      <c r="A1748" s="0" t="n">
        <v>376</v>
      </c>
      <c r="B1748" s="191" t="n">
        <v>46214.3393241695</v>
      </c>
      <c r="C1748" s="191" t="n">
        <v>46214.3494514843</v>
      </c>
      <c r="D1748" s="189" t="s">
        <v>2352</v>
      </c>
      <c r="E1748" s="189" t="s">
        <v>2353</v>
      </c>
      <c r="F1748" s="189" t="s">
        <v>2353</v>
      </c>
      <c r="G1748" s="189" t="s">
        <v>2354</v>
      </c>
      <c r="H1748" s="191" t="n">
        <v>46214</v>
      </c>
      <c r="I1748" s="189" t="s">
        <v>325</v>
      </c>
      <c r="J1748" s="189" t="s">
        <v>108</v>
      </c>
      <c r="K1748" s="189" t="s">
        <v>2355</v>
      </c>
      <c r="L1748" s="189" t="s">
        <v>389</v>
      </c>
      <c r="M1748" s="189" t="s">
        <v>258</v>
      </c>
      <c r="N1748" s="189" t="s">
        <v>1622</v>
      </c>
      <c r="O1748" s="189" t="s">
        <v>244</v>
      </c>
      <c r="P1748" s="189" t="s">
        <v>111</v>
      </c>
      <c r="Q1748" s="189" t="s">
        <v>198</v>
      </c>
      <c r="R1748" s="189" t="s">
        <v>21</v>
      </c>
      <c r="S1748" s="189" t="s">
        <v>152</v>
      </c>
      <c r="T1748" s="189" t="s">
        <v>121</v>
      </c>
      <c r="U1748" s="189" t="s">
        <v>948</v>
      </c>
      <c r="V1748" s="189" t="s">
        <v>192</v>
      </c>
      <c r="W1748" s="189" t="s">
        <v>124</v>
      </c>
      <c r="X1748" s="189" t="s">
        <v>457</v>
      </c>
      <c r="Y1748" s="189" t="s">
        <v>3069</v>
      </c>
      <c r="Z1748" s="0" t="n">
        <v>2</v>
      </c>
      <c r="AA1748" s="189" t="s">
        <v>122</v>
      </c>
    </row>
    <row r="1749" customFormat="false" ht="15" hidden="false" customHeight="false" outlineLevel="0" collapsed="false">
      <c r="A1749" s="0" t="n">
        <v>377</v>
      </c>
      <c r="B1749" s="191" t="n">
        <v>46069.0008253018</v>
      </c>
      <c r="C1749" s="191" t="n">
        <v>46069.0050382648</v>
      </c>
      <c r="D1749" s="189" t="s">
        <v>2356</v>
      </c>
      <c r="E1749" s="189" t="s">
        <v>2357</v>
      </c>
      <c r="F1749" s="189" t="s">
        <v>2357</v>
      </c>
      <c r="G1749" s="189" t="s">
        <v>2358</v>
      </c>
      <c r="H1749" s="191" t="n">
        <v>46068</v>
      </c>
      <c r="I1749" s="189" t="s">
        <v>113</v>
      </c>
      <c r="J1749" s="189" t="s">
        <v>128</v>
      </c>
      <c r="K1749" s="189" t="s">
        <v>1926</v>
      </c>
      <c r="L1749" s="189" t="s">
        <v>286</v>
      </c>
      <c r="M1749" s="189" t="s">
        <v>594</v>
      </c>
      <c r="N1749" s="189" t="s">
        <v>147</v>
      </c>
      <c r="O1749" s="189" t="s">
        <v>172</v>
      </c>
      <c r="P1749" s="189" t="s">
        <v>111</v>
      </c>
      <c r="Q1749" s="189" t="s">
        <v>145</v>
      </c>
      <c r="R1749" s="189" t="s">
        <v>24</v>
      </c>
      <c r="S1749" s="189" t="s">
        <v>120</v>
      </c>
      <c r="T1749" s="189" t="s">
        <v>121</v>
      </c>
      <c r="U1749" s="189" t="s">
        <v>239</v>
      </c>
      <c r="V1749" s="189" t="s">
        <v>123</v>
      </c>
      <c r="W1749" s="189" t="s">
        <v>124</v>
      </c>
      <c r="X1749" s="189" t="s">
        <v>223</v>
      </c>
      <c r="Y1749" s="189" t="s">
        <v>3064</v>
      </c>
      <c r="Z1749" s="0" t="n">
        <v>1</v>
      </c>
      <c r="AA1749" s="189" t="s">
        <v>3096</v>
      </c>
    </row>
    <row r="1750" customFormat="false" ht="15" hidden="false" customHeight="false" outlineLevel="0" collapsed="false">
      <c r="A1750" s="0" t="n">
        <v>377</v>
      </c>
      <c r="B1750" s="191" t="n">
        <v>46069.0008253018</v>
      </c>
      <c r="C1750" s="191" t="n">
        <v>46069.0050382648</v>
      </c>
      <c r="D1750" s="189" t="s">
        <v>2356</v>
      </c>
      <c r="E1750" s="189" t="s">
        <v>2357</v>
      </c>
      <c r="F1750" s="189" t="s">
        <v>2357</v>
      </c>
      <c r="G1750" s="189" t="s">
        <v>2358</v>
      </c>
      <c r="H1750" s="191" t="n">
        <v>46068</v>
      </c>
      <c r="I1750" s="189" t="s">
        <v>113</v>
      </c>
      <c r="J1750" s="189" t="s">
        <v>128</v>
      </c>
      <c r="K1750" s="189" t="s">
        <v>1926</v>
      </c>
      <c r="L1750" s="189" t="s">
        <v>286</v>
      </c>
      <c r="M1750" s="189" t="s">
        <v>594</v>
      </c>
      <c r="N1750" s="189" t="s">
        <v>147</v>
      </c>
      <c r="O1750" s="189" t="s">
        <v>172</v>
      </c>
      <c r="P1750" s="189" t="s">
        <v>111</v>
      </c>
      <c r="Q1750" s="189" t="s">
        <v>145</v>
      </c>
      <c r="R1750" s="189" t="s">
        <v>24</v>
      </c>
      <c r="S1750" s="189" t="s">
        <v>120</v>
      </c>
      <c r="T1750" s="189" t="s">
        <v>121</v>
      </c>
      <c r="U1750" s="189" t="s">
        <v>239</v>
      </c>
      <c r="V1750" s="189" t="s">
        <v>123</v>
      </c>
      <c r="W1750" s="189" t="s">
        <v>124</v>
      </c>
      <c r="X1750" s="189" t="s">
        <v>223</v>
      </c>
      <c r="Y1750" s="189" t="s">
        <v>3064</v>
      </c>
      <c r="Z1750" s="0" t="n">
        <v>2</v>
      </c>
      <c r="AA1750" s="189" t="s">
        <v>3097</v>
      </c>
    </row>
    <row r="1751" customFormat="false" ht="15" hidden="false" customHeight="false" outlineLevel="0" collapsed="false">
      <c r="A1751" s="0" t="n">
        <v>377</v>
      </c>
      <c r="B1751" s="191" t="n">
        <v>46069.0008253018</v>
      </c>
      <c r="C1751" s="191" t="n">
        <v>46069.0050382648</v>
      </c>
      <c r="D1751" s="189" t="s">
        <v>2356</v>
      </c>
      <c r="E1751" s="189" t="s">
        <v>2357</v>
      </c>
      <c r="F1751" s="189" t="s">
        <v>2357</v>
      </c>
      <c r="G1751" s="189" t="s">
        <v>2358</v>
      </c>
      <c r="H1751" s="191" t="n">
        <v>46068</v>
      </c>
      <c r="I1751" s="189" t="s">
        <v>113</v>
      </c>
      <c r="J1751" s="189" t="s">
        <v>128</v>
      </c>
      <c r="K1751" s="189" t="s">
        <v>1926</v>
      </c>
      <c r="L1751" s="189" t="s">
        <v>286</v>
      </c>
      <c r="M1751" s="189" t="s">
        <v>594</v>
      </c>
      <c r="N1751" s="189" t="s">
        <v>147</v>
      </c>
      <c r="O1751" s="189" t="s">
        <v>172</v>
      </c>
      <c r="P1751" s="189" t="s">
        <v>111</v>
      </c>
      <c r="Q1751" s="189" t="s">
        <v>145</v>
      </c>
      <c r="R1751" s="189" t="s">
        <v>24</v>
      </c>
      <c r="S1751" s="189" t="s">
        <v>120</v>
      </c>
      <c r="T1751" s="189" t="s">
        <v>121</v>
      </c>
      <c r="U1751" s="189" t="s">
        <v>239</v>
      </c>
      <c r="V1751" s="189" t="s">
        <v>123</v>
      </c>
      <c r="W1751" s="189" t="s">
        <v>124</v>
      </c>
      <c r="X1751" s="189" t="s">
        <v>223</v>
      </c>
      <c r="Y1751" s="189" t="s">
        <v>3064</v>
      </c>
      <c r="Z1751" s="0" t="n">
        <v>3</v>
      </c>
      <c r="AA1751" s="189" t="s">
        <v>3120</v>
      </c>
    </row>
    <row r="1752" customFormat="false" ht="15" hidden="false" customHeight="false" outlineLevel="0" collapsed="false">
      <c r="A1752" s="0" t="n">
        <v>377</v>
      </c>
      <c r="B1752" s="191" t="n">
        <v>46069.0008253018</v>
      </c>
      <c r="C1752" s="191" t="n">
        <v>46069.0050382648</v>
      </c>
      <c r="D1752" s="189" t="s">
        <v>2356</v>
      </c>
      <c r="E1752" s="189" t="s">
        <v>2357</v>
      </c>
      <c r="F1752" s="189" t="s">
        <v>2357</v>
      </c>
      <c r="G1752" s="189" t="s">
        <v>2358</v>
      </c>
      <c r="H1752" s="191" t="n">
        <v>46068</v>
      </c>
      <c r="I1752" s="189" t="s">
        <v>113</v>
      </c>
      <c r="J1752" s="189" t="s">
        <v>128</v>
      </c>
      <c r="K1752" s="189" t="s">
        <v>1926</v>
      </c>
      <c r="L1752" s="189" t="s">
        <v>286</v>
      </c>
      <c r="M1752" s="189" t="s">
        <v>594</v>
      </c>
      <c r="N1752" s="189" t="s">
        <v>147</v>
      </c>
      <c r="O1752" s="189" t="s">
        <v>172</v>
      </c>
      <c r="P1752" s="189" t="s">
        <v>111</v>
      </c>
      <c r="Q1752" s="189" t="s">
        <v>145</v>
      </c>
      <c r="R1752" s="189" t="s">
        <v>24</v>
      </c>
      <c r="S1752" s="189" t="s">
        <v>120</v>
      </c>
      <c r="T1752" s="189" t="s">
        <v>121</v>
      </c>
      <c r="U1752" s="189" t="s">
        <v>239</v>
      </c>
      <c r="V1752" s="189" t="s">
        <v>123</v>
      </c>
      <c r="W1752" s="189" t="s">
        <v>124</v>
      </c>
      <c r="X1752" s="189" t="s">
        <v>223</v>
      </c>
      <c r="Y1752" s="189" t="s">
        <v>3066</v>
      </c>
      <c r="Z1752" s="0" t="n">
        <v>1</v>
      </c>
      <c r="AA1752" s="189" t="s">
        <v>3149</v>
      </c>
    </row>
    <row r="1753" customFormat="false" ht="15" hidden="false" customHeight="false" outlineLevel="0" collapsed="false">
      <c r="A1753" s="0" t="n">
        <v>377</v>
      </c>
      <c r="B1753" s="191" t="n">
        <v>46069.0008253018</v>
      </c>
      <c r="C1753" s="191" t="n">
        <v>46069.0050382648</v>
      </c>
      <c r="D1753" s="189" t="s">
        <v>2356</v>
      </c>
      <c r="E1753" s="189" t="s">
        <v>2357</v>
      </c>
      <c r="F1753" s="189" t="s">
        <v>2357</v>
      </c>
      <c r="G1753" s="189" t="s">
        <v>2358</v>
      </c>
      <c r="H1753" s="191" t="n">
        <v>46068</v>
      </c>
      <c r="I1753" s="189" t="s">
        <v>113</v>
      </c>
      <c r="J1753" s="189" t="s">
        <v>128</v>
      </c>
      <c r="K1753" s="189" t="s">
        <v>1926</v>
      </c>
      <c r="L1753" s="189" t="s">
        <v>286</v>
      </c>
      <c r="M1753" s="189" t="s">
        <v>594</v>
      </c>
      <c r="N1753" s="189" t="s">
        <v>147</v>
      </c>
      <c r="O1753" s="189" t="s">
        <v>172</v>
      </c>
      <c r="P1753" s="189" t="s">
        <v>111</v>
      </c>
      <c r="Q1753" s="189" t="s">
        <v>145</v>
      </c>
      <c r="R1753" s="189" t="s">
        <v>24</v>
      </c>
      <c r="S1753" s="189" t="s">
        <v>120</v>
      </c>
      <c r="T1753" s="189" t="s">
        <v>121</v>
      </c>
      <c r="U1753" s="189" t="s">
        <v>239</v>
      </c>
      <c r="V1753" s="189" t="s">
        <v>123</v>
      </c>
      <c r="W1753" s="189" t="s">
        <v>124</v>
      </c>
      <c r="X1753" s="189" t="s">
        <v>223</v>
      </c>
      <c r="Y1753" s="189" t="s">
        <v>3069</v>
      </c>
      <c r="Z1753" s="0" t="n">
        <v>1</v>
      </c>
      <c r="AA1753" s="189" t="s">
        <v>3101</v>
      </c>
    </row>
    <row r="1754" customFormat="false" ht="15" hidden="false" customHeight="false" outlineLevel="0" collapsed="false">
      <c r="A1754" s="0" t="n">
        <v>377</v>
      </c>
      <c r="B1754" s="191" t="n">
        <v>46069.0008253018</v>
      </c>
      <c r="C1754" s="191" t="n">
        <v>46069.0050382648</v>
      </c>
      <c r="D1754" s="189" t="s">
        <v>2356</v>
      </c>
      <c r="E1754" s="189" t="s">
        <v>2357</v>
      </c>
      <c r="F1754" s="189" t="s">
        <v>2357</v>
      </c>
      <c r="G1754" s="189" t="s">
        <v>2358</v>
      </c>
      <c r="H1754" s="191" t="n">
        <v>46068</v>
      </c>
      <c r="I1754" s="189" t="s">
        <v>113</v>
      </c>
      <c r="J1754" s="189" t="s">
        <v>128</v>
      </c>
      <c r="K1754" s="189" t="s">
        <v>1926</v>
      </c>
      <c r="L1754" s="189" t="s">
        <v>286</v>
      </c>
      <c r="M1754" s="189" t="s">
        <v>594</v>
      </c>
      <c r="N1754" s="189" t="s">
        <v>147</v>
      </c>
      <c r="O1754" s="189" t="s">
        <v>172</v>
      </c>
      <c r="P1754" s="189" t="s">
        <v>111</v>
      </c>
      <c r="Q1754" s="189" t="s">
        <v>145</v>
      </c>
      <c r="R1754" s="189" t="s">
        <v>24</v>
      </c>
      <c r="S1754" s="189" t="s">
        <v>120</v>
      </c>
      <c r="T1754" s="189" t="s">
        <v>121</v>
      </c>
      <c r="U1754" s="189" t="s">
        <v>239</v>
      </c>
      <c r="V1754" s="189" t="s">
        <v>123</v>
      </c>
      <c r="W1754" s="189" t="s">
        <v>124</v>
      </c>
      <c r="X1754" s="189" t="s">
        <v>223</v>
      </c>
      <c r="Y1754" s="189" t="s">
        <v>3069</v>
      </c>
      <c r="Z1754" s="0" t="n">
        <v>2</v>
      </c>
      <c r="AA1754" s="189" t="s">
        <v>3106</v>
      </c>
    </row>
    <row r="1755" customFormat="false" ht="15" hidden="false" customHeight="false" outlineLevel="0" collapsed="false">
      <c r="A1755" s="0" t="n">
        <v>378</v>
      </c>
      <c r="B1755" s="191" t="n">
        <v>46164.9674275081</v>
      </c>
      <c r="C1755" s="191" t="n">
        <v>46164.9851358414</v>
      </c>
      <c r="D1755" s="189" t="s">
        <v>2361</v>
      </c>
      <c r="E1755" s="189" t="s">
        <v>2362</v>
      </c>
      <c r="F1755" s="189" t="s">
        <v>2362</v>
      </c>
      <c r="G1755" s="189" t="s">
        <v>2363</v>
      </c>
      <c r="H1755" s="191" t="n">
        <v>46144</v>
      </c>
      <c r="I1755" s="189" t="s">
        <v>113</v>
      </c>
      <c r="J1755" s="189" t="s">
        <v>295</v>
      </c>
      <c r="K1755" s="189" t="s">
        <v>2364</v>
      </c>
      <c r="L1755" s="189" t="s">
        <v>346</v>
      </c>
      <c r="M1755" s="189" t="s">
        <v>174</v>
      </c>
      <c r="N1755" s="189" t="s">
        <v>306</v>
      </c>
      <c r="O1755" s="189" t="s">
        <v>278</v>
      </c>
      <c r="P1755" s="189" t="s">
        <v>111</v>
      </c>
      <c r="Q1755" s="189" t="s">
        <v>112</v>
      </c>
      <c r="R1755" s="189" t="s">
        <v>21</v>
      </c>
      <c r="S1755" s="189" t="s">
        <v>152</v>
      </c>
      <c r="T1755" s="189" t="s">
        <v>180</v>
      </c>
      <c r="V1755" s="189" t="s">
        <v>123</v>
      </c>
      <c r="W1755" s="189" t="s">
        <v>124</v>
      </c>
      <c r="X1755" s="189" t="s">
        <v>374</v>
      </c>
      <c r="Y1755" s="189" t="s">
        <v>3064</v>
      </c>
      <c r="Z1755" s="0" t="n">
        <v>1</v>
      </c>
      <c r="AA1755" s="189" t="s">
        <v>3155</v>
      </c>
    </row>
    <row r="1756" customFormat="false" ht="15" hidden="false" customHeight="false" outlineLevel="0" collapsed="false">
      <c r="A1756" s="0" t="n">
        <v>378</v>
      </c>
      <c r="B1756" s="191" t="n">
        <v>46164.9674275081</v>
      </c>
      <c r="C1756" s="191" t="n">
        <v>46164.9851358414</v>
      </c>
      <c r="D1756" s="189" t="s">
        <v>2361</v>
      </c>
      <c r="E1756" s="189" t="s">
        <v>2362</v>
      </c>
      <c r="F1756" s="189" t="s">
        <v>2362</v>
      </c>
      <c r="G1756" s="189" t="s">
        <v>2363</v>
      </c>
      <c r="H1756" s="191" t="n">
        <v>46144</v>
      </c>
      <c r="I1756" s="189" t="s">
        <v>113</v>
      </c>
      <c r="J1756" s="189" t="s">
        <v>295</v>
      </c>
      <c r="K1756" s="189" t="s">
        <v>2364</v>
      </c>
      <c r="L1756" s="189" t="s">
        <v>346</v>
      </c>
      <c r="M1756" s="189" t="s">
        <v>174</v>
      </c>
      <c r="N1756" s="189" t="s">
        <v>306</v>
      </c>
      <c r="O1756" s="189" t="s">
        <v>278</v>
      </c>
      <c r="P1756" s="189" t="s">
        <v>111</v>
      </c>
      <c r="Q1756" s="189" t="s">
        <v>112</v>
      </c>
      <c r="R1756" s="189" t="s">
        <v>21</v>
      </c>
      <c r="S1756" s="189" t="s">
        <v>152</v>
      </c>
      <c r="T1756" s="189" t="s">
        <v>180</v>
      </c>
      <c r="V1756" s="189" t="s">
        <v>123</v>
      </c>
      <c r="W1756" s="189" t="s">
        <v>124</v>
      </c>
      <c r="X1756" s="189" t="s">
        <v>374</v>
      </c>
      <c r="Y1756" s="189" t="s">
        <v>3066</v>
      </c>
      <c r="Z1756" s="0" t="n">
        <v>1</v>
      </c>
      <c r="AA1756" s="189" t="s">
        <v>3156</v>
      </c>
    </row>
    <row r="1757" customFormat="false" ht="15" hidden="false" customHeight="false" outlineLevel="0" collapsed="false">
      <c r="A1757" s="0" t="n">
        <v>378</v>
      </c>
      <c r="B1757" s="191" t="n">
        <v>46164.9674275081</v>
      </c>
      <c r="C1757" s="191" t="n">
        <v>46164.9851358414</v>
      </c>
      <c r="D1757" s="189" t="s">
        <v>2361</v>
      </c>
      <c r="E1757" s="189" t="s">
        <v>2362</v>
      </c>
      <c r="F1757" s="189" t="s">
        <v>2362</v>
      </c>
      <c r="G1757" s="189" t="s">
        <v>2363</v>
      </c>
      <c r="H1757" s="191" t="n">
        <v>46144</v>
      </c>
      <c r="I1757" s="189" t="s">
        <v>113</v>
      </c>
      <c r="J1757" s="189" t="s">
        <v>295</v>
      </c>
      <c r="K1757" s="189" t="s">
        <v>2364</v>
      </c>
      <c r="L1757" s="189" t="s">
        <v>346</v>
      </c>
      <c r="M1757" s="189" t="s">
        <v>174</v>
      </c>
      <c r="N1757" s="189" t="s">
        <v>306</v>
      </c>
      <c r="O1757" s="189" t="s">
        <v>278</v>
      </c>
      <c r="P1757" s="189" t="s">
        <v>111</v>
      </c>
      <c r="Q1757" s="189" t="s">
        <v>112</v>
      </c>
      <c r="R1757" s="189" t="s">
        <v>21</v>
      </c>
      <c r="S1757" s="189" t="s">
        <v>152</v>
      </c>
      <c r="T1757" s="189" t="s">
        <v>180</v>
      </c>
      <c r="V1757" s="189" t="s">
        <v>123</v>
      </c>
      <c r="W1757" s="189" t="s">
        <v>124</v>
      </c>
      <c r="X1757" s="189" t="s">
        <v>374</v>
      </c>
      <c r="Y1757" s="189" t="s">
        <v>3069</v>
      </c>
      <c r="Z1757" s="0" t="n">
        <v>1</v>
      </c>
      <c r="AA1757" s="189" t="s">
        <v>3158</v>
      </c>
    </row>
    <row r="1758" customFormat="false" ht="15" hidden="false" customHeight="false" outlineLevel="0" collapsed="false">
      <c r="A1758" s="0" t="n">
        <v>379</v>
      </c>
      <c r="B1758" s="191" t="n">
        <v>46145.3203041674</v>
      </c>
      <c r="C1758" s="191" t="n">
        <v>46145.3289847229</v>
      </c>
      <c r="D1758" s="189" t="s">
        <v>2365</v>
      </c>
      <c r="E1758" s="189" t="s">
        <v>2366</v>
      </c>
      <c r="F1758" s="189" t="s">
        <v>2366</v>
      </c>
      <c r="G1758" s="189" t="s">
        <v>2367</v>
      </c>
      <c r="H1758" s="191" t="n">
        <v>46139</v>
      </c>
      <c r="I1758" s="189" t="s">
        <v>113</v>
      </c>
      <c r="J1758" s="189" t="s">
        <v>295</v>
      </c>
      <c r="K1758" s="189" t="s">
        <v>245</v>
      </c>
      <c r="L1758" s="189" t="s">
        <v>130</v>
      </c>
      <c r="M1758" s="189" t="s">
        <v>114</v>
      </c>
      <c r="N1758" s="189" t="s">
        <v>134</v>
      </c>
      <c r="O1758" s="189" t="s">
        <v>278</v>
      </c>
      <c r="P1758" s="189" t="s">
        <v>111</v>
      </c>
      <c r="Q1758" s="189" t="s">
        <v>112</v>
      </c>
      <c r="R1758" s="189" t="s">
        <v>22</v>
      </c>
      <c r="S1758" s="189" t="s">
        <v>152</v>
      </c>
      <c r="T1758" s="189" t="s">
        <v>121</v>
      </c>
      <c r="U1758" s="189" t="s">
        <v>1700</v>
      </c>
      <c r="V1758" s="189" t="s">
        <v>192</v>
      </c>
      <c r="W1758" s="189" t="s">
        <v>124</v>
      </c>
      <c r="X1758" s="189" t="s">
        <v>176</v>
      </c>
      <c r="Y1758" s="189" t="s">
        <v>3064</v>
      </c>
      <c r="Z1758" s="0" t="n">
        <v>1</v>
      </c>
      <c r="AA1758" s="189" t="s">
        <v>3264</v>
      </c>
    </row>
    <row r="1759" customFormat="false" ht="15" hidden="false" customHeight="false" outlineLevel="0" collapsed="false">
      <c r="A1759" s="0" t="n">
        <v>379</v>
      </c>
      <c r="B1759" s="191" t="n">
        <v>46145.3203041674</v>
      </c>
      <c r="C1759" s="191" t="n">
        <v>46145.3289847229</v>
      </c>
      <c r="D1759" s="189" t="s">
        <v>2365</v>
      </c>
      <c r="E1759" s="189" t="s">
        <v>2366</v>
      </c>
      <c r="F1759" s="189" t="s">
        <v>2366</v>
      </c>
      <c r="G1759" s="189" t="s">
        <v>2367</v>
      </c>
      <c r="H1759" s="191" t="n">
        <v>46139</v>
      </c>
      <c r="I1759" s="189" t="s">
        <v>113</v>
      </c>
      <c r="J1759" s="189" t="s">
        <v>295</v>
      </c>
      <c r="K1759" s="189" t="s">
        <v>245</v>
      </c>
      <c r="L1759" s="189" t="s">
        <v>130</v>
      </c>
      <c r="M1759" s="189" t="s">
        <v>114</v>
      </c>
      <c r="N1759" s="189" t="s">
        <v>134</v>
      </c>
      <c r="O1759" s="189" t="s">
        <v>278</v>
      </c>
      <c r="P1759" s="189" t="s">
        <v>111</v>
      </c>
      <c r="Q1759" s="189" t="s">
        <v>112</v>
      </c>
      <c r="R1759" s="189" t="s">
        <v>22</v>
      </c>
      <c r="S1759" s="189" t="s">
        <v>152</v>
      </c>
      <c r="T1759" s="189" t="s">
        <v>121</v>
      </c>
      <c r="U1759" s="189" t="s">
        <v>1700</v>
      </c>
      <c r="V1759" s="189" t="s">
        <v>192</v>
      </c>
      <c r="W1759" s="189" t="s">
        <v>124</v>
      </c>
      <c r="X1759" s="189" t="s">
        <v>176</v>
      </c>
      <c r="Y1759" s="189" t="s">
        <v>3066</v>
      </c>
      <c r="Z1759" s="0" t="n">
        <v>1</v>
      </c>
      <c r="AA1759" s="189" t="s">
        <v>3331</v>
      </c>
    </row>
    <row r="1760" customFormat="false" ht="15" hidden="false" customHeight="false" outlineLevel="0" collapsed="false">
      <c r="A1760" s="0" t="n">
        <v>379</v>
      </c>
      <c r="B1760" s="191" t="n">
        <v>46145.3203041674</v>
      </c>
      <c r="C1760" s="191" t="n">
        <v>46145.3289847229</v>
      </c>
      <c r="D1760" s="189" t="s">
        <v>2365</v>
      </c>
      <c r="E1760" s="189" t="s">
        <v>2366</v>
      </c>
      <c r="F1760" s="189" t="s">
        <v>2366</v>
      </c>
      <c r="G1760" s="189" t="s">
        <v>2367</v>
      </c>
      <c r="H1760" s="191" t="n">
        <v>46139</v>
      </c>
      <c r="I1760" s="189" t="s">
        <v>113</v>
      </c>
      <c r="J1760" s="189" t="s">
        <v>295</v>
      </c>
      <c r="K1760" s="189" t="s">
        <v>245</v>
      </c>
      <c r="L1760" s="189" t="s">
        <v>130</v>
      </c>
      <c r="M1760" s="189" t="s">
        <v>114</v>
      </c>
      <c r="N1760" s="189" t="s">
        <v>134</v>
      </c>
      <c r="O1760" s="189" t="s">
        <v>278</v>
      </c>
      <c r="P1760" s="189" t="s">
        <v>111</v>
      </c>
      <c r="Q1760" s="189" t="s">
        <v>112</v>
      </c>
      <c r="R1760" s="189" t="s">
        <v>22</v>
      </c>
      <c r="S1760" s="189" t="s">
        <v>152</v>
      </c>
      <c r="T1760" s="189" t="s">
        <v>121</v>
      </c>
      <c r="U1760" s="189" t="s">
        <v>1700</v>
      </c>
      <c r="V1760" s="189" t="s">
        <v>192</v>
      </c>
      <c r="W1760" s="189" t="s">
        <v>124</v>
      </c>
      <c r="X1760" s="189" t="s">
        <v>176</v>
      </c>
      <c r="Y1760" s="189" t="s">
        <v>3066</v>
      </c>
      <c r="Z1760" s="0" t="n">
        <v>2</v>
      </c>
      <c r="AA1760" s="189" t="s">
        <v>3265</v>
      </c>
    </row>
    <row r="1761" customFormat="false" ht="15" hidden="false" customHeight="false" outlineLevel="0" collapsed="false">
      <c r="A1761" s="0" t="n">
        <v>379</v>
      </c>
      <c r="B1761" s="191" t="n">
        <v>46145.3203041674</v>
      </c>
      <c r="C1761" s="191" t="n">
        <v>46145.3289847229</v>
      </c>
      <c r="D1761" s="189" t="s">
        <v>2365</v>
      </c>
      <c r="E1761" s="189" t="s">
        <v>2366</v>
      </c>
      <c r="F1761" s="189" t="s">
        <v>2366</v>
      </c>
      <c r="G1761" s="189" t="s">
        <v>2367</v>
      </c>
      <c r="H1761" s="191" t="n">
        <v>46139</v>
      </c>
      <c r="I1761" s="189" t="s">
        <v>113</v>
      </c>
      <c r="J1761" s="189" t="s">
        <v>295</v>
      </c>
      <c r="K1761" s="189" t="s">
        <v>245</v>
      </c>
      <c r="L1761" s="189" t="s">
        <v>130</v>
      </c>
      <c r="M1761" s="189" t="s">
        <v>114</v>
      </c>
      <c r="N1761" s="189" t="s">
        <v>134</v>
      </c>
      <c r="O1761" s="189" t="s">
        <v>278</v>
      </c>
      <c r="P1761" s="189" t="s">
        <v>111</v>
      </c>
      <c r="Q1761" s="189" t="s">
        <v>112</v>
      </c>
      <c r="R1761" s="189" t="s">
        <v>22</v>
      </c>
      <c r="S1761" s="189" t="s">
        <v>152</v>
      </c>
      <c r="T1761" s="189" t="s">
        <v>121</v>
      </c>
      <c r="U1761" s="189" t="s">
        <v>1700</v>
      </c>
      <c r="V1761" s="189" t="s">
        <v>192</v>
      </c>
      <c r="W1761" s="189" t="s">
        <v>124</v>
      </c>
      <c r="X1761" s="189" t="s">
        <v>176</v>
      </c>
      <c r="Y1761" s="189" t="s">
        <v>3069</v>
      </c>
      <c r="Z1761" s="0" t="n">
        <v>1</v>
      </c>
      <c r="AA1761" s="189" t="s">
        <v>3245</v>
      </c>
    </row>
    <row r="1762" customFormat="false" ht="15" hidden="false" customHeight="false" outlineLevel="0" collapsed="false">
      <c r="A1762" s="0" t="n">
        <v>380</v>
      </c>
      <c r="B1762" s="191" t="n">
        <v>46093.6620626421</v>
      </c>
      <c r="C1762" s="191" t="n">
        <v>46093.6725834755</v>
      </c>
      <c r="D1762" s="189" t="s">
        <v>2370</v>
      </c>
      <c r="E1762" s="189" t="s">
        <v>2371</v>
      </c>
      <c r="F1762" s="189" t="s">
        <v>2371</v>
      </c>
      <c r="G1762" s="189" t="s">
        <v>2372</v>
      </c>
      <c r="H1762" s="191" t="n">
        <v>46087</v>
      </c>
      <c r="I1762" s="189" t="s">
        <v>113</v>
      </c>
      <c r="J1762" s="189" t="s">
        <v>108</v>
      </c>
      <c r="K1762" s="189" t="s">
        <v>232</v>
      </c>
      <c r="L1762" s="189" t="s">
        <v>286</v>
      </c>
      <c r="M1762" s="189" t="s">
        <v>357</v>
      </c>
      <c r="N1762" s="189" t="s">
        <v>414</v>
      </c>
      <c r="O1762" s="189" t="s">
        <v>1949</v>
      </c>
      <c r="P1762" s="189" t="s">
        <v>111</v>
      </c>
      <c r="Q1762" s="189" t="s">
        <v>247</v>
      </c>
      <c r="R1762" s="189" t="s">
        <v>22</v>
      </c>
      <c r="S1762" s="189" t="s">
        <v>152</v>
      </c>
      <c r="T1762" s="189" t="s">
        <v>180</v>
      </c>
      <c r="V1762" s="189" t="s">
        <v>123</v>
      </c>
      <c r="W1762" s="189" t="s">
        <v>124</v>
      </c>
      <c r="X1762" s="189" t="s">
        <v>116</v>
      </c>
      <c r="Y1762" s="189" t="s">
        <v>3064</v>
      </c>
      <c r="Z1762" s="0" t="n">
        <v>1</v>
      </c>
      <c r="AA1762" s="189" t="s">
        <v>3139</v>
      </c>
    </row>
    <row r="1763" customFormat="false" ht="15" hidden="false" customHeight="false" outlineLevel="0" collapsed="false">
      <c r="A1763" s="0" t="n">
        <v>380</v>
      </c>
      <c r="B1763" s="191" t="n">
        <v>46093.6620626421</v>
      </c>
      <c r="C1763" s="191" t="n">
        <v>46093.6725834755</v>
      </c>
      <c r="D1763" s="189" t="s">
        <v>2370</v>
      </c>
      <c r="E1763" s="189" t="s">
        <v>2371</v>
      </c>
      <c r="F1763" s="189" t="s">
        <v>2371</v>
      </c>
      <c r="G1763" s="189" t="s">
        <v>2372</v>
      </c>
      <c r="H1763" s="191" t="n">
        <v>46087</v>
      </c>
      <c r="I1763" s="189" t="s">
        <v>113</v>
      </c>
      <c r="J1763" s="189" t="s">
        <v>108</v>
      </c>
      <c r="K1763" s="189" t="s">
        <v>232</v>
      </c>
      <c r="L1763" s="189" t="s">
        <v>286</v>
      </c>
      <c r="M1763" s="189" t="s">
        <v>357</v>
      </c>
      <c r="N1763" s="189" t="s">
        <v>414</v>
      </c>
      <c r="O1763" s="189" t="s">
        <v>1949</v>
      </c>
      <c r="P1763" s="189" t="s">
        <v>111</v>
      </c>
      <c r="Q1763" s="189" t="s">
        <v>247</v>
      </c>
      <c r="R1763" s="189" t="s">
        <v>22</v>
      </c>
      <c r="S1763" s="189" t="s">
        <v>152</v>
      </c>
      <c r="T1763" s="189" t="s">
        <v>180</v>
      </c>
      <c r="V1763" s="189" t="s">
        <v>123</v>
      </c>
      <c r="W1763" s="189" t="s">
        <v>124</v>
      </c>
      <c r="X1763" s="189" t="s">
        <v>116</v>
      </c>
      <c r="Y1763" s="189" t="s">
        <v>3066</v>
      </c>
      <c r="Z1763" s="0" t="n">
        <v>1</v>
      </c>
      <c r="AA1763" s="189" t="s">
        <v>3068</v>
      </c>
    </row>
    <row r="1764" customFormat="false" ht="15" hidden="false" customHeight="false" outlineLevel="0" collapsed="false">
      <c r="A1764" s="0" t="n">
        <v>380</v>
      </c>
      <c r="B1764" s="191" t="n">
        <v>46093.6620626421</v>
      </c>
      <c r="C1764" s="191" t="n">
        <v>46093.6725834755</v>
      </c>
      <c r="D1764" s="189" t="s">
        <v>2370</v>
      </c>
      <c r="E1764" s="189" t="s">
        <v>2371</v>
      </c>
      <c r="F1764" s="189" t="s">
        <v>2371</v>
      </c>
      <c r="G1764" s="189" t="s">
        <v>2372</v>
      </c>
      <c r="H1764" s="191" t="n">
        <v>46087</v>
      </c>
      <c r="I1764" s="189" t="s">
        <v>113</v>
      </c>
      <c r="J1764" s="189" t="s">
        <v>108</v>
      </c>
      <c r="K1764" s="189" t="s">
        <v>232</v>
      </c>
      <c r="L1764" s="189" t="s">
        <v>286</v>
      </c>
      <c r="M1764" s="189" t="s">
        <v>357</v>
      </c>
      <c r="N1764" s="189" t="s">
        <v>414</v>
      </c>
      <c r="O1764" s="189" t="s">
        <v>1949</v>
      </c>
      <c r="P1764" s="189" t="s">
        <v>111</v>
      </c>
      <c r="Q1764" s="189" t="s">
        <v>247</v>
      </c>
      <c r="R1764" s="189" t="s">
        <v>22</v>
      </c>
      <c r="S1764" s="189" t="s">
        <v>152</v>
      </c>
      <c r="T1764" s="189" t="s">
        <v>180</v>
      </c>
      <c r="V1764" s="189" t="s">
        <v>123</v>
      </c>
      <c r="W1764" s="189" t="s">
        <v>124</v>
      </c>
      <c r="X1764" s="189" t="s">
        <v>116</v>
      </c>
      <c r="Y1764" s="189" t="s">
        <v>3069</v>
      </c>
      <c r="Z1764" s="0" t="n">
        <v>1</v>
      </c>
      <c r="AA1764" s="189" t="s">
        <v>122</v>
      </c>
    </row>
    <row r="1765" customFormat="false" ht="15" hidden="false" customHeight="false" outlineLevel="0" collapsed="false">
      <c r="A1765" s="0" t="n">
        <v>380</v>
      </c>
      <c r="B1765" s="191" t="n">
        <v>46093.6620626421</v>
      </c>
      <c r="C1765" s="191" t="n">
        <v>46093.6725834755</v>
      </c>
      <c r="D1765" s="189" t="s">
        <v>2370</v>
      </c>
      <c r="E1765" s="189" t="s">
        <v>2371</v>
      </c>
      <c r="F1765" s="189" t="s">
        <v>2371</v>
      </c>
      <c r="G1765" s="189" t="s">
        <v>2372</v>
      </c>
      <c r="H1765" s="191" t="n">
        <v>46087</v>
      </c>
      <c r="I1765" s="189" t="s">
        <v>113</v>
      </c>
      <c r="J1765" s="189" t="s">
        <v>108</v>
      </c>
      <c r="K1765" s="189" t="s">
        <v>232</v>
      </c>
      <c r="L1765" s="189" t="s">
        <v>286</v>
      </c>
      <c r="M1765" s="189" t="s">
        <v>357</v>
      </c>
      <c r="N1765" s="189" t="s">
        <v>414</v>
      </c>
      <c r="O1765" s="189" t="s">
        <v>1949</v>
      </c>
      <c r="P1765" s="189" t="s">
        <v>111</v>
      </c>
      <c r="Q1765" s="189" t="s">
        <v>247</v>
      </c>
      <c r="R1765" s="189" t="s">
        <v>22</v>
      </c>
      <c r="S1765" s="189" t="s">
        <v>152</v>
      </c>
      <c r="T1765" s="189" t="s">
        <v>180</v>
      </c>
      <c r="V1765" s="189" t="s">
        <v>123</v>
      </c>
      <c r="W1765" s="189" t="s">
        <v>124</v>
      </c>
      <c r="X1765" s="189" t="s">
        <v>116</v>
      </c>
      <c r="Y1765" s="189" t="s">
        <v>3069</v>
      </c>
      <c r="Z1765" s="0" t="n">
        <v>2</v>
      </c>
      <c r="AA1765" s="189" t="s">
        <v>3140</v>
      </c>
    </row>
    <row r="1766" customFormat="false" ht="15" hidden="false" customHeight="false" outlineLevel="0" collapsed="false">
      <c r="A1766" s="0" t="n">
        <v>381</v>
      </c>
      <c r="B1766" s="191" t="n">
        <v>46212.9860702131</v>
      </c>
      <c r="C1766" s="191" t="n">
        <v>46212.9899359539</v>
      </c>
      <c r="D1766" s="189" t="s">
        <v>2373</v>
      </c>
      <c r="E1766" s="189" t="s">
        <v>2374</v>
      </c>
      <c r="F1766" s="189" t="s">
        <v>2374</v>
      </c>
      <c r="G1766" s="189" t="s">
        <v>2375</v>
      </c>
      <c r="H1766" s="191" t="n">
        <v>46212</v>
      </c>
      <c r="I1766" s="189" t="s">
        <v>113</v>
      </c>
      <c r="J1766" s="189" t="s">
        <v>108</v>
      </c>
      <c r="K1766" s="189" t="s">
        <v>462</v>
      </c>
      <c r="L1766" s="189" t="s">
        <v>268</v>
      </c>
      <c r="M1766" s="189" t="s">
        <v>1388</v>
      </c>
      <c r="N1766" s="189" t="s">
        <v>1140</v>
      </c>
      <c r="O1766" s="189" t="s">
        <v>107</v>
      </c>
      <c r="P1766" s="189" t="s">
        <v>211</v>
      </c>
      <c r="Q1766" s="189" t="s">
        <v>112</v>
      </c>
      <c r="R1766" s="189" t="s">
        <v>21</v>
      </c>
      <c r="S1766" s="189" t="s">
        <v>120</v>
      </c>
      <c r="T1766" s="189" t="s">
        <v>121</v>
      </c>
      <c r="U1766" s="189" t="s">
        <v>1420</v>
      </c>
      <c r="V1766" s="189" t="s">
        <v>192</v>
      </c>
      <c r="W1766" s="189" t="s">
        <v>168</v>
      </c>
      <c r="X1766" s="189" t="s">
        <v>307</v>
      </c>
      <c r="Y1766" s="189" t="s">
        <v>3064</v>
      </c>
      <c r="Z1766" s="0" t="n">
        <v>1</v>
      </c>
      <c r="AA1766" s="189" t="s">
        <v>3129</v>
      </c>
    </row>
    <row r="1767" customFormat="false" ht="15" hidden="false" customHeight="false" outlineLevel="0" collapsed="false">
      <c r="A1767" s="0" t="n">
        <v>381</v>
      </c>
      <c r="B1767" s="191" t="n">
        <v>46212.9860702131</v>
      </c>
      <c r="C1767" s="191" t="n">
        <v>46212.9899359539</v>
      </c>
      <c r="D1767" s="189" t="s">
        <v>2373</v>
      </c>
      <c r="E1767" s="189" t="s">
        <v>2374</v>
      </c>
      <c r="F1767" s="189" t="s">
        <v>2374</v>
      </c>
      <c r="G1767" s="189" t="s">
        <v>2375</v>
      </c>
      <c r="H1767" s="191" t="n">
        <v>46212</v>
      </c>
      <c r="I1767" s="189" t="s">
        <v>113</v>
      </c>
      <c r="J1767" s="189" t="s">
        <v>108</v>
      </c>
      <c r="K1767" s="189" t="s">
        <v>462</v>
      </c>
      <c r="L1767" s="189" t="s">
        <v>268</v>
      </c>
      <c r="M1767" s="189" t="s">
        <v>1388</v>
      </c>
      <c r="N1767" s="189" t="s">
        <v>1140</v>
      </c>
      <c r="O1767" s="189" t="s">
        <v>107</v>
      </c>
      <c r="P1767" s="189" t="s">
        <v>211</v>
      </c>
      <c r="Q1767" s="189" t="s">
        <v>112</v>
      </c>
      <c r="R1767" s="189" t="s">
        <v>21</v>
      </c>
      <c r="S1767" s="189" t="s">
        <v>120</v>
      </c>
      <c r="T1767" s="189" t="s">
        <v>121</v>
      </c>
      <c r="U1767" s="189" t="s">
        <v>1420</v>
      </c>
      <c r="V1767" s="189" t="s">
        <v>192</v>
      </c>
      <c r="W1767" s="189" t="s">
        <v>168</v>
      </c>
      <c r="X1767" s="189" t="s">
        <v>307</v>
      </c>
      <c r="Y1767" s="189" t="s">
        <v>3064</v>
      </c>
      <c r="Z1767" s="0" t="n">
        <v>2</v>
      </c>
      <c r="AA1767" s="189" t="s">
        <v>3130</v>
      </c>
    </row>
    <row r="1768" customFormat="false" ht="15" hidden="false" customHeight="false" outlineLevel="0" collapsed="false">
      <c r="A1768" s="0" t="n">
        <v>381</v>
      </c>
      <c r="B1768" s="191" t="n">
        <v>46212.9860702131</v>
      </c>
      <c r="C1768" s="191" t="n">
        <v>46212.9899359539</v>
      </c>
      <c r="D1768" s="189" t="s">
        <v>2373</v>
      </c>
      <c r="E1768" s="189" t="s">
        <v>2374</v>
      </c>
      <c r="F1768" s="189" t="s">
        <v>2374</v>
      </c>
      <c r="G1768" s="189" t="s">
        <v>2375</v>
      </c>
      <c r="H1768" s="191" t="n">
        <v>46212</v>
      </c>
      <c r="I1768" s="189" t="s">
        <v>113</v>
      </c>
      <c r="J1768" s="189" t="s">
        <v>108</v>
      </c>
      <c r="K1768" s="189" t="s">
        <v>462</v>
      </c>
      <c r="L1768" s="189" t="s">
        <v>268</v>
      </c>
      <c r="M1768" s="189" t="s">
        <v>1388</v>
      </c>
      <c r="N1768" s="189" t="s">
        <v>1140</v>
      </c>
      <c r="O1768" s="189" t="s">
        <v>107</v>
      </c>
      <c r="P1768" s="189" t="s">
        <v>211</v>
      </c>
      <c r="Q1768" s="189" t="s">
        <v>112</v>
      </c>
      <c r="R1768" s="189" t="s">
        <v>21</v>
      </c>
      <c r="S1768" s="189" t="s">
        <v>120</v>
      </c>
      <c r="T1768" s="189" t="s">
        <v>121</v>
      </c>
      <c r="U1768" s="189" t="s">
        <v>1420</v>
      </c>
      <c r="V1768" s="189" t="s">
        <v>192</v>
      </c>
      <c r="W1768" s="189" t="s">
        <v>168</v>
      </c>
      <c r="X1768" s="189" t="s">
        <v>307</v>
      </c>
      <c r="Y1768" s="189" t="s">
        <v>3064</v>
      </c>
      <c r="Z1768" s="0" t="n">
        <v>3</v>
      </c>
      <c r="AA1768" s="189" t="s">
        <v>3131</v>
      </c>
    </row>
    <row r="1769" customFormat="false" ht="15" hidden="false" customHeight="false" outlineLevel="0" collapsed="false">
      <c r="A1769" s="0" t="n">
        <v>381</v>
      </c>
      <c r="B1769" s="191" t="n">
        <v>46212.9860702131</v>
      </c>
      <c r="C1769" s="191" t="n">
        <v>46212.9899359539</v>
      </c>
      <c r="D1769" s="189" t="s">
        <v>2373</v>
      </c>
      <c r="E1769" s="189" t="s">
        <v>2374</v>
      </c>
      <c r="F1769" s="189" t="s">
        <v>2374</v>
      </c>
      <c r="G1769" s="189" t="s">
        <v>2375</v>
      </c>
      <c r="H1769" s="191" t="n">
        <v>46212</v>
      </c>
      <c r="I1769" s="189" t="s">
        <v>113</v>
      </c>
      <c r="J1769" s="189" t="s">
        <v>108</v>
      </c>
      <c r="K1769" s="189" t="s">
        <v>462</v>
      </c>
      <c r="L1769" s="189" t="s">
        <v>268</v>
      </c>
      <c r="M1769" s="189" t="s">
        <v>1388</v>
      </c>
      <c r="N1769" s="189" t="s">
        <v>1140</v>
      </c>
      <c r="O1769" s="189" t="s">
        <v>107</v>
      </c>
      <c r="P1769" s="189" t="s">
        <v>211</v>
      </c>
      <c r="Q1769" s="189" t="s">
        <v>112</v>
      </c>
      <c r="R1769" s="189" t="s">
        <v>21</v>
      </c>
      <c r="S1769" s="189" t="s">
        <v>120</v>
      </c>
      <c r="T1769" s="189" t="s">
        <v>121</v>
      </c>
      <c r="U1769" s="189" t="s">
        <v>1420</v>
      </c>
      <c r="V1769" s="189" t="s">
        <v>192</v>
      </c>
      <c r="W1769" s="189" t="s">
        <v>168</v>
      </c>
      <c r="X1769" s="189" t="s">
        <v>307</v>
      </c>
      <c r="Y1769" s="189" t="s">
        <v>3066</v>
      </c>
      <c r="Z1769" s="0" t="n">
        <v>1</v>
      </c>
      <c r="AA1769" s="189" t="s">
        <v>3182</v>
      </c>
    </row>
    <row r="1770" customFormat="false" ht="15" hidden="false" customHeight="false" outlineLevel="0" collapsed="false">
      <c r="A1770" s="0" t="n">
        <v>381</v>
      </c>
      <c r="B1770" s="191" t="n">
        <v>46212.9860702131</v>
      </c>
      <c r="C1770" s="191" t="n">
        <v>46212.9899359539</v>
      </c>
      <c r="D1770" s="189" t="s">
        <v>2373</v>
      </c>
      <c r="E1770" s="189" t="s">
        <v>2374</v>
      </c>
      <c r="F1770" s="189" t="s">
        <v>2374</v>
      </c>
      <c r="G1770" s="189" t="s">
        <v>2375</v>
      </c>
      <c r="H1770" s="191" t="n">
        <v>46212</v>
      </c>
      <c r="I1770" s="189" t="s">
        <v>113</v>
      </c>
      <c r="J1770" s="189" t="s">
        <v>108</v>
      </c>
      <c r="K1770" s="189" t="s">
        <v>462</v>
      </c>
      <c r="L1770" s="189" t="s">
        <v>268</v>
      </c>
      <c r="M1770" s="189" t="s">
        <v>1388</v>
      </c>
      <c r="N1770" s="189" t="s">
        <v>1140</v>
      </c>
      <c r="O1770" s="189" t="s">
        <v>107</v>
      </c>
      <c r="P1770" s="189" t="s">
        <v>211</v>
      </c>
      <c r="Q1770" s="189" t="s">
        <v>112</v>
      </c>
      <c r="R1770" s="189" t="s">
        <v>21</v>
      </c>
      <c r="S1770" s="189" t="s">
        <v>120</v>
      </c>
      <c r="T1770" s="189" t="s">
        <v>121</v>
      </c>
      <c r="U1770" s="189" t="s">
        <v>1420</v>
      </c>
      <c r="V1770" s="189" t="s">
        <v>192</v>
      </c>
      <c r="W1770" s="189" t="s">
        <v>168</v>
      </c>
      <c r="X1770" s="189" t="s">
        <v>307</v>
      </c>
      <c r="Y1770" s="189" t="s">
        <v>3066</v>
      </c>
      <c r="Z1770" s="0" t="n">
        <v>2</v>
      </c>
      <c r="AA1770" s="189" t="s">
        <v>3132</v>
      </c>
    </row>
    <row r="1771" customFormat="false" ht="15" hidden="false" customHeight="false" outlineLevel="0" collapsed="false">
      <c r="A1771" s="0" t="n">
        <v>381</v>
      </c>
      <c r="B1771" s="191" t="n">
        <v>46212.9860702131</v>
      </c>
      <c r="C1771" s="191" t="n">
        <v>46212.9899359539</v>
      </c>
      <c r="D1771" s="189" t="s">
        <v>2373</v>
      </c>
      <c r="E1771" s="189" t="s">
        <v>2374</v>
      </c>
      <c r="F1771" s="189" t="s">
        <v>2374</v>
      </c>
      <c r="G1771" s="189" t="s">
        <v>2375</v>
      </c>
      <c r="H1771" s="191" t="n">
        <v>46212</v>
      </c>
      <c r="I1771" s="189" t="s">
        <v>113</v>
      </c>
      <c r="J1771" s="189" t="s">
        <v>108</v>
      </c>
      <c r="K1771" s="189" t="s">
        <v>462</v>
      </c>
      <c r="L1771" s="189" t="s">
        <v>268</v>
      </c>
      <c r="M1771" s="189" t="s">
        <v>1388</v>
      </c>
      <c r="N1771" s="189" t="s">
        <v>1140</v>
      </c>
      <c r="O1771" s="189" t="s">
        <v>107</v>
      </c>
      <c r="P1771" s="189" t="s">
        <v>211</v>
      </c>
      <c r="Q1771" s="189" t="s">
        <v>112</v>
      </c>
      <c r="R1771" s="189" t="s">
        <v>21</v>
      </c>
      <c r="S1771" s="189" t="s">
        <v>120</v>
      </c>
      <c r="T1771" s="189" t="s">
        <v>121</v>
      </c>
      <c r="U1771" s="189" t="s">
        <v>1420</v>
      </c>
      <c r="V1771" s="189" t="s">
        <v>192</v>
      </c>
      <c r="W1771" s="189" t="s">
        <v>168</v>
      </c>
      <c r="X1771" s="189" t="s">
        <v>307</v>
      </c>
      <c r="Y1771" s="189" t="s">
        <v>3069</v>
      </c>
      <c r="Z1771" s="0" t="n">
        <v>1</v>
      </c>
      <c r="AA1771" s="189" t="s">
        <v>3134</v>
      </c>
    </row>
    <row r="1772" customFormat="false" ht="15" hidden="false" customHeight="false" outlineLevel="0" collapsed="false">
      <c r="A1772" s="0" t="n">
        <v>381</v>
      </c>
      <c r="B1772" s="191" t="n">
        <v>46212.9860702131</v>
      </c>
      <c r="C1772" s="191" t="n">
        <v>46212.9899359539</v>
      </c>
      <c r="D1772" s="189" t="s">
        <v>2373</v>
      </c>
      <c r="E1772" s="189" t="s">
        <v>2374</v>
      </c>
      <c r="F1772" s="189" t="s">
        <v>2374</v>
      </c>
      <c r="G1772" s="189" t="s">
        <v>2375</v>
      </c>
      <c r="H1772" s="191" t="n">
        <v>46212</v>
      </c>
      <c r="I1772" s="189" t="s">
        <v>113</v>
      </c>
      <c r="J1772" s="189" t="s">
        <v>108</v>
      </c>
      <c r="K1772" s="189" t="s">
        <v>462</v>
      </c>
      <c r="L1772" s="189" t="s">
        <v>268</v>
      </c>
      <c r="M1772" s="189" t="s">
        <v>1388</v>
      </c>
      <c r="N1772" s="189" t="s">
        <v>1140</v>
      </c>
      <c r="O1772" s="189" t="s">
        <v>107</v>
      </c>
      <c r="P1772" s="189" t="s">
        <v>211</v>
      </c>
      <c r="Q1772" s="189" t="s">
        <v>112</v>
      </c>
      <c r="R1772" s="189" t="s">
        <v>21</v>
      </c>
      <c r="S1772" s="189" t="s">
        <v>120</v>
      </c>
      <c r="T1772" s="189" t="s">
        <v>121</v>
      </c>
      <c r="U1772" s="189" t="s">
        <v>1420</v>
      </c>
      <c r="V1772" s="189" t="s">
        <v>192</v>
      </c>
      <c r="W1772" s="189" t="s">
        <v>168</v>
      </c>
      <c r="X1772" s="189" t="s">
        <v>307</v>
      </c>
      <c r="Y1772" s="189" t="s">
        <v>3069</v>
      </c>
      <c r="Z1772" s="0" t="n">
        <v>2</v>
      </c>
      <c r="AA1772" s="189" t="s">
        <v>3133</v>
      </c>
    </row>
    <row r="1773" customFormat="false" ht="15" hidden="false" customHeight="false" outlineLevel="0" collapsed="false">
      <c r="A1773" s="0" t="n">
        <v>382</v>
      </c>
      <c r="B1773" s="191" t="n">
        <v>46035.0555224898</v>
      </c>
      <c r="C1773" s="191" t="n">
        <v>46035.0705919342</v>
      </c>
      <c r="D1773" s="189" t="s">
        <v>2377</v>
      </c>
      <c r="E1773" s="189" t="s">
        <v>2378</v>
      </c>
      <c r="F1773" s="189" t="s">
        <v>2378</v>
      </c>
      <c r="G1773" s="189" t="s">
        <v>2379</v>
      </c>
      <c r="H1773" s="191" t="n">
        <v>46030</v>
      </c>
      <c r="I1773" s="189" t="s">
        <v>336</v>
      </c>
      <c r="J1773" s="189" t="s">
        <v>128</v>
      </c>
      <c r="K1773" s="189" t="s">
        <v>143</v>
      </c>
      <c r="L1773" s="189" t="s">
        <v>431</v>
      </c>
      <c r="M1773" s="189" t="s">
        <v>1120</v>
      </c>
      <c r="N1773" s="189" t="s">
        <v>175</v>
      </c>
      <c r="O1773" s="189" t="s">
        <v>172</v>
      </c>
      <c r="P1773" s="189" t="s">
        <v>111</v>
      </c>
      <c r="Q1773" s="189" t="s">
        <v>112</v>
      </c>
      <c r="R1773" s="189" t="s">
        <v>24</v>
      </c>
      <c r="S1773" s="189" t="s">
        <v>152</v>
      </c>
      <c r="T1773" s="189" t="s">
        <v>121</v>
      </c>
      <c r="V1773" s="189" t="s">
        <v>167</v>
      </c>
      <c r="W1773" s="189" t="s">
        <v>124</v>
      </c>
      <c r="X1773" s="189" t="s">
        <v>223</v>
      </c>
      <c r="Y1773" s="189" t="s">
        <v>3064</v>
      </c>
      <c r="Z1773" s="0" t="n">
        <v>1</v>
      </c>
      <c r="AA1773" s="189" t="s">
        <v>3121</v>
      </c>
    </row>
    <row r="1774" customFormat="false" ht="15" hidden="false" customHeight="false" outlineLevel="0" collapsed="false">
      <c r="A1774" s="0" t="n">
        <v>382</v>
      </c>
      <c r="B1774" s="191" t="n">
        <v>46035.0555224898</v>
      </c>
      <c r="C1774" s="191" t="n">
        <v>46035.0705919342</v>
      </c>
      <c r="D1774" s="189" t="s">
        <v>2377</v>
      </c>
      <c r="E1774" s="189" t="s">
        <v>2378</v>
      </c>
      <c r="F1774" s="189" t="s">
        <v>2378</v>
      </c>
      <c r="G1774" s="189" t="s">
        <v>2379</v>
      </c>
      <c r="H1774" s="191" t="n">
        <v>46030</v>
      </c>
      <c r="I1774" s="189" t="s">
        <v>336</v>
      </c>
      <c r="J1774" s="189" t="s">
        <v>128</v>
      </c>
      <c r="K1774" s="189" t="s">
        <v>143</v>
      </c>
      <c r="L1774" s="189" t="s">
        <v>431</v>
      </c>
      <c r="M1774" s="189" t="s">
        <v>1120</v>
      </c>
      <c r="N1774" s="189" t="s">
        <v>175</v>
      </c>
      <c r="O1774" s="189" t="s">
        <v>172</v>
      </c>
      <c r="P1774" s="189" t="s">
        <v>111</v>
      </c>
      <c r="Q1774" s="189" t="s">
        <v>112</v>
      </c>
      <c r="R1774" s="189" t="s">
        <v>24</v>
      </c>
      <c r="S1774" s="189" t="s">
        <v>152</v>
      </c>
      <c r="T1774" s="189" t="s">
        <v>121</v>
      </c>
      <c r="V1774" s="189" t="s">
        <v>167</v>
      </c>
      <c r="W1774" s="189" t="s">
        <v>124</v>
      </c>
      <c r="X1774" s="189" t="s">
        <v>223</v>
      </c>
      <c r="Y1774" s="189" t="s">
        <v>3064</v>
      </c>
      <c r="Z1774" s="0" t="n">
        <v>2</v>
      </c>
      <c r="AA1774" s="189" t="s">
        <v>3104</v>
      </c>
    </row>
    <row r="1775" customFormat="false" ht="15" hidden="false" customHeight="false" outlineLevel="0" collapsed="false">
      <c r="A1775" s="0" t="n">
        <v>382</v>
      </c>
      <c r="B1775" s="191" t="n">
        <v>46035.0555224898</v>
      </c>
      <c r="C1775" s="191" t="n">
        <v>46035.0705919342</v>
      </c>
      <c r="D1775" s="189" t="s">
        <v>2377</v>
      </c>
      <c r="E1775" s="189" t="s">
        <v>2378</v>
      </c>
      <c r="F1775" s="189" t="s">
        <v>2378</v>
      </c>
      <c r="G1775" s="189" t="s">
        <v>2379</v>
      </c>
      <c r="H1775" s="191" t="n">
        <v>46030</v>
      </c>
      <c r="I1775" s="189" t="s">
        <v>336</v>
      </c>
      <c r="J1775" s="189" t="s">
        <v>128</v>
      </c>
      <c r="K1775" s="189" t="s">
        <v>143</v>
      </c>
      <c r="L1775" s="189" t="s">
        <v>431</v>
      </c>
      <c r="M1775" s="189" t="s">
        <v>1120</v>
      </c>
      <c r="N1775" s="189" t="s">
        <v>175</v>
      </c>
      <c r="O1775" s="189" t="s">
        <v>172</v>
      </c>
      <c r="P1775" s="189" t="s">
        <v>111</v>
      </c>
      <c r="Q1775" s="189" t="s">
        <v>112</v>
      </c>
      <c r="R1775" s="189" t="s">
        <v>24</v>
      </c>
      <c r="S1775" s="189" t="s">
        <v>152</v>
      </c>
      <c r="T1775" s="189" t="s">
        <v>121</v>
      </c>
      <c r="V1775" s="189" t="s">
        <v>167</v>
      </c>
      <c r="W1775" s="189" t="s">
        <v>124</v>
      </c>
      <c r="X1775" s="189" t="s">
        <v>223</v>
      </c>
      <c r="Y1775" s="189" t="s">
        <v>3066</v>
      </c>
      <c r="Z1775" s="0" t="n">
        <v>1</v>
      </c>
      <c r="AA1775" s="189" t="s">
        <v>3099</v>
      </c>
    </row>
    <row r="1776" customFormat="false" ht="15" hidden="false" customHeight="false" outlineLevel="0" collapsed="false">
      <c r="A1776" s="0" t="n">
        <v>382</v>
      </c>
      <c r="B1776" s="191" t="n">
        <v>46035.0555224898</v>
      </c>
      <c r="C1776" s="191" t="n">
        <v>46035.0705919342</v>
      </c>
      <c r="D1776" s="189" t="s">
        <v>2377</v>
      </c>
      <c r="E1776" s="189" t="s">
        <v>2378</v>
      </c>
      <c r="F1776" s="189" t="s">
        <v>2378</v>
      </c>
      <c r="G1776" s="189" t="s">
        <v>2379</v>
      </c>
      <c r="H1776" s="191" t="n">
        <v>46030</v>
      </c>
      <c r="I1776" s="189" t="s">
        <v>336</v>
      </c>
      <c r="J1776" s="189" t="s">
        <v>128</v>
      </c>
      <c r="K1776" s="189" t="s">
        <v>143</v>
      </c>
      <c r="L1776" s="189" t="s">
        <v>431</v>
      </c>
      <c r="M1776" s="189" t="s">
        <v>1120</v>
      </c>
      <c r="N1776" s="189" t="s">
        <v>175</v>
      </c>
      <c r="O1776" s="189" t="s">
        <v>172</v>
      </c>
      <c r="P1776" s="189" t="s">
        <v>111</v>
      </c>
      <c r="Q1776" s="189" t="s">
        <v>112</v>
      </c>
      <c r="R1776" s="189" t="s">
        <v>24</v>
      </c>
      <c r="S1776" s="189" t="s">
        <v>152</v>
      </c>
      <c r="T1776" s="189" t="s">
        <v>121</v>
      </c>
      <c r="V1776" s="189" t="s">
        <v>167</v>
      </c>
      <c r="W1776" s="189" t="s">
        <v>124</v>
      </c>
      <c r="X1776" s="189" t="s">
        <v>223</v>
      </c>
      <c r="Y1776" s="189" t="s">
        <v>3069</v>
      </c>
      <c r="Z1776" s="0" t="n">
        <v>1</v>
      </c>
      <c r="AA1776" s="189" t="s">
        <v>3102</v>
      </c>
    </row>
    <row r="1777" customFormat="false" ht="15" hidden="false" customHeight="false" outlineLevel="0" collapsed="false">
      <c r="A1777" s="0" t="n">
        <v>383</v>
      </c>
      <c r="B1777" s="191" t="n">
        <v>46171.384552972</v>
      </c>
      <c r="C1777" s="191" t="n">
        <v>46171.4043214906</v>
      </c>
      <c r="D1777" s="189" t="s">
        <v>2382</v>
      </c>
      <c r="E1777" s="189" t="s">
        <v>2383</v>
      </c>
      <c r="F1777" s="189" t="s">
        <v>2384</v>
      </c>
      <c r="G1777" s="189" t="s">
        <v>2385</v>
      </c>
      <c r="H1777" s="191" t="n">
        <v>46166</v>
      </c>
      <c r="I1777" s="189" t="s">
        <v>325</v>
      </c>
      <c r="J1777" s="189" t="s">
        <v>108</v>
      </c>
      <c r="K1777" s="189" t="s">
        <v>143</v>
      </c>
      <c r="L1777" s="189" t="s">
        <v>389</v>
      </c>
      <c r="M1777" s="189" t="s">
        <v>905</v>
      </c>
      <c r="N1777" s="189" t="s">
        <v>849</v>
      </c>
      <c r="O1777" s="189" t="s">
        <v>172</v>
      </c>
      <c r="P1777" s="189" t="s">
        <v>111</v>
      </c>
      <c r="Q1777" s="189" t="s">
        <v>145</v>
      </c>
      <c r="R1777" s="189" t="s">
        <v>22</v>
      </c>
      <c r="S1777" s="189" t="s">
        <v>152</v>
      </c>
      <c r="T1777" s="189" t="s">
        <v>180</v>
      </c>
      <c r="U1777" s="189" t="s">
        <v>1229</v>
      </c>
      <c r="V1777" s="189" t="s">
        <v>123</v>
      </c>
      <c r="W1777" s="189" t="s">
        <v>124</v>
      </c>
      <c r="X1777" s="189" t="s">
        <v>271</v>
      </c>
      <c r="Y1777" s="189" t="s">
        <v>3064</v>
      </c>
      <c r="Z1777" s="0" t="n">
        <v>1</v>
      </c>
      <c r="AA1777" s="189" t="s">
        <v>3135</v>
      </c>
    </row>
    <row r="1778" customFormat="false" ht="15" hidden="false" customHeight="false" outlineLevel="0" collapsed="false">
      <c r="A1778" s="0" t="n">
        <v>383</v>
      </c>
      <c r="B1778" s="191" t="n">
        <v>46171.384552972</v>
      </c>
      <c r="C1778" s="191" t="n">
        <v>46171.4043214906</v>
      </c>
      <c r="D1778" s="189" t="s">
        <v>2382</v>
      </c>
      <c r="E1778" s="189" t="s">
        <v>2383</v>
      </c>
      <c r="F1778" s="189" t="s">
        <v>2384</v>
      </c>
      <c r="G1778" s="189" t="s">
        <v>2385</v>
      </c>
      <c r="H1778" s="191" t="n">
        <v>46166</v>
      </c>
      <c r="I1778" s="189" t="s">
        <v>325</v>
      </c>
      <c r="J1778" s="189" t="s">
        <v>108</v>
      </c>
      <c r="K1778" s="189" t="s">
        <v>143</v>
      </c>
      <c r="L1778" s="189" t="s">
        <v>389</v>
      </c>
      <c r="M1778" s="189" t="s">
        <v>905</v>
      </c>
      <c r="N1778" s="189" t="s">
        <v>849</v>
      </c>
      <c r="O1778" s="189" t="s">
        <v>172</v>
      </c>
      <c r="P1778" s="189" t="s">
        <v>111</v>
      </c>
      <c r="Q1778" s="189" t="s">
        <v>145</v>
      </c>
      <c r="R1778" s="189" t="s">
        <v>22</v>
      </c>
      <c r="S1778" s="189" t="s">
        <v>152</v>
      </c>
      <c r="T1778" s="189" t="s">
        <v>180</v>
      </c>
      <c r="U1778" s="189" t="s">
        <v>1229</v>
      </c>
      <c r="V1778" s="189" t="s">
        <v>123</v>
      </c>
      <c r="W1778" s="189" t="s">
        <v>124</v>
      </c>
      <c r="X1778" s="189" t="s">
        <v>271</v>
      </c>
      <c r="Y1778" s="189" t="s">
        <v>3066</v>
      </c>
      <c r="Z1778" s="0" t="n">
        <v>1</v>
      </c>
      <c r="AA1778" s="189" t="s">
        <v>3137</v>
      </c>
    </row>
    <row r="1779" customFormat="false" ht="15" hidden="false" customHeight="false" outlineLevel="0" collapsed="false">
      <c r="A1779" s="0" t="n">
        <v>383</v>
      </c>
      <c r="B1779" s="191" t="n">
        <v>46171.384552972</v>
      </c>
      <c r="C1779" s="191" t="n">
        <v>46171.4043214906</v>
      </c>
      <c r="D1779" s="189" t="s">
        <v>2382</v>
      </c>
      <c r="E1779" s="189" t="s">
        <v>2383</v>
      </c>
      <c r="F1779" s="189" t="s">
        <v>2384</v>
      </c>
      <c r="G1779" s="189" t="s">
        <v>2385</v>
      </c>
      <c r="H1779" s="191" t="n">
        <v>46166</v>
      </c>
      <c r="I1779" s="189" t="s">
        <v>325</v>
      </c>
      <c r="J1779" s="189" t="s">
        <v>108</v>
      </c>
      <c r="K1779" s="189" t="s">
        <v>143</v>
      </c>
      <c r="L1779" s="189" t="s">
        <v>389</v>
      </c>
      <c r="M1779" s="189" t="s">
        <v>905</v>
      </c>
      <c r="N1779" s="189" t="s">
        <v>849</v>
      </c>
      <c r="O1779" s="189" t="s">
        <v>172</v>
      </c>
      <c r="P1779" s="189" t="s">
        <v>111</v>
      </c>
      <c r="Q1779" s="189" t="s">
        <v>145</v>
      </c>
      <c r="R1779" s="189" t="s">
        <v>22</v>
      </c>
      <c r="S1779" s="189" t="s">
        <v>152</v>
      </c>
      <c r="T1779" s="189" t="s">
        <v>180</v>
      </c>
      <c r="U1779" s="189" t="s">
        <v>1229</v>
      </c>
      <c r="V1779" s="189" t="s">
        <v>123</v>
      </c>
      <c r="W1779" s="189" t="s">
        <v>124</v>
      </c>
      <c r="X1779" s="189" t="s">
        <v>271</v>
      </c>
      <c r="Y1779" s="189" t="s">
        <v>3066</v>
      </c>
      <c r="Z1779" s="0" t="n">
        <v>2</v>
      </c>
      <c r="AA1779" s="189" t="s">
        <v>3266</v>
      </c>
    </row>
    <row r="1780" customFormat="false" ht="15" hidden="false" customHeight="false" outlineLevel="0" collapsed="false">
      <c r="A1780" s="0" t="n">
        <v>383</v>
      </c>
      <c r="B1780" s="191" t="n">
        <v>46171.384552972</v>
      </c>
      <c r="C1780" s="191" t="n">
        <v>46171.4043214906</v>
      </c>
      <c r="D1780" s="189" t="s">
        <v>2382</v>
      </c>
      <c r="E1780" s="189" t="s">
        <v>2383</v>
      </c>
      <c r="F1780" s="189" t="s">
        <v>2384</v>
      </c>
      <c r="G1780" s="189" t="s">
        <v>2385</v>
      </c>
      <c r="H1780" s="191" t="n">
        <v>46166</v>
      </c>
      <c r="I1780" s="189" t="s">
        <v>325</v>
      </c>
      <c r="J1780" s="189" t="s">
        <v>108</v>
      </c>
      <c r="K1780" s="189" t="s">
        <v>143</v>
      </c>
      <c r="L1780" s="189" t="s">
        <v>389</v>
      </c>
      <c r="M1780" s="189" t="s">
        <v>905</v>
      </c>
      <c r="N1780" s="189" t="s">
        <v>849</v>
      </c>
      <c r="O1780" s="189" t="s">
        <v>172</v>
      </c>
      <c r="P1780" s="189" t="s">
        <v>111</v>
      </c>
      <c r="Q1780" s="189" t="s">
        <v>145</v>
      </c>
      <c r="R1780" s="189" t="s">
        <v>22</v>
      </c>
      <c r="S1780" s="189" t="s">
        <v>152</v>
      </c>
      <c r="T1780" s="189" t="s">
        <v>180</v>
      </c>
      <c r="U1780" s="189" t="s">
        <v>1229</v>
      </c>
      <c r="V1780" s="189" t="s">
        <v>123</v>
      </c>
      <c r="W1780" s="189" t="s">
        <v>124</v>
      </c>
      <c r="X1780" s="189" t="s">
        <v>271</v>
      </c>
      <c r="Y1780" s="189" t="s">
        <v>3069</v>
      </c>
      <c r="Z1780" s="0" t="n">
        <v>1</v>
      </c>
      <c r="AA1780" s="189" t="s">
        <v>122</v>
      </c>
    </row>
    <row r="1781" customFormat="false" ht="15" hidden="false" customHeight="false" outlineLevel="0" collapsed="false">
      <c r="A1781" s="0" t="n">
        <v>383</v>
      </c>
      <c r="B1781" s="191" t="n">
        <v>46171.384552972</v>
      </c>
      <c r="C1781" s="191" t="n">
        <v>46171.4043214906</v>
      </c>
      <c r="D1781" s="189" t="s">
        <v>2382</v>
      </c>
      <c r="E1781" s="189" t="s">
        <v>2383</v>
      </c>
      <c r="F1781" s="189" t="s">
        <v>2384</v>
      </c>
      <c r="G1781" s="189" t="s">
        <v>2385</v>
      </c>
      <c r="H1781" s="191" t="n">
        <v>46166</v>
      </c>
      <c r="I1781" s="189" t="s">
        <v>325</v>
      </c>
      <c r="J1781" s="189" t="s">
        <v>108</v>
      </c>
      <c r="K1781" s="189" t="s">
        <v>143</v>
      </c>
      <c r="L1781" s="189" t="s">
        <v>389</v>
      </c>
      <c r="M1781" s="189" t="s">
        <v>905</v>
      </c>
      <c r="N1781" s="189" t="s">
        <v>849</v>
      </c>
      <c r="O1781" s="189" t="s">
        <v>172</v>
      </c>
      <c r="P1781" s="189" t="s">
        <v>111</v>
      </c>
      <c r="Q1781" s="189" t="s">
        <v>145</v>
      </c>
      <c r="R1781" s="189" t="s">
        <v>22</v>
      </c>
      <c r="S1781" s="189" t="s">
        <v>152</v>
      </c>
      <c r="T1781" s="189" t="s">
        <v>180</v>
      </c>
      <c r="U1781" s="189" t="s">
        <v>1229</v>
      </c>
      <c r="V1781" s="189" t="s">
        <v>123</v>
      </c>
      <c r="W1781" s="189" t="s">
        <v>124</v>
      </c>
      <c r="X1781" s="189" t="s">
        <v>271</v>
      </c>
      <c r="Y1781" s="189" t="s">
        <v>3069</v>
      </c>
      <c r="Z1781" s="0" t="n">
        <v>2</v>
      </c>
      <c r="AA1781" s="189" t="s">
        <v>3118</v>
      </c>
    </row>
    <row r="1782" customFormat="false" ht="15" hidden="false" customHeight="false" outlineLevel="0" collapsed="false">
      <c r="A1782" s="0" t="n">
        <v>384</v>
      </c>
      <c r="B1782" s="191" t="n">
        <v>46045.1478219291</v>
      </c>
      <c r="C1782" s="191" t="n">
        <v>46045.1492455402</v>
      </c>
      <c r="D1782" s="189" t="s">
        <v>2387</v>
      </c>
      <c r="E1782" s="189" t="s">
        <v>2388</v>
      </c>
      <c r="F1782" s="189" t="s">
        <v>2388</v>
      </c>
      <c r="G1782" s="189" t="s">
        <v>2389</v>
      </c>
      <c r="H1782" s="191" t="n">
        <v>46033</v>
      </c>
      <c r="I1782" s="189" t="s">
        <v>113</v>
      </c>
      <c r="J1782" s="189" t="s">
        <v>295</v>
      </c>
      <c r="K1782" s="189" t="s">
        <v>2390</v>
      </c>
      <c r="L1782" s="189" t="s">
        <v>286</v>
      </c>
      <c r="M1782" s="189" t="s">
        <v>212</v>
      </c>
      <c r="N1782" s="189" t="s">
        <v>714</v>
      </c>
      <c r="O1782" s="189" t="s">
        <v>713</v>
      </c>
      <c r="P1782" s="189" t="s">
        <v>111</v>
      </c>
      <c r="Q1782" s="189" t="s">
        <v>112</v>
      </c>
      <c r="R1782" s="189" t="s">
        <v>22</v>
      </c>
      <c r="S1782" s="189" t="s">
        <v>152</v>
      </c>
      <c r="T1782" s="189" t="s">
        <v>121</v>
      </c>
      <c r="U1782" s="189" t="s">
        <v>122</v>
      </c>
      <c r="V1782" s="189" t="s">
        <v>123</v>
      </c>
      <c r="W1782" s="189" t="s">
        <v>124</v>
      </c>
      <c r="X1782" s="189" t="s">
        <v>298</v>
      </c>
      <c r="Y1782" s="189" t="s">
        <v>3064</v>
      </c>
      <c r="Z1782" s="0" t="n">
        <v>1</v>
      </c>
      <c r="AA1782" s="189" t="s">
        <v>3194</v>
      </c>
    </row>
    <row r="1783" customFormat="false" ht="15" hidden="false" customHeight="false" outlineLevel="0" collapsed="false">
      <c r="A1783" s="0" t="n">
        <v>384</v>
      </c>
      <c r="B1783" s="191" t="n">
        <v>46045.1478219291</v>
      </c>
      <c r="C1783" s="191" t="n">
        <v>46045.1492455402</v>
      </c>
      <c r="D1783" s="189" t="s">
        <v>2387</v>
      </c>
      <c r="E1783" s="189" t="s">
        <v>2388</v>
      </c>
      <c r="F1783" s="189" t="s">
        <v>2388</v>
      </c>
      <c r="G1783" s="189" t="s">
        <v>2389</v>
      </c>
      <c r="H1783" s="191" t="n">
        <v>46033</v>
      </c>
      <c r="I1783" s="189" t="s">
        <v>113</v>
      </c>
      <c r="J1783" s="189" t="s">
        <v>295</v>
      </c>
      <c r="K1783" s="189" t="s">
        <v>2390</v>
      </c>
      <c r="L1783" s="189" t="s">
        <v>286</v>
      </c>
      <c r="M1783" s="189" t="s">
        <v>212</v>
      </c>
      <c r="N1783" s="189" t="s">
        <v>714</v>
      </c>
      <c r="O1783" s="189" t="s">
        <v>713</v>
      </c>
      <c r="P1783" s="189" t="s">
        <v>111</v>
      </c>
      <c r="Q1783" s="189" t="s">
        <v>112</v>
      </c>
      <c r="R1783" s="189" t="s">
        <v>22</v>
      </c>
      <c r="S1783" s="189" t="s">
        <v>152</v>
      </c>
      <c r="T1783" s="189" t="s">
        <v>121</v>
      </c>
      <c r="U1783" s="189" t="s">
        <v>122</v>
      </c>
      <c r="V1783" s="189" t="s">
        <v>123</v>
      </c>
      <c r="W1783" s="189" t="s">
        <v>124</v>
      </c>
      <c r="X1783" s="189" t="s">
        <v>298</v>
      </c>
      <c r="Y1783" s="189" t="s">
        <v>3064</v>
      </c>
      <c r="Z1783" s="0" t="n">
        <v>2</v>
      </c>
      <c r="AA1783" s="189" t="s">
        <v>3195</v>
      </c>
    </row>
    <row r="1784" customFormat="false" ht="15" hidden="false" customHeight="false" outlineLevel="0" collapsed="false">
      <c r="A1784" s="0" t="n">
        <v>384</v>
      </c>
      <c r="B1784" s="191" t="n">
        <v>46045.1478219291</v>
      </c>
      <c r="C1784" s="191" t="n">
        <v>46045.1492455402</v>
      </c>
      <c r="D1784" s="189" t="s">
        <v>2387</v>
      </c>
      <c r="E1784" s="189" t="s">
        <v>2388</v>
      </c>
      <c r="F1784" s="189" t="s">
        <v>2388</v>
      </c>
      <c r="G1784" s="189" t="s">
        <v>2389</v>
      </c>
      <c r="H1784" s="191" t="n">
        <v>46033</v>
      </c>
      <c r="I1784" s="189" t="s">
        <v>113</v>
      </c>
      <c r="J1784" s="189" t="s">
        <v>295</v>
      </c>
      <c r="K1784" s="189" t="s">
        <v>2390</v>
      </c>
      <c r="L1784" s="189" t="s">
        <v>286</v>
      </c>
      <c r="M1784" s="189" t="s">
        <v>212</v>
      </c>
      <c r="N1784" s="189" t="s">
        <v>714</v>
      </c>
      <c r="O1784" s="189" t="s">
        <v>713</v>
      </c>
      <c r="P1784" s="189" t="s">
        <v>111</v>
      </c>
      <c r="Q1784" s="189" t="s">
        <v>112</v>
      </c>
      <c r="R1784" s="189" t="s">
        <v>22</v>
      </c>
      <c r="S1784" s="189" t="s">
        <v>152</v>
      </c>
      <c r="T1784" s="189" t="s">
        <v>121</v>
      </c>
      <c r="U1784" s="189" t="s">
        <v>122</v>
      </c>
      <c r="V1784" s="189" t="s">
        <v>123</v>
      </c>
      <c r="W1784" s="189" t="s">
        <v>124</v>
      </c>
      <c r="X1784" s="189" t="s">
        <v>298</v>
      </c>
      <c r="Y1784" s="189" t="s">
        <v>3066</v>
      </c>
      <c r="Z1784" s="0" t="n">
        <v>1</v>
      </c>
      <c r="AA1784" s="189" t="s">
        <v>3286</v>
      </c>
    </row>
    <row r="1785" customFormat="false" ht="15" hidden="false" customHeight="false" outlineLevel="0" collapsed="false">
      <c r="A1785" s="0" t="n">
        <v>384</v>
      </c>
      <c r="B1785" s="191" t="n">
        <v>46045.1478219291</v>
      </c>
      <c r="C1785" s="191" t="n">
        <v>46045.1492455402</v>
      </c>
      <c r="D1785" s="189" t="s">
        <v>2387</v>
      </c>
      <c r="E1785" s="189" t="s">
        <v>2388</v>
      </c>
      <c r="F1785" s="189" t="s">
        <v>2388</v>
      </c>
      <c r="G1785" s="189" t="s">
        <v>2389</v>
      </c>
      <c r="H1785" s="191" t="n">
        <v>46033</v>
      </c>
      <c r="I1785" s="189" t="s">
        <v>113</v>
      </c>
      <c r="J1785" s="189" t="s">
        <v>295</v>
      </c>
      <c r="K1785" s="189" t="s">
        <v>2390</v>
      </c>
      <c r="L1785" s="189" t="s">
        <v>286</v>
      </c>
      <c r="M1785" s="189" t="s">
        <v>212</v>
      </c>
      <c r="N1785" s="189" t="s">
        <v>714</v>
      </c>
      <c r="O1785" s="189" t="s">
        <v>713</v>
      </c>
      <c r="P1785" s="189" t="s">
        <v>111</v>
      </c>
      <c r="Q1785" s="189" t="s">
        <v>112</v>
      </c>
      <c r="R1785" s="189" t="s">
        <v>22</v>
      </c>
      <c r="S1785" s="189" t="s">
        <v>152</v>
      </c>
      <c r="T1785" s="189" t="s">
        <v>121</v>
      </c>
      <c r="U1785" s="189" t="s">
        <v>122</v>
      </c>
      <c r="V1785" s="189" t="s">
        <v>123</v>
      </c>
      <c r="W1785" s="189" t="s">
        <v>124</v>
      </c>
      <c r="X1785" s="189" t="s">
        <v>298</v>
      </c>
      <c r="Y1785" s="189" t="s">
        <v>3066</v>
      </c>
      <c r="Z1785" s="0" t="n">
        <v>2</v>
      </c>
      <c r="AA1785" s="189" t="s">
        <v>3237</v>
      </c>
    </row>
    <row r="1786" customFormat="false" ht="15" hidden="false" customHeight="false" outlineLevel="0" collapsed="false">
      <c r="A1786" s="0" t="n">
        <v>384</v>
      </c>
      <c r="B1786" s="191" t="n">
        <v>46045.1478219291</v>
      </c>
      <c r="C1786" s="191" t="n">
        <v>46045.1492455402</v>
      </c>
      <c r="D1786" s="189" t="s">
        <v>2387</v>
      </c>
      <c r="E1786" s="189" t="s">
        <v>2388</v>
      </c>
      <c r="F1786" s="189" t="s">
        <v>2388</v>
      </c>
      <c r="G1786" s="189" t="s">
        <v>2389</v>
      </c>
      <c r="H1786" s="191" t="n">
        <v>46033</v>
      </c>
      <c r="I1786" s="189" t="s">
        <v>113</v>
      </c>
      <c r="J1786" s="189" t="s">
        <v>295</v>
      </c>
      <c r="K1786" s="189" t="s">
        <v>2390</v>
      </c>
      <c r="L1786" s="189" t="s">
        <v>286</v>
      </c>
      <c r="M1786" s="189" t="s">
        <v>212</v>
      </c>
      <c r="N1786" s="189" t="s">
        <v>714</v>
      </c>
      <c r="O1786" s="189" t="s">
        <v>713</v>
      </c>
      <c r="P1786" s="189" t="s">
        <v>111</v>
      </c>
      <c r="Q1786" s="189" t="s">
        <v>112</v>
      </c>
      <c r="R1786" s="189" t="s">
        <v>22</v>
      </c>
      <c r="S1786" s="189" t="s">
        <v>152</v>
      </c>
      <c r="T1786" s="189" t="s">
        <v>121</v>
      </c>
      <c r="U1786" s="189" t="s">
        <v>122</v>
      </c>
      <c r="V1786" s="189" t="s">
        <v>123</v>
      </c>
      <c r="W1786" s="189" t="s">
        <v>124</v>
      </c>
      <c r="X1786" s="189" t="s">
        <v>298</v>
      </c>
      <c r="Y1786" s="189" t="s">
        <v>3069</v>
      </c>
      <c r="Z1786" s="0" t="n">
        <v>1</v>
      </c>
      <c r="AA1786" s="189" t="s">
        <v>3215</v>
      </c>
    </row>
    <row r="1787" customFormat="false" ht="15" hidden="false" customHeight="false" outlineLevel="0" collapsed="false">
      <c r="A1787" s="0" t="n">
        <v>384</v>
      </c>
      <c r="B1787" s="191" t="n">
        <v>46045.1478219291</v>
      </c>
      <c r="C1787" s="191" t="n">
        <v>46045.1492455402</v>
      </c>
      <c r="D1787" s="189" t="s">
        <v>2387</v>
      </c>
      <c r="E1787" s="189" t="s">
        <v>2388</v>
      </c>
      <c r="F1787" s="189" t="s">
        <v>2388</v>
      </c>
      <c r="G1787" s="189" t="s">
        <v>2389</v>
      </c>
      <c r="H1787" s="191" t="n">
        <v>46033</v>
      </c>
      <c r="I1787" s="189" t="s">
        <v>113</v>
      </c>
      <c r="J1787" s="189" t="s">
        <v>295</v>
      </c>
      <c r="K1787" s="189" t="s">
        <v>2390</v>
      </c>
      <c r="L1787" s="189" t="s">
        <v>286</v>
      </c>
      <c r="M1787" s="189" t="s">
        <v>212</v>
      </c>
      <c r="N1787" s="189" t="s">
        <v>714</v>
      </c>
      <c r="O1787" s="189" t="s">
        <v>713</v>
      </c>
      <c r="P1787" s="189" t="s">
        <v>111</v>
      </c>
      <c r="Q1787" s="189" t="s">
        <v>112</v>
      </c>
      <c r="R1787" s="189" t="s">
        <v>22</v>
      </c>
      <c r="S1787" s="189" t="s">
        <v>152</v>
      </c>
      <c r="T1787" s="189" t="s">
        <v>121</v>
      </c>
      <c r="U1787" s="189" t="s">
        <v>122</v>
      </c>
      <c r="V1787" s="189" t="s">
        <v>123</v>
      </c>
      <c r="W1787" s="189" t="s">
        <v>124</v>
      </c>
      <c r="X1787" s="189" t="s">
        <v>298</v>
      </c>
      <c r="Y1787" s="189" t="s">
        <v>3069</v>
      </c>
      <c r="Z1787" s="0" t="n">
        <v>2</v>
      </c>
      <c r="AA1787" s="189" t="s">
        <v>3127</v>
      </c>
    </row>
    <row r="1788" customFormat="false" ht="15" hidden="false" customHeight="false" outlineLevel="0" collapsed="false">
      <c r="A1788" s="0" t="n">
        <v>385</v>
      </c>
      <c r="B1788" s="191" t="n">
        <v>46159.0310459914</v>
      </c>
      <c r="C1788" s="191" t="n">
        <v>46159.0362427507</v>
      </c>
      <c r="D1788" s="189" t="s">
        <v>2393</v>
      </c>
      <c r="E1788" s="189" t="s">
        <v>2394</v>
      </c>
      <c r="F1788" s="189" t="s">
        <v>2395</v>
      </c>
      <c r="G1788" s="189" t="s">
        <v>2396</v>
      </c>
      <c r="H1788" s="191" t="n">
        <v>46143</v>
      </c>
      <c r="I1788" s="189" t="s">
        <v>113</v>
      </c>
      <c r="J1788" s="189" t="s">
        <v>108</v>
      </c>
      <c r="K1788" s="189" t="s">
        <v>245</v>
      </c>
      <c r="L1788" s="189" t="s">
        <v>159</v>
      </c>
      <c r="M1788" s="189" t="s">
        <v>337</v>
      </c>
      <c r="N1788" s="189" t="s">
        <v>810</v>
      </c>
      <c r="O1788" s="189" t="s">
        <v>172</v>
      </c>
      <c r="P1788" s="189" t="s">
        <v>111</v>
      </c>
      <c r="Q1788" s="189" t="s">
        <v>112</v>
      </c>
      <c r="R1788" s="189" t="s">
        <v>22</v>
      </c>
      <c r="S1788" s="189" t="s">
        <v>152</v>
      </c>
      <c r="T1788" s="189" t="s">
        <v>121</v>
      </c>
      <c r="U1788" s="189" t="s">
        <v>385</v>
      </c>
      <c r="V1788" s="189" t="s">
        <v>123</v>
      </c>
      <c r="W1788" s="189" t="s">
        <v>124</v>
      </c>
      <c r="X1788" s="189" t="s">
        <v>381</v>
      </c>
      <c r="Y1788" s="189" t="s">
        <v>3064</v>
      </c>
      <c r="Z1788" s="0" t="n">
        <v>1</v>
      </c>
      <c r="AA1788" s="189" t="s">
        <v>3180</v>
      </c>
    </row>
    <row r="1789" customFormat="false" ht="15" hidden="false" customHeight="false" outlineLevel="0" collapsed="false">
      <c r="A1789" s="0" t="n">
        <v>385</v>
      </c>
      <c r="B1789" s="191" t="n">
        <v>46159.0310459914</v>
      </c>
      <c r="C1789" s="191" t="n">
        <v>46159.0362427507</v>
      </c>
      <c r="D1789" s="189" t="s">
        <v>2393</v>
      </c>
      <c r="E1789" s="189" t="s">
        <v>2394</v>
      </c>
      <c r="F1789" s="189" t="s">
        <v>2395</v>
      </c>
      <c r="G1789" s="189" t="s">
        <v>2396</v>
      </c>
      <c r="H1789" s="191" t="n">
        <v>46143</v>
      </c>
      <c r="I1789" s="189" t="s">
        <v>113</v>
      </c>
      <c r="J1789" s="189" t="s">
        <v>108</v>
      </c>
      <c r="K1789" s="189" t="s">
        <v>245</v>
      </c>
      <c r="L1789" s="189" t="s">
        <v>159</v>
      </c>
      <c r="M1789" s="189" t="s">
        <v>337</v>
      </c>
      <c r="N1789" s="189" t="s">
        <v>810</v>
      </c>
      <c r="O1789" s="189" t="s">
        <v>172</v>
      </c>
      <c r="P1789" s="189" t="s">
        <v>111</v>
      </c>
      <c r="Q1789" s="189" t="s">
        <v>112</v>
      </c>
      <c r="R1789" s="189" t="s">
        <v>22</v>
      </c>
      <c r="S1789" s="189" t="s">
        <v>152</v>
      </c>
      <c r="T1789" s="189" t="s">
        <v>121</v>
      </c>
      <c r="U1789" s="189" t="s">
        <v>385</v>
      </c>
      <c r="V1789" s="189" t="s">
        <v>123</v>
      </c>
      <c r="W1789" s="189" t="s">
        <v>124</v>
      </c>
      <c r="X1789" s="189" t="s">
        <v>381</v>
      </c>
      <c r="Y1789" s="189" t="s">
        <v>3064</v>
      </c>
      <c r="Z1789" s="0" t="n">
        <v>2</v>
      </c>
      <c r="AA1789" s="189" t="s">
        <v>3249</v>
      </c>
    </row>
    <row r="1790" customFormat="false" ht="15" hidden="false" customHeight="false" outlineLevel="0" collapsed="false">
      <c r="A1790" s="0" t="n">
        <v>385</v>
      </c>
      <c r="B1790" s="191" t="n">
        <v>46159.0310459914</v>
      </c>
      <c r="C1790" s="191" t="n">
        <v>46159.0362427507</v>
      </c>
      <c r="D1790" s="189" t="s">
        <v>2393</v>
      </c>
      <c r="E1790" s="189" t="s">
        <v>2394</v>
      </c>
      <c r="F1790" s="189" t="s">
        <v>2395</v>
      </c>
      <c r="G1790" s="189" t="s">
        <v>2396</v>
      </c>
      <c r="H1790" s="191" t="n">
        <v>46143</v>
      </c>
      <c r="I1790" s="189" t="s">
        <v>113</v>
      </c>
      <c r="J1790" s="189" t="s">
        <v>108</v>
      </c>
      <c r="K1790" s="189" t="s">
        <v>245</v>
      </c>
      <c r="L1790" s="189" t="s">
        <v>159</v>
      </c>
      <c r="M1790" s="189" t="s">
        <v>337</v>
      </c>
      <c r="N1790" s="189" t="s">
        <v>810</v>
      </c>
      <c r="O1790" s="189" t="s">
        <v>172</v>
      </c>
      <c r="P1790" s="189" t="s">
        <v>111</v>
      </c>
      <c r="Q1790" s="189" t="s">
        <v>112</v>
      </c>
      <c r="R1790" s="189" t="s">
        <v>22</v>
      </c>
      <c r="S1790" s="189" t="s">
        <v>152</v>
      </c>
      <c r="T1790" s="189" t="s">
        <v>121</v>
      </c>
      <c r="U1790" s="189" t="s">
        <v>385</v>
      </c>
      <c r="V1790" s="189" t="s">
        <v>123</v>
      </c>
      <c r="W1790" s="189" t="s">
        <v>124</v>
      </c>
      <c r="X1790" s="189" t="s">
        <v>381</v>
      </c>
      <c r="Y1790" s="189" t="s">
        <v>3064</v>
      </c>
      <c r="Z1790" s="0" t="n">
        <v>3</v>
      </c>
      <c r="AA1790" s="189" t="s">
        <v>3233</v>
      </c>
    </row>
    <row r="1791" customFormat="false" ht="15" hidden="false" customHeight="false" outlineLevel="0" collapsed="false">
      <c r="A1791" s="0" t="n">
        <v>385</v>
      </c>
      <c r="B1791" s="191" t="n">
        <v>46159.0310459914</v>
      </c>
      <c r="C1791" s="191" t="n">
        <v>46159.0362427507</v>
      </c>
      <c r="D1791" s="189" t="s">
        <v>2393</v>
      </c>
      <c r="E1791" s="189" t="s">
        <v>2394</v>
      </c>
      <c r="F1791" s="189" t="s">
        <v>2395</v>
      </c>
      <c r="G1791" s="189" t="s">
        <v>2396</v>
      </c>
      <c r="H1791" s="191" t="n">
        <v>46143</v>
      </c>
      <c r="I1791" s="189" t="s">
        <v>113</v>
      </c>
      <c r="J1791" s="189" t="s">
        <v>108</v>
      </c>
      <c r="K1791" s="189" t="s">
        <v>245</v>
      </c>
      <c r="L1791" s="189" t="s">
        <v>159</v>
      </c>
      <c r="M1791" s="189" t="s">
        <v>337</v>
      </c>
      <c r="N1791" s="189" t="s">
        <v>810</v>
      </c>
      <c r="O1791" s="189" t="s">
        <v>172</v>
      </c>
      <c r="P1791" s="189" t="s">
        <v>111</v>
      </c>
      <c r="Q1791" s="189" t="s">
        <v>112</v>
      </c>
      <c r="R1791" s="189" t="s">
        <v>22</v>
      </c>
      <c r="S1791" s="189" t="s">
        <v>152</v>
      </c>
      <c r="T1791" s="189" t="s">
        <v>121</v>
      </c>
      <c r="U1791" s="189" t="s">
        <v>385</v>
      </c>
      <c r="V1791" s="189" t="s">
        <v>123</v>
      </c>
      <c r="W1791" s="189" t="s">
        <v>124</v>
      </c>
      <c r="X1791" s="189" t="s">
        <v>381</v>
      </c>
      <c r="Y1791" s="189" t="s">
        <v>3066</v>
      </c>
      <c r="Z1791" s="0" t="n">
        <v>1</v>
      </c>
      <c r="AA1791" s="189" t="s">
        <v>3250</v>
      </c>
    </row>
    <row r="1792" customFormat="false" ht="15" hidden="false" customHeight="false" outlineLevel="0" collapsed="false">
      <c r="A1792" s="0" t="n">
        <v>385</v>
      </c>
      <c r="B1792" s="191" t="n">
        <v>46159.0310459914</v>
      </c>
      <c r="C1792" s="191" t="n">
        <v>46159.0362427507</v>
      </c>
      <c r="D1792" s="189" t="s">
        <v>2393</v>
      </c>
      <c r="E1792" s="189" t="s">
        <v>2394</v>
      </c>
      <c r="F1792" s="189" t="s">
        <v>2395</v>
      </c>
      <c r="G1792" s="189" t="s">
        <v>2396</v>
      </c>
      <c r="H1792" s="191" t="n">
        <v>46143</v>
      </c>
      <c r="I1792" s="189" t="s">
        <v>113</v>
      </c>
      <c r="J1792" s="189" t="s">
        <v>108</v>
      </c>
      <c r="K1792" s="189" t="s">
        <v>245</v>
      </c>
      <c r="L1792" s="189" t="s">
        <v>159</v>
      </c>
      <c r="M1792" s="189" t="s">
        <v>337</v>
      </c>
      <c r="N1792" s="189" t="s">
        <v>810</v>
      </c>
      <c r="O1792" s="189" t="s">
        <v>172</v>
      </c>
      <c r="P1792" s="189" t="s">
        <v>111</v>
      </c>
      <c r="Q1792" s="189" t="s">
        <v>112</v>
      </c>
      <c r="R1792" s="189" t="s">
        <v>22</v>
      </c>
      <c r="S1792" s="189" t="s">
        <v>152</v>
      </c>
      <c r="T1792" s="189" t="s">
        <v>121</v>
      </c>
      <c r="U1792" s="189" t="s">
        <v>385</v>
      </c>
      <c r="V1792" s="189" t="s">
        <v>123</v>
      </c>
      <c r="W1792" s="189" t="s">
        <v>124</v>
      </c>
      <c r="X1792" s="189" t="s">
        <v>381</v>
      </c>
      <c r="Y1792" s="189" t="s">
        <v>3066</v>
      </c>
      <c r="Z1792" s="0" t="n">
        <v>2</v>
      </c>
      <c r="AA1792" s="189" t="s">
        <v>3160</v>
      </c>
    </row>
    <row r="1793" customFormat="false" ht="15" hidden="false" customHeight="false" outlineLevel="0" collapsed="false">
      <c r="A1793" s="0" t="n">
        <v>385</v>
      </c>
      <c r="B1793" s="191" t="n">
        <v>46159.0310459914</v>
      </c>
      <c r="C1793" s="191" t="n">
        <v>46159.0362427507</v>
      </c>
      <c r="D1793" s="189" t="s">
        <v>2393</v>
      </c>
      <c r="E1793" s="189" t="s">
        <v>2394</v>
      </c>
      <c r="F1793" s="189" t="s">
        <v>2395</v>
      </c>
      <c r="G1793" s="189" t="s">
        <v>2396</v>
      </c>
      <c r="H1793" s="191" t="n">
        <v>46143</v>
      </c>
      <c r="I1793" s="189" t="s">
        <v>113</v>
      </c>
      <c r="J1793" s="189" t="s">
        <v>108</v>
      </c>
      <c r="K1793" s="189" t="s">
        <v>245</v>
      </c>
      <c r="L1793" s="189" t="s">
        <v>159</v>
      </c>
      <c r="M1793" s="189" t="s">
        <v>337</v>
      </c>
      <c r="N1793" s="189" t="s">
        <v>810</v>
      </c>
      <c r="O1793" s="189" t="s">
        <v>172</v>
      </c>
      <c r="P1793" s="189" t="s">
        <v>111</v>
      </c>
      <c r="Q1793" s="189" t="s">
        <v>112</v>
      </c>
      <c r="R1793" s="189" t="s">
        <v>22</v>
      </c>
      <c r="S1793" s="189" t="s">
        <v>152</v>
      </c>
      <c r="T1793" s="189" t="s">
        <v>121</v>
      </c>
      <c r="U1793" s="189" t="s">
        <v>385</v>
      </c>
      <c r="V1793" s="189" t="s">
        <v>123</v>
      </c>
      <c r="W1793" s="189" t="s">
        <v>124</v>
      </c>
      <c r="X1793" s="189" t="s">
        <v>381</v>
      </c>
      <c r="Y1793" s="189" t="s">
        <v>3069</v>
      </c>
      <c r="Z1793" s="0" t="n">
        <v>1</v>
      </c>
      <c r="AA1793" s="189" t="s">
        <v>3163</v>
      </c>
    </row>
    <row r="1794" customFormat="false" ht="15" hidden="false" customHeight="false" outlineLevel="0" collapsed="false">
      <c r="A1794" s="0" t="n">
        <v>385</v>
      </c>
      <c r="B1794" s="191" t="n">
        <v>46159.0310459914</v>
      </c>
      <c r="C1794" s="191" t="n">
        <v>46159.0362427507</v>
      </c>
      <c r="D1794" s="189" t="s">
        <v>2393</v>
      </c>
      <c r="E1794" s="189" t="s">
        <v>2394</v>
      </c>
      <c r="F1794" s="189" t="s">
        <v>2395</v>
      </c>
      <c r="G1794" s="189" t="s">
        <v>2396</v>
      </c>
      <c r="H1794" s="191" t="n">
        <v>46143</v>
      </c>
      <c r="I1794" s="189" t="s">
        <v>113</v>
      </c>
      <c r="J1794" s="189" t="s">
        <v>108</v>
      </c>
      <c r="K1794" s="189" t="s">
        <v>245</v>
      </c>
      <c r="L1794" s="189" t="s">
        <v>159</v>
      </c>
      <c r="M1794" s="189" t="s">
        <v>337</v>
      </c>
      <c r="N1794" s="189" t="s">
        <v>810</v>
      </c>
      <c r="O1794" s="189" t="s">
        <v>172</v>
      </c>
      <c r="P1794" s="189" t="s">
        <v>111</v>
      </c>
      <c r="Q1794" s="189" t="s">
        <v>112</v>
      </c>
      <c r="R1794" s="189" t="s">
        <v>22</v>
      </c>
      <c r="S1794" s="189" t="s">
        <v>152</v>
      </c>
      <c r="T1794" s="189" t="s">
        <v>121</v>
      </c>
      <c r="U1794" s="189" t="s">
        <v>385</v>
      </c>
      <c r="V1794" s="189" t="s">
        <v>123</v>
      </c>
      <c r="W1794" s="189" t="s">
        <v>124</v>
      </c>
      <c r="X1794" s="189" t="s">
        <v>381</v>
      </c>
      <c r="Y1794" s="189" t="s">
        <v>3069</v>
      </c>
      <c r="Z1794" s="0" t="n">
        <v>2</v>
      </c>
      <c r="AA1794" s="189" t="s">
        <v>3181</v>
      </c>
    </row>
    <row r="1795" customFormat="false" ht="15" hidden="false" customHeight="false" outlineLevel="0" collapsed="false">
      <c r="A1795" s="0" t="n">
        <v>386</v>
      </c>
      <c r="B1795" s="191" t="n">
        <v>46208.5463340757</v>
      </c>
      <c r="C1795" s="191" t="n">
        <v>46208.558729909</v>
      </c>
      <c r="D1795" s="189" t="s">
        <v>2399</v>
      </c>
      <c r="E1795" s="189" t="s">
        <v>2400</v>
      </c>
      <c r="F1795" s="189" t="s">
        <v>2401</v>
      </c>
      <c r="G1795" s="189" t="s">
        <v>2402</v>
      </c>
      <c r="H1795" s="191" t="n">
        <v>46193</v>
      </c>
      <c r="I1795" s="189" t="s">
        <v>325</v>
      </c>
      <c r="J1795" s="189" t="s">
        <v>108</v>
      </c>
      <c r="K1795" s="189" t="s">
        <v>257</v>
      </c>
      <c r="L1795" s="189" t="s">
        <v>346</v>
      </c>
      <c r="M1795" s="189" t="s">
        <v>1151</v>
      </c>
      <c r="N1795" s="189" t="s">
        <v>249</v>
      </c>
      <c r="O1795" s="189" t="s">
        <v>172</v>
      </c>
      <c r="P1795" s="189" t="s">
        <v>111</v>
      </c>
      <c r="Q1795" s="189" t="s">
        <v>112</v>
      </c>
      <c r="R1795" s="189" t="s">
        <v>22</v>
      </c>
      <c r="S1795" s="189" t="s">
        <v>152</v>
      </c>
      <c r="T1795" s="189" t="s">
        <v>352</v>
      </c>
      <c r="V1795" s="189" t="s">
        <v>123</v>
      </c>
      <c r="W1795" s="189" t="s">
        <v>124</v>
      </c>
      <c r="X1795" s="189" t="s">
        <v>715</v>
      </c>
      <c r="Y1795" s="189" t="s">
        <v>3064</v>
      </c>
      <c r="Z1795" s="0" t="n">
        <v>1</v>
      </c>
      <c r="AA1795" s="189" t="s">
        <v>3225</v>
      </c>
    </row>
    <row r="1796" customFormat="false" ht="15" hidden="false" customHeight="false" outlineLevel="0" collapsed="false">
      <c r="A1796" s="0" t="n">
        <v>386</v>
      </c>
      <c r="B1796" s="191" t="n">
        <v>46208.5463340757</v>
      </c>
      <c r="C1796" s="191" t="n">
        <v>46208.558729909</v>
      </c>
      <c r="D1796" s="189" t="s">
        <v>2399</v>
      </c>
      <c r="E1796" s="189" t="s">
        <v>2400</v>
      </c>
      <c r="F1796" s="189" t="s">
        <v>2401</v>
      </c>
      <c r="G1796" s="189" t="s">
        <v>2402</v>
      </c>
      <c r="H1796" s="191" t="n">
        <v>46193</v>
      </c>
      <c r="I1796" s="189" t="s">
        <v>325</v>
      </c>
      <c r="J1796" s="189" t="s">
        <v>108</v>
      </c>
      <c r="K1796" s="189" t="s">
        <v>257</v>
      </c>
      <c r="L1796" s="189" t="s">
        <v>346</v>
      </c>
      <c r="M1796" s="189" t="s">
        <v>1151</v>
      </c>
      <c r="N1796" s="189" t="s">
        <v>249</v>
      </c>
      <c r="O1796" s="189" t="s">
        <v>172</v>
      </c>
      <c r="P1796" s="189" t="s">
        <v>111</v>
      </c>
      <c r="Q1796" s="189" t="s">
        <v>112</v>
      </c>
      <c r="R1796" s="189" t="s">
        <v>22</v>
      </c>
      <c r="S1796" s="189" t="s">
        <v>152</v>
      </c>
      <c r="T1796" s="189" t="s">
        <v>352</v>
      </c>
      <c r="V1796" s="189" t="s">
        <v>123</v>
      </c>
      <c r="W1796" s="189" t="s">
        <v>124</v>
      </c>
      <c r="X1796" s="189" t="s">
        <v>715</v>
      </c>
      <c r="Y1796" s="189" t="s">
        <v>3064</v>
      </c>
      <c r="Z1796" s="0" t="n">
        <v>2</v>
      </c>
      <c r="AA1796" s="189" t="s">
        <v>3252</v>
      </c>
    </row>
    <row r="1797" customFormat="false" ht="15" hidden="false" customHeight="false" outlineLevel="0" collapsed="false">
      <c r="A1797" s="0" t="n">
        <v>386</v>
      </c>
      <c r="B1797" s="191" t="n">
        <v>46208.5463340757</v>
      </c>
      <c r="C1797" s="191" t="n">
        <v>46208.558729909</v>
      </c>
      <c r="D1797" s="189" t="s">
        <v>2399</v>
      </c>
      <c r="E1797" s="189" t="s">
        <v>2400</v>
      </c>
      <c r="F1797" s="189" t="s">
        <v>2401</v>
      </c>
      <c r="G1797" s="189" t="s">
        <v>2402</v>
      </c>
      <c r="H1797" s="191" t="n">
        <v>46193</v>
      </c>
      <c r="I1797" s="189" t="s">
        <v>325</v>
      </c>
      <c r="J1797" s="189" t="s">
        <v>108</v>
      </c>
      <c r="K1797" s="189" t="s">
        <v>257</v>
      </c>
      <c r="L1797" s="189" t="s">
        <v>346</v>
      </c>
      <c r="M1797" s="189" t="s">
        <v>1151</v>
      </c>
      <c r="N1797" s="189" t="s">
        <v>249</v>
      </c>
      <c r="O1797" s="189" t="s">
        <v>172</v>
      </c>
      <c r="P1797" s="189" t="s">
        <v>111</v>
      </c>
      <c r="Q1797" s="189" t="s">
        <v>112</v>
      </c>
      <c r="R1797" s="189" t="s">
        <v>22</v>
      </c>
      <c r="S1797" s="189" t="s">
        <v>152</v>
      </c>
      <c r="T1797" s="189" t="s">
        <v>352</v>
      </c>
      <c r="V1797" s="189" t="s">
        <v>123</v>
      </c>
      <c r="W1797" s="189" t="s">
        <v>124</v>
      </c>
      <c r="X1797" s="189" t="s">
        <v>715</v>
      </c>
      <c r="Y1797" s="189" t="s">
        <v>3066</v>
      </c>
      <c r="Z1797" s="0" t="n">
        <v>1</v>
      </c>
      <c r="AA1797" s="189" t="s">
        <v>3327</v>
      </c>
    </row>
    <row r="1798" customFormat="false" ht="15" hidden="false" customHeight="false" outlineLevel="0" collapsed="false">
      <c r="A1798" s="0" t="n">
        <v>386</v>
      </c>
      <c r="B1798" s="191" t="n">
        <v>46208.5463340757</v>
      </c>
      <c r="C1798" s="191" t="n">
        <v>46208.558729909</v>
      </c>
      <c r="D1798" s="189" t="s">
        <v>2399</v>
      </c>
      <c r="E1798" s="189" t="s">
        <v>2400</v>
      </c>
      <c r="F1798" s="189" t="s">
        <v>2401</v>
      </c>
      <c r="G1798" s="189" t="s">
        <v>2402</v>
      </c>
      <c r="H1798" s="191" t="n">
        <v>46193</v>
      </c>
      <c r="I1798" s="189" t="s">
        <v>325</v>
      </c>
      <c r="J1798" s="189" t="s">
        <v>108</v>
      </c>
      <c r="K1798" s="189" t="s">
        <v>257</v>
      </c>
      <c r="L1798" s="189" t="s">
        <v>346</v>
      </c>
      <c r="M1798" s="189" t="s">
        <v>1151</v>
      </c>
      <c r="N1798" s="189" t="s">
        <v>249</v>
      </c>
      <c r="O1798" s="189" t="s">
        <v>172</v>
      </c>
      <c r="P1798" s="189" t="s">
        <v>111</v>
      </c>
      <c r="Q1798" s="189" t="s">
        <v>112</v>
      </c>
      <c r="R1798" s="189" t="s">
        <v>22</v>
      </c>
      <c r="S1798" s="189" t="s">
        <v>152</v>
      </c>
      <c r="T1798" s="189" t="s">
        <v>352</v>
      </c>
      <c r="V1798" s="189" t="s">
        <v>123</v>
      </c>
      <c r="W1798" s="189" t="s">
        <v>124</v>
      </c>
      <c r="X1798" s="189" t="s">
        <v>715</v>
      </c>
      <c r="Y1798" s="189" t="s">
        <v>3066</v>
      </c>
      <c r="Z1798" s="0" t="n">
        <v>2</v>
      </c>
      <c r="AA1798" s="189" t="s">
        <v>2531</v>
      </c>
    </row>
    <row r="1799" customFormat="false" ht="15" hidden="false" customHeight="false" outlineLevel="0" collapsed="false">
      <c r="A1799" s="0" t="n">
        <v>386</v>
      </c>
      <c r="B1799" s="191" t="n">
        <v>46208.5463340757</v>
      </c>
      <c r="C1799" s="191" t="n">
        <v>46208.558729909</v>
      </c>
      <c r="D1799" s="189" t="s">
        <v>2399</v>
      </c>
      <c r="E1799" s="189" t="s">
        <v>2400</v>
      </c>
      <c r="F1799" s="189" t="s">
        <v>2401</v>
      </c>
      <c r="G1799" s="189" t="s">
        <v>2402</v>
      </c>
      <c r="H1799" s="191" t="n">
        <v>46193</v>
      </c>
      <c r="I1799" s="189" t="s">
        <v>325</v>
      </c>
      <c r="J1799" s="189" t="s">
        <v>108</v>
      </c>
      <c r="K1799" s="189" t="s">
        <v>257</v>
      </c>
      <c r="L1799" s="189" t="s">
        <v>346</v>
      </c>
      <c r="M1799" s="189" t="s">
        <v>1151</v>
      </c>
      <c r="N1799" s="189" t="s">
        <v>249</v>
      </c>
      <c r="O1799" s="189" t="s">
        <v>172</v>
      </c>
      <c r="P1799" s="189" t="s">
        <v>111</v>
      </c>
      <c r="Q1799" s="189" t="s">
        <v>112</v>
      </c>
      <c r="R1799" s="189" t="s">
        <v>22</v>
      </c>
      <c r="S1799" s="189" t="s">
        <v>152</v>
      </c>
      <c r="T1799" s="189" t="s">
        <v>352</v>
      </c>
      <c r="V1799" s="189" t="s">
        <v>123</v>
      </c>
      <c r="W1799" s="189" t="s">
        <v>124</v>
      </c>
      <c r="X1799" s="189" t="s">
        <v>715</v>
      </c>
      <c r="Y1799" s="189" t="s">
        <v>3069</v>
      </c>
      <c r="Z1799" s="0" t="n">
        <v>1</v>
      </c>
      <c r="AA1799" s="189" t="s">
        <v>3232</v>
      </c>
    </row>
    <row r="1800" customFormat="false" ht="15" hidden="false" customHeight="false" outlineLevel="0" collapsed="false">
      <c r="A1800" s="0" t="n">
        <v>387</v>
      </c>
      <c r="B1800" s="191" t="n">
        <v>46172.0405064024</v>
      </c>
      <c r="C1800" s="191" t="n">
        <v>46172.0483999209</v>
      </c>
      <c r="D1800" s="189" t="s">
        <v>2405</v>
      </c>
      <c r="E1800" s="189" t="s">
        <v>2406</v>
      </c>
      <c r="F1800" s="189" t="s">
        <v>2406</v>
      </c>
      <c r="G1800" s="189" t="s">
        <v>2407</v>
      </c>
      <c r="H1800" s="191" t="n">
        <v>46153</v>
      </c>
      <c r="I1800" s="189" t="s">
        <v>113</v>
      </c>
      <c r="J1800" s="189" t="s">
        <v>295</v>
      </c>
      <c r="K1800" s="189" t="s">
        <v>196</v>
      </c>
      <c r="L1800" s="189" t="s">
        <v>197</v>
      </c>
      <c r="M1800" s="189" t="s">
        <v>885</v>
      </c>
      <c r="N1800" s="189" t="s">
        <v>990</v>
      </c>
      <c r="O1800" s="189" t="s">
        <v>107</v>
      </c>
      <c r="P1800" s="189" t="s">
        <v>111</v>
      </c>
      <c r="Q1800" s="189" t="s">
        <v>112</v>
      </c>
      <c r="R1800" s="189" t="s">
        <v>24</v>
      </c>
      <c r="S1800" s="189" t="s">
        <v>227</v>
      </c>
      <c r="T1800" s="189" t="s">
        <v>121</v>
      </c>
      <c r="U1800" s="189" t="s">
        <v>2325</v>
      </c>
      <c r="V1800" s="189" t="s">
        <v>167</v>
      </c>
      <c r="W1800" s="189" t="s">
        <v>124</v>
      </c>
      <c r="X1800" s="189" t="s">
        <v>260</v>
      </c>
      <c r="Y1800" s="189" t="s">
        <v>3064</v>
      </c>
      <c r="Z1800" s="0" t="n">
        <v>1</v>
      </c>
      <c r="AA1800" s="189" t="s">
        <v>3318</v>
      </c>
    </row>
    <row r="1801" customFormat="false" ht="15" hidden="false" customHeight="false" outlineLevel="0" collapsed="false">
      <c r="A1801" s="0" t="n">
        <v>387</v>
      </c>
      <c r="B1801" s="191" t="n">
        <v>46172.0405064024</v>
      </c>
      <c r="C1801" s="191" t="n">
        <v>46172.0483999209</v>
      </c>
      <c r="D1801" s="189" t="s">
        <v>2405</v>
      </c>
      <c r="E1801" s="189" t="s">
        <v>2406</v>
      </c>
      <c r="F1801" s="189" t="s">
        <v>2406</v>
      </c>
      <c r="G1801" s="189" t="s">
        <v>2407</v>
      </c>
      <c r="H1801" s="191" t="n">
        <v>46153</v>
      </c>
      <c r="I1801" s="189" t="s">
        <v>113</v>
      </c>
      <c r="J1801" s="189" t="s">
        <v>295</v>
      </c>
      <c r="K1801" s="189" t="s">
        <v>196</v>
      </c>
      <c r="L1801" s="189" t="s">
        <v>197</v>
      </c>
      <c r="M1801" s="189" t="s">
        <v>885</v>
      </c>
      <c r="N1801" s="189" t="s">
        <v>990</v>
      </c>
      <c r="O1801" s="189" t="s">
        <v>107</v>
      </c>
      <c r="P1801" s="189" t="s">
        <v>111</v>
      </c>
      <c r="Q1801" s="189" t="s">
        <v>112</v>
      </c>
      <c r="R1801" s="189" t="s">
        <v>24</v>
      </c>
      <c r="S1801" s="189" t="s">
        <v>227</v>
      </c>
      <c r="T1801" s="189" t="s">
        <v>121</v>
      </c>
      <c r="U1801" s="189" t="s">
        <v>2325</v>
      </c>
      <c r="V1801" s="189" t="s">
        <v>167</v>
      </c>
      <c r="W1801" s="189" t="s">
        <v>124</v>
      </c>
      <c r="X1801" s="189" t="s">
        <v>260</v>
      </c>
      <c r="Y1801" s="189" t="s">
        <v>3064</v>
      </c>
      <c r="Z1801" s="0" t="n">
        <v>2</v>
      </c>
      <c r="AA1801" s="189" t="s">
        <v>3262</v>
      </c>
    </row>
    <row r="1802" customFormat="false" ht="15" hidden="false" customHeight="false" outlineLevel="0" collapsed="false">
      <c r="A1802" s="0" t="n">
        <v>387</v>
      </c>
      <c r="B1802" s="191" t="n">
        <v>46172.0405064024</v>
      </c>
      <c r="C1802" s="191" t="n">
        <v>46172.0483999209</v>
      </c>
      <c r="D1802" s="189" t="s">
        <v>2405</v>
      </c>
      <c r="E1802" s="189" t="s">
        <v>2406</v>
      </c>
      <c r="F1802" s="189" t="s">
        <v>2406</v>
      </c>
      <c r="G1802" s="189" t="s">
        <v>2407</v>
      </c>
      <c r="H1802" s="191" t="n">
        <v>46153</v>
      </c>
      <c r="I1802" s="189" t="s">
        <v>113</v>
      </c>
      <c r="J1802" s="189" t="s">
        <v>295</v>
      </c>
      <c r="K1802" s="189" t="s">
        <v>196</v>
      </c>
      <c r="L1802" s="189" t="s">
        <v>197</v>
      </c>
      <c r="M1802" s="189" t="s">
        <v>885</v>
      </c>
      <c r="N1802" s="189" t="s">
        <v>990</v>
      </c>
      <c r="O1802" s="189" t="s">
        <v>107</v>
      </c>
      <c r="P1802" s="189" t="s">
        <v>111</v>
      </c>
      <c r="Q1802" s="189" t="s">
        <v>112</v>
      </c>
      <c r="R1802" s="189" t="s">
        <v>24</v>
      </c>
      <c r="S1802" s="189" t="s">
        <v>227</v>
      </c>
      <c r="T1802" s="189" t="s">
        <v>121</v>
      </c>
      <c r="U1802" s="189" t="s">
        <v>2325</v>
      </c>
      <c r="V1802" s="189" t="s">
        <v>167</v>
      </c>
      <c r="W1802" s="189" t="s">
        <v>124</v>
      </c>
      <c r="X1802" s="189" t="s">
        <v>260</v>
      </c>
      <c r="Y1802" s="189" t="s">
        <v>3066</v>
      </c>
      <c r="Z1802" s="0" t="n">
        <v>1</v>
      </c>
      <c r="AA1802" s="189" t="s">
        <v>191</v>
      </c>
    </row>
    <row r="1803" customFormat="false" ht="15" hidden="false" customHeight="false" outlineLevel="0" collapsed="false">
      <c r="A1803" s="0" t="n">
        <v>387</v>
      </c>
      <c r="B1803" s="191" t="n">
        <v>46172.0405064024</v>
      </c>
      <c r="C1803" s="191" t="n">
        <v>46172.0483999209</v>
      </c>
      <c r="D1803" s="189" t="s">
        <v>2405</v>
      </c>
      <c r="E1803" s="189" t="s">
        <v>2406</v>
      </c>
      <c r="F1803" s="189" t="s">
        <v>2406</v>
      </c>
      <c r="G1803" s="189" t="s">
        <v>2407</v>
      </c>
      <c r="H1803" s="191" t="n">
        <v>46153</v>
      </c>
      <c r="I1803" s="189" t="s">
        <v>113</v>
      </c>
      <c r="J1803" s="189" t="s">
        <v>295</v>
      </c>
      <c r="K1803" s="189" t="s">
        <v>196</v>
      </c>
      <c r="L1803" s="189" t="s">
        <v>197</v>
      </c>
      <c r="M1803" s="189" t="s">
        <v>885</v>
      </c>
      <c r="N1803" s="189" t="s">
        <v>990</v>
      </c>
      <c r="O1803" s="189" t="s">
        <v>107</v>
      </c>
      <c r="P1803" s="189" t="s">
        <v>111</v>
      </c>
      <c r="Q1803" s="189" t="s">
        <v>112</v>
      </c>
      <c r="R1803" s="189" t="s">
        <v>24</v>
      </c>
      <c r="S1803" s="189" t="s">
        <v>227</v>
      </c>
      <c r="T1803" s="189" t="s">
        <v>121</v>
      </c>
      <c r="U1803" s="189" t="s">
        <v>2325</v>
      </c>
      <c r="V1803" s="189" t="s">
        <v>167</v>
      </c>
      <c r="W1803" s="189" t="s">
        <v>124</v>
      </c>
      <c r="X1803" s="189" t="s">
        <v>260</v>
      </c>
      <c r="Y1803" s="189" t="s">
        <v>3066</v>
      </c>
      <c r="Z1803" s="0" t="n">
        <v>2</v>
      </c>
      <c r="AA1803" s="189" t="s">
        <v>3111</v>
      </c>
    </row>
    <row r="1804" customFormat="false" ht="15" hidden="false" customHeight="false" outlineLevel="0" collapsed="false">
      <c r="A1804" s="0" t="n">
        <v>387</v>
      </c>
      <c r="B1804" s="191" t="n">
        <v>46172.0405064024</v>
      </c>
      <c r="C1804" s="191" t="n">
        <v>46172.0483999209</v>
      </c>
      <c r="D1804" s="189" t="s">
        <v>2405</v>
      </c>
      <c r="E1804" s="189" t="s">
        <v>2406</v>
      </c>
      <c r="F1804" s="189" t="s">
        <v>2406</v>
      </c>
      <c r="G1804" s="189" t="s">
        <v>2407</v>
      </c>
      <c r="H1804" s="191" t="n">
        <v>46153</v>
      </c>
      <c r="I1804" s="189" t="s">
        <v>113</v>
      </c>
      <c r="J1804" s="189" t="s">
        <v>295</v>
      </c>
      <c r="K1804" s="189" t="s">
        <v>196</v>
      </c>
      <c r="L1804" s="189" t="s">
        <v>197</v>
      </c>
      <c r="M1804" s="189" t="s">
        <v>885</v>
      </c>
      <c r="N1804" s="189" t="s">
        <v>990</v>
      </c>
      <c r="O1804" s="189" t="s">
        <v>107</v>
      </c>
      <c r="P1804" s="189" t="s">
        <v>111</v>
      </c>
      <c r="Q1804" s="189" t="s">
        <v>112</v>
      </c>
      <c r="R1804" s="189" t="s">
        <v>24</v>
      </c>
      <c r="S1804" s="189" t="s">
        <v>227</v>
      </c>
      <c r="T1804" s="189" t="s">
        <v>121</v>
      </c>
      <c r="U1804" s="189" t="s">
        <v>2325</v>
      </c>
      <c r="V1804" s="189" t="s">
        <v>167</v>
      </c>
      <c r="W1804" s="189" t="s">
        <v>124</v>
      </c>
      <c r="X1804" s="189" t="s">
        <v>260</v>
      </c>
      <c r="Y1804" s="189" t="s">
        <v>3069</v>
      </c>
      <c r="Z1804" s="0" t="n">
        <v>1</v>
      </c>
      <c r="AA1804" s="189" t="s">
        <v>3280</v>
      </c>
    </row>
    <row r="1805" customFormat="false" ht="15" hidden="false" customHeight="false" outlineLevel="0" collapsed="false">
      <c r="A1805" s="0" t="n">
        <v>387</v>
      </c>
      <c r="B1805" s="191" t="n">
        <v>46172.0405064024</v>
      </c>
      <c r="C1805" s="191" t="n">
        <v>46172.0483999209</v>
      </c>
      <c r="D1805" s="189" t="s">
        <v>2405</v>
      </c>
      <c r="E1805" s="189" t="s">
        <v>2406</v>
      </c>
      <c r="F1805" s="189" t="s">
        <v>2406</v>
      </c>
      <c r="G1805" s="189" t="s">
        <v>2407</v>
      </c>
      <c r="H1805" s="191" t="n">
        <v>46153</v>
      </c>
      <c r="I1805" s="189" t="s">
        <v>113</v>
      </c>
      <c r="J1805" s="189" t="s">
        <v>295</v>
      </c>
      <c r="K1805" s="189" t="s">
        <v>196</v>
      </c>
      <c r="L1805" s="189" t="s">
        <v>197</v>
      </c>
      <c r="M1805" s="189" t="s">
        <v>885</v>
      </c>
      <c r="N1805" s="189" t="s">
        <v>990</v>
      </c>
      <c r="O1805" s="189" t="s">
        <v>107</v>
      </c>
      <c r="P1805" s="189" t="s">
        <v>111</v>
      </c>
      <c r="Q1805" s="189" t="s">
        <v>112</v>
      </c>
      <c r="R1805" s="189" t="s">
        <v>24</v>
      </c>
      <c r="S1805" s="189" t="s">
        <v>227</v>
      </c>
      <c r="T1805" s="189" t="s">
        <v>121</v>
      </c>
      <c r="U1805" s="189" t="s">
        <v>2325</v>
      </c>
      <c r="V1805" s="189" t="s">
        <v>167</v>
      </c>
      <c r="W1805" s="189" t="s">
        <v>124</v>
      </c>
      <c r="X1805" s="189" t="s">
        <v>260</v>
      </c>
      <c r="Y1805" s="189" t="s">
        <v>3069</v>
      </c>
      <c r="Z1805" s="0" t="n">
        <v>2</v>
      </c>
      <c r="AA1805" s="189" t="s">
        <v>3332</v>
      </c>
    </row>
    <row r="1806" customFormat="false" ht="15" hidden="false" customHeight="false" outlineLevel="0" collapsed="false">
      <c r="A1806" s="0" t="n">
        <v>388</v>
      </c>
      <c r="B1806" s="191" t="n">
        <v>46129.7243637822</v>
      </c>
      <c r="C1806" s="191" t="n">
        <v>46129.732928597</v>
      </c>
      <c r="D1806" s="189" t="s">
        <v>2411</v>
      </c>
      <c r="E1806" s="189" t="s">
        <v>2412</v>
      </c>
      <c r="F1806" s="189" t="s">
        <v>2412</v>
      </c>
      <c r="G1806" s="189" t="s">
        <v>2413</v>
      </c>
      <c r="H1806" s="191" t="n">
        <v>46122</v>
      </c>
      <c r="I1806" s="189" t="s">
        <v>113</v>
      </c>
      <c r="J1806" s="189" t="s">
        <v>108</v>
      </c>
      <c r="K1806" s="189" t="s">
        <v>143</v>
      </c>
      <c r="L1806" s="189" t="s">
        <v>159</v>
      </c>
      <c r="M1806" s="189" t="s">
        <v>809</v>
      </c>
      <c r="N1806" s="189" t="s">
        <v>280</v>
      </c>
      <c r="O1806" s="189" t="s">
        <v>244</v>
      </c>
      <c r="P1806" s="189" t="s">
        <v>111</v>
      </c>
      <c r="Q1806" s="189" t="s">
        <v>145</v>
      </c>
      <c r="R1806" s="189" t="s">
        <v>21</v>
      </c>
      <c r="S1806" s="189" t="s">
        <v>120</v>
      </c>
      <c r="T1806" s="189" t="s">
        <v>180</v>
      </c>
      <c r="V1806" s="189" t="s">
        <v>192</v>
      </c>
      <c r="W1806" s="189" t="s">
        <v>124</v>
      </c>
      <c r="X1806" s="189" t="s">
        <v>374</v>
      </c>
      <c r="Y1806" s="189" t="s">
        <v>3064</v>
      </c>
      <c r="Z1806" s="0" t="n">
        <v>1</v>
      </c>
      <c r="AA1806" s="189" t="s">
        <v>3153</v>
      </c>
    </row>
    <row r="1807" customFormat="false" ht="15" hidden="false" customHeight="false" outlineLevel="0" collapsed="false">
      <c r="A1807" s="0" t="n">
        <v>388</v>
      </c>
      <c r="B1807" s="191" t="n">
        <v>46129.7243637822</v>
      </c>
      <c r="C1807" s="191" t="n">
        <v>46129.732928597</v>
      </c>
      <c r="D1807" s="189" t="s">
        <v>2411</v>
      </c>
      <c r="E1807" s="189" t="s">
        <v>2412</v>
      </c>
      <c r="F1807" s="189" t="s">
        <v>2412</v>
      </c>
      <c r="G1807" s="189" t="s">
        <v>2413</v>
      </c>
      <c r="H1807" s="191" t="n">
        <v>46122</v>
      </c>
      <c r="I1807" s="189" t="s">
        <v>113</v>
      </c>
      <c r="J1807" s="189" t="s">
        <v>108</v>
      </c>
      <c r="K1807" s="189" t="s">
        <v>143</v>
      </c>
      <c r="L1807" s="189" t="s">
        <v>159</v>
      </c>
      <c r="M1807" s="189" t="s">
        <v>809</v>
      </c>
      <c r="N1807" s="189" t="s">
        <v>280</v>
      </c>
      <c r="O1807" s="189" t="s">
        <v>244</v>
      </c>
      <c r="P1807" s="189" t="s">
        <v>111</v>
      </c>
      <c r="Q1807" s="189" t="s">
        <v>145</v>
      </c>
      <c r="R1807" s="189" t="s">
        <v>21</v>
      </c>
      <c r="S1807" s="189" t="s">
        <v>120</v>
      </c>
      <c r="T1807" s="189" t="s">
        <v>180</v>
      </c>
      <c r="V1807" s="189" t="s">
        <v>192</v>
      </c>
      <c r="W1807" s="189" t="s">
        <v>124</v>
      </c>
      <c r="X1807" s="189" t="s">
        <v>374</v>
      </c>
      <c r="Y1807" s="189" t="s">
        <v>3066</v>
      </c>
      <c r="Z1807" s="0" t="n">
        <v>1</v>
      </c>
      <c r="AA1807" s="189" t="s">
        <v>3261</v>
      </c>
    </row>
    <row r="1808" customFormat="false" ht="15" hidden="false" customHeight="false" outlineLevel="0" collapsed="false">
      <c r="A1808" s="0" t="n">
        <v>388</v>
      </c>
      <c r="B1808" s="191" t="n">
        <v>46129.7243637822</v>
      </c>
      <c r="C1808" s="191" t="n">
        <v>46129.732928597</v>
      </c>
      <c r="D1808" s="189" t="s">
        <v>2411</v>
      </c>
      <c r="E1808" s="189" t="s">
        <v>2412</v>
      </c>
      <c r="F1808" s="189" t="s">
        <v>2412</v>
      </c>
      <c r="G1808" s="189" t="s">
        <v>2413</v>
      </c>
      <c r="H1808" s="191" t="n">
        <v>46122</v>
      </c>
      <c r="I1808" s="189" t="s">
        <v>113</v>
      </c>
      <c r="J1808" s="189" t="s">
        <v>108</v>
      </c>
      <c r="K1808" s="189" t="s">
        <v>143</v>
      </c>
      <c r="L1808" s="189" t="s">
        <v>159</v>
      </c>
      <c r="M1808" s="189" t="s">
        <v>809</v>
      </c>
      <c r="N1808" s="189" t="s">
        <v>280</v>
      </c>
      <c r="O1808" s="189" t="s">
        <v>244</v>
      </c>
      <c r="P1808" s="189" t="s">
        <v>111</v>
      </c>
      <c r="Q1808" s="189" t="s">
        <v>145</v>
      </c>
      <c r="R1808" s="189" t="s">
        <v>21</v>
      </c>
      <c r="S1808" s="189" t="s">
        <v>120</v>
      </c>
      <c r="T1808" s="189" t="s">
        <v>180</v>
      </c>
      <c r="V1808" s="189" t="s">
        <v>192</v>
      </c>
      <c r="W1808" s="189" t="s">
        <v>124</v>
      </c>
      <c r="X1808" s="189" t="s">
        <v>374</v>
      </c>
      <c r="Y1808" s="189" t="s">
        <v>3066</v>
      </c>
      <c r="Z1808" s="0" t="n">
        <v>2</v>
      </c>
      <c r="AA1808" s="189" t="s">
        <v>3156</v>
      </c>
    </row>
    <row r="1809" customFormat="false" ht="15" hidden="false" customHeight="false" outlineLevel="0" collapsed="false">
      <c r="A1809" s="0" t="n">
        <v>388</v>
      </c>
      <c r="B1809" s="191" t="n">
        <v>46129.7243637822</v>
      </c>
      <c r="C1809" s="191" t="n">
        <v>46129.732928597</v>
      </c>
      <c r="D1809" s="189" t="s">
        <v>2411</v>
      </c>
      <c r="E1809" s="189" t="s">
        <v>2412</v>
      </c>
      <c r="F1809" s="189" t="s">
        <v>2412</v>
      </c>
      <c r="G1809" s="189" t="s">
        <v>2413</v>
      </c>
      <c r="H1809" s="191" t="n">
        <v>46122</v>
      </c>
      <c r="I1809" s="189" t="s">
        <v>113</v>
      </c>
      <c r="J1809" s="189" t="s">
        <v>108</v>
      </c>
      <c r="K1809" s="189" t="s">
        <v>143</v>
      </c>
      <c r="L1809" s="189" t="s">
        <v>159</v>
      </c>
      <c r="M1809" s="189" t="s">
        <v>809</v>
      </c>
      <c r="N1809" s="189" t="s">
        <v>280</v>
      </c>
      <c r="O1809" s="189" t="s">
        <v>244</v>
      </c>
      <c r="P1809" s="189" t="s">
        <v>111</v>
      </c>
      <c r="Q1809" s="189" t="s">
        <v>145</v>
      </c>
      <c r="R1809" s="189" t="s">
        <v>21</v>
      </c>
      <c r="S1809" s="189" t="s">
        <v>120</v>
      </c>
      <c r="T1809" s="189" t="s">
        <v>180</v>
      </c>
      <c r="V1809" s="189" t="s">
        <v>192</v>
      </c>
      <c r="W1809" s="189" t="s">
        <v>124</v>
      </c>
      <c r="X1809" s="189" t="s">
        <v>374</v>
      </c>
      <c r="Y1809" s="189" t="s">
        <v>3069</v>
      </c>
      <c r="Z1809" s="0" t="n">
        <v>1</v>
      </c>
      <c r="AA1809" s="189" t="s">
        <v>3158</v>
      </c>
    </row>
    <row r="1810" customFormat="false" ht="15" hidden="false" customHeight="false" outlineLevel="0" collapsed="false">
      <c r="A1810" s="0" t="n">
        <v>388</v>
      </c>
      <c r="B1810" s="191" t="n">
        <v>46129.7243637822</v>
      </c>
      <c r="C1810" s="191" t="n">
        <v>46129.732928597</v>
      </c>
      <c r="D1810" s="189" t="s">
        <v>2411</v>
      </c>
      <c r="E1810" s="189" t="s">
        <v>2412</v>
      </c>
      <c r="F1810" s="189" t="s">
        <v>2412</v>
      </c>
      <c r="G1810" s="189" t="s">
        <v>2413</v>
      </c>
      <c r="H1810" s="191" t="n">
        <v>46122</v>
      </c>
      <c r="I1810" s="189" t="s">
        <v>113</v>
      </c>
      <c r="J1810" s="189" t="s">
        <v>108</v>
      </c>
      <c r="K1810" s="189" t="s">
        <v>143</v>
      </c>
      <c r="L1810" s="189" t="s">
        <v>159</v>
      </c>
      <c r="M1810" s="189" t="s">
        <v>809</v>
      </c>
      <c r="N1810" s="189" t="s">
        <v>280</v>
      </c>
      <c r="O1810" s="189" t="s">
        <v>244</v>
      </c>
      <c r="P1810" s="189" t="s">
        <v>111</v>
      </c>
      <c r="Q1810" s="189" t="s">
        <v>145</v>
      </c>
      <c r="R1810" s="189" t="s">
        <v>21</v>
      </c>
      <c r="S1810" s="189" t="s">
        <v>120</v>
      </c>
      <c r="T1810" s="189" t="s">
        <v>180</v>
      </c>
      <c r="V1810" s="189" t="s">
        <v>192</v>
      </c>
      <c r="W1810" s="189" t="s">
        <v>124</v>
      </c>
      <c r="X1810" s="189" t="s">
        <v>374</v>
      </c>
      <c r="Y1810" s="189" t="s">
        <v>3069</v>
      </c>
      <c r="Z1810" s="0" t="n">
        <v>2</v>
      </c>
      <c r="AA1810" s="189" t="s">
        <v>3157</v>
      </c>
    </row>
    <row r="1811" customFormat="false" ht="15" hidden="false" customHeight="false" outlineLevel="0" collapsed="false">
      <c r="A1811" s="0" t="n">
        <v>389</v>
      </c>
      <c r="B1811" s="191" t="n">
        <v>46045.0809677289</v>
      </c>
      <c r="C1811" s="191" t="n">
        <v>46045.0875880993</v>
      </c>
      <c r="D1811" s="189" t="s">
        <v>2415</v>
      </c>
      <c r="E1811" s="189" t="s">
        <v>2416</v>
      </c>
      <c r="F1811" s="189" t="s">
        <v>2416</v>
      </c>
      <c r="G1811" s="189" t="s">
        <v>2417</v>
      </c>
      <c r="H1811" s="191" t="n">
        <v>46026</v>
      </c>
      <c r="I1811" s="189" t="s">
        <v>113</v>
      </c>
      <c r="J1811" s="189" t="s">
        <v>108</v>
      </c>
      <c r="K1811" s="189" t="s">
        <v>257</v>
      </c>
      <c r="L1811" s="189" t="s">
        <v>210</v>
      </c>
      <c r="M1811" s="189" t="s">
        <v>391</v>
      </c>
      <c r="N1811" s="189" t="s">
        <v>111</v>
      </c>
      <c r="O1811" s="189" t="s">
        <v>278</v>
      </c>
      <c r="P1811" s="189" t="s">
        <v>111</v>
      </c>
      <c r="Q1811" s="189" t="s">
        <v>112</v>
      </c>
      <c r="R1811" s="189" t="s">
        <v>24</v>
      </c>
      <c r="S1811" s="189" t="s">
        <v>152</v>
      </c>
      <c r="T1811" s="189" t="s">
        <v>121</v>
      </c>
      <c r="U1811" s="189" t="s">
        <v>2325</v>
      </c>
      <c r="V1811" s="189" t="s">
        <v>192</v>
      </c>
      <c r="W1811" s="189" t="s">
        <v>124</v>
      </c>
      <c r="X1811" s="189" t="s">
        <v>223</v>
      </c>
      <c r="Y1811" s="189" t="s">
        <v>3064</v>
      </c>
      <c r="Z1811" s="0" t="n">
        <v>1</v>
      </c>
      <c r="AA1811" s="189" t="s">
        <v>3104</v>
      </c>
    </row>
    <row r="1812" customFormat="false" ht="15" hidden="false" customHeight="false" outlineLevel="0" collapsed="false">
      <c r="A1812" s="0" t="n">
        <v>389</v>
      </c>
      <c r="B1812" s="191" t="n">
        <v>46045.0809677289</v>
      </c>
      <c r="C1812" s="191" t="n">
        <v>46045.0875880993</v>
      </c>
      <c r="D1812" s="189" t="s">
        <v>2415</v>
      </c>
      <c r="E1812" s="189" t="s">
        <v>2416</v>
      </c>
      <c r="F1812" s="189" t="s">
        <v>2416</v>
      </c>
      <c r="G1812" s="189" t="s">
        <v>2417</v>
      </c>
      <c r="H1812" s="191" t="n">
        <v>46026</v>
      </c>
      <c r="I1812" s="189" t="s">
        <v>113</v>
      </c>
      <c r="J1812" s="189" t="s">
        <v>108</v>
      </c>
      <c r="K1812" s="189" t="s">
        <v>257</v>
      </c>
      <c r="L1812" s="189" t="s">
        <v>210</v>
      </c>
      <c r="M1812" s="189" t="s">
        <v>391</v>
      </c>
      <c r="N1812" s="189" t="s">
        <v>111</v>
      </c>
      <c r="O1812" s="189" t="s">
        <v>278</v>
      </c>
      <c r="P1812" s="189" t="s">
        <v>111</v>
      </c>
      <c r="Q1812" s="189" t="s">
        <v>112</v>
      </c>
      <c r="R1812" s="189" t="s">
        <v>24</v>
      </c>
      <c r="S1812" s="189" t="s">
        <v>152</v>
      </c>
      <c r="T1812" s="189" t="s">
        <v>121</v>
      </c>
      <c r="U1812" s="189" t="s">
        <v>2325</v>
      </c>
      <c r="V1812" s="189" t="s">
        <v>192</v>
      </c>
      <c r="W1812" s="189" t="s">
        <v>124</v>
      </c>
      <c r="X1812" s="189" t="s">
        <v>223</v>
      </c>
      <c r="Y1812" s="189" t="s">
        <v>3064</v>
      </c>
      <c r="Z1812" s="0" t="n">
        <v>2</v>
      </c>
      <c r="AA1812" s="189" t="s">
        <v>3096</v>
      </c>
    </row>
    <row r="1813" customFormat="false" ht="15" hidden="false" customHeight="false" outlineLevel="0" collapsed="false">
      <c r="A1813" s="0" t="n">
        <v>389</v>
      </c>
      <c r="B1813" s="191" t="n">
        <v>46045.0809677289</v>
      </c>
      <c r="C1813" s="191" t="n">
        <v>46045.0875880993</v>
      </c>
      <c r="D1813" s="189" t="s">
        <v>2415</v>
      </c>
      <c r="E1813" s="189" t="s">
        <v>2416</v>
      </c>
      <c r="F1813" s="189" t="s">
        <v>2416</v>
      </c>
      <c r="G1813" s="189" t="s">
        <v>2417</v>
      </c>
      <c r="H1813" s="191" t="n">
        <v>46026</v>
      </c>
      <c r="I1813" s="189" t="s">
        <v>113</v>
      </c>
      <c r="J1813" s="189" t="s">
        <v>108</v>
      </c>
      <c r="K1813" s="189" t="s">
        <v>257</v>
      </c>
      <c r="L1813" s="189" t="s">
        <v>210</v>
      </c>
      <c r="M1813" s="189" t="s">
        <v>391</v>
      </c>
      <c r="N1813" s="189" t="s">
        <v>111</v>
      </c>
      <c r="O1813" s="189" t="s">
        <v>278</v>
      </c>
      <c r="P1813" s="189" t="s">
        <v>111</v>
      </c>
      <c r="Q1813" s="189" t="s">
        <v>112</v>
      </c>
      <c r="R1813" s="189" t="s">
        <v>24</v>
      </c>
      <c r="S1813" s="189" t="s">
        <v>152</v>
      </c>
      <c r="T1813" s="189" t="s">
        <v>121</v>
      </c>
      <c r="U1813" s="189" t="s">
        <v>2325</v>
      </c>
      <c r="V1813" s="189" t="s">
        <v>192</v>
      </c>
      <c r="W1813" s="189" t="s">
        <v>124</v>
      </c>
      <c r="X1813" s="189" t="s">
        <v>223</v>
      </c>
      <c r="Y1813" s="189" t="s">
        <v>3066</v>
      </c>
      <c r="Z1813" s="0" t="n">
        <v>1</v>
      </c>
      <c r="AA1813" s="189" t="s">
        <v>3100</v>
      </c>
    </row>
    <row r="1814" customFormat="false" ht="15" hidden="false" customHeight="false" outlineLevel="0" collapsed="false">
      <c r="A1814" s="0" t="n">
        <v>389</v>
      </c>
      <c r="B1814" s="191" t="n">
        <v>46045.0809677289</v>
      </c>
      <c r="C1814" s="191" t="n">
        <v>46045.0875880993</v>
      </c>
      <c r="D1814" s="189" t="s">
        <v>2415</v>
      </c>
      <c r="E1814" s="189" t="s">
        <v>2416</v>
      </c>
      <c r="F1814" s="189" t="s">
        <v>2416</v>
      </c>
      <c r="G1814" s="189" t="s">
        <v>2417</v>
      </c>
      <c r="H1814" s="191" t="n">
        <v>46026</v>
      </c>
      <c r="I1814" s="189" t="s">
        <v>113</v>
      </c>
      <c r="J1814" s="189" t="s">
        <v>108</v>
      </c>
      <c r="K1814" s="189" t="s">
        <v>257</v>
      </c>
      <c r="L1814" s="189" t="s">
        <v>210</v>
      </c>
      <c r="M1814" s="189" t="s">
        <v>391</v>
      </c>
      <c r="N1814" s="189" t="s">
        <v>111</v>
      </c>
      <c r="O1814" s="189" t="s">
        <v>278</v>
      </c>
      <c r="P1814" s="189" t="s">
        <v>111</v>
      </c>
      <c r="Q1814" s="189" t="s">
        <v>112</v>
      </c>
      <c r="R1814" s="189" t="s">
        <v>24</v>
      </c>
      <c r="S1814" s="189" t="s">
        <v>152</v>
      </c>
      <c r="T1814" s="189" t="s">
        <v>121</v>
      </c>
      <c r="U1814" s="189" t="s">
        <v>2325</v>
      </c>
      <c r="V1814" s="189" t="s">
        <v>192</v>
      </c>
      <c r="W1814" s="189" t="s">
        <v>124</v>
      </c>
      <c r="X1814" s="189" t="s">
        <v>223</v>
      </c>
      <c r="Y1814" s="189" t="s">
        <v>3066</v>
      </c>
      <c r="Z1814" s="0" t="n">
        <v>2</v>
      </c>
      <c r="AA1814" s="189" t="s">
        <v>3213</v>
      </c>
    </row>
    <row r="1815" customFormat="false" ht="15" hidden="false" customHeight="false" outlineLevel="0" collapsed="false">
      <c r="A1815" s="0" t="n">
        <v>389</v>
      </c>
      <c r="B1815" s="191" t="n">
        <v>46045.0809677289</v>
      </c>
      <c r="C1815" s="191" t="n">
        <v>46045.0875880993</v>
      </c>
      <c r="D1815" s="189" t="s">
        <v>2415</v>
      </c>
      <c r="E1815" s="189" t="s">
        <v>2416</v>
      </c>
      <c r="F1815" s="189" t="s">
        <v>2416</v>
      </c>
      <c r="G1815" s="189" t="s">
        <v>2417</v>
      </c>
      <c r="H1815" s="191" t="n">
        <v>46026</v>
      </c>
      <c r="I1815" s="189" t="s">
        <v>113</v>
      </c>
      <c r="J1815" s="189" t="s">
        <v>108</v>
      </c>
      <c r="K1815" s="189" t="s">
        <v>257</v>
      </c>
      <c r="L1815" s="189" t="s">
        <v>210</v>
      </c>
      <c r="M1815" s="189" t="s">
        <v>391</v>
      </c>
      <c r="N1815" s="189" t="s">
        <v>111</v>
      </c>
      <c r="O1815" s="189" t="s">
        <v>278</v>
      </c>
      <c r="P1815" s="189" t="s">
        <v>111</v>
      </c>
      <c r="Q1815" s="189" t="s">
        <v>112</v>
      </c>
      <c r="R1815" s="189" t="s">
        <v>24</v>
      </c>
      <c r="S1815" s="189" t="s">
        <v>152</v>
      </c>
      <c r="T1815" s="189" t="s">
        <v>121</v>
      </c>
      <c r="U1815" s="189" t="s">
        <v>2325</v>
      </c>
      <c r="V1815" s="189" t="s">
        <v>192</v>
      </c>
      <c r="W1815" s="189" t="s">
        <v>124</v>
      </c>
      <c r="X1815" s="189" t="s">
        <v>223</v>
      </c>
      <c r="Y1815" s="189" t="s">
        <v>3069</v>
      </c>
      <c r="Z1815" s="0" t="n">
        <v>1</v>
      </c>
      <c r="AA1815" s="189" t="s">
        <v>3101</v>
      </c>
    </row>
    <row r="1816" customFormat="false" ht="15" hidden="false" customHeight="false" outlineLevel="0" collapsed="false">
      <c r="A1816" s="0" t="n">
        <v>391</v>
      </c>
      <c r="B1816" s="191" t="n">
        <v>46197.8741733636</v>
      </c>
      <c r="C1816" s="191" t="n">
        <v>46197.8781779933</v>
      </c>
      <c r="D1816" s="189" t="s">
        <v>2423</v>
      </c>
      <c r="E1816" s="189" t="s">
        <v>2424</v>
      </c>
      <c r="F1816" s="189" t="s">
        <v>2424</v>
      </c>
      <c r="G1816" s="189" t="s">
        <v>2425</v>
      </c>
      <c r="H1816" s="191" t="n">
        <v>46192</v>
      </c>
      <c r="I1816" s="189" t="s">
        <v>113</v>
      </c>
      <c r="J1816" s="189" t="s">
        <v>128</v>
      </c>
      <c r="K1816" s="189" t="s">
        <v>245</v>
      </c>
      <c r="L1816" s="189" t="s">
        <v>491</v>
      </c>
      <c r="M1816" s="189" t="s">
        <v>391</v>
      </c>
      <c r="N1816" s="189" t="s">
        <v>552</v>
      </c>
      <c r="O1816" s="189" t="s">
        <v>278</v>
      </c>
      <c r="P1816" s="189" t="s">
        <v>111</v>
      </c>
      <c r="Q1816" s="189" t="s">
        <v>112</v>
      </c>
      <c r="R1816" s="189" t="s">
        <v>22</v>
      </c>
      <c r="S1816" s="189" t="s">
        <v>227</v>
      </c>
      <c r="T1816" s="189" t="s">
        <v>121</v>
      </c>
      <c r="U1816" s="189" t="s">
        <v>122</v>
      </c>
      <c r="V1816" s="189" t="s">
        <v>123</v>
      </c>
      <c r="W1816" s="189" t="s">
        <v>124</v>
      </c>
      <c r="X1816" s="189" t="s">
        <v>148</v>
      </c>
      <c r="Y1816" s="189" t="s">
        <v>3064</v>
      </c>
      <c r="Z1816" s="0" t="n">
        <v>1</v>
      </c>
      <c r="AA1816" s="189" t="s">
        <v>3186</v>
      </c>
    </row>
    <row r="1817" customFormat="false" ht="15" hidden="false" customHeight="false" outlineLevel="0" collapsed="false">
      <c r="A1817" s="0" t="n">
        <v>391</v>
      </c>
      <c r="B1817" s="191" t="n">
        <v>46197.8741733636</v>
      </c>
      <c r="C1817" s="191" t="n">
        <v>46197.8781779933</v>
      </c>
      <c r="D1817" s="189" t="s">
        <v>2423</v>
      </c>
      <c r="E1817" s="189" t="s">
        <v>2424</v>
      </c>
      <c r="F1817" s="189" t="s">
        <v>2424</v>
      </c>
      <c r="G1817" s="189" t="s">
        <v>2425</v>
      </c>
      <c r="H1817" s="191" t="n">
        <v>46192</v>
      </c>
      <c r="I1817" s="189" t="s">
        <v>113</v>
      </c>
      <c r="J1817" s="189" t="s">
        <v>128</v>
      </c>
      <c r="K1817" s="189" t="s">
        <v>245</v>
      </c>
      <c r="L1817" s="189" t="s">
        <v>491</v>
      </c>
      <c r="M1817" s="189" t="s">
        <v>391</v>
      </c>
      <c r="N1817" s="189" t="s">
        <v>552</v>
      </c>
      <c r="O1817" s="189" t="s">
        <v>278</v>
      </c>
      <c r="P1817" s="189" t="s">
        <v>111</v>
      </c>
      <c r="Q1817" s="189" t="s">
        <v>112</v>
      </c>
      <c r="R1817" s="189" t="s">
        <v>22</v>
      </c>
      <c r="S1817" s="189" t="s">
        <v>227</v>
      </c>
      <c r="T1817" s="189" t="s">
        <v>121</v>
      </c>
      <c r="U1817" s="189" t="s">
        <v>122</v>
      </c>
      <c r="V1817" s="189" t="s">
        <v>123</v>
      </c>
      <c r="W1817" s="189" t="s">
        <v>124</v>
      </c>
      <c r="X1817" s="189" t="s">
        <v>148</v>
      </c>
      <c r="Y1817" s="189" t="s">
        <v>3064</v>
      </c>
      <c r="Z1817" s="0" t="n">
        <v>2</v>
      </c>
      <c r="AA1817" s="189" t="s">
        <v>3122</v>
      </c>
    </row>
    <row r="1818" customFormat="false" ht="15" hidden="false" customHeight="false" outlineLevel="0" collapsed="false">
      <c r="A1818" s="0" t="n">
        <v>391</v>
      </c>
      <c r="B1818" s="191" t="n">
        <v>46197.8741733636</v>
      </c>
      <c r="C1818" s="191" t="n">
        <v>46197.8781779933</v>
      </c>
      <c r="D1818" s="189" t="s">
        <v>2423</v>
      </c>
      <c r="E1818" s="189" t="s">
        <v>2424</v>
      </c>
      <c r="F1818" s="189" t="s">
        <v>2424</v>
      </c>
      <c r="G1818" s="189" t="s">
        <v>2425</v>
      </c>
      <c r="H1818" s="191" t="n">
        <v>46192</v>
      </c>
      <c r="I1818" s="189" t="s">
        <v>113</v>
      </c>
      <c r="J1818" s="189" t="s">
        <v>128</v>
      </c>
      <c r="K1818" s="189" t="s">
        <v>245</v>
      </c>
      <c r="L1818" s="189" t="s">
        <v>491</v>
      </c>
      <c r="M1818" s="189" t="s">
        <v>391</v>
      </c>
      <c r="N1818" s="189" t="s">
        <v>552</v>
      </c>
      <c r="O1818" s="189" t="s">
        <v>278</v>
      </c>
      <c r="P1818" s="189" t="s">
        <v>111</v>
      </c>
      <c r="Q1818" s="189" t="s">
        <v>112</v>
      </c>
      <c r="R1818" s="189" t="s">
        <v>22</v>
      </c>
      <c r="S1818" s="189" t="s">
        <v>227</v>
      </c>
      <c r="T1818" s="189" t="s">
        <v>121</v>
      </c>
      <c r="U1818" s="189" t="s">
        <v>122</v>
      </c>
      <c r="V1818" s="189" t="s">
        <v>123</v>
      </c>
      <c r="W1818" s="189" t="s">
        <v>124</v>
      </c>
      <c r="X1818" s="189" t="s">
        <v>148</v>
      </c>
      <c r="Y1818" s="189" t="s">
        <v>3064</v>
      </c>
      <c r="Z1818" s="0" t="n">
        <v>3</v>
      </c>
      <c r="AA1818" s="189" t="s">
        <v>3281</v>
      </c>
    </row>
    <row r="1819" customFormat="false" ht="15" hidden="false" customHeight="false" outlineLevel="0" collapsed="false">
      <c r="A1819" s="0" t="n">
        <v>391</v>
      </c>
      <c r="B1819" s="191" t="n">
        <v>46197.8741733636</v>
      </c>
      <c r="C1819" s="191" t="n">
        <v>46197.8781779933</v>
      </c>
      <c r="D1819" s="189" t="s">
        <v>2423</v>
      </c>
      <c r="E1819" s="189" t="s">
        <v>2424</v>
      </c>
      <c r="F1819" s="189" t="s">
        <v>2424</v>
      </c>
      <c r="G1819" s="189" t="s">
        <v>2425</v>
      </c>
      <c r="H1819" s="191" t="n">
        <v>46192</v>
      </c>
      <c r="I1819" s="189" t="s">
        <v>113</v>
      </c>
      <c r="J1819" s="189" t="s">
        <v>128</v>
      </c>
      <c r="K1819" s="189" t="s">
        <v>245</v>
      </c>
      <c r="L1819" s="189" t="s">
        <v>491</v>
      </c>
      <c r="M1819" s="189" t="s">
        <v>391</v>
      </c>
      <c r="N1819" s="189" t="s">
        <v>552</v>
      </c>
      <c r="O1819" s="189" t="s">
        <v>278</v>
      </c>
      <c r="P1819" s="189" t="s">
        <v>111</v>
      </c>
      <c r="Q1819" s="189" t="s">
        <v>112</v>
      </c>
      <c r="R1819" s="189" t="s">
        <v>22</v>
      </c>
      <c r="S1819" s="189" t="s">
        <v>227</v>
      </c>
      <c r="T1819" s="189" t="s">
        <v>121</v>
      </c>
      <c r="U1819" s="189" t="s">
        <v>122</v>
      </c>
      <c r="V1819" s="189" t="s">
        <v>123</v>
      </c>
      <c r="W1819" s="189" t="s">
        <v>124</v>
      </c>
      <c r="X1819" s="189" t="s">
        <v>148</v>
      </c>
      <c r="Y1819" s="189" t="s">
        <v>3066</v>
      </c>
      <c r="Z1819" s="0" t="n">
        <v>1</v>
      </c>
      <c r="AA1819" s="189" t="s">
        <v>3078</v>
      </c>
    </row>
    <row r="1820" customFormat="false" ht="15" hidden="false" customHeight="false" outlineLevel="0" collapsed="false">
      <c r="A1820" s="0" t="n">
        <v>391</v>
      </c>
      <c r="B1820" s="191" t="n">
        <v>46197.8741733636</v>
      </c>
      <c r="C1820" s="191" t="n">
        <v>46197.8781779933</v>
      </c>
      <c r="D1820" s="189" t="s">
        <v>2423</v>
      </c>
      <c r="E1820" s="189" t="s">
        <v>2424</v>
      </c>
      <c r="F1820" s="189" t="s">
        <v>2424</v>
      </c>
      <c r="G1820" s="189" t="s">
        <v>2425</v>
      </c>
      <c r="H1820" s="191" t="n">
        <v>46192</v>
      </c>
      <c r="I1820" s="189" t="s">
        <v>113</v>
      </c>
      <c r="J1820" s="189" t="s">
        <v>128</v>
      </c>
      <c r="K1820" s="189" t="s">
        <v>245</v>
      </c>
      <c r="L1820" s="189" t="s">
        <v>491</v>
      </c>
      <c r="M1820" s="189" t="s">
        <v>391</v>
      </c>
      <c r="N1820" s="189" t="s">
        <v>552</v>
      </c>
      <c r="O1820" s="189" t="s">
        <v>278</v>
      </c>
      <c r="P1820" s="189" t="s">
        <v>111</v>
      </c>
      <c r="Q1820" s="189" t="s">
        <v>112</v>
      </c>
      <c r="R1820" s="189" t="s">
        <v>22</v>
      </c>
      <c r="S1820" s="189" t="s">
        <v>227</v>
      </c>
      <c r="T1820" s="189" t="s">
        <v>121</v>
      </c>
      <c r="U1820" s="189" t="s">
        <v>122</v>
      </c>
      <c r="V1820" s="189" t="s">
        <v>123</v>
      </c>
      <c r="W1820" s="189" t="s">
        <v>124</v>
      </c>
      <c r="X1820" s="189" t="s">
        <v>148</v>
      </c>
      <c r="Y1820" s="189" t="s">
        <v>3066</v>
      </c>
      <c r="Z1820" s="0" t="n">
        <v>2</v>
      </c>
      <c r="AA1820" s="189" t="s">
        <v>122</v>
      </c>
    </row>
    <row r="1821" customFormat="false" ht="15" hidden="false" customHeight="false" outlineLevel="0" collapsed="false">
      <c r="A1821" s="0" t="n">
        <v>391</v>
      </c>
      <c r="B1821" s="191" t="n">
        <v>46197.8741733636</v>
      </c>
      <c r="C1821" s="191" t="n">
        <v>46197.8781779933</v>
      </c>
      <c r="D1821" s="189" t="s">
        <v>2423</v>
      </c>
      <c r="E1821" s="189" t="s">
        <v>2424</v>
      </c>
      <c r="F1821" s="189" t="s">
        <v>2424</v>
      </c>
      <c r="G1821" s="189" t="s">
        <v>2425</v>
      </c>
      <c r="H1821" s="191" t="n">
        <v>46192</v>
      </c>
      <c r="I1821" s="189" t="s">
        <v>113</v>
      </c>
      <c r="J1821" s="189" t="s">
        <v>128</v>
      </c>
      <c r="K1821" s="189" t="s">
        <v>245</v>
      </c>
      <c r="L1821" s="189" t="s">
        <v>491</v>
      </c>
      <c r="M1821" s="189" t="s">
        <v>391</v>
      </c>
      <c r="N1821" s="189" t="s">
        <v>552</v>
      </c>
      <c r="O1821" s="189" t="s">
        <v>278</v>
      </c>
      <c r="P1821" s="189" t="s">
        <v>111</v>
      </c>
      <c r="Q1821" s="189" t="s">
        <v>112</v>
      </c>
      <c r="R1821" s="189" t="s">
        <v>22</v>
      </c>
      <c r="S1821" s="189" t="s">
        <v>227</v>
      </c>
      <c r="T1821" s="189" t="s">
        <v>121</v>
      </c>
      <c r="U1821" s="189" t="s">
        <v>122</v>
      </c>
      <c r="V1821" s="189" t="s">
        <v>123</v>
      </c>
      <c r="W1821" s="189" t="s">
        <v>124</v>
      </c>
      <c r="X1821" s="189" t="s">
        <v>148</v>
      </c>
      <c r="Y1821" s="189" t="s">
        <v>3069</v>
      </c>
      <c r="Z1821" s="0" t="n">
        <v>1</v>
      </c>
      <c r="AA1821" s="189" t="s">
        <v>3080</v>
      </c>
    </row>
    <row r="1822" customFormat="false" ht="15" hidden="false" customHeight="false" outlineLevel="0" collapsed="false">
      <c r="A1822" s="0" t="n">
        <v>391</v>
      </c>
      <c r="B1822" s="191" t="n">
        <v>46197.8741733636</v>
      </c>
      <c r="C1822" s="191" t="n">
        <v>46197.8781779933</v>
      </c>
      <c r="D1822" s="189" t="s">
        <v>2423</v>
      </c>
      <c r="E1822" s="189" t="s">
        <v>2424</v>
      </c>
      <c r="F1822" s="189" t="s">
        <v>2424</v>
      </c>
      <c r="G1822" s="189" t="s">
        <v>2425</v>
      </c>
      <c r="H1822" s="191" t="n">
        <v>46192</v>
      </c>
      <c r="I1822" s="189" t="s">
        <v>113</v>
      </c>
      <c r="J1822" s="189" t="s">
        <v>128</v>
      </c>
      <c r="K1822" s="189" t="s">
        <v>245</v>
      </c>
      <c r="L1822" s="189" t="s">
        <v>491</v>
      </c>
      <c r="M1822" s="189" t="s">
        <v>391</v>
      </c>
      <c r="N1822" s="189" t="s">
        <v>552</v>
      </c>
      <c r="O1822" s="189" t="s">
        <v>278</v>
      </c>
      <c r="P1822" s="189" t="s">
        <v>111</v>
      </c>
      <c r="Q1822" s="189" t="s">
        <v>112</v>
      </c>
      <c r="R1822" s="189" t="s">
        <v>22</v>
      </c>
      <c r="S1822" s="189" t="s">
        <v>227</v>
      </c>
      <c r="T1822" s="189" t="s">
        <v>121</v>
      </c>
      <c r="U1822" s="189" t="s">
        <v>122</v>
      </c>
      <c r="V1822" s="189" t="s">
        <v>123</v>
      </c>
      <c r="W1822" s="189" t="s">
        <v>124</v>
      </c>
      <c r="X1822" s="189" t="s">
        <v>148</v>
      </c>
      <c r="Y1822" s="189" t="s">
        <v>3069</v>
      </c>
      <c r="Z1822" s="0" t="n">
        <v>2</v>
      </c>
      <c r="AA1822" s="189" t="s">
        <v>3094</v>
      </c>
    </row>
    <row r="1823" customFormat="false" ht="15" hidden="false" customHeight="false" outlineLevel="0" collapsed="false">
      <c r="A1823" s="0" t="n">
        <v>392</v>
      </c>
      <c r="B1823" s="191" t="n">
        <v>46057.891369793</v>
      </c>
      <c r="C1823" s="191" t="n">
        <v>46057.908233219</v>
      </c>
      <c r="D1823" s="189" t="s">
        <v>2427</v>
      </c>
      <c r="E1823" s="189" t="s">
        <v>2428</v>
      </c>
      <c r="F1823" s="189" t="s">
        <v>2428</v>
      </c>
      <c r="G1823" s="189" t="s">
        <v>2429</v>
      </c>
      <c r="H1823" s="191" t="n">
        <v>46044</v>
      </c>
      <c r="I1823" s="189" t="s">
        <v>325</v>
      </c>
      <c r="J1823" s="189" t="s">
        <v>108</v>
      </c>
      <c r="K1823" s="189" t="s">
        <v>2430</v>
      </c>
      <c r="L1823" s="189" t="s">
        <v>233</v>
      </c>
      <c r="M1823" s="189" t="s">
        <v>1151</v>
      </c>
      <c r="N1823" s="189" t="s">
        <v>316</v>
      </c>
      <c r="O1823" s="189" t="s">
        <v>107</v>
      </c>
      <c r="P1823" s="189" t="s">
        <v>390</v>
      </c>
      <c r="Q1823" s="189" t="s">
        <v>112</v>
      </c>
      <c r="R1823" s="189" t="s">
        <v>22</v>
      </c>
      <c r="S1823" s="189" t="s">
        <v>120</v>
      </c>
      <c r="T1823" s="189" t="s">
        <v>496</v>
      </c>
      <c r="V1823" s="189" t="s">
        <v>167</v>
      </c>
      <c r="W1823" s="189" t="s">
        <v>124</v>
      </c>
      <c r="X1823" s="189" t="s">
        <v>298</v>
      </c>
      <c r="Y1823" s="189" t="s">
        <v>3064</v>
      </c>
      <c r="Z1823" s="0" t="n">
        <v>1</v>
      </c>
      <c r="AA1823" s="189" t="s">
        <v>3123</v>
      </c>
    </row>
    <row r="1824" customFormat="false" ht="15" hidden="false" customHeight="false" outlineLevel="0" collapsed="false">
      <c r="A1824" s="0" t="n">
        <v>392</v>
      </c>
      <c r="B1824" s="191" t="n">
        <v>46057.891369793</v>
      </c>
      <c r="C1824" s="191" t="n">
        <v>46057.908233219</v>
      </c>
      <c r="D1824" s="189" t="s">
        <v>2427</v>
      </c>
      <c r="E1824" s="189" t="s">
        <v>2428</v>
      </c>
      <c r="F1824" s="189" t="s">
        <v>2428</v>
      </c>
      <c r="G1824" s="189" t="s">
        <v>2429</v>
      </c>
      <c r="H1824" s="191" t="n">
        <v>46044</v>
      </c>
      <c r="I1824" s="189" t="s">
        <v>325</v>
      </c>
      <c r="J1824" s="189" t="s">
        <v>108</v>
      </c>
      <c r="K1824" s="189" t="s">
        <v>2430</v>
      </c>
      <c r="L1824" s="189" t="s">
        <v>233</v>
      </c>
      <c r="M1824" s="189" t="s">
        <v>1151</v>
      </c>
      <c r="N1824" s="189" t="s">
        <v>316</v>
      </c>
      <c r="O1824" s="189" t="s">
        <v>107</v>
      </c>
      <c r="P1824" s="189" t="s">
        <v>390</v>
      </c>
      <c r="Q1824" s="189" t="s">
        <v>112</v>
      </c>
      <c r="R1824" s="189" t="s">
        <v>22</v>
      </c>
      <c r="S1824" s="189" t="s">
        <v>120</v>
      </c>
      <c r="T1824" s="189" t="s">
        <v>496</v>
      </c>
      <c r="V1824" s="189" t="s">
        <v>167</v>
      </c>
      <c r="W1824" s="189" t="s">
        <v>124</v>
      </c>
      <c r="X1824" s="189" t="s">
        <v>298</v>
      </c>
      <c r="Y1824" s="189" t="s">
        <v>3064</v>
      </c>
      <c r="Z1824" s="0" t="n">
        <v>2</v>
      </c>
      <c r="AA1824" s="189" t="s">
        <v>3236</v>
      </c>
    </row>
    <row r="1825" customFormat="false" ht="15" hidden="false" customHeight="false" outlineLevel="0" collapsed="false">
      <c r="A1825" s="0" t="n">
        <v>392</v>
      </c>
      <c r="B1825" s="191" t="n">
        <v>46057.891369793</v>
      </c>
      <c r="C1825" s="191" t="n">
        <v>46057.908233219</v>
      </c>
      <c r="D1825" s="189" t="s">
        <v>2427</v>
      </c>
      <c r="E1825" s="189" t="s">
        <v>2428</v>
      </c>
      <c r="F1825" s="189" t="s">
        <v>2428</v>
      </c>
      <c r="G1825" s="189" t="s">
        <v>2429</v>
      </c>
      <c r="H1825" s="191" t="n">
        <v>46044</v>
      </c>
      <c r="I1825" s="189" t="s">
        <v>325</v>
      </c>
      <c r="J1825" s="189" t="s">
        <v>108</v>
      </c>
      <c r="K1825" s="189" t="s">
        <v>2430</v>
      </c>
      <c r="L1825" s="189" t="s">
        <v>233</v>
      </c>
      <c r="M1825" s="189" t="s">
        <v>1151</v>
      </c>
      <c r="N1825" s="189" t="s">
        <v>316</v>
      </c>
      <c r="O1825" s="189" t="s">
        <v>107</v>
      </c>
      <c r="P1825" s="189" t="s">
        <v>390</v>
      </c>
      <c r="Q1825" s="189" t="s">
        <v>112</v>
      </c>
      <c r="R1825" s="189" t="s">
        <v>22</v>
      </c>
      <c r="S1825" s="189" t="s">
        <v>120</v>
      </c>
      <c r="T1825" s="189" t="s">
        <v>496</v>
      </c>
      <c r="V1825" s="189" t="s">
        <v>167</v>
      </c>
      <c r="W1825" s="189" t="s">
        <v>124</v>
      </c>
      <c r="X1825" s="189" t="s">
        <v>298</v>
      </c>
      <c r="Y1825" s="189" t="s">
        <v>3064</v>
      </c>
      <c r="Z1825" s="0" t="n">
        <v>3</v>
      </c>
      <c r="AA1825" s="189" t="s">
        <v>3125</v>
      </c>
    </row>
    <row r="1826" customFormat="false" ht="15" hidden="false" customHeight="false" outlineLevel="0" collapsed="false">
      <c r="A1826" s="0" t="n">
        <v>392</v>
      </c>
      <c r="B1826" s="191" t="n">
        <v>46057.891369793</v>
      </c>
      <c r="C1826" s="191" t="n">
        <v>46057.908233219</v>
      </c>
      <c r="D1826" s="189" t="s">
        <v>2427</v>
      </c>
      <c r="E1826" s="189" t="s">
        <v>2428</v>
      </c>
      <c r="F1826" s="189" t="s">
        <v>2428</v>
      </c>
      <c r="G1826" s="189" t="s">
        <v>2429</v>
      </c>
      <c r="H1826" s="191" t="n">
        <v>46044</v>
      </c>
      <c r="I1826" s="189" t="s">
        <v>325</v>
      </c>
      <c r="J1826" s="189" t="s">
        <v>108</v>
      </c>
      <c r="K1826" s="189" t="s">
        <v>2430</v>
      </c>
      <c r="L1826" s="189" t="s">
        <v>233</v>
      </c>
      <c r="M1826" s="189" t="s">
        <v>1151</v>
      </c>
      <c r="N1826" s="189" t="s">
        <v>316</v>
      </c>
      <c r="O1826" s="189" t="s">
        <v>107</v>
      </c>
      <c r="P1826" s="189" t="s">
        <v>390</v>
      </c>
      <c r="Q1826" s="189" t="s">
        <v>112</v>
      </c>
      <c r="R1826" s="189" t="s">
        <v>22</v>
      </c>
      <c r="S1826" s="189" t="s">
        <v>120</v>
      </c>
      <c r="T1826" s="189" t="s">
        <v>496</v>
      </c>
      <c r="V1826" s="189" t="s">
        <v>167</v>
      </c>
      <c r="W1826" s="189" t="s">
        <v>124</v>
      </c>
      <c r="X1826" s="189" t="s">
        <v>298</v>
      </c>
      <c r="Y1826" s="189" t="s">
        <v>3066</v>
      </c>
      <c r="Z1826" s="0" t="n">
        <v>1</v>
      </c>
      <c r="AA1826" s="189" t="s">
        <v>3209</v>
      </c>
    </row>
    <row r="1827" customFormat="false" ht="15" hidden="false" customHeight="false" outlineLevel="0" collapsed="false">
      <c r="A1827" s="0" t="n">
        <v>392</v>
      </c>
      <c r="B1827" s="191" t="n">
        <v>46057.891369793</v>
      </c>
      <c r="C1827" s="191" t="n">
        <v>46057.908233219</v>
      </c>
      <c r="D1827" s="189" t="s">
        <v>2427</v>
      </c>
      <c r="E1827" s="189" t="s">
        <v>2428</v>
      </c>
      <c r="F1827" s="189" t="s">
        <v>2428</v>
      </c>
      <c r="G1827" s="189" t="s">
        <v>2429</v>
      </c>
      <c r="H1827" s="191" t="n">
        <v>46044</v>
      </c>
      <c r="I1827" s="189" t="s">
        <v>325</v>
      </c>
      <c r="J1827" s="189" t="s">
        <v>108</v>
      </c>
      <c r="K1827" s="189" t="s">
        <v>2430</v>
      </c>
      <c r="L1827" s="189" t="s">
        <v>233</v>
      </c>
      <c r="M1827" s="189" t="s">
        <v>1151</v>
      </c>
      <c r="N1827" s="189" t="s">
        <v>316</v>
      </c>
      <c r="O1827" s="189" t="s">
        <v>107</v>
      </c>
      <c r="P1827" s="189" t="s">
        <v>390</v>
      </c>
      <c r="Q1827" s="189" t="s">
        <v>112</v>
      </c>
      <c r="R1827" s="189" t="s">
        <v>22</v>
      </c>
      <c r="S1827" s="189" t="s">
        <v>120</v>
      </c>
      <c r="T1827" s="189" t="s">
        <v>496</v>
      </c>
      <c r="V1827" s="189" t="s">
        <v>167</v>
      </c>
      <c r="W1827" s="189" t="s">
        <v>124</v>
      </c>
      <c r="X1827" s="189" t="s">
        <v>298</v>
      </c>
      <c r="Y1827" s="189" t="s">
        <v>3069</v>
      </c>
      <c r="Z1827" s="0" t="n">
        <v>1</v>
      </c>
      <c r="AA1827" s="189" t="s">
        <v>3128</v>
      </c>
    </row>
    <row r="1828" customFormat="false" ht="15" hidden="false" customHeight="false" outlineLevel="0" collapsed="false">
      <c r="A1828" s="0" t="n">
        <v>392</v>
      </c>
      <c r="B1828" s="191" t="n">
        <v>46057.891369793</v>
      </c>
      <c r="C1828" s="191" t="n">
        <v>46057.908233219</v>
      </c>
      <c r="D1828" s="189" t="s">
        <v>2427</v>
      </c>
      <c r="E1828" s="189" t="s">
        <v>2428</v>
      </c>
      <c r="F1828" s="189" t="s">
        <v>2428</v>
      </c>
      <c r="G1828" s="189" t="s">
        <v>2429</v>
      </c>
      <c r="H1828" s="191" t="n">
        <v>46044</v>
      </c>
      <c r="I1828" s="189" t="s">
        <v>325</v>
      </c>
      <c r="J1828" s="189" t="s">
        <v>108</v>
      </c>
      <c r="K1828" s="189" t="s">
        <v>2430</v>
      </c>
      <c r="L1828" s="189" t="s">
        <v>233</v>
      </c>
      <c r="M1828" s="189" t="s">
        <v>1151</v>
      </c>
      <c r="N1828" s="189" t="s">
        <v>316</v>
      </c>
      <c r="O1828" s="189" t="s">
        <v>107</v>
      </c>
      <c r="P1828" s="189" t="s">
        <v>390</v>
      </c>
      <c r="Q1828" s="189" t="s">
        <v>112</v>
      </c>
      <c r="R1828" s="189" t="s">
        <v>22</v>
      </c>
      <c r="S1828" s="189" t="s">
        <v>120</v>
      </c>
      <c r="T1828" s="189" t="s">
        <v>496</v>
      </c>
      <c r="V1828" s="189" t="s">
        <v>167</v>
      </c>
      <c r="W1828" s="189" t="s">
        <v>124</v>
      </c>
      <c r="X1828" s="189" t="s">
        <v>298</v>
      </c>
      <c r="Y1828" s="189" t="s">
        <v>3069</v>
      </c>
      <c r="Z1828" s="0" t="n">
        <v>2</v>
      </c>
      <c r="AA1828" s="189" t="s">
        <v>3127</v>
      </c>
    </row>
    <row r="1829" customFormat="false" ht="15" hidden="false" customHeight="false" outlineLevel="0" collapsed="false">
      <c r="A1829" s="0" t="n">
        <v>393</v>
      </c>
      <c r="B1829" s="191" t="n">
        <v>46165.8219690586</v>
      </c>
      <c r="C1829" s="191" t="n">
        <v>46165.8240871141</v>
      </c>
      <c r="D1829" s="189" t="s">
        <v>2433</v>
      </c>
      <c r="E1829" s="189" t="s">
        <v>2434</v>
      </c>
      <c r="F1829" s="189" t="s">
        <v>2434</v>
      </c>
      <c r="G1829" s="189" t="s">
        <v>2435</v>
      </c>
      <c r="H1829" s="191" t="n">
        <v>46151</v>
      </c>
      <c r="I1829" s="189" t="s">
        <v>113</v>
      </c>
      <c r="J1829" s="189" t="s">
        <v>108</v>
      </c>
      <c r="K1829" s="189" t="s">
        <v>364</v>
      </c>
      <c r="L1829" s="189" t="s">
        <v>296</v>
      </c>
      <c r="M1829" s="189" t="s">
        <v>612</v>
      </c>
      <c r="N1829" s="189" t="s">
        <v>259</v>
      </c>
      <c r="O1829" s="189" t="s">
        <v>107</v>
      </c>
      <c r="P1829" s="189" t="s">
        <v>111</v>
      </c>
      <c r="Q1829" s="189" t="s">
        <v>112</v>
      </c>
      <c r="R1829" s="189" t="s">
        <v>22</v>
      </c>
      <c r="S1829" s="189" t="s">
        <v>227</v>
      </c>
      <c r="T1829" s="189" t="s">
        <v>264</v>
      </c>
      <c r="U1829" s="189" t="s">
        <v>122</v>
      </c>
      <c r="V1829" s="189" t="s">
        <v>192</v>
      </c>
      <c r="W1829" s="189" t="s">
        <v>139</v>
      </c>
      <c r="X1829" s="189" t="s">
        <v>148</v>
      </c>
      <c r="Y1829" s="189" t="s">
        <v>3064</v>
      </c>
      <c r="Z1829" s="0" t="n">
        <v>1</v>
      </c>
      <c r="AA1829" s="189" t="s">
        <v>3281</v>
      </c>
    </row>
    <row r="1830" customFormat="false" ht="15" hidden="false" customHeight="false" outlineLevel="0" collapsed="false">
      <c r="A1830" s="0" t="n">
        <v>393</v>
      </c>
      <c r="B1830" s="191" t="n">
        <v>46165.8219690586</v>
      </c>
      <c r="C1830" s="191" t="n">
        <v>46165.8240871141</v>
      </c>
      <c r="D1830" s="189" t="s">
        <v>2433</v>
      </c>
      <c r="E1830" s="189" t="s">
        <v>2434</v>
      </c>
      <c r="F1830" s="189" t="s">
        <v>2434</v>
      </c>
      <c r="G1830" s="189" t="s">
        <v>2435</v>
      </c>
      <c r="H1830" s="191" t="n">
        <v>46151</v>
      </c>
      <c r="I1830" s="189" t="s">
        <v>113</v>
      </c>
      <c r="J1830" s="189" t="s">
        <v>108</v>
      </c>
      <c r="K1830" s="189" t="s">
        <v>364</v>
      </c>
      <c r="L1830" s="189" t="s">
        <v>296</v>
      </c>
      <c r="M1830" s="189" t="s">
        <v>612</v>
      </c>
      <c r="N1830" s="189" t="s">
        <v>259</v>
      </c>
      <c r="O1830" s="189" t="s">
        <v>107</v>
      </c>
      <c r="P1830" s="189" t="s">
        <v>111</v>
      </c>
      <c r="Q1830" s="189" t="s">
        <v>112</v>
      </c>
      <c r="R1830" s="189" t="s">
        <v>22</v>
      </c>
      <c r="S1830" s="189" t="s">
        <v>227</v>
      </c>
      <c r="T1830" s="189" t="s">
        <v>264</v>
      </c>
      <c r="U1830" s="189" t="s">
        <v>122</v>
      </c>
      <c r="V1830" s="189" t="s">
        <v>192</v>
      </c>
      <c r="W1830" s="189" t="s">
        <v>139</v>
      </c>
      <c r="X1830" s="189" t="s">
        <v>148</v>
      </c>
      <c r="Y1830" s="189" t="s">
        <v>3066</v>
      </c>
      <c r="Z1830" s="0" t="n">
        <v>1</v>
      </c>
      <c r="AA1830" s="189" t="s">
        <v>3093</v>
      </c>
    </row>
    <row r="1831" customFormat="false" ht="15" hidden="false" customHeight="false" outlineLevel="0" collapsed="false">
      <c r="A1831" s="0" t="n">
        <v>393</v>
      </c>
      <c r="B1831" s="191" t="n">
        <v>46165.8219690586</v>
      </c>
      <c r="C1831" s="191" t="n">
        <v>46165.8240871141</v>
      </c>
      <c r="D1831" s="189" t="s">
        <v>2433</v>
      </c>
      <c r="E1831" s="189" t="s">
        <v>2434</v>
      </c>
      <c r="F1831" s="189" t="s">
        <v>2434</v>
      </c>
      <c r="G1831" s="189" t="s">
        <v>2435</v>
      </c>
      <c r="H1831" s="191" t="n">
        <v>46151</v>
      </c>
      <c r="I1831" s="189" t="s">
        <v>113</v>
      </c>
      <c r="J1831" s="189" t="s">
        <v>108</v>
      </c>
      <c r="K1831" s="189" t="s">
        <v>364</v>
      </c>
      <c r="L1831" s="189" t="s">
        <v>296</v>
      </c>
      <c r="M1831" s="189" t="s">
        <v>612</v>
      </c>
      <c r="N1831" s="189" t="s">
        <v>259</v>
      </c>
      <c r="O1831" s="189" t="s">
        <v>107</v>
      </c>
      <c r="P1831" s="189" t="s">
        <v>111</v>
      </c>
      <c r="Q1831" s="189" t="s">
        <v>112</v>
      </c>
      <c r="R1831" s="189" t="s">
        <v>22</v>
      </c>
      <c r="S1831" s="189" t="s">
        <v>227</v>
      </c>
      <c r="T1831" s="189" t="s">
        <v>264</v>
      </c>
      <c r="U1831" s="189" t="s">
        <v>122</v>
      </c>
      <c r="V1831" s="189" t="s">
        <v>192</v>
      </c>
      <c r="W1831" s="189" t="s">
        <v>139</v>
      </c>
      <c r="X1831" s="189" t="s">
        <v>148</v>
      </c>
      <c r="Y1831" s="189" t="s">
        <v>3066</v>
      </c>
      <c r="Z1831" s="0" t="n">
        <v>2</v>
      </c>
      <c r="AA1831" s="189" t="s">
        <v>3078</v>
      </c>
    </row>
    <row r="1832" customFormat="false" ht="15" hidden="false" customHeight="false" outlineLevel="0" collapsed="false">
      <c r="A1832" s="0" t="n">
        <v>393</v>
      </c>
      <c r="B1832" s="191" t="n">
        <v>46165.8219690586</v>
      </c>
      <c r="C1832" s="191" t="n">
        <v>46165.8240871141</v>
      </c>
      <c r="D1832" s="189" t="s">
        <v>2433</v>
      </c>
      <c r="E1832" s="189" t="s">
        <v>2434</v>
      </c>
      <c r="F1832" s="189" t="s">
        <v>2434</v>
      </c>
      <c r="G1832" s="189" t="s">
        <v>2435</v>
      </c>
      <c r="H1832" s="191" t="n">
        <v>46151</v>
      </c>
      <c r="I1832" s="189" t="s">
        <v>113</v>
      </c>
      <c r="J1832" s="189" t="s">
        <v>108</v>
      </c>
      <c r="K1832" s="189" t="s">
        <v>364</v>
      </c>
      <c r="L1832" s="189" t="s">
        <v>296</v>
      </c>
      <c r="M1832" s="189" t="s">
        <v>612</v>
      </c>
      <c r="N1832" s="189" t="s">
        <v>259</v>
      </c>
      <c r="O1832" s="189" t="s">
        <v>107</v>
      </c>
      <c r="P1832" s="189" t="s">
        <v>111</v>
      </c>
      <c r="Q1832" s="189" t="s">
        <v>112</v>
      </c>
      <c r="R1832" s="189" t="s">
        <v>22</v>
      </c>
      <c r="S1832" s="189" t="s">
        <v>227</v>
      </c>
      <c r="T1832" s="189" t="s">
        <v>264</v>
      </c>
      <c r="U1832" s="189" t="s">
        <v>122</v>
      </c>
      <c r="V1832" s="189" t="s">
        <v>192</v>
      </c>
      <c r="W1832" s="189" t="s">
        <v>139</v>
      </c>
      <c r="X1832" s="189" t="s">
        <v>148</v>
      </c>
      <c r="Y1832" s="189" t="s">
        <v>3069</v>
      </c>
      <c r="Z1832" s="0" t="n">
        <v>1</v>
      </c>
      <c r="AA1832" s="189" t="s">
        <v>3188</v>
      </c>
    </row>
    <row r="1833" customFormat="false" ht="15" hidden="false" customHeight="false" outlineLevel="0" collapsed="false">
      <c r="A1833" s="0" t="n">
        <v>393</v>
      </c>
      <c r="B1833" s="191" t="n">
        <v>46165.8219690586</v>
      </c>
      <c r="C1833" s="191" t="n">
        <v>46165.8240871141</v>
      </c>
      <c r="D1833" s="189" t="s">
        <v>2433</v>
      </c>
      <c r="E1833" s="189" t="s">
        <v>2434</v>
      </c>
      <c r="F1833" s="189" t="s">
        <v>2434</v>
      </c>
      <c r="G1833" s="189" t="s">
        <v>2435</v>
      </c>
      <c r="H1833" s="191" t="n">
        <v>46151</v>
      </c>
      <c r="I1833" s="189" t="s">
        <v>113</v>
      </c>
      <c r="J1833" s="189" t="s">
        <v>108</v>
      </c>
      <c r="K1833" s="189" t="s">
        <v>364</v>
      </c>
      <c r="L1833" s="189" t="s">
        <v>296</v>
      </c>
      <c r="M1833" s="189" t="s">
        <v>612</v>
      </c>
      <c r="N1833" s="189" t="s">
        <v>259</v>
      </c>
      <c r="O1833" s="189" t="s">
        <v>107</v>
      </c>
      <c r="P1833" s="189" t="s">
        <v>111</v>
      </c>
      <c r="Q1833" s="189" t="s">
        <v>112</v>
      </c>
      <c r="R1833" s="189" t="s">
        <v>22</v>
      </c>
      <c r="S1833" s="189" t="s">
        <v>227</v>
      </c>
      <c r="T1833" s="189" t="s">
        <v>264</v>
      </c>
      <c r="U1833" s="189" t="s">
        <v>122</v>
      </c>
      <c r="V1833" s="189" t="s">
        <v>192</v>
      </c>
      <c r="W1833" s="189" t="s">
        <v>139</v>
      </c>
      <c r="X1833" s="189" t="s">
        <v>148</v>
      </c>
      <c r="Y1833" s="189" t="s">
        <v>3069</v>
      </c>
      <c r="Z1833" s="0" t="n">
        <v>2</v>
      </c>
      <c r="AA1833" s="189" t="s">
        <v>3080</v>
      </c>
    </row>
    <row r="1834" customFormat="false" ht="15" hidden="false" customHeight="false" outlineLevel="0" collapsed="false">
      <c r="A1834" s="0" t="n">
        <v>394</v>
      </c>
      <c r="B1834" s="191" t="n">
        <v>46169.9331230954</v>
      </c>
      <c r="C1834" s="191" t="n">
        <v>46169.9359240213</v>
      </c>
      <c r="D1834" s="189" t="s">
        <v>2437</v>
      </c>
      <c r="E1834" s="189" t="s">
        <v>2438</v>
      </c>
      <c r="F1834" s="189" t="s">
        <v>2438</v>
      </c>
      <c r="G1834" s="189" t="s">
        <v>2439</v>
      </c>
      <c r="H1834" s="191" t="n">
        <v>46168</v>
      </c>
      <c r="I1834" s="189" t="s">
        <v>132</v>
      </c>
      <c r="J1834" s="189" t="s">
        <v>295</v>
      </c>
      <c r="K1834" s="189" t="s">
        <v>196</v>
      </c>
      <c r="L1834" s="189" t="s">
        <v>159</v>
      </c>
      <c r="M1834" s="189" t="s">
        <v>905</v>
      </c>
      <c r="N1834" s="189" t="s">
        <v>638</v>
      </c>
      <c r="O1834" s="189" t="s">
        <v>172</v>
      </c>
      <c r="P1834" s="189" t="s">
        <v>111</v>
      </c>
      <c r="Q1834" s="189" t="s">
        <v>112</v>
      </c>
      <c r="R1834" s="189" t="s">
        <v>23</v>
      </c>
      <c r="S1834" s="189" t="s">
        <v>152</v>
      </c>
      <c r="T1834" s="189" t="s">
        <v>180</v>
      </c>
      <c r="V1834" s="189" t="s">
        <v>192</v>
      </c>
      <c r="W1834" s="189" t="s">
        <v>124</v>
      </c>
      <c r="X1834" s="189" t="s">
        <v>503</v>
      </c>
      <c r="Y1834" s="189" t="s">
        <v>3172</v>
      </c>
      <c r="Z1834" s="0" t="n">
        <v>1</v>
      </c>
      <c r="AA1834" s="189" t="s">
        <v>2440</v>
      </c>
    </row>
    <row r="1835" customFormat="false" ht="15" hidden="false" customHeight="false" outlineLevel="0" collapsed="false">
      <c r="A1835" s="0" t="n">
        <v>395</v>
      </c>
      <c r="B1835" s="191" t="n">
        <v>46096.6922976138</v>
      </c>
      <c r="C1835" s="191" t="n">
        <v>46096.7104920583</v>
      </c>
      <c r="D1835" s="189" t="s">
        <v>2441</v>
      </c>
      <c r="E1835" s="189" t="s">
        <v>2442</v>
      </c>
      <c r="F1835" s="189" t="s">
        <v>2442</v>
      </c>
      <c r="G1835" s="189" t="s">
        <v>2443</v>
      </c>
      <c r="H1835" s="191" t="n">
        <v>46088</v>
      </c>
      <c r="I1835" s="189" t="s">
        <v>325</v>
      </c>
      <c r="J1835" s="189" t="s">
        <v>295</v>
      </c>
      <c r="K1835" s="189" t="s">
        <v>196</v>
      </c>
      <c r="L1835" s="189" t="s">
        <v>346</v>
      </c>
      <c r="M1835" s="189" t="s">
        <v>248</v>
      </c>
      <c r="N1835" s="189" t="s">
        <v>606</v>
      </c>
      <c r="O1835" s="189" t="s">
        <v>172</v>
      </c>
      <c r="P1835" s="189" t="s">
        <v>111</v>
      </c>
      <c r="Q1835" s="189" t="s">
        <v>112</v>
      </c>
      <c r="R1835" s="189" t="s">
        <v>22</v>
      </c>
      <c r="S1835" s="189" t="s">
        <v>120</v>
      </c>
      <c r="T1835" s="189" t="s">
        <v>121</v>
      </c>
      <c r="U1835" s="189" t="s">
        <v>2447</v>
      </c>
      <c r="V1835" s="189" t="s">
        <v>123</v>
      </c>
      <c r="W1835" s="189" t="s">
        <v>124</v>
      </c>
      <c r="X1835" s="189" t="s">
        <v>176</v>
      </c>
      <c r="Y1835" s="189" t="s">
        <v>3064</v>
      </c>
      <c r="Z1835" s="0" t="n">
        <v>1</v>
      </c>
      <c r="AA1835" s="189" t="s">
        <v>3086</v>
      </c>
    </row>
    <row r="1836" customFormat="false" ht="15" hidden="false" customHeight="false" outlineLevel="0" collapsed="false">
      <c r="A1836" s="0" t="n">
        <v>395</v>
      </c>
      <c r="B1836" s="191" t="n">
        <v>46096.6922976138</v>
      </c>
      <c r="C1836" s="191" t="n">
        <v>46096.7104920583</v>
      </c>
      <c r="D1836" s="189" t="s">
        <v>2441</v>
      </c>
      <c r="E1836" s="189" t="s">
        <v>2442</v>
      </c>
      <c r="F1836" s="189" t="s">
        <v>2442</v>
      </c>
      <c r="G1836" s="189" t="s">
        <v>2443</v>
      </c>
      <c r="H1836" s="191" t="n">
        <v>46088</v>
      </c>
      <c r="I1836" s="189" t="s">
        <v>325</v>
      </c>
      <c r="J1836" s="189" t="s">
        <v>295</v>
      </c>
      <c r="K1836" s="189" t="s">
        <v>196</v>
      </c>
      <c r="L1836" s="189" t="s">
        <v>346</v>
      </c>
      <c r="M1836" s="189" t="s">
        <v>248</v>
      </c>
      <c r="N1836" s="189" t="s">
        <v>606</v>
      </c>
      <c r="O1836" s="189" t="s">
        <v>172</v>
      </c>
      <c r="P1836" s="189" t="s">
        <v>111</v>
      </c>
      <c r="Q1836" s="189" t="s">
        <v>112</v>
      </c>
      <c r="R1836" s="189" t="s">
        <v>22</v>
      </c>
      <c r="S1836" s="189" t="s">
        <v>120</v>
      </c>
      <c r="T1836" s="189" t="s">
        <v>121</v>
      </c>
      <c r="U1836" s="189" t="s">
        <v>2447</v>
      </c>
      <c r="V1836" s="189" t="s">
        <v>123</v>
      </c>
      <c r="W1836" s="189" t="s">
        <v>124</v>
      </c>
      <c r="X1836" s="189" t="s">
        <v>176</v>
      </c>
      <c r="Y1836" s="189" t="s">
        <v>3064</v>
      </c>
      <c r="Z1836" s="0" t="n">
        <v>2</v>
      </c>
      <c r="AA1836" s="189" t="s">
        <v>3321</v>
      </c>
    </row>
    <row r="1837" customFormat="false" ht="15" hidden="false" customHeight="false" outlineLevel="0" collapsed="false">
      <c r="A1837" s="0" t="n">
        <v>395</v>
      </c>
      <c r="B1837" s="191" t="n">
        <v>46096.6922976138</v>
      </c>
      <c r="C1837" s="191" t="n">
        <v>46096.7104920583</v>
      </c>
      <c r="D1837" s="189" t="s">
        <v>2441</v>
      </c>
      <c r="E1837" s="189" t="s">
        <v>2442</v>
      </c>
      <c r="F1837" s="189" t="s">
        <v>2442</v>
      </c>
      <c r="G1837" s="189" t="s">
        <v>2443</v>
      </c>
      <c r="H1837" s="191" t="n">
        <v>46088</v>
      </c>
      <c r="I1837" s="189" t="s">
        <v>325</v>
      </c>
      <c r="J1837" s="189" t="s">
        <v>295</v>
      </c>
      <c r="K1837" s="189" t="s">
        <v>196</v>
      </c>
      <c r="L1837" s="189" t="s">
        <v>346</v>
      </c>
      <c r="M1837" s="189" t="s">
        <v>248</v>
      </c>
      <c r="N1837" s="189" t="s">
        <v>606</v>
      </c>
      <c r="O1837" s="189" t="s">
        <v>172</v>
      </c>
      <c r="P1837" s="189" t="s">
        <v>111</v>
      </c>
      <c r="Q1837" s="189" t="s">
        <v>112</v>
      </c>
      <c r="R1837" s="189" t="s">
        <v>22</v>
      </c>
      <c r="S1837" s="189" t="s">
        <v>120</v>
      </c>
      <c r="T1837" s="189" t="s">
        <v>121</v>
      </c>
      <c r="U1837" s="189" t="s">
        <v>2447</v>
      </c>
      <c r="V1837" s="189" t="s">
        <v>123</v>
      </c>
      <c r="W1837" s="189" t="s">
        <v>124</v>
      </c>
      <c r="X1837" s="189" t="s">
        <v>176</v>
      </c>
      <c r="Y1837" s="189" t="s">
        <v>3066</v>
      </c>
      <c r="Z1837" s="0" t="n">
        <v>1</v>
      </c>
      <c r="AA1837" s="189" t="s">
        <v>3240</v>
      </c>
    </row>
    <row r="1838" customFormat="false" ht="15" hidden="false" customHeight="false" outlineLevel="0" collapsed="false">
      <c r="A1838" s="0" t="n">
        <v>395</v>
      </c>
      <c r="B1838" s="191" t="n">
        <v>46096.6922976138</v>
      </c>
      <c r="C1838" s="191" t="n">
        <v>46096.7104920583</v>
      </c>
      <c r="D1838" s="189" t="s">
        <v>2441</v>
      </c>
      <c r="E1838" s="189" t="s">
        <v>2442</v>
      </c>
      <c r="F1838" s="189" t="s">
        <v>2442</v>
      </c>
      <c r="G1838" s="189" t="s">
        <v>2443</v>
      </c>
      <c r="H1838" s="191" t="n">
        <v>46088</v>
      </c>
      <c r="I1838" s="189" t="s">
        <v>325</v>
      </c>
      <c r="J1838" s="189" t="s">
        <v>295</v>
      </c>
      <c r="K1838" s="189" t="s">
        <v>196</v>
      </c>
      <c r="L1838" s="189" t="s">
        <v>346</v>
      </c>
      <c r="M1838" s="189" t="s">
        <v>248</v>
      </c>
      <c r="N1838" s="189" t="s">
        <v>606</v>
      </c>
      <c r="O1838" s="189" t="s">
        <v>172</v>
      </c>
      <c r="P1838" s="189" t="s">
        <v>111</v>
      </c>
      <c r="Q1838" s="189" t="s">
        <v>112</v>
      </c>
      <c r="R1838" s="189" t="s">
        <v>22</v>
      </c>
      <c r="S1838" s="189" t="s">
        <v>120</v>
      </c>
      <c r="T1838" s="189" t="s">
        <v>121</v>
      </c>
      <c r="U1838" s="189" t="s">
        <v>2447</v>
      </c>
      <c r="V1838" s="189" t="s">
        <v>123</v>
      </c>
      <c r="W1838" s="189" t="s">
        <v>124</v>
      </c>
      <c r="X1838" s="189" t="s">
        <v>176</v>
      </c>
      <c r="Y1838" s="189" t="s">
        <v>3066</v>
      </c>
      <c r="Z1838" s="0" t="n">
        <v>2</v>
      </c>
      <c r="AA1838" s="189" t="s">
        <v>3283</v>
      </c>
    </row>
    <row r="1839" customFormat="false" ht="15" hidden="false" customHeight="false" outlineLevel="0" collapsed="false">
      <c r="A1839" s="0" t="n">
        <v>395</v>
      </c>
      <c r="B1839" s="191" t="n">
        <v>46096.6922976138</v>
      </c>
      <c r="C1839" s="191" t="n">
        <v>46096.7104920583</v>
      </c>
      <c r="D1839" s="189" t="s">
        <v>2441</v>
      </c>
      <c r="E1839" s="189" t="s">
        <v>2442</v>
      </c>
      <c r="F1839" s="189" t="s">
        <v>2442</v>
      </c>
      <c r="G1839" s="189" t="s">
        <v>2443</v>
      </c>
      <c r="H1839" s="191" t="n">
        <v>46088</v>
      </c>
      <c r="I1839" s="189" t="s">
        <v>325</v>
      </c>
      <c r="J1839" s="189" t="s">
        <v>295</v>
      </c>
      <c r="K1839" s="189" t="s">
        <v>196</v>
      </c>
      <c r="L1839" s="189" t="s">
        <v>346</v>
      </c>
      <c r="M1839" s="189" t="s">
        <v>248</v>
      </c>
      <c r="N1839" s="189" t="s">
        <v>606</v>
      </c>
      <c r="O1839" s="189" t="s">
        <v>172</v>
      </c>
      <c r="P1839" s="189" t="s">
        <v>111</v>
      </c>
      <c r="Q1839" s="189" t="s">
        <v>112</v>
      </c>
      <c r="R1839" s="189" t="s">
        <v>22</v>
      </c>
      <c r="S1839" s="189" t="s">
        <v>120</v>
      </c>
      <c r="T1839" s="189" t="s">
        <v>121</v>
      </c>
      <c r="U1839" s="189" t="s">
        <v>2447</v>
      </c>
      <c r="V1839" s="189" t="s">
        <v>123</v>
      </c>
      <c r="W1839" s="189" t="s">
        <v>124</v>
      </c>
      <c r="X1839" s="189" t="s">
        <v>176</v>
      </c>
      <c r="Y1839" s="189" t="s">
        <v>3069</v>
      </c>
      <c r="Z1839" s="0" t="n">
        <v>1</v>
      </c>
      <c r="AA1839" s="189" t="s">
        <v>3245</v>
      </c>
    </row>
    <row r="1840" customFormat="false" ht="15" hidden="false" customHeight="false" outlineLevel="0" collapsed="false">
      <c r="A1840" s="0" t="n">
        <v>395</v>
      </c>
      <c r="B1840" s="191" t="n">
        <v>46096.6922976138</v>
      </c>
      <c r="C1840" s="191" t="n">
        <v>46096.7104920583</v>
      </c>
      <c r="D1840" s="189" t="s">
        <v>2441</v>
      </c>
      <c r="E1840" s="189" t="s">
        <v>2442</v>
      </c>
      <c r="F1840" s="189" t="s">
        <v>2442</v>
      </c>
      <c r="G1840" s="189" t="s">
        <v>2443</v>
      </c>
      <c r="H1840" s="191" t="n">
        <v>46088</v>
      </c>
      <c r="I1840" s="189" t="s">
        <v>325</v>
      </c>
      <c r="J1840" s="189" t="s">
        <v>295</v>
      </c>
      <c r="K1840" s="189" t="s">
        <v>196</v>
      </c>
      <c r="L1840" s="189" t="s">
        <v>346</v>
      </c>
      <c r="M1840" s="189" t="s">
        <v>248</v>
      </c>
      <c r="N1840" s="189" t="s">
        <v>606</v>
      </c>
      <c r="O1840" s="189" t="s">
        <v>172</v>
      </c>
      <c r="P1840" s="189" t="s">
        <v>111</v>
      </c>
      <c r="Q1840" s="189" t="s">
        <v>112</v>
      </c>
      <c r="R1840" s="189" t="s">
        <v>22</v>
      </c>
      <c r="S1840" s="189" t="s">
        <v>120</v>
      </c>
      <c r="T1840" s="189" t="s">
        <v>121</v>
      </c>
      <c r="U1840" s="189" t="s">
        <v>2447</v>
      </c>
      <c r="V1840" s="189" t="s">
        <v>123</v>
      </c>
      <c r="W1840" s="189" t="s">
        <v>124</v>
      </c>
      <c r="X1840" s="189" t="s">
        <v>176</v>
      </c>
      <c r="Y1840" s="189" t="s">
        <v>3069</v>
      </c>
      <c r="Z1840" s="0" t="n">
        <v>2</v>
      </c>
      <c r="AA1840" s="189" t="s">
        <v>3296</v>
      </c>
    </row>
    <row r="1841" customFormat="false" ht="15" hidden="false" customHeight="false" outlineLevel="0" collapsed="false">
      <c r="A1841" s="0" t="n">
        <v>396</v>
      </c>
      <c r="B1841" s="191" t="n">
        <v>46213.7986594089</v>
      </c>
      <c r="C1841" s="191" t="n">
        <v>46213.8050598718</v>
      </c>
      <c r="D1841" s="189" t="s">
        <v>2448</v>
      </c>
      <c r="E1841" s="189" t="s">
        <v>2449</v>
      </c>
      <c r="F1841" s="189" t="s">
        <v>2449</v>
      </c>
      <c r="G1841" s="189" t="s">
        <v>2450</v>
      </c>
      <c r="H1841" s="191" t="n">
        <v>46195</v>
      </c>
      <c r="I1841" s="189" t="s">
        <v>113</v>
      </c>
      <c r="J1841" s="189" t="s">
        <v>108</v>
      </c>
      <c r="K1841" s="189" t="s">
        <v>245</v>
      </c>
      <c r="L1841" s="189" t="s">
        <v>389</v>
      </c>
      <c r="M1841" s="189" t="s">
        <v>248</v>
      </c>
      <c r="N1841" s="189" t="s">
        <v>2201</v>
      </c>
      <c r="O1841" s="189" t="s">
        <v>107</v>
      </c>
      <c r="P1841" s="189" t="s">
        <v>111</v>
      </c>
      <c r="Q1841" s="189" t="s">
        <v>112</v>
      </c>
      <c r="R1841" s="189" t="s">
        <v>24</v>
      </c>
      <c r="S1841" s="189" t="s">
        <v>120</v>
      </c>
      <c r="T1841" s="189" t="s">
        <v>121</v>
      </c>
      <c r="U1841" s="189" t="s">
        <v>2268</v>
      </c>
      <c r="V1841" s="189" t="s">
        <v>123</v>
      </c>
      <c r="W1841" s="189" t="s">
        <v>124</v>
      </c>
      <c r="X1841" s="189" t="s">
        <v>448</v>
      </c>
      <c r="Y1841" s="189" t="s">
        <v>3064</v>
      </c>
      <c r="Z1841" s="0" t="n">
        <v>1</v>
      </c>
      <c r="AA1841" s="189" t="s">
        <v>3174</v>
      </c>
    </row>
    <row r="1842" customFormat="false" ht="15" hidden="false" customHeight="false" outlineLevel="0" collapsed="false">
      <c r="A1842" s="0" t="n">
        <v>396</v>
      </c>
      <c r="B1842" s="191" t="n">
        <v>46213.7986594089</v>
      </c>
      <c r="C1842" s="191" t="n">
        <v>46213.8050598718</v>
      </c>
      <c r="D1842" s="189" t="s">
        <v>2448</v>
      </c>
      <c r="E1842" s="189" t="s">
        <v>2449</v>
      </c>
      <c r="F1842" s="189" t="s">
        <v>2449</v>
      </c>
      <c r="G1842" s="189" t="s">
        <v>2450</v>
      </c>
      <c r="H1842" s="191" t="n">
        <v>46195</v>
      </c>
      <c r="I1842" s="189" t="s">
        <v>113</v>
      </c>
      <c r="J1842" s="189" t="s">
        <v>108</v>
      </c>
      <c r="K1842" s="189" t="s">
        <v>245</v>
      </c>
      <c r="L1842" s="189" t="s">
        <v>389</v>
      </c>
      <c r="M1842" s="189" t="s">
        <v>248</v>
      </c>
      <c r="N1842" s="189" t="s">
        <v>2201</v>
      </c>
      <c r="O1842" s="189" t="s">
        <v>107</v>
      </c>
      <c r="P1842" s="189" t="s">
        <v>111</v>
      </c>
      <c r="Q1842" s="189" t="s">
        <v>112</v>
      </c>
      <c r="R1842" s="189" t="s">
        <v>24</v>
      </c>
      <c r="S1842" s="189" t="s">
        <v>120</v>
      </c>
      <c r="T1842" s="189" t="s">
        <v>121</v>
      </c>
      <c r="U1842" s="189" t="s">
        <v>2268</v>
      </c>
      <c r="V1842" s="189" t="s">
        <v>123</v>
      </c>
      <c r="W1842" s="189" t="s">
        <v>124</v>
      </c>
      <c r="X1842" s="189" t="s">
        <v>448</v>
      </c>
      <c r="Y1842" s="189" t="s">
        <v>3064</v>
      </c>
      <c r="Z1842" s="0" t="n">
        <v>2</v>
      </c>
      <c r="AA1842" s="189" t="s">
        <v>3191</v>
      </c>
    </row>
    <row r="1843" customFormat="false" ht="15" hidden="false" customHeight="false" outlineLevel="0" collapsed="false">
      <c r="A1843" s="0" t="n">
        <v>396</v>
      </c>
      <c r="B1843" s="191" t="n">
        <v>46213.7986594089</v>
      </c>
      <c r="C1843" s="191" t="n">
        <v>46213.8050598718</v>
      </c>
      <c r="D1843" s="189" t="s">
        <v>2448</v>
      </c>
      <c r="E1843" s="189" t="s">
        <v>2449</v>
      </c>
      <c r="F1843" s="189" t="s">
        <v>2449</v>
      </c>
      <c r="G1843" s="189" t="s">
        <v>2450</v>
      </c>
      <c r="H1843" s="191" t="n">
        <v>46195</v>
      </c>
      <c r="I1843" s="189" t="s">
        <v>113</v>
      </c>
      <c r="J1843" s="189" t="s">
        <v>108</v>
      </c>
      <c r="K1843" s="189" t="s">
        <v>245</v>
      </c>
      <c r="L1843" s="189" t="s">
        <v>389</v>
      </c>
      <c r="M1843" s="189" t="s">
        <v>248</v>
      </c>
      <c r="N1843" s="189" t="s">
        <v>2201</v>
      </c>
      <c r="O1843" s="189" t="s">
        <v>107</v>
      </c>
      <c r="P1843" s="189" t="s">
        <v>111</v>
      </c>
      <c r="Q1843" s="189" t="s">
        <v>112</v>
      </c>
      <c r="R1843" s="189" t="s">
        <v>24</v>
      </c>
      <c r="S1843" s="189" t="s">
        <v>120</v>
      </c>
      <c r="T1843" s="189" t="s">
        <v>121</v>
      </c>
      <c r="U1843" s="189" t="s">
        <v>2268</v>
      </c>
      <c r="V1843" s="189" t="s">
        <v>123</v>
      </c>
      <c r="W1843" s="189" t="s">
        <v>124</v>
      </c>
      <c r="X1843" s="189" t="s">
        <v>448</v>
      </c>
      <c r="Y1843" s="189" t="s">
        <v>3064</v>
      </c>
      <c r="Z1843" s="0" t="n">
        <v>3</v>
      </c>
      <c r="AA1843" s="189" t="s">
        <v>3189</v>
      </c>
    </row>
    <row r="1844" customFormat="false" ht="15" hidden="false" customHeight="false" outlineLevel="0" collapsed="false">
      <c r="A1844" s="0" t="n">
        <v>396</v>
      </c>
      <c r="B1844" s="191" t="n">
        <v>46213.7986594089</v>
      </c>
      <c r="C1844" s="191" t="n">
        <v>46213.8050598718</v>
      </c>
      <c r="D1844" s="189" t="s">
        <v>2448</v>
      </c>
      <c r="E1844" s="189" t="s">
        <v>2449</v>
      </c>
      <c r="F1844" s="189" t="s">
        <v>2449</v>
      </c>
      <c r="G1844" s="189" t="s">
        <v>2450</v>
      </c>
      <c r="H1844" s="191" t="n">
        <v>46195</v>
      </c>
      <c r="I1844" s="189" t="s">
        <v>113</v>
      </c>
      <c r="J1844" s="189" t="s">
        <v>108</v>
      </c>
      <c r="K1844" s="189" t="s">
        <v>245</v>
      </c>
      <c r="L1844" s="189" t="s">
        <v>389</v>
      </c>
      <c r="M1844" s="189" t="s">
        <v>248</v>
      </c>
      <c r="N1844" s="189" t="s">
        <v>2201</v>
      </c>
      <c r="O1844" s="189" t="s">
        <v>107</v>
      </c>
      <c r="P1844" s="189" t="s">
        <v>111</v>
      </c>
      <c r="Q1844" s="189" t="s">
        <v>112</v>
      </c>
      <c r="R1844" s="189" t="s">
        <v>24</v>
      </c>
      <c r="S1844" s="189" t="s">
        <v>120</v>
      </c>
      <c r="T1844" s="189" t="s">
        <v>121</v>
      </c>
      <c r="U1844" s="189" t="s">
        <v>2268</v>
      </c>
      <c r="V1844" s="189" t="s">
        <v>123</v>
      </c>
      <c r="W1844" s="189" t="s">
        <v>124</v>
      </c>
      <c r="X1844" s="189" t="s">
        <v>448</v>
      </c>
      <c r="Y1844" s="189" t="s">
        <v>3066</v>
      </c>
      <c r="Z1844" s="0" t="n">
        <v>1</v>
      </c>
      <c r="AA1844" s="189" t="s">
        <v>3176</v>
      </c>
    </row>
    <row r="1845" customFormat="false" ht="15" hidden="false" customHeight="false" outlineLevel="0" collapsed="false">
      <c r="A1845" s="0" t="n">
        <v>396</v>
      </c>
      <c r="B1845" s="191" t="n">
        <v>46213.7986594089</v>
      </c>
      <c r="C1845" s="191" t="n">
        <v>46213.8050598718</v>
      </c>
      <c r="D1845" s="189" t="s">
        <v>2448</v>
      </c>
      <c r="E1845" s="189" t="s">
        <v>2449</v>
      </c>
      <c r="F1845" s="189" t="s">
        <v>2449</v>
      </c>
      <c r="G1845" s="189" t="s">
        <v>2450</v>
      </c>
      <c r="H1845" s="191" t="n">
        <v>46195</v>
      </c>
      <c r="I1845" s="189" t="s">
        <v>113</v>
      </c>
      <c r="J1845" s="189" t="s">
        <v>108</v>
      </c>
      <c r="K1845" s="189" t="s">
        <v>245</v>
      </c>
      <c r="L1845" s="189" t="s">
        <v>389</v>
      </c>
      <c r="M1845" s="189" t="s">
        <v>248</v>
      </c>
      <c r="N1845" s="189" t="s">
        <v>2201</v>
      </c>
      <c r="O1845" s="189" t="s">
        <v>107</v>
      </c>
      <c r="P1845" s="189" t="s">
        <v>111</v>
      </c>
      <c r="Q1845" s="189" t="s">
        <v>112</v>
      </c>
      <c r="R1845" s="189" t="s">
        <v>24</v>
      </c>
      <c r="S1845" s="189" t="s">
        <v>120</v>
      </c>
      <c r="T1845" s="189" t="s">
        <v>121</v>
      </c>
      <c r="U1845" s="189" t="s">
        <v>2268</v>
      </c>
      <c r="V1845" s="189" t="s">
        <v>123</v>
      </c>
      <c r="W1845" s="189" t="s">
        <v>124</v>
      </c>
      <c r="X1845" s="189" t="s">
        <v>448</v>
      </c>
      <c r="Y1845" s="189" t="s">
        <v>3069</v>
      </c>
      <c r="Z1845" s="0" t="n">
        <v>1</v>
      </c>
      <c r="AA1845" s="189" t="s">
        <v>3179</v>
      </c>
    </row>
    <row r="1846" customFormat="false" ht="15" hidden="false" customHeight="false" outlineLevel="0" collapsed="false">
      <c r="A1846" s="0" t="n">
        <v>397</v>
      </c>
      <c r="B1846" s="191" t="n">
        <v>46108.4352820146</v>
      </c>
      <c r="C1846" s="191" t="n">
        <v>46108.4394949776</v>
      </c>
      <c r="D1846" s="189" t="s">
        <v>2452</v>
      </c>
      <c r="E1846" s="189" t="s">
        <v>2453</v>
      </c>
      <c r="F1846" s="189" t="s">
        <v>2453</v>
      </c>
      <c r="G1846" s="189" t="s">
        <v>2454</v>
      </c>
      <c r="H1846" s="191" t="n">
        <v>46093</v>
      </c>
      <c r="I1846" s="189" t="s">
        <v>113</v>
      </c>
      <c r="J1846" s="189" t="s">
        <v>128</v>
      </c>
      <c r="K1846" s="189" t="s">
        <v>143</v>
      </c>
      <c r="L1846" s="189" t="s">
        <v>286</v>
      </c>
      <c r="M1846" s="189" t="s">
        <v>612</v>
      </c>
      <c r="N1846" s="189" t="s">
        <v>115</v>
      </c>
      <c r="O1846" s="189" t="s">
        <v>172</v>
      </c>
      <c r="P1846" s="189" t="s">
        <v>111</v>
      </c>
      <c r="Q1846" s="189" t="s">
        <v>112</v>
      </c>
      <c r="R1846" s="189" t="s">
        <v>21</v>
      </c>
      <c r="S1846" s="189" t="s">
        <v>120</v>
      </c>
      <c r="T1846" s="189" t="s">
        <v>121</v>
      </c>
      <c r="U1846" s="189" t="s">
        <v>2172</v>
      </c>
      <c r="V1846" s="189" t="s">
        <v>123</v>
      </c>
      <c r="W1846" s="189" t="s">
        <v>124</v>
      </c>
      <c r="X1846" s="189" t="s">
        <v>457</v>
      </c>
      <c r="Y1846" s="189" t="s">
        <v>3064</v>
      </c>
      <c r="Z1846" s="0" t="n">
        <v>1</v>
      </c>
      <c r="AA1846" s="189" t="s">
        <v>3065</v>
      </c>
    </row>
    <row r="1847" customFormat="false" ht="15" hidden="false" customHeight="false" outlineLevel="0" collapsed="false">
      <c r="A1847" s="0" t="n">
        <v>397</v>
      </c>
      <c r="B1847" s="191" t="n">
        <v>46108.4352820146</v>
      </c>
      <c r="C1847" s="191" t="n">
        <v>46108.4394949776</v>
      </c>
      <c r="D1847" s="189" t="s">
        <v>2452</v>
      </c>
      <c r="E1847" s="189" t="s">
        <v>2453</v>
      </c>
      <c r="F1847" s="189" t="s">
        <v>2453</v>
      </c>
      <c r="G1847" s="189" t="s">
        <v>2454</v>
      </c>
      <c r="H1847" s="191" t="n">
        <v>46093</v>
      </c>
      <c r="I1847" s="189" t="s">
        <v>113</v>
      </c>
      <c r="J1847" s="189" t="s">
        <v>128</v>
      </c>
      <c r="K1847" s="189" t="s">
        <v>143</v>
      </c>
      <c r="L1847" s="189" t="s">
        <v>286</v>
      </c>
      <c r="M1847" s="189" t="s">
        <v>612</v>
      </c>
      <c r="N1847" s="189" t="s">
        <v>115</v>
      </c>
      <c r="O1847" s="189" t="s">
        <v>172</v>
      </c>
      <c r="P1847" s="189" t="s">
        <v>111</v>
      </c>
      <c r="Q1847" s="189" t="s">
        <v>112</v>
      </c>
      <c r="R1847" s="189" t="s">
        <v>21</v>
      </c>
      <c r="S1847" s="189" t="s">
        <v>120</v>
      </c>
      <c r="T1847" s="189" t="s">
        <v>121</v>
      </c>
      <c r="U1847" s="189" t="s">
        <v>2172</v>
      </c>
      <c r="V1847" s="189" t="s">
        <v>123</v>
      </c>
      <c r="W1847" s="189" t="s">
        <v>124</v>
      </c>
      <c r="X1847" s="189" t="s">
        <v>457</v>
      </c>
      <c r="Y1847" s="189" t="s">
        <v>3064</v>
      </c>
      <c r="Z1847" s="0" t="n">
        <v>2</v>
      </c>
      <c r="AA1847" s="189" t="s">
        <v>3081</v>
      </c>
    </row>
    <row r="1848" customFormat="false" ht="15" hidden="false" customHeight="false" outlineLevel="0" collapsed="false">
      <c r="A1848" s="0" t="n">
        <v>397</v>
      </c>
      <c r="B1848" s="191" t="n">
        <v>46108.4352820146</v>
      </c>
      <c r="C1848" s="191" t="n">
        <v>46108.4394949776</v>
      </c>
      <c r="D1848" s="189" t="s">
        <v>2452</v>
      </c>
      <c r="E1848" s="189" t="s">
        <v>2453</v>
      </c>
      <c r="F1848" s="189" t="s">
        <v>2453</v>
      </c>
      <c r="G1848" s="189" t="s">
        <v>2454</v>
      </c>
      <c r="H1848" s="191" t="n">
        <v>46093</v>
      </c>
      <c r="I1848" s="189" t="s">
        <v>113</v>
      </c>
      <c r="J1848" s="189" t="s">
        <v>128</v>
      </c>
      <c r="K1848" s="189" t="s">
        <v>143</v>
      </c>
      <c r="L1848" s="189" t="s">
        <v>286</v>
      </c>
      <c r="M1848" s="189" t="s">
        <v>612</v>
      </c>
      <c r="N1848" s="189" t="s">
        <v>115</v>
      </c>
      <c r="O1848" s="189" t="s">
        <v>172</v>
      </c>
      <c r="P1848" s="189" t="s">
        <v>111</v>
      </c>
      <c r="Q1848" s="189" t="s">
        <v>112</v>
      </c>
      <c r="R1848" s="189" t="s">
        <v>21</v>
      </c>
      <c r="S1848" s="189" t="s">
        <v>120</v>
      </c>
      <c r="T1848" s="189" t="s">
        <v>121</v>
      </c>
      <c r="U1848" s="189" t="s">
        <v>2172</v>
      </c>
      <c r="V1848" s="189" t="s">
        <v>123</v>
      </c>
      <c r="W1848" s="189" t="s">
        <v>124</v>
      </c>
      <c r="X1848" s="189" t="s">
        <v>457</v>
      </c>
      <c r="Y1848" s="189" t="s">
        <v>3064</v>
      </c>
      <c r="Z1848" s="0" t="n">
        <v>3</v>
      </c>
      <c r="AA1848" s="189" t="s">
        <v>3095</v>
      </c>
    </row>
    <row r="1849" customFormat="false" ht="15" hidden="false" customHeight="false" outlineLevel="0" collapsed="false">
      <c r="A1849" s="0" t="n">
        <v>397</v>
      </c>
      <c r="B1849" s="191" t="n">
        <v>46108.4352820146</v>
      </c>
      <c r="C1849" s="191" t="n">
        <v>46108.4394949776</v>
      </c>
      <c r="D1849" s="189" t="s">
        <v>2452</v>
      </c>
      <c r="E1849" s="189" t="s">
        <v>2453</v>
      </c>
      <c r="F1849" s="189" t="s">
        <v>2453</v>
      </c>
      <c r="G1849" s="189" t="s">
        <v>2454</v>
      </c>
      <c r="H1849" s="191" t="n">
        <v>46093</v>
      </c>
      <c r="I1849" s="189" t="s">
        <v>113</v>
      </c>
      <c r="J1849" s="189" t="s">
        <v>128</v>
      </c>
      <c r="K1849" s="189" t="s">
        <v>143</v>
      </c>
      <c r="L1849" s="189" t="s">
        <v>286</v>
      </c>
      <c r="M1849" s="189" t="s">
        <v>612</v>
      </c>
      <c r="N1849" s="189" t="s">
        <v>115</v>
      </c>
      <c r="O1849" s="189" t="s">
        <v>172</v>
      </c>
      <c r="P1849" s="189" t="s">
        <v>111</v>
      </c>
      <c r="Q1849" s="189" t="s">
        <v>112</v>
      </c>
      <c r="R1849" s="189" t="s">
        <v>21</v>
      </c>
      <c r="S1849" s="189" t="s">
        <v>120</v>
      </c>
      <c r="T1849" s="189" t="s">
        <v>121</v>
      </c>
      <c r="U1849" s="189" t="s">
        <v>2172</v>
      </c>
      <c r="V1849" s="189" t="s">
        <v>123</v>
      </c>
      <c r="W1849" s="189" t="s">
        <v>124</v>
      </c>
      <c r="X1849" s="189" t="s">
        <v>457</v>
      </c>
      <c r="Y1849" s="189" t="s">
        <v>3066</v>
      </c>
      <c r="Z1849" s="0" t="n">
        <v>1</v>
      </c>
      <c r="AA1849" s="189" t="s">
        <v>3211</v>
      </c>
    </row>
    <row r="1850" customFormat="false" ht="15" hidden="false" customHeight="false" outlineLevel="0" collapsed="false">
      <c r="A1850" s="0" t="n">
        <v>397</v>
      </c>
      <c r="B1850" s="191" t="n">
        <v>46108.4352820146</v>
      </c>
      <c r="C1850" s="191" t="n">
        <v>46108.4394949776</v>
      </c>
      <c r="D1850" s="189" t="s">
        <v>2452</v>
      </c>
      <c r="E1850" s="189" t="s">
        <v>2453</v>
      </c>
      <c r="F1850" s="189" t="s">
        <v>2453</v>
      </c>
      <c r="G1850" s="189" t="s">
        <v>2454</v>
      </c>
      <c r="H1850" s="191" t="n">
        <v>46093</v>
      </c>
      <c r="I1850" s="189" t="s">
        <v>113</v>
      </c>
      <c r="J1850" s="189" t="s">
        <v>128</v>
      </c>
      <c r="K1850" s="189" t="s">
        <v>143</v>
      </c>
      <c r="L1850" s="189" t="s">
        <v>286</v>
      </c>
      <c r="M1850" s="189" t="s">
        <v>612</v>
      </c>
      <c r="N1850" s="189" t="s">
        <v>115</v>
      </c>
      <c r="O1850" s="189" t="s">
        <v>172</v>
      </c>
      <c r="P1850" s="189" t="s">
        <v>111</v>
      </c>
      <c r="Q1850" s="189" t="s">
        <v>112</v>
      </c>
      <c r="R1850" s="189" t="s">
        <v>21</v>
      </c>
      <c r="S1850" s="189" t="s">
        <v>120</v>
      </c>
      <c r="T1850" s="189" t="s">
        <v>121</v>
      </c>
      <c r="U1850" s="189" t="s">
        <v>2172</v>
      </c>
      <c r="V1850" s="189" t="s">
        <v>123</v>
      </c>
      <c r="W1850" s="189" t="s">
        <v>124</v>
      </c>
      <c r="X1850" s="189" t="s">
        <v>457</v>
      </c>
      <c r="Y1850" s="189" t="s">
        <v>3066</v>
      </c>
      <c r="Z1850" s="0" t="n">
        <v>2</v>
      </c>
      <c r="AA1850" s="189" t="s">
        <v>3067</v>
      </c>
    </row>
    <row r="1851" customFormat="false" ht="15" hidden="false" customHeight="false" outlineLevel="0" collapsed="false">
      <c r="A1851" s="0" t="n">
        <v>397</v>
      </c>
      <c r="B1851" s="191" t="n">
        <v>46108.4352820146</v>
      </c>
      <c r="C1851" s="191" t="n">
        <v>46108.4394949776</v>
      </c>
      <c r="D1851" s="189" t="s">
        <v>2452</v>
      </c>
      <c r="E1851" s="189" t="s">
        <v>2453</v>
      </c>
      <c r="F1851" s="189" t="s">
        <v>2453</v>
      </c>
      <c r="G1851" s="189" t="s">
        <v>2454</v>
      </c>
      <c r="H1851" s="191" t="n">
        <v>46093</v>
      </c>
      <c r="I1851" s="189" t="s">
        <v>113</v>
      </c>
      <c r="J1851" s="189" t="s">
        <v>128</v>
      </c>
      <c r="K1851" s="189" t="s">
        <v>143</v>
      </c>
      <c r="L1851" s="189" t="s">
        <v>286</v>
      </c>
      <c r="M1851" s="189" t="s">
        <v>612</v>
      </c>
      <c r="N1851" s="189" t="s">
        <v>115</v>
      </c>
      <c r="O1851" s="189" t="s">
        <v>172</v>
      </c>
      <c r="P1851" s="189" t="s">
        <v>111</v>
      </c>
      <c r="Q1851" s="189" t="s">
        <v>112</v>
      </c>
      <c r="R1851" s="189" t="s">
        <v>21</v>
      </c>
      <c r="S1851" s="189" t="s">
        <v>120</v>
      </c>
      <c r="T1851" s="189" t="s">
        <v>121</v>
      </c>
      <c r="U1851" s="189" t="s">
        <v>2172</v>
      </c>
      <c r="V1851" s="189" t="s">
        <v>123</v>
      </c>
      <c r="W1851" s="189" t="s">
        <v>124</v>
      </c>
      <c r="X1851" s="189" t="s">
        <v>457</v>
      </c>
      <c r="Y1851" s="189" t="s">
        <v>3069</v>
      </c>
      <c r="Z1851" s="0" t="n">
        <v>1</v>
      </c>
      <c r="AA1851" s="189" t="s">
        <v>3108</v>
      </c>
    </row>
    <row r="1852" customFormat="false" ht="15" hidden="false" customHeight="false" outlineLevel="0" collapsed="false">
      <c r="A1852" s="0" t="n">
        <v>398</v>
      </c>
      <c r="B1852" s="191" t="n">
        <v>46215.0250752619</v>
      </c>
      <c r="C1852" s="191" t="n">
        <v>46215.0330382248</v>
      </c>
      <c r="D1852" s="189" t="s">
        <v>2456</v>
      </c>
      <c r="E1852" s="189" t="s">
        <v>2457</v>
      </c>
      <c r="F1852" s="189" t="s">
        <v>2457</v>
      </c>
      <c r="G1852" s="189" t="s">
        <v>2458</v>
      </c>
      <c r="H1852" s="191" t="n">
        <v>46213</v>
      </c>
      <c r="I1852" s="189" t="s">
        <v>113</v>
      </c>
      <c r="J1852" s="189" t="s">
        <v>108</v>
      </c>
      <c r="K1852" s="189" t="s">
        <v>143</v>
      </c>
      <c r="L1852" s="189" t="s">
        <v>184</v>
      </c>
      <c r="M1852" s="189" t="s">
        <v>1112</v>
      </c>
      <c r="N1852" s="189" t="s">
        <v>219</v>
      </c>
      <c r="O1852" s="189" t="s">
        <v>713</v>
      </c>
      <c r="P1852" s="189" t="s">
        <v>111</v>
      </c>
      <c r="Q1852" s="189" t="s">
        <v>145</v>
      </c>
      <c r="R1852" s="189" t="s">
        <v>24</v>
      </c>
      <c r="S1852" s="189" t="s">
        <v>152</v>
      </c>
      <c r="T1852" s="189" t="s">
        <v>121</v>
      </c>
      <c r="V1852" s="189" t="s">
        <v>192</v>
      </c>
      <c r="W1852" s="189" t="s">
        <v>124</v>
      </c>
      <c r="X1852" s="189" t="s">
        <v>260</v>
      </c>
      <c r="Y1852" s="189" t="s">
        <v>3064</v>
      </c>
      <c r="Z1852" s="0" t="n">
        <v>1</v>
      </c>
      <c r="AA1852" s="189" t="s">
        <v>3262</v>
      </c>
    </row>
    <row r="1853" customFormat="false" ht="15" hidden="false" customHeight="false" outlineLevel="0" collapsed="false">
      <c r="A1853" s="0" t="n">
        <v>398</v>
      </c>
      <c r="B1853" s="191" t="n">
        <v>46215.0250752619</v>
      </c>
      <c r="C1853" s="191" t="n">
        <v>46215.0330382248</v>
      </c>
      <c r="D1853" s="189" t="s">
        <v>2456</v>
      </c>
      <c r="E1853" s="189" t="s">
        <v>2457</v>
      </c>
      <c r="F1853" s="189" t="s">
        <v>2457</v>
      </c>
      <c r="G1853" s="189" t="s">
        <v>2458</v>
      </c>
      <c r="H1853" s="191" t="n">
        <v>46213</v>
      </c>
      <c r="I1853" s="189" t="s">
        <v>113</v>
      </c>
      <c r="J1853" s="189" t="s">
        <v>108</v>
      </c>
      <c r="K1853" s="189" t="s">
        <v>143</v>
      </c>
      <c r="L1853" s="189" t="s">
        <v>184</v>
      </c>
      <c r="M1853" s="189" t="s">
        <v>1112</v>
      </c>
      <c r="N1853" s="189" t="s">
        <v>219</v>
      </c>
      <c r="O1853" s="189" t="s">
        <v>713</v>
      </c>
      <c r="P1853" s="189" t="s">
        <v>111</v>
      </c>
      <c r="Q1853" s="189" t="s">
        <v>145</v>
      </c>
      <c r="R1853" s="189" t="s">
        <v>24</v>
      </c>
      <c r="S1853" s="189" t="s">
        <v>152</v>
      </c>
      <c r="T1853" s="189" t="s">
        <v>121</v>
      </c>
      <c r="V1853" s="189" t="s">
        <v>192</v>
      </c>
      <c r="W1853" s="189" t="s">
        <v>124</v>
      </c>
      <c r="X1853" s="189" t="s">
        <v>260</v>
      </c>
      <c r="Y1853" s="189" t="s">
        <v>3064</v>
      </c>
      <c r="Z1853" s="0" t="n">
        <v>2</v>
      </c>
      <c r="AA1853" s="189" t="s">
        <v>3317</v>
      </c>
    </row>
    <row r="1854" customFormat="false" ht="15" hidden="false" customHeight="false" outlineLevel="0" collapsed="false">
      <c r="A1854" s="0" t="n">
        <v>398</v>
      </c>
      <c r="B1854" s="191" t="n">
        <v>46215.0250752619</v>
      </c>
      <c r="C1854" s="191" t="n">
        <v>46215.0330382248</v>
      </c>
      <c r="D1854" s="189" t="s">
        <v>2456</v>
      </c>
      <c r="E1854" s="189" t="s">
        <v>2457</v>
      </c>
      <c r="F1854" s="189" t="s">
        <v>2457</v>
      </c>
      <c r="G1854" s="189" t="s">
        <v>2458</v>
      </c>
      <c r="H1854" s="191" t="n">
        <v>46213</v>
      </c>
      <c r="I1854" s="189" t="s">
        <v>113</v>
      </c>
      <c r="J1854" s="189" t="s">
        <v>108</v>
      </c>
      <c r="K1854" s="189" t="s">
        <v>143</v>
      </c>
      <c r="L1854" s="189" t="s">
        <v>184</v>
      </c>
      <c r="M1854" s="189" t="s">
        <v>1112</v>
      </c>
      <c r="N1854" s="189" t="s">
        <v>219</v>
      </c>
      <c r="O1854" s="189" t="s">
        <v>713</v>
      </c>
      <c r="P1854" s="189" t="s">
        <v>111</v>
      </c>
      <c r="Q1854" s="189" t="s">
        <v>145</v>
      </c>
      <c r="R1854" s="189" t="s">
        <v>24</v>
      </c>
      <c r="S1854" s="189" t="s">
        <v>152</v>
      </c>
      <c r="T1854" s="189" t="s">
        <v>121</v>
      </c>
      <c r="V1854" s="189" t="s">
        <v>192</v>
      </c>
      <c r="W1854" s="189" t="s">
        <v>124</v>
      </c>
      <c r="X1854" s="189" t="s">
        <v>260</v>
      </c>
      <c r="Y1854" s="189" t="s">
        <v>3066</v>
      </c>
      <c r="Z1854" s="0" t="n">
        <v>1</v>
      </c>
      <c r="AA1854" s="189" t="s">
        <v>3288</v>
      </c>
    </row>
    <row r="1855" customFormat="false" ht="15" hidden="false" customHeight="false" outlineLevel="0" collapsed="false">
      <c r="A1855" s="0" t="n">
        <v>398</v>
      </c>
      <c r="B1855" s="191" t="n">
        <v>46215.0250752619</v>
      </c>
      <c r="C1855" s="191" t="n">
        <v>46215.0330382248</v>
      </c>
      <c r="D1855" s="189" t="s">
        <v>2456</v>
      </c>
      <c r="E1855" s="189" t="s">
        <v>2457</v>
      </c>
      <c r="F1855" s="189" t="s">
        <v>2457</v>
      </c>
      <c r="G1855" s="189" t="s">
        <v>2458</v>
      </c>
      <c r="H1855" s="191" t="n">
        <v>46213</v>
      </c>
      <c r="I1855" s="189" t="s">
        <v>113</v>
      </c>
      <c r="J1855" s="189" t="s">
        <v>108</v>
      </c>
      <c r="K1855" s="189" t="s">
        <v>143</v>
      </c>
      <c r="L1855" s="189" t="s">
        <v>184</v>
      </c>
      <c r="M1855" s="189" t="s">
        <v>1112</v>
      </c>
      <c r="N1855" s="189" t="s">
        <v>219</v>
      </c>
      <c r="O1855" s="189" t="s">
        <v>713</v>
      </c>
      <c r="P1855" s="189" t="s">
        <v>111</v>
      </c>
      <c r="Q1855" s="189" t="s">
        <v>145</v>
      </c>
      <c r="R1855" s="189" t="s">
        <v>24</v>
      </c>
      <c r="S1855" s="189" t="s">
        <v>152</v>
      </c>
      <c r="T1855" s="189" t="s">
        <v>121</v>
      </c>
      <c r="V1855" s="189" t="s">
        <v>192</v>
      </c>
      <c r="W1855" s="189" t="s">
        <v>124</v>
      </c>
      <c r="X1855" s="189" t="s">
        <v>260</v>
      </c>
      <c r="Y1855" s="189" t="s">
        <v>3066</v>
      </c>
      <c r="Z1855" s="0" t="n">
        <v>2</v>
      </c>
      <c r="AA1855" s="189" t="s">
        <v>3111</v>
      </c>
    </row>
    <row r="1856" customFormat="false" ht="15" hidden="false" customHeight="false" outlineLevel="0" collapsed="false">
      <c r="A1856" s="0" t="n">
        <v>398</v>
      </c>
      <c r="B1856" s="191" t="n">
        <v>46215.0250752619</v>
      </c>
      <c r="C1856" s="191" t="n">
        <v>46215.0330382248</v>
      </c>
      <c r="D1856" s="189" t="s">
        <v>2456</v>
      </c>
      <c r="E1856" s="189" t="s">
        <v>2457</v>
      </c>
      <c r="F1856" s="189" t="s">
        <v>2457</v>
      </c>
      <c r="G1856" s="189" t="s">
        <v>2458</v>
      </c>
      <c r="H1856" s="191" t="n">
        <v>46213</v>
      </c>
      <c r="I1856" s="189" t="s">
        <v>113</v>
      </c>
      <c r="J1856" s="189" t="s">
        <v>108</v>
      </c>
      <c r="K1856" s="189" t="s">
        <v>143</v>
      </c>
      <c r="L1856" s="189" t="s">
        <v>184</v>
      </c>
      <c r="M1856" s="189" t="s">
        <v>1112</v>
      </c>
      <c r="N1856" s="189" t="s">
        <v>219</v>
      </c>
      <c r="O1856" s="189" t="s">
        <v>713</v>
      </c>
      <c r="P1856" s="189" t="s">
        <v>111</v>
      </c>
      <c r="Q1856" s="189" t="s">
        <v>145</v>
      </c>
      <c r="R1856" s="189" t="s">
        <v>24</v>
      </c>
      <c r="S1856" s="189" t="s">
        <v>152</v>
      </c>
      <c r="T1856" s="189" t="s">
        <v>121</v>
      </c>
      <c r="V1856" s="189" t="s">
        <v>192</v>
      </c>
      <c r="W1856" s="189" t="s">
        <v>124</v>
      </c>
      <c r="X1856" s="189" t="s">
        <v>260</v>
      </c>
      <c r="Y1856" s="189" t="s">
        <v>3069</v>
      </c>
      <c r="Z1856" s="0" t="n">
        <v>1</v>
      </c>
      <c r="AA1856" s="189" t="s">
        <v>3259</v>
      </c>
    </row>
    <row r="1857" customFormat="false" ht="15" hidden="false" customHeight="false" outlineLevel="0" collapsed="false">
      <c r="A1857" s="0" t="n">
        <v>399</v>
      </c>
      <c r="B1857" s="191" t="n">
        <v>46102.3717117184</v>
      </c>
      <c r="C1857" s="191" t="n">
        <v>46102.3915265332</v>
      </c>
      <c r="D1857" s="189" t="s">
        <v>2461</v>
      </c>
      <c r="E1857" s="189" t="s">
        <v>2462</v>
      </c>
      <c r="F1857" s="189" t="s">
        <v>2462</v>
      </c>
      <c r="G1857" s="189" t="s">
        <v>2463</v>
      </c>
      <c r="H1857" s="191" t="n">
        <v>46082</v>
      </c>
      <c r="I1857" s="189" t="s">
        <v>113</v>
      </c>
      <c r="J1857" s="189" t="s">
        <v>108</v>
      </c>
      <c r="K1857" s="189" t="s">
        <v>932</v>
      </c>
      <c r="L1857" s="189" t="s">
        <v>159</v>
      </c>
      <c r="M1857" s="189" t="s">
        <v>809</v>
      </c>
      <c r="N1857" s="189" t="s">
        <v>645</v>
      </c>
      <c r="O1857" s="189" t="s">
        <v>244</v>
      </c>
      <c r="P1857" s="189" t="s">
        <v>111</v>
      </c>
      <c r="Q1857" s="189" t="s">
        <v>112</v>
      </c>
      <c r="R1857" s="189" t="s">
        <v>22</v>
      </c>
      <c r="S1857" s="189" t="s">
        <v>152</v>
      </c>
      <c r="T1857" s="189" t="s">
        <v>121</v>
      </c>
      <c r="U1857" s="189" t="s">
        <v>562</v>
      </c>
      <c r="V1857" s="189" t="s">
        <v>192</v>
      </c>
      <c r="W1857" s="189" t="s">
        <v>124</v>
      </c>
      <c r="X1857" s="189" t="s">
        <v>715</v>
      </c>
      <c r="Y1857" s="189" t="s">
        <v>3064</v>
      </c>
      <c r="Z1857" s="0" t="n">
        <v>1</v>
      </c>
      <c r="AA1857" s="189" t="s">
        <v>3224</v>
      </c>
    </row>
    <row r="1858" customFormat="false" ht="15" hidden="false" customHeight="false" outlineLevel="0" collapsed="false">
      <c r="A1858" s="0" t="n">
        <v>399</v>
      </c>
      <c r="B1858" s="191" t="n">
        <v>46102.3717117184</v>
      </c>
      <c r="C1858" s="191" t="n">
        <v>46102.3915265332</v>
      </c>
      <c r="D1858" s="189" t="s">
        <v>2461</v>
      </c>
      <c r="E1858" s="189" t="s">
        <v>2462</v>
      </c>
      <c r="F1858" s="189" t="s">
        <v>2462</v>
      </c>
      <c r="G1858" s="189" t="s">
        <v>2463</v>
      </c>
      <c r="H1858" s="191" t="n">
        <v>46082</v>
      </c>
      <c r="I1858" s="189" t="s">
        <v>113</v>
      </c>
      <c r="J1858" s="189" t="s">
        <v>108</v>
      </c>
      <c r="K1858" s="189" t="s">
        <v>932</v>
      </c>
      <c r="L1858" s="189" t="s">
        <v>159</v>
      </c>
      <c r="M1858" s="189" t="s">
        <v>809</v>
      </c>
      <c r="N1858" s="189" t="s">
        <v>645</v>
      </c>
      <c r="O1858" s="189" t="s">
        <v>244</v>
      </c>
      <c r="P1858" s="189" t="s">
        <v>111</v>
      </c>
      <c r="Q1858" s="189" t="s">
        <v>112</v>
      </c>
      <c r="R1858" s="189" t="s">
        <v>22</v>
      </c>
      <c r="S1858" s="189" t="s">
        <v>152</v>
      </c>
      <c r="T1858" s="189" t="s">
        <v>121</v>
      </c>
      <c r="U1858" s="189" t="s">
        <v>562</v>
      </c>
      <c r="V1858" s="189" t="s">
        <v>192</v>
      </c>
      <c r="W1858" s="189" t="s">
        <v>124</v>
      </c>
      <c r="X1858" s="189" t="s">
        <v>715</v>
      </c>
      <c r="Y1858" s="189" t="s">
        <v>3064</v>
      </c>
      <c r="Z1858" s="0" t="n">
        <v>2</v>
      </c>
      <c r="AA1858" s="189" t="s">
        <v>3255</v>
      </c>
    </row>
    <row r="1859" customFormat="false" ht="15" hidden="false" customHeight="false" outlineLevel="0" collapsed="false">
      <c r="A1859" s="0" t="n">
        <v>399</v>
      </c>
      <c r="B1859" s="191" t="n">
        <v>46102.3717117184</v>
      </c>
      <c r="C1859" s="191" t="n">
        <v>46102.3915265332</v>
      </c>
      <c r="D1859" s="189" t="s">
        <v>2461</v>
      </c>
      <c r="E1859" s="189" t="s">
        <v>2462</v>
      </c>
      <c r="F1859" s="189" t="s">
        <v>2462</v>
      </c>
      <c r="G1859" s="189" t="s">
        <v>2463</v>
      </c>
      <c r="H1859" s="191" t="n">
        <v>46082</v>
      </c>
      <c r="I1859" s="189" t="s">
        <v>113</v>
      </c>
      <c r="J1859" s="189" t="s">
        <v>108</v>
      </c>
      <c r="K1859" s="189" t="s">
        <v>932</v>
      </c>
      <c r="L1859" s="189" t="s">
        <v>159</v>
      </c>
      <c r="M1859" s="189" t="s">
        <v>809</v>
      </c>
      <c r="N1859" s="189" t="s">
        <v>645</v>
      </c>
      <c r="O1859" s="189" t="s">
        <v>244</v>
      </c>
      <c r="P1859" s="189" t="s">
        <v>111</v>
      </c>
      <c r="Q1859" s="189" t="s">
        <v>112</v>
      </c>
      <c r="R1859" s="189" t="s">
        <v>22</v>
      </c>
      <c r="S1859" s="189" t="s">
        <v>152</v>
      </c>
      <c r="T1859" s="189" t="s">
        <v>121</v>
      </c>
      <c r="U1859" s="189" t="s">
        <v>562</v>
      </c>
      <c r="V1859" s="189" t="s">
        <v>192</v>
      </c>
      <c r="W1859" s="189" t="s">
        <v>124</v>
      </c>
      <c r="X1859" s="189" t="s">
        <v>715</v>
      </c>
      <c r="Y1859" s="189" t="s">
        <v>3066</v>
      </c>
      <c r="Z1859" s="0" t="n">
        <v>1</v>
      </c>
      <c r="AA1859" s="189" t="s">
        <v>3327</v>
      </c>
    </row>
    <row r="1860" customFormat="false" ht="15" hidden="false" customHeight="false" outlineLevel="0" collapsed="false">
      <c r="A1860" s="0" t="n">
        <v>399</v>
      </c>
      <c r="B1860" s="191" t="n">
        <v>46102.3717117184</v>
      </c>
      <c r="C1860" s="191" t="n">
        <v>46102.3915265332</v>
      </c>
      <c r="D1860" s="189" t="s">
        <v>2461</v>
      </c>
      <c r="E1860" s="189" t="s">
        <v>2462</v>
      </c>
      <c r="F1860" s="189" t="s">
        <v>2462</v>
      </c>
      <c r="G1860" s="189" t="s">
        <v>2463</v>
      </c>
      <c r="H1860" s="191" t="n">
        <v>46082</v>
      </c>
      <c r="I1860" s="189" t="s">
        <v>113</v>
      </c>
      <c r="J1860" s="189" t="s">
        <v>108</v>
      </c>
      <c r="K1860" s="189" t="s">
        <v>932</v>
      </c>
      <c r="L1860" s="189" t="s">
        <v>159</v>
      </c>
      <c r="M1860" s="189" t="s">
        <v>809</v>
      </c>
      <c r="N1860" s="189" t="s">
        <v>645</v>
      </c>
      <c r="O1860" s="189" t="s">
        <v>244</v>
      </c>
      <c r="P1860" s="189" t="s">
        <v>111</v>
      </c>
      <c r="Q1860" s="189" t="s">
        <v>112</v>
      </c>
      <c r="R1860" s="189" t="s">
        <v>22</v>
      </c>
      <c r="S1860" s="189" t="s">
        <v>152</v>
      </c>
      <c r="T1860" s="189" t="s">
        <v>121</v>
      </c>
      <c r="U1860" s="189" t="s">
        <v>562</v>
      </c>
      <c r="V1860" s="189" t="s">
        <v>192</v>
      </c>
      <c r="W1860" s="189" t="s">
        <v>124</v>
      </c>
      <c r="X1860" s="189" t="s">
        <v>715</v>
      </c>
      <c r="Y1860" s="189" t="s">
        <v>3066</v>
      </c>
      <c r="Z1860" s="0" t="n">
        <v>2</v>
      </c>
      <c r="AA1860" s="189" t="s">
        <v>2531</v>
      </c>
    </row>
    <row r="1861" customFormat="false" ht="15" hidden="false" customHeight="false" outlineLevel="0" collapsed="false">
      <c r="A1861" s="0" t="n">
        <v>399</v>
      </c>
      <c r="B1861" s="191" t="n">
        <v>46102.3717117184</v>
      </c>
      <c r="C1861" s="191" t="n">
        <v>46102.3915265332</v>
      </c>
      <c r="D1861" s="189" t="s">
        <v>2461</v>
      </c>
      <c r="E1861" s="189" t="s">
        <v>2462</v>
      </c>
      <c r="F1861" s="189" t="s">
        <v>2462</v>
      </c>
      <c r="G1861" s="189" t="s">
        <v>2463</v>
      </c>
      <c r="H1861" s="191" t="n">
        <v>46082</v>
      </c>
      <c r="I1861" s="189" t="s">
        <v>113</v>
      </c>
      <c r="J1861" s="189" t="s">
        <v>108</v>
      </c>
      <c r="K1861" s="189" t="s">
        <v>932</v>
      </c>
      <c r="L1861" s="189" t="s">
        <v>159</v>
      </c>
      <c r="M1861" s="189" t="s">
        <v>809</v>
      </c>
      <c r="N1861" s="189" t="s">
        <v>645</v>
      </c>
      <c r="O1861" s="189" t="s">
        <v>244</v>
      </c>
      <c r="P1861" s="189" t="s">
        <v>111</v>
      </c>
      <c r="Q1861" s="189" t="s">
        <v>112</v>
      </c>
      <c r="R1861" s="189" t="s">
        <v>22</v>
      </c>
      <c r="S1861" s="189" t="s">
        <v>152</v>
      </c>
      <c r="T1861" s="189" t="s">
        <v>121</v>
      </c>
      <c r="U1861" s="189" t="s">
        <v>562</v>
      </c>
      <c r="V1861" s="189" t="s">
        <v>192</v>
      </c>
      <c r="W1861" s="189" t="s">
        <v>124</v>
      </c>
      <c r="X1861" s="189" t="s">
        <v>715</v>
      </c>
      <c r="Y1861" s="189" t="s">
        <v>3069</v>
      </c>
      <c r="Z1861" s="0" t="n">
        <v>1</v>
      </c>
      <c r="AA1861" s="189" t="s">
        <v>3253</v>
      </c>
    </row>
    <row r="1862" customFormat="false" ht="15" hidden="false" customHeight="false" outlineLevel="0" collapsed="false">
      <c r="A1862" s="0" t="n">
        <v>399</v>
      </c>
      <c r="B1862" s="191" t="n">
        <v>46102.3717117184</v>
      </c>
      <c r="C1862" s="191" t="n">
        <v>46102.3915265332</v>
      </c>
      <c r="D1862" s="189" t="s">
        <v>2461</v>
      </c>
      <c r="E1862" s="189" t="s">
        <v>2462</v>
      </c>
      <c r="F1862" s="189" t="s">
        <v>2462</v>
      </c>
      <c r="G1862" s="189" t="s">
        <v>2463</v>
      </c>
      <c r="H1862" s="191" t="n">
        <v>46082</v>
      </c>
      <c r="I1862" s="189" t="s">
        <v>113</v>
      </c>
      <c r="J1862" s="189" t="s">
        <v>108</v>
      </c>
      <c r="K1862" s="189" t="s">
        <v>932</v>
      </c>
      <c r="L1862" s="189" t="s">
        <v>159</v>
      </c>
      <c r="M1862" s="189" t="s">
        <v>809</v>
      </c>
      <c r="N1862" s="189" t="s">
        <v>645</v>
      </c>
      <c r="O1862" s="189" t="s">
        <v>244</v>
      </c>
      <c r="P1862" s="189" t="s">
        <v>111</v>
      </c>
      <c r="Q1862" s="189" t="s">
        <v>112</v>
      </c>
      <c r="R1862" s="189" t="s">
        <v>22</v>
      </c>
      <c r="S1862" s="189" t="s">
        <v>152</v>
      </c>
      <c r="T1862" s="189" t="s">
        <v>121</v>
      </c>
      <c r="U1862" s="189" t="s">
        <v>562</v>
      </c>
      <c r="V1862" s="189" t="s">
        <v>192</v>
      </c>
      <c r="W1862" s="189" t="s">
        <v>124</v>
      </c>
      <c r="X1862" s="189" t="s">
        <v>715</v>
      </c>
      <c r="Y1862" s="189" t="s">
        <v>3069</v>
      </c>
      <c r="Z1862" s="0" t="n">
        <v>2</v>
      </c>
      <c r="AA1862" s="189" t="s">
        <v>3228</v>
      </c>
    </row>
    <row r="1863" customFormat="false" ht="15" hidden="false" customHeight="false" outlineLevel="0" collapsed="false">
      <c r="A1863" s="0" t="n">
        <v>400</v>
      </c>
      <c r="B1863" s="191" t="n">
        <v>46105.5499503621</v>
      </c>
      <c r="C1863" s="191" t="n">
        <v>46105.5618369362</v>
      </c>
      <c r="D1863" s="189" t="s">
        <v>2465</v>
      </c>
      <c r="E1863" s="189" t="s">
        <v>2466</v>
      </c>
      <c r="F1863" s="189" t="s">
        <v>2466</v>
      </c>
      <c r="G1863" s="189" t="s">
        <v>2467</v>
      </c>
      <c r="H1863" s="191" t="n">
        <v>46088</v>
      </c>
      <c r="I1863" s="189" t="s">
        <v>113</v>
      </c>
      <c r="J1863" s="189" t="s">
        <v>108</v>
      </c>
      <c r="K1863" s="189" t="s">
        <v>2468</v>
      </c>
      <c r="L1863" s="189" t="s">
        <v>184</v>
      </c>
      <c r="M1863" s="189" t="s">
        <v>144</v>
      </c>
      <c r="N1863" s="189" t="s">
        <v>287</v>
      </c>
      <c r="O1863" s="189" t="s">
        <v>278</v>
      </c>
      <c r="P1863" s="189" t="s">
        <v>111</v>
      </c>
      <c r="Q1863" s="189" t="s">
        <v>112</v>
      </c>
      <c r="R1863" s="189" t="s">
        <v>21</v>
      </c>
      <c r="S1863" s="189" t="s">
        <v>152</v>
      </c>
      <c r="T1863" s="189" t="s">
        <v>121</v>
      </c>
      <c r="U1863" s="189" t="s">
        <v>562</v>
      </c>
      <c r="V1863" s="189" t="s">
        <v>192</v>
      </c>
      <c r="W1863" s="189" t="s">
        <v>168</v>
      </c>
      <c r="X1863" s="189" t="s">
        <v>250</v>
      </c>
      <c r="Y1863" s="189" t="s">
        <v>3064</v>
      </c>
      <c r="Z1863" s="0" t="n">
        <v>1</v>
      </c>
      <c r="AA1863" s="189" t="s">
        <v>3107</v>
      </c>
    </row>
    <row r="1864" customFormat="false" ht="15" hidden="false" customHeight="false" outlineLevel="0" collapsed="false">
      <c r="A1864" s="0" t="n">
        <v>400</v>
      </c>
      <c r="B1864" s="191" t="n">
        <v>46105.5499503621</v>
      </c>
      <c r="C1864" s="191" t="n">
        <v>46105.5618369362</v>
      </c>
      <c r="D1864" s="189" t="s">
        <v>2465</v>
      </c>
      <c r="E1864" s="189" t="s">
        <v>2466</v>
      </c>
      <c r="F1864" s="189" t="s">
        <v>2466</v>
      </c>
      <c r="G1864" s="189" t="s">
        <v>2467</v>
      </c>
      <c r="H1864" s="191" t="n">
        <v>46088</v>
      </c>
      <c r="I1864" s="189" t="s">
        <v>113</v>
      </c>
      <c r="J1864" s="189" t="s">
        <v>108</v>
      </c>
      <c r="K1864" s="189" t="s">
        <v>2468</v>
      </c>
      <c r="L1864" s="189" t="s">
        <v>184</v>
      </c>
      <c r="M1864" s="189" t="s">
        <v>144</v>
      </c>
      <c r="N1864" s="189" t="s">
        <v>287</v>
      </c>
      <c r="O1864" s="189" t="s">
        <v>278</v>
      </c>
      <c r="P1864" s="189" t="s">
        <v>111</v>
      </c>
      <c r="Q1864" s="189" t="s">
        <v>112</v>
      </c>
      <c r="R1864" s="189" t="s">
        <v>21</v>
      </c>
      <c r="S1864" s="189" t="s">
        <v>152</v>
      </c>
      <c r="T1864" s="189" t="s">
        <v>121</v>
      </c>
      <c r="U1864" s="189" t="s">
        <v>562</v>
      </c>
      <c r="V1864" s="189" t="s">
        <v>192</v>
      </c>
      <c r="W1864" s="189" t="s">
        <v>168</v>
      </c>
      <c r="X1864" s="189" t="s">
        <v>250</v>
      </c>
      <c r="Y1864" s="189" t="s">
        <v>3064</v>
      </c>
      <c r="Z1864" s="0" t="n">
        <v>2</v>
      </c>
      <c r="AA1864" s="189" t="s">
        <v>3065</v>
      </c>
    </row>
    <row r="1865" customFormat="false" ht="15" hidden="false" customHeight="false" outlineLevel="0" collapsed="false">
      <c r="A1865" s="0" t="n">
        <v>400</v>
      </c>
      <c r="B1865" s="191" t="n">
        <v>46105.5499503621</v>
      </c>
      <c r="C1865" s="191" t="n">
        <v>46105.5618369362</v>
      </c>
      <c r="D1865" s="189" t="s">
        <v>2465</v>
      </c>
      <c r="E1865" s="189" t="s">
        <v>2466</v>
      </c>
      <c r="F1865" s="189" t="s">
        <v>2466</v>
      </c>
      <c r="G1865" s="189" t="s">
        <v>2467</v>
      </c>
      <c r="H1865" s="191" t="n">
        <v>46088</v>
      </c>
      <c r="I1865" s="189" t="s">
        <v>113</v>
      </c>
      <c r="J1865" s="189" t="s">
        <v>108</v>
      </c>
      <c r="K1865" s="189" t="s">
        <v>2468</v>
      </c>
      <c r="L1865" s="189" t="s">
        <v>184</v>
      </c>
      <c r="M1865" s="189" t="s">
        <v>144</v>
      </c>
      <c r="N1865" s="189" t="s">
        <v>287</v>
      </c>
      <c r="O1865" s="189" t="s">
        <v>278</v>
      </c>
      <c r="P1865" s="189" t="s">
        <v>111</v>
      </c>
      <c r="Q1865" s="189" t="s">
        <v>112</v>
      </c>
      <c r="R1865" s="189" t="s">
        <v>21</v>
      </c>
      <c r="S1865" s="189" t="s">
        <v>152</v>
      </c>
      <c r="T1865" s="189" t="s">
        <v>121</v>
      </c>
      <c r="U1865" s="189" t="s">
        <v>562</v>
      </c>
      <c r="V1865" s="189" t="s">
        <v>192</v>
      </c>
      <c r="W1865" s="189" t="s">
        <v>168</v>
      </c>
      <c r="X1865" s="189" t="s">
        <v>250</v>
      </c>
      <c r="Y1865" s="189" t="s">
        <v>3064</v>
      </c>
      <c r="Z1865" s="0" t="n">
        <v>3</v>
      </c>
      <c r="AA1865" s="189" t="s">
        <v>3095</v>
      </c>
    </row>
    <row r="1866" customFormat="false" ht="15" hidden="false" customHeight="false" outlineLevel="0" collapsed="false">
      <c r="A1866" s="0" t="n">
        <v>400</v>
      </c>
      <c r="B1866" s="191" t="n">
        <v>46105.5499503621</v>
      </c>
      <c r="C1866" s="191" t="n">
        <v>46105.5618369362</v>
      </c>
      <c r="D1866" s="189" t="s">
        <v>2465</v>
      </c>
      <c r="E1866" s="189" t="s">
        <v>2466</v>
      </c>
      <c r="F1866" s="189" t="s">
        <v>2466</v>
      </c>
      <c r="G1866" s="189" t="s">
        <v>2467</v>
      </c>
      <c r="H1866" s="191" t="n">
        <v>46088</v>
      </c>
      <c r="I1866" s="189" t="s">
        <v>113</v>
      </c>
      <c r="J1866" s="189" t="s">
        <v>108</v>
      </c>
      <c r="K1866" s="189" t="s">
        <v>2468</v>
      </c>
      <c r="L1866" s="189" t="s">
        <v>184</v>
      </c>
      <c r="M1866" s="189" t="s">
        <v>144</v>
      </c>
      <c r="N1866" s="189" t="s">
        <v>287</v>
      </c>
      <c r="O1866" s="189" t="s">
        <v>278</v>
      </c>
      <c r="P1866" s="189" t="s">
        <v>111</v>
      </c>
      <c r="Q1866" s="189" t="s">
        <v>112</v>
      </c>
      <c r="R1866" s="189" t="s">
        <v>21</v>
      </c>
      <c r="S1866" s="189" t="s">
        <v>152</v>
      </c>
      <c r="T1866" s="189" t="s">
        <v>121</v>
      </c>
      <c r="U1866" s="189" t="s">
        <v>562</v>
      </c>
      <c r="V1866" s="189" t="s">
        <v>192</v>
      </c>
      <c r="W1866" s="189" t="s">
        <v>168</v>
      </c>
      <c r="X1866" s="189" t="s">
        <v>250</v>
      </c>
      <c r="Y1866" s="189" t="s">
        <v>3066</v>
      </c>
      <c r="Z1866" s="0" t="n">
        <v>1</v>
      </c>
      <c r="AA1866" s="189" t="s">
        <v>3067</v>
      </c>
    </row>
    <row r="1867" customFormat="false" ht="15" hidden="false" customHeight="false" outlineLevel="0" collapsed="false">
      <c r="A1867" s="0" t="n">
        <v>400</v>
      </c>
      <c r="B1867" s="191" t="n">
        <v>46105.5499503621</v>
      </c>
      <c r="C1867" s="191" t="n">
        <v>46105.5618369362</v>
      </c>
      <c r="D1867" s="189" t="s">
        <v>2465</v>
      </c>
      <c r="E1867" s="189" t="s">
        <v>2466</v>
      </c>
      <c r="F1867" s="189" t="s">
        <v>2466</v>
      </c>
      <c r="G1867" s="189" t="s">
        <v>2467</v>
      </c>
      <c r="H1867" s="191" t="n">
        <v>46088</v>
      </c>
      <c r="I1867" s="189" t="s">
        <v>113</v>
      </c>
      <c r="J1867" s="189" t="s">
        <v>108</v>
      </c>
      <c r="K1867" s="189" t="s">
        <v>2468</v>
      </c>
      <c r="L1867" s="189" t="s">
        <v>184</v>
      </c>
      <c r="M1867" s="189" t="s">
        <v>144</v>
      </c>
      <c r="N1867" s="189" t="s">
        <v>287</v>
      </c>
      <c r="O1867" s="189" t="s">
        <v>278</v>
      </c>
      <c r="P1867" s="189" t="s">
        <v>111</v>
      </c>
      <c r="Q1867" s="189" t="s">
        <v>112</v>
      </c>
      <c r="R1867" s="189" t="s">
        <v>21</v>
      </c>
      <c r="S1867" s="189" t="s">
        <v>152</v>
      </c>
      <c r="T1867" s="189" t="s">
        <v>121</v>
      </c>
      <c r="U1867" s="189" t="s">
        <v>562</v>
      </c>
      <c r="V1867" s="189" t="s">
        <v>192</v>
      </c>
      <c r="W1867" s="189" t="s">
        <v>168</v>
      </c>
      <c r="X1867" s="189" t="s">
        <v>250</v>
      </c>
      <c r="Y1867" s="189" t="s">
        <v>3069</v>
      </c>
      <c r="Z1867" s="0" t="n">
        <v>1</v>
      </c>
      <c r="AA1867" s="189" t="s">
        <v>3070</v>
      </c>
    </row>
    <row r="1868" customFormat="false" ht="15" hidden="false" customHeight="false" outlineLevel="0" collapsed="false">
      <c r="A1868" s="0" t="n">
        <v>400</v>
      </c>
      <c r="B1868" s="191" t="n">
        <v>46105.5499503621</v>
      </c>
      <c r="C1868" s="191" t="n">
        <v>46105.5618369362</v>
      </c>
      <c r="D1868" s="189" t="s">
        <v>2465</v>
      </c>
      <c r="E1868" s="189" t="s">
        <v>2466</v>
      </c>
      <c r="F1868" s="189" t="s">
        <v>2466</v>
      </c>
      <c r="G1868" s="189" t="s">
        <v>2467</v>
      </c>
      <c r="H1868" s="191" t="n">
        <v>46088</v>
      </c>
      <c r="I1868" s="189" t="s">
        <v>113</v>
      </c>
      <c r="J1868" s="189" t="s">
        <v>108</v>
      </c>
      <c r="K1868" s="189" t="s">
        <v>2468</v>
      </c>
      <c r="L1868" s="189" t="s">
        <v>184</v>
      </c>
      <c r="M1868" s="189" t="s">
        <v>144</v>
      </c>
      <c r="N1868" s="189" t="s">
        <v>287</v>
      </c>
      <c r="O1868" s="189" t="s">
        <v>278</v>
      </c>
      <c r="P1868" s="189" t="s">
        <v>111</v>
      </c>
      <c r="Q1868" s="189" t="s">
        <v>112</v>
      </c>
      <c r="R1868" s="189" t="s">
        <v>21</v>
      </c>
      <c r="S1868" s="189" t="s">
        <v>152</v>
      </c>
      <c r="T1868" s="189" t="s">
        <v>121</v>
      </c>
      <c r="U1868" s="189" t="s">
        <v>562</v>
      </c>
      <c r="V1868" s="189" t="s">
        <v>192</v>
      </c>
      <c r="W1868" s="189" t="s">
        <v>168</v>
      </c>
      <c r="X1868" s="189" t="s">
        <v>250</v>
      </c>
      <c r="Y1868" s="189" t="s">
        <v>3069</v>
      </c>
      <c r="Z1868" s="0" t="n">
        <v>2</v>
      </c>
      <c r="AA1868" s="189" t="s">
        <v>3140</v>
      </c>
    </row>
    <row r="1869" customFormat="false" ht="15" hidden="false" customHeight="false" outlineLevel="0" collapsed="false">
      <c r="A1869" s="0" t="n">
        <v>401</v>
      </c>
      <c r="B1869" s="191" t="n">
        <v>46118.316360935</v>
      </c>
      <c r="C1869" s="191" t="n">
        <v>46118.3289303794</v>
      </c>
      <c r="D1869" s="189" t="s">
        <v>2470</v>
      </c>
      <c r="E1869" s="189" t="s">
        <v>2471</v>
      </c>
      <c r="F1869" s="189" t="s">
        <v>2471</v>
      </c>
      <c r="G1869" s="189" t="s">
        <v>2472</v>
      </c>
      <c r="H1869" s="191" t="n">
        <v>46107</v>
      </c>
      <c r="I1869" s="189" t="s">
        <v>325</v>
      </c>
      <c r="J1869" s="189" t="s">
        <v>108</v>
      </c>
      <c r="K1869" s="189" t="s">
        <v>257</v>
      </c>
      <c r="L1869" s="189" t="s">
        <v>296</v>
      </c>
      <c r="M1869" s="189" t="s">
        <v>736</v>
      </c>
      <c r="N1869" s="189" t="s">
        <v>1381</v>
      </c>
      <c r="O1869" s="189" t="s">
        <v>107</v>
      </c>
      <c r="P1869" s="189" t="s">
        <v>111</v>
      </c>
      <c r="Q1869" s="189" t="s">
        <v>112</v>
      </c>
      <c r="R1869" s="189" t="s">
        <v>24</v>
      </c>
      <c r="S1869" s="189" t="s">
        <v>120</v>
      </c>
      <c r="T1869" s="189" t="s">
        <v>121</v>
      </c>
      <c r="U1869" s="189" t="s">
        <v>1229</v>
      </c>
      <c r="V1869" s="189" t="s">
        <v>123</v>
      </c>
      <c r="W1869" s="189" t="s">
        <v>168</v>
      </c>
      <c r="X1869" s="189" t="s">
        <v>260</v>
      </c>
      <c r="Y1869" s="189" t="s">
        <v>3064</v>
      </c>
      <c r="Z1869" s="0" t="n">
        <v>1</v>
      </c>
      <c r="AA1869" s="189" t="s">
        <v>122</v>
      </c>
    </row>
    <row r="1870" customFormat="false" ht="15" hidden="false" customHeight="false" outlineLevel="0" collapsed="false">
      <c r="A1870" s="0" t="n">
        <v>401</v>
      </c>
      <c r="B1870" s="191" t="n">
        <v>46118.316360935</v>
      </c>
      <c r="C1870" s="191" t="n">
        <v>46118.3289303794</v>
      </c>
      <c r="D1870" s="189" t="s">
        <v>2470</v>
      </c>
      <c r="E1870" s="189" t="s">
        <v>2471</v>
      </c>
      <c r="F1870" s="189" t="s">
        <v>2471</v>
      </c>
      <c r="G1870" s="189" t="s">
        <v>2472</v>
      </c>
      <c r="H1870" s="191" t="n">
        <v>46107</v>
      </c>
      <c r="I1870" s="189" t="s">
        <v>325</v>
      </c>
      <c r="J1870" s="189" t="s">
        <v>108</v>
      </c>
      <c r="K1870" s="189" t="s">
        <v>257</v>
      </c>
      <c r="L1870" s="189" t="s">
        <v>296</v>
      </c>
      <c r="M1870" s="189" t="s">
        <v>736</v>
      </c>
      <c r="N1870" s="189" t="s">
        <v>1381</v>
      </c>
      <c r="O1870" s="189" t="s">
        <v>107</v>
      </c>
      <c r="P1870" s="189" t="s">
        <v>111</v>
      </c>
      <c r="Q1870" s="189" t="s">
        <v>112</v>
      </c>
      <c r="R1870" s="189" t="s">
        <v>24</v>
      </c>
      <c r="S1870" s="189" t="s">
        <v>120</v>
      </c>
      <c r="T1870" s="189" t="s">
        <v>121</v>
      </c>
      <c r="U1870" s="189" t="s">
        <v>1229</v>
      </c>
      <c r="V1870" s="189" t="s">
        <v>123</v>
      </c>
      <c r="W1870" s="189" t="s">
        <v>168</v>
      </c>
      <c r="X1870" s="189" t="s">
        <v>260</v>
      </c>
      <c r="Y1870" s="189" t="s">
        <v>3064</v>
      </c>
      <c r="Z1870" s="0" t="n">
        <v>2</v>
      </c>
      <c r="AA1870" s="189" t="s">
        <v>3258</v>
      </c>
    </row>
    <row r="1871" customFormat="false" ht="15" hidden="false" customHeight="false" outlineLevel="0" collapsed="false">
      <c r="A1871" s="0" t="n">
        <v>401</v>
      </c>
      <c r="B1871" s="191" t="n">
        <v>46118.316360935</v>
      </c>
      <c r="C1871" s="191" t="n">
        <v>46118.3289303794</v>
      </c>
      <c r="D1871" s="189" t="s">
        <v>2470</v>
      </c>
      <c r="E1871" s="189" t="s">
        <v>2471</v>
      </c>
      <c r="F1871" s="189" t="s">
        <v>2471</v>
      </c>
      <c r="G1871" s="189" t="s">
        <v>2472</v>
      </c>
      <c r="H1871" s="191" t="n">
        <v>46107</v>
      </c>
      <c r="I1871" s="189" t="s">
        <v>325</v>
      </c>
      <c r="J1871" s="189" t="s">
        <v>108</v>
      </c>
      <c r="K1871" s="189" t="s">
        <v>257</v>
      </c>
      <c r="L1871" s="189" t="s">
        <v>296</v>
      </c>
      <c r="M1871" s="189" t="s">
        <v>736</v>
      </c>
      <c r="N1871" s="189" t="s">
        <v>1381</v>
      </c>
      <c r="O1871" s="189" t="s">
        <v>107</v>
      </c>
      <c r="P1871" s="189" t="s">
        <v>111</v>
      </c>
      <c r="Q1871" s="189" t="s">
        <v>112</v>
      </c>
      <c r="R1871" s="189" t="s">
        <v>24</v>
      </c>
      <c r="S1871" s="189" t="s">
        <v>120</v>
      </c>
      <c r="T1871" s="189" t="s">
        <v>121</v>
      </c>
      <c r="U1871" s="189" t="s">
        <v>1229</v>
      </c>
      <c r="V1871" s="189" t="s">
        <v>123</v>
      </c>
      <c r="W1871" s="189" t="s">
        <v>168</v>
      </c>
      <c r="X1871" s="189" t="s">
        <v>260</v>
      </c>
      <c r="Y1871" s="189" t="s">
        <v>3066</v>
      </c>
      <c r="Z1871" s="0" t="n">
        <v>1</v>
      </c>
      <c r="AA1871" s="189" t="s">
        <v>191</v>
      </c>
    </row>
    <row r="1872" customFormat="false" ht="15" hidden="false" customHeight="false" outlineLevel="0" collapsed="false">
      <c r="A1872" s="0" t="n">
        <v>401</v>
      </c>
      <c r="B1872" s="191" t="n">
        <v>46118.316360935</v>
      </c>
      <c r="C1872" s="191" t="n">
        <v>46118.3289303794</v>
      </c>
      <c r="D1872" s="189" t="s">
        <v>2470</v>
      </c>
      <c r="E1872" s="189" t="s">
        <v>2471</v>
      </c>
      <c r="F1872" s="189" t="s">
        <v>2471</v>
      </c>
      <c r="G1872" s="189" t="s">
        <v>2472</v>
      </c>
      <c r="H1872" s="191" t="n">
        <v>46107</v>
      </c>
      <c r="I1872" s="189" t="s">
        <v>325</v>
      </c>
      <c r="J1872" s="189" t="s">
        <v>108</v>
      </c>
      <c r="K1872" s="189" t="s">
        <v>257</v>
      </c>
      <c r="L1872" s="189" t="s">
        <v>296</v>
      </c>
      <c r="M1872" s="189" t="s">
        <v>736</v>
      </c>
      <c r="N1872" s="189" t="s">
        <v>1381</v>
      </c>
      <c r="O1872" s="189" t="s">
        <v>107</v>
      </c>
      <c r="P1872" s="189" t="s">
        <v>111</v>
      </c>
      <c r="Q1872" s="189" t="s">
        <v>112</v>
      </c>
      <c r="R1872" s="189" t="s">
        <v>24</v>
      </c>
      <c r="S1872" s="189" t="s">
        <v>120</v>
      </c>
      <c r="T1872" s="189" t="s">
        <v>121</v>
      </c>
      <c r="U1872" s="189" t="s">
        <v>1229</v>
      </c>
      <c r="V1872" s="189" t="s">
        <v>123</v>
      </c>
      <c r="W1872" s="189" t="s">
        <v>168</v>
      </c>
      <c r="X1872" s="189" t="s">
        <v>260</v>
      </c>
      <c r="Y1872" s="189" t="s">
        <v>3066</v>
      </c>
      <c r="Z1872" s="0" t="n">
        <v>2</v>
      </c>
      <c r="AA1872" s="189" t="s">
        <v>3319</v>
      </c>
    </row>
    <row r="1873" customFormat="false" ht="15" hidden="false" customHeight="false" outlineLevel="0" collapsed="false">
      <c r="A1873" s="0" t="n">
        <v>401</v>
      </c>
      <c r="B1873" s="191" t="n">
        <v>46118.316360935</v>
      </c>
      <c r="C1873" s="191" t="n">
        <v>46118.3289303794</v>
      </c>
      <c r="D1873" s="189" t="s">
        <v>2470</v>
      </c>
      <c r="E1873" s="189" t="s">
        <v>2471</v>
      </c>
      <c r="F1873" s="189" t="s">
        <v>2471</v>
      </c>
      <c r="G1873" s="189" t="s">
        <v>2472</v>
      </c>
      <c r="H1873" s="191" t="n">
        <v>46107</v>
      </c>
      <c r="I1873" s="189" t="s">
        <v>325</v>
      </c>
      <c r="J1873" s="189" t="s">
        <v>108</v>
      </c>
      <c r="K1873" s="189" t="s">
        <v>257</v>
      </c>
      <c r="L1873" s="189" t="s">
        <v>296</v>
      </c>
      <c r="M1873" s="189" t="s">
        <v>736</v>
      </c>
      <c r="N1873" s="189" t="s">
        <v>1381</v>
      </c>
      <c r="O1873" s="189" t="s">
        <v>107</v>
      </c>
      <c r="P1873" s="189" t="s">
        <v>111</v>
      </c>
      <c r="Q1873" s="189" t="s">
        <v>112</v>
      </c>
      <c r="R1873" s="189" t="s">
        <v>24</v>
      </c>
      <c r="S1873" s="189" t="s">
        <v>120</v>
      </c>
      <c r="T1873" s="189" t="s">
        <v>121</v>
      </c>
      <c r="U1873" s="189" t="s">
        <v>1229</v>
      </c>
      <c r="V1873" s="189" t="s">
        <v>123</v>
      </c>
      <c r="W1873" s="189" t="s">
        <v>168</v>
      </c>
      <c r="X1873" s="189" t="s">
        <v>260</v>
      </c>
      <c r="Y1873" s="189" t="s">
        <v>3069</v>
      </c>
      <c r="Z1873" s="0" t="n">
        <v>1</v>
      </c>
      <c r="AA1873" s="189" t="s">
        <v>3320</v>
      </c>
    </row>
    <row r="1874" customFormat="false" ht="15" hidden="false" customHeight="false" outlineLevel="0" collapsed="false">
      <c r="A1874" s="0" t="n">
        <v>402</v>
      </c>
      <c r="B1874" s="191" t="n">
        <v>46078.9847861566</v>
      </c>
      <c r="C1874" s="191" t="n">
        <v>46078.9912676381</v>
      </c>
      <c r="D1874" s="189" t="s">
        <v>2475</v>
      </c>
      <c r="E1874" s="189" t="s">
        <v>2476</v>
      </c>
      <c r="F1874" s="189" t="s">
        <v>2476</v>
      </c>
      <c r="G1874" s="189" t="s">
        <v>2477</v>
      </c>
      <c r="H1874" s="191" t="n">
        <v>46070</v>
      </c>
      <c r="I1874" s="189" t="s">
        <v>325</v>
      </c>
      <c r="J1874" s="189" t="s">
        <v>108</v>
      </c>
      <c r="K1874" s="189" t="s">
        <v>196</v>
      </c>
      <c r="L1874" s="189" t="s">
        <v>389</v>
      </c>
      <c r="M1874" s="189" t="s">
        <v>212</v>
      </c>
      <c r="N1874" s="189" t="s">
        <v>1036</v>
      </c>
      <c r="O1874" s="189" t="s">
        <v>107</v>
      </c>
      <c r="P1874" s="189" t="s">
        <v>211</v>
      </c>
      <c r="Q1874" s="189" t="s">
        <v>247</v>
      </c>
      <c r="R1874" s="189" t="s">
        <v>25</v>
      </c>
      <c r="S1874" s="189" t="s">
        <v>152</v>
      </c>
      <c r="T1874" s="189" t="s">
        <v>121</v>
      </c>
      <c r="U1874" s="189" t="s">
        <v>785</v>
      </c>
      <c r="V1874" s="189" t="s">
        <v>192</v>
      </c>
      <c r="W1874" s="189" t="s">
        <v>168</v>
      </c>
      <c r="X1874" s="189" t="s">
        <v>1712</v>
      </c>
      <c r="Y1874" s="189" t="s">
        <v>3064</v>
      </c>
      <c r="Z1874" s="0" t="n">
        <v>1</v>
      </c>
      <c r="AA1874" s="189" t="s">
        <v>3304</v>
      </c>
    </row>
    <row r="1875" customFormat="false" ht="15" hidden="false" customHeight="false" outlineLevel="0" collapsed="false">
      <c r="A1875" s="0" t="n">
        <v>402</v>
      </c>
      <c r="B1875" s="191" t="n">
        <v>46078.9847861566</v>
      </c>
      <c r="C1875" s="191" t="n">
        <v>46078.9912676381</v>
      </c>
      <c r="D1875" s="189" t="s">
        <v>2475</v>
      </c>
      <c r="E1875" s="189" t="s">
        <v>2476</v>
      </c>
      <c r="F1875" s="189" t="s">
        <v>2476</v>
      </c>
      <c r="G1875" s="189" t="s">
        <v>2477</v>
      </c>
      <c r="H1875" s="191" t="n">
        <v>46070</v>
      </c>
      <c r="I1875" s="189" t="s">
        <v>325</v>
      </c>
      <c r="J1875" s="189" t="s">
        <v>108</v>
      </c>
      <c r="K1875" s="189" t="s">
        <v>196</v>
      </c>
      <c r="L1875" s="189" t="s">
        <v>389</v>
      </c>
      <c r="M1875" s="189" t="s">
        <v>212</v>
      </c>
      <c r="N1875" s="189" t="s">
        <v>1036</v>
      </c>
      <c r="O1875" s="189" t="s">
        <v>107</v>
      </c>
      <c r="P1875" s="189" t="s">
        <v>211</v>
      </c>
      <c r="Q1875" s="189" t="s">
        <v>247</v>
      </c>
      <c r="R1875" s="189" t="s">
        <v>25</v>
      </c>
      <c r="S1875" s="189" t="s">
        <v>152</v>
      </c>
      <c r="T1875" s="189" t="s">
        <v>121</v>
      </c>
      <c r="U1875" s="189" t="s">
        <v>785</v>
      </c>
      <c r="V1875" s="189" t="s">
        <v>192</v>
      </c>
      <c r="W1875" s="189" t="s">
        <v>168</v>
      </c>
      <c r="X1875" s="189" t="s">
        <v>1712</v>
      </c>
      <c r="Y1875" s="189" t="s">
        <v>3064</v>
      </c>
      <c r="Z1875" s="0" t="n">
        <v>2</v>
      </c>
      <c r="AA1875" s="189" t="s">
        <v>3305</v>
      </c>
    </row>
    <row r="1876" customFormat="false" ht="15" hidden="false" customHeight="false" outlineLevel="0" collapsed="false">
      <c r="A1876" s="0" t="n">
        <v>402</v>
      </c>
      <c r="B1876" s="191" t="n">
        <v>46078.9847861566</v>
      </c>
      <c r="C1876" s="191" t="n">
        <v>46078.9912676381</v>
      </c>
      <c r="D1876" s="189" t="s">
        <v>2475</v>
      </c>
      <c r="E1876" s="189" t="s">
        <v>2476</v>
      </c>
      <c r="F1876" s="189" t="s">
        <v>2476</v>
      </c>
      <c r="G1876" s="189" t="s">
        <v>2477</v>
      </c>
      <c r="H1876" s="191" t="n">
        <v>46070</v>
      </c>
      <c r="I1876" s="189" t="s">
        <v>325</v>
      </c>
      <c r="J1876" s="189" t="s">
        <v>108</v>
      </c>
      <c r="K1876" s="189" t="s">
        <v>196</v>
      </c>
      <c r="L1876" s="189" t="s">
        <v>389</v>
      </c>
      <c r="M1876" s="189" t="s">
        <v>212</v>
      </c>
      <c r="N1876" s="189" t="s">
        <v>1036</v>
      </c>
      <c r="O1876" s="189" t="s">
        <v>107</v>
      </c>
      <c r="P1876" s="189" t="s">
        <v>211</v>
      </c>
      <c r="Q1876" s="189" t="s">
        <v>247</v>
      </c>
      <c r="R1876" s="189" t="s">
        <v>25</v>
      </c>
      <c r="S1876" s="189" t="s">
        <v>152</v>
      </c>
      <c r="T1876" s="189" t="s">
        <v>121</v>
      </c>
      <c r="U1876" s="189" t="s">
        <v>785</v>
      </c>
      <c r="V1876" s="189" t="s">
        <v>192</v>
      </c>
      <c r="W1876" s="189" t="s">
        <v>168</v>
      </c>
      <c r="X1876" s="189" t="s">
        <v>1712</v>
      </c>
      <c r="Y1876" s="189" t="s">
        <v>3066</v>
      </c>
      <c r="Z1876" s="0" t="n">
        <v>1</v>
      </c>
      <c r="AA1876" s="189" t="s">
        <v>3307</v>
      </c>
    </row>
    <row r="1877" customFormat="false" ht="15" hidden="false" customHeight="false" outlineLevel="0" collapsed="false">
      <c r="A1877" s="0" t="n">
        <v>402</v>
      </c>
      <c r="B1877" s="191" t="n">
        <v>46078.9847861566</v>
      </c>
      <c r="C1877" s="191" t="n">
        <v>46078.9912676381</v>
      </c>
      <c r="D1877" s="189" t="s">
        <v>2475</v>
      </c>
      <c r="E1877" s="189" t="s">
        <v>2476</v>
      </c>
      <c r="F1877" s="189" t="s">
        <v>2476</v>
      </c>
      <c r="G1877" s="189" t="s">
        <v>2477</v>
      </c>
      <c r="H1877" s="191" t="n">
        <v>46070</v>
      </c>
      <c r="I1877" s="189" t="s">
        <v>325</v>
      </c>
      <c r="J1877" s="189" t="s">
        <v>108</v>
      </c>
      <c r="K1877" s="189" t="s">
        <v>196</v>
      </c>
      <c r="L1877" s="189" t="s">
        <v>389</v>
      </c>
      <c r="M1877" s="189" t="s">
        <v>212</v>
      </c>
      <c r="N1877" s="189" t="s">
        <v>1036</v>
      </c>
      <c r="O1877" s="189" t="s">
        <v>107</v>
      </c>
      <c r="P1877" s="189" t="s">
        <v>211</v>
      </c>
      <c r="Q1877" s="189" t="s">
        <v>247</v>
      </c>
      <c r="R1877" s="189" t="s">
        <v>25</v>
      </c>
      <c r="S1877" s="189" t="s">
        <v>152</v>
      </c>
      <c r="T1877" s="189" t="s">
        <v>121</v>
      </c>
      <c r="U1877" s="189" t="s">
        <v>785</v>
      </c>
      <c r="V1877" s="189" t="s">
        <v>192</v>
      </c>
      <c r="W1877" s="189" t="s">
        <v>168</v>
      </c>
      <c r="X1877" s="189" t="s">
        <v>1712</v>
      </c>
      <c r="Y1877" s="189" t="s">
        <v>3066</v>
      </c>
      <c r="Z1877" s="0" t="n">
        <v>2</v>
      </c>
      <c r="AA1877" s="189" t="s">
        <v>3333</v>
      </c>
    </row>
    <row r="1878" customFormat="false" ht="15" hidden="false" customHeight="false" outlineLevel="0" collapsed="false">
      <c r="A1878" s="0" t="n">
        <v>402</v>
      </c>
      <c r="B1878" s="191" t="n">
        <v>46078.9847861566</v>
      </c>
      <c r="C1878" s="191" t="n">
        <v>46078.9912676381</v>
      </c>
      <c r="D1878" s="189" t="s">
        <v>2475</v>
      </c>
      <c r="E1878" s="189" t="s">
        <v>2476</v>
      </c>
      <c r="F1878" s="189" t="s">
        <v>2476</v>
      </c>
      <c r="G1878" s="189" t="s">
        <v>2477</v>
      </c>
      <c r="H1878" s="191" t="n">
        <v>46070</v>
      </c>
      <c r="I1878" s="189" t="s">
        <v>325</v>
      </c>
      <c r="J1878" s="189" t="s">
        <v>108</v>
      </c>
      <c r="K1878" s="189" t="s">
        <v>196</v>
      </c>
      <c r="L1878" s="189" t="s">
        <v>389</v>
      </c>
      <c r="M1878" s="189" t="s">
        <v>212</v>
      </c>
      <c r="N1878" s="189" t="s">
        <v>1036</v>
      </c>
      <c r="O1878" s="189" t="s">
        <v>107</v>
      </c>
      <c r="P1878" s="189" t="s">
        <v>211</v>
      </c>
      <c r="Q1878" s="189" t="s">
        <v>247</v>
      </c>
      <c r="R1878" s="189" t="s">
        <v>25</v>
      </c>
      <c r="S1878" s="189" t="s">
        <v>152</v>
      </c>
      <c r="T1878" s="189" t="s">
        <v>121</v>
      </c>
      <c r="U1878" s="189" t="s">
        <v>785</v>
      </c>
      <c r="V1878" s="189" t="s">
        <v>192</v>
      </c>
      <c r="W1878" s="189" t="s">
        <v>168</v>
      </c>
      <c r="X1878" s="189" t="s">
        <v>1712</v>
      </c>
      <c r="Y1878" s="189" t="s">
        <v>3069</v>
      </c>
      <c r="Z1878" s="0" t="n">
        <v>1</v>
      </c>
      <c r="AA1878" s="189" t="s">
        <v>3309</v>
      </c>
    </row>
    <row r="1879" customFormat="false" ht="15" hidden="false" customHeight="false" outlineLevel="0" collapsed="false">
      <c r="A1879" s="0" t="n">
        <v>404</v>
      </c>
      <c r="B1879" s="191" t="n">
        <v>46071.422906509</v>
      </c>
      <c r="C1879" s="191" t="n">
        <v>46071.4409736386</v>
      </c>
      <c r="D1879" s="189" t="s">
        <v>2485</v>
      </c>
      <c r="E1879" s="189" t="s">
        <v>2486</v>
      </c>
      <c r="F1879" s="189" t="s">
        <v>2486</v>
      </c>
      <c r="G1879" s="189" t="s">
        <v>2487</v>
      </c>
      <c r="H1879" s="191" t="n">
        <v>46071</v>
      </c>
      <c r="I1879" s="189" t="s">
        <v>577</v>
      </c>
      <c r="J1879" s="189" t="s">
        <v>295</v>
      </c>
      <c r="K1879" s="189" t="s">
        <v>196</v>
      </c>
      <c r="L1879" s="189" t="s">
        <v>197</v>
      </c>
      <c r="M1879" s="189" t="s">
        <v>501</v>
      </c>
      <c r="N1879" s="189" t="s">
        <v>2100</v>
      </c>
      <c r="O1879" s="189" t="s">
        <v>107</v>
      </c>
      <c r="P1879" s="189" t="s">
        <v>131</v>
      </c>
      <c r="Q1879" s="189" t="s">
        <v>112</v>
      </c>
      <c r="R1879" s="189" t="s">
        <v>22</v>
      </c>
      <c r="S1879" s="189" t="s">
        <v>152</v>
      </c>
      <c r="T1879" s="189" t="s">
        <v>121</v>
      </c>
      <c r="V1879" s="189" t="s">
        <v>123</v>
      </c>
      <c r="W1879" s="189" t="s">
        <v>124</v>
      </c>
      <c r="X1879" s="189" t="s">
        <v>135</v>
      </c>
      <c r="Y1879" s="189" t="s">
        <v>3064</v>
      </c>
      <c r="Z1879" s="0" t="n">
        <v>1</v>
      </c>
      <c r="AA1879" s="189" t="s">
        <v>3072</v>
      </c>
    </row>
    <row r="1880" customFormat="false" ht="15" hidden="false" customHeight="false" outlineLevel="0" collapsed="false">
      <c r="A1880" s="0" t="n">
        <v>404</v>
      </c>
      <c r="B1880" s="191" t="n">
        <v>46071.422906509</v>
      </c>
      <c r="C1880" s="191" t="n">
        <v>46071.4409736386</v>
      </c>
      <c r="D1880" s="189" t="s">
        <v>2485</v>
      </c>
      <c r="E1880" s="189" t="s">
        <v>2486</v>
      </c>
      <c r="F1880" s="189" t="s">
        <v>2486</v>
      </c>
      <c r="G1880" s="189" t="s">
        <v>2487</v>
      </c>
      <c r="H1880" s="191" t="n">
        <v>46071</v>
      </c>
      <c r="I1880" s="189" t="s">
        <v>577</v>
      </c>
      <c r="J1880" s="189" t="s">
        <v>295</v>
      </c>
      <c r="K1880" s="189" t="s">
        <v>196</v>
      </c>
      <c r="L1880" s="189" t="s">
        <v>197</v>
      </c>
      <c r="M1880" s="189" t="s">
        <v>501</v>
      </c>
      <c r="N1880" s="189" t="s">
        <v>2100</v>
      </c>
      <c r="O1880" s="189" t="s">
        <v>107</v>
      </c>
      <c r="P1880" s="189" t="s">
        <v>131</v>
      </c>
      <c r="Q1880" s="189" t="s">
        <v>112</v>
      </c>
      <c r="R1880" s="189" t="s">
        <v>22</v>
      </c>
      <c r="S1880" s="189" t="s">
        <v>152</v>
      </c>
      <c r="T1880" s="189" t="s">
        <v>121</v>
      </c>
      <c r="V1880" s="189" t="s">
        <v>123</v>
      </c>
      <c r="W1880" s="189" t="s">
        <v>124</v>
      </c>
      <c r="X1880" s="189" t="s">
        <v>135</v>
      </c>
      <c r="Y1880" s="189" t="s">
        <v>3064</v>
      </c>
      <c r="Z1880" s="0" t="n">
        <v>2</v>
      </c>
      <c r="AA1880" s="189" t="s">
        <v>3201</v>
      </c>
    </row>
    <row r="1881" customFormat="false" ht="15" hidden="false" customHeight="false" outlineLevel="0" collapsed="false">
      <c r="A1881" s="0" t="n">
        <v>404</v>
      </c>
      <c r="B1881" s="191" t="n">
        <v>46071.422906509</v>
      </c>
      <c r="C1881" s="191" t="n">
        <v>46071.4409736386</v>
      </c>
      <c r="D1881" s="189" t="s">
        <v>2485</v>
      </c>
      <c r="E1881" s="189" t="s">
        <v>2486</v>
      </c>
      <c r="F1881" s="189" t="s">
        <v>2486</v>
      </c>
      <c r="G1881" s="189" t="s">
        <v>2487</v>
      </c>
      <c r="H1881" s="191" t="n">
        <v>46071</v>
      </c>
      <c r="I1881" s="189" t="s">
        <v>577</v>
      </c>
      <c r="J1881" s="189" t="s">
        <v>295</v>
      </c>
      <c r="K1881" s="189" t="s">
        <v>196</v>
      </c>
      <c r="L1881" s="189" t="s">
        <v>197</v>
      </c>
      <c r="M1881" s="189" t="s">
        <v>501</v>
      </c>
      <c r="N1881" s="189" t="s">
        <v>2100</v>
      </c>
      <c r="O1881" s="189" t="s">
        <v>107</v>
      </c>
      <c r="P1881" s="189" t="s">
        <v>131</v>
      </c>
      <c r="Q1881" s="189" t="s">
        <v>112</v>
      </c>
      <c r="R1881" s="189" t="s">
        <v>22</v>
      </c>
      <c r="S1881" s="189" t="s">
        <v>152</v>
      </c>
      <c r="T1881" s="189" t="s">
        <v>121</v>
      </c>
      <c r="V1881" s="189" t="s">
        <v>123</v>
      </c>
      <c r="W1881" s="189" t="s">
        <v>124</v>
      </c>
      <c r="X1881" s="189" t="s">
        <v>135</v>
      </c>
      <c r="Y1881" s="189" t="s">
        <v>3064</v>
      </c>
      <c r="Z1881" s="0" t="n">
        <v>3</v>
      </c>
      <c r="AA1881" s="189" t="s">
        <v>3183</v>
      </c>
    </row>
    <row r="1882" customFormat="false" ht="15" hidden="false" customHeight="false" outlineLevel="0" collapsed="false">
      <c r="A1882" s="0" t="n">
        <v>404</v>
      </c>
      <c r="B1882" s="191" t="n">
        <v>46071.422906509</v>
      </c>
      <c r="C1882" s="191" t="n">
        <v>46071.4409736386</v>
      </c>
      <c r="D1882" s="189" t="s">
        <v>2485</v>
      </c>
      <c r="E1882" s="189" t="s">
        <v>2486</v>
      </c>
      <c r="F1882" s="189" t="s">
        <v>2486</v>
      </c>
      <c r="G1882" s="189" t="s">
        <v>2487</v>
      </c>
      <c r="H1882" s="191" t="n">
        <v>46071</v>
      </c>
      <c r="I1882" s="189" t="s">
        <v>577</v>
      </c>
      <c r="J1882" s="189" t="s">
        <v>295</v>
      </c>
      <c r="K1882" s="189" t="s">
        <v>196</v>
      </c>
      <c r="L1882" s="189" t="s">
        <v>197</v>
      </c>
      <c r="M1882" s="189" t="s">
        <v>501</v>
      </c>
      <c r="N1882" s="189" t="s">
        <v>2100</v>
      </c>
      <c r="O1882" s="189" t="s">
        <v>107</v>
      </c>
      <c r="P1882" s="189" t="s">
        <v>131</v>
      </c>
      <c r="Q1882" s="189" t="s">
        <v>112</v>
      </c>
      <c r="R1882" s="189" t="s">
        <v>22</v>
      </c>
      <c r="S1882" s="189" t="s">
        <v>152</v>
      </c>
      <c r="T1882" s="189" t="s">
        <v>121</v>
      </c>
      <c r="V1882" s="189" t="s">
        <v>123</v>
      </c>
      <c r="W1882" s="189" t="s">
        <v>124</v>
      </c>
      <c r="X1882" s="189" t="s">
        <v>135</v>
      </c>
      <c r="Y1882" s="189" t="s">
        <v>3066</v>
      </c>
      <c r="Z1882" s="0" t="n">
        <v>1</v>
      </c>
      <c r="AA1882" s="189" t="s">
        <v>3185</v>
      </c>
    </row>
    <row r="1883" customFormat="false" ht="15" hidden="false" customHeight="false" outlineLevel="0" collapsed="false">
      <c r="A1883" s="0" t="n">
        <v>404</v>
      </c>
      <c r="B1883" s="191" t="n">
        <v>46071.422906509</v>
      </c>
      <c r="C1883" s="191" t="n">
        <v>46071.4409736386</v>
      </c>
      <c r="D1883" s="189" t="s">
        <v>2485</v>
      </c>
      <c r="E1883" s="189" t="s">
        <v>2486</v>
      </c>
      <c r="F1883" s="189" t="s">
        <v>2486</v>
      </c>
      <c r="G1883" s="189" t="s">
        <v>2487</v>
      </c>
      <c r="H1883" s="191" t="n">
        <v>46071</v>
      </c>
      <c r="I1883" s="189" t="s">
        <v>577</v>
      </c>
      <c r="J1883" s="189" t="s">
        <v>295</v>
      </c>
      <c r="K1883" s="189" t="s">
        <v>196</v>
      </c>
      <c r="L1883" s="189" t="s">
        <v>197</v>
      </c>
      <c r="M1883" s="189" t="s">
        <v>501</v>
      </c>
      <c r="N1883" s="189" t="s">
        <v>2100</v>
      </c>
      <c r="O1883" s="189" t="s">
        <v>107</v>
      </c>
      <c r="P1883" s="189" t="s">
        <v>131</v>
      </c>
      <c r="Q1883" s="189" t="s">
        <v>112</v>
      </c>
      <c r="R1883" s="189" t="s">
        <v>22</v>
      </c>
      <c r="S1883" s="189" t="s">
        <v>152</v>
      </c>
      <c r="T1883" s="189" t="s">
        <v>121</v>
      </c>
      <c r="V1883" s="189" t="s">
        <v>123</v>
      </c>
      <c r="W1883" s="189" t="s">
        <v>124</v>
      </c>
      <c r="X1883" s="189" t="s">
        <v>135</v>
      </c>
      <c r="Y1883" s="189" t="s">
        <v>3066</v>
      </c>
      <c r="Z1883" s="0" t="n">
        <v>2</v>
      </c>
      <c r="AA1883" s="189" t="s">
        <v>3151</v>
      </c>
    </row>
    <row r="1884" customFormat="false" ht="15" hidden="false" customHeight="false" outlineLevel="0" collapsed="false">
      <c r="A1884" s="0" t="n">
        <v>404</v>
      </c>
      <c r="B1884" s="191" t="n">
        <v>46071.422906509</v>
      </c>
      <c r="C1884" s="191" t="n">
        <v>46071.4409736386</v>
      </c>
      <c r="D1884" s="189" t="s">
        <v>2485</v>
      </c>
      <c r="E1884" s="189" t="s">
        <v>2486</v>
      </c>
      <c r="F1884" s="189" t="s">
        <v>2486</v>
      </c>
      <c r="G1884" s="189" t="s">
        <v>2487</v>
      </c>
      <c r="H1884" s="191" t="n">
        <v>46071</v>
      </c>
      <c r="I1884" s="189" t="s">
        <v>577</v>
      </c>
      <c r="J1884" s="189" t="s">
        <v>295</v>
      </c>
      <c r="K1884" s="189" t="s">
        <v>196</v>
      </c>
      <c r="L1884" s="189" t="s">
        <v>197</v>
      </c>
      <c r="M1884" s="189" t="s">
        <v>501</v>
      </c>
      <c r="N1884" s="189" t="s">
        <v>2100</v>
      </c>
      <c r="O1884" s="189" t="s">
        <v>107</v>
      </c>
      <c r="P1884" s="189" t="s">
        <v>131</v>
      </c>
      <c r="Q1884" s="189" t="s">
        <v>112</v>
      </c>
      <c r="R1884" s="189" t="s">
        <v>22</v>
      </c>
      <c r="S1884" s="189" t="s">
        <v>152</v>
      </c>
      <c r="T1884" s="189" t="s">
        <v>121</v>
      </c>
      <c r="V1884" s="189" t="s">
        <v>123</v>
      </c>
      <c r="W1884" s="189" t="s">
        <v>124</v>
      </c>
      <c r="X1884" s="189" t="s">
        <v>135</v>
      </c>
      <c r="Y1884" s="189" t="s">
        <v>3069</v>
      </c>
      <c r="Z1884" s="0" t="n">
        <v>1</v>
      </c>
      <c r="AA1884" s="189" t="s">
        <v>3257</v>
      </c>
    </row>
    <row r="1885" customFormat="false" ht="15" hidden="false" customHeight="false" outlineLevel="0" collapsed="false">
      <c r="A1885" s="0" t="n">
        <v>405</v>
      </c>
      <c r="B1885" s="191" t="n">
        <v>46142.9165882403</v>
      </c>
      <c r="C1885" s="191" t="n">
        <v>46142.9333822218</v>
      </c>
      <c r="D1885" s="189" t="s">
        <v>2489</v>
      </c>
      <c r="E1885" s="189" t="s">
        <v>2490</v>
      </c>
      <c r="F1885" s="189" t="s">
        <v>2490</v>
      </c>
      <c r="G1885" s="189" t="s">
        <v>2491</v>
      </c>
      <c r="H1885" s="191" t="n">
        <v>46129</v>
      </c>
      <c r="I1885" s="189" t="s">
        <v>113</v>
      </c>
      <c r="J1885" s="189" t="s">
        <v>108</v>
      </c>
      <c r="K1885" s="189" t="s">
        <v>364</v>
      </c>
      <c r="L1885" s="189" t="s">
        <v>144</v>
      </c>
      <c r="M1885" s="189" t="s">
        <v>144</v>
      </c>
      <c r="N1885" s="189" t="s">
        <v>1050</v>
      </c>
      <c r="O1885" s="189" t="s">
        <v>278</v>
      </c>
      <c r="P1885" s="189" t="s">
        <v>111</v>
      </c>
      <c r="Q1885" s="189" t="s">
        <v>112</v>
      </c>
      <c r="R1885" s="189" t="s">
        <v>22</v>
      </c>
      <c r="S1885" s="189" t="s">
        <v>152</v>
      </c>
      <c r="T1885" s="189" t="s">
        <v>121</v>
      </c>
      <c r="V1885" s="189" t="s">
        <v>192</v>
      </c>
      <c r="W1885" s="189" t="s">
        <v>124</v>
      </c>
      <c r="X1885" s="189" t="s">
        <v>339</v>
      </c>
      <c r="Y1885" s="189" t="s">
        <v>3064</v>
      </c>
      <c r="Z1885" s="0" t="n">
        <v>1</v>
      </c>
      <c r="AA1885" s="189" t="s">
        <v>3198</v>
      </c>
    </row>
    <row r="1886" customFormat="false" ht="15" hidden="false" customHeight="false" outlineLevel="0" collapsed="false">
      <c r="A1886" s="0" t="n">
        <v>405</v>
      </c>
      <c r="B1886" s="191" t="n">
        <v>46142.9165882403</v>
      </c>
      <c r="C1886" s="191" t="n">
        <v>46142.9333822218</v>
      </c>
      <c r="D1886" s="189" t="s">
        <v>2489</v>
      </c>
      <c r="E1886" s="189" t="s">
        <v>2490</v>
      </c>
      <c r="F1886" s="189" t="s">
        <v>2490</v>
      </c>
      <c r="G1886" s="189" t="s">
        <v>2491</v>
      </c>
      <c r="H1886" s="191" t="n">
        <v>46129</v>
      </c>
      <c r="I1886" s="189" t="s">
        <v>113</v>
      </c>
      <c r="J1886" s="189" t="s">
        <v>108</v>
      </c>
      <c r="K1886" s="189" t="s">
        <v>364</v>
      </c>
      <c r="L1886" s="189" t="s">
        <v>144</v>
      </c>
      <c r="M1886" s="189" t="s">
        <v>144</v>
      </c>
      <c r="N1886" s="189" t="s">
        <v>1050</v>
      </c>
      <c r="O1886" s="189" t="s">
        <v>278</v>
      </c>
      <c r="P1886" s="189" t="s">
        <v>111</v>
      </c>
      <c r="Q1886" s="189" t="s">
        <v>112</v>
      </c>
      <c r="R1886" s="189" t="s">
        <v>22</v>
      </c>
      <c r="S1886" s="189" t="s">
        <v>152</v>
      </c>
      <c r="T1886" s="189" t="s">
        <v>121</v>
      </c>
      <c r="V1886" s="189" t="s">
        <v>192</v>
      </c>
      <c r="W1886" s="189" t="s">
        <v>124</v>
      </c>
      <c r="X1886" s="189" t="s">
        <v>339</v>
      </c>
      <c r="Y1886" s="189" t="s">
        <v>3066</v>
      </c>
      <c r="Z1886" s="0" t="n">
        <v>1</v>
      </c>
      <c r="AA1886" s="189" t="s">
        <v>3235</v>
      </c>
    </row>
    <row r="1887" customFormat="false" ht="15" hidden="false" customHeight="false" outlineLevel="0" collapsed="false">
      <c r="A1887" s="0" t="n">
        <v>405</v>
      </c>
      <c r="B1887" s="191" t="n">
        <v>46142.9165882403</v>
      </c>
      <c r="C1887" s="191" t="n">
        <v>46142.9333822218</v>
      </c>
      <c r="D1887" s="189" t="s">
        <v>2489</v>
      </c>
      <c r="E1887" s="189" t="s">
        <v>2490</v>
      </c>
      <c r="F1887" s="189" t="s">
        <v>2490</v>
      </c>
      <c r="G1887" s="189" t="s">
        <v>2491</v>
      </c>
      <c r="H1887" s="191" t="n">
        <v>46129</v>
      </c>
      <c r="I1887" s="189" t="s">
        <v>113</v>
      </c>
      <c r="J1887" s="189" t="s">
        <v>108</v>
      </c>
      <c r="K1887" s="189" t="s">
        <v>364</v>
      </c>
      <c r="L1887" s="189" t="s">
        <v>144</v>
      </c>
      <c r="M1887" s="189" t="s">
        <v>144</v>
      </c>
      <c r="N1887" s="189" t="s">
        <v>1050</v>
      </c>
      <c r="O1887" s="189" t="s">
        <v>278</v>
      </c>
      <c r="P1887" s="189" t="s">
        <v>111</v>
      </c>
      <c r="Q1887" s="189" t="s">
        <v>112</v>
      </c>
      <c r="R1887" s="189" t="s">
        <v>22</v>
      </c>
      <c r="S1887" s="189" t="s">
        <v>152</v>
      </c>
      <c r="T1887" s="189" t="s">
        <v>121</v>
      </c>
      <c r="V1887" s="189" t="s">
        <v>192</v>
      </c>
      <c r="W1887" s="189" t="s">
        <v>124</v>
      </c>
      <c r="X1887" s="189" t="s">
        <v>339</v>
      </c>
      <c r="Y1887" s="189" t="s">
        <v>3066</v>
      </c>
      <c r="Z1887" s="0" t="n">
        <v>2</v>
      </c>
      <c r="AA1887" s="189" t="s">
        <v>3142</v>
      </c>
    </row>
    <row r="1888" customFormat="false" ht="15" hidden="false" customHeight="false" outlineLevel="0" collapsed="false">
      <c r="A1888" s="0" t="n">
        <v>405</v>
      </c>
      <c r="B1888" s="191" t="n">
        <v>46142.9165882403</v>
      </c>
      <c r="C1888" s="191" t="n">
        <v>46142.9333822218</v>
      </c>
      <c r="D1888" s="189" t="s">
        <v>2489</v>
      </c>
      <c r="E1888" s="189" t="s">
        <v>2490</v>
      </c>
      <c r="F1888" s="189" t="s">
        <v>2490</v>
      </c>
      <c r="G1888" s="189" t="s">
        <v>2491</v>
      </c>
      <c r="H1888" s="191" t="n">
        <v>46129</v>
      </c>
      <c r="I1888" s="189" t="s">
        <v>113</v>
      </c>
      <c r="J1888" s="189" t="s">
        <v>108</v>
      </c>
      <c r="K1888" s="189" t="s">
        <v>364</v>
      </c>
      <c r="L1888" s="189" t="s">
        <v>144</v>
      </c>
      <c r="M1888" s="189" t="s">
        <v>144</v>
      </c>
      <c r="N1888" s="189" t="s">
        <v>1050</v>
      </c>
      <c r="O1888" s="189" t="s">
        <v>278</v>
      </c>
      <c r="P1888" s="189" t="s">
        <v>111</v>
      </c>
      <c r="Q1888" s="189" t="s">
        <v>112</v>
      </c>
      <c r="R1888" s="189" t="s">
        <v>22</v>
      </c>
      <c r="S1888" s="189" t="s">
        <v>152</v>
      </c>
      <c r="T1888" s="189" t="s">
        <v>121</v>
      </c>
      <c r="V1888" s="189" t="s">
        <v>192</v>
      </c>
      <c r="W1888" s="189" t="s">
        <v>124</v>
      </c>
      <c r="X1888" s="189" t="s">
        <v>339</v>
      </c>
      <c r="Y1888" s="189" t="s">
        <v>3069</v>
      </c>
      <c r="Z1888" s="0" t="n">
        <v>1</v>
      </c>
      <c r="AA1888" s="189" t="s">
        <v>3235</v>
      </c>
    </row>
    <row r="1889" customFormat="false" ht="15" hidden="false" customHeight="false" outlineLevel="0" collapsed="false">
      <c r="A1889" s="0" t="n">
        <v>405</v>
      </c>
      <c r="B1889" s="191" t="n">
        <v>46142.9165882403</v>
      </c>
      <c r="C1889" s="191" t="n">
        <v>46142.9333822218</v>
      </c>
      <c r="D1889" s="189" t="s">
        <v>2489</v>
      </c>
      <c r="E1889" s="189" t="s">
        <v>2490</v>
      </c>
      <c r="F1889" s="189" t="s">
        <v>2490</v>
      </c>
      <c r="G1889" s="189" t="s">
        <v>2491</v>
      </c>
      <c r="H1889" s="191" t="n">
        <v>46129</v>
      </c>
      <c r="I1889" s="189" t="s">
        <v>113</v>
      </c>
      <c r="J1889" s="189" t="s">
        <v>108</v>
      </c>
      <c r="K1889" s="189" t="s">
        <v>364</v>
      </c>
      <c r="L1889" s="189" t="s">
        <v>144</v>
      </c>
      <c r="M1889" s="189" t="s">
        <v>144</v>
      </c>
      <c r="N1889" s="189" t="s">
        <v>1050</v>
      </c>
      <c r="O1889" s="189" t="s">
        <v>278</v>
      </c>
      <c r="P1889" s="189" t="s">
        <v>111</v>
      </c>
      <c r="Q1889" s="189" t="s">
        <v>112</v>
      </c>
      <c r="R1889" s="189" t="s">
        <v>22</v>
      </c>
      <c r="S1889" s="189" t="s">
        <v>152</v>
      </c>
      <c r="T1889" s="189" t="s">
        <v>121</v>
      </c>
      <c r="V1889" s="189" t="s">
        <v>192</v>
      </c>
      <c r="W1889" s="189" t="s">
        <v>124</v>
      </c>
      <c r="X1889" s="189" t="s">
        <v>339</v>
      </c>
      <c r="Y1889" s="189" t="s">
        <v>3069</v>
      </c>
      <c r="Z1889" s="0" t="n">
        <v>2</v>
      </c>
      <c r="AA1889" s="189" t="s">
        <v>3145</v>
      </c>
    </row>
    <row r="1890" customFormat="false" ht="15" hidden="false" customHeight="false" outlineLevel="0" collapsed="false">
      <c r="A1890" s="0" t="n">
        <v>406</v>
      </c>
      <c r="B1890" s="191" t="n">
        <v>46107.2303607189</v>
      </c>
      <c r="C1890" s="191" t="n">
        <v>46107.2453607189</v>
      </c>
      <c r="D1890" s="189" t="s">
        <v>2494</v>
      </c>
      <c r="E1890" s="189" t="s">
        <v>2495</v>
      </c>
      <c r="F1890" s="189" t="s">
        <v>2495</v>
      </c>
      <c r="G1890" s="189" t="s">
        <v>2496</v>
      </c>
      <c r="H1890" s="191" t="n">
        <v>46089</v>
      </c>
      <c r="I1890" s="189" t="s">
        <v>863</v>
      </c>
      <c r="J1890" s="189" t="s">
        <v>295</v>
      </c>
      <c r="K1890" s="189" t="s">
        <v>2497</v>
      </c>
      <c r="L1890" s="189" t="s">
        <v>268</v>
      </c>
      <c r="M1890" s="189" t="s">
        <v>146</v>
      </c>
      <c r="N1890" s="189" t="s">
        <v>1050</v>
      </c>
      <c r="O1890" s="189" t="s">
        <v>107</v>
      </c>
      <c r="P1890" s="189" t="s">
        <v>111</v>
      </c>
      <c r="Q1890" s="189" t="s">
        <v>112</v>
      </c>
      <c r="R1890" s="189" t="s">
        <v>21</v>
      </c>
      <c r="S1890" s="189" t="s">
        <v>152</v>
      </c>
      <c r="T1890" s="189" t="s">
        <v>400</v>
      </c>
      <c r="U1890" s="189" t="s">
        <v>122</v>
      </c>
      <c r="V1890" s="189" t="s">
        <v>192</v>
      </c>
      <c r="W1890" s="189" t="s">
        <v>124</v>
      </c>
      <c r="X1890" s="189" t="s">
        <v>250</v>
      </c>
      <c r="Y1890" s="189" t="s">
        <v>3064</v>
      </c>
      <c r="Z1890" s="0" t="n">
        <v>1</v>
      </c>
      <c r="AA1890" s="189" t="s">
        <v>3139</v>
      </c>
    </row>
    <row r="1891" customFormat="false" ht="15" hidden="false" customHeight="false" outlineLevel="0" collapsed="false">
      <c r="A1891" s="0" t="n">
        <v>406</v>
      </c>
      <c r="B1891" s="191" t="n">
        <v>46107.2303607189</v>
      </c>
      <c r="C1891" s="191" t="n">
        <v>46107.2453607189</v>
      </c>
      <c r="D1891" s="189" t="s">
        <v>2494</v>
      </c>
      <c r="E1891" s="189" t="s">
        <v>2495</v>
      </c>
      <c r="F1891" s="189" t="s">
        <v>2495</v>
      </c>
      <c r="G1891" s="189" t="s">
        <v>2496</v>
      </c>
      <c r="H1891" s="191" t="n">
        <v>46089</v>
      </c>
      <c r="I1891" s="189" t="s">
        <v>863</v>
      </c>
      <c r="J1891" s="189" t="s">
        <v>295</v>
      </c>
      <c r="K1891" s="189" t="s">
        <v>2497</v>
      </c>
      <c r="L1891" s="189" t="s">
        <v>268</v>
      </c>
      <c r="M1891" s="189" t="s">
        <v>146</v>
      </c>
      <c r="N1891" s="189" t="s">
        <v>1050</v>
      </c>
      <c r="O1891" s="189" t="s">
        <v>107</v>
      </c>
      <c r="P1891" s="189" t="s">
        <v>111</v>
      </c>
      <c r="Q1891" s="189" t="s">
        <v>112</v>
      </c>
      <c r="R1891" s="189" t="s">
        <v>21</v>
      </c>
      <c r="S1891" s="189" t="s">
        <v>152</v>
      </c>
      <c r="T1891" s="189" t="s">
        <v>400</v>
      </c>
      <c r="U1891" s="189" t="s">
        <v>122</v>
      </c>
      <c r="V1891" s="189" t="s">
        <v>192</v>
      </c>
      <c r="W1891" s="189" t="s">
        <v>124</v>
      </c>
      <c r="X1891" s="189" t="s">
        <v>250</v>
      </c>
      <c r="Y1891" s="189" t="s">
        <v>3066</v>
      </c>
      <c r="Z1891" s="0" t="n">
        <v>1</v>
      </c>
      <c r="AA1891" s="189" t="s">
        <v>3067</v>
      </c>
    </row>
    <row r="1892" customFormat="false" ht="15" hidden="false" customHeight="false" outlineLevel="0" collapsed="false">
      <c r="A1892" s="0" t="n">
        <v>406</v>
      </c>
      <c r="B1892" s="191" t="n">
        <v>46107.2303607189</v>
      </c>
      <c r="C1892" s="191" t="n">
        <v>46107.2453607189</v>
      </c>
      <c r="D1892" s="189" t="s">
        <v>2494</v>
      </c>
      <c r="E1892" s="189" t="s">
        <v>2495</v>
      </c>
      <c r="F1892" s="189" t="s">
        <v>2495</v>
      </c>
      <c r="G1892" s="189" t="s">
        <v>2496</v>
      </c>
      <c r="H1892" s="191" t="n">
        <v>46089</v>
      </c>
      <c r="I1892" s="189" t="s">
        <v>863</v>
      </c>
      <c r="J1892" s="189" t="s">
        <v>295</v>
      </c>
      <c r="K1892" s="189" t="s">
        <v>2497</v>
      </c>
      <c r="L1892" s="189" t="s">
        <v>268</v>
      </c>
      <c r="M1892" s="189" t="s">
        <v>146</v>
      </c>
      <c r="N1892" s="189" t="s">
        <v>1050</v>
      </c>
      <c r="O1892" s="189" t="s">
        <v>107</v>
      </c>
      <c r="P1892" s="189" t="s">
        <v>111</v>
      </c>
      <c r="Q1892" s="189" t="s">
        <v>112</v>
      </c>
      <c r="R1892" s="189" t="s">
        <v>21</v>
      </c>
      <c r="S1892" s="189" t="s">
        <v>152</v>
      </c>
      <c r="T1892" s="189" t="s">
        <v>400</v>
      </c>
      <c r="U1892" s="189" t="s">
        <v>122</v>
      </c>
      <c r="V1892" s="189" t="s">
        <v>192</v>
      </c>
      <c r="W1892" s="189" t="s">
        <v>124</v>
      </c>
      <c r="X1892" s="189" t="s">
        <v>250</v>
      </c>
      <c r="Y1892" s="189" t="s">
        <v>3066</v>
      </c>
      <c r="Z1892" s="0" t="n">
        <v>2</v>
      </c>
      <c r="AA1892" s="189" t="s">
        <v>3211</v>
      </c>
    </row>
    <row r="1893" customFormat="false" ht="15" hidden="false" customHeight="false" outlineLevel="0" collapsed="false">
      <c r="A1893" s="0" t="n">
        <v>406</v>
      </c>
      <c r="B1893" s="191" t="n">
        <v>46107.2303607189</v>
      </c>
      <c r="C1893" s="191" t="n">
        <v>46107.2453607189</v>
      </c>
      <c r="D1893" s="189" t="s">
        <v>2494</v>
      </c>
      <c r="E1893" s="189" t="s">
        <v>2495</v>
      </c>
      <c r="F1893" s="189" t="s">
        <v>2495</v>
      </c>
      <c r="G1893" s="189" t="s">
        <v>2496</v>
      </c>
      <c r="H1893" s="191" t="n">
        <v>46089</v>
      </c>
      <c r="I1893" s="189" t="s">
        <v>863</v>
      </c>
      <c r="J1893" s="189" t="s">
        <v>295</v>
      </c>
      <c r="K1893" s="189" t="s">
        <v>2497</v>
      </c>
      <c r="L1893" s="189" t="s">
        <v>268</v>
      </c>
      <c r="M1893" s="189" t="s">
        <v>146</v>
      </c>
      <c r="N1893" s="189" t="s">
        <v>1050</v>
      </c>
      <c r="O1893" s="189" t="s">
        <v>107</v>
      </c>
      <c r="P1893" s="189" t="s">
        <v>111</v>
      </c>
      <c r="Q1893" s="189" t="s">
        <v>112</v>
      </c>
      <c r="R1893" s="189" t="s">
        <v>21</v>
      </c>
      <c r="S1893" s="189" t="s">
        <v>152</v>
      </c>
      <c r="T1893" s="189" t="s">
        <v>400</v>
      </c>
      <c r="U1893" s="189" t="s">
        <v>122</v>
      </c>
      <c r="V1893" s="189" t="s">
        <v>192</v>
      </c>
      <c r="W1893" s="189" t="s">
        <v>124</v>
      </c>
      <c r="X1893" s="189" t="s">
        <v>250</v>
      </c>
      <c r="Y1893" s="189" t="s">
        <v>3069</v>
      </c>
      <c r="Z1893" s="0" t="n">
        <v>1</v>
      </c>
      <c r="AA1893" s="189" t="s">
        <v>3108</v>
      </c>
    </row>
    <row r="1894" customFormat="false" ht="15" hidden="false" customHeight="false" outlineLevel="0" collapsed="false">
      <c r="A1894" s="0" t="n">
        <v>407</v>
      </c>
      <c r="B1894" s="191" t="n">
        <v>46215.1394865846</v>
      </c>
      <c r="C1894" s="191" t="n">
        <v>46215.1497643624</v>
      </c>
      <c r="D1894" s="189" t="s">
        <v>2498</v>
      </c>
      <c r="E1894" s="189" t="s">
        <v>2499</v>
      </c>
      <c r="F1894" s="189" t="s">
        <v>2499</v>
      </c>
      <c r="G1894" s="189" t="s">
        <v>2500</v>
      </c>
      <c r="H1894" s="191" t="n">
        <v>46209</v>
      </c>
      <c r="I1894" s="189" t="s">
        <v>336</v>
      </c>
      <c r="J1894" s="189" t="s">
        <v>108</v>
      </c>
      <c r="K1894" s="189" t="s">
        <v>143</v>
      </c>
      <c r="L1894" s="189" t="s">
        <v>210</v>
      </c>
      <c r="M1894" s="189" t="s">
        <v>809</v>
      </c>
      <c r="N1894" s="189" t="s">
        <v>638</v>
      </c>
      <c r="O1894" s="189" t="s">
        <v>172</v>
      </c>
      <c r="P1894" s="189" t="s">
        <v>111</v>
      </c>
      <c r="Q1894" s="189" t="s">
        <v>112</v>
      </c>
      <c r="R1894" s="189" t="s">
        <v>23</v>
      </c>
      <c r="S1894" s="189" t="s">
        <v>120</v>
      </c>
      <c r="T1894" s="189" t="s">
        <v>121</v>
      </c>
      <c r="U1894" s="189" t="s">
        <v>122</v>
      </c>
      <c r="V1894" s="189" t="s">
        <v>192</v>
      </c>
      <c r="W1894" s="189" t="s">
        <v>124</v>
      </c>
      <c r="X1894" s="189" t="s">
        <v>503</v>
      </c>
      <c r="Y1894" s="189" t="s">
        <v>3172</v>
      </c>
      <c r="Z1894" s="0" t="n">
        <v>1</v>
      </c>
      <c r="AA1894" s="189" t="s">
        <v>2440</v>
      </c>
    </row>
    <row r="1895" customFormat="false" ht="15" hidden="false" customHeight="false" outlineLevel="0" collapsed="false">
      <c r="A1895" s="0" t="n">
        <v>408</v>
      </c>
      <c r="B1895" s="191" t="n">
        <v>46077.0486133163</v>
      </c>
      <c r="C1895" s="191" t="n">
        <v>46077.0585207237</v>
      </c>
      <c r="D1895" s="189" t="s">
        <v>2501</v>
      </c>
      <c r="E1895" s="189" t="s">
        <v>2502</v>
      </c>
      <c r="F1895" s="189" t="s">
        <v>2502</v>
      </c>
      <c r="G1895" s="189" t="s">
        <v>2503</v>
      </c>
      <c r="H1895" s="191" t="n">
        <v>46074</v>
      </c>
      <c r="I1895" s="189" t="s">
        <v>113</v>
      </c>
      <c r="J1895" s="189" t="s">
        <v>108</v>
      </c>
      <c r="K1895" s="189" t="s">
        <v>245</v>
      </c>
      <c r="L1895" s="189" t="s">
        <v>210</v>
      </c>
      <c r="M1895" s="189" t="s">
        <v>477</v>
      </c>
      <c r="N1895" s="189" t="s">
        <v>407</v>
      </c>
      <c r="O1895" s="189" t="s">
        <v>750</v>
      </c>
      <c r="P1895" s="189" t="s">
        <v>211</v>
      </c>
      <c r="Q1895" s="189" t="s">
        <v>112</v>
      </c>
      <c r="R1895" s="189" t="s">
        <v>22</v>
      </c>
      <c r="S1895" s="189" t="s">
        <v>152</v>
      </c>
      <c r="T1895" s="189" t="s">
        <v>496</v>
      </c>
      <c r="V1895" s="189" t="s">
        <v>192</v>
      </c>
      <c r="W1895" s="189" t="s">
        <v>124</v>
      </c>
      <c r="X1895" s="189" t="s">
        <v>715</v>
      </c>
      <c r="Y1895" s="189" t="s">
        <v>3064</v>
      </c>
      <c r="Z1895" s="0" t="n">
        <v>1</v>
      </c>
      <c r="AA1895" s="189" t="s">
        <v>3252</v>
      </c>
    </row>
    <row r="1896" customFormat="false" ht="15" hidden="false" customHeight="false" outlineLevel="0" collapsed="false">
      <c r="A1896" s="0" t="n">
        <v>408</v>
      </c>
      <c r="B1896" s="191" t="n">
        <v>46077.0486133163</v>
      </c>
      <c r="C1896" s="191" t="n">
        <v>46077.0585207237</v>
      </c>
      <c r="D1896" s="189" t="s">
        <v>2501</v>
      </c>
      <c r="E1896" s="189" t="s">
        <v>2502</v>
      </c>
      <c r="F1896" s="189" t="s">
        <v>2502</v>
      </c>
      <c r="G1896" s="189" t="s">
        <v>2503</v>
      </c>
      <c r="H1896" s="191" t="n">
        <v>46074</v>
      </c>
      <c r="I1896" s="189" t="s">
        <v>113</v>
      </c>
      <c r="J1896" s="189" t="s">
        <v>108</v>
      </c>
      <c r="K1896" s="189" t="s">
        <v>245</v>
      </c>
      <c r="L1896" s="189" t="s">
        <v>210</v>
      </c>
      <c r="M1896" s="189" t="s">
        <v>477</v>
      </c>
      <c r="N1896" s="189" t="s">
        <v>407</v>
      </c>
      <c r="O1896" s="189" t="s">
        <v>750</v>
      </c>
      <c r="P1896" s="189" t="s">
        <v>211</v>
      </c>
      <c r="Q1896" s="189" t="s">
        <v>112</v>
      </c>
      <c r="R1896" s="189" t="s">
        <v>22</v>
      </c>
      <c r="S1896" s="189" t="s">
        <v>152</v>
      </c>
      <c r="T1896" s="189" t="s">
        <v>496</v>
      </c>
      <c r="V1896" s="189" t="s">
        <v>192</v>
      </c>
      <c r="W1896" s="189" t="s">
        <v>124</v>
      </c>
      <c r="X1896" s="189" t="s">
        <v>715</v>
      </c>
      <c r="Y1896" s="189" t="s">
        <v>3066</v>
      </c>
      <c r="Z1896" s="0" t="n">
        <v>1</v>
      </c>
      <c r="AA1896" s="189" t="s">
        <v>3227</v>
      </c>
    </row>
    <row r="1897" customFormat="false" ht="15" hidden="false" customHeight="false" outlineLevel="0" collapsed="false">
      <c r="A1897" s="0" t="n">
        <v>408</v>
      </c>
      <c r="B1897" s="191" t="n">
        <v>46077.0486133163</v>
      </c>
      <c r="C1897" s="191" t="n">
        <v>46077.0585207237</v>
      </c>
      <c r="D1897" s="189" t="s">
        <v>2501</v>
      </c>
      <c r="E1897" s="189" t="s">
        <v>2502</v>
      </c>
      <c r="F1897" s="189" t="s">
        <v>2502</v>
      </c>
      <c r="G1897" s="189" t="s">
        <v>2503</v>
      </c>
      <c r="H1897" s="191" t="n">
        <v>46074</v>
      </c>
      <c r="I1897" s="189" t="s">
        <v>113</v>
      </c>
      <c r="J1897" s="189" t="s">
        <v>108</v>
      </c>
      <c r="K1897" s="189" t="s">
        <v>245</v>
      </c>
      <c r="L1897" s="189" t="s">
        <v>210</v>
      </c>
      <c r="M1897" s="189" t="s">
        <v>477</v>
      </c>
      <c r="N1897" s="189" t="s">
        <v>407</v>
      </c>
      <c r="O1897" s="189" t="s">
        <v>750</v>
      </c>
      <c r="P1897" s="189" t="s">
        <v>211</v>
      </c>
      <c r="Q1897" s="189" t="s">
        <v>112</v>
      </c>
      <c r="R1897" s="189" t="s">
        <v>22</v>
      </c>
      <c r="S1897" s="189" t="s">
        <v>152</v>
      </c>
      <c r="T1897" s="189" t="s">
        <v>496</v>
      </c>
      <c r="V1897" s="189" t="s">
        <v>192</v>
      </c>
      <c r="W1897" s="189" t="s">
        <v>124</v>
      </c>
      <c r="X1897" s="189" t="s">
        <v>715</v>
      </c>
      <c r="Y1897" s="189" t="s">
        <v>3066</v>
      </c>
      <c r="Z1897" s="0" t="n">
        <v>2</v>
      </c>
      <c r="AA1897" s="189" t="s">
        <v>3226</v>
      </c>
    </row>
    <row r="1898" customFormat="false" ht="15" hidden="false" customHeight="false" outlineLevel="0" collapsed="false">
      <c r="A1898" s="0" t="n">
        <v>408</v>
      </c>
      <c r="B1898" s="191" t="n">
        <v>46077.0486133163</v>
      </c>
      <c r="C1898" s="191" t="n">
        <v>46077.0585207237</v>
      </c>
      <c r="D1898" s="189" t="s">
        <v>2501</v>
      </c>
      <c r="E1898" s="189" t="s">
        <v>2502</v>
      </c>
      <c r="F1898" s="189" t="s">
        <v>2502</v>
      </c>
      <c r="G1898" s="189" t="s">
        <v>2503</v>
      </c>
      <c r="H1898" s="191" t="n">
        <v>46074</v>
      </c>
      <c r="I1898" s="189" t="s">
        <v>113</v>
      </c>
      <c r="J1898" s="189" t="s">
        <v>108</v>
      </c>
      <c r="K1898" s="189" t="s">
        <v>245</v>
      </c>
      <c r="L1898" s="189" t="s">
        <v>210</v>
      </c>
      <c r="M1898" s="189" t="s">
        <v>477</v>
      </c>
      <c r="N1898" s="189" t="s">
        <v>407</v>
      </c>
      <c r="O1898" s="189" t="s">
        <v>750</v>
      </c>
      <c r="P1898" s="189" t="s">
        <v>211</v>
      </c>
      <c r="Q1898" s="189" t="s">
        <v>112</v>
      </c>
      <c r="R1898" s="189" t="s">
        <v>22</v>
      </c>
      <c r="S1898" s="189" t="s">
        <v>152</v>
      </c>
      <c r="T1898" s="189" t="s">
        <v>496</v>
      </c>
      <c r="V1898" s="189" t="s">
        <v>192</v>
      </c>
      <c r="W1898" s="189" t="s">
        <v>124</v>
      </c>
      <c r="X1898" s="189" t="s">
        <v>715</v>
      </c>
      <c r="Y1898" s="189" t="s">
        <v>3069</v>
      </c>
      <c r="Z1898" s="0" t="n">
        <v>1</v>
      </c>
      <c r="AA1898" s="189" t="s">
        <v>3256</v>
      </c>
    </row>
    <row r="1899" customFormat="false" ht="15" hidden="false" customHeight="false" outlineLevel="0" collapsed="false">
      <c r="A1899" s="0" t="n">
        <v>408</v>
      </c>
      <c r="B1899" s="191" t="n">
        <v>46077.0486133163</v>
      </c>
      <c r="C1899" s="191" t="n">
        <v>46077.0585207237</v>
      </c>
      <c r="D1899" s="189" t="s">
        <v>2501</v>
      </c>
      <c r="E1899" s="189" t="s">
        <v>2502</v>
      </c>
      <c r="F1899" s="189" t="s">
        <v>2502</v>
      </c>
      <c r="G1899" s="189" t="s">
        <v>2503</v>
      </c>
      <c r="H1899" s="191" t="n">
        <v>46074</v>
      </c>
      <c r="I1899" s="189" t="s">
        <v>113</v>
      </c>
      <c r="J1899" s="189" t="s">
        <v>108</v>
      </c>
      <c r="K1899" s="189" t="s">
        <v>245</v>
      </c>
      <c r="L1899" s="189" t="s">
        <v>210</v>
      </c>
      <c r="M1899" s="189" t="s">
        <v>477</v>
      </c>
      <c r="N1899" s="189" t="s">
        <v>407</v>
      </c>
      <c r="O1899" s="189" t="s">
        <v>750</v>
      </c>
      <c r="P1899" s="189" t="s">
        <v>211</v>
      </c>
      <c r="Q1899" s="189" t="s">
        <v>112</v>
      </c>
      <c r="R1899" s="189" t="s">
        <v>22</v>
      </c>
      <c r="S1899" s="189" t="s">
        <v>152</v>
      </c>
      <c r="T1899" s="189" t="s">
        <v>496</v>
      </c>
      <c r="V1899" s="189" t="s">
        <v>192</v>
      </c>
      <c r="W1899" s="189" t="s">
        <v>124</v>
      </c>
      <c r="X1899" s="189" t="s">
        <v>715</v>
      </c>
      <c r="Y1899" s="189" t="s">
        <v>3069</v>
      </c>
      <c r="Z1899" s="0" t="n">
        <v>2</v>
      </c>
      <c r="AA1899" s="189" t="s">
        <v>3229</v>
      </c>
    </row>
    <row r="1900" customFormat="false" ht="15" hidden="false" customHeight="false" outlineLevel="0" collapsed="false">
      <c r="A1900" s="0" t="n">
        <v>409</v>
      </c>
      <c r="B1900" s="191" t="n">
        <v>46088.6563229687</v>
      </c>
      <c r="C1900" s="191" t="n">
        <v>46088.6626771354</v>
      </c>
      <c r="D1900" s="189" t="s">
        <v>2506</v>
      </c>
      <c r="E1900" s="189" t="s">
        <v>2507</v>
      </c>
      <c r="F1900" s="189" t="s">
        <v>2507</v>
      </c>
      <c r="G1900" s="189" t="s">
        <v>2508</v>
      </c>
      <c r="H1900" s="191" t="n">
        <v>46077</v>
      </c>
      <c r="I1900" s="189" t="s">
        <v>132</v>
      </c>
      <c r="J1900" s="189" t="s">
        <v>295</v>
      </c>
      <c r="K1900" s="189" t="s">
        <v>364</v>
      </c>
      <c r="L1900" s="189" t="s">
        <v>233</v>
      </c>
      <c r="M1900" s="189" t="s">
        <v>1388</v>
      </c>
      <c r="N1900" s="189" t="s">
        <v>1144</v>
      </c>
      <c r="O1900" s="189" t="s">
        <v>244</v>
      </c>
      <c r="P1900" s="189" t="s">
        <v>390</v>
      </c>
      <c r="Q1900" s="189" t="s">
        <v>145</v>
      </c>
      <c r="R1900" s="189" t="s">
        <v>24</v>
      </c>
      <c r="S1900" s="189" t="s">
        <v>152</v>
      </c>
      <c r="T1900" s="189" t="s">
        <v>121</v>
      </c>
      <c r="U1900" s="189" t="s">
        <v>1605</v>
      </c>
      <c r="V1900" s="189" t="s">
        <v>123</v>
      </c>
      <c r="W1900" s="189" t="s">
        <v>124</v>
      </c>
      <c r="X1900" s="189" t="s">
        <v>260</v>
      </c>
      <c r="Y1900" s="189" t="s">
        <v>3064</v>
      </c>
      <c r="Z1900" s="0" t="n">
        <v>1</v>
      </c>
      <c r="AA1900" s="189" t="s">
        <v>3109</v>
      </c>
    </row>
    <row r="1901" customFormat="false" ht="15" hidden="false" customHeight="false" outlineLevel="0" collapsed="false">
      <c r="A1901" s="0" t="n">
        <v>409</v>
      </c>
      <c r="B1901" s="191" t="n">
        <v>46088.6563229687</v>
      </c>
      <c r="C1901" s="191" t="n">
        <v>46088.6626771354</v>
      </c>
      <c r="D1901" s="189" t="s">
        <v>2506</v>
      </c>
      <c r="E1901" s="189" t="s">
        <v>2507</v>
      </c>
      <c r="F1901" s="189" t="s">
        <v>2507</v>
      </c>
      <c r="G1901" s="189" t="s">
        <v>2508</v>
      </c>
      <c r="H1901" s="191" t="n">
        <v>46077</v>
      </c>
      <c r="I1901" s="189" t="s">
        <v>132</v>
      </c>
      <c r="J1901" s="189" t="s">
        <v>295</v>
      </c>
      <c r="K1901" s="189" t="s">
        <v>364</v>
      </c>
      <c r="L1901" s="189" t="s">
        <v>233</v>
      </c>
      <c r="M1901" s="189" t="s">
        <v>1388</v>
      </c>
      <c r="N1901" s="189" t="s">
        <v>1144</v>
      </c>
      <c r="O1901" s="189" t="s">
        <v>244</v>
      </c>
      <c r="P1901" s="189" t="s">
        <v>390</v>
      </c>
      <c r="Q1901" s="189" t="s">
        <v>145</v>
      </c>
      <c r="R1901" s="189" t="s">
        <v>24</v>
      </c>
      <c r="S1901" s="189" t="s">
        <v>152</v>
      </c>
      <c r="T1901" s="189" t="s">
        <v>121</v>
      </c>
      <c r="U1901" s="189" t="s">
        <v>1605</v>
      </c>
      <c r="V1901" s="189" t="s">
        <v>123</v>
      </c>
      <c r="W1901" s="189" t="s">
        <v>124</v>
      </c>
      <c r="X1901" s="189" t="s">
        <v>260</v>
      </c>
      <c r="Y1901" s="189" t="s">
        <v>3066</v>
      </c>
      <c r="Z1901" s="0" t="n">
        <v>1</v>
      </c>
      <c r="AA1901" s="189" t="s">
        <v>3111</v>
      </c>
    </row>
    <row r="1902" customFormat="false" ht="15" hidden="false" customHeight="false" outlineLevel="0" collapsed="false">
      <c r="A1902" s="0" t="n">
        <v>409</v>
      </c>
      <c r="B1902" s="191" t="n">
        <v>46088.6563229687</v>
      </c>
      <c r="C1902" s="191" t="n">
        <v>46088.6626771354</v>
      </c>
      <c r="D1902" s="189" t="s">
        <v>2506</v>
      </c>
      <c r="E1902" s="189" t="s">
        <v>2507</v>
      </c>
      <c r="F1902" s="189" t="s">
        <v>2507</v>
      </c>
      <c r="G1902" s="189" t="s">
        <v>2508</v>
      </c>
      <c r="H1902" s="191" t="n">
        <v>46077</v>
      </c>
      <c r="I1902" s="189" t="s">
        <v>132</v>
      </c>
      <c r="J1902" s="189" t="s">
        <v>295</v>
      </c>
      <c r="K1902" s="189" t="s">
        <v>364</v>
      </c>
      <c r="L1902" s="189" t="s">
        <v>233</v>
      </c>
      <c r="M1902" s="189" t="s">
        <v>1388</v>
      </c>
      <c r="N1902" s="189" t="s">
        <v>1144</v>
      </c>
      <c r="O1902" s="189" t="s">
        <v>244</v>
      </c>
      <c r="P1902" s="189" t="s">
        <v>390</v>
      </c>
      <c r="Q1902" s="189" t="s">
        <v>145</v>
      </c>
      <c r="R1902" s="189" t="s">
        <v>24</v>
      </c>
      <c r="S1902" s="189" t="s">
        <v>152</v>
      </c>
      <c r="T1902" s="189" t="s">
        <v>121</v>
      </c>
      <c r="U1902" s="189" t="s">
        <v>1605</v>
      </c>
      <c r="V1902" s="189" t="s">
        <v>123</v>
      </c>
      <c r="W1902" s="189" t="s">
        <v>124</v>
      </c>
      <c r="X1902" s="189" t="s">
        <v>260</v>
      </c>
      <c r="Y1902" s="189" t="s">
        <v>3066</v>
      </c>
      <c r="Z1902" s="0" t="n">
        <v>2</v>
      </c>
      <c r="AA1902" s="189" t="s">
        <v>122</v>
      </c>
    </row>
    <row r="1903" customFormat="false" ht="15" hidden="false" customHeight="false" outlineLevel="0" collapsed="false">
      <c r="A1903" s="0" t="n">
        <v>409</v>
      </c>
      <c r="B1903" s="191" t="n">
        <v>46088.6563229687</v>
      </c>
      <c r="C1903" s="191" t="n">
        <v>46088.6626771354</v>
      </c>
      <c r="D1903" s="189" t="s">
        <v>2506</v>
      </c>
      <c r="E1903" s="189" t="s">
        <v>2507</v>
      </c>
      <c r="F1903" s="189" t="s">
        <v>2507</v>
      </c>
      <c r="G1903" s="189" t="s">
        <v>2508</v>
      </c>
      <c r="H1903" s="191" t="n">
        <v>46077</v>
      </c>
      <c r="I1903" s="189" t="s">
        <v>132</v>
      </c>
      <c r="J1903" s="189" t="s">
        <v>295</v>
      </c>
      <c r="K1903" s="189" t="s">
        <v>364</v>
      </c>
      <c r="L1903" s="189" t="s">
        <v>233</v>
      </c>
      <c r="M1903" s="189" t="s">
        <v>1388</v>
      </c>
      <c r="N1903" s="189" t="s">
        <v>1144</v>
      </c>
      <c r="O1903" s="189" t="s">
        <v>244</v>
      </c>
      <c r="P1903" s="189" t="s">
        <v>390</v>
      </c>
      <c r="Q1903" s="189" t="s">
        <v>145</v>
      </c>
      <c r="R1903" s="189" t="s">
        <v>24</v>
      </c>
      <c r="S1903" s="189" t="s">
        <v>152</v>
      </c>
      <c r="T1903" s="189" t="s">
        <v>121</v>
      </c>
      <c r="U1903" s="189" t="s">
        <v>1605</v>
      </c>
      <c r="V1903" s="189" t="s">
        <v>123</v>
      </c>
      <c r="W1903" s="189" t="s">
        <v>124</v>
      </c>
      <c r="X1903" s="189" t="s">
        <v>260</v>
      </c>
      <c r="Y1903" s="189" t="s">
        <v>3069</v>
      </c>
      <c r="Z1903" s="0" t="n">
        <v>1</v>
      </c>
      <c r="AA1903" s="189" t="s">
        <v>3112</v>
      </c>
    </row>
    <row r="1904" customFormat="false" ht="15" hidden="false" customHeight="false" outlineLevel="0" collapsed="false">
      <c r="A1904" s="0" t="n">
        <v>409</v>
      </c>
      <c r="B1904" s="191" t="n">
        <v>46088.6563229687</v>
      </c>
      <c r="C1904" s="191" t="n">
        <v>46088.6626771354</v>
      </c>
      <c r="D1904" s="189" t="s">
        <v>2506</v>
      </c>
      <c r="E1904" s="189" t="s">
        <v>2507</v>
      </c>
      <c r="F1904" s="189" t="s">
        <v>2507</v>
      </c>
      <c r="G1904" s="189" t="s">
        <v>2508</v>
      </c>
      <c r="H1904" s="191" t="n">
        <v>46077</v>
      </c>
      <c r="I1904" s="189" t="s">
        <v>132</v>
      </c>
      <c r="J1904" s="189" t="s">
        <v>295</v>
      </c>
      <c r="K1904" s="189" t="s">
        <v>364</v>
      </c>
      <c r="L1904" s="189" t="s">
        <v>233</v>
      </c>
      <c r="M1904" s="189" t="s">
        <v>1388</v>
      </c>
      <c r="N1904" s="189" t="s">
        <v>1144</v>
      </c>
      <c r="O1904" s="189" t="s">
        <v>244</v>
      </c>
      <c r="P1904" s="189" t="s">
        <v>390</v>
      </c>
      <c r="Q1904" s="189" t="s">
        <v>145</v>
      </c>
      <c r="R1904" s="189" t="s">
        <v>24</v>
      </c>
      <c r="S1904" s="189" t="s">
        <v>152</v>
      </c>
      <c r="T1904" s="189" t="s">
        <v>121</v>
      </c>
      <c r="U1904" s="189" t="s">
        <v>1605</v>
      </c>
      <c r="V1904" s="189" t="s">
        <v>123</v>
      </c>
      <c r="W1904" s="189" t="s">
        <v>124</v>
      </c>
      <c r="X1904" s="189" t="s">
        <v>260</v>
      </c>
      <c r="Y1904" s="189" t="s">
        <v>3069</v>
      </c>
      <c r="Z1904" s="0" t="n">
        <v>2</v>
      </c>
      <c r="AA1904" s="189" t="s">
        <v>606</v>
      </c>
    </row>
    <row r="1905" customFormat="false" ht="15" hidden="false" customHeight="false" outlineLevel="0" collapsed="false">
      <c r="A1905" s="0" t="n">
        <v>410</v>
      </c>
      <c r="B1905" s="191" t="n">
        <v>46135.2627524442</v>
      </c>
      <c r="C1905" s="191" t="n">
        <v>46135.2769191109</v>
      </c>
      <c r="D1905" s="189" t="s">
        <v>2512</v>
      </c>
      <c r="E1905" s="189" t="s">
        <v>2513</v>
      </c>
      <c r="F1905" s="189" t="s">
        <v>2513</v>
      </c>
      <c r="G1905" s="189" t="s">
        <v>2514</v>
      </c>
      <c r="H1905" s="191" t="n">
        <v>46119</v>
      </c>
      <c r="I1905" s="189" t="s">
        <v>336</v>
      </c>
      <c r="J1905" s="189" t="s">
        <v>108</v>
      </c>
      <c r="K1905" s="189" t="s">
        <v>143</v>
      </c>
      <c r="L1905" s="189" t="s">
        <v>110</v>
      </c>
      <c r="M1905" s="189" t="s">
        <v>160</v>
      </c>
      <c r="N1905" s="189" t="s">
        <v>1160</v>
      </c>
      <c r="O1905" s="189" t="s">
        <v>107</v>
      </c>
      <c r="P1905" s="189" t="s">
        <v>111</v>
      </c>
      <c r="Q1905" s="189" t="s">
        <v>112</v>
      </c>
      <c r="R1905" s="189" t="s">
        <v>24</v>
      </c>
      <c r="S1905" s="189" t="s">
        <v>152</v>
      </c>
      <c r="T1905" s="189" t="s">
        <v>180</v>
      </c>
      <c r="U1905" s="189" t="s">
        <v>2515</v>
      </c>
      <c r="V1905" s="189" t="s">
        <v>192</v>
      </c>
      <c r="W1905" s="189" t="s">
        <v>168</v>
      </c>
      <c r="X1905" s="189" t="s">
        <v>19</v>
      </c>
      <c r="Y1905" s="189" t="s">
        <v>3172</v>
      </c>
      <c r="Z1905" s="0" t="n">
        <v>1</v>
      </c>
      <c r="AA1905" s="189" t="s">
        <v>880</v>
      </c>
    </row>
    <row r="1906" customFormat="false" ht="15" hidden="false" customHeight="false" outlineLevel="0" collapsed="false">
      <c r="A1906" s="0" t="n">
        <v>412</v>
      </c>
      <c r="B1906" s="191" t="n">
        <v>46061.0440866691</v>
      </c>
      <c r="C1906" s="191" t="n">
        <v>46061.0577209284</v>
      </c>
      <c r="D1906" s="189" t="s">
        <v>2519</v>
      </c>
      <c r="E1906" s="189" t="s">
        <v>2520</v>
      </c>
      <c r="F1906" s="189" t="s">
        <v>2520</v>
      </c>
      <c r="G1906" s="189" t="s">
        <v>2521</v>
      </c>
      <c r="H1906" s="191" t="n">
        <v>46053</v>
      </c>
      <c r="I1906" s="189" t="s">
        <v>113</v>
      </c>
      <c r="J1906" s="189" t="s">
        <v>108</v>
      </c>
      <c r="K1906" s="189" t="s">
        <v>364</v>
      </c>
      <c r="L1906" s="189" t="s">
        <v>197</v>
      </c>
      <c r="M1906" s="189" t="s">
        <v>447</v>
      </c>
      <c r="N1906" s="189" t="s">
        <v>1573</v>
      </c>
      <c r="O1906" s="189" t="s">
        <v>278</v>
      </c>
      <c r="P1906" s="189" t="s">
        <v>111</v>
      </c>
      <c r="Q1906" s="189" t="s">
        <v>145</v>
      </c>
      <c r="R1906" s="189" t="s">
        <v>25</v>
      </c>
      <c r="S1906" s="189" t="s">
        <v>152</v>
      </c>
      <c r="T1906" s="189" t="s">
        <v>121</v>
      </c>
      <c r="U1906" s="189" t="s">
        <v>122</v>
      </c>
      <c r="V1906" s="189" t="s">
        <v>167</v>
      </c>
      <c r="W1906" s="189" t="s">
        <v>124</v>
      </c>
      <c r="X1906" s="189" t="s">
        <v>327</v>
      </c>
      <c r="Y1906" s="189" t="s">
        <v>3064</v>
      </c>
      <c r="Z1906" s="0" t="n">
        <v>1</v>
      </c>
      <c r="AA1906" s="189" t="s">
        <v>3081</v>
      </c>
    </row>
    <row r="1907" customFormat="false" ht="15" hidden="false" customHeight="false" outlineLevel="0" collapsed="false">
      <c r="A1907" s="0" t="n">
        <v>412</v>
      </c>
      <c r="B1907" s="191" t="n">
        <v>46061.0440866691</v>
      </c>
      <c r="C1907" s="191" t="n">
        <v>46061.0577209284</v>
      </c>
      <c r="D1907" s="189" t="s">
        <v>2519</v>
      </c>
      <c r="E1907" s="189" t="s">
        <v>2520</v>
      </c>
      <c r="F1907" s="189" t="s">
        <v>2520</v>
      </c>
      <c r="G1907" s="189" t="s">
        <v>2521</v>
      </c>
      <c r="H1907" s="191" t="n">
        <v>46053</v>
      </c>
      <c r="I1907" s="189" t="s">
        <v>113</v>
      </c>
      <c r="J1907" s="189" t="s">
        <v>108</v>
      </c>
      <c r="K1907" s="189" t="s">
        <v>364</v>
      </c>
      <c r="L1907" s="189" t="s">
        <v>197</v>
      </c>
      <c r="M1907" s="189" t="s">
        <v>447</v>
      </c>
      <c r="N1907" s="189" t="s">
        <v>1573</v>
      </c>
      <c r="O1907" s="189" t="s">
        <v>278</v>
      </c>
      <c r="P1907" s="189" t="s">
        <v>111</v>
      </c>
      <c r="Q1907" s="189" t="s">
        <v>145</v>
      </c>
      <c r="R1907" s="189" t="s">
        <v>25</v>
      </c>
      <c r="S1907" s="189" t="s">
        <v>152</v>
      </c>
      <c r="T1907" s="189" t="s">
        <v>121</v>
      </c>
      <c r="U1907" s="189" t="s">
        <v>122</v>
      </c>
      <c r="V1907" s="189" t="s">
        <v>167</v>
      </c>
      <c r="W1907" s="189" t="s">
        <v>124</v>
      </c>
      <c r="X1907" s="189" t="s">
        <v>327</v>
      </c>
      <c r="Y1907" s="189" t="s">
        <v>3066</v>
      </c>
      <c r="Z1907" s="0" t="n">
        <v>1</v>
      </c>
      <c r="AA1907" s="189" t="s">
        <v>3067</v>
      </c>
    </row>
    <row r="1908" customFormat="false" ht="15" hidden="false" customHeight="false" outlineLevel="0" collapsed="false">
      <c r="A1908" s="0" t="n">
        <v>412</v>
      </c>
      <c r="B1908" s="191" t="n">
        <v>46061.0440866691</v>
      </c>
      <c r="C1908" s="191" t="n">
        <v>46061.0577209284</v>
      </c>
      <c r="D1908" s="189" t="s">
        <v>2519</v>
      </c>
      <c r="E1908" s="189" t="s">
        <v>2520</v>
      </c>
      <c r="F1908" s="189" t="s">
        <v>2520</v>
      </c>
      <c r="G1908" s="189" t="s">
        <v>2521</v>
      </c>
      <c r="H1908" s="191" t="n">
        <v>46053</v>
      </c>
      <c r="I1908" s="189" t="s">
        <v>113</v>
      </c>
      <c r="J1908" s="189" t="s">
        <v>108</v>
      </c>
      <c r="K1908" s="189" t="s">
        <v>364</v>
      </c>
      <c r="L1908" s="189" t="s">
        <v>197</v>
      </c>
      <c r="M1908" s="189" t="s">
        <v>447</v>
      </c>
      <c r="N1908" s="189" t="s">
        <v>1573</v>
      </c>
      <c r="O1908" s="189" t="s">
        <v>278</v>
      </c>
      <c r="P1908" s="189" t="s">
        <v>111</v>
      </c>
      <c r="Q1908" s="189" t="s">
        <v>145</v>
      </c>
      <c r="R1908" s="189" t="s">
        <v>25</v>
      </c>
      <c r="S1908" s="189" t="s">
        <v>152</v>
      </c>
      <c r="T1908" s="189" t="s">
        <v>121</v>
      </c>
      <c r="U1908" s="189" t="s">
        <v>122</v>
      </c>
      <c r="V1908" s="189" t="s">
        <v>167</v>
      </c>
      <c r="W1908" s="189" t="s">
        <v>124</v>
      </c>
      <c r="X1908" s="189" t="s">
        <v>327</v>
      </c>
      <c r="Y1908" s="189" t="s">
        <v>3069</v>
      </c>
      <c r="Z1908" s="0" t="n">
        <v>1</v>
      </c>
      <c r="AA1908" s="189" t="s">
        <v>3108</v>
      </c>
    </row>
    <row r="1909" customFormat="false" ht="15" hidden="false" customHeight="false" outlineLevel="0" collapsed="false">
      <c r="A1909" s="0" t="n">
        <v>412</v>
      </c>
      <c r="B1909" s="191" t="n">
        <v>46061.0440866691</v>
      </c>
      <c r="C1909" s="191" t="n">
        <v>46061.0577209284</v>
      </c>
      <c r="D1909" s="189" t="s">
        <v>2519</v>
      </c>
      <c r="E1909" s="189" t="s">
        <v>2520</v>
      </c>
      <c r="F1909" s="189" t="s">
        <v>2520</v>
      </c>
      <c r="G1909" s="189" t="s">
        <v>2521</v>
      </c>
      <c r="H1909" s="191" t="n">
        <v>46053</v>
      </c>
      <c r="I1909" s="189" t="s">
        <v>113</v>
      </c>
      <c r="J1909" s="189" t="s">
        <v>108</v>
      </c>
      <c r="K1909" s="189" t="s">
        <v>364</v>
      </c>
      <c r="L1909" s="189" t="s">
        <v>197</v>
      </c>
      <c r="M1909" s="189" t="s">
        <v>447</v>
      </c>
      <c r="N1909" s="189" t="s">
        <v>1573</v>
      </c>
      <c r="O1909" s="189" t="s">
        <v>278</v>
      </c>
      <c r="P1909" s="189" t="s">
        <v>111</v>
      </c>
      <c r="Q1909" s="189" t="s">
        <v>145</v>
      </c>
      <c r="R1909" s="189" t="s">
        <v>25</v>
      </c>
      <c r="S1909" s="189" t="s">
        <v>152</v>
      </c>
      <c r="T1909" s="189" t="s">
        <v>121</v>
      </c>
      <c r="U1909" s="189" t="s">
        <v>122</v>
      </c>
      <c r="V1909" s="189" t="s">
        <v>167</v>
      </c>
      <c r="W1909" s="189" t="s">
        <v>124</v>
      </c>
      <c r="X1909" s="189" t="s">
        <v>327</v>
      </c>
      <c r="Y1909" s="189" t="s">
        <v>3069</v>
      </c>
      <c r="Z1909" s="0" t="n">
        <v>2</v>
      </c>
      <c r="AA1909" s="189" t="s">
        <v>122</v>
      </c>
    </row>
    <row r="1910" customFormat="false" ht="15" hidden="false" customHeight="false" outlineLevel="0" collapsed="false">
      <c r="A1910" s="0" t="n">
        <v>413</v>
      </c>
      <c r="B1910" s="191" t="n">
        <v>46120.2355439905</v>
      </c>
      <c r="C1910" s="191" t="n">
        <v>46120.2498611202</v>
      </c>
      <c r="D1910" s="189" t="s">
        <v>2522</v>
      </c>
      <c r="E1910" s="189" t="s">
        <v>2523</v>
      </c>
      <c r="F1910" s="189" t="s">
        <v>2524</v>
      </c>
      <c r="G1910" s="189" t="s">
        <v>2525</v>
      </c>
      <c r="H1910" s="191" t="n">
        <v>46112</v>
      </c>
      <c r="I1910" s="189" t="s">
        <v>325</v>
      </c>
      <c r="J1910" s="189" t="s">
        <v>108</v>
      </c>
      <c r="K1910" s="189" t="s">
        <v>364</v>
      </c>
      <c r="L1910" s="189" t="s">
        <v>346</v>
      </c>
      <c r="M1910" s="189" t="s">
        <v>160</v>
      </c>
      <c r="N1910" s="189" t="s">
        <v>775</v>
      </c>
      <c r="O1910" s="189" t="s">
        <v>244</v>
      </c>
      <c r="P1910" s="189" t="s">
        <v>111</v>
      </c>
      <c r="Q1910" s="189" t="s">
        <v>145</v>
      </c>
      <c r="R1910" s="189" t="s">
        <v>21</v>
      </c>
      <c r="S1910" s="189" t="s">
        <v>152</v>
      </c>
      <c r="T1910" s="189" t="s">
        <v>590</v>
      </c>
      <c r="U1910" s="189" t="s">
        <v>1557</v>
      </c>
      <c r="V1910" s="189" t="s">
        <v>192</v>
      </c>
      <c r="W1910" s="189" t="s">
        <v>124</v>
      </c>
      <c r="X1910" s="189" t="s">
        <v>307</v>
      </c>
      <c r="Y1910" s="189" t="s">
        <v>3064</v>
      </c>
      <c r="Z1910" s="0" t="n">
        <v>1</v>
      </c>
      <c r="AA1910" s="189" t="s">
        <v>3130</v>
      </c>
    </row>
    <row r="1911" customFormat="false" ht="15" hidden="false" customHeight="false" outlineLevel="0" collapsed="false">
      <c r="A1911" s="0" t="n">
        <v>413</v>
      </c>
      <c r="B1911" s="191" t="n">
        <v>46120.2355439905</v>
      </c>
      <c r="C1911" s="191" t="n">
        <v>46120.2498611202</v>
      </c>
      <c r="D1911" s="189" t="s">
        <v>2522</v>
      </c>
      <c r="E1911" s="189" t="s">
        <v>2523</v>
      </c>
      <c r="F1911" s="189" t="s">
        <v>2524</v>
      </c>
      <c r="G1911" s="189" t="s">
        <v>2525</v>
      </c>
      <c r="H1911" s="191" t="n">
        <v>46112</v>
      </c>
      <c r="I1911" s="189" t="s">
        <v>325</v>
      </c>
      <c r="J1911" s="189" t="s">
        <v>108</v>
      </c>
      <c r="K1911" s="189" t="s">
        <v>364</v>
      </c>
      <c r="L1911" s="189" t="s">
        <v>346</v>
      </c>
      <c r="M1911" s="189" t="s">
        <v>160</v>
      </c>
      <c r="N1911" s="189" t="s">
        <v>775</v>
      </c>
      <c r="O1911" s="189" t="s">
        <v>244</v>
      </c>
      <c r="P1911" s="189" t="s">
        <v>111</v>
      </c>
      <c r="Q1911" s="189" t="s">
        <v>145</v>
      </c>
      <c r="R1911" s="189" t="s">
        <v>21</v>
      </c>
      <c r="S1911" s="189" t="s">
        <v>152</v>
      </c>
      <c r="T1911" s="189" t="s">
        <v>590</v>
      </c>
      <c r="U1911" s="189" t="s">
        <v>1557</v>
      </c>
      <c r="V1911" s="189" t="s">
        <v>192</v>
      </c>
      <c r="W1911" s="189" t="s">
        <v>124</v>
      </c>
      <c r="X1911" s="189" t="s">
        <v>307</v>
      </c>
      <c r="Y1911" s="189" t="s">
        <v>3064</v>
      </c>
      <c r="Z1911" s="0" t="n">
        <v>2</v>
      </c>
      <c r="AA1911" s="189" t="s">
        <v>3129</v>
      </c>
    </row>
    <row r="1912" customFormat="false" ht="15" hidden="false" customHeight="false" outlineLevel="0" collapsed="false">
      <c r="A1912" s="0" t="n">
        <v>413</v>
      </c>
      <c r="B1912" s="191" t="n">
        <v>46120.2355439905</v>
      </c>
      <c r="C1912" s="191" t="n">
        <v>46120.2498611202</v>
      </c>
      <c r="D1912" s="189" t="s">
        <v>2522</v>
      </c>
      <c r="E1912" s="189" t="s">
        <v>2523</v>
      </c>
      <c r="F1912" s="189" t="s">
        <v>2524</v>
      </c>
      <c r="G1912" s="189" t="s">
        <v>2525</v>
      </c>
      <c r="H1912" s="191" t="n">
        <v>46112</v>
      </c>
      <c r="I1912" s="189" t="s">
        <v>325</v>
      </c>
      <c r="J1912" s="189" t="s">
        <v>108</v>
      </c>
      <c r="K1912" s="189" t="s">
        <v>364</v>
      </c>
      <c r="L1912" s="189" t="s">
        <v>346</v>
      </c>
      <c r="M1912" s="189" t="s">
        <v>160</v>
      </c>
      <c r="N1912" s="189" t="s">
        <v>775</v>
      </c>
      <c r="O1912" s="189" t="s">
        <v>244</v>
      </c>
      <c r="P1912" s="189" t="s">
        <v>111</v>
      </c>
      <c r="Q1912" s="189" t="s">
        <v>145</v>
      </c>
      <c r="R1912" s="189" t="s">
        <v>21</v>
      </c>
      <c r="S1912" s="189" t="s">
        <v>152</v>
      </c>
      <c r="T1912" s="189" t="s">
        <v>590</v>
      </c>
      <c r="U1912" s="189" t="s">
        <v>1557</v>
      </c>
      <c r="V1912" s="189" t="s">
        <v>192</v>
      </c>
      <c r="W1912" s="189" t="s">
        <v>124</v>
      </c>
      <c r="X1912" s="189" t="s">
        <v>307</v>
      </c>
      <c r="Y1912" s="189" t="s">
        <v>3066</v>
      </c>
      <c r="Z1912" s="0" t="n">
        <v>1</v>
      </c>
      <c r="AA1912" s="189" t="s">
        <v>3132</v>
      </c>
    </row>
    <row r="1913" customFormat="false" ht="15" hidden="false" customHeight="false" outlineLevel="0" collapsed="false">
      <c r="A1913" s="0" t="n">
        <v>413</v>
      </c>
      <c r="B1913" s="191" t="n">
        <v>46120.2355439905</v>
      </c>
      <c r="C1913" s="191" t="n">
        <v>46120.2498611202</v>
      </c>
      <c r="D1913" s="189" t="s">
        <v>2522</v>
      </c>
      <c r="E1913" s="189" t="s">
        <v>2523</v>
      </c>
      <c r="F1913" s="189" t="s">
        <v>2524</v>
      </c>
      <c r="G1913" s="189" t="s">
        <v>2525</v>
      </c>
      <c r="H1913" s="191" t="n">
        <v>46112</v>
      </c>
      <c r="I1913" s="189" t="s">
        <v>325</v>
      </c>
      <c r="J1913" s="189" t="s">
        <v>108</v>
      </c>
      <c r="K1913" s="189" t="s">
        <v>364</v>
      </c>
      <c r="L1913" s="189" t="s">
        <v>346</v>
      </c>
      <c r="M1913" s="189" t="s">
        <v>160</v>
      </c>
      <c r="N1913" s="189" t="s">
        <v>775</v>
      </c>
      <c r="O1913" s="189" t="s">
        <v>244</v>
      </c>
      <c r="P1913" s="189" t="s">
        <v>111</v>
      </c>
      <c r="Q1913" s="189" t="s">
        <v>145</v>
      </c>
      <c r="R1913" s="189" t="s">
        <v>21</v>
      </c>
      <c r="S1913" s="189" t="s">
        <v>152</v>
      </c>
      <c r="T1913" s="189" t="s">
        <v>590</v>
      </c>
      <c r="U1913" s="189" t="s">
        <v>1557</v>
      </c>
      <c r="V1913" s="189" t="s">
        <v>192</v>
      </c>
      <c r="W1913" s="189" t="s">
        <v>124</v>
      </c>
      <c r="X1913" s="189" t="s">
        <v>307</v>
      </c>
      <c r="Y1913" s="189" t="s">
        <v>3069</v>
      </c>
      <c r="Z1913" s="0" t="n">
        <v>1</v>
      </c>
      <c r="AA1913" s="189" t="s">
        <v>3133</v>
      </c>
    </row>
    <row r="1914" customFormat="false" ht="15" hidden="false" customHeight="false" outlineLevel="0" collapsed="false">
      <c r="A1914" s="0" t="n">
        <v>413</v>
      </c>
      <c r="B1914" s="191" t="n">
        <v>46120.2355439905</v>
      </c>
      <c r="C1914" s="191" t="n">
        <v>46120.2498611202</v>
      </c>
      <c r="D1914" s="189" t="s">
        <v>2522</v>
      </c>
      <c r="E1914" s="189" t="s">
        <v>2523</v>
      </c>
      <c r="F1914" s="189" t="s">
        <v>2524</v>
      </c>
      <c r="G1914" s="189" t="s">
        <v>2525</v>
      </c>
      <c r="H1914" s="191" t="n">
        <v>46112</v>
      </c>
      <c r="I1914" s="189" t="s">
        <v>325</v>
      </c>
      <c r="J1914" s="189" t="s">
        <v>108</v>
      </c>
      <c r="K1914" s="189" t="s">
        <v>364</v>
      </c>
      <c r="L1914" s="189" t="s">
        <v>346</v>
      </c>
      <c r="M1914" s="189" t="s">
        <v>160</v>
      </c>
      <c r="N1914" s="189" t="s">
        <v>775</v>
      </c>
      <c r="O1914" s="189" t="s">
        <v>244</v>
      </c>
      <c r="P1914" s="189" t="s">
        <v>111</v>
      </c>
      <c r="Q1914" s="189" t="s">
        <v>145</v>
      </c>
      <c r="R1914" s="189" t="s">
        <v>21</v>
      </c>
      <c r="S1914" s="189" t="s">
        <v>152</v>
      </c>
      <c r="T1914" s="189" t="s">
        <v>590</v>
      </c>
      <c r="U1914" s="189" t="s">
        <v>1557</v>
      </c>
      <c r="V1914" s="189" t="s">
        <v>192</v>
      </c>
      <c r="W1914" s="189" t="s">
        <v>124</v>
      </c>
      <c r="X1914" s="189" t="s">
        <v>307</v>
      </c>
      <c r="Y1914" s="189" t="s">
        <v>3069</v>
      </c>
      <c r="Z1914" s="0" t="n">
        <v>2</v>
      </c>
      <c r="AA1914" s="189" t="s">
        <v>3134</v>
      </c>
    </row>
    <row r="1915" customFormat="false" ht="15" hidden="false" customHeight="false" outlineLevel="0" collapsed="false">
      <c r="A1915" s="0" t="n">
        <v>414</v>
      </c>
      <c r="B1915" s="191" t="n">
        <v>46210.4492240224</v>
      </c>
      <c r="C1915" s="191" t="n">
        <v>46210.4525689298</v>
      </c>
      <c r="D1915" s="189" t="s">
        <v>2527</v>
      </c>
      <c r="E1915" s="189" t="s">
        <v>2528</v>
      </c>
      <c r="F1915" s="189" t="s">
        <v>2528</v>
      </c>
      <c r="G1915" s="189" t="s">
        <v>2529</v>
      </c>
      <c r="H1915" s="191" t="n">
        <v>46194</v>
      </c>
      <c r="I1915" s="189" t="s">
        <v>113</v>
      </c>
      <c r="J1915" s="189" t="s">
        <v>295</v>
      </c>
      <c r="K1915" s="189" t="s">
        <v>2530</v>
      </c>
      <c r="L1915" s="189" t="s">
        <v>246</v>
      </c>
      <c r="M1915" s="189" t="s">
        <v>326</v>
      </c>
      <c r="N1915" s="189" t="s">
        <v>234</v>
      </c>
      <c r="O1915" s="189" t="s">
        <v>107</v>
      </c>
      <c r="P1915" s="189" t="s">
        <v>111</v>
      </c>
      <c r="Q1915" s="189" t="s">
        <v>145</v>
      </c>
      <c r="R1915" s="189" t="s">
        <v>22</v>
      </c>
      <c r="S1915" s="189" t="s">
        <v>152</v>
      </c>
      <c r="T1915" s="189" t="s">
        <v>180</v>
      </c>
      <c r="U1915" s="189" t="s">
        <v>2531</v>
      </c>
      <c r="V1915" s="189" t="s">
        <v>123</v>
      </c>
      <c r="W1915" s="189" t="s">
        <v>139</v>
      </c>
      <c r="X1915" s="189" t="s">
        <v>116</v>
      </c>
      <c r="Y1915" s="189" t="s">
        <v>3064</v>
      </c>
      <c r="Z1915" s="0" t="n">
        <v>1</v>
      </c>
      <c r="AA1915" s="189" t="s">
        <v>3081</v>
      </c>
    </row>
    <row r="1916" customFormat="false" ht="15" hidden="false" customHeight="false" outlineLevel="0" collapsed="false">
      <c r="A1916" s="0" t="n">
        <v>414</v>
      </c>
      <c r="B1916" s="191" t="n">
        <v>46210.4492240224</v>
      </c>
      <c r="C1916" s="191" t="n">
        <v>46210.4525689298</v>
      </c>
      <c r="D1916" s="189" t="s">
        <v>2527</v>
      </c>
      <c r="E1916" s="189" t="s">
        <v>2528</v>
      </c>
      <c r="F1916" s="189" t="s">
        <v>2528</v>
      </c>
      <c r="G1916" s="189" t="s">
        <v>2529</v>
      </c>
      <c r="H1916" s="191" t="n">
        <v>46194</v>
      </c>
      <c r="I1916" s="189" t="s">
        <v>113</v>
      </c>
      <c r="J1916" s="189" t="s">
        <v>295</v>
      </c>
      <c r="K1916" s="189" t="s">
        <v>2530</v>
      </c>
      <c r="L1916" s="189" t="s">
        <v>246</v>
      </c>
      <c r="M1916" s="189" t="s">
        <v>326</v>
      </c>
      <c r="N1916" s="189" t="s">
        <v>234</v>
      </c>
      <c r="O1916" s="189" t="s">
        <v>107</v>
      </c>
      <c r="P1916" s="189" t="s">
        <v>111</v>
      </c>
      <c r="Q1916" s="189" t="s">
        <v>145</v>
      </c>
      <c r="R1916" s="189" t="s">
        <v>22</v>
      </c>
      <c r="S1916" s="189" t="s">
        <v>152</v>
      </c>
      <c r="T1916" s="189" t="s">
        <v>180</v>
      </c>
      <c r="U1916" s="189" t="s">
        <v>2531</v>
      </c>
      <c r="V1916" s="189" t="s">
        <v>123</v>
      </c>
      <c r="W1916" s="189" t="s">
        <v>139</v>
      </c>
      <c r="X1916" s="189" t="s">
        <v>116</v>
      </c>
      <c r="Y1916" s="189" t="s">
        <v>3064</v>
      </c>
      <c r="Z1916" s="0" t="n">
        <v>2</v>
      </c>
      <c r="AA1916" s="189" t="s">
        <v>3139</v>
      </c>
    </row>
    <row r="1917" customFormat="false" ht="15" hidden="false" customHeight="false" outlineLevel="0" collapsed="false">
      <c r="A1917" s="0" t="n">
        <v>414</v>
      </c>
      <c r="B1917" s="191" t="n">
        <v>46210.4492240224</v>
      </c>
      <c r="C1917" s="191" t="n">
        <v>46210.4525689298</v>
      </c>
      <c r="D1917" s="189" t="s">
        <v>2527</v>
      </c>
      <c r="E1917" s="189" t="s">
        <v>2528</v>
      </c>
      <c r="F1917" s="189" t="s">
        <v>2528</v>
      </c>
      <c r="G1917" s="189" t="s">
        <v>2529</v>
      </c>
      <c r="H1917" s="191" t="n">
        <v>46194</v>
      </c>
      <c r="I1917" s="189" t="s">
        <v>113</v>
      </c>
      <c r="J1917" s="189" t="s">
        <v>295</v>
      </c>
      <c r="K1917" s="189" t="s">
        <v>2530</v>
      </c>
      <c r="L1917" s="189" t="s">
        <v>246</v>
      </c>
      <c r="M1917" s="189" t="s">
        <v>326</v>
      </c>
      <c r="N1917" s="189" t="s">
        <v>234</v>
      </c>
      <c r="O1917" s="189" t="s">
        <v>107</v>
      </c>
      <c r="P1917" s="189" t="s">
        <v>111</v>
      </c>
      <c r="Q1917" s="189" t="s">
        <v>145</v>
      </c>
      <c r="R1917" s="189" t="s">
        <v>22</v>
      </c>
      <c r="S1917" s="189" t="s">
        <v>152</v>
      </c>
      <c r="T1917" s="189" t="s">
        <v>180</v>
      </c>
      <c r="U1917" s="189" t="s">
        <v>2531</v>
      </c>
      <c r="V1917" s="189" t="s">
        <v>123</v>
      </c>
      <c r="W1917" s="189" t="s">
        <v>139</v>
      </c>
      <c r="X1917" s="189" t="s">
        <v>116</v>
      </c>
      <c r="Y1917" s="189" t="s">
        <v>3064</v>
      </c>
      <c r="Z1917" s="0" t="n">
        <v>3</v>
      </c>
      <c r="AA1917" s="189" t="s">
        <v>3095</v>
      </c>
    </row>
    <row r="1918" customFormat="false" ht="15" hidden="false" customHeight="false" outlineLevel="0" collapsed="false">
      <c r="A1918" s="0" t="n">
        <v>414</v>
      </c>
      <c r="B1918" s="191" t="n">
        <v>46210.4492240224</v>
      </c>
      <c r="C1918" s="191" t="n">
        <v>46210.4525689298</v>
      </c>
      <c r="D1918" s="189" t="s">
        <v>2527</v>
      </c>
      <c r="E1918" s="189" t="s">
        <v>2528</v>
      </c>
      <c r="F1918" s="189" t="s">
        <v>2528</v>
      </c>
      <c r="G1918" s="189" t="s">
        <v>2529</v>
      </c>
      <c r="H1918" s="191" t="n">
        <v>46194</v>
      </c>
      <c r="I1918" s="189" t="s">
        <v>113</v>
      </c>
      <c r="J1918" s="189" t="s">
        <v>295</v>
      </c>
      <c r="K1918" s="189" t="s">
        <v>2530</v>
      </c>
      <c r="L1918" s="189" t="s">
        <v>246</v>
      </c>
      <c r="M1918" s="189" t="s">
        <v>326</v>
      </c>
      <c r="N1918" s="189" t="s">
        <v>234</v>
      </c>
      <c r="O1918" s="189" t="s">
        <v>107</v>
      </c>
      <c r="P1918" s="189" t="s">
        <v>111</v>
      </c>
      <c r="Q1918" s="189" t="s">
        <v>145</v>
      </c>
      <c r="R1918" s="189" t="s">
        <v>22</v>
      </c>
      <c r="S1918" s="189" t="s">
        <v>152</v>
      </c>
      <c r="T1918" s="189" t="s">
        <v>180</v>
      </c>
      <c r="U1918" s="189" t="s">
        <v>2531</v>
      </c>
      <c r="V1918" s="189" t="s">
        <v>123</v>
      </c>
      <c r="W1918" s="189" t="s">
        <v>139</v>
      </c>
      <c r="X1918" s="189" t="s">
        <v>116</v>
      </c>
      <c r="Y1918" s="189" t="s">
        <v>3066</v>
      </c>
      <c r="Z1918" s="0" t="n">
        <v>1</v>
      </c>
      <c r="AA1918" s="189" t="s">
        <v>3211</v>
      </c>
    </row>
    <row r="1919" customFormat="false" ht="15" hidden="false" customHeight="false" outlineLevel="0" collapsed="false">
      <c r="A1919" s="0" t="n">
        <v>414</v>
      </c>
      <c r="B1919" s="191" t="n">
        <v>46210.4492240224</v>
      </c>
      <c r="C1919" s="191" t="n">
        <v>46210.4525689298</v>
      </c>
      <c r="D1919" s="189" t="s">
        <v>2527</v>
      </c>
      <c r="E1919" s="189" t="s">
        <v>2528</v>
      </c>
      <c r="F1919" s="189" t="s">
        <v>2528</v>
      </c>
      <c r="G1919" s="189" t="s">
        <v>2529</v>
      </c>
      <c r="H1919" s="191" t="n">
        <v>46194</v>
      </c>
      <c r="I1919" s="189" t="s">
        <v>113</v>
      </c>
      <c r="J1919" s="189" t="s">
        <v>295</v>
      </c>
      <c r="K1919" s="189" t="s">
        <v>2530</v>
      </c>
      <c r="L1919" s="189" t="s">
        <v>246</v>
      </c>
      <c r="M1919" s="189" t="s">
        <v>326</v>
      </c>
      <c r="N1919" s="189" t="s">
        <v>234</v>
      </c>
      <c r="O1919" s="189" t="s">
        <v>107</v>
      </c>
      <c r="P1919" s="189" t="s">
        <v>111</v>
      </c>
      <c r="Q1919" s="189" t="s">
        <v>145</v>
      </c>
      <c r="R1919" s="189" t="s">
        <v>22</v>
      </c>
      <c r="S1919" s="189" t="s">
        <v>152</v>
      </c>
      <c r="T1919" s="189" t="s">
        <v>180</v>
      </c>
      <c r="U1919" s="189" t="s">
        <v>2531</v>
      </c>
      <c r="V1919" s="189" t="s">
        <v>123</v>
      </c>
      <c r="W1919" s="189" t="s">
        <v>139</v>
      </c>
      <c r="X1919" s="189" t="s">
        <v>116</v>
      </c>
      <c r="Y1919" s="189" t="s">
        <v>3069</v>
      </c>
      <c r="Z1919" s="0" t="n">
        <v>1</v>
      </c>
      <c r="AA1919" s="189" t="s">
        <v>3108</v>
      </c>
    </row>
    <row r="1920" customFormat="false" ht="15" hidden="false" customHeight="false" outlineLevel="0" collapsed="false">
      <c r="A1920" s="0" t="n">
        <v>415</v>
      </c>
      <c r="B1920" s="191" t="n">
        <v>46094.0884904852</v>
      </c>
      <c r="C1920" s="191" t="n">
        <v>46094.0999256704</v>
      </c>
      <c r="D1920" s="189" t="s">
        <v>2532</v>
      </c>
      <c r="E1920" s="189" t="s">
        <v>2533</v>
      </c>
      <c r="F1920" s="189" t="s">
        <v>2533</v>
      </c>
      <c r="G1920" s="189" t="s">
        <v>2534</v>
      </c>
      <c r="H1920" s="191" t="n">
        <v>46093</v>
      </c>
      <c r="I1920" s="189" t="s">
        <v>113</v>
      </c>
      <c r="J1920" s="189" t="s">
        <v>128</v>
      </c>
      <c r="K1920" s="189" t="s">
        <v>742</v>
      </c>
      <c r="L1920" s="189" t="s">
        <v>233</v>
      </c>
      <c r="M1920" s="189" t="s">
        <v>1313</v>
      </c>
      <c r="N1920" s="189" t="s">
        <v>389</v>
      </c>
      <c r="O1920" s="189" t="s">
        <v>260</v>
      </c>
      <c r="P1920" s="189" t="s">
        <v>390</v>
      </c>
      <c r="Q1920" s="189" t="s">
        <v>145</v>
      </c>
      <c r="R1920" s="189" t="s">
        <v>24</v>
      </c>
      <c r="S1920" s="189" t="s">
        <v>120</v>
      </c>
      <c r="T1920" s="189" t="s">
        <v>121</v>
      </c>
      <c r="V1920" s="189" t="s">
        <v>167</v>
      </c>
      <c r="W1920" s="189" t="s">
        <v>139</v>
      </c>
      <c r="X1920" s="189" t="s">
        <v>260</v>
      </c>
      <c r="Y1920" s="189" t="s">
        <v>3064</v>
      </c>
      <c r="Z1920" s="0" t="n">
        <v>1</v>
      </c>
      <c r="AA1920" s="189" t="s">
        <v>3288</v>
      </c>
    </row>
    <row r="1921" customFormat="false" ht="15" hidden="false" customHeight="false" outlineLevel="0" collapsed="false">
      <c r="A1921" s="0" t="n">
        <v>415</v>
      </c>
      <c r="B1921" s="191" t="n">
        <v>46094.0884904852</v>
      </c>
      <c r="C1921" s="191" t="n">
        <v>46094.0999256704</v>
      </c>
      <c r="D1921" s="189" t="s">
        <v>2532</v>
      </c>
      <c r="E1921" s="189" t="s">
        <v>2533</v>
      </c>
      <c r="F1921" s="189" t="s">
        <v>2533</v>
      </c>
      <c r="G1921" s="189" t="s">
        <v>2534</v>
      </c>
      <c r="H1921" s="191" t="n">
        <v>46093</v>
      </c>
      <c r="I1921" s="189" t="s">
        <v>113</v>
      </c>
      <c r="J1921" s="189" t="s">
        <v>128</v>
      </c>
      <c r="K1921" s="189" t="s">
        <v>742</v>
      </c>
      <c r="L1921" s="189" t="s">
        <v>233</v>
      </c>
      <c r="M1921" s="189" t="s">
        <v>1313</v>
      </c>
      <c r="N1921" s="189" t="s">
        <v>389</v>
      </c>
      <c r="O1921" s="189" t="s">
        <v>260</v>
      </c>
      <c r="P1921" s="189" t="s">
        <v>390</v>
      </c>
      <c r="Q1921" s="189" t="s">
        <v>145</v>
      </c>
      <c r="R1921" s="189" t="s">
        <v>24</v>
      </c>
      <c r="S1921" s="189" t="s">
        <v>120</v>
      </c>
      <c r="T1921" s="189" t="s">
        <v>121</v>
      </c>
      <c r="V1921" s="189" t="s">
        <v>167</v>
      </c>
      <c r="W1921" s="189" t="s">
        <v>139</v>
      </c>
      <c r="X1921" s="189" t="s">
        <v>260</v>
      </c>
      <c r="Y1921" s="189" t="s">
        <v>3066</v>
      </c>
      <c r="Z1921" s="0" t="n">
        <v>1</v>
      </c>
      <c r="AA1921" s="189" t="s">
        <v>3111</v>
      </c>
    </row>
    <row r="1922" customFormat="false" ht="15" hidden="false" customHeight="false" outlineLevel="0" collapsed="false">
      <c r="A1922" s="0" t="n">
        <v>415</v>
      </c>
      <c r="B1922" s="191" t="n">
        <v>46094.0884904852</v>
      </c>
      <c r="C1922" s="191" t="n">
        <v>46094.0999256704</v>
      </c>
      <c r="D1922" s="189" t="s">
        <v>2532</v>
      </c>
      <c r="E1922" s="189" t="s">
        <v>2533</v>
      </c>
      <c r="F1922" s="189" t="s">
        <v>2533</v>
      </c>
      <c r="G1922" s="189" t="s">
        <v>2534</v>
      </c>
      <c r="H1922" s="191" t="n">
        <v>46093</v>
      </c>
      <c r="I1922" s="189" t="s">
        <v>113</v>
      </c>
      <c r="J1922" s="189" t="s">
        <v>128</v>
      </c>
      <c r="K1922" s="189" t="s">
        <v>742</v>
      </c>
      <c r="L1922" s="189" t="s">
        <v>233</v>
      </c>
      <c r="M1922" s="189" t="s">
        <v>1313</v>
      </c>
      <c r="N1922" s="189" t="s">
        <v>389</v>
      </c>
      <c r="O1922" s="189" t="s">
        <v>260</v>
      </c>
      <c r="P1922" s="189" t="s">
        <v>390</v>
      </c>
      <c r="Q1922" s="189" t="s">
        <v>145</v>
      </c>
      <c r="R1922" s="189" t="s">
        <v>24</v>
      </c>
      <c r="S1922" s="189" t="s">
        <v>120</v>
      </c>
      <c r="T1922" s="189" t="s">
        <v>121</v>
      </c>
      <c r="V1922" s="189" t="s">
        <v>167</v>
      </c>
      <c r="W1922" s="189" t="s">
        <v>139</v>
      </c>
      <c r="X1922" s="189" t="s">
        <v>260</v>
      </c>
      <c r="Y1922" s="189" t="s">
        <v>3066</v>
      </c>
      <c r="Z1922" s="0" t="n">
        <v>2</v>
      </c>
      <c r="AA1922" s="189" t="s">
        <v>3334</v>
      </c>
    </row>
    <row r="1923" customFormat="false" ht="15" hidden="false" customHeight="false" outlineLevel="0" collapsed="false">
      <c r="A1923" s="0" t="n">
        <v>415</v>
      </c>
      <c r="B1923" s="191" t="n">
        <v>46094.0884904852</v>
      </c>
      <c r="C1923" s="191" t="n">
        <v>46094.0999256704</v>
      </c>
      <c r="D1923" s="189" t="s">
        <v>2532</v>
      </c>
      <c r="E1923" s="189" t="s">
        <v>2533</v>
      </c>
      <c r="F1923" s="189" t="s">
        <v>2533</v>
      </c>
      <c r="G1923" s="189" t="s">
        <v>2534</v>
      </c>
      <c r="H1923" s="191" t="n">
        <v>46093</v>
      </c>
      <c r="I1923" s="189" t="s">
        <v>113</v>
      </c>
      <c r="J1923" s="189" t="s">
        <v>128</v>
      </c>
      <c r="K1923" s="189" t="s">
        <v>742</v>
      </c>
      <c r="L1923" s="189" t="s">
        <v>233</v>
      </c>
      <c r="M1923" s="189" t="s">
        <v>1313</v>
      </c>
      <c r="N1923" s="189" t="s">
        <v>389</v>
      </c>
      <c r="O1923" s="189" t="s">
        <v>260</v>
      </c>
      <c r="P1923" s="189" t="s">
        <v>390</v>
      </c>
      <c r="Q1923" s="189" t="s">
        <v>145</v>
      </c>
      <c r="R1923" s="189" t="s">
        <v>24</v>
      </c>
      <c r="S1923" s="189" t="s">
        <v>120</v>
      </c>
      <c r="T1923" s="189" t="s">
        <v>121</v>
      </c>
      <c r="V1923" s="189" t="s">
        <v>167</v>
      </c>
      <c r="W1923" s="189" t="s">
        <v>139</v>
      </c>
      <c r="X1923" s="189" t="s">
        <v>260</v>
      </c>
      <c r="Y1923" s="189" t="s">
        <v>3069</v>
      </c>
      <c r="Z1923" s="0" t="n">
        <v>1</v>
      </c>
      <c r="AA1923" s="189" t="s">
        <v>3280</v>
      </c>
    </row>
    <row r="1924" customFormat="false" ht="15" hidden="false" customHeight="false" outlineLevel="0" collapsed="false">
      <c r="A1924" s="0" t="n">
        <v>416</v>
      </c>
      <c r="B1924" s="191" t="n">
        <v>46166.0600905792</v>
      </c>
      <c r="C1924" s="191" t="n">
        <v>46166.0707387274</v>
      </c>
      <c r="D1924" s="189" t="s">
        <v>2537</v>
      </c>
      <c r="E1924" s="189" t="s">
        <v>2538</v>
      </c>
      <c r="F1924" s="189" t="s">
        <v>2538</v>
      </c>
      <c r="G1924" s="189" t="s">
        <v>2539</v>
      </c>
      <c r="H1924" s="191" t="n">
        <v>46155</v>
      </c>
      <c r="I1924" s="189" t="s">
        <v>863</v>
      </c>
      <c r="J1924" s="189" t="s">
        <v>128</v>
      </c>
      <c r="K1924" s="189" t="s">
        <v>2032</v>
      </c>
      <c r="L1924" s="189" t="s">
        <v>210</v>
      </c>
      <c r="M1924" s="189" t="s">
        <v>248</v>
      </c>
      <c r="N1924" s="189" t="s">
        <v>1078</v>
      </c>
      <c r="O1924" s="189" t="s">
        <v>107</v>
      </c>
      <c r="P1924" s="189" t="s">
        <v>111</v>
      </c>
      <c r="Q1924" s="189" t="s">
        <v>145</v>
      </c>
      <c r="R1924" s="189" t="s">
        <v>22</v>
      </c>
      <c r="S1924" s="189" t="s">
        <v>152</v>
      </c>
      <c r="T1924" s="189" t="s">
        <v>121</v>
      </c>
      <c r="U1924" s="189" t="s">
        <v>1063</v>
      </c>
      <c r="V1924" s="189" t="s">
        <v>123</v>
      </c>
      <c r="W1924" s="189" t="s">
        <v>168</v>
      </c>
      <c r="X1924" s="189" t="s">
        <v>715</v>
      </c>
      <c r="Y1924" s="189" t="s">
        <v>3064</v>
      </c>
      <c r="Z1924" s="0" t="n">
        <v>1</v>
      </c>
      <c r="AA1924" s="189" t="s">
        <v>3252</v>
      </c>
    </row>
    <row r="1925" customFormat="false" ht="15" hidden="false" customHeight="false" outlineLevel="0" collapsed="false">
      <c r="A1925" s="0" t="n">
        <v>416</v>
      </c>
      <c r="B1925" s="191" t="n">
        <v>46166.0600905792</v>
      </c>
      <c r="C1925" s="191" t="n">
        <v>46166.0707387274</v>
      </c>
      <c r="D1925" s="189" t="s">
        <v>2537</v>
      </c>
      <c r="E1925" s="189" t="s">
        <v>2538</v>
      </c>
      <c r="F1925" s="189" t="s">
        <v>2538</v>
      </c>
      <c r="G1925" s="189" t="s">
        <v>2539</v>
      </c>
      <c r="H1925" s="191" t="n">
        <v>46155</v>
      </c>
      <c r="I1925" s="189" t="s">
        <v>863</v>
      </c>
      <c r="J1925" s="189" t="s">
        <v>128</v>
      </c>
      <c r="K1925" s="189" t="s">
        <v>2032</v>
      </c>
      <c r="L1925" s="189" t="s">
        <v>210</v>
      </c>
      <c r="M1925" s="189" t="s">
        <v>248</v>
      </c>
      <c r="N1925" s="189" t="s">
        <v>1078</v>
      </c>
      <c r="O1925" s="189" t="s">
        <v>107</v>
      </c>
      <c r="P1925" s="189" t="s">
        <v>111</v>
      </c>
      <c r="Q1925" s="189" t="s">
        <v>145</v>
      </c>
      <c r="R1925" s="189" t="s">
        <v>22</v>
      </c>
      <c r="S1925" s="189" t="s">
        <v>152</v>
      </c>
      <c r="T1925" s="189" t="s">
        <v>121</v>
      </c>
      <c r="U1925" s="189" t="s">
        <v>1063</v>
      </c>
      <c r="V1925" s="189" t="s">
        <v>123</v>
      </c>
      <c r="W1925" s="189" t="s">
        <v>168</v>
      </c>
      <c r="X1925" s="189" t="s">
        <v>715</v>
      </c>
      <c r="Y1925" s="189" t="s">
        <v>3064</v>
      </c>
      <c r="Z1925" s="0" t="n">
        <v>2</v>
      </c>
      <c r="AA1925" s="189" t="s">
        <v>3224</v>
      </c>
    </row>
    <row r="1926" customFormat="false" ht="15" hidden="false" customHeight="false" outlineLevel="0" collapsed="false">
      <c r="A1926" s="0" t="n">
        <v>416</v>
      </c>
      <c r="B1926" s="191" t="n">
        <v>46166.0600905792</v>
      </c>
      <c r="C1926" s="191" t="n">
        <v>46166.0707387274</v>
      </c>
      <c r="D1926" s="189" t="s">
        <v>2537</v>
      </c>
      <c r="E1926" s="189" t="s">
        <v>2538</v>
      </c>
      <c r="F1926" s="189" t="s">
        <v>2538</v>
      </c>
      <c r="G1926" s="189" t="s">
        <v>2539</v>
      </c>
      <c r="H1926" s="191" t="n">
        <v>46155</v>
      </c>
      <c r="I1926" s="189" t="s">
        <v>863</v>
      </c>
      <c r="J1926" s="189" t="s">
        <v>128</v>
      </c>
      <c r="K1926" s="189" t="s">
        <v>2032</v>
      </c>
      <c r="L1926" s="189" t="s">
        <v>210</v>
      </c>
      <c r="M1926" s="189" t="s">
        <v>248</v>
      </c>
      <c r="N1926" s="189" t="s">
        <v>1078</v>
      </c>
      <c r="O1926" s="189" t="s">
        <v>107</v>
      </c>
      <c r="P1926" s="189" t="s">
        <v>111</v>
      </c>
      <c r="Q1926" s="189" t="s">
        <v>145</v>
      </c>
      <c r="R1926" s="189" t="s">
        <v>22</v>
      </c>
      <c r="S1926" s="189" t="s">
        <v>152</v>
      </c>
      <c r="T1926" s="189" t="s">
        <v>121</v>
      </c>
      <c r="U1926" s="189" t="s">
        <v>1063</v>
      </c>
      <c r="V1926" s="189" t="s">
        <v>123</v>
      </c>
      <c r="W1926" s="189" t="s">
        <v>168</v>
      </c>
      <c r="X1926" s="189" t="s">
        <v>715</v>
      </c>
      <c r="Y1926" s="189" t="s">
        <v>3066</v>
      </c>
      <c r="Z1926" s="0" t="n">
        <v>1</v>
      </c>
      <c r="AA1926" s="189" t="s">
        <v>2531</v>
      </c>
    </row>
    <row r="1927" customFormat="false" ht="15" hidden="false" customHeight="false" outlineLevel="0" collapsed="false">
      <c r="A1927" s="0" t="n">
        <v>416</v>
      </c>
      <c r="B1927" s="191" t="n">
        <v>46166.0600905792</v>
      </c>
      <c r="C1927" s="191" t="n">
        <v>46166.0707387274</v>
      </c>
      <c r="D1927" s="189" t="s">
        <v>2537</v>
      </c>
      <c r="E1927" s="189" t="s">
        <v>2538</v>
      </c>
      <c r="F1927" s="189" t="s">
        <v>2538</v>
      </c>
      <c r="G1927" s="189" t="s">
        <v>2539</v>
      </c>
      <c r="H1927" s="191" t="n">
        <v>46155</v>
      </c>
      <c r="I1927" s="189" t="s">
        <v>863</v>
      </c>
      <c r="J1927" s="189" t="s">
        <v>128</v>
      </c>
      <c r="K1927" s="189" t="s">
        <v>2032</v>
      </c>
      <c r="L1927" s="189" t="s">
        <v>210</v>
      </c>
      <c r="M1927" s="189" t="s">
        <v>248</v>
      </c>
      <c r="N1927" s="189" t="s">
        <v>1078</v>
      </c>
      <c r="O1927" s="189" t="s">
        <v>107</v>
      </c>
      <c r="P1927" s="189" t="s">
        <v>111</v>
      </c>
      <c r="Q1927" s="189" t="s">
        <v>145</v>
      </c>
      <c r="R1927" s="189" t="s">
        <v>22</v>
      </c>
      <c r="S1927" s="189" t="s">
        <v>152</v>
      </c>
      <c r="T1927" s="189" t="s">
        <v>121</v>
      </c>
      <c r="U1927" s="189" t="s">
        <v>1063</v>
      </c>
      <c r="V1927" s="189" t="s">
        <v>123</v>
      </c>
      <c r="W1927" s="189" t="s">
        <v>168</v>
      </c>
      <c r="X1927" s="189" t="s">
        <v>715</v>
      </c>
      <c r="Y1927" s="189" t="s">
        <v>3066</v>
      </c>
      <c r="Z1927" s="0" t="n">
        <v>2</v>
      </c>
      <c r="AA1927" s="189" t="s">
        <v>3226</v>
      </c>
    </row>
    <row r="1928" customFormat="false" ht="15" hidden="false" customHeight="false" outlineLevel="0" collapsed="false">
      <c r="A1928" s="0" t="n">
        <v>416</v>
      </c>
      <c r="B1928" s="191" t="n">
        <v>46166.0600905792</v>
      </c>
      <c r="C1928" s="191" t="n">
        <v>46166.0707387274</v>
      </c>
      <c r="D1928" s="189" t="s">
        <v>2537</v>
      </c>
      <c r="E1928" s="189" t="s">
        <v>2538</v>
      </c>
      <c r="F1928" s="189" t="s">
        <v>2538</v>
      </c>
      <c r="G1928" s="189" t="s">
        <v>2539</v>
      </c>
      <c r="H1928" s="191" t="n">
        <v>46155</v>
      </c>
      <c r="I1928" s="189" t="s">
        <v>863</v>
      </c>
      <c r="J1928" s="189" t="s">
        <v>128</v>
      </c>
      <c r="K1928" s="189" t="s">
        <v>2032</v>
      </c>
      <c r="L1928" s="189" t="s">
        <v>210</v>
      </c>
      <c r="M1928" s="189" t="s">
        <v>248</v>
      </c>
      <c r="N1928" s="189" t="s">
        <v>1078</v>
      </c>
      <c r="O1928" s="189" t="s">
        <v>107</v>
      </c>
      <c r="P1928" s="189" t="s">
        <v>111</v>
      </c>
      <c r="Q1928" s="189" t="s">
        <v>145</v>
      </c>
      <c r="R1928" s="189" t="s">
        <v>22</v>
      </c>
      <c r="S1928" s="189" t="s">
        <v>152</v>
      </c>
      <c r="T1928" s="189" t="s">
        <v>121</v>
      </c>
      <c r="U1928" s="189" t="s">
        <v>1063</v>
      </c>
      <c r="V1928" s="189" t="s">
        <v>123</v>
      </c>
      <c r="W1928" s="189" t="s">
        <v>168</v>
      </c>
      <c r="X1928" s="189" t="s">
        <v>715</v>
      </c>
      <c r="Y1928" s="189" t="s">
        <v>3069</v>
      </c>
      <c r="Z1928" s="0" t="n">
        <v>1</v>
      </c>
      <c r="AA1928" s="189" t="s">
        <v>3228</v>
      </c>
    </row>
    <row r="1929" customFormat="false" ht="15" hidden="false" customHeight="false" outlineLevel="0" collapsed="false">
      <c r="A1929" s="0" t="n">
        <v>416</v>
      </c>
      <c r="B1929" s="191" t="n">
        <v>46166.0600905792</v>
      </c>
      <c r="C1929" s="191" t="n">
        <v>46166.0707387274</v>
      </c>
      <c r="D1929" s="189" t="s">
        <v>2537</v>
      </c>
      <c r="E1929" s="189" t="s">
        <v>2538</v>
      </c>
      <c r="F1929" s="189" t="s">
        <v>2538</v>
      </c>
      <c r="G1929" s="189" t="s">
        <v>2539</v>
      </c>
      <c r="H1929" s="191" t="n">
        <v>46155</v>
      </c>
      <c r="I1929" s="189" t="s">
        <v>863</v>
      </c>
      <c r="J1929" s="189" t="s">
        <v>128</v>
      </c>
      <c r="K1929" s="189" t="s">
        <v>2032</v>
      </c>
      <c r="L1929" s="189" t="s">
        <v>210</v>
      </c>
      <c r="M1929" s="189" t="s">
        <v>248</v>
      </c>
      <c r="N1929" s="189" t="s">
        <v>1078</v>
      </c>
      <c r="O1929" s="189" t="s">
        <v>107</v>
      </c>
      <c r="P1929" s="189" t="s">
        <v>111</v>
      </c>
      <c r="Q1929" s="189" t="s">
        <v>145</v>
      </c>
      <c r="R1929" s="189" t="s">
        <v>22</v>
      </c>
      <c r="S1929" s="189" t="s">
        <v>152</v>
      </c>
      <c r="T1929" s="189" t="s">
        <v>121</v>
      </c>
      <c r="U1929" s="189" t="s">
        <v>1063</v>
      </c>
      <c r="V1929" s="189" t="s">
        <v>123</v>
      </c>
      <c r="W1929" s="189" t="s">
        <v>168</v>
      </c>
      <c r="X1929" s="189" t="s">
        <v>715</v>
      </c>
      <c r="Y1929" s="189" t="s">
        <v>3069</v>
      </c>
      <c r="Z1929" s="0" t="n">
        <v>2</v>
      </c>
      <c r="AA1929" s="189" t="s">
        <v>3285</v>
      </c>
    </row>
    <row r="1930" customFormat="false" ht="15" hidden="false" customHeight="false" outlineLevel="0" collapsed="false">
      <c r="A1930" s="0" t="n">
        <v>417</v>
      </c>
      <c r="B1930" s="191" t="n">
        <v>46143.8542205403</v>
      </c>
      <c r="C1930" s="191" t="n">
        <v>46143.8565700773</v>
      </c>
      <c r="D1930" s="189" t="s">
        <v>2542</v>
      </c>
      <c r="E1930" s="189" t="s">
        <v>2543</v>
      </c>
      <c r="F1930" s="189" t="s">
        <v>2543</v>
      </c>
      <c r="G1930" s="189" t="s">
        <v>2544</v>
      </c>
      <c r="H1930" s="191" t="n">
        <v>46135</v>
      </c>
      <c r="I1930" s="189" t="s">
        <v>1268</v>
      </c>
      <c r="J1930" s="189" t="s">
        <v>108</v>
      </c>
      <c r="K1930" s="189" t="s">
        <v>196</v>
      </c>
      <c r="L1930" s="189" t="s">
        <v>130</v>
      </c>
      <c r="M1930" s="189" t="s">
        <v>269</v>
      </c>
      <c r="N1930" s="189" t="s">
        <v>469</v>
      </c>
      <c r="O1930" s="189" t="s">
        <v>107</v>
      </c>
      <c r="P1930" s="189" t="s">
        <v>111</v>
      </c>
      <c r="Q1930" s="189" t="s">
        <v>112</v>
      </c>
      <c r="R1930" s="189" t="s">
        <v>24</v>
      </c>
      <c r="S1930" s="189" t="s">
        <v>120</v>
      </c>
      <c r="T1930" s="189" t="s">
        <v>352</v>
      </c>
      <c r="U1930" s="189" t="s">
        <v>2164</v>
      </c>
      <c r="V1930" s="189" t="s">
        <v>192</v>
      </c>
      <c r="W1930" s="189" t="s">
        <v>124</v>
      </c>
      <c r="X1930" s="189" t="s">
        <v>223</v>
      </c>
      <c r="Y1930" s="189" t="s">
        <v>3064</v>
      </c>
      <c r="Z1930" s="0" t="n">
        <v>1</v>
      </c>
      <c r="AA1930" s="189" t="s">
        <v>3121</v>
      </c>
    </row>
    <row r="1931" customFormat="false" ht="15" hidden="false" customHeight="false" outlineLevel="0" collapsed="false">
      <c r="A1931" s="0" t="n">
        <v>417</v>
      </c>
      <c r="B1931" s="191" t="n">
        <v>46143.8542205403</v>
      </c>
      <c r="C1931" s="191" t="n">
        <v>46143.8565700773</v>
      </c>
      <c r="D1931" s="189" t="s">
        <v>2542</v>
      </c>
      <c r="E1931" s="189" t="s">
        <v>2543</v>
      </c>
      <c r="F1931" s="189" t="s">
        <v>2543</v>
      </c>
      <c r="G1931" s="189" t="s">
        <v>2544</v>
      </c>
      <c r="H1931" s="191" t="n">
        <v>46135</v>
      </c>
      <c r="I1931" s="189" t="s">
        <v>1268</v>
      </c>
      <c r="J1931" s="189" t="s">
        <v>108</v>
      </c>
      <c r="K1931" s="189" t="s">
        <v>196</v>
      </c>
      <c r="L1931" s="189" t="s">
        <v>130</v>
      </c>
      <c r="M1931" s="189" t="s">
        <v>269</v>
      </c>
      <c r="N1931" s="189" t="s">
        <v>469</v>
      </c>
      <c r="O1931" s="189" t="s">
        <v>107</v>
      </c>
      <c r="P1931" s="189" t="s">
        <v>111</v>
      </c>
      <c r="Q1931" s="189" t="s">
        <v>112</v>
      </c>
      <c r="R1931" s="189" t="s">
        <v>24</v>
      </c>
      <c r="S1931" s="189" t="s">
        <v>120</v>
      </c>
      <c r="T1931" s="189" t="s">
        <v>352</v>
      </c>
      <c r="U1931" s="189" t="s">
        <v>2164</v>
      </c>
      <c r="V1931" s="189" t="s">
        <v>192</v>
      </c>
      <c r="W1931" s="189" t="s">
        <v>124</v>
      </c>
      <c r="X1931" s="189" t="s">
        <v>223</v>
      </c>
      <c r="Y1931" s="189" t="s">
        <v>3064</v>
      </c>
      <c r="Z1931" s="0" t="n">
        <v>2</v>
      </c>
      <c r="AA1931" s="189" t="s">
        <v>3096</v>
      </c>
    </row>
    <row r="1932" customFormat="false" ht="15" hidden="false" customHeight="false" outlineLevel="0" collapsed="false">
      <c r="A1932" s="0" t="n">
        <v>417</v>
      </c>
      <c r="B1932" s="191" t="n">
        <v>46143.8542205403</v>
      </c>
      <c r="C1932" s="191" t="n">
        <v>46143.8565700773</v>
      </c>
      <c r="D1932" s="189" t="s">
        <v>2542</v>
      </c>
      <c r="E1932" s="189" t="s">
        <v>2543</v>
      </c>
      <c r="F1932" s="189" t="s">
        <v>2543</v>
      </c>
      <c r="G1932" s="189" t="s">
        <v>2544</v>
      </c>
      <c r="H1932" s="191" t="n">
        <v>46135</v>
      </c>
      <c r="I1932" s="189" t="s">
        <v>1268</v>
      </c>
      <c r="J1932" s="189" t="s">
        <v>108</v>
      </c>
      <c r="K1932" s="189" t="s">
        <v>196</v>
      </c>
      <c r="L1932" s="189" t="s">
        <v>130</v>
      </c>
      <c r="M1932" s="189" t="s">
        <v>269</v>
      </c>
      <c r="N1932" s="189" t="s">
        <v>469</v>
      </c>
      <c r="O1932" s="189" t="s">
        <v>107</v>
      </c>
      <c r="P1932" s="189" t="s">
        <v>111</v>
      </c>
      <c r="Q1932" s="189" t="s">
        <v>112</v>
      </c>
      <c r="R1932" s="189" t="s">
        <v>24</v>
      </c>
      <c r="S1932" s="189" t="s">
        <v>120</v>
      </c>
      <c r="T1932" s="189" t="s">
        <v>352</v>
      </c>
      <c r="U1932" s="189" t="s">
        <v>2164</v>
      </c>
      <c r="V1932" s="189" t="s">
        <v>192</v>
      </c>
      <c r="W1932" s="189" t="s">
        <v>124</v>
      </c>
      <c r="X1932" s="189" t="s">
        <v>223</v>
      </c>
      <c r="Y1932" s="189" t="s">
        <v>3064</v>
      </c>
      <c r="Z1932" s="0" t="n">
        <v>3</v>
      </c>
      <c r="AA1932" s="189" t="s">
        <v>3104</v>
      </c>
    </row>
    <row r="1933" customFormat="false" ht="15" hidden="false" customHeight="false" outlineLevel="0" collapsed="false">
      <c r="A1933" s="0" t="n">
        <v>417</v>
      </c>
      <c r="B1933" s="191" t="n">
        <v>46143.8542205403</v>
      </c>
      <c r="C1933" s="191" t="n">
        <v>46143.8565700773</v>
      </c>
      <c r="D1933" s="189" t="s">
        <v>2542</v>
      </c>
      <c r="E1933" s="189" t="s">
        <v>2543</v>
      </c>
      <c r="F1933" s="189" t="s">
        <v>2543</v>
      </c>
      <c r="G1933" s="189" t="s">
        <v>2544</v>
      </c>
      <c r="H1933" s="191" t="n">
        <v>46135</v>
      </c>
      <c r="I1933" s="189" t="s">
        <v>1268</v>
      </c>
      <c r="J1933" s="189" t="s">
        <v>108</v>
      </c>
      <c r="K1933" s="189" t="s">
        <v>196</v>
      </c>
      <c r="L1933" s="189" t="s">
        <v>130</v>
      </c>
      <c r="M1933" s="189" t="s">
        <v>269</v>
      </c>
      <c r="N1933" s="189" t="s">
        <v>469</v>
      </c>
      <c r="O1933" s="189" t="s">
        <v>107</v>
      </c>
      <c r="P1933" s="189" t="s">
        <v>111</v>
      </c>
      <c r="Q1933" s="189" t="s">
        <v>112</v>
      </c>
      <c r="R1933" s="189" t="s">
        <v>24</v>
      </c>
      <c r="S1933" s="189" t="s">
        <v>120</v>
      </c>
      <c r="T1933" s="189" t="s">
        <v>352</v>
      </c>
      <c r="U1933" s="189" t="s">
        <v>2164</v>
      </c>
      <c r="V1933" s="189" t="s">
        <v>192</v>
      </c>
      <c r="W1933" s="189" t="s">
        <v>124</v>
      </c>
      <c r="X1933" s="189" t="s">
        <v>223</v>
      </c>
      <c r="Y1933" s="189" t="s">
        <v>3066</v>
      </c>
      <c r="Z1933" s="0" t="n">
        <v>1</v>
      </c>
      <c r="AA1933" s="189" t="s">
        <v>3171</v>
      </c>
    </row>
    <row r="1934" customFormat="false" ht="15" hidden="false" customHeight="false" outlineLevel="0" collapsed="false">
      <c r="A1934" s="0" t="n">
        <v>417</v>
      </c>
      <c r="B1934" s="191" t="n">
        <v>46143.8542205403</v>
      </c>
      <c r="C1934" s="191" t="n">
        <v>46143.8565700773</v>
      </c>
      <c r="D1934" s="189" t="s">
        <v>2542</v>
      </c>
      <c r="E1934" s="189" t="s">
        <v>2543</v>
      </c>
      <c r="F1934" s="189" t="s">
        <v>2543</v>
      </c>
      <c r="G1934" s="189" t="s">
        <v>2544</v>
      </c>
      <c r="H1934" s="191" t="n">
        <v>46135</v>
      </c>
      <c r="I1934" s="189" t="s">
        <v>1268</v>
      </c>
      <c r="J1934" s="189" t="s">
        <v>108</v>
      </c>
      <c r="K1934" s="189" t="s">
        <v>196</v>
      </c>
      <c r="L1934" s="189" t="s">
        <v>130</v>
      </c>
      <c r="M1934" s="189" t="s">
        <v>269</v>
      </c>
      <c r="N1934" s="189" t="s">
        <v>469</v>
      </c>
      <c r="O1934" s="189" t="s">
        <v>107</v>
      </c>
      <c r="P1934" s="189" t="s">
        <v>111</v>
      </c>
      <c r="Q1934" s="189" t="s">
        <v>112</v>
      </c>
      <c r="R1934" s="189" t="s">
        <v>24</v>
      </c>
      <c r="S1934" s="189" t="s">
        <v>120</v>
      </c>
      <c r="T1934" s="189" t="s">
        <v>352</v>
      </c>
      <c r="U1934" s="189" t="s">
        <v>2164</v>
      </c>
      <c r="V1934" s="189" t="s">
        <v>192</v>
      </c>
      <c r="W1934" s="189" t="s">
        <v>124</v>
      </c>
      <c r="X1934" s="189" t="s">
        <v>223</v>
      </c>
      <c r="Y1934" s="189" t="s">
        <v>3066</v>
      </c>
      <c r="Z1934" s="0" t="n">
        <v>2</v>
      </c>
      <c r="AA1934" s="189" t="s">
        <v>3149</v>
      </c>
    </row>
    <row r="1935" customFormat="false" ht="15" hidden="false" customHeight="false" outlineLevel="0" collapsed="false">
      <c r="A1935" s="0" t="n">
        <v>417</v>
      </c>
      <c r="B1935" s="191" t="n">
        <v>46143.8542205403</v>
      </c>
      <c r="C1935" s="191" t="n">
        <v>46143.8565700773</v>
      </c>
      <c r="D1935" s="189" t="s">
        <v>2542</v>
      </c>
      <c r="E1935" s="189" t="s">
        <v>2543</v>
      </c>
      <c r="F1935" s="189" t="s">
        <v>2543</v>
      </c>
      <c r="G1935" s="189" t="s">
        <v>2544</v>
      </c>
      <c r="H1935" s="191" t="n">
        <v>46135</v>
      </c>
      <c r="I1935" s="189" t="s">
        <v>1268</v>
      </c>
      <c r="J1935" s="189" t="s">
        <v>108</v>
      </c>
      <c r="K1935" s="189" t="s">
        <v>196</v>
      </c>
      <c r="L1935" s="189" t="s">
        <v>130</v>
      </c>
      <c r="M1935" s="189" t="s">
        <v>269</v>
      </c>
      <c r="N1935" s="189" t="s">
        <v>469</v>
      </c>
      <c r="O1935" s="189" t="s">
        <v>107</v>
      </c>
      <c r="P1935" s="189" t="s">
        <v>111</v>
      </c>
      <c r="Q1935" s="189" t="s">
        <v>112</v>
      </c>
      <c r="R1935" s="189" t="s">
        <v>24</v>
      </c>
      <c r="S1935" s="189" t="s">
        <v>120</v>
      </c>
      <c r="T1935" s="189" t="s">
        <v>352</v>
      </c>
      <c r="U1935" s="189" t="s">
        <v>2164</v>
      </c>
      <c r="V1935" s="189" t="s">
        <v>192</v>
      </c>
      <c r="W1935" s="189" t="s">
        <v>124</v>
      </c>
      <c r="X1935" s="189" t="s">
        <v>223</v>
      </c>
      <c r="Y1935" s="189" t="s">
        <v>3069</v>
      </c>
      <c r="Z1935" s="0" t="n">
        <v>1</v>
      </c>
      <c r="AA1935" s="189" t="s">
        <v>3106</v>
      </c>
    </row>
    <row r="1936" customFormat="false" ht="15" hidden="false" customHeight="false" outlineLevel="0" collapsed="false">
      <c r="A1936" s="0" t="n">
        <v>418</v>
      </c>
      <c r="B1936" s="191" t="n">
        <v>46121.307919454</v>
      </c>
      <c r="C1936" s="191" t="n">
        <v>46121.3117041762</v>
      </c>
      <c r="D1936" s="189" t="s">
        <v>2547</v>
      </c>
      <c r="E1936" s="189" t="s">
        <v>2548</v>
      </c>
      <c r="F1936" s="189" t="s">
        <v>2548</v>
      </c>
      <c r="G1936" s="189" t="s">
        <v>2549</v>
      </c>
      <c r="H1936" s="191" t="n">
        <v>46114</v>
      </c>
      <c r="I1936" s="189" t="s">
        <v>113</v>
      </c>
      <c r="J1936" s="189" t="s">
        <v>108</v>
      </c>
      <c r="K1936" s="189" t="s">
        <v>232</v>
      </c>
      <c r="L1936" s="189" t="s">
        <v>114</v>
      </c>
      <c r="M1936" s="189" t="s">
        <v>269</v>
      </c>
      <c r="N1936" s="189" t="s">
        <v>613</v>
      </c>
      <c r="O1936" s="189" t="s">
        <v>244</v>
      </c>
      <c r="P1936" s="189" t="s">
        <v>390</v>
      </c>
      <c r="Q1936" s="189" t="s">
        <v>145</v>
      </c>
      <c r="R1936" s="189" t="s">
        <v>22</v>
      </c>
      <c r="S1936" s="189" t="s">
        <v>152</v>
      </c>
      <c r="T1936" s="189" t="s">
        <v>1406</v>
      </c>
      <c r="U1936" s="189" t="s">
        <v>122</v>
      </c>
      <c r="V1936" s="189" t="s">
        <v>192</v>
      </c>
      <c r="W1936" s="189" t="s">
        <v>124</v>
      </c>
      <c r="X1936" s="189" t="s">
        <v>116</v>
      </c>
      <c r="Y1936" s="189" t="s">
        <v>3064</v>
      </c>
      <c r="Z1936" s="0" t="n">
        <v>1</v>
      </c>
      <c r="AA1936" s="189" t="s">
        <v>3095</v>
      </c>
    </row>
    <row r="1937" customFormat="false" ht="15" hidden="false" customHeight="false" outlineLevel="0" collapsed="false">
      <c r="A1937" s="0" t="n">
        <v>418</v>
      </c>
      <c r="B1937" s="191" t="n">
        <v>46121.307919454</v>
      </c>
      <c r="C1937" s="191" t="n">
        <v>46121.3117041762</v>
      </c>
      <c r="D1937" s="189" t="s">
        <v>2547</v>
      </c>
      <c r="E1937" s="189" t="s">
        <v>2548</v>
      </c>
      <c r="F1937" s="189" t="s">
        <v>2548</v>
      </c>
      <c r="G1937" s="189" t="s">
        <v>2549</v>
      </c>
      <c r="H1937" s="191" t="n">
        <v>46114</v>
      </c>
      <c r="I1937" s="189" t="s">
        <v>113</v>
      </c>
      <c r="J1937" s="189" t="s">
        <v>108</v>
      </c>
      <c r="K1937" s="189" t="s">
        <v>232</v>
      </c>
      <c r="L1937" s="189" t="s">
        <v>114</v>
      </c>
      <c r="M1937" s="189" t="s">
        <v>269</v>
      </c>
      <c r="N1937" s="189" t="s">
        <v>613</v>
      </c>
      <c r="O1937" s="189" t="s">
        <v>244</v>
      </c>
      <c r="P1937" s="189" t="s">
        <v>390</v>
      </c>
      <c r="Q1937" s="189" t="s">
        <v>145</v>
      </c>
      <c r="R1937" s="189" t="s">
        <v>22</v>
      </c>
      <c r="S1937" s="189" t="s">
        <v>152</v>
      </c>
      <c r="T1937" s="189" t="s">
        <v>1406</v>
      </c>
      <c r="U1937" s="189" t="s">
        <v>122</v>
      </c>
      <c r="V1937" s="189" t="s">
        <v>192</v>
      </c>
      <c r="W1937" s="189" t="s">
        <v>124</v>
      </c>
      <c r="X1937" s="189" t="s">
        <v>116</v>
      </c>
      <c r="Y1937" s="189" t="s">
        <v>3064</v>
      </c>
      <c r="Z1937" s="0" t="n">
        <v>2</v>
      </c>
      <c r="AA1937" s="189" t="s">
        <v>3081</v>
      </c>
    </row>
    <row r="1938" customFormat="false" ht="15" hidden="false" customHeight="false" outlineLevel="0" collapsed="false">
      <c r="A1938" s="0" t="n">
        <v>418</v>
      </c>
      <c r="B1938" s="191" t="n">
        <v>46121.307919454</v>
      </c>
      <c r="C1938" s="191" t="n">
        <v>46121.3117041762</v>
      </c>
      <c r="D1938" s="189" t="s">
        <v>2547</v>
      </c>
      <c r="E1938" s="189" t="s">
        <v>2548</v>
      </c>
      <c r="F1938" s="189" t="s">
        <v>2548</v>
      </c>
      <c r="G1938" s="189" t="s">
        <v>2549</v>
      </c>
      <c r="H1938" s="191" t="n">
        <v>46114</v>
      </c>
      <c r="I1938" s="189" t="s">
        <v>113</v>
      </c>
      <c r="J1938" s="189" t="s">
        <v>108</v>
      </c>
      <c r="K1938" s="189" t="s">
        <v>232</v>
      </c>
      <c r="L1938" s="189" t="s">
        <v>114</v>
      </c>
      <c r="M1938" s="189" t="s">
        <v>269</v>
      </c>
      <c r="N1938" s="189" t="s">
        <v>613</v>
      </c>
      <c r="O1938" s="189" t="s">
        <v>244</v>
      </c>
      <c r="P1938" s="189" t="s">
        <v>390</v>
      </c>
      <c r="Q1938" s="189" t="s">
        <v>145</v>
      </c>
      <c r="R1938" s="189" t="s">
        <v>22</v>
      </c>
      <c r="S1938" s="189" t="s">
        <v>152</v>
      </c>
      <c r="T1938" s="189" t="s">
        <v>1406</v>
      </c>
      <c r="U1938" s="189" t="s">
        <v>122</v>
      </c>
      <c r="V1938" s="189" t="s">
        <v>192</v>
      </c>
      <c r="W1938" s="189" t="s">
        <v>124</v>
      </c>
      <c r="X1938" s="189" t="s">
        <v>116</v>
      </c>
      <c r="Y1938" s="189" t="s">
        <v>3064</v>
      </c>
      <c r="Z1938" s="0" t="n">
        <v>3</v>
      </c>
      <c r="AA1938" s="189" t="s">
        <v>3139</v>
      </c>
    </row>
    <row r="1939" customFormat="false" ht="15" hidden="false" customHeight="false" outlineLevel="0" collapsed="false">
      <c r="A1939" s="0" t="n">
        <v>418</v>
      </c>
      <c r="B1939" s="191" t="n">
        <v>46121.307919454</v>
      </c>
      <c r="C1939" s="191" t="n">
        <v>46121.3117041762</v>
      </c>
      <c r="D1939" s="189" t="s">
        <v>2547</v>
      </c>
      <c r="E1939" s="189" t="s">
        <v>2548</v>
      </c>
      <c r="F1939" s="189" t="s">
        <v>2548</v>
      </c>
      <c r="G1939" s="189" t="s">
        <v>2549</v>
      </c>
      <c r="H1939" s="191" t="n">
        <v>46114</v>
      </c>
      <c r="I1939" s="189" t="s">
        <v>113</v>
      </c>
      <c r="J1939" s="189" t="s">
        <v>108</v>
      </c>
      <c r="K1939" s="189" t="s">
        <v>232</v>
      </c>
      <c r="L1939" s="189" t="s">
        <v>114</v>
      </c>
      <c r="M1939" s="189" t="s">
        <v>269</v>
      </c>
      <c r="N1939" s="189" t="s">
        <v>613</v>
      </c>
      <c r="O1939" s="189" t="s">
        <v>244</v>
      </c>
      <c r="P1939" s="189" t="s">
        <v>390</v>
      </c>
      <c r="Q1939" s="189" t="s">
        <v>145</v>
      </c>
      <c r="R1939" s="189" t="s">
        <v>22</v>
      </c>
      <c r="S1939" s="189" t="s">
        <v>152</v>
      </c>
      <c r="T1939" s="189" t="s">
        <v>1406</v>
      </c>
      <c r="U1939" s="189" t="s">
        <v>122</v>
      </c>
      <c r="V1939" s="189" t="s">
        <v>192</v>
      </c>
      <c r="W1939" s="189" t="s">
        <v>124</v>
      </c>
      <c r="X1939" s="189" t="s">
        <v>116</v>
      </c>
      <c r="Y1939" s="189" t="s">
        <v>3066</v>
      </c>
      <c r="Z1939" s="0" t="n">
        <v>1</v>
      </c>
      <c r="AA1939" s="189" t="s">
        <v>3211</v>
      </c>
    </row>
    <row r="1940" customFormat="false" ht="15" hidden="false" customHeight="false" outlineLevel="0" collapsed="false">
      <c r="A1940" s="0" t="n">
        <v>418</v>
      </c>
      <c r="B1940" s="191" t="n">
        <v>46121.307919454</v>
      </c>
      <c r="C1940" s="191" t="n">
        <v>46121.3117041762</v>
      </c>
      <c r="D1940" s="189" t="s">
        <v>2547</v>
      </c>
      <c r="E1940" s="189" t="s">
        <v>2548</v>
      </c>
      <c r="F1940" s="189" t="s">
        <v>2548</v>
      </c>
      <c r="G1940" s="189" t="s">
        <v>2549</v>
      </c>
      <c r="H1940" s="191" t="n">
        <v>46114</v>
      </c>
      <c r="I1940" s="189" t="s">
        <v>113</v>
      </c>
      <c r="J1940" s="189" t="s">
        <v>108</v>
      </c>
      <c r="K1940" s="189" t="s">
        <v>232</v>
      </c>
      <c r="L1940" s="189" t="s">
        <v>114</v>
      </c>
      <c r="M1940" s="189" t="s">
        <v>269</v>
      </c>
      <c r="N1940" s="189" t="s">
        <v>613</v>
      </c>
      <c r="O1940" s="189" t="s">
        <v>244</v>
      </c>
      <c r="P1940" s="189" t="s">
        <v>390</v>
      </c>
      <c r="Q1940" s="189" t="s">
        <v>145</v>
      </c>
      <c r="R1940" s="189" t="s">
        <v>22</v>
      </c>
      <c r="S1940" s="189" t="s">
        <v>152</v>
      </c>
      <c r="T1940" s="189" t="s">
        <v>1406</v>
      </c>
      <c r="U1940" s="189" t="s">
        <v>122</v>
      </c>
      <c r="V1940" s="189" t="s">
        <v>192</v>
      </c>
      <c r="W1940" s="189" t="s">
        <v>124</v>
      </c>
      <c r="X1940" s="189" t="s">
        <v>116</v>
      </c>
      <c r="Y1940" s="189" t="s">
        <v>3069</v>
      </c>
      <c r="Z1940" s="0" t="n">
        <v>1</v>
      </c>
      <c r="AA1940" s="189" t="s">
        <v>3140</v>
      </c>
    </row>
    <row r="1941" customFormat="false" ht="15" hidden="false" customHeight="false" outlineLevel="0" collapsed="false">
      <c r="A1941" s="0" t="n">
        <v>419</v>
      </c>
      <c r="B1941" s="191" t="n">
        <v>46072.4680434433</v>
      </c>
      <c r="C1941" s="191" t="n">
        <v>46072.4847679803</v>
      </c>
      <c r="D1941" s="189" t="s">
        <v>2551</v>
      </c>
      <c r="E1941" s="189" t="s">
        <v>2552</v>
      </c>
      <c r="F1941" s="189" t="s">
        <v>2552</v>
      </c>
      <c r="G1941" s="189" t="s">
        <v>2553</v>
      </c>
      <c r="H1941" s="191" t="n">
        <v>46058</v>
      </c>
      <c r="I1941" s="189" t="s">
        <v>113</v>
      </c>
      <c r="J1941" s="189" t="s">
        <v>108</v>
      </c>
      <c r="K1941" s="189" t="s">
        <v>245</v>
      </c>
      <c r="L1941" s="189" t="s">
        <v>246</v>
      </c>
      <c r="M1941" s="189" t="s">
        <v>612</v>
      </c>
      <c r="N1941" s="189" t="s">
        <v>849</v>
      </c>
      <c r="O1941" s="189" t="s">
        <v>244</v>
      </c>
      <c r="P1941" s="189" t="s">
        <v>111</v>
      </c>
      <c r="Q1941" s="189" t="s">
        <v>112</v>
      </c>
      <c r="R1941" s="189" t="s">
        <v>22</v>
      </c>
      <c r="S1941" s="189" t="s">
        <v>152</v>
      </c>
      <c r="T1941" s="189" t="s">
        <v>352</v>
      </c>
      <c r="U1941" s="189" t="s">
        <v>122</v>
      </c>
      <c r="V1941" s="189" t="s">
        <v>192</v>
      </c>
      <c r="W1941" s="189" t="s">
        <v>168</v>
      </c>
      <c r="X1941" s="189" t="s">
        <v>339</v>
      </c>
      <c r="Y1941" s="189" t="s">
        <v>3064</v>
      </c>
      <c r="Z1941" s="0" t="n">
        <v>1</v>
      </c>
      <c r="AA1941" s="189" t="s">
        <v>3141</v>
      </c>
    </row>
    <row r="1942" customFormat="false" ht="15" hidden="false" customHeight="false" outlineLevel="0" collapsed="false">
      <c r="A1942" s="0" t="n">
        <v>419</v>
      </c>
      <c r="B1942" s="191" t="n">
        <v>46072.4680434433</v>
      </c>
      <c r="C1942" s="191" t="n">
        <v>46072.4847679803</v>
      </c>
      <c r="D1942" s="189" t="s">
        <v>2551</v>
      </c>
      <c r="E1942" s="189" t="s">
        <v>2552</v>
      </c>
      <c r="F1942" s="189" t="s">
        <v>2552</v>
      </c>
      <c r="G1942" s="189" t="s">
        <v>2553</v>
      </c>
      <c r="H1942" s="191" t="n">
        <v>46058</v>
      </c>
      <c r="I1942" s="189" t="s">
        <v>113</v>
      </c>
      <c r="J1942" s="189" t="s">
        <v>108</v>
      </c>
      <c r="K1942" s="189" t="s">
        <v>245</v>
      </c>
      <c r="L1942" s="189" t="s">
        <v>246</v>
      </c>
      <c r="M1942" s="189" t="s">
        <v>612</v>
      </c>
      <c r="N1942" s="189" t="s">
        <v>849</v>
      </c>
      <c r="O1942" s="189" t="s">
        <v>244</v>
      </c>
      <c r="P1942" s="189" t="s">
        <v>111</v>
      </c>
      <c r="Q1942" s="189" t="s">
        <v>112</v>
      </c>
      <c r="R1942" s="189" t="s">
        <v>22</v>
      </c>
      <c r="S1942" s="189" t="s">
        <v>152</v>
      </c>
      <c r="T1942" s="189" t="s">
        <v>352</v>
      </c>
      <c r="U1942" s="189" t="s">
        <v>122</v>
      </c>
      <c r="V1942" s="189" t="s">
        <v>192</v>
      </c>
      <c r="W1942" s="189" t="s">
        <v>168</v>
      </c>
      <c r="X1942" s="189" t="s">
        <v>339</v>
      </c>
      <c r="Y1942" s="189" t="s">
        <v>3066</v>
      </c>
      <c r="Z1942" s="0" t="n">
        <v>1</v>
      </c>
      <c r="AA1942" s="189" t="s">
        <v>122</v>
      </c>
    </row>
    <row r="1943" customFormat="false" ht="15" hidden="false" customHeight="false" outlineLevel="0" collapsed="false">
      <c r="A1943" s="0" t="n">
        <v>419</v>
      </c>
      <c r="B1943" s="191" t="n">
        <v>46072.4680434433</v>
      </c>
      <c r="C1943" s="191" t="n">
        <v>46072.4847679803</v>
      </c>
      <c r="D1943" s="189" t="s">
        <v>2551</v>
      </c>
      <c r="E1943" s="189" t="s">
        <v>2552</v>
      </c>
      <c r="F1943" s="189" t="s">
        <v>2552</v>
      </c>
      <c r="G1943" s="189" t="s">
        <v>2553</v>
      </c>
      <c r="H1943" s="191" t="n">
        <v>46058</v>
      </c>
      <c r="I1943" s="189" t="s">
        <v>113</v>
      </c>
      <c r="J1943" s="189" t="s">
        <v>108</v>
      </c>
      <c r="K1943" s="189" t="s">
        <v>245</v>
      </c>
      <c r="L1943" s="189" t="s">
        <v>246</v>
      </c>
      <c r="M1943" s="189" t="s">
        <v>612</v>
      </c>
      <c r="N1943" s="189" t="s">
        <v>849</v>
      </c>
      <c r="O1943" s="189" t="s">
        <v>244</v>
      </c>
      <c r="P1943" s="189" t="s">
        <v>111</v>
      </c>
      <c r="Q1943" s="189" t="s">
        <v>112</v>
      </c>
      <c r="R1943" s="189" t="s">
        <v>22</v>
      </c>
      <c r="S1943" s="189" t="s">
        <v>152</v>
      </c>
      <c r="T1943" s="189" t="s">
        <v>352</v>
      </c>
      <c r="U1943" s="189" t="s">
        <v>122</v>
      </c>
      <c r="V1943" s="189" t="s">
        <v>192</v>
      </c>
      <c r="W1943" s="189" t="s">
        <v>168</v>
      </c>
      <c r="X1943" s="189" t="s">
        <v>339</v>
      </c>
      <c r="Y1943" s="189" t="s">
        <v>3066</v>
      </c>
      <c r="Z1943" s="0" t="n">
        <v>2</v>
      </c>
      <c r="AA1943" s="189" t="s">
        <v>3143</v>
      </c>
    </row>
    <row r="1944" customFormat="false" ht="15" hidden="false" customHeight="false" outlineLevel="0" collapsed="false">
      <c r="A1944" s="0" t="n">
        <v>419</v>
      </c>
      <c r="B1944" s="191" t="n">
        <v>46072.4680434433</v>
      </c>
      <c r="C1944" s="191" t="n">
        <v>46072.4847679803</v>
      </c>
      <c r="D1944" s="189" t="s">
        <v>2551</v>
      </c>
      <c r="E1944" s="189" t="s">
        <v>2552</v>
      </c>
      <c r="F1944" s="189" t="s">
        <v>2552</v>
      </c>
      <c r="G1944" s="189" t="s">
        <v>2553</v>
      </c>
      <c r="H1944" s="191" t="n">
        <v>46058</v>
      </c>
      <c r="I1944" s="189" t="s">
        <v>113</v>
      </c>
      <c r="J1944" s="189" t="s">
        <v>108</v>
      </c>
      <c r="K1944" s="189" t="s">
        <v>245</v>
      </c>
      <c r="L1944" s="189" t="s">
        <v>246</v>
      </c>
      <c r="M1944" s="189" t="s">
        <v>612</v>
      </c>
      <c r="N1944" s="189" t="s">
        <v>849</v>
      </c>
      <c r="O1944" s="189" t="s">
        <v>244</v>
      </c>
      <c r="P1944" s="189" t="s">
        <v>111</v>
      </c>
      <c r="Q1944" s="189" t="s">
        <v>112</v>
      </c>
      <c r="R1944" s="189" t="s">
        <v>22</v>
      </c>
      <c r="S1944" s="189" t="s">
        <v>152</v>
      </c>
      <c r="T1944" s="189" t="s">
        <v>352</v>
      </c>
      <c r="U1944" s="189" t="s">
        <v>122</v>
      </c>
      <c r="V1944" s="189" t="s">
        <v>192</v>
      </c>
      <c r="W1944" s="189" t="s">
        <v>168</v>
      </c>
      <c r="X1944" s="189" t="s">
        <v>339</v>
      </c>
      <c r="Y1944" s="189" t="s">
        <v>3069</v>
      </c>
      <c r="Z1944" s="0" t="n">
        <v>1</v>
      </c>
      <c r="AA1944" s="189" t="s">
        <v>3200</v>
      </c>
    </row>
    <row r="1945" customFormat="false" ht="15" hidden="false" customHeight="false" outlineLevel="0" collapsed="false">
      <c r="A1945" s="0" t="n">
        <v>419</v>
      </c>
      <c r="B1945" s="191" t="n">
        <v>46072.4680434433</v>
      </c>
      <c r="C1945" s="191" t="n">
        <v>46072.4847679803</v>
      </c>
      <c r="D1945" s="189" t="s">
        <v>2551</v>
      </c>
      <c r="E1945" s="189" t="s">
        <v>2552</v>
      </c>
      <c r="F1945" s="189" t="s">
        <v>2552</v>
      </c>
      <c r="G1945" s="189" t="s">
        <v>2553</v>
      </c>
      <c r="H1945" s="191" t="n">
        <v>46058</v>
      </c>
      <c r="I1945" s="189" t="s">
        <v>113</v>
      </c>
      <c r="J1945" s="189" t="s">
        <v>108</v>
      </c>
      <c r="K1945" s="189" t="s">
        <v>245</v>
      </c>
      <c r="L1945" s="189" t="s">
        <v>246</v>
      </c>
      <c r="M1945" s="189" t="s">
        <v>612</v>
      </c>
      <c r="N1945" s="189" t="s">
        <v>849</v>
      </c>
      <c r="O1945" s="189" t="s">
        <v>244</v>
      </c>
      <c r="P1945" s="189" t="s">
        <v>111</v>
      </c>
      <c r="Q1945" s="189" t="s">
        <v>112</v>
      </c>
      <c r="R1945" s="189" t="s">
        <v>22</v>
      </c>
      <c r="S1945" s="189" t="s">
        <v>152</v>
      </c>
      <c r="T1945" s="189" t="s">
        <v>352</v>
      </c>
      <c r="U1945" s="189" t="s">
        <v>122</v>
      </c>
      <c r="V1945" s="189" t="s">
        <v>192</v>
      </c>
      <c r="W1945" s="189" t="s">
        <v>168</v>
      </c>
      <c r="X1945" s="189" t="s">
        <v>339</v>
      </c>
      <c r="Y1945" s="189" t="s">
        <v>3069</v>
      </c>
      <c r="Z1945" s="0" t="n">
        <v>2</v>
      </c>
      <c r="AA1945" s="189" t="s">
        <v>3217</v>
      </c>
    </row>
    <row r="1946" customFormat="false" ht="15" hidden="false" customHeight="false" outlineLevel="0" collapsed="false">
      <c r="A1946" s="0" t="n">
        <v>420</v>
      </c>
      <c r="B1946" s="191" t="n">
        <v>46200.7127143764</v>
      </c>
      <c r="C1946" s="191" t="n">
        <v>46200.7294620616</v>
      </c>
      <c r="D1946" s="189" t="s">
        <v>2556</v>
      </c>
      <c r="E1946" s="189" t="s">
        <v>2557</v>
      </c>
      <c r="F1946" s="189" t="s">
        <v>2557</v>
      </c>
      <c r="G1946" s="189" t="s">
        <v>2558</v>
      </c>
      <c r="H1946" s="191" t="n">
        <v>46189</v>
      </c>
      <c r="I1946" s="189" t="s">
        <v>132</v>
      </c>
      <c r="J1946" s="189" t="s">
        <v>108</v>
      </c>
      <c r="K1946" s="189" t="s">
        <v>462</v>
      </c>
      <c r="L1946" s="189" t="s">
        <v>144</v>
      </c>
      <c r="M1946" s="189" t="s">
        <v>114</v>
      </c>
      <c r="N1946" s="189" t="s">
        <v>147</v>
      </c>
      <c r="O1946" s="189" t="s">
        <v>278</v>
      </c>
      <c r="P1946" s="189" t="s">
        <v>111</v>
      </c>
      <c r="Q1946" s="189" t="s">
        <v>112</v>
      </c>
      <c r="R1946" s="189" t="s">
        <v>24</v>
      </c>
      <c r="S1946" s="189" t="s">
        <v>120</v>
      </c>
      <c r="T1946" s="189" t="s">
        <v>121</v>
      </c>
      <c r="V1946" s="189" t="s">
        <v>123</v>
      </c>
      <c r="W1946" s="189" t="s">
        <v>124</v>
      </c>
      <c r="X1946" s="189" t="s">
        <v>260</v>
      </c>
      <c r="Y1946" s="189" t="s">
        <v>3064</v>
      </c>
      <c r="Z1946" s="0" t="n">
        <v>1</v>
      </c>
      <c r="AA1946" s="189" t="s">
        <v>3262</v>
      </c>
    </row>
    <row r="1947" customFormat="false" ht="15" hidden="false" customHeight="false" outlineLevel="0" collapsed="false">
      <c r="A1947" s="0" t="n">
        <v>420</v>
      </c>
      <c r="B1947" s="191" t="n">
        <v>46200.7127143764</v>
      </c>
      <c r="C1947" s="191" t="n">
        <v>46200.7294620616</v>
      </c>
      <c r="D1947" s="189" t="s">
        <v>2556</v>
      </c>
      <c r="E1947" s="189" t="s">
        <v>2557</v>
      </c>
      <c r="F1947" s="189" t="s">
        <v>2557</v>
      </c>
      <c r="G1947" s="189" t="s">
        <v>2558</v>
      </c>
      <c r="H1947" s="191" t="n">
        <v>46189</v>
      </c>
      <c r="I1947" s="189" t="s">
        <v>132</v>
      </c>
      <c r="J1947" s="189" t="s">
        <v>108</v>
      </c>
      <c r="K1947" s="189" t="s">
        <v>462</v>
      </c>
      <c r="L1947" s="189" t="s">
        <v>144</v>
      </c>
      <c r="M1947" s="189" t="s">
        <v>114</v>
      </c>
      <c r="N1947" s="189" t="s">
        <v>147</v>
      </c>
      <c r="O1947" s="189" t="s">
        <v>278</v>
      </c>
      <c r="P1947" s="189" t="s">
        <v>111</v>
      </c>
      <c r="Q1947" s="189" t="s">
        <v>112</v>
      </c>
      <c r="R1947" s="189" t="s">
        <v>24</v>
      </c>
      <c r="S1947" s="189" t="s">
        <v>120</v>
      </c>
      <c r="T1947" s="189" t="s">
        <v>121</v>
      </c>
      <c r="V1947" s="189" t="s">
        <v>123</v>
      </c>
      <c r="W1947" s="189" t="s">
        <v>124</v>
      </c>
      <c r="X1947" s="189" t="s">
        <v>260</v>
      </c>
      <c r="Y1947" s="189" t="s">
        <v>3064</v>
      </c>
      <c r="Z1947" s="0" t="n">
        <v>2</v>
      </c>
      <c r="AA1947" s="189" t="s">
        <v>606</v>
      </c>
    </row>
    <row r="1948" customFormat="false" ht="15" hidden="false" customHeight="false" outlineLevel="0" collapsed="false">
      <c r="A1948" s="0" t="n">
        <v>420</v>
      </c>
      <c r="B1948" s="191" t="n">
        <v>46200.7127143764</v>
      </c>
      <c r="C1948" s="191" t="n">
        <v>46200.7294620616</v>
      </c>
      <c r="D1948" s="189" t="s">
        <v>2556</v>
      </c>
      <c r="E1948" s="189" t="s">
        <v>2557</v>
      </c>
      <c r="F1948" s="189" t="s">
        <v>2557</v>
      </c>
      <c r="G1948" s="189" t="s">
        <v>2558</v>
      </c>
      <c r="H1948" s="191" t="n">
        <v>46189</v>
      </c>
      <c r="I1948" s="189" t="s">
        <v>132</v>
      </c>
      <c r="J1948" s="189" t="s">
        <v>108</v>
      </c>
      <c r="K1948" s="189" t="s">
        <v>462</v>
      </c>
      <c r="L1948" s="189" t="s">
        <v>144</v>
      </c>
      <c r="M1948" s="189" t="s">
        <v>114</v>
      </c>
      <c r="N1948" s="189" t="s">
        <v>147</v>
      </c>
      <c r="O1948" s="189" t="s">
        <v>278</v>
      </c>
      <c r="P1948" s="189" t="s">
        <v>111</v>
      </c>
      <c r="Q1948" s="189" t="s">
        <v>112</v>
      </c>
      <c r="R1948" s="189" t="s">
        <v>24</v>
      </c>
      <c r="S1948" s="189" t="s">
        <v>120</v>
      </c>
      <c r="T1948" s="189" t="s">
        <v>121</v>
      </c>
      <c r="V1948" s="189" t="s">
        <v>123</v>
      </c>
      <c r="W1948" s="189" t="s">
        <v>124</v>
      </c>
      <c r="X1948" s="189" t="s">
        <v>260</v>
      </c>
      <c r="Y1948" s="189" t="s">
        <v>3064</v>
      </c>
      <c r="Z1948" s="0" t="n">
        <v>3</v>
      </c>
      <c r="AA1948" s="189" t="s">
        <v>3258</v>
      </c>
    </row>
    <row r="1949" customFormat="false" ht="15" hidden="false" customHeight="false" outlineLevel="0" collapsed="false">
      <c r="A1949" s="0" t="n">
        <v>420</v>
      </c>
      <c r="B1949" s="191" t="n">
        <v>46200.7127143764</v>
      </c>
      <c r="C1949" s="191" t="n">
        <v>46200.7294620616</v>
      </c>
      <c r="D1949" s="189" t="s">
        <v>2556</v>
      </c>
      <c r="E1949" s="189" t="s">
        <v>2557</v>
      </c>
      <c r="F1949" s="189" t="s">
        <v>2557</v>
      </c>
      <c r="G1949" s="189" t="s">
        <v>2558</v>
      </c>
      <c r="H1949" s="191" t="n">
        <v>46189</v>
      </c>
      <c r="I1949" s="189" t="s">
        <v>132</v>
      </c>
      <c r="J1949" s="189" t="s">
        <v>108</v>
      </c>
      <c r="K1949" s="189" t="s">
        <v>462</v>
      </c>
      <c r="L1949" s="189" t="s">
        <v>144</v>
      </c>
      <c r="M1949" s="189" t="s">
        <v>114</v>
      </c>
      <c r="N1949" s="189" t="s">
        <v>147</v>
      </c>
      <c r="O1949" s="189" t="s">
        <v>278</v>
      </c>
      <c r="P1949" s="189" t="s">
        <v>111</v>
      </c>
      <c r="Q1949" s="189" t="s">
        <v>112</v>
      </c>
      <c r="R1949" s="189" t="s">
        <v>24</v>
      </c>
      <c r="S1949" s="189" t="s">
        <v>120</v>
      </c>
      <c r="T1949" s="189" t="s">
        <v>121</v>
      </c>
      <c r="V1949" s="189" t="s">
        <v>123</v>
      </c>
      <c r="W1949" s="189" t="s">
        <v>124</v>
      </c>
      <c r="X1949" s="189" t="s">
        <v>260</v>
      </c>
      <c r="Y1949" s="189" t="s">
        <v>3066</v>
      </c>
      <c r="Z1949" s="0" t="n">
        <v>1</v>
      </c>
      <c r="AA1949" s="189" t="s">
        <v>122</v>
      </c>
    </row>
    <row r="1950" customFormat="false" ht="15" hidden="false" customHeight="false" outlineLevel="0" collapsed="false">
      <c r="A1950" s="0" t="n">
        <v>420</v>
      </c>
      <c r="B1950" s="191" t="n">
        <v>46200.7127143764</v>
      </c>
      <c r="C1950" s="191" t="n">
        <v>46200.7294620616</v>
      </c>
      <c r="D1950" s="189" t="s">
        <v>2556</v>
      </c>
      <c r="E1950" s="189" t="s">
        <v>2557</v>
      </c>
      <c r="F1950" s="189" t="s">
        <v>2557</v>
      </c>
      <c r="G1950" s="189" t="s">
        <v>2558</v>
      </c>
      <c r="H1950" s="191" t="n">
        <v>46189</v>
      </c>
      <c r="I1950" s="189" t="s">
        <v>132</v>
      </c>
      <c r="J1950" s="189" t="s">
        <v>108</v>
      </c>
      <c r="K1950" s="189" t="s">
        <v>462</v>
      </c>
      <c r="L1950" s="189" t="s">
        <v>144</v>
      </c>
      <c r="M1950" s="189" t="s">
        <v>114</v>
      </c>
      <c r="N1950" s="189" t="s">
        <v>147</v>
      </c>
      <c r="O1950" s="189" t="s">
        <v>278</v>
      </c>
      <c r="P1950" s="189" t="s">
        <v>111</v>
      </c>
      <c r="Q1950" s="189" t="s">
        <v>112</v>
      </c>
      <c r="R1950" s="189" t="s">
        <v>24</v>
      </c>
      <c r="S1950" s="189" t="s">
        <v>120</v>
      </c>
      <c r="T1950" s="189" t="s">
        <v>121</v>
      </c>
      <c r="V1950" s="189" t="s">
        <v>123</v>
      </c>
      <c r="W1950" s="189" t="s">
        <v>124</v>
      </c>
      <c r="X1950" s="189" t="s">
        <v>260</v>
      </c>
      <c r="Y1950" s="189" t="s">
        <v>3066</v>
      </c>
      <c r="Z1950" s="0" t="n">
        <v>2</v>
      </c>
      <c r="AA1950" s="189" t="s">
        <v>606</v>
      </c>
    </row>
    <row r="1951" customFormat="false" ht="15" hidden="false" customHeight="false" outlineLevel="0" collapsed="false">
      <c r="A1951" s="0" t="n">
        <v>420</v>
      </c>
      <c r="B1951" s="191" t="n">
        <v>46200.7127143764</v>
      </c>
      <c r="C1951" s="191" t="n">
        <v>46200.7294620616</v>
      </c>
      <c r="D1951" s="189" t="s">
        <v>2556</v>
      </c>
      <c r="E1951" s="189" t="s">
        <v>2557</v>
      </c>
      <c r="F1951" s="189" t="s">
        <v>2557</v>
      </c>
      <c r="G1951" s="189" t="s">
        <v>2558</v>
      </c>
      <c r="H1951" s="191" t="n">
        <v>46189</v>
      </c>
      <c r="I1951" s="189" t="s">
        <v>132</v>
      </c>
      <c r="J1951" s="189" t="s">
        <v>108</v>
      </c>
      <c r="K1951" s="189" t="s">
        <v>462</v>
      </c>
      <c r="L1951" s="189" t="s">
        <v>144</v>
      </c>
      <c r="M1951" s="189" t="s">
        <v>114</v>
      </c>
      <c r="N1951" s="189" t="s">
        <v>147</v>
      </c>
      <c r="O1951" s="189" t="s">
        <v>278</v>
      </c>
      <c r="P1951" s="189" t="s">
        <v>111</v>
      </c>
      <c r="Q1951" s="189" t="s">
        <v>112</v>
      </c>
      <c r="R1951" s="189" t="s">
        <v>24</v>
      </c>
      <c r="S1951" s="189" t="s">
        <v>120</v>
      </c>
      <c r="T1951" s="189" t="s">
        <v>121</v>
      </c>
      <c r="V1951" s="189" t="s">
        <v>123</v>
      </c>
      <c r="W1951" s="189" t="s">
        <v>124</v>
      </c>
      <c r="X1951" s="189" t="s">
        <v>260</v>
      </c>
      <c r="Y1951" s="189" t="s">
        <v>3069</v>
      </c>
      <c r="Z1951" s="0" t="n">
        <v>1</v>
      </c>
      <c r="AA1951" s="189" t="s">
        <v>3320</v>
      </c>
    </row>
    <row r="1952" customFormat="false" ht="15" hidden="false" customHeight="false" outlineLevel="0" collapsed="false">
      <c r="A1952" s="0" t="n">
        <v>420</v>
      </c>
      <c r="B1952" s="191" t="n">
        <v>46200.7127143764</v>
      </c>
      <c r="C1952" s="191" t="n">
        <v>46200.7294620616</v>
      </c>
      <c r="D1952" s="189" t="s">
        <v>2556</v>
      </c>
      <c r="E1952" s="189" t="s">
        <v>2557</v>
      </c>
      <c r="F1952" s="189" t="s">
        <v>2557</v>
      </c>
      <c r="G1952" s="189" t="s">
        <v>2558</v>
      </c>
      <c r="H1952" s="191" t="n">
        <v>46189</v>
      </c>
      <c r="I1952" s="189" t="s">
        <v>132</v>
      </c>
      <c r="J1952" s="189" t="s">
        <v>108</v>
      </c>
      <c r="K1952" s="189" t="s">
        <v>462</v>
      </c>
      <c r="L1952" s="189" t="s">
        <v>144</v>
      </c>
      <c r="M1952" s="189" t="s">
        <v>114</v>
      </c>
      <c r="N1952" s="189" t="s">
        <v>147</v>
      </c>
      <c r="O1952" s="189" t="s">
        <v>278</v>
      </c>
      <c r="P1952" s="189" t="s">
        <v>111</v>
      </c>
      <c r="Q1952" s="189" t="s">
        <v>112</v>
      </c>
      <c r="R1952" s="189" t="s">
        <v>24</v>
      </c>
      <c r="S1952" s="189" t="s">
        <v>120</v>
      </c>
      <c r="T1952" s="189" t="s">
        <v>121</v>
      </c>
      <c r="V1952" s="189" t="s">
        <v>123</v>
      </c>
      <c r="W1952" s="189" t="s">
        <v>124</v>
      </c>
      <c r="X1952" s="189" t="s">
        <v>260</v>
      </c>
      <c r="Y1952" s="189" t="s">
        <v>3069</v>
      </c>
      <c r="Z1952" s="0" t="n">
        <v>2</v>
      </c>
      <c r="AA1952" s="189" t="s">
        <v>3113</v>
      </c>
    </row>
    <row r="1953" customFormat="false" ht="15" hidden="false" customHeight="false" outlineLevel="0" collapsed="false">
      <c r="A1953" s="0" t="n">
        <v>421</v>
      </c>
      <c r="B1953" s="191" t="n">
        <v>46134.5744013647</v>
      </c>
      <c r="C1953" s="191" t="n">
        <v>46134.5831397906</v>
      </c>
      <c r="D1953" s="189" t="s">
        <v>2562</v>
      </c>
      <c r="E1953" s="189" t="s">
        <v>2563</v>
      </c>
      <c r="F1953" s="189" t="s">
        <v>2563</v>
      </c>
      <c r="G1953" s="189" t="s">
        <v>2564</v>
      </c>
      <c r="H1953" s="191" t="n">
        <v>46117</v>
      </c>
      <c r="I1953" s="189" t="s">
        <v>113</v>
      </c>
      <c r="J1953" s="189" t="s">
        <v>108</v>
      </c>
      <c r="K1953" s="189" t="s">
        <v>2430</v>
      </c>
      <c r="L1953" s="189" t="s">
        <v>110</v>
      </c>
      <c r="M1953" s="189" t="s">
        <v>870</v>
      </c>
      <c r="N1953" s="189" t="s">
        <v>775</v>
      </c>
      <c r="O1953" s="189" t="s">
        <v>172</v>
      </c>
      <c r="P1953" s="189" t="s">
        <v>111</v>
      </c>
      <c r="Q1953" s="189" t="s">
        <v>112</v>
      </c>
      <c r="R1953" s="189" t="s">
        <v>22</v>
      </c>
      <c r="S1953" s="189" t="s">
        <v>152</v>
      </c>
      <c r="T1953" s="189" t="s">
        <v>2255</v>
      </c>
      <c r="V1953" s="189" t="s">
        <v>167</v>
      </c>
      <c r="W1953" s="189" t="s">
        <v>124</v>
      </c>
      <c r="X1953" s="189" t="s">
        <v>715</v>
      </c>
      <c r="Y1953" s="189" t="s">
        <v>3064</v>
      </c>
      <c r="Z1953" s="0" t="n">
        <v>1</v>
      </c>
      <c r="AA1953" s="189" t="s">
        <v>3251</v>
      </c>
    </row>
    <row r="1954" customFormat="false" ht="15" hidden="false" customHeight="false" outlineLevel="0" collapsed="false">
      <c r="A1954" s="0" t="n">
        <v>421</v>
      </c>
      <c r="B1954" s="191" t="n">
        <v>46134.5744013647</v>
      </c>
      <c r="C1954" s="191" t="n">
        <v>46134.5831397906</v>
      </c>
      <c r="D1954" s="189" t="s">
        <v>2562</v>
      </c>
      <c r="E1954" s="189" t="s">
        <v>2563</v>
      </c>
      <c r="F1954" s="189" t="s">
        <v>2563</v>
      </c>
      <c r="G1954" s="189" t="s">
        <v>2564</v>
      </c>
      <c r="H1954" s="191" t="n">
        <v>46117</v>
      </c>
      <c r="I1954" s="189" t="s">
        <v>113</v>
      </c>
      <c r="J1954" s="189" t="s">
        <v>108</v>
      </c>
      <c r="K1954" s="189" t="s">
        <v>2430</v>
      </c>
      <c r="L1954" s="189" t="s">
        <v>110</v>
      </c>
      <c r="M1954" s="189" t="s">
        <v>870</v>
      </c>
      <c r="N1954" s="189" t="s">
        <v>775</v>
      </c>
      <c r="O1954" s="189" t="s">
        <v>172</v>
      </c>
      <c r="P1954" s="189" t="s">
        <v>111</v>
      </c>
      <c r="Q1954" s="189" t="s">
        <v>112</v>
      </c>
      <c r="R1954" s="189" t="s">
        <v>22</v>
      </c>
      <c r="S1954" s="189" t="s">
        <v>152</v>
      </c>
      <c r="T1954" s="189" t="s">
        <v>2255</v>
      </c>
      <c r="V1954" s="189" t="s">
        <v>167</v>
      </c>
      <c r="W1954" s="189" t="s">
        <v>124</v>
      </c>
      <c r="X1954" s="189" t="s">
        <v>715</v>
      </c>
      <c r="Y1954" s="189" t="s">
        <v>3066</v>
      </c>
      <c r="Z1954" s="0" t="n">
        <v>1</v>
      </c>
      <c r="AA1954" s="189" t="s">
        <v>3227</v>
      </c>
    </row>
    <row r="1955" customFormat="false" ht="15" hidden="false" customHeight="false" outlineLevel="0" collapsed="false">
      <c r="A1955" s="0" t="n">
        <v>421</v>
      </c>
      <c r="B1955" s="191" t="n">
        <v>46134.5744013647</v>
      </c>
      <c r="C1955" s="191" t="n">
        <v>46134.5831397906</v>
      </c>
      <c r="D1955" s="189" t="s">
        <v>2562</v>
      </c>
      <c r="E1955" s="189" t="s">
        <v>2563</v>
      </c>
      <c r="F1955" s="189" t="s">
        <v>2563</v>
      </c>
      <c r="G1955" s="189" t="s">
        <v>2564</v>
      </c>
      <c r="H1955" s="191" t="n">
        <v>46117</v>
      </c>
      <c r="I1955" s="189" t="s">
        <v>113</v>
      </c>
      <c r="J1955" s="189" t="s">
        <v>108</v>
      </c>
      <c r="K1955" s="189" t="s">
        <v>2430</v>
      </c>
      <c r="L1955" s="189" t="s">
        <v>110</v>
      </c>
      <c r="M1955" s="189" t="s">
        <v>870</v>
      </c>
      <c r="N1955" s="189" t="s">
        <v>775</v>
      </c>
      <c r="O1955" s="189" t="s">
        <v>172</v>
      </c>
      <c r="P1955" s="189" t="s">
        <v>111</v>
      </c>
      <c r="Q1955" s="189" t="s">
        <v>112</v>
      </c>
      <c r="R1955" s="189" t="s">
        <v>22</v>
      </c>
      <c r="S1955" s="189" t="s">
        <v>152</v>
      </c>
      <c r="T1955" s="189" t="s">
        <v>2255</v>
      </c>
      <c r="V1955" s="189" t="s">
        <v>167</v>
      </c>
      <c r="W1955" s="189" t="s">
        <v>124</v>
      </c>
      <c r="X1955" s="189" t="s">
        <v>715</v>
      </c>
      <c r="Y1955" s="189" t="s">
        <v>3066</v>
      </c>
      <c r="Z1955" s="0" t="n">
        <v>2</v>
      </c>
      <c r="AA1955" s="189" t="s">
        <v>3231</v>
      </c>
    </row>
    <row r="1956" customFormat="false" ht="15" hidden="false" customHeight="false" outlineLevel="0" collapsed="false">
      <c r="A1956" s="0" t="n">
        <v>421</v>
      </c>
      <c r="B1956" s="191" t="n">
        <v>46134.5744013647</v>
      </c>
      <c r="C1956" s="191" t="n">
        <v>46134.5831397906</v>
      </c>
      <c r="D1956" s="189" t="s">
        <v>2562</v>
      </c>
      <c r="E1956" s="189" t="s">
        <v>2563</v>
      </c>
      <c r="F1956" s="189" t="s">
        <v>2563</v>
      </c>
      <c r="G1956" s="189" t="s">
        <v>2564</v>
      </c>
      <c r="H1956" s="191" t="n">
        <v>46117</v>
      </c>
      <c r="I1956" s="189" t="s">
        <v>113</v>
      </c>
      <c r="J1956" s="189" t="s">
        <v>108</v>
      </c>
      <c r="K1956" s="189" t="s">
        <v>2430</v>
      </c>
      <c r="L1956" s="189" t="s">
        <v>110</v>
      </c>
      <c r="M1956" s="189" t="s">
        <v>870</v>
      </c>
      <c r="N1956" s="189" t="s">
        <v>775</v>
      </c>
      <c r="O1956" s="189" t="s">
        <v>172</v>
      </c>
      <c r="P1956" s="189" t="s">
        <v>111</v>
      </c>
      <c r="Q1956" s="189" t="s">
        <v>112</v>
      </c>
      <c r="R1956" s="189" t="s">
        <v>22</v>
      </c>
      <c r="S1956" s="189" t="s">
        <v>152</v>
      </c>
      <c r="T1956" s="189" t="s">
        <v>2255</v>
      </c>
      <c r="V1956" s="189" t="s">
        <v>167</v>
      </c>
      <c r="W1956" s="189" t="s">
        <v>124</v>
      </c>
      <c r="X1956" s="189" t="s">
        <v>715</v>
      </c>
      <c r="Y1956" s="189" t="s">
        <v>3069</v>
      </c>
      <c r="Z1956" s="0" t="n">
        <v>1</v>
      </c>
      <c r="AA1956" s="189" t="s">
        <v>3253</v>
      </c>
    </row>
    <row r="1957" customFormat="false" ht="15" hidden="false" customHeight="false" outlineLevel="0" collapsed="false">
      <c r="A1957" s="0" t="n">
        <v>421</v>
      </c>
      <c r="B1957" s="191" t="n">
        <v>46134.5744013647</v>
      </c>
      <c r="C1957" s="191" t="n">
        <v>46134.5831397906</v>
      </c>
      <c r="D1957" s="189" t="s">
        <v>2562</v>
      </c>
      <c r="E1957" s="189" t="s">
        <v>2563</v>
      </c>
      <c r="F1957" s="189" t="s">
        <v>2563</v>
      </c>
      <c r="G1957" s="189" t="s">
        <v>2564</v>
      </c>
      <c r="H1957" s="191" t="n">
        <v>46117</v>
      </c>
      <c r="I1957" s="189" t="s">
        <v>113</v>
      </c>
      <c r="J1957" s="189" t="s">
        <v>108</v>
      </c>
      <c r="K1957" s="189" t="s">
        <v>2430</v>
      </c>
      <c r="L1957" s="189" t="s">
        <v>110</v>
      </c>
      <c r="M1957" s="189" t="s">
        <v>870</v>
      </c>
      <c r="N1957" s="189" t="s">
        <v>775</v>
      </c>
      <c r="O1957" s="189" t="s">
        <v>172</v>
      </c>
      <c r="P1957" s="189" t="s">
        <v>111</v>
      </c>
      <c r="Q1957" s="189" t="s">
        <v>112</v>
      </c>
      <c r="R1957" s="189" t="s">
        <v>22</v>
      </c>
      <c r="S1957" s="189" t="s">
        <v>152</v>
      </c>
      <c r="T1957" s="189" t="s">
        <v>2255</v>
      </c>
      <c r="V1957" s="189" t="s">
        <v>167</v>
      </c>
      <c r="W1957" s="189" t="s">
        <v>124</v>
      </c>
      <c r="X1957" s="189" t="s">
        <v>715</v>
      </c>
      <c r="Y1957" s="189" t="s">
        <v>3069</v>
      </c>
      <c r="Z1957" s="0" t="n">
        <v>2</v>
      </c>
      <c r="AA1957" s="189" t="s">
        <v>3229</v>
      </c>
    </row>
    <row r="1958" customFormat="false" ht="15" hidden="false" customHeight="false" outlineLevel="0" collapsed="false">
      <c r="A1958" s="0" t="n">
        <v>422</v>
      </c>
      <c r="B1958" s="191" t="n">
        <v>46081.5491171193</v>
      </c>
      <c r="C1958" s="191" t="n">
        <v>46081.5558185082</v>
      </c>
      <c r="D1958" s="189" t="s">
        <v>2566</v>
      </c>
      <c r="E1958" s="189" t="s">
        <v>2567</v>
      </c>
      <c r="F1958" s="189" t="s">
        <v>2567</v>
      </c>
      <c r="G1958" s="189" t="s">
        <v>2568</v>
      </c>
      <c r="H1958" s="191" t="n">
        <v>46074</v>
      </c>
      <c r="I1958" s="189" t="s">
        <v>113</v>
      </c>
      <c r="J1958" s="189" t="s">
        <v>108</v>
      </c>
      <c r="K1958" s="189" t="s">
        <v>143</v>
      </c>
      <c r="L1958" s="189" t="s">
        <v>431</v>
      </c>
      <c r="M1958" s="189" t="s">
        <v>515</v>
      </c>
      <c r="N1958" s="189" t="s">
        <v>645</v>
      </c>
      <c r="O1958" s="189" t="s">
        <v>107</v>
      </c>
      <c r="P1958" s="189" t="s">
        <v>111</v>
      </c>
      <c r="Q1958" s="189" t="s">
        <v>112</v>
      </c>
      <c r="R1958" s="189" t="s">
        <v>24</v>
      </c>
      <c r="S1958" s="189" t="s">
        <v>120</v>
      </c>
      <c r="T1958" s="189" t="s">
        <v>352</v>
      </c>
      <c r="U1958" s="189" t="s">
        <v>166</v>
      </c>
      <c r="V1958" s="189" t="s">
        <v>123</v>
      </c>
      <c r="W1958" s="189" t="s">
        <v>124</v>
      </c>
      <c r="X1958" s="189" t="s">
        <v>214</v>
      </c>
      <c r="Y1958" s="189" t="s">
        <v>3064</v>
      </c>
      <c r="Z1958" s="0" t="n">
        <v>1</v>
      </c>
      <c r="AA1958" s="189" t="s">
        <v>3065</v>
      </c>
    </row>
    <row r="1959" customFormat="false" ht="15" hidden="false" customHeight="false" outlineLevel="0" collapsed="false">
      <c r="A1959" s="0" t="n">
        <v>422</v>
      </c>
      <c r="B1959" s="191" t="n">
        <v>46081.5491171193</v>
      </c>
      <c r="C1959" s="191" t="n">
        <v>46081.5558185082</v>
      </c>
      <c r="D1959" s="189" t="s">
        <v>2566</v>
      </c>
      <c r="E1959" s="189" t="s">
        <v>2567</v>
      </c>
      <c r="F1959" s="189" t="s">
        <v>2567</v>
      </c>
      <c r="G1959" s="189" t="s">
        <v>2568</v>
      </c>
      <c r="H1959" s="191" t="n">
        <v>46074</v>
      </c>
      <c r="I1959" s="189" t="s">
        <v>113</v>
      </c>
      <c r="J1959" s="189" t="s">
        <v>108</v>
      </c>
      <c r="K1959" s="189" t="s">
        <v>143</v>
      </c>
      <c r="L1959" s="189" t="s">
        <v>431</v>
      </c>
      <c r="M1959" s="189" t="s">
        <v>515</v>
      </c>
      <c r="N1959" s="189" t="s">
        <v>645</v>
      </c>
      <c r="O1959" s="189" t="s">
        <v>107</v>
      </c>
      <c r="P1959" s="189" t="s">
        <v>111</v>
      </c>
      <c r="Q1959" s="189" t="s">
        <v>112</v>
      </c>
      <c r="R1959" s="189" t="s">
        <v>24</v>
      </c>
      <c r="S1959" s="189" t="s">
        <v>120</v>
      </c>
      <c r="T1959" s="189" t="s">
        <v>352</v>
      </c>
      <c r="U1959" s="189" t="s">
        <v>166</v>
      </c>
      <c r="V1959" s="189" t="s">
        <v>123</v>
      </c>
      <c r="W1959" s="189" t="s">
        <v>124</v>
      </c>
      <c r="X1959" s="189" t="s">
        <v>214</v>
      </c>
      <c r="Y1959" s="189" t="s">
        <v>3064</v>
      </c>
      <c r="Z1959" s="0" t="n">
        <v>2</v>
      </c>
      <c r="AA1959" s="189" t="s">
        <v>3107</v>
      </c>
    </row>
    <row r="1960" customFormat="false" ht="15" hidden="false" customHeight="false" outlineLevel="0" collapsed="false">
      <c r="A1960" s="0" t="n">
        <v>422</v>
      </c>
      <c r="B1960" s="191" t="n">
        <v>46081.5491171193</v>
      </c>
      <c r="C1960" s="191" t="n">
        <v>46081.5558185082</v>
      </c>
      <c r="D1960" s="189" t="s">
        <v>2566</v>
      </c>
      <c r="E1960" s="189" t="s">
        <v>2567</v>
      </c>
      <c r="F1960" s="189" t="s">
        <v>2567</v>
      </c>
      <c r="G1960" s="189" t="s">
        <v>2568</v>
      </c>
      <c r="H1960" s="191" t="n">
        <v>46074</v>
      </c>
      <c r="I1960" s="189" t="s">
        <v>113</v>
      </c>
      <c r="J1960" s="189" t="s">
        <v>108</v>
      </c>
      <c r="K1960" s="189" t="s">
        <v>143</v>
      </c>
      <c r="L1960" s="189" t="s">
        <v>431</v>
      </c>
      <c r="M1960" s="189" t="s">
        <v>515</v>
      </c>
      <c r="N1960" s="189" t="s">
        <v>645</v>
      </c>
      <c r="O1960" s="189" t="s">
        <v>107</v>
      </c>
      <c r="P1960" s="189" t="s">
        <v>111</v>
      </c>
      <c r="Q1960" s="189" t="s">
        <v>112</v>
      </c>
      <c r="R1960" s="189" t="s">
        <v>24</v>
      </c>
      <c r="S1960" s="189" t="s">
        <v>120</v>
      </c>
      <c r="T1960" s="189" t="s">
        <v>352</v>
      </c>
      <c r="U1960" s="189" t="s">
        <v>166</v>
      </c>
      <c r="V1960" s="189" t="s">
        <v>123</v>
      </c>
      <c r="W1960" s="189" t="s">
        <v>124</v>
      </c>
      <c r="X1960" s="189" t="s">
        <v>214</v>
      </c>
      <c r="Y1960" s="189" t="s">
        <v>3064</v>
      </c>
      <c r="Z1960" s="0" t="n">
        <v>3</v>
      </c>
      <c r="AA1960" s="189" t="s">
        <v>3095</v>
      </c>
    </row>
    <row r="1961" customFormat="false" ht="15" hidden="false" customHeight="false" outlineLevel="0" collapsed="false">
      <c r="A1961" s="0" t="n">
        <v>422</v>
      </c>
      <c r="B1961" s="191" t="n">
        <v>46081.5491171193</v>
      </c>
      <c r="C1961" s="191" t="n">
        <v>46081.5558185082</v>
      </c>
      <c r="D1961" s="189" t="s">
        <v>2566</v>
      </c>
      <c r="E1961" s="189" t="s">
        <v>2567</v>
      </c>
      <c r="F1961" s="189" t="s">
        <v>2567</v>
      </c>
      <c r="G1961" s="189" t="s">
        <v>2568</v>
      </c>
      <c r="H1961" s="191" t="n">
        <v>46074</v>
      </c>
      <c r="I1961" s="189" t="s">
        <v>113</v>
      </c>
      <c r="J1961" s="189" t="s">
        <v>108</v>
      </c>
      <c r="K1961" s="189" t="s">
        <v>143</v>
      </c>
      <c r="L1961" s="189" t="s">
        <v>431</v>
      </c>
      <c r="M1961" s="189" t="s">
        <v>515</v>
      </c>
      <c r="N1961" s="189" t="s">
        <v>645</v>
      </c>
      <c r="O1961" s="189" t="s">
        <v>107</v>
      </c>
      <c r="P1961" s="189" t="s">
        <v>111</v>
      </c>
      <c r="Q1961" s="189" t="s">
        <v>112</v>
      </c>
      <c r="R1961" s="189" t="s">
        <v>24</v>
      </c>
      <c r="S1961" s="189" t="s">
        <v>120</v>
      </c>
      <c r="T1961" s="189" t="s">
        <v>352</v>
      </c>
      <c r="U1961" s="189" t="s">
        <v>166</v>
      </c>
      <c r="V1961" s="189" t="s">
        <v>123</v>
      </c>
      <c r="W1961" s="189" t="s">
        <v>124</v>
      </c>
      <c r="X1961" s="189" t="s">
        <v>214</v>
      </c>
      <c r="Y1961" s="189" t="s">
        <v>3066</v>
      </c>
      <c r="Z1961" s="0" t="n">
        <v>1</v>
      </c>
      <c r="AA1961" s="189" t="s">
        <v>3211</v>
      </c>
    </row>
    <row r="1962" customFormat="false" ht="15" hidden="false" customHeight="false" outlineLevel="0" collapsed="false">
      <c r="A1962" s="0" t="n">
        <v>422</v>
      </c>
      <c r="B1962" s="191" t="n">
        <v>46081.5491171193</v>
      </c>
      <c r="C1962" s="191" t="n">
        <v>46081.5558185082</v>
      </c>
      <c r="D1962" s="189" t="s">
        <v>2566</v>
      </c>
      <c r="E1962" s="189" t="s">
        <v>2567</v>
      </c>
      <c r="F1962" s="189" t="s">
        <v>2567</v>
      </c>
      <c r="G1962" s="189" t="s">
        <v>2568</v>
      </c>
      <c r="H1962" s="191" t="n">
        <v>46074</v>
      </c>
      <c r="I1962" s="189" t="s">
        <v>113</v>
      </c>
      <c r="J1962" s="189" t="s">
        <v>108</v>
      </c>
      <c r="K1962" s="189" t="s">
        <v>143</v>
      </c>
      <c r="L1962" s="189" t="s">
        <v>431</v>
      </c>
      <c r="M1962" s="189" t="s">
        <v>515</v>
      </c>
      <c r="N1962" s="189" t="s">
        <v>645</v>
      </c>
      <c r="O1962" s="189" t="s">
        <v>107</v>
      </c>
      <c r="P1962" s="189" t="s">
        <v>111</v>
      </c>
      <c r="Q1962" s="189" t="s">
        <v>112</v>
      </c>
      <c r="R1962" s="189" t="s">
        <v>24</v>
      </c>
      <c r="S1962" s="189" t="s">
        <v>120</v>
      </c>
      <c r="T1962" s="189" t="s">
        <v>352</v>
      </c>
      <c r="U1962" s="189" t="s">
        <v>166</v>
      </c>
      <c r="V1962" s="189" t="s">
        <v>123</v>
      </c>
      <c r="W1962" s="189" t="s">
        <v>124</v>
      </c>
      <c r="X1962" s="189" t="s">
        <v>214</v>
      </c>
      <c r="Y1962" s="189" t="s">
        <v>3069</v>
      </c>
      <c r="Z1962" s="0" t="n">
        <v>1</v>
      </c>
      <c r="AA1962" s="189" t="s">
        <v>3140</v>
      </c>
    </row>
    <row r="1963" customFormat="false" ht="15" hidden="false" customHeight="false" outlineLevel="0" collapsed="false">
      <c r="A1963" s="0" t="n">
        <v>422</v>
      </c>
      <c r="B1963" s="191" t="n">
        <v>46081.5491171193</v>
      </c>
      <c r="C1963" s="191" t="n">
        <v>46081.5558185082</v>
      </c>
      <c r="D1963" s="189" t="s">
        <v>2566</v>
      </c>
      <c r="E1963" s="189" t="s">
        <v>2567</v>
      </c>
      <c r="F1963" s="189" t="s">
        <v>2567</v>
      </c>
      <c r="G1963" s="189" t="s">
        <v>2568</v>
      </c>
      <c r="H1963" s="191" t="n">
        <v>46074</v>
      </c>
      <c r="I1963" s="189" t="s">
        <v>113</v>
      </c>
      <c r="J1963" s="189" t="s">
        <v>108</v>
      </c>
      <c r="K1963" s="189" t="s">
        <v>143</v>
      </c>
      <c r="L1963" s="189" t="s">
        <v>431</v>
      </c>
      <c r="M1963" s="189" t="s">
        <v>515</v>
      </c>
      <c r="N1963" s="189" t="s">
        <v>645</v>
      </c>
      <c r="O1963" s="189" t="s">
        <v>107</v>
      </c>
      <c r="P1963" s="189" t="s">
        <v>111</v>
      </c>
      <c r="Q1963" s="189" t="s">
        <v>112</v>
      </c>
      <c r="R1963" s="189" t="s">
        <v>24</v>
      </c>
      <c r="S1963" s="189" t="s">
        <v>120</v>
      </c>
      <c r="T1963" s="189" t="s">
        <v>352</v>
      </c>
      <c r="U1963" s="189" t="s">
        <v>166</v>
      </c>
      <c r="V1963" s="189" t="s">
        <v>123</v>
      </c>
      <c r="W1963" s="189" t="s">
        <v>124</v>
      </c>
      <c r="X1963" s="189" t="s">
        <v>214</v>
      </c>
      <c r="Y1963" s="189" t="s">
        <v>3069</v>
      </c>
      <c r="Z1963" s="0" t="n">
        <v>2</v>
      </c>
      <c r="AA1963" s="189" t="s">
        <v>3083</v>
      </c>
    </row>
    <row r="1964" customFormat="false" ht="15" hidden="false" customHeight="false" outlineLevel="0" collapsed="false">
      <c r="A1964" s="0" t="n">
        <v>423</v>
      </c>
      <c r="B1964" s="191" t="n">
        <v>46180.3389787035</v>
      </c>
      <c r="C1964" s="191" t="n">
        <v>46180.3567912035</v>
      </c>
      <c r="D1964" s="189" t="s">
        <v>2569</v>
      </c>
      <c r="E1964" s="189" t="s">
        <v>2570</v>
      </c>
      <c r="F1964" s="189" t="s">
        <v>2570</v>
      </c>
      <c r="G1964" s="189" t="s">
        <v>2571</v>
      </c>
      <c r="H1964" s="191" t="n">
        <v>46173</v>
      </c>
      <c r="I1964" s="189" t="s">
        <v>113</v>
      </c>
      <c r="J1964" s="189" t="s">
        <v>108</v>
      </c>
      <c r="K1964" s="189" t="s">
        <v>2140</v>
      </c>
      <c r="L1964" s="189" t="s">
        <v>233</v>
      </c>
      <c r="M1964" s="189" t="s">
        <v>484</v>
      </c>
      <c r="N1964" s="189" t="s">
        <v>586</v>
      </c>
      <c r="O1964" s="189" t="s">
        <v>278</v>
      </c>
      <c r="P1964" s="189" t="s">
        <v>111</v>
      </c>
      <c r="Q1964" s="189" t="s">
        <v>112</v>
      </c>
      <c r="R1964" s="189" t="s">
        <v>22</v>
      </c>
      <c r="S1964" s="189" t="s">
        <v>152</v>
      </c>
      <c r="T1964" s="189" t="s">
        <v>121</v>
      </c>
      <c r="U1964" s="189" t="s">
        <v>547</v>
      </c>
      <c r="V1964" s="189" t="s">
        <v>123</v>
      </c>
      <c r="W1964" s="189" t="s">
        <v>124</v>
      </c>
      <c r="X1964" s="189" t="s">
        <v>271</v>
      </c>
      <c r="Y1964" s="189" t="s">
        <v>3064</v>
      </c>
      <c r="Z1964" s="0" t="n">
        <v>1</v>
      </c>
      <c r="AA1964" s="189" t="s">
        <v>3114</v>
      </c>
    </row>
    <row r="1965" customFormat="false" ht="15" hidden="false" customHeight="false" outlineLevel="0" collapsed="false">
      <c r="A1965" s="0" t="n">
        <v>423</v>
      </c>
      <c r="B1965" s="191" t="n">
        <v>46180.3389787035</v>
      </c>
      <c r="C1965" s="191" t="n">
        <v>46180.3567912035</v>
      </c>
      <c r="D1965" s="189" t="s">
        <v>2569</v>
      </c>
      <c r="E1965" s="189" t="s">
        <v>2570</v>
      </c>
      <c r="F1965" s="189" t="s">
        <v>2570</v>
      </c>
      <c r="G1965" s="189" t="s">
        <v>2571</v>
      </c>
      <c r="H1965" s="191" t="n">
        <v>46173</v>
      </c>
      <c r="I1965" s="189" t="s">
        <v>113</v>
      </c>
      <c r="J1965" s="189" t="s">
        <v>108</v>
      </c>
      <c r="K1965" s="189" t="s">
        <v>2140</v>
      </c>
      <c r="L1965" s="189" t="s">
        <v>233</v>
      </c>
      <c r="M1965" s="189" t="s">
        <v>484</v>
      </c>
      <c r="N1965" s="189" t="s">
        <v>586</v>
      </c>
      <c r="O1965" s="189" t="s">
        <v>278</v>
      </c>
      <c r="P1965" s="189" t="s">
        <v>111</v>
      </c>
      <c r="Q1965" s="189" t="s">
        <v>112</v>
      </c>
      <c r="R1965" s="189" t="s">
        <v>22</v>
      </c>
      <c r="S1965" s="189" t="s">
        <v>152</v>
      </c>
      <c r="T1965" s="189" t="s">
        <v>121</v>
      </c>
      <c r="U1965" s="189" t="s">
        <v>547</v>
      </c>
      <c r="V1965" s="189" t="s">
        <v>123</v>
      </c>
      <c r="W1965" s="189" t="s">
        <v>124</v>
      </c>
      <c r="X1965" s="189" t="s">
        <v>271</v>
      </c>
      <c r="Y1965" s="189" t="s">
        <v>3064</v>
      </c>
      <c r="Z1965" s="0" t="n">
        <v>2</v>
      </c>
      <c r="AA1965" s="189" t="s">
        <v>3230</v>
      </c>
    </row>
    <row r="1966" customFormat="false" ht="15" hidden="false" customHeight="false" outlineLevel="0" collapsed="false">
      <c r="A1966" s="0" t="n">
        <v>423</v>
      </c>
      <c r="B1966" s="191" t="n">
        <v>46180.3389787035</v>
      </c>
      <c r="C1966" s="191" t="n">
        <v>46180.3567912035</v>
      </c>
      <c r="D1966" s="189" t="s">
        <v>2569</v>
      </c>
      <c r="E1966" s="189" t="s">
        <v>2570</v>
      </c>
      <c r="F1966" s="189" t="s">
        <v>2570</v>
      </c>
      <c r="G1966" s="189" t="s">
        <v>2571</v>
      </c>
      <c r="H1966" s="191" t="n">
        <v>46173</v>
      </c>
      <c r="I1966" s="189" t="s">
        <v>113</v>
      </c>
      <c r="J1966" s="189" t="s">
        <v>108</v>
      </c>
      <c r="K1966" s="189" t="s">
        <v>2140</v>
      </c>
      <c r="L1966" s="189" t="s">
        <v>233</v>
      </c>
      <c r="M1966" s="189" t="s">
        <v>484</v>
      </c>
      <c r="N1966" s="189" t="s">
        <v>586</v>
      </c>
      <c r="O1966" s="189" t="s">
        <v>278</v>
      </c>
      <c r="P1966" s="189" t="s">
        <v>111</v>
      </c>
      <c r="Q1966" s="189" t="s">
        <v>112</v>
      </c>
      <c r="R1966" s="189" t="s">
        <v>22</v>
      </c>
      <c r="S1966" s="189" t="s">
        <v>152</v>
      </c>
      <c r="T1966" s="189" t="s">
        <v>121</v>
      </c>
      <c r="U1966" s="189" t="s">
        <v>547</v>
      </c>
      <c r="V1966" s="189" t="s">
        <v>123</v>
      </c>
      <c r="W1966" s="189" t="s">
        <v>124</v>
      </c>
      <c r="X1966" s="189" t="s">
        <v>271</v>
      </c>
      <c r="Y1966" s="189" t="s">
        <v>3064</v>
      </c>
      <c r="Z1966" s="0" t="n">
        <v>3</v>
      </c>
      <c r="AA1966" s="189" t="s">
        <v>3135</v>
      </c>
    </row>
    <row r="1967" customFormat="false" ht="15" hidden="false" customHeight="false" outlineLevel="0" collapsed="false">
      <c r="A1967" s="0" t="n">
        <v>423</v>
      </c>
      <c r="B1967" s="191" t="n">
        <v>46180.3389787035</v>
      </c>
      <c r="C1967" s="191" t="n">
        <v>46180.3567912035</v>
      </c>
      <c r="D1967" s="189" t="s">
        <v>2569</v>
      </c>
      <c r="E1967" s="189" t="s">
        <v>2570</v>
      </c>
      <c r="F1967" s="189" t="s">
        <v>2570</v>
      </c>
      <c r="G1967" s="189" t="s">
        <v>2571</v>
      </c>
      <c r="H1967" s="191" t="n">
        <v>46173</v>
      </c>
      <c r="I1967" s="189" t="s">
        <v>113</v>
      </c>
      <c r="J1967" s="189" t="s">
        <v>108</v>
      </c>
      <c r="K1967" s="189" t="s">
        <v>2140</v>
      </c>
      <c r="L1967" s="189" t="s">
        <v>233</v>
      </c>
      <c r="M1967" s="189" t="s">
        <v>484</v>
      </c>
      <c r="N1967" s="189" t="s">
        <v>586</v>
      </c>
      <c r="O1967" s="189" t="s">
        <v>278</v>
      </c>
      <c r="P1967" s="189" t="s">
        <v>111</v>
      </c>
      <c r="Q1967" s="189" t="s">
        <v>112</v>
      </c>
      <c r="R1967" s="189" t="s">
        <v>22</v>
      </c>
      <c r="S1967" s="189" t="s">
        <v>152</v>
      </c>
      <c r="T1967" s="189" t="s">
        <v>121</v>
      </c>
      <c r="U1967" s="189" t="s">
        <v>547</v>
      </c>
      <c r="V1967" s="189" t="s">
        <v>123</v>
      </c>
      <c r="W1967" s="189" t="s">
        <v>124</v>
      </c>
      <c r="X1967" s="189" t="s">
        <v>271</v>
      </c>
      <c r="Y1967" s="189" t="s">
        <v>3066</v>
      </c>
      <c r="Z1967" s="0" t="n">
        <v>1</v>
      </c>
      <c r="AA1967" s="189" t="s">
        <v>3116</v>
      </c>
    </row>
    <row r="1968" customFormat="false" ht="15" hidden="false" customHeight="false" outlineLevel="0" collapsed="false">
      <c r="A1968" s="0" t="n">
        <v>423</v>
      </c>
      <c r="B1968" s="191" t="n">
        <v>46180.3389787035</v>
      </c>
      <c r="C1968" s="191" t="n">
        <v>46180.3567912035</v>
      </c>
      <c r="D1968" s="189" t="s">
        <v>2569</v>
      </c>
      <c r="E1968" s="189" t="s">
        <v>2570</v>
      </c>
      <c r="F1968" s="189" t="s">
        <v>2570</v>
      </c>
      <c r="G1968" s="189" t="s">
        <v>2571</v>
      </c>
      <c r="H1968" s="191" t="n">
        <v>46173</v>
      </c>
      <c r="I1968" s="189" t="s">
        <v>113</v>
      </c>
      <c r="J1968" s="189" t="s">
        <v>108</v>
      </c>
      <c r="K1968" s="189" t="s">
        <v>2140</v>
      </c>
      <c r="L1968" s="189" t="s">
        <v>233</v>
      </c>
      <c r="M1968" s="189" t="s">
        <v>484</v>
      </c>
      <c r="N1968" s="189" t="s">
        <v>586</v>
      </c>
      <c r="O1968" s="189" t="s">
        <v>278</v>
      </c>
      <c r="P1968" s="189" t="s">
        <v>111</v>
      </c>
      <c r="Q1968" s="189" t="s">
        <v>112</v>
      </c>
      <c r="R1968" s="189" t="s">
        <v>22</v>
      </c>
      <c r="S1968" s="189" t="s">
        <v>152</v>
      </c>
      <c r="T1968" s="189" t="s">
        <v>121</v>
      </c>
      <c r="U1968" s="189" t="s">
        <v>547</v>
      </c>
      <c r="V1968" s="189" t="s">
        <v>123</v>
      </c>
      <c r="W1968" s="189" t="s">
        <v>124</v>
      </c>
      <c r="X1968" s="189" t="s">
        <v>271</v>
      </c>
      <c r="Y1968" s="189" t="s">
        <v>3066</v>
      </c>
      <c r="Z1968" s="0" t="n">
        <v>2</v>
      </c>
      <c r="AA1968" s="189" t="s">
        <v>3138</v>
      </c>
    </row>
    <row r="1969" customFormat="false" ht="15" hidden="false" customHeight="false" outlineLevel="0" collapsed="false">
      <c r="A1969" s="0" t="n">
        <v>423</v>
      </c>
      <c r="B1969" s="191" t="n">
        <v>46180.3389787035</v>
      </c>
      <c r="C1969" s="191" t="n">
        <v>46180.3567912035</v>
      </c>
      <c r="D1969" s="189" t="s">
        <v>2569</v>
      </c>
      <c r="E1969" s="189" t="s">
        <v>2570</v>
      </c>
      <c r="F1969" s="189" t="s">
        <v>2570</v>
      </c>
      <c r="G1969" s="189" t="s">
        <v>2571</v>
      </c>
      <c r="H1969" s="191" t="n">
        <v>46173</v>
      </c>
      <c r="I1969" s="189" t="s">
        <v>113</v>
      </c>
      <c r="J1969" s="189" t="s">
        <v>108</v>
      </c>
      <c r="K1969" s="189" t="s">
        <v>2140</v>
      </c>
      <c r="L1969" s="189" t="s">
        <v>233</v>
      </c>
      <c r="M1969" s="189" t="s">
        <v>484</v>
      </c>
      <c r="N1969" s="189" t="s">
        <v>586</v>
      </c>
      <c r="O1969" s="189" t="s">
        <v>278</v>
      </c>
      <c r="P1969" s="189" t="s">
        <v>111</v>
      </c>
      <c r="Q1969" s="189" t="s">
        <v>112</v>
      </c>
      <c r="R1969" s="189" t="s">
        <v>22</v>
      </c>
      <c r="S1969" s="189" t="s">
        <v>152</v>
      </c>
      <c r="T1969" s="189" t="s">
        <v>121</v>
      </c>
      <c r="U1969" s="189" t="s">
        <v>547</v>
      </c>
      <c r="V1969" s="189" t="s">
        <v>123</v>
      </c>
      <c r="W1969" s="189" t="s">
        <v>124</v>
      </c>
      <c r="X1969" s="189" t="s">
        <v>271</v>
      </c>
      <c r="Y1969" s="189" t="s">
        <v>3069</v>
      </c>
      <c r="Z1969" s="0" t="n">
        <v>1</v>
      </c>
      <c r="AA1969" s="189" t="s">
        <v>122</v>
      </c>
    </row>
    <row r="1970" customFormat="false" ht="15" hidden="false" customHeight="false" outlineLevel="0" collapsed="false">
      <c r="A1970" s="0" t="n">
        <v>423</v>
      </c>
      <c r="B1970" s="191" t="n">
        <v>46180.3389787035</v>
      </c>
      <c r="C1970" s="191" t="n">
        <v>46180.3567912035</v>
      </c>
      <c r="D1970" s="189" t="s">
        <v>2569</v>
      </c>
      <c r="E1970" s="189" t="s">
        <v>2570</v>
      </c>
      <c r="F1970" s="189" t="s">
        <v>2570</v>
      </c>
      <c r="G1970" s="189" t="s">
        <v>2571</v>
      </c>
      <c r="H1970" s="191" t="n">
        <v>46173</v>
      </c>
      <c r="I1970" s="189" t="s">
        <v>113</v>
      </c>
      <c r="J1970" s="189" t="s">
        <v>108</v>
      </c>
      <c r="K1970" s="189" t="s">
        <v>2140</v>
      </c>
      <c r="L1970" s="189" t="s">
        <v>233</v>
      </c>
      <c r="M1970" s="189" t="s">
        <v>484</v>
      </c>
      <c r="N1970" s="189" t="s">
        <v>586</v>
      </c>
      <c r="O1970" s="189" t="s">
        <v>278</v>
      </c>
      <c r="P1970" s="189" t="s">
        <v>111</v>
      </c>
      <c r="Q1970" s="189" t="s">
        <v>112</v>
      </c>
      <c r="R1970" s="189" t="s">
        <v>22</v>
      </c>
      <c r="S1970" s="189" t="s">
        <v>152</v>
      </c>
      <c r="T1970" s="189" t="s">
        <v>121</v>
      </c>
      <c r="U1970" s="189" t="s">
        <v>547</v>
      </c>
      <c r="V1970" s="189" t="s">
        <v>123</v>
      </c>
      <c r="W1970" s="189" t="s">
        <v>124</v>
      </c>
      <c r="X1970" s="189" t="s">
        <v>271</v>
      </c>
      <c r="Y1970" s="189" t="s">
        <v>3069</v>
      </c>
      <c r="Z1970" s="0" t="n">
        <v>2</v>
      </c>
      <c r="AA1970" s="189" t="s">
        <v>3119</v>
      </c>
    </row>
    <row r="1971" customFormat="false" ht="15" hidden="false" customHeight="false" outlineLevel="0" collapsed="false">
      <c r="A1971" s="0" t="n">
        <v>424</v>
      </c>
      <c r="B1971" s="191" t="n">
        <v>46109.3594236229</v>
      </c>
      <c r="C1971" s="191" t="n">
        <v>46109.3775486229</v>
      </c>
      <c r="D1971" s="189" t="s">
        <v>2573</v>
      </c>
      <c r="E1971" s="189" t="s">
        <v>2574</v>
      </c>
      <c r="F1971" s="189" t="s">
        <v>2575</v>
      </c>
      <c r="G1971" s="189" t="s">
        <v>2576</v>
      </c>
      <c r="H1971" s="191" t="n">
        <v>46098</v>
      </c>
      <c r="I1971" s="189" t="s">
        <v>113</v>
      </c>
      <c r="J1971" s="189" t="s">
        <v>295</v>
      </c>
      <c r="K1971" s="189" t="s">
        <v>173</v>
      </c>
      <c r="L1971" s="189" t="s">
        <v>389</v>
      </c>
      <c r="M1971" s="189" t="s">
        <v>199</v>
      </c>
      <c r="N1971" s="189" t="s">
        <v>625</v>
      </c>
      <c r="O1971" s="189" t="s">
        <v>107</v>
      </c>
      <c r="P1971" s="189" t="s">
        <v>111</v>
      </c>
      <c r="Q1971" s="189" t="s">
        <v>145</v>
      </c>
      <c r="R1971" s="189" t="s">
        <v>22</v>
      </c>
      <c r="S1971" s="189" t="s">
        <v>152</v>
      </c>
      <c r="T1971" s="189" t="s">
        <v>352</v>
      </c>
      <c r="U1971" s="189" t="s">
        <v>122</v>
      </c>
      <c r="V1971" s="189" t="s">
        <v>123</v>
      </c>
      <c r="W1971" s="189" t="s">
        <v>124</v>
      </c>
      <c r="X1971" s="189" t="s">
        <v>715</v>
      </c>
      <c r="Y1971" s="189" t="s">
        <v>3064</v>
      </c>
      <c r="Z1971" s="0" t="n">
        <v>1</v>
      </c>
      <c r="AA1971" s="189" t="s">
        <v>3251</v>
      </c>
    </row>
    <row r="1972" customFormat="false" ht="15" hidden="false" customHeight="false" outlineLevel="0" collapsed="false">
      <c r="A1972" s="0" t="n">
        <v>424</v>
      </c>
      <c r="B1972" s="191" t="n">
        <v>46109.3594236229</v>
      </c>
      <c r="C1972" s="191" t="n">
        <v>46109.3775486229</v>
      </c>
      <c r="D1972" s="189" t="s">
        <v>2573</v>
      </c>
      <c r="E1972" s="189" t="s">
        <v>2574</v>
      </c>
      <c r="F1972" s="189" t="s">
        <v>2575</v>
      </c>
      <c r="G1972" s="189" t="s">
        <v>2576</v>
      </c>
      <c r="H1972" s="191" t="n">
        <v>46098</v>
      </c>
      <c r="I1972" s="189" t="s">
        <v>113</v>
      </c>
      <c r="J1972" s="189" t="s">
        <v>295</v>
      </c>
      <c r="K1972" s="189" t="s">
        <v>173</v>
      </c>
      <c r="L1972" s="189" t="s">
        <v>389</v>
      </c>
      <c r="M1972" s="189" t="s">
        <v>199</v>
      </c>
      <c r="N1972" s="189" t="s">
        <v>625</v>
      </c>
      <c r="O1972" s="189" t="s">
        <v>107</v>
      </c>
      <c r="P1972" s="189" t="s">
        <v>111</v>
      </c>
      <c r="Q1972" s="189" t="s">
        <v>145</v>
      </c>
      <c r="R1972" s="189" t="s">
        <v>22</v>
      </c>
      <c r="S1972" s="189" t="s">
        <v>152</v>
      </c>
      <c r="T1972" s="189" t="s">
        <v>352</v>
      </c>
      <c r="U1972" s="189" t="s">
        <v>122</v>
      </c>
      <c r="V1972" s="189" t="s">
        <v>123</v>
      </c>
      <c r="W1972" s="189" t="s">
        <v>124</v>
      </c>
      <c r="X1972" s="189" t="s">
        <v>715</v>
      </c>
      <c r="Y1972" s="189" t="s">
        <v>3064</v>
      </c>
      <c r="Z1972" s="0" t="n">
        <v>2</v>
      </c>
      <c r="AA1972" s="189" t="s">
        <v>3224</v>
      </c>
    </row>
    <row r="1973" customFormat="false" ht="15" hidden="false" customHeight="false" outlineLevel="0" collapsed="false">
      <c r="A1973" s="0" t="n">
        <v>424</v>
      </c>
      <c r="B1973" s="191" t="n">
        <v>46109.3594236229</v>
      </c>
      <c r="C1973" s="191" t="n">
        <v>46109.3775486229</v>
      </c>
      <c r="D1973" s="189" t="s">
        <v>2573</v>
      </c>
      <c r="E1973" s="189" t="s">
        <v>2574</v>
      </c>
      <c r="F1973" s="189" t="s">
        <v>2575</v>
      </c>
      <c r="G1973" s="189" t="s">
        <v>2576</v>
      </c>
      <c r="H1973" s="191" t="n">
        <v>46098</v>
      </c>
      <c r="I1973" s="189" t="s">
        <v>113</v>
      </c>
      <c r="J1973" s="189" t="s">
        <v>295</v>
      </c>
      <c r="K1973" s="189" t="s">
        <v>173</v>
      </c>
      <c r="L1973" s="189" t="s">
        <v>389</v>
      </c>
      <c r="M1973" s="189" t="s">
        <v>199</v>
      </c>
      <c r="N1973" s="189" t="s">
        <v>625</v>
      </c>
      <c r="O1973" s="189" t="s">
        <v>107</v>
      </c>
      <c r="P1973" s="189" t="s">
        <v>111</v>
      </c>
      <c r="Q1973" s="189" t="s">
        <v>145</v>
      </c>
      <c r="R1973" s="189" t="s">
        <v>22</v>
      </c>
      <c r="S1973" s="189" t="s">
        <v>152</v>
      </c>
      <c r="T1973" s="189" t="s">
        <v>352</v>
      </c>
      <c r="U1973" s="189" t="s">
        <v>122</v>
      </c>
      <c r="V1973" s="189" t="s">
        <v>123</v>
      </c>
      <c r="W1973" s="189" t="s">
        <v>124</v>
      </c>
      <c r="X1973" s="189" t="s">
        <v>715</v>
      </c>
      <c r="Y1973" s="189" t="s">
        <v>3064</v>
      </c>
      <c r="Z1973" s="0" t="n">
        <v>3</v>
      </c>
      <c r="AA1973" s="189" t="s">
        <v>3252</v>
      </c>
    </row>
    <row r="1974" customFormat="false" ht="15" hidden="false" customHeight="false" outlineLevel="0" collapsed="false">
      <c r="A1974" s="0" t="n">
        <v>424</v>
      </c>
      <c r="B1974" s="191" t="n">
        <v>46109.3594236229</v>
      </c>
      <c r="C1974" s="191" t="n">
        <v>46109.3775486229</v>
      </c>
      <c r="D1974" s="189" t="s">
        <v>2573</v>
      </c>
      <c r="E1974" s="189" t="s">
        <v>2574</v>
      </c>
      <c r="F1974" s="189" t="s">
        <v>2575</v>
      </c>
      <c r="G1974" s="189" t="s">
        <v>2576</v>
      </c>
      <c r="H1974" s="191" t="n">
        <v>46098</v>
      </c>
      <c r="I1974" s="189" t="s">
        <v>113</v>
      </c>
      <c r="J1974" s="189" t="s">
        <v>295</v>
      </c>
      <c r="K1974" s="189" t="s">
        <v>173</v>
      </c>
      <c r="L1974" s="189" t="s">
        <v>389</v>
      </c>
      <c r="M1974" s="189" t="s">
        <v>199</v>
      </c>
      <c r="N1974" s="189" t="s">
        <v>625</v>
      </c>
      <c r="O1974" s="189" t="s">
        <v>107</v>
      </c>
      <c r="P1974" s="189" t="s">
        <v>111</v>
      </c>
      <c r="Q1974" s="189" t="s">
        <v>145</v>
      </c>
      <c r="R1974" s="189" t="s">
        <v>22</v>
      </c>
      <c r="S1974" s="189" t="s">
        <v>152</v>
      </c>
      <c r="T1974" s="189" t="s">
        <v>352</v>
      </c>
      <c r="U1974" s="189" t="s">
        <v>122</v>
      </c>
      <c r="V1974" s="189" t="s">
        <v>123</v>
      </c>
      <c r="W1974" s="189" t="s">
        <v>124</v>
      </c>
      <c r="X1974" s="189" t="s">
        <v>715</v>
      </c>
      <c r="Y1974" s="189" t="s">
        <v>3066</v>
      </c>
      <c r="Z1974" s="0" t="n">
        <v>1</v>
      </c>
      <c r="AA1974" s="189" t="s">
        <v>3231</v>
      </c>
    </row>
    <row r="1975" customFormat="false" ht="15" hidden="false" customHeight="false" outlineLevel="0" collapsed="false">
      <c r="A1975" s="0" t="n">
        <v>424</v>
      </c>
      <c r="B1975" s="191" t="n">
        <v>46109.3594236229</v>
      </c>
      <c r="C1975" s="191" t="n">
        <v>46109.3775486229</v>
      </c>
      <c r="D1975" s="189" t="s">
        <v>2573</v>
      </c>
      <c r="E1975" s="189" t="s">
        <v>2574</v>
      </c>
      <c r="F1975" s="189" t="s">
        <v>2575</v>
      </c>
      <c r="G1975" s="189" t="s">
        <v>2576</v>
      </c>
      <c r="H1975" s="191" t="n">
        <v>46098</v>
      </c>
      <c r="I1975" s="189" t="s">
        <v>113</v>
      </c>
      <c r="J1975" s="189" t="s">
        <v>295</v>
      </c>
      <c r="K1975" s="189" t="s">
        <v>173</v>
      </c>
      <c r="L1975" s="189" t="s">
        <v>389</v>
      </c>
      <c r="M1975" s="189" t="s">
        <v>199</v>
      </c>
      <c r="N1975" s="189" t="s">
        <v>625</v>
      </c>
      <c r="O1975" s="189" t="s">
        <v>107</v>
      </c>
      <c r="P1975" s="189" t="s">
        <v>111</v>
      </c>
      <c r="Q1975" s="189" t="s">
        <v>145</v>
      </c>
      <c r="R1975" s="189" t="s">
        <v>22</v>
      </c>
      <c r="S1975" s="189" t="s">
        <v>152</v>
      </c>
      <c r="T1975" s="189" t="s">
        <v>352</v>
      </c>
      <c r="U1975" s="189" t="s">
        <v>122</v>
      </c>
      <c r="V1975" s="189" t="s">
        <v>123</v>
      </c>
      <c r="W1975" s="189" t="s">
        <v>124</v>
      </c>
      <c r="X1975" s="189" t="s">
        <v>715</v>
      </c>
      <c r="Y1975" s="189" t="s">
        <v>3066</v>
      </c>
      <c r="Z1975" s="0" t="n">
        <v>2</v>
      </c>
      <c r="AA1975" s="189" t="s">
        <v>3327</v>
      </c>
    </row>
    <row r="1976" customFormat="false" ht="15" hidden="false" customHeight="false" outlineLevel="0" collapsed="false">
      <c r="A1976" s="0" t="n">
        <v>424</v>
      </c>
      <c r="B1976" s="191" t="n">
        <v>46109.3594236229</v>
      </c>
      <c r="C1976" s="191" t="n">
        <v>46109.3775486229</v>
      </c>
      <c r="D1976" s="189" t="s">
        <v>2573</v>
      </c>
      <c r="E1976" s="189" t="s">
        <v>2574</v>
      </c>
      <c r="F1976" s="189" t="s">
        <v>2575</v>
      </c>
      <c r="G1976" s="189" t="s">
        <v>2576</v>
      </c>
      <c r="H1976" s="191" t="n">
        <v>46098</v>
      </c>
      <c r="I1976" s="189" t="s">
        <v>113</v>
      </c>
      <c r="J1976" s="189" t="s">
        <v>295</v>
      </c>
      <c r="K1976" s="189" t="s">
        <v>173</v>
      </c>
      <c r="L1976" s="189" t="s">
        <v>389</v>
      </c>
      <c r="M1976" s="189" t="s">
        <v>199</v>
      </c>
      <c r="N1976" s="189" t="s">
        <v>625</v>
      </c>
      <c r="O1976" s="189" t="s">
        <v>107</v>
      </c>
      <c r="P1976" s="189" t="s">
        <v>111</v>
      </c>
      <c r="Q1976" s="189" t="s">
        <v>145</v>
      </c>
      <c r="R1976" s="189" t="s">
        <v>22</v>
      </c>
      <c r="S1976" s="189" t="s">
        <v>152</v>
      </c>
      <c r="T1976" s="189" t="s">
        <v>352</v>
      </c>
      <c r="U1976" s="189" t="s">
        <v>122</v>
      </c>
      <c r="V1976" s="189" t="s">
        <v>123</v>
      </c>
      <c r="W1976" s="189" t="s">
        <v>124</v>
      </c>
      <c r="X1976" s="189" t="s">
        <v>715</v>
      </c>
      <c r="Y1976" s="189" t="s">
        <v>3069</v>
      </c>
      <c r="Z1976" s="0" t="n">
        <v>1</v>
      </c>
      <c r="AA1976" s="189" t="s">
        <v>3232</v>
      </c>
    </row>
    <row r="1977" customFormat="false" ht="15" hidden="false" customHeight="false" outlineLevel="0" collapsed="false">
      <c r="A1977" s="0" t="n">
        <v>425</v>
      </c>
      <c r="B1977" s="191" t="n">
        <v>46061.6270194757</v>
      </c>
      <c r="C1977" s="191" t="n">
        <v>46061.6426560498</v>
      </c>
      <c r="D1977" s="189" t="s">
        <v>2579</v>
      </c>
      <c r="E1977" s="189" t="s">
        <v>2580</v>
      </c>
      <c r="F1977" s="189" t="s">
        <v>2580</v>
      </c>
      <c r="G1977" s="189" t="s">
        <v>2581</v>
      </c>
      <c r="H1977" s="191" t="n">
        <v>46056</v>
      </c>
      <c r="I1977" s="189" t="s">
        <v>113</v>
      </c>
      <c r="J1977" s="189" t="s">
        <v>108</v>
      </c>
      <c r="K1977" s="189" t="s">
        <v>462</v>
      </c>
      <c r="L1977" s="189" t="s">
        <v>144</v>
      </c>
      <c r="M1977" s="189" t="s">
        <v>594</v>
      </c>
      <c r="N1977" s="189" t="s">
        <v>743</v>
      </c>
      <c r="O1977" s="189" t="s">
        <v>157</v>
      </c>
      <c r="P1977" s="189" t="s">
        <v>111</v>
      </c>
      <c r="Q1977" s="189" t="s">
        <v>247</v>
      </c>
      <c r="R1977" s="189" t="s">
        <v>24</v>
      </c>
      <c r="S1977" s="189" t="s">
        <v>120</v>
      </c>
      <c r="T1977" s="189" t="s">
        <v>264</v>
      </c>
      <c r="V1977" s="189" t="s">
        <v>123</v>
      </c>
      <c r="W1977" s="189" t="s">
        <v>124</v>
      </c>
      <c r="X1977" s="189" t="s">
        <v>214</v>
      </c>
      <c r="Y1977" s="189" t="s">
        <v>3064</v>
      </c>
      <c r="Z1977" s="0" t="n">
        <v>1</v>
      </c>
      <c r="AA1977" s="189" t="s">
        <v>3095</v>
      </c>
    </row>
    <row r="1978" customFormat="false" ht="15" hidden="false" customHeight="false" outlineLevel="0" collapsed="false">
      <c r="A1978" s="0" t="n">
        <v>425</v>
      </c>
      <c r="B1978" s="191" t="n">
        <v>46061.6270194757</v>
      </c>
      <c r="C1978" s="191" t="n">
        <v>46061.6426560498</v>
      </c>
      <c r="D1978" s="189" t="s">
        <v>2579</v>
      </c>
      <c r="E1978" s="189" t="s">
        <v>2580</v>
      </c>
      <c r="F1978" s="189" t="s">
        <v>2580</v>
      </c>
      <c r="G1978" s="189" t="s">
        <v>2581</v>
      </c>
      <c r="H1978" s="191" t="n">
        <v>46056</v>
      </c>
      <c r="I1978" s="189" t="s">
        <v>113</v>
      </c>
      <c r="J1978" s="189" t="s">
        <v>108</v>
      </c>
      <c r="K1978" s="189" t="s">
        <v>462</v>
      </c>
      <c r="L1978" s="189" t="s">
        <v>144</v>
      </c>
      <c r="M1978" s="189" t="s">
        <v>594</v>
      </c>
      <c r="N1978" s="189" t="s">
        <v>743</v>
      </c>
      <c r="O1978" s="189" t="s">
        <v>157</v>
      </c>
      <c r="P1978" s="189" t="s">
        <v>111</v>
      </c>
      <c r="Q1978" s="189" t="s">
        <v>247</v>
      </c>
      <c r="R1978" s="189" t="s">
        <v>24</v>
      </c>
      <c r="S1978" s="189" t="s">
        <v>120</v>
      </c>
      <c r="T1978" s="189" t="s">
        <v>264</v>
      </c>
      <c r="V1978" s="189" t="s">
        <v>123</v>
      </c>
      <c r="W1978" s="189" t="s">
        <v>124</v>
      </c>
      <c r="X1978" s="189" t="s">
        <v>214</v>
      </c>
      <c r="Y1978" s="189" t="s">
        <v>3064</v>
      </c>
      <c r="Z1978" s="0" t="n">
        <v>2</v>
      </c>
      <c r="AA1978" s="189" t="s">
        <v>3107</v>
      </c>
    </row>
    <row r="1979" customFormat="false" ht="15" hidden="false" customHeight="false" outlineLevel="0" collapsed="false">
      <c r="A1979" s="0" t="n">
        <v>425</v>
      </c>
      <c r="B1979" s="191" t="n">
        <v>46061.6270194757</v>
      </c>
      <c r="C1979" s="191" t="n">
        <v>46061.6426560498</v>
      </c>
      <c r="D1979" s="189" t="s">
        <v>2579</v>
      </c>
      <c r="E1979" s="189" t="s">
        <v>2580</v>
      </c>
      <c r="F1979" s="189" t="s">
        <v>2580</v>
      </c>
      <c r="G1979" s="189" t="s">
        <v>2581</v>
      </c>
      <c r="H1979" s="191" t="n">
        <v>46056</v>
      </c>
      <c r="I1979" s="189" t="s">
        <v>113</v>
      </c>
      <c r="J1979" s="189" t="s">
        <v>108</v>
      </c>
      <c r="K1979" s="189" t="s">
        <v>462</v>
      </c>
      <c r="L1979" s="189" t="s">
        <v>144</v>
      </c>
      <c r="M1979" s="189" t="s">
        <v>594</v>
      </c>
      <c r="N1979" s="189" t="s">
        <v>743</v>
      </c>
      <c r="O1979" s="189" t="s">
        <v>157</v>
      </c>
      <c r="P1979" s="189" t="s">
        <v>111</v>
      </c>
      <c r="Q1979" s="189" t="s">
        <v>247</v>
      </c>
      <c r="R1979" s="189" t="s">
        <v>24</v>
      </c>
      <c r="S1979" s="189" t="s">
        <v>120</v>
      </c>
      <c r="T1979" s="189" t="s">
        <v>264</v>
      </c>
      <c r="V1979" s="189" t="s">
        <v>123</v>
      </c>
      <c r="W1979" s="189" t="s">
        <v>124</v>
      </c>
      <c r="X1979" s="189" t="s">
        <v>214</v>
      </c>
      <c r="Y1979" s="189" t="s">
        <v>3064</v>
      </c>
      <c r="Z1979" s="0" t="n">
        <v>3</v>
      </c>
      <c r="AA1979" s="189" t="s">
        <v>3065</v>
      </c>
    </row>
    <row r="1980" customFormat="false" ht="15" hidden="false" customHeight="false" outlineLevel="0" collapsed="false">
      <c r="A1980" s="0" t="n">
        <v>425</v>
      </c>
      <c r="B1980" s="191" t="n">
        <v>46061.6270194757</v>
      </c>
      <c r="C1980" s="191" t="n">
        <v>46061.6426560498</v>
      </c>
      <c r="D1980" s="189" t="s">
        <v>2579</v>
      </c>
      <c r="E1980" s="189" t="s">
        <v>2580</v>
      </c>
      <c r="F1980" s="189" t="s">
        <v>2580</v>
      </c>
      <c r="G1980" s="189" t="s">
        <v>2581</v>
      </c>
      <c r="H1980" s="191" t="n">
        <v>46056</v>
      </c>
      <c r="I1980" s="189" t="s">
        <v>113</v>
      </c>
      <c r="J1980" s="189" t="s">
        <v>108</v>
      </c>
      <c r="K1980" s="189" t="s">
        <v>462</v>
      </c>
      <c r="L1980" s="189" t="s">
        <v>144</v>
      </c>
      <c r="M1980" s="189" t="s">
        <v>594</v>
      </c>
      <c r="N1980" s="189" t="s">
        <v>743</v>
      </c>
      <c r="O1980" s="189" t="s">
        <v>157</v>
      </c>
      <c r="P1980" s="189" t="s">
        <v>111</v>
      </c>
      <c r="Q1980" s="189" t="s">
        <v>247</v>
      </c>
      <c r="R1980" s="189" t="s">
        <v>24</v>
      </c>
      <c r="S1980" s="189" t="s">
        <v>120</v>
      </c>
      <c r="T1980" s="189" t="s">
        <v>264</v>
      </c>
      <c r="V1980" s="189" t="s">
        <v>123</v>
      </c>
      <c r="W1980" s="189" t="s">
        <v>124</v>
      </c>
      <c r="X1980" s="189" t="s">
        <v>214</v>
      </c>
      <c r="Y1980" s="189" t="s">
        <v>3066</v>
      </c>
      <c r="Z1980" s="0" t="n">
        <v>1</v>
      </c>
      <c r="AA1980" s="189" t="s">
        <v>122</v>
      </c>
    </row>
    <row r="1981" customFormat="false" ht="15" hidden="false" customHeight="false" outlineLevel="0" collapsed="false">
      <c r="A1981" s="0" t="n">
        <v>425</v>
      </c>
      <c r="B1981" s="191" t="n">
        <v>46061.6270194757</v>
      </c>
      <c r="C1981" s="191" t="n">
        <v>46061.6426560498</v>
      </c>
      <c r="D1981" s="189" t="s">
        <v>2579</v>
      </c>
      <c r="E1981" s="189" t="s">
        <v>2580</v>
      </c>
      <c r="F1981" s="189" t="s">
        <v>2580</v>
      </c>
      <c r="G1981" s="189" t="s">
        <v>2581</v>
      </c>
      <c r="H1981" s="191" t="n">
        <v>46056</v>
      </c>
      <c r="I1981" s="189" t="s">
        <v>113</v>
      </c>
      <c r="J1981" s="189" t="s">
        <v>108</v>
      </c>
      <c r="K1981" s="189" t="s">
        <v>462</v>
      </c>
      <c r="L1981" s="189" t="s">
        <v>144</v>
      </c>
      <c r="M1981" s="189" t="s">
        <v>594</v>
      </c>
      <c r="N1981" s="189" t="s">
        <v>743</v>
      </c>
      <c r="O1981" s="189" t="s">
        <v>157</v>
      </c>
      <c r="P1981" s="189" t="s">
        <v>111</v>
      </c>
      <c r="Q1981" s="189" t="s">
        <v>247</v>
      </c>
      <c r="R1981" s="189" t="s">
        <v>24</v>
      </c>
      <c r="S1981" s="189" t="s">
        <v>120</v>
      </c>
      <c r="T1981" s="189" t="s">
        <v>264</v>
      </c>
      <c r="V1981" s="189" t="s">
        <v>123</v>
      </c>
      <c r="W1981" s="189" t="s">
        <v>124</v>
      </c>
      <c r="X1981" s="189" t="s">
        <v>214</v>
      </c>
      <c r="Y1981" s="189" t="s">
        <v>3069</v>
      </c>
      <c r="Z1981" s="0" t="n">
        <v>1</v>
      </c>
      <c r="AA1981" s="189" t="s">
        <v>3108</v>
      </c>
    </row>
    <row r="1982" customFormat="false" ht="15" hidden="false" customHeight="false" outlineLevel="0" collapsed="false">
      <c r="A1982" s="0" t="n">
        <v>425</v>
      </c>
      <c r="B1982" s="191" t="n">
        <v>46061.6270194757</v>
      </c>
      <c r="C1982" s="191" t="n">
        <v>46061.6426560498</v>
      </c>
      <c r="D1982" s="189" t="s">
        <v>2579</v>
      </c>
      <c r="E1982" s="189" t="s">
        <v>2580</v>
      </c>
      <c r="F1982" s="189" t="s">
        <v>2580</v>
      </c>
      <c r="G1982" s="189" t="s">
        <v>2581</v>
      </c>
      <c r="H1982" s="191" t="n">
        <v>46056</v>
      </c>
      <c r="I1982" s="189" t="s">
        <v>113</v>
      </c>
      <c r="J1982" s="189" t="s">
        <v>108</v>
      </c>
      <c r="K1982" s="189" t="s">
        <v>462</v>
      </c>
      <c r="L1982" s="189" t="s">
        <v>144</v>
      </c>
      <c r="M1982" s="189" t="s">
        <v>594</v>
      </c>
      <c r="N1982" s="189" t="s">
        <v>743</v>
      </c>
      <c r="O1982" s="189" t="s">
        <v>157</v>
      </c>
      <c r="P1982" s="189" t="s">
        <v>111</v>
      </c>
      <c r="Q1982" s="189" t="s">
        <v>247</v>
      </c>
      <c r="R1982" s="189" t="s">
        <v>24</v>
      </c>
      <c r="S1982" s="189" t="s">
        <v>120</v>
      </c>
      <c r="T1982" s="189" t="s">
        <v>264</v>
      </c>
      <c r="V1982" s="189" t="s">
        <v>123</v>
      </c>
      <c r="W1982" s="189" t="s">
        <v>124</v>
      </c>
      <c r="X1982" s="189" t="s">
        <v>214</v>
      </c>
      <c r="Y1982" s="189" t="s">
        <v>3069</v>
      </c>
      <c r="Z1982" s="0" t="n">
        <v>2</v>
      </c>
      <c r="AA1982" s="189" t="s">
        <v>3070</v>
      </c>
    </row>
    <row r="1983" customFormat="false" ht="15" hidden="false" customHeight="false" outlineLevel="0" collapsed="false">
      <c r="A1983" s="0" t="n">
        <v>426</v>
      </c>
      <c r="B1983" s="191" t="n">
        <v>46137.8068707476</v>
      </c>
      <c r="C1983" s="191" t="n">
        <v>46137.8104818587</v>
      </c>
      <c r="D1983" s="189" t="s">
        <v>2583</v>
      </c>
      <c r="E1983" s="189" t="s">
        <v>2584</v>
      </c>
      <c r="F1983" s="189" t="s">
        <v>2584</v>
      </c>
      <c r="G1983" s="189" t="s">
        <v>2585</v>
      </c>
      <c r="H1983" s="191" t="n">
        <v>46118</v>
      </c>
      <c r="I1983" s="189" t="s">
        <v>113</v>
      </c>
      <c r="J1983" s="189" t="s">
        <v>108</v>
      </c>
      <c r="K1983" s="189" t="s">
        <v>462</v>
      </c>
      <c r="L1983" s="189" t="s">
        <v>268</v>
      </c>
      <c r="M1983" s="189" t="s">
        <v>391</v>
      </c>
      <c r="N1983" s="189" t="s">
        <v>743</v>
      </c>
      <c r="O1983" s="189" t="s">
        <v>107</v>
      </c>
      <c r="P1983" s="189" t="s">
        <v>111</v>
      </c>
      <c r="Q1983" s="189" t="s">
        <v>198</v>
      </c>
      <c r="R1983" s="189" t="s">
        <v>22</v>
      </c>
      <c r="S1983" s="189" t="s">
        <v>227</v>
      </c>
      <c r="T1983" s="189" t="s">
        <v>121</v>
      </c>
      <c r="U1983" s="189" t="s">
        <v>948</v>
      </c>
      <c r="V1983" s="189" t="s">
        <v>192</v>
      </c>
      <c r="W1983" s="189" t="s">
        <v>124</v>
      </c>
      <c r="X1983" s="189" t="s">
        <v>271</v>
      </c>
      <c r="Y1983" s="189" t="s">
        <v>3064</v>
      </c>
      <c r="Z1983" s="0" t="n">
        <v>1</v>
      </c>
      <c r="AA1983" s="189" t="s">
        <v>3230</v>
      </c>
    </row>
    <row r="1984" customFormat="false" ht="15" hidden="false" customHeight="false" outlineLevel="0" collapsed="false">
      <c r="A1984" s="0" t="n">
        <v>426</v>
      </c>
      <c r="B1984" s="191" t="n">
        <v>46137.8068707476</v>
      </c>
      <c r="C1984" s="191" t="n">
        <v>46137.8104818587</v>
      </c>
      <c r="D1984" s="189" t="s">
        <v>2583</v>
      </c>
      <c r="E1984" s="189" t="s">
        <v>2584</v>
      </c>
      <c r="F1984" s="189" t="s">
        <v>2584</v>
      </c>
      <c r="G1984" s="189" t="s">
        <v>2585</v>
      </c>
      <c r="H1984" s="191" t="n">
        <v>46118</v>
      </c>
      <c r="I1984" s="189" t="s">
        <v>113</v>
      </c>
      <c r="J1984" s="189" t="s">
        <v>108</v>
      </c>
      <c r="K1984" s="189" t="s">
        <v>462</v>
      </c>
      <c r="L1984" s="189" t="s">
        <v>268</v>
      </c>
      <c r="M1984" s="189" t="s">
        <v>391</v>
      </c>
      <c r="N1984" s="189" t="s">
        <v>743</v>
      </c>
      <c r="O1984" s="189" t="s">
        <v>107</v>
      </c>
      <c r="P1984" s="189" t="s">
        <v>111</v>
      </c>
      <c r="Q1984" s="189" t="s">
        <v>198</v>
      </c>
      <c r="R1984" s="189" t="s">
        <v>22</v>
      </c>
      <c r="S1984" s="189" t="s">
        <v>227</v>
      </c>
      <c r="T1984" s="189" t="s">
        <v>121</v>
      </c>
      <c r="U1984" s="189" t="s">
        <v>948</v>
      </c>
      <c r="V1984" s="189" t="s">
        <v>192</v>
      </c>
      <c r="W1984" s="189" t="s">
        <v>124</v>
      </c>
      <c r="X1984" s="189" t="s">
        <v>271</v>
      </c>
      <c r="Y1984" s="189" t="s">
        <v>3066</v>
      </c>
      <c r="Z1984" s="0" t="n">
        <v>1</v>
      </c>
      <c r="AA1984" s="189" t="s">
        <v>3116</v>
      </c>
    </row>
    <row r="1985" customFormat="false" ht="15" hidden="false" customHeight="false" outlineLevel="0" collapsed="false">
      <c r="A1985" s="0" t="n">
        <v>426</v>
      </c>
      <c r="B1985" s="191" t="n">
        <v>46137.8068707476</v>
      </c>
      <c r="C1985" s="191" t="n">
        <v>46137.8104818587</v>
      </c>
      <c r="D1985" s="189" t="s">
        <v>2583</v>
      </c>
      <c r="E1985" s="189" t="s">
        <v>2584</v>
      </c>
      <c r="F1985" s="189" t="s">
        <v>2584</v>
      </c>
      <c r="G1985" s="189" t="s">
        <v>2585</v>
      </c>
      <c r="H1985" s="191" t="n">
        <v>46118</v>
      </c>
      <c r="I1985" s="189" t="s">
        <v>113</v>
      </c>
      <c r="J1985" s="189" t="s">
        <v>108</v>
      </c>
      <c r="K1985" s="189" t="s">
        <v>462</v>
      </c>
      <c r="L1985" s="189" t="s">
        <v>268</v>
      </c>
      <c r="M1985" s="189" t="s">
        <v>391</v>
      </c>
      <c r="N1985" s="189" t="s">
        <v>743</v>
      </c>
      <c r="O1985" s="189" t="s">
        <v>107</v>
      </c>
      <c r="P1985" s="189" t="s">
        <v>111</v>
      </c>
      <c r="Q1985" s="189" t="s">
        <v>198</v>
      </c>
      <c r="R1985" s="189" t="s">
        <v>22</v>
      </c>
      <c r="S1985" s="189" t="s">
        <v>227</v>
      </c>
      <c r="T1985" s="189" t="s">
        <v>121</v>
      </c>
      <c r="U1985" s="189" t="s">
        <v>948</v>
      </c>
      <c r="V1985" s="189" t="s">
        <v>192</v>
      </c>
      <c r="W1985" s="189" t="s">
        <v>124</v>
      </c>
      <c r="X1985" s="189" t="s">
        <v>271</v>
      </c>
      <c r="Y1985" s="189" t="s">
        <v>3069</v>
      </c>
      <c r="Z1985" s="0" t="n">
        <v>1</v>
      </c>
      <c r="AA1985" s="189" t="s">
        <v>3118</v>
      </c>
    </row>
    <row r="1986" customFormat="false" ht="15" hidden="false" customHeight="false" outlineLevel="0" collapsed="false">
      <c r="A1986" s="0" t="n">
        <v>426</v>
      </c>
      <c r="B1986" s="191" t="n">
        <v>46137.8068707476</v>
      </c>
      <c r="C1986" s="191" t="n">
        <v>46137.8104818587</v>
      </c>
      <c r="D1986" s="189" t="s">
        <v>2583</v>
      </c>
      <c r="E1986" s="189" t="s">
        <v>2584</v>
      </c>
      <c r="F1986" s="189" t="s">
        <v>2584</v>
      </c>
      <c r="G1986" s="189" t="s">
        <v>2585</v>
      </c>
      <c r="H1986" s="191" t="n">
        <v>46118</v>
      </c>
      <c r="I1986" s="189" t="s">
        <v>113</v>
      </c>
      <c r="J1986" s="189" t="s">
        <v>108</v>
      </c>
      <c r="K1986" s="189" t="s">
        <v>462</v>
      </c>
      <c r="L1986" s="189" t="s">
        <v>268</v>
      </c>
      <c r="M1986" s="189" t="s">
        <v>391</v>
      </c>
      <c r="N1986" s="189" t="s">
        <v>743</v>
      </c>
      <c r="O1986" s="189" t="s">
        <v>107</v>
      </c>
      <c r="P1986" s="189" t="s">
        <v>111</v>
      </c>
      <c r="Q1986" s="189" t="s">
        <v>198</v>
      </c>
      <c r="R1986" s="189" t="s">
        <v>22</v>
      </c>
      <c r="S1986" s="189" t="s">
        <v>227</v>
      </c>
      <c r="T1986" s="189" t="s">
        <v>121</v>
      </c>
      <c r="U1986" s="189" t="s">
        <v>948</v>
      </c>
      <c r="V1986" s="189" t="s">
        <v>192</v>
      </c>
      <c r="W1986" s="189" t="s">
        <v>124</v>
      </c>
      <c r="X1986" s="189" t="s">
        <v>271</v>
      </c>
      <c r="Y1986" s="189" t="s">
        <v>3069</v>
      </c>
      <c r="Z1986" s="0" t="n">
        <v>2</v>
      </c>
      <c r="AA1986" s="189" t="s">
        <v>122</v>
      </c>
    </row>
    <row r="1987" customFormat="false" ht="15" hidden="false" customHeight="false" outlineLevel="0" collapsed="false">
      <c r="A1987" s="0" t="n">
        <v>427</v>
      </c>
      <c r="B1987" s="191" t="n">
        <v>46080.7761686924</v>
      </c>
      <c r="C1987" s="191" t="n">
        <v>46080.7817589702</v>
      </c>
      <c r="D1987" s="189" t="s">
        <v>2586</v>
      </c>
      <c r="E1987" s="189" t="s">
        <v>2587</v>
      </c>
      <c r="F1987" s="189" t="s">
        <v>2588</v>
      </c>
      <c r="G1987" s="189" t="s">
        <v>2589</v>
      </c>
      <c r="H1987" s="191" t="n">
        <v>46066</v>
      </c>
      <c r="I1987" s="189" t="s">
        <v>113</v>
      </c>
      <c r="J1987" s="189" t="s">
        <v>108</v>
      </c>
      <c r="K1987" s="189" t="s">
        <v>462</v>
      </c>
      <c r="L1987" s="189" t="s">
        <v>130</v>
      </c>
      <c r="M1987" s="189" t="s">
        <v>185</v>
      </c>
      <c r="N1987" s="189" t="s">
        <v>606</v>
      </c>
      <c r="O1987" s="189" t="s">
        <v>107</v>
      </c>
      <c r="P1987" s="189" t="s">
        <v>211</v>
      </c>
      <c r="Q1987" s="189" t="s">
        <v>112</v>
      </c>
      <c r="R1987" s="189" t="s">
        <v>22</v>
      </c>
      <c r="S1987" s="189" t="s">
        <v>120</v>
      </c>
      <c r="T1987" s="189" t="s">
        <v>121</v>
      </c>
      <c r="V1987" s="189" t="s">
        <v>167</v>
      </c>
      <c r="W1987" s="189" t="s">
        <v>124</v>
      </c>
      <c r="X1987" s="189" t="s">
        <v>148</v>
      </c>
      <c r="Y1987" s="189" t="s">
        <v>3064</v>
      </c>
      <c r="Z1987" s="0" t="n">
        <v>1</v>
      </c>
      <c r="AA1987" s="189" t="s">
        <v>3092</v>
      </c>
    </row>
    <row r="1988" customFormat="false" ht="15" hidden="false" customHeight="false" outlineLevel="0" collapsed="false">
      <c r="A1988" s="0" t="n">
        <v>427</v>
      </c>
      <c r="B1988" s="191" t="n">
        <v>46080.7761686924</v>
      </c>
      <c r="C1988" s="191" t="n">
        <v>46080.7817589702</v>
      </c>
      <c r="D1988" s="189" t="s">
        <v>2586</v>
      </c>
      <c r="E1988" s="189" t="s">
        <v>2587</v>
      </c>
      <c r="F1988" s="189" t="s">
        <v>2588</v>
      </c>
      <c r="G1988" s="189" t="s">
        <v>2589</v>
      </c>
      <c r="H1988" s="191" t="n">
        <v>46066</v>
      </c>
      <c r="I1988" s="189" t="s">
        <v>113</v>
      </c>
      <c r="J1988" s="189" t="s">
        <v>108</v>
      </c>
      <c r="K1988" s="189" t="s">
        <v>462</v>
      </c>
      <c r="L1988" s="189" t="s">
        <v>130</v>
      </c>
      <c r="M1988" s="189" t="s">
        <v>185</v>
      </c>
      <c r="N1988" s="189" t="s">
        <v>606</v>
      </c>
      <c r="O1988" s="189" t="s">
        <v>107</v>
      </c>
      <c r="P1988" s="189" t="s">
        <v>211</v>
      </c>
      <c r="Q1988" s="189" t="s">
        <v>112</v>
      </c>
      <c r="R1988" s="189" t="s">
        <v>22</v>
      </c>
      <c r="S1988" s="189" t="s">
        <v>120</v>
      </c>
      <c r="T1988" s="189" t="s">
        <v>121</v>
      </c>
      <c r="V1988" s="189" t="s">
        <v>167</v>
      </c>
      <c r="W1988" s="189" t="s">
        <v>124</v>
      </c>
      <c r="X1988" s="189" t="s">
        <v>148</v>
      </c>
      <c r="Y1988" s="189" t="s">
        <v>3064</v>
      </c>
      <c r="Z1988" s="0" t="n">
        <v>2</v>
      </c>
      <c r="AA1988" s="189" t="s">
        <v>3076</v>
      </c>
    </row>
    <row r="1989" customFormat="false" ht="15" hidden="false" customHeight="false" outlineLevel="0" collapsed="false">
      <c r="A1989" s="0" t="n">
        <v>427</v>
      </c>
      <c r="B1989" s="191" t="n">
        <v>46080.7761686924</v>
      </c>
      <c r="C1989" s="191" t="n">
        <v>46080.7817589702</v>
      </c>
      <c r="D1989" s="189" t="s">
        <v>2586</v>
      </c>
      <c r="E1989" s="189" t="s">
        <v>2587</v>
      </c>
      <c r="F1989" s="189" t="s">
        <v>2588</v>
      </c>
      <c r="G1989" s="189" t="s">
        <v>2589</v>
      </c>
      <c r="H1989" s="191" t="n">
        <v>46066</v>
      </c>
      <c r="I1989" s="189" t="s">
        <v>113</v>
      </c>
      <c r="J1989" s="189" t="s">
        <v>108</v>
      </c>
      <c r="K1989" s="189" t="s">
        <v>462</v>
      </c>
      <c r="L1989" s="189" t="s">
        <v>130</v>
      </c>
      <c r="M1989" s="189" t="s">
        <v>185</v>
      </c>
      <c r="N1989" s="189" t="s">
        <v>606</v>
      </c>
      <c r="O1989" s="189" t="s">
        <v>107</v>
      </c>
      <c r="P1989" s="189" t="s">
        <v>211</v>
      </c>
      <c r="Q1989" s="189" t="s">
        <v>112</v>
      </c>
      <c r="R1989" s="189" t="s">
        <v>22</v>
      </c>
      <c r="S1989" s="189" t="s">
        <v>120</v>
      </c>
      <c r="T1989" s="189" t="s">
        <v>121</v>
      </c>
      <c r="V1989" s="189" t="s">
        <v>167</v>
      </c>
      <c r="W1989" s="189" t="s">
        <v>124</v>
      </c>
      <c r="X1989" s="189" t="s">
        <v>148</v>
      </c>
      <c r="Y1989" s="189" t="s">
        <v>3066</v>
      </c>
      <c r="Z1989" s="0" t="n">
        <v>1</v>
      </c>
      <c r="AA1989" s="189" t="s">
        <v>3078</v>
      </c>
    </row>
    <row r="1990" customFormat="false" ht="15" hidden="false" customHeight="false" outlineLevel="0" collapsed="false">
      <c r="A1990" s="0" t="n">
        <v>427</v>
      </c>
      <c r="B1990" s="191" t="n">
        <v>46080.7761686924</v>
      </c>
      <c r="C1990" s="191" t="n">
        <v>46080.7817589702</v>
      </c>
      <c r="D1990" s="189" t="s">
        <v>2586</v>
      </c>
      <c r="E1990" s="189" t="s">
        <v>2587</v>
      </c>
      <c r="F1990" s="189" t="s">
        <v>2588</v>
      </c>
      <c r="G1990" s="189" t="s">
        <v>2589</v>
      </c>
      <c r="H1990" s="191" t="n">
        <v>46066</v>
      </c>
      <c r="I1990" s="189" t="s">
        <v>113</v>
      </c>
      <c r="J1990" s="189" t="s">
        <v>108</v>
      </c>
      <c r="K1990" s="189" t="s">
        <v>462</v>
      </c>
      <c r="L1990" s="189" t="s">
        <v>130</v>
      </c>
      <c r="M1990" s="189" t="s">
        <v>185</v>
      </c>
      <c r="N1990" s="189" t="s">
        <v>606</v>
      </c>
      <c r="O1990" s="189" t="s">
        <v>107</v>
      </c>
      <c r="P1990" s="189" t="s">
        <v>211</v>
      </c>
      <c r="Q1990" s="189" t="s">
        <v>112</v>
      </c>
      <c r="R1990" s="189" t="s">
        <v>22</v>
      </c>
      <c r="S1990" s="189" t="s">
        <v>120</v>
      </c>
      <c r="T1990" s="189" t="s">
        <v>121</v>
      </c>
      <c r="V1990" s="189" t="s">
        <v>167</v>
      </c>
      <c r="W1990" s="189" t="s">
        <v>124</v>
      </c>
      <c r="X1990" s="189" t="s">
        <v>148</v>
      </c>
      <c r="Y1990" s="189" t="s">
        <v>3066</v>
      </c>
      <c r="Z1990" s="0" t="n">
        <v>2</v>
      </c>
      <c r="AA1990" s="189" t="s">
        <v>3093</v>
      </c>
    </row>
    <row r="1991" customFormat="false" ht="15" hidden="false" customHeight="false" outlineLevel="0" collapsed="false">
      <c r="A1991" s="0" t="n">
        <v>427</v>
      </c>
      <c r="B1991" s="191" t="n">
        <v>46080.7761686924</v>
      </c>
      <c r="C1991" s="191" t="n">
        <v>46080.7817589702</v>
      </c>
      <c r="D1991" s="189" t="s">
        <v>2586</v>
      </c>
      <c r="E1991" s="189" t="s">
        <v>2587</v>
      </c>
      <c r="F1991" s="189" t="s">
        <v>2588</v>
      </c>
      <c r="G1991" s="189" t="s">
        <v>2589</v>
      </c>
      <c r="H1991" s="191" t="n">
        <v>46066</v>
      </c>
      <c r="I1991" s="189" t="s">
        <v>113</v>
      </c>
      <c r="J1991" s="189" t="s">
        <v>108</v>
      </c>
      <c r="K1991" s="189" t="s">
        <v>462</v>
      </c>
      <c r="L1991" s="189" t="s">
        <v>130</v>
      </c>
      <c r="M1991" s="189" t="s">
        <v>185</v>
      </c>
      <c r="N1991" s="189" t="s">
        <v>606</v>
      </c>
      <c r="O1991" s="189" t="s">
        <v>107</v>
      </c>
      <c r="P1991" s="189" t="s">
        <v>211</v>
      </c>
      <c r="Q1991" s="189" t="s">
        <v>112</v>
      </c>
      <c r="R1991" s="189" t="s">
        <v>22</v>
      </c>
      <c r="S1991" s="189" t="s">
        <v>120</v>
      </c>
      <c r="T1991" s="189" t="s">
        <v>121</v>
      </c>
      <c r="V1991" s="189" t="s">
        <v>167</v>
      </c>
      <c r="W1991" s="189" t="s">
        <v>124</v>
      </c>
      <c r="X1991" s="189" t="s">
        <v>148</v>
      </c>
      <c r="Y1991" s="189" t="s">
        <v>3069</v>
      </c>
      <c r="Z1991" s="0" t="n">
        <v>1</v>
      </c>
      <c r="AA1991" s="189" t="s">
        <v>3080</v>
      </c>
    </row>
    <row r="1992" customFormat="false" ht="15" hidden="false" customHeight="false" outlineLevel="0" collapsed="false">
      <c r="A1992" s="0" t="n">
        <v>427</v>
      </c>
      <c r="B1992" s="191" t="n">
        <v>46080.7761686924</v>
      </c>
      <c r="C1992" s="191" t="n">
        <v>46080.7817589702</v>
      </c>
      <c r="D1992" s="189" t="s">
        <v>2586</v>
      </c>
      <c r="E1992" s="189" t="s">
        <v>2587</v>
      </c>
      <c r="F1992" s="189" t="s">
        <v>2588</v>
      </c>
      <c r="G1992" s="189" t="s">
        <v>2589</v>
      </c>
      <c r="H1992" s="191" t="n">
        <v>46066</v>
      </c>
      <c r="I1992" s="189" t="s">
        <v>113</v>
      </c>
      <c r="J1992" s="189" t="s">
        <v>108</v>
      </c>
      <c r="K1992" s="189" t="s">
        <v>462</v>
      </c>
      <c r="L1992" s="189" t="s">
        <v>130</v>
      </c>
      <c r="M1992" s="189" t="s">
        <v>185</v>
      </c>
      <c r="N1992" s="189" t="s">
        <v>606</v>
      </c>
      <c r="O1992" s="189" t="s">
        <v>107</v>
      </c>
      <c r="P1992" s="189" t="s">
        <v>211</v>
      </c>
      <c r="Q1992" s="189" t="s">
        <v>112</v>
      </c>
      <c r="R1992" s="189" t="s">
        <v>22</v>
      </c>
      <c r="S1992" s="189" t="s">
        <v>120</v>
      </c>
      <c r="T1992" s="189" t="s">
        <v>121</v>
      </c>
      <c r="V1992" s="189" t="s">
        <v>167</v>
      </c>
      <c r="W1992" s="189" t="s">
        <v>124</v>
      </c>
      <c r="X1992" s="189" t="s">
        <v>148</v>
      </c>
      <c r="Y1992" s="189" t="s">
        <v>3069</v>
      </c>
      <c r="Z1992" s="0" t="n">
        <v>2</v>
      </c>
      <c r="AA1992" s="189" t="s">
        <v>3188</v>
      </c>
    </row>
    <row r="1993" customFormat="false" ht="15" hidden="false" customHeight="false" outlineLevel="0" collapsed="false">
      <c r="A1993" s="0" t="n">
        <v>428</v>
      </c>
      <c r="B1993" s="191" t="n">
        <v>46059.3541195254</v>
      </c>
      <c r="C1993" s="191" t="n">
        <v>46059.3668857291</v>
      </c>
      <c r="D1993" s="189" t="s">
        <v>2592</v>
      </c>
      <c r="E1993" s="189" t="s">
        <v>2593</v>
      </c>
      <c r="F1993" s="189" t="s">
        <v>2593</v>
      </c>
      <c r="G1993" s="189" t="s">
        <v>2594</v>
      </c>
      <c r="H1993" s="191" t="n">
        <v>46041</v>
      </c>
      <c r="I1993" s="189" t="s">
        <v>113</v>
      </c>
      <c r="J1993" s="189" t="s">
        <v>108</v>
      </c>
      <c r="K1993" s="189" t="s">
        <v>257</v>
      </c>
      <c r="L1993" s="189" t="s">
        <v>233</v>
      </c>
      <c r="M1993" s="189" t="s">
        <v>905</v>
      </c>
      <c r="N1993" s="189" t="s">
        <v>249</v>
      </c>
      <c r="O1993" s="189" t="s">
        <v>107</v>
      </c>
      <c r="P1993" s="189" t="s">
        <v>111</v>
      </c>
      <c r="Q1993" s="189" t="s">
        <v>145</v>
      </c>
      <c r="R1993" s="189" t="s">
        <v>22</v>
      </c>
      <c r="S1993" s="189" t="s">
        <v>152</v>
      </c>
      <c r="T1993" s="189" t="s">
        <v>121</v>
      </c>
      <c r="V1993" s="189" t="s">
        <v>192</v>
      </c>
      <c r="W1993" s="189" t="s">
        <v>124</v>
      </c>
      <c r="X1993" s="189" t="s">
        <v>715</v>
      </c>
      <c r="Y1993" s="189" t="s">
        <v>3064</v>
      </c>
      <c r="Z1993" s="0" t="n">
        <v>1</v>
      </c>
      <c r="AA1993" s="189" t="s">
        <v>3255</v>
      </c>
    </row>
    <row r="1994" customFormat="false" ht="15" hidden="false" customHeight="false" outlineLevel="0" collapsed="false">
      <c r="A1994" s="0" t="n">
        <v>428</v>
      </c>
      <c r="B1994" s="191" t="n">
        <v>46059.3541195254</v>
      </c>
      <c r="C1994" s="191" t="n">
        <v>46059.3668857291</v>
      </c>
      <c r="D1994" s="189" t="s">
        <v>2592</v>
      </c>
      <c r="E1994" s="189" t="s">
        <v>2593</v>
      </c>
      <c r="F1994" s="189" t="s">
        <v>2593</v>
      </c>
      <c r="G1994" s="189" t="s">
        <v>2594</v>
      </c>
      <c r="H1994" s="191" t="n">
        <v>46041</v>
      </c>
      <c r="I1994" s="189" t="s">
        <v>113</v>
      </c>
      <c r="J1994" s="189" t="s">
        <v>108</v>
      </c>
      <c r="K1994" s="189" t="s">
        <v>257</v>
      </c>
      <c r="L1994" s="189" t="s">
        <v>233</v>
      </c>
      <c r="M1994" s="189" t="s">
        <v>905</v>
      </c>
      <c r="N1994" s="189" t="s">
        <v>249</v>
      </c>
      <c r="O1994" s="189" t="s">
        <v>107</v>
      </c>
      <c r="P1994" s="189" t="s">
        <v>111</v>
      </c>
      <c r="Q1994" s="189" t="s">
        <v>145</v>
      </c>
      <c r="R1994" s="189" t="s">
        <v>22</v>
      </c>
      <c r="S1994" s="189" t="s">
        <v>152</v>
      </c>
      <c r="T1994" s="189" t="s">
        <v>121</v>
      </c>
      <c r="V1994" s="189" t="s">
        <v>192</v>
      </c>
      <c r="W1994" s="189" t="s">
        <v>124</v>
      </c>
      <c r="X1994" s="189" t="s">
        <v>715</v>
      </c>
      <c r="Y1994" s="189" t="s">
        <v>3064</v>
      </c>
      <c r="Z1994" s="0" t="n">
        <v>2</v>
      </c>
      <c r="AA1994" s="189" t="s">
        <v>3225</v>
      </c>
    </row>
    <row r="1995" customFormat="false" ht="15" hidden="false" customHeight="false" outlineLevel="0" collapsed="false">
      <c r="A1995" s="0" t="n">
        <v>428</v>
      </c>
      <c r="B1995" s="191" t="n">
        <v>46059.3541195254</v>
      </c>
      <c r="C1995" s="191" t="n">
        <v>46059.3668857291</v>
      </c>
      <c r="D1995" s="189" t="s">
        <v>2592</v>
      </c>
      <c r="E1995" s="189" t="s">
        <v>2593</v>
      </c>
      <c r="F1995" s="189" t="s">
        <v>2593</v>
      </c>
      <c r="G1995" s="189" t="s">
        <v>2594</v>
      </c>
      <c r="H1995" s="191" t="n">
        <v>46041</v>
      </c>
      <c r="I1995" s="189" t="s">
        <v>113</v>
      </c>
      <c r="J1995" s="189" t="s">
        <v>108</v>
      </c>
      <c r="K1995" s="189" t="s">
        <v>257</v>
      </c>
      <c r="L1995" s="189" t="s">
        <v>233</v>
      </c>
      <c r="M1995" s="189" t="s">
        <v>905</v>
      </c>
      <c r="N1995" s="189" t="s">
        <v>249</v>
      </c>
      <c r="O1995" s="189" t="s">
        <v>107</v>
      </c>
      <c r="P1995" s="189" t="s">
        <v>111</v>
      </c>
      <c r="Q1995" s="189" t="s">
        <v>145</v>
      </c>
      <c r="R1995" s="189" t="s">
        <v>22</v>
      </c>
      <c r="S1995" s="189" t="s">
        <v>152</v>
      </c>
      <c r="T1995" s="189" t="s">
        <v>121</v>
      </c>
      <c r="V1995" s="189" t="s">
        <v>192</v>
      </c>
      <c r="W1995" s="189" t="s">
        <v>124</v>
      </c>
      <c r="X1995" s="189" t="s">
        <v>715</v>
      </c>
      <c r="Y1995" s="189" t="s">
        <v>3066</v>
      </c>
      <c r="Z1995" s="0" t="n">
        <v>1</v>
      </c>
      <c r="AA1995" s="189" t="s">
        <v>3327</v>
      </c>
    </row>
    <row r="1996" customFormat="false" ht="15" hidden="false" customHeight="false" outlineLevel="0" collapsed="false">
      <c r="A1996" s="0" t="n">
        <v>428</v>
      </c>
      <c r="B1996" s="191" t="n">
        <v>46059.3541195254</v>
      </c>
      <c r="C1996" s="191" t="n">
        <v>46059.3668857291</v>
      </c>
      <c r="D1996" s="189" t="s">
        <v>2592</v>
      </c>
      <c r="E1996" s="189" t="s">
        <v>2593</v>
      </c>
      <c r="F1996" s="189" t="s">
        <v>2593</v>
      </c>
      <c r="G1996" s="189" t="s">
        <v>2594</v>
      </c>
      <c r="H1996" s="191" t="n">
        <v>46041</v>
      </c>
      <c r="I1996" s="189" t="s">
        <v>113</v>
      </c>
      <c r="J1996" s="189" t="s">
        <v>108</v>
      </c>
      <c r="K1996" s="189" t="s">
        <v>257</v>
      </c>
      <c r="L1996" s="189" t="s">
        <v>233</v>
      </c>
      <c r="M1996" s="189" t="s">
        <v>905</v>
      </c>
      <c r="N1996" s="189" t="s">
        <v>249</v>
      </c>
      <c r="O1996" s="189" t="s">
        <v>107</v>
      </c>
      <c r="P1996" s="189" t="s">
        <v>111</v>
      </c>
      <c r="Q1996" s="189" t="s">
        <v>145</v>
      </c>
      <c r="R1996" s="189" t="s">
        <v>22</v>
      </c>
      <c r="S1996" s="189" t="s">
        <v>152</v>
      </c>
      <c r="T1996" s="189" t="s">
        <v>121</v>
      </c>
      <c r="V1996" s="189" t="s">
        <v>192</v>
      </c>
      <c r="W1996" s="189" t="s">
        <v>124</v>
      </c>
      <c r="X1996" s="189" t="s">
        <v>715</v>
      </c>
      <c r="Y1996" s="189" t="s">
        <v>3069</v>
      </c>
      <c r="Z1996" s="0" t="n">
        <v>1</v>
      </c>
      <c r="AA1996" s="189" t="s">
        <v>3285</v>
      </c>
    </row>
    <row r="1997" customFormat="false" ht="15" hidden="false" customHeight="false" outlineLevel="0" collapsed="false">
      <c r="A1997" s="0" t="n">
        <v>428</v>
      </c>
      <c r="B1997" s="191" t="n">
        <v>46059.3541195254</v>
      </c>
      <c r="C1997" s="191" t="n">
        <v>46059.3668857291</v>
      </c>
      <c r="D1997" s="189" t="s">
        <v>2592</v>
      </c>
      <c r="E1997" s="189" t="s">
        <v>2593</v>
      </c>
      <c r="F1997" s="189" t="s">
        <v>2593</v>
      </c>
      <c r="G1997" s="189" t="s">
        <v>2594</v>
      </c>
      <c r="H1997" s="191" t="n">
        <v>46041</v>
      </c>
      <c r="I1997" s="189" t="s">
        <v>113</v>
      </c>
      <c r="J1997" s="189" t="s">
        <v>108</v>
      </c>
      <c r="K1997" s="189" t="s">
        <v>257</v>
      </c>
      <c r="L1997" s="189" t="s">
        <v>233</v>
      </c>
      <c r="M1997" s="189" t="s">
        <v>905</v>
      </c>
      <c r="N1997" s="189" t="s">
        <v>249</v>
      </c>
      <c r="O1997" s="189" t="s">
        <v>107</v>
      </c>
      <c r="P1997" s="189" t="s">
        <v>111</v>
      </c>
      <c r="Q1997" s="189" t="s">
        <v>145</v>
      </c>
      <c r="R1997" s="189" t="s">
        <v>22</v>
      </c>
      <c r="S1997" s="189" t="s">
        <v>152</v>
      </c>
      <c r="T1997" s="189" t="s">
        <v>121</v>
      </c>
      <c r="V1997" s="189" t="s">
        <v>192</v>
      </c>
      <c r="W1997" s="189" t="s">
        <v>124</v>
      </c>
      <c r="X1997" s="189" t="s">
        <v>715</v>
      </c>
      <c r="Y1997" s="189" t="s">
        <v>3069</v>
      </c>
      <c r="Z1997" s="0" t="n">
        <v>2</v>
      </c>
      <c r="AA1997" s="189" t="s">
        <v>3256</v>
      </c>
    </row>
    <row r="1998" customFormat="false" ht="15" hidden="false" customHeight="false" outlineLevel="0" collapsed="false">
      <c r="A1998" s="0" t="n">
        <v>429</v>
      </c>
      <c r="B1998" s="191" t="n">
        <v>46129.4392235884</v>
      </c>
      <c r="C1998" s="191" t="n">
        <v>46129.456816181</v>
      </c>
      <c r="D1998" s="189" t="s">
        <v>2598</v>
      </c>
      <c r="E1998" s="189" t="s">
        <v>2599</v>
      </c>
      <c r="F1998" s="189" t="s">
        <v>2600</v>
      </c>
      <c r="G1998" s="189" t="s">
        <v>2601</v>
      </c>
      <c r="H1998" s="191" t="n">
        <v>46128</v>
      </c>
      <c r="I1998" s="189" t="s">
        <v>113</v>
      </c>
      <c r="J1998" s="189" t="s">
        <v>108</v>
      </c>
      <c r="K1998" s="189" t="s">
        <v>364</v>
      </c>
      <c r="L1998" s="189" t="s">
        <v>144</v>
      </c>
      <c r="M1998" s="189" t="s">
        <v>477</v>
      </c>
      <c r="N1998" s="189" t="s">
        <v>743</v>
      </c>
      <c r="O1998" s="189" t="s">
        <v>107</v>
      </c>
      <c r="P1998" s="189" t="s">
        <v>111</v>
      </c>
      <c r="Q1998" s="189" t="s">
        <v>112</v>
      </c>
      <c r="R1998" s="189" t="s">
        <v>22</v>
      </c>
      <c r="S1998" s="189" t="s">
        <v>152</v>
      </c>
      <c r="T1998" s="189" t="s">
        <v>165</v>
      </c>
      <c r="U1998" s="189" t="s">
        <v>1314</v>
      </c>
      <c r="V1998" s="189" t="s">
        <v>123</v>
      </c>
      <c r="W1998" s="189" t="s">
        <v>124</v>
      </c>
      <c r="X1998" s="189" t="s">
        <v>116</v>
      </c>
      <c r="Y1998" s="189" t="s">
        <v>3064</v>
      </c>
      <c r="Z1998" s="0" t="n">
        <v>1</v>
      </c>
      <c r="AA1998" s="189" t="s">
        <v>3095</v>
      </c>
    </row>
    <row r="1999" customFormat="false" ht="15" hidden="false" customHeight="false" outlineLevel="0" collapsed="false">
      <c r="A1999" s="0" t="n">
        <v>429</v>
      </c>
      <c r="B1999" s="191" t="n">
        <v>46129.4392235884</v>
      </c>
      <c r="C1999" s="191" t="n">
        <v>46129.456816181</v>
      </c>
      <c r="D1999" s="189" t="s">
        <v>2598</v>
      </c>
      <c r="E1999" s="189" t="s">
        <v>2599</v>
      </c>
      <c r="F1999" s="189" t="s">
        <v>2600</v>
      </c>
      <c r="G1999" s="189" t="s">
        <v>2601</v>
      </c>
      <c r="H1999" s="191" t="n">
        <v>46128</v>
      </c>
      <c r="I1999" s="189" t="s">
        <v>113</v>
      </c>
      <c r="J1999" s="189" t="s">
        <v>108</v>
      </c>
      <c r="K1999" s="189" t="s">
        <v>364</v>
      </c>
      <c r="L1999" s="189" t="s">
        <v>144</v>
      </c>
      <c r="M1999" s="189" t="s">
        <v>477</v>
      </c>
      <c r="N1999" s="189" t="s">
        <v>743</v>
      </c>
      <c r="O1999" s="189" t="s">
        <v>107</v>
      </c>
      <c r="P1999" s="189" t="s">
        <v>111</v>
      </c>
      <c r="Q1999" s="189" t="s">
        <v>112</v>
      </c>
      <c r="R1999" s="189" t="s">
        <v>22</v>
      </c>
      <c r="S1999" s="189" t="s">
        <v>152</v>
      </c>
      <c r="T1999" s="189" t="s">
        <v>165</v>
      </c>
      <c r="U1999" s="189" t="s">
        <v>1314</v>
      </c>
      <c r="V1999" s="189" t="s">
        <v>123</v>
      </c>
      <c r="W1999" s="189" t="s">
        <v>124</v>
      </c>
      <c r="X1999" s="189" t="s">
        <v>116</v>
      </c>
      <c r="Y1999" s="189" t="s">
        <v>3066</v>
      </c>
      <c r="Z1999" s="0" t="n">
        <v>1</v>
      </c>
      <c r="AA1999" s="189" t="s">
        <v>3211</v>
      </c>
    </row>
    <row r="2000" customFormat="false" ht="15" hidden="false" customHeight="false" outlineLevel="0" collapsed="false">
      <c r="A2000" s="0" t="n">
        <v>429</v>
      </c>
      <c r="B2000" s="191" t="n">
        <v>46129.4392235884</v>
      </c>
      <c r="C2000" s="191" t="n">
        <v>46129.456816181</v>
      </c>
      <c r="D2000" s="189" t="s">
        <v>2598</v>
      </c>
      <c r="E2000" s="189" t="s">
        <v>2599</v>
      </c>
      <c r="F2000" s="189" t="s">
        <v>2600</v>
      </c>
      <c r="G2000" s="189" t="s">
        <v>2601</v>
      </c>
      <c r="H2000" s="191" t="n">
        <v>46128</v>
      </c>
      <c r="I2000" s="189" t="s">
        <v>113</v>
      </c>
      <c r="J2000" s="189" t="s">
        <v>108</v>
      </c>
      <c r="K2000" s="189" t="s">
        <v>364</v>
      </c>
      <c r="L2000" s="189" t="s">
        <v>144</v>
      </c>
      <c r="M2000" s="189" t="s">
        <v>477</v>
      </c>
      <c r="N2000" s="189" t="s">
        <v>743</v>
      </c>
      <c r="O2000" s="189" t="s">
        <v>107</v>
      </c>
      <c r="P2000" s="189" t="s">
        <v>111</v>
      </c>
      <c r="Q2000" s="189" t="s">
        <v>112</v>
      </c>
      <c r="R2000" s="189" t="s">
        <v>22</v>
      </c>
      <c r="S2000" s="189" t="s">
        <v>152</v>
      </c>
      <c r="T2000" s="189" t="s">
        <v>165</v>
      </c>
      <c r="U2000" s="189" t="s">
        <v>1314</v>
      </c>
      <c r="V2000" s="189" t="s">
        <v>123</v>
      </c>
      <c r="W2000" s="189" t="s">
        <v>124</v>
      </c>
      <c r="X2000" s="189" t="s">
        <v>116</v>
      </c>
      <c r="Y2000" s="189" t="s">
        <v>3069</v>
      </c>
      <c r="Z2000" s="0" t="n">
        <v>1</v>
      </c>
      <c r="AA2000" s="189" t="s">
        <v>122</v>
      </c>
    </row>
    <row r="2001" customFormat="false" ht="15" hidden="false" customHeight="false" outlineLevel="0" collapsed="false">
      <c r="A2001" s="0" t="n">
        <v>429</v>
      </c>
      <c r="B2001" s="191" t="n">
        <v>46129.4392235884</v>
      </c>
      <c r="C2001" s="191" t="n">
        <v>46129.456816181</v>
      </c>
      <c r="D2001" s="189" t="s">
        <v>2598</v>
      </c>
      <c r="E2001" s="189" t="s">
        <v>2599</v>
      </c>
      <c r="F2001" s="189" t="s">
        <v>2600</v>
      </c>
      <c r="G2001" s="189" t="s">
        <v>2601</v>
      </c>
      <c r="H2001" s="191" t="n">
        <v>46128</v>
      </c>
      <c r="I2001" s="189" t="s">
        <v>113</v>
      </c>
      <c r="J2001" s="189" t="s">
        <v>108</v>
      </c>
      <c r="K2001" s="189" t="s">
        <v>364</v>
      </c>
      <c r="L2001" s="189" t="s">
        <v>144</v>
      </c>
      <c r="M2001" s="189" t="s">
        <v>477</v>
      </c>
      <c r="N2001" s="189" t="s">
        <v>743</v>
      </c>
      <c r="O2001" s="189" t="s">
        <v>107</v>
      </c>
      <c r="P2001" s="189" t="s">
        <v>111</v>
      </c>
      <c r="Q2001" s="189" t="s">
        <v>112</v>
      </c>
      <c r="R2001" s="189" t="s">
        <v>22</v>
      </c>
      <c r="S2001" s="189" t="s">
        <v>152</v>
      </c>
      <c r="T2001" s="189" t="s">
        <v>165</v>
      </c>
      <c r="U2001" s="189" t="s">
        <v>1314</v>
      </c>
      <c r="V2001" s="189" t="s">
        <v>123</v>
      </c>
      <c r="W2001" s="189" t="s">
        <v>124</v>
      </c>
      <c r="X2001" s="189" t="s">
        <v>116</v>
      </c>
      <c r="Y2001" s="189" t="s">
        <v>3069</v>
      </c>
      <c r="Z2001" s="0" t="n">
        <v>2</v>
      </c>
      <c r="AA2001" s="189" t="s">
        <v>3070</v>
      </c>
    </row>
    <row r="2002" customFormat="false" ht="15" hidden="false" customHeight="false" outlineLevel="0" collapsed="false">
      <c r="A2002" s="0" t="n">
        <v>430</v>
      </c>
      <c r="B2002" s="191" t="n">
        <v>46046.2143976017</v>
      </c>
      <c r="C2002" s="191" t="n">
        <v>46046.2248258424</v>
      </c>
      <c r="D2002" s="189" t="s">
        <v>2602</v>
      </c>
      <c r="E2002" s="189" t="s">
        <v>2603</v>
      </c>
      <c r="F2002" s="189" t="s">
        <v>2603</v>
      </c>
      <c r="G2002" s="189" t="s">
        <v>2604</v>
      </c>
      <c r="H2002" s="191" t="n">
        <v>46043</v>
      </c>
      <c r="I2002" s="189" t="s">
        <v>132</v>
      </c>
      <c r="J2002" s="189" t="s">
        <v>108</v>
      </c>
      <c r="K2002" s="189" t="s">
        <v>1610</v>
      </c>
      <c r="L2002" s="189" t="s">
        <v>144</v>
      </c>
      <c r="M2002" s="189" t="s">
        <v>501</v>
      </c>
      <c r="N2002" s="189" t="s">
        <v>174</v>
      </c>
      <c r="O2002" s="189" t="s">
        <v>713</v>
      </c>
      <c r="P2002" s="189" t="s">
        <v>390</v>
      </c>
      <c r="Q2002" s="189" t="s">
        <v>198</v>
      </c>
      <c r="R2002" s="189" t="s">
        <v>21</v>
      </c>
      <c r="S2002" s="189" t="s">
        <v>120</v>
      </c>
      <c r="T2002" s="189" t="s">
        <v>121</v>
      </c>
      <c r="U2002" s="189" t="s">
        <v>1032</v>
      </c>
      <c r="V2002" s="189" t="s">
        <v>167</v>
      </c>
      <c r="W2002" s="189" t="s">
        <v>124</v>
      </c>
      <c r="X2002" s="189" t="s">
        <v>348</v>
      </c>
      <c r="Y2002" s="189" t="s">
        <v>3064</v>
      </c>
      <c r="Z2002" s="0" t="n">
        <v>1</v>
      </c>
      <c r="AA2002" s="189" t="s">
        <v>3146</v>
      </c>
    </row>
    <row r="2003" customFormat="false" ht="15" hidden="false" customHeight="false" outlineLevel="0" collapsed="false">
      <c r="A2003" s="0" t="n">
        <v>430</v>
      </c>
      <c r="B2003" s="191" t="n">
        <v>46046.2143976017</v>
      </c>
      <c r="C2003" s="191" t="n">
        <v>46046.2248258424</v>
      </c>
      <c r="D2003" s="189" t="s">
        <v>2602</v>
      </c>
      <c r="E2003" s="189" t="s">
        <v>2603</v>
      </c>
      <c r="F2003" s="189" t="s">
        <v>2603</v>
      </c>
      <c r="G2003" s="189" t="s">
        <v>2604</v>
      </c>
      <c r="H2003" s="191" t="n">
        <v>46043</v>
      </c>
      <c r="I2003" s="189" t="s">
        <v>132</v>
      </c>
      <c r="J2003" s="189" t="s">
        <v>108</v>
      </c>
      <c r="K2003" s="189" t="s">
        <v>1610</v>
      </c>
      <c r="L2003" s="189" t="s">
        <v>144</v>
      </c>
      <c r="M2003" s="189" t="s">
        <v>501</v>
      </c>
      <c r="N2003" s="189" t="s">
        <v>174</v>
      </c>
      <c r="O2003" s="189" t="s">
        <v>713</v>
      </c>
      <c r="P2003" s="189" t="s">
        <v>390</v>
      </c>
      <c r="Q2003" s="189" t="s">
        <v>198</v>
      </c>
      <c r="R2003" s="189" t="s">
        <v>21</v>
      </c>
      <c r="S2003" s="189" t="s">
        <v>120</v>
      </c>
      <c r="T2003" s="189" t="s">
        <v>121</v>
      </c>
      <c r="U2003" s="189" t="s">
        <v>1032</v>
      </c>
      <c r="V2003" s="189" t="s">
        <v>167</v>
      </c>
      <c r="W2003" s="189" t="s">
        <v>124</v>
      </c>
      <c r="X2003" s="189" t="s">
        <v>348</v>
      </c>
      <c r="Y2003" s="189" t="s">
        <v>3064</v>
      </c>
      <c r="Z2003" s="0" t="n">
        <v>2</v>
      </c>
      <c r="AA2003" s="189" t="s">
        <v>3310</v>
      </c>
    </row>
    <row r="2004" customFormat="false" ht="15" hidden="false" customHeight="false" outlineLevel="0" collapsed="false">
      <c r="A2004" s="0" t="n">
        <v>430</v>
      </c>
      <c r="B2004" s="191" t="n">
        <v>46046.2143976017</v>
      </c>
      <c r="C2004" s="191" t="n">
        <v>46046.2248258424</v>
      </c>
      <c r="D2004" s="189" t="s">
        <v>2602</v>
      </c>
      <c r="E2004" s="189" t="s">
        <v>2603</v>
      </c>
      <c r="F2004" s="189" t="s">
        <v>2603</v>
      </c>
      <c r="G2004" s="189" t="s">
        <v>2604</v>
      </c>
      <c r="H2004" s="191" t="n">
        <v>46043</v>
      </c>
      <c r="I2004" s="189" t="s">
        <v>132</v>
      </c>
      <c r="J2004" s="189" t="s">
        <v>108</v>
      </c>
      <c r="K2004" s="189" t="s">
        <v>1610</v>
      </c>
      <c r="L2004" s="189" t="s">
        <v>144</v>
      </c>
      <c r="M2004" s="189" t="s">
        <v>501</v>
      </c>
      <c r="N2004" s="189" t="s">
        <v>174</v>
      </c>
      <c r="O2004" s="189" t="s">
        <v>713</v>
      </c>
      <c r="P2004" s="189" t="s">
        <v>390</v>
      </c>
      <c r="Q2004" s="189" t="s">
        <v>198</v>
      </c>
      <c r="R2004" s="189" t="s">
        <v>21</v>
      </c>
      <c r="S2004" s="189" t="s">
        <v>120</v>
      </c>
      <c r="T2004" s="189" t="s">
        <v>121</v>
      </c>
      <c r="U2004" s="189" t="s">
        <v>1032</v>
      </c>
      <c r="V2004" s="189" t="s">
        <v>167</v>
      </c>
      <c r="W2004" s="189" t="s">
        <v>124</v>
      </c>
      <c r="X2004" s="189" t="s">
        <v>348</v>
      </c>
      <c r="Y2004" s="189" t="s">
        <v>3064</v>
      </c>
      <c r="Z2004" s="0" t="n">
        <v>3</v>
      </c>
      <c r="AA2004" s="189" t="s">
        <v>3277</v>
      </c>
    </row>
    <row r="2005" customFormat="false" ht="15" hidden="false" customHeight="false" outlineLevel="0" collapsed="false">
      <c r="A2005" s="0" t="n">
        <v>430</v>
      </c>
      <c r="B2005" s="191" t="n">
        <v>46046.2143976017</v>
      </c>
      <c r="C2005" s="191" t="n">
        <v>46046.2248258424</v>
      </c>
      <c r="D2005" s="189" t="s">
        <v>2602</v>
      </c>
      <c r="E2005" s="189" t="s">
        <v>2603</v>
      </c>
      <c r="F2005" s="189" t="s">
        <v>2603</v>
      </c>
      <c r="G2005" s="189" t="s">
        <v>2604</v>
      </c>
      <c r="H2005" s="191" t="n">
        <v>46043</v>
      </c>
      <c r="I2005" s="189" t="s">
        <v>132</v>
      </c>
      <c r="J2005" s="189" t="s">
        <v>108</v>
      </c>
      <c r="K2005" s="189" t="s">
        <v>1610</v>
      </c>
      <c r="L2005" s="189" t="s">
        <v>144</v>
      </c>
      <c r="M2005" s="189" t="s">
        <v>501</v>
      </c>
      <c r="N2005" s="189" t="s">
        <v>174</v>
      </c>
      <c r="O2005" s="189" t="s">
        <v>713</v>
      </c>
      <c r="P2005" s="189" t="s">
        <v>390</v>
      </c>
      <c r="Q2005" s="189" t="s">
        <v>198</v>
      </c>
      <c r="R2005" s="189" t="s">
        <v>21</v>
      </c>
      <c r="S2005" s="189" t="s">
        <v>120</v>
      </c>
      <c r="T2005" s="189" t="s">
        <v>121</v>
      </c>
      <c r="U2005" s="189" t="s">
        <v>1032</v>
      </c>
      <c r="V2005" s="189" t="s">
        <v>167</v>
      </c>
      <c r="W2005" s="189" t="s">
        <v>124</v>
      </c>
      <c r="X2005" s="189" t="s">
        <v>348</v>
      </c>
      <c r="Y2005" s="189" t="s">
        <v>3066</v>
      </c>
      <c r="Z2005" s="0" t="n">
        <v>1</v>
      </c>
      <c r="AA2005" s="189" t="s">
        <v>3147</v>
      </c>
    </row>
    <row r="2006" customFormat="false" ht="15" hidden="false" customHeight="false" outlineLevel="0" collapsed="false">
      <c r="A2006" s="0" t="n">
        <v>430</v>
      </c>
      <c r="B2006" s="191" t="n">
        <v>46046.2143976017</v>
      </c>
      <c r="C2006" s="191" t="n">
        <v>46046.2248258424</v>
      </c>
      <c r="D2006" s="189" t="s">
        <v>2602</v>
      </c>
      <c r="E2006" s="189" t="s">
        <v>2603</v>
      </c>
      <c r="F2006" s="189" t="s">
        <v>2603</v>
      </c>
      <c r="G2006" s="189" t="s">
        <v>2604</v>
      </c>
      <c r="H2006" s="191" t="n">
        <v>46043</v>
      </c>
      <c r="I2006" s="189" t="s">
        <v>132</v>
      </c>
      <c r="J2006" s="189" t="s">
        <v>108</v>
      </c>
      <c r="K2006" s="189" t="s">
        <v>1610</v>
      </c>
      <c r="L2006" s="189" t="s">
        <v>144</v>
      </c>
      <c r="M2006" s="189" t="s">
        <v>501</v>
      </c>
      <c r="N2006" s="189" t="s">
        <v>174</v>
      </c>
      <c r="O2006" s="189" t="s">
        <v>713</v>
      </c>
      <c r="P2006" s="189" t="s">
        <v>390</v>
      </c>
      <c r="Q2006" s="189" t="s">
        <v>198</v>
      </c>
      <c r="R2006" s="189" t="s">
        <v>21</v>
      </c>
      <c r="S2006" s="189" t="s">
        <v>120</v>
      </c>
      <c r="T2006" s="189" t="s">
        <v>121</v>
      </c>
      <c r="U2006" s="189" t="s">
        <v>1032</v>
      </c>
      <c r="V2006" s="189" t="s">
        <v>167</v>
      </c>
      <c r="W2006" s="189" t="s">
        <v>124</v>
      </c>
      <c r="X2006" s="189" t="s">
        <v>348</v>
      </c>
      <c r="Y2006" s="189" t="s">
        <v>3069</v>
      </c>
      <c r="Z2006" s="0" t="n">
        <v>1</v>
      </c>
      <c r="AA2006" s="189" t="s">
        <v>3148</v>
      </c>
    </row>
    <row r="2007" customFormat="false" ht="15" hidden="false" customHeight="false" outlineLevel="0" collapsed="false">
      <c r="A2007" s="0" t="n">
        <v>431</v>
      </c>
      <c r="B2007" s="191" t="n">
        <v>46044.8422445929</v>
      </c>
      <c r="C2007" s="191" t="n">
        <v>46044.8496404262</v>
      </c>
      <c r="D2007" s="189" t="s">
        <v>2606</v>
      </c>
      <c r="E2007" s="189" t="s">
        <v>2607</v>
      </c>
      <c r="F2007" s="189" t="s">
        <v>2608</v>
      </c>
      <c r="G2007" s="189" t="s">
        <v>2609</v>
      </c>
      <c r="H2007" s="191" t="n">
        <v>46032</v>
      </c>
      <c r="I2007" s="189" t="s">
        <v>113</v>
      </c>
      <c r="J2007" s="189" t="s">
        <v>295</v>
      </c>
      <c r="K2007" s="189" t="s">
        <v>2610</v>
      </c>
      <c r="L2007" s="189" t="s">
        <v>184</v>
      </c>
      <c r="M2007" s="189" t="s">
        <v>447</v>
      </c>
      <c r="N2007" s="189" t="s">
        <v>398</v>
      </c>
      <c r="O2007" s="189" t="s">
        <v>107</v>
      </c>
      <c r="P2007" s="189" t="s">
        <v>111</v>
      </c>
      <c r="Q2007" s="189" t="s">
        <v>112</v>
      </c>
      <c r="R2007" s="189" t="s">
        <v>21</v>
      </c>
      <c r="S2007" s="189" t="s">
        <v>152</v>
      </c>
      <c r="T2007" s="189" t="s">
        <v>121</v>
      </c>
      <c r="U2007" s="189" t="s">
        <v>2611</v>
      </c>
      <c r="V2007" s="189" t="s">
        <v>167</v>
      </c>
      <c r="W2007" s="189" t="s">
        <v>124</v>
      </c>
      <c r="X2007" s="189" t="s">
        <v>457</v>
      </c>
      <c r="Y2007" s="189" t="s">
        <v>3064</v>
      </c>
      <c r="Z2007" s="0" t="n">
        <v>1</v>
      </c>
      <c r="AA2007" s="189" t="s">
        <v>3107</v>
      </c>
    </row>
    <row r="2008" customFormat="false" ht="15" hidden="false" customHeight="false" outlineLevel="0" collapsed="false">
      <c r="A2008" s="0" t="n">
        <v>431</v>
      </c>
      <c r="B2008" s="191" t="n">
        <v>46044.8422445929</v>
      </c>
      <c r="C2008" s="191" t="n">
        <v>46044.8496404262</v>
      </c>
      <c r="D2008" s="189" t="s">
        <v>2606</v>
      </c>
      <c r="E2008" s="189" t="s">
        <v>2607</v>
      </c>
      <c r="F2008" s="189" t="s">
        <v>2608</v>
      </c>
      <c r="G2008" s="189" t="s">
        <v>2609</v>
      </c>
      <c r="H2008" s="191" t="n">
        <v>46032</v>
      </c>
      <c r="I2008" s="189" t="s">
        <v>113</v>
      </c>
      <c r="J2008" s="189" t="s">
        <v>295</v>
      </c>
      <c r="K2008" s="189" t="s">
        <v>2610</v>
      </c>
      <c r="L2008" s="189" t="s">
        <v>184</v>
      </c>
      <c r="M2008" s="189" t="s">
        <v>447</v>
      </c>
      <c r="N2008" s="189" t="s">
        <v>398</v>
      </c>
      <c r="O2008" s="189" t="s">
        <v>107</v>
      </c>
      <c r="P2008" s="189" t="s">
        <v>111</v>
      </c>
      <c r="Q2008" s="189" t="s">
        <v>112</v>
      </c>
      <c r="R2008" s="189" t="s">
        <v>21</v>
      </c>
      <c r="S2008" s="189" t="s">
        <v>152</v>
      </c>
      <c r="T2008" s="189" t="s">
        <v>121</v>
      </c>
      <c r="U2008" s="189" t="s">
        <v>2611</v>
      </c>
      <c r="V2008" s="189" t="s">
        <v>167</v>
      </c>
      <c r="W2008" s="189" t="s">
        <v>124</v>
      </c>
      <c r="X2008" s="189" t="s">
        <v>457</v>
      </c>
      <c r="Y2008" s="189" t="s">
        <v>3064</v>
      </c>
      <c r="Z2008" s="0" t="n">
        <v>2</v>
      </c>
      <c r="AA2008" s="189" t="s">
        <v>3139</v>
      </c>
    </row>
    <row r="2009" customFormat="false" ht="15" hidden="false" customHeight="false" outlineLevel="0" collapsed="false">
      <c r="A2009" s="0" t="n">
        <v>431</v>
      </c>
      <c r="B2009" s="191" t="n">
        <v>46044.8422445929</v>
      </c>
      <c r="C2009" s="191" t="n">
        <v>46044.8496404262</v>
      </c>
      <c r="D2009" s="189" t="s">
        <v>2606</v>
      </c>
      <c r="E2009" s="189" t="s">
        <v>2607</v>
      </c>
      <c r="F2009" s="189" t="s">
        <v>2608</v>
      </c>
      <c r="G2009" s="189" t="s">
        <v>2609</v>
      </c>
      <c r="H2009" s="191" t="n">
        <v>46032</v>
      </c>
      <c r="I2009" s="189" t="s">
        <v>113</v>
      </c>
      <c r="J2009" s="189" t="s">
        <v>295</v>
      </c>
      <c r="K2009" s="189" t="s">
        <v>2610</v>
      </c>
      <c r="L2009" s="189" t="s">
        <v>184</v>
      </c>
      <c r="M2009" s="189" t="s">
        <v>447</v>
      </c>
      <c r="N2009" s="189" t="s">
        <v>398</v>
      </c>
      <c r="O2009" s="189" t="s">
        <v>107</v>
      </c>
      <c r="P2009" s="189" t="s">
        <v>111</v>
      </c>
      <c r="Q2009" s="189" t="s">
        <v>112</v>
      </c>
      <c r="R2009" s="189" t="s">
        <v>21</v>
      </c>
      <c r="S2009" s="189" t="s">
        <v>152</v>
      </c>
      <c r="T2009" s="189" t="s">
        <v>121</v>
      </c>
      <c r="U2009" s="189" t="s">
        <v>2611</v>
      </c>
      <c r="V2009" s="189" t="s">
        <v>167</v>
      </c>
      <c r="W2009" s="189" t="s">
        <v>124</v>
      </c>
      <c r="X2009" s="189" t="s">
        <v>457</v>
      </c>
      <c r="Y2009" s="189" t="s">
        <v>3066</v>
      </c>
      <c r="Z2009" s="0" t="n">
        <v>1</v>
      </c>
      <c r="AA2009" s="189" t="s">
        <v>3082</v>
      </c>
    </row>
    <row r="2010" customFormat="false" ht="15" hidden="false" customHeight="false" outlineLevel="0" collapsed="false">
      <c r="A2010" s="0" t="n">
        <v>431</v>
      </c>
      <c r="B2010" s="191" t="n">
        <v>46044.8422445929</v>
      </c>
      <c r="C2010" s="191" t="n">
        <v>46044.8496404262</v>
      </c>
      <c r="D2010" s="189" t="s">
        <v>2606</v>
      </c>
      <c r="E2010" s="189" t="s">
        <v>2607</v>
      </c>
      <c r="F2010" s="189" t="s">
        <v>2608</v>
      </c>
      <c r="G2010" s="189" t="s">
        <v>2609</v>
      </c>
      <c r="H2010" s="191" t="n">
        <v>46032</v>
      </c>
      <c r="I2010" s="189" t="s">
        <v>113</v>
      </c>
      <c r="J2010" s="189" t="s">
        <v>295</v>
      </c>
      <c r="K2010" s="189" t="s">
        <v>2610</v>
      </c>
      <c r="L2010" s="189" t="s">
        <v>184</v>
      </c>
      <c r="M2010" s="189" t="s">
        <v>447</v>
      </c>
      <c r="N2010" s="189" t="s">
        <v>398</v>
      </c>
      <c r="O2010" s="189" t="s">
        <v>107</v>
      </c>
      <c r="P2010" s="189" t="s">
        <v>111</v>
      </c>
      <c r="Q2010" s="189" t="s">
        <v>112</v>
      </c>
      <c r="R2010" s="189" t="s">
        <v>21</v>
      </c>
      <c r="S2010" s="189" t="s">
        <v>152</v>
      </c>
      <c r="T2010" s="189" t="s">
        <v>121</v>
      </c>
      <c r="U2010" s="189" t="s">
        <v>2611</v>
      </c>
      <c r="V2010" s="189" t="s">
        <v>167</v>
      </c>
      <c r="W2010" s="189" t="s">
        <v>124</v>
      </c>
      <c r="X2010" s="189" t="s">
        <v>457</v>
      </c>
      <c r="Y2010" s="189" t="s">
        <v>3066</v>
      </c>
      <c r="Z2010" s="0" t="n">
        <v>2</v>
      </c>
      <c r="AA2010" s="189" t="s">
        <v>3211</v>
      </c>
    </row>
    <row r="2011" customFormat="false" ht="15" hidden="false" customHeight="false" outlineLevel="0" collapsed="false">
      <c r="A2011" s="0" t="n">
        <v>431</v>
      </c>
      <c r="B2011" s="191" t="n">
        <v>46044.8422445929</v>
      </c>
      <c r="C2011" s="191" t="n">
        <v>46044.8496404262</v>
      </c>
      <c r="D2011" s="189" t="s">
        <v>2606</v>
      </c>
      <c r="E2011" s="189" t="s">
        <v>2607</v>
      </c>
      <c r="F2011" s="189" t="s">
        <v>2608</v>
      </c>
      <c r="G2011" s="189" t="s">
        <v>2609</v>
      </c>
      <c r="H2011" s="191" t="n">
        <v>46032</v>
      </c>
      <c r="I2011" s="189" t="s">
        <v>113</v>
      </c>
      <c r="J2011" s="189" t="s">
        <v>295</v>
      </c>
      <c r="K2011" s="189" t="s">
        <v>2610</v>
      </c>
      <c r="L2011" s="189" t="s">
        <v>184</v>
      </c>
      <c r="M2011" s="189" t="s">
        <v>447</v>
      </c>
      <c r="N2011" s="189" t="s">
        <v>398</v>
      </c>
      <c r="O2011" s="189" t="s">
        <v>107</v>
      </c>
      <c r="P2011" s="189" t="s">
        <v>111</v>
      </c>
      <c r="Q2011" s="189" t="s">
        <v>112</v>
      </c>
      <c r="R2011" s="189" t="s">
        <v>21</v>
      </c>
      <c r="S2011" s="189" t="s">
        <v>152</v>
      </c>
      <c r="T2011" s="189" t="s">
        <v>121</v>
      </c>
      <c r="U2011" s="189" t="s">
        <v>2611</v>
      </c>
      <c r="V2011" s="189" t="s">
        <v>167</v>
      </c>
      <c r="W2011" s="189" t="s">
        <v>124</v>
      </c>
      <c r="X2011" s="189" t="s">
        <v>457</v>
      </c>
      <c r="Y2011" s="189" t="s">
        <v>3069</v>
      </c>
      <c r="Z2011" s="0" t="n">
        <v>1</v>
      </c>
      <c r="AA2011" s="189" t="s">
        <v>3140</v>
      </c>
    </row>
    <row r="2012" customFormat="false" ht="15" hidden="false" customHeight="false" outlineLevel="0" collapsed="false">
      <c r="A2012" s="0" t="n">
        <v>431</v>
      </c>
      <c r="B2012" s="191" t="n">
        <v>46044.8422445929</v>
      </c>
      <c r="C2012" s="191" t="n">
        <v>46044.8496404262</v>
      </c>
      <c r="D2012" s="189" t="s">
        <v>2606</v>
      </c>
      <c r="E2012" s="189" t="s">
        <v>2607</v>
      </c>
      <c r="F2012" s="189" t="s">
        <v>2608</v>
      </c>
      <c r="G2012" s="189" t="s">
        <v>2609</v>
      </c>
      <c r="H2012" s="191" t="n">
        <v>46032</v>
      </c>
      <c r="I2012" s="189" t="s">
        <v>113</v>
      </c>
      <c r="J2012" s="189" t="s">
        <v>295</v>
      </c>
      <c r="K2012" s="189" t="s">
        <v>2610</v>
      </c>
      <c r="L2012" s="189" t="s">
        <v>184</v>
      </c>
      <c r="M2012" s="189" t="s">
        <v>447</v>
      </c>
      <c r="N2012" s="189" t="s">
        <v>398</v>
      </c>
      <c r="O2012" s="189" t="s">
        <v>107</v>
      </c>
      <c r="P2012" s="189" t="s">
        <v>111</v>
      </c>
      <c r="Q2012" s="189" t="s">
        <v>112</v>
      </c>
      <c r="R2012" s="189" t="s">
        <v>21</v>
      </c>
      <c r="S2012" s="189" t="s">
        <v>152</v>
      </c>
      <c r="T2012" s="189" t="s">
        <v>121</v>
      </c>
      <c r="U2012" s="189" t="s">
        <v>2611</v>
      </c>
      <c r="V2012" s="189" t="s">
        <v>167</v>
      </c>
      <c r="W2012" s="189" t="s">
        <v>124</v>
      </c>
      <c r="X2012" s="189" t="s">
        <v>457</v>
      </c>
      <c r="Y2012" s="189" t="s">
        <v>3069</v>
      </c>
      <c r="Z2012" s="0" t="n">
        <v>2</v>
      </c>
      <c r="AA2012" s="189" t="s">
        <v>3108</v>
      </c>
    </row>
    <row r="2013" customFormat="false" ht="28.35" hidden="false" customHeight="false" outlineLevel="0" collapsed="false">
      <c r="A2013" s="0" t="n">
        <v>432</v>
      </c>
      <c r="B2013" s="191" t="n">
        <v>46165.62350444</v>
      </c>
      <c r="C2013" s="191" t="n">
        <v>46165.63600444</v>
      </c>
      <c r="D2013" s="189" t="s">
        <v>2612</v>
      </c>
      <c r="E2013" s="189" t="s">
        <v>2613</v>
      </c>
      <c r="F2013" s="189" t="s">
        <v>2614</v>
      </c>
      <c r="G2013" s="189" t="s">
        <v>2615</v>
      </c>
      <c r="H2013" s="191" t="n">
        <v>46158</v>
      </c>
      <c r="I2013" s="189" t="s">
        <v>113</v>
      </c>
      <c r="J2013" s="189" t="s">
        <v>108</v>
      </c>
      <c r="K2013" s="189" t="s">
        <v>2616</v>
      </c>
      <c r="L2013" s="189" t="s">
        <v>110</v>
      </c>
      <c r="M2013" s="189" t="s">
        <v>248</v>
      </c>
      <c r="N2013" s="189" t="s">
        <v>1224</v>
      </c>
      <c r="O2013" s="189" t="s">
        <v>107</v>
      </c>
      <c r="P2013" s="189" t="s">
        <v>111</v>
      </c>
      <c r="Q2013" s="189" t="s">
        <v>112</v>
      </c>
      <c r="R2013" s="189" t="s">
        <v>22</v>
      </c>
      <c r="S2013" s="189" t="s">
        <v>152</v>
      </c>
      <c r="T2013" s="189" t="s">
        <v>165</v>
      </c>
      <c r="U2013" s="132" t="s">
        <v>2619</v>
      </c>
      <c r="V2013" s="189" t="s">
        <v>192</v>
      </c>
      <c r="W2013" s="189" t="s">
        <v>168</v>
      </c>
      <c r="X2013" s="189" t="s">
        <v>135</v>
      </c>
      <c r="Y2013" s="189" t="s">
        <v>3064</v>
      </c>
      <c r="Z2013" s="0" t="n">
        <v>1</v>
      </c>
      <c r="AA2013" s="189" t="s">
        <v>3201</v>
      </c>
    </row>
    <row r="2014" customFormat="false" ht="28.35" hidden="false" customHeight="false" outlineLevel="0" collapsed="false">
      <c r="A2014" s="0" t="n">
        <v>432</v>
      </c>
      <c r="B2014" s="191" t="n">
        <v>46165.62350444</v>
      </c>
      <c r="C2014" s="191" t="n">
        <v>46165.63600444</v>
      </c>
      <c r="D2014" s="189" t="s">
        <v>2612</v>
      </c>
      <c r="E2014" s="189" t="s">
        <v>2613</v>
      </c>
      <c r="F2014" s="189" t="s">
        <v>2614</v>
      </c>
      <c r="G2014" s="189" t="s">
        <v>2615</v>
      </c>
      <c r="H2014" s="191" t="n">
        <v>46158</v>
      </c>
      <c r="I2014" s="189" t="s">
        <v>113</v>
      </c>
      <c r="J2014" s="189" t="s">
        <v>108</v>
      </c>
      <c r="K2014" s="189" t="s">
        <v>2616</v>
      </c>
      <c r="L2014" s="189" t="s">
        <v>110</v>
      </c>
      <c r="M2014" s="189" t="s">
        <v>248</v>
      </c>
      <c r="N2014" s="189" t="s">
        <v>1224</v>
      </c>
      <c r="O2014" s="189" t="s">
        <v>107</v>
      </c>
      <c r="P2014" s="189" t="s">
        <v>111</v>
      </c>
      <c r="Q2014" s="189" t="s">
        <v>112</v>
      </c>
      <c r="R2014" s="189" t="s">
        <v>22</v>
      </c>
      <c r="S2014" s="189" t="s">
        <v>152</v>
      </c>
      <c r="T2014" s="189" t="s">
        <v>165</v>
      </c>
      <c r="U2014" s="132" t="s">
        <v>2619</v>
      </c>
      <c r="V2014" s="189" t="s">
        <v>192</v>
      </c>
      <c r="W2014" s="189" t="s">
        <v>168</v>
      </c>
      <c r="X2014" s="189" t="s">
        <v>135</v>
      </c>
      <c r="Y2014" s="189" t="s">
        <v>3064</v>
      </c>
      <c r="Z2014" s="0" t="n">
        <v>2</v>
      </c>
      <c r="AA2014" s="189" t="s">
        <v>3071</v>
      </c>
    </row>
    <row r="2015" customFormat="false" ht="28.35" hidden="false" customHeight="false" outlineLevel="0" collapsed="false">
      <c r="A2015" s="0" t="n">
        <v>432</v>
      </c>
      <c r="B2015" s="191" t="n">
        <v>46165.62350444</v>
      </c>
      <c r="C2015" s="191" t="n">
        <v>46165.63600444</v>
      </c>
      <c r="D2015" s="189" t="s">
        <v>2612</v>
      </c>
      <c r="E2015" s="189" t="s">
        <v>2613</v>
      </c>
      <c r="F2015" s="189" t="s">
        <v>2614</v>
      </c>
      <c r="G2015" s="189" t="s">
        <v>2615</v>
      </c>
      <c r="H2015" s="191" t="n">
        <v>46158</v>
      </c>
      <c r="I2015" s="189" t="s">
        <v>113</v>
      </c>
      <c r="J2015" s="189" t="s">
        <v>108</v>
      </c>
      <c r="K2015" s="189" t="s">
        <v>2616</v>
      </c>
      <c r="L2015" s="189" t="s">
        <v>110</v>
      </c>
      <c r="M2015" s="189" t="s">
        <v>248</v>
      </c>
      <c r="N2015" s="189" t="s">
        <v>1224</v>
      </c>
      <c r="O2015" s="189" t="s">
        <v>107</v>
      </c>
      <c r="P2015" s="189" t="s">
        <v>111</v>
      </c>
      <c r="Q2015" s="189" t="s">
        <v>112</v>
      </c>
      <c r="R2015" s="189" t="s">
        <v>22</v>
      </c>
      <c r="S2015" s="189" t="s">
        <v>152</v>
      </c>
      <c r="T2015" s="189" t="s">
        <v>165</v>
      </c>
      <c r="U2015" s="132" t="s">
        <v>2619</v>
      </c>
      <c r="V2015" s="189" t="s">
        <v>192</v>
      </c>
      <c r="W2015" s="189" t="s">
        <v>168</v>
      </c>
      <c r="X2015" s="189" t="s">
        <v>135</v>
      </c>
      <c r="Y2015" s="189" t="s">
        <v>3064</v>
      </c>
      <c r="Z2015" s="0" t="n">
        <v>3</v>
      </c>
      <c r="AA2015" s="189" t="s">
        <v>3202</v>
      </c>
    </row>
    <row r="2016" customFormat="false" ht="28.35" hidden="false" customHeight="false" outlineLevel="0" collapsed="false">
      <c r="A2016" s="0" t="n">
        <v>432</v>
      </c>
      <c r="B2016" s="191" t="n">
        <v>46165.62350444</v>
      </c>
      <c r="C2016" s="191" t="n">
        <v>46165.63600444</v>
      </c>
      <c r="D2016" s="189" t="s">
        <v>2612</v>
      </c>
      <c r="E2016" s="189" t="s">
        <v>2613</v>
      </c>
      <c r="F2016" s="189" t="s">
        <v>2614</v>
      </c>
      <c r="G2016" s="189" t="s">
        <v>2615</v>
      </c>
      <c r="H2016" s="191" t="n">
        <v>46158</v>
      </c>
      <c r="I2016" s="189" t="s">
        <v>113</v>
      </c>
      <c r="J2016" s="189" t="s">
        <v>108</v>
      </c>
      <c r="K2016" s="189" t="s">
        <v>2616</v>
      </c>
      <c r="L2016" s="189" t="s">
        <v>110</v>
      </c>
      <c r="M2016" s="189" t="s">
        <v>248</v>
      </c>
      <c r="N2016" s="189" t="s">
        <v>1224</v>
      </c>
      <c r="O2016" s="189" t="s">
        <v>107</v>
      </c>
      <c r="P2016" s="189" t="s">
        <v>111</v>
      </c>
      <c r="Q2016" s="189" t="s">
        <v>112</v>
      </c>
      <c r="R2016" s="189" t="s">
        <v>22</v>
      </c>
      <c r="S2016" s="189" t="s">
        <v>152</v>
      </c>
      <c r="T2016" s="189" t="s">
        <v>165</v>
      </c>
      <c r="U2016" s="132" t="s">
        <v>2619</v>
      </c>
      <c r="V2016" s="189" t="s">
        <v>192</v>
      </c>
      <c r="W2016" s="189" t="s">
        <v>168</v>
      </c>
      <c r="X2016" s="189" t="s">
        <v>135</v>
      </c>
      <c r="Y2016" s="189" t="s">
        <v>3066</v>
      </c>
      <c r="Z2016" s="0" t="n">
        <v>1</v>
      </c>
      <c r="AA2016" s="189" t="s">
        <v>3223</v>
      </c>
    </row>
    <row r="2017" customFormat="false" ht="28.35" hidden="false" customHeight="false" outlineLevel="0" collapsed="false">
      <c r="A2017" s="0" t="n">
        <v>432</v>
      </c>
      <c r="B2017" s="191" t="n">
        <v>46165.62350444</v>
      </c>
      <c r="C2017" s="191" t="n">
        <v>46165.63600444</v>
      </c>
      <c r="D2017" s="189" t="s">
        <v>2612</v>
      </c>
      <c r="E2017" s="189" t="s">
        <v>2613</v>
      </c>
      <c r="F2017" s="189" t="s">
        <v>2614</v>
      </c>
      <c r="G2017" s="189" t="s">
        <v>2615</v>
      </c>
      <c r="H2017" s="191" t="n">
        <v>46158</v>
      </c>
      <c r="I2017" s="189" t="s">
        <v>113</v>
      </c>
      <c r="J2017" s="189" t="s">
        <v>108</v>
      </c>
      <c r="K2017" s="189" t="s">
        <v>2616</v>
      </c>
      <c r="L2017" s="189" t="s">
        <v>110</v>
      </c>
      <c r="M2017" s="189" t="s">
        <v>248</v>
      </c>
      <c r="N2017" s="189" t="s">
        <v>1224</v>
      </c>
      <c r="O2017" s="189" t="s">
        <v>107</v>
      </c>
      <c r="P2017" s="189" t="s">
        <v>111</v>
      </c>
      <c r="Q2017" s="189" t="s">
        <v>112</v>
      </c>
      <c r="R2017" s="189" t="s">
        <v>22</v>
      </c>
      <c r="S2017" s="189" t="s">
        <v>152</v>
      </c>
      <c r="T2017" s="189" t="s">
        <v>165</v>
      </c>
      <c r="U2017" s="132" t="s">
        <v>2619</v>
      </c>
      <c r="V2017" s="189" t="s">
        <v>192</v>
      </c>
      <c r="W2017" s="189" t="s">
        <v>168</v>
      </c>
      <c r="X2017" s="189" t="s">
        <v>135</v>
      </c>
      <c r="Y2017" s="189" t="s">
        <v>3066</v>
      </c>
      <c r="Z2017" s="0" t="n">
        <v>2</v>
      </c>
      <c r="AA2017" s="189" t="s">
        <v>122</v>
      </c>
    </row>
    <row r="2018" customFormat="false" ht="28.35" hidden="false" customHeight="false" outlineLevel="0" collapsed="false">
      <c r="A2018" s="0" t="n">
        <v>432</v>
      </c>
      <c r="B2018" s="191" t="n">
        <v>46165.62350444</v>
      </c>
      <c r="C2018" s="191" t="n">
        <v>46165.63600444</v>
      </c>
      <c r="D2018" s="189" t="s">
        <v>2612</v>
      </c>
      <c r="E2018" s="189" t="s">
        <v>2613</v>
      </c>
      <c r="F2018" s="189" t="s">
        <v>2614</v>
      </c>
      <c r="G2018" s="189" t="s">
        <v>2615</v>
      </c>
      <c r="H2018" s="191" t="n">
        <v>46158</v>
      </c>
      <c r="I2018" s="189" t="s">
        <v>113</v>
      </c>
      <c r="J2018" s="189" t="s">
        <v>108</v>
      </c>
      <c r="K2018" s="189" t="s">
        <v>2616</v>
      </c>
      <c r="L2018" s="189" t="s">
        <v>110</v>
      </c>
      <c r="M2018" s="189" t="s">
        <v>248</v>
      </c>
      <c r="N2018" s="189" t="s">
        <v>1224</v>
      </c>
      <c r="O2018" s="189" t="s">
        <v>107</v>
      </c>
      <c r="P2018" s="189" t="s">
        <v>111</v>
      </c>
      <c r="Q2018" s="189" t="s">
        <v>112</v>
      </c>
      <c r="R2018" s="189" t="s">
        <v>22</v>
      </c>
      <c r="S2018" s="189" t="s">
        <v>152</v>
      </c>
      <c r="T2018" s="189" t="s">
        <v>165</v>
      </c>
      <c r="U2018" s="132" t="s">
        <v>2619</v>
      </c>
      <c r="V2018" s="189" t="s">
        <v>192</v>
      </c>
      <c r="W2018" s="189" t="s">
        <v>168</v>
      </c>
      <c r="X2018" s="189" t="s">
        <v>135</v>
      </c>
      <c r="Y2018" s="189" t="s">
        <v>3069</v>
      </c>
      <c r="Z2018" s="0" t="n">
        <v>1</v>
      </c>
      <c r="AA2018" s="189" t="s">
        <v>3193</v>
      </c>
    </row>
    <row r="2019" customFormat="false" ht="15" hidden="false" customHeight="false" outlineLevel="0" collapsed="false">
      <c r="A2019" s="0" t="n">
        <v>433</v>
      </c>
      <c r="B2019" s="191" t="n">
        <v>46060.9856579862</v>
      </c>
      <c r="C2019" s="191" t="n">
        <v>46060.9990260418</v>
      </c>
      <c r="D2019" s="189" t="s">
        <v>2620</v>
      </c>
      <c r="E2019" s="189" t="s">
        <v>2621</v>
      </c>
      <c r="F2019" s="189" t="s">
        <v>2621</v>
      </c>
      <c r="G2019" s="189" t="s">
        <v>2622</v>
      </c>
      <c r="H2019" s="191" t="n">
        <v>46040</v>
      </c>
      <c r="I2019" s="189" t="s">
        <v>113</v>
      </c>
      <c r="J2019" s="189" t="s">
        <v>295</v>
      </c>
      <c r="K2019" s="189" t="s">
        <v>196</v>
      </c>
      <c r="L2019" s="189" t="s">
        <v>110</v>
      </c>
      <c r="M2019" s="189" t="s">
        <v>944</v>
      </c>
      <c r="N2019" s="189" t="s">
        <v>337</v>
      </c>
      <c r="O2019" s="189" t="s">
        <v>107</v>
      </c>
      <c r="P2019" s="189" t="s">
        <v>131</v>
      </c>
      <c r="Q2019" s="189" t="s">
        <v>112</v>
      </c>
      <c r="R2019" s="189" t="s">
        <v>22</v>
      </c>
      <c r="S2019" s="189" t="s">
        <v>120</v>
      </c>
      <c r="T2019" s="189" t="s">
        <v>352</v>
      </c>
      <c r="V2019" s="189" t="s">
        <v>167</v>
      </c>
      <c r="W2019" s="189" t="s">
        <v>124</v>
      </c>
      <c r="X2019" s="189" t="s">
        <v>271</v>
      </c>
      <c r="Y2019" s="189" t="s">
        <v>3064</v>
      </c>
      <c r="Z2019" s="0" t="n">
        <v>1</v>
      </c>
      <c r="AA2019" s="189" t="s">
        <v>3115</v>
      </c>
    </row>
    <row r="2020" customFormat="false" ht="15" hidden="false" customHeight="false" outlineLevel="0" collapsed="false">
      <c r="A2020" s="0" t="n">
        <v>433</v>
      </c>
      <c r="B2020" s="191" t="n">
        <v>46060.9856579862</v>
      </c>
      <c r="C2020" s="191" t="n">
        <v>46060.9990260418</v>
      </c>
      <c r="D2020" s="189" t="s">
        <v>2620</v>
      </c>
      <c r="E2020" s="189" t="s">
        <v>2621</v>
      </c>
      <c r="F2020" s="189" t="s">
        <v>2621</v>
      </c>
      <c r="G2020" s="189" t="s">
        <v>2622</v>
      </c>
      <c r="H2020" s="191" t="n">
        <v>46040</v>
      </c>
      <c r="I2020" s="189" t="s">
        <v>113</v>
      </c>
      <c r="J2020" s="189" t="s">
        <v>295</v>
      </c>
      <c r="K2020" s="189" t="s">
        <v>196</v>
      </c>
      <c r="L2020" s="189" t="s">
        <v>110</v>
      </c>
      <c r="M2020" s="189" t="s">
        <v>944</v>
      </c>
      <c r="N2020" s="189" t="s">
        <v>337</v>
      </c>
      <c r="O2020" s="189" t="s">
        <v>107</v>
      </c>
      <c r="P2020" s="189" t="s">
        <v>131</v>
      </c>
      <c r="Q2020" s="189" t="s">
        <v>112</v>
      </c>
      <c r="R2020" s="189" t="s">
        <v>22</v>
      </c>
      <c r="S2020" s="189" t="s">
        <v>120</v>
      </c>
      <c r="T2020" s="189" t="s">
        <v>352</v>
      </c>
      <c r="V2020" s="189" t="s">
        <v>167</v>
      </c>
      <c r="W2020" s="189" t="s">
        <v>124</v>
      </c>
      <c r="X2020" s="189" t="s">
        <v>271</v>
      </c>
      <c r="Y2020" s="189" t="s">
        <v>3066</v>
      </c>
      <c r="Z2020" s="0" t="n">
        <v>1</v>
      </c>
      <c r="AA2020" s="189" t="s">
        <v>3266</v>
      </c>
    </row>
    <row r="2021" customFormat="false" ht="15" hidden="false" customHeight="false" outlineLevel="0" collapsed="false">
      <c r="A2021" s="0" t="n">
        <v>433</v>
      </c>
      <c r="B2021" s="191" t="n">
        <v>46060.9856579862</v>
      </c>
      <c r="C2021" s="191" t="n">
        <v>46060.9990260418</v>
      </c>
      <c r="D2021" s="189" t="s">
        <v>2620</v>
      </c>
      <c r="E2021" s="189" t="s">
        <v>2621</v>
      </c>
      <c r="F2021" s="189" t="s">
        <v>2621</v>
      </c>
      <c r="G2021" s="189" t="s">
        <v>2622</v>
      </c>
      <c r="H2021" s="191" t="n">
        <v>46040</v>
      </c>
      <c r="I2021" s="189" t="s">
        <v>113</v>
      </c>
      <c r="J2021" s="189" t="s">
        <v>295</v>
      </c>
      <c r="K2021" s="189" t="s">
        <v>196</v>
      </c>
      <c r="L2021" s="189" t="s">
        <v>110</v>
      </c>
      <c r="M2021" s="189" t="s">
        <v>944</v>
      </c>
      <c r="N2021" s="189" t="s">
        <v>337</v>
      </c>
      <c r="O2021" s="189" t="s">
        <v>107</v>
      </c>
      <c r="P2021" s="189" t="s">
        <v>131</v>
      </c>
      <c r="Q2021" s="189" t="s">
        <v>112</v>
      </c>
      <c r="R2021" s="189" t="s">
        <v>22</v>
      </c>
      <c r="S2021" s="189" t="s">
        <v>120</v>
      </c>
      <c r="T2021" s="189" t="s">
        <v>352</v>
      </c>
      <c r="V2021" s="189" t="s">
        <v>167</v>
      </c>
      <c r="W2021" s="189" t="s">
        <v>124</v>
      </c>
      <c r="X2021" s="189" t="s">
        <v>271</v>
      </c>
      <c r="Y2021" s="189" t="s">
        <v>3069</v>
      </c>
      <c r="Z2021" s="0" t="n">
        <v>1</v>
      </c>
      <c r="AA2021" s="189" t="s">
        <v>122</v>
      </c>
    </row>
    <row r="2022" customFormat="false" ht="15" hidden="false" customHeight="false" outlineLevel="0" collapsed="false">
      <c r="A2022" s="0" t="n">
        <v>434</v>
      </c>
      <c r="B2022" s="191" t="n">
        <v>46082.6009998271</v>
      </c>
      <c r="C2022" s="191" t="n">
        <v>46082.6115669567</v>
      </c>
      <c r="D2022" s="189" t="s">
        <v>2624</v>
      </c>
      <c r="E2022" s="189" t="s">
        <v>2625</v>
      </c>
      <c r="F2022" s="189" t="s">
        <v>2625</v>
      </c>
      <c r="G2022" s="189" t="s">
        <v>2626</v>
      </c>
      <c r="H2022" s="191" t="n">
        <v>46075</v>
      </c>
      <c r="I2022" s="189" t="s">
        <v>113</v>
      </c>
      <c r="J2022" s="189" t="s">
        <v>108</v>
      </c>
      <c r="K2022" s="189" t="s">
        <v>173</v>
      </c>
      <c r="L2022" s="189" t="s">
        <v>389</v>
      </c>
      <c r="M2022" s="189" t="s">
        <v>515</v>
      </c>
      <c r="N2022" s="189" t="s">
        <v>743</v>
      </c>
      <c r="O2022" s="189" t="s">
        <v>278</v>
      </c>
      <c r="P2022" s="189" t="s">
        <v>211</v>
      </c>
      <c r="Q2022" s="189" t="s">
        <v>112</v>
      </c>
      <c r="R2022" s="189" t="s">
        <v>22</v>
      </c>
      <c r="S2022" s="189" t="s">
        <v>152</v>
      </c>
      <c r="T2022" s="189" t="s">
        <v>121</v>
      </c>
      <c r="U2022" s="189" t="s">
        <v>122</v>
      </c>
      <c r="V2022" s="189" t="s">
        <v>123</v>
      </c>
      <c r="W2022" s="189" t="s">
        <v>139</v>
      </c>
      <c r="X2022" s="189" t="s">
        <v>176</v>
      </c>
      <c r="Y2022" s="189" t="s">
        <v>3064</v>
      </c>
      <c r="Z2022" s="0" t="n">
        <v>1</v>
      </c>
      <c r="AA2022" s="189" t="s">
        <v>3321</v>
      </c>
    </row>
    <row r="2023" customFormat="false" ht="15" hidden="false" customHeight="false" outlineLevel="0" collapsed="false">
      <c r="A2023" s="0" t="n">
        <v>434</v>
      </c>
      <c r="B2023" s="191" t="n">
        <v>46082.6009998271</v>
      </c>
      <c r="C2023" s="191" t="n">
        <v>46082.6115669567</v>
      </c>
      <c r="D2023" s="189" t="s">
        <v>2624</v>
      </c>
      <c r="E2023" s="189" t="s">
        <v>2625</v>
      </c>
      <c r="F2023" s="189" t="s">
        <v>2625</v>
      </c>
      <c r="G2023" s="189" t="s">
        <v>2626</v>
      </c>
      <c r="H2023" s="191" t="n">
        <v>46075</v>
      </c>
      <c r="I2023" s="189" t="s">
        <v>113</v>
      </c>
      <c r="J2023" s="189" t="s">
        <v>108</v>
      </c>
      <c r="K2023" s="189" t="s">
        <v>173</v>
      </c>
      <c r="L2023" s="189" t="s">
        <v>389</v>
      </c>
      <c r="M2023" s="189" t="s">
        <v>515</v>
      </c>
      <c r="N2023" s="189" t="s">
        <v>743</v>
      </c>
      <c r="O2023" s="189" t="s">
        <v>278</v>
      </c>
      <c r="P2023" s="189" t="s">
        <v>211</v>
      </c>
      <c r="Q2023" s="189" t="s">
        <v>112</v>
      </c>
      <c r="R2023" s="189" t="s">
        <v>22</v>
      </c>
      <c r="S2023" s="189" t="s">
        <v>152</v>
      </c>
      <c r="T2023" s="189" t="s">
        <v>121</v>
      </c>
      <c r="U2023" s="189" t="s">
        <v>122</v>
      </c>
      <c r="V2023" s="189" t="s">
        <v>123</v>
      </c>
      <c r="W2023" s="189" t="s">
        <v>139</v>
      </c>
      <c r="X2023" s="189" t="s">
        <v>176</v>
      </c>
      <c r="Y2023" s="189" t="s">
        <v>3064</v>
      </c>
      <c r="Z2023" s="0" t="n">
        <v>2</v>
      </c>
      <c r="AA2023" s="189" t="s">
        <v>3264</v>
      </c>
    </row>
    <row r="2024" customFormat="false" ht="15" hidden="false" customHeight="false" outlineLevel="0" collapsed="false">
      <c r="A2024" s="0" t="n">
        <v>434</v>
      </c>
      <c r="B2024" s="191" t="n">
        <v>46082.6009998271</v>
      </c>
      <c r="C2024" s="191" t="n">
        <v>46082.6115669567</v>
      </c>
      <c r="D2024" s="189" t="s">
        <v>2624</v>
      </c>
      <c r="E2024" s="189" t="s">
        <v>2625</v>
      </c>
      <c r="F2024" s="189" t="s">
        <v>2625</v>
      </c>
      <c r="G2024" s="189" t="s">
        <v>2626</v>
      </c>
      <c r="H2024" s="191" t="n">
        <v>46075</v>
      </c>
      <c r="I2024" s="189" t="s">
        <v>113</v>
      </c>
      <c r="J2024" s="189" t="s">
        <v>108</v>
      </c>
      <c r="K2024" s="189" t="s">
        <v>173</v>
      </c>
      <c r="L2024" s="189" t="s">
        <v>389</v>
      </c>
      <c r="M2024" s="189" t="s">
        <v>515</v>
      </c>
      <c r="N2024" s="189" t="s">
        <v>743</v>
      </c>
      <c r="O2024" s="189" t="s">
        <v>278</v>
      </c>
      <c r="P2024" s="189" t="s">
        <v>211</v>
      </c>
      <c r="Q2024" s="189" t="s">
        <v>112</v>
      </c>
      <c r="R2024" s="189" t="s">
        <v>22</v>
      </c>
      <c r="S2024" s="189" t="s">
        <v>152</v>
      </c>
      <c r="T2024" s="189" t="s">
        <v>121</v>
      </c>
      <c r="U2024" s="189" t="s">
        <v>122</v>
      </c>
      <c r="V2024" s="189" t="s">
        <v>123</v>
      </c>
      <c r="W2024" s="189" t="s">
        <v>139</v>
      </c>
      <c r="X2024" s="189" t="s">
        <v>176</v>
      </c>
      <c r="Y2024" s="189" t="s">
        <v>3064</v>
      </c>
      <c r="Z2024" s="0" t="n">
        <v>3</v>
      </c>
      <c r="AA2024" s="189" t="s">
        <v>3299</v>
      </c>
    </row>
    <row r="2025" customFormat="false" ht="15" hidden="false" customHeight="false" outlineLevel="0" collapsed="false">
      <c r="A2025" s="0" t="n">
        <v>434</v>
      </c>
      <c r="B2025" s="191" t="n">
        <v>46082.6009998271</v>
      </c>
      <c r="C2025" s="191" t="n">
        <v>46082.6115669567</v>
      </c>
      <c r="D2025" s="189" t="s">
        <v>2624</v>
      </c>
      <c r="E2025" s="189" t="s">
        <v>2625</v>
      </c>
      <c r="F2025" s="189" t="s">
        <v>2625</v>
      </c>
      <c r="G2025" s="189" t="s">
        <v>2626</v>
      </c>
      <c r="H2025" s="191" t="n">
        <v>46075</v>
      </c>
      <c r="I2025" s="189" t="s">
        <v>113</v>
      </c>
      <c r="J2025" s="189" t="s">
        <v>108</v>
      </c>
      <c r="K2025" s="189" t="s">
        <v>173</v>
      </c>
      <c r="L2025" s="189" t="s">
        <v>389</v>
      </c>
      <c r="M2025" s="189" t="s">
        <v>515</v>
      </c>
      <c r="N2025" s="189" t="s">
        <v>743</v>
      </c>
      <c r="O2025" s="189" t="s">
        <v>278</v>
      </c>
      <c r="P2025" s="189" t="s">
        <v>211</v>
      </c>
      <c r="Q2025" s="189" t="s">
        <v>112</v>
      </c>
      <c r="R2025" s="189" t="s">
        <v>22</v>
      </c>
      <c r="S2025" s="189" t="s">
        <v>152</v>
      </c>
      <c r="T2025" s="189" t="s">
        <v>121</v>
      </c>
      <c r="U2025" s="189" t="s">
        <v>122</v>
      </c>
      <c r="V2025" s="189" t="s">
        <v>123</v>
      </c>
      <c r="W2025" s="189" t="s">
        <v>139</v>
      </c>
      <c r="X2025" s="189" t="s">
        <v>176</v>
      </c>
      <c r="Y2025" s="189" t="s">
        <v>3066</v>
      </c>
      <c r="Z2025" s="0" t="n">
        <v>1</v>
      </c>
      <c r="AA2025" s="189" t="s">
        <v>3331</v>
      </c>
    </row>
    <row r="2026" customFormat="false" ht="15" hidden="false" customHeight="false" outlineLevel="0" collapsed="false">
      <c r="A2026" s="0" t="n">
        <v>434</v>
      </c>
      <c r="B2026" s="191" t="n">
        <v>46082.6009998271</v>
      </c>
      <c r="C2026" s="191" t="n">
        <v>46082.6115669567</v>
      </c>
      <c r="D2026" s="189" t="s">
        <v>2624</v>
      </c>
      <c r="E2026" s="189" t="s">
        <v>2625</v>
      </c>
      <c r="F2026" s="189" t="s">
        <v>2625</v>
      </c>
      <c r="G2026" s="189" t="s">
        <v>2626</v>
      </c>
      <c r="H2026" s="191" t="n">
        <v>46075</v>
      </c>
      <c r="I2026" s="189" t="s">
        <v>113</v>
      </c>
      <c r="J2026" s="189" t="s">
        <v>108</v>
      </c>
      <c r="K2026" s="189" t="s">
        <v>173</v>
      </c>
      <c r="L2026" s="189" t="s">
        <v>389</v>
      </c>
      <c r="M2026" s="189" t="s">
        <v>515</v>
      </c>
      <c r="N2026" s="189" t="s">
        <v>743</v>
      </c>
      <c r="O2026" s="189" t="s">
        <v>278</v>
      </c>
      <c r="P2026" s="189" t="s">
        <v>211</v>
      </c>
      <c r="Q2026" s="189" t="s">
        <v>112</v>
      </c>
      <c r="R2026" s="189" t="s">
        <v>22</v>
      </c>
      <c r="S2026" s="189" t="s">
        <v>152</v>
      </c>
      <c r="T2026" s="189" t="s">
        <v>121</v>
      </c>
      <c r="U2026" s="189" t="s">
        <v>122</v>
      </c>
      <c r="V2026" s="189" t="s">
        <v>123</v>
      </c>
      <c r="W2026" s="189" t="s">
        <v>139</v>
      </c>
      <c r="X2026" s="189" t="s">
        <v>176</v>
      </c>
      <c r="Y2026" s="189" t="s">
        <v>3066</v>
      </c>
      <c r="Z2026" s="0" t="n">
        <v>2</v>
      </c>
      <c r="AA2026" s="189" t="s">
        <v>3291</v>
      </c>
    </row>
    <row r="2027" customFormat="false" ht="15" hidden="false" customHeight="false" outlineLevel="0" collapsed="false">
      <c r="A2027" s="0" t="n">
        <v>434</v>
      </c>
      <c r="B2027" s="191" t="n">
        <v>46082.6009998271</v>
      </c>
      <c r="C2027" s="191" t="n">
        <v>46082.6115669567</v>
      </c>
      <c r="D2027" s="189" t="s">
        <v>2624</v>
      </c>
      <c r="E2027" s="189" t="s">
        <v>2625</v>
      </c>
      <c r="F2027" s="189" t="s">
        <v>2625</v>
      </c>
      <c r="G2027" s="189" t="s">
        <v>2626</v>
      </c>
      <c r="H2027" s="191" t="n">
        <v>46075</v>
      </c>
      <c r="I2027" s="189" t="s">
        <v>113</v>
      </c>
      <c r="J2027" s="189" t="s">
        <v>108</v>
      </c>
      <c r="K2027" s="189" t="s">
        <v>173</v>
      </c>
      <c r="L2027" s="189" t="s">
        <v>389</v>
      </c>
      <c r="M2027" s="189" t="s">
        <v>515</v>
      </c>
      <c r="N2027" s="189" t="s">
        <v>743</v>
      </c>
      <c r="O2027" s="189" t="s">
        <v>278</v>
      </c>
      <c r="P2027" s="189" t="s">
        <v>211</v>
      </c>
      <c r="Q2027" s="189" t="s">
        <v>112</v>
      </c>
      <c r="R2027" s="189" t="s">
        <v>22</v>
      </c>
      <c r="S2027" s="189" t="s">
        <v>152</v>
      </c>
      <c r="T2027" s="189" t="s">
        <v>121</v>
      </c>
      <c r="U2027" s="189" t="s">
        <v>122</v>
      </c>
      <c r="V2027" s="189" t="s">
        <v>123</v>
      </c>
      <c r="W2027" s="189" t="s">
        <v>139</v>
      </c>
      <c r="X2027" s="189" t="s">
        <v>176</v>
      </c>
      <c r="Y2027" s="189" t="s">
        <v>3069</v>
      </c>
      <c r="Z2027" s="0" t="n">
        <v>1</v>
      </c>
      <c r="AA2027" s="189" t="s">
        <v>3245</v>
      </c>
    </row>
    <row r="2028" customFormat="false" ht="15" hidden="false" customHeight="false" outlineLevel="0" collapsed="false">
      <c r="A2028" s="0" t="n">
        <v>435</v>
      </c>
      <c r="B2028" s="191" t="n">
        <v>46208.8999222769</v>
      </c>
      <c r="C2028" s="191" t="n">
        <v>46208.9203968139</v>
      </c>
      <c r="D2028" s="189" t="s">
        <v>2629</v>
      </c>
      <c r="E2028" s="189" t="s">
        <v>2630</v>
      </c>
      <c r="F2028" s="189" t="s">
        <v>2631</v>
      </c>
      <c r="G2028" s="189" t="s">
        <v>2632</v>
      </c>
      <c r="H2028" s="191" t="n">
        <v>46194</v>
      </c>
      <c r="I2028" s="189" t="s">
        <v>863</v>
      </c>
      <c r="J2028" s="189" t="s">
        <v>128</v>
      </c>
      <c r="K2028" s="189" t="s">
        <v>245</v>
      </c>
      <c r="L2028" s="189" t="s">
        <v>431</v>
      </c>
      <c r="M2028" s="189" t="s">
        <v>279</v>
      </c>
      <c r="N2028" s="189" t="s">
        <v>1160</v>
      </c>
      <c r="O2028" s="189" t="s">
        <v>172</v>
      </c>
      <c r="P2028" s="189" t="s">
        <v>131</v>
      </c>
      <c r="Q2028" s="189" t="s">
        <v>112</v>
      </c>
      <c r="R2028" s="189" t="s">
        <v>22</v>
      </c>
      <c r="S2028" s="189" t="s">
        <v>152</v>
      </c>
      <c r="T2028" s="189" t="s">
        <v>121</v>
      </c>
      <c r="U2028" s="189" t="s">
        <v>956</v>
      </c>
      <c r="V2028" s="189" t="s">
        <v>123</v>
      </c>
      <c r="W2028" s="189" t="s">
        <v>168</v>
      </c>
      <c r="X2028" s="189" t="s">
        <v>381</v>
      </c>
      <c r="Y2028" s="189" t="s">
        <v>3064</v>
      </c>
      <c r="Z2028" s="0" t="n">
        <v>1</v>
      </c>
      <c r="AA2028" s="189" t="s">
        <v>3233</v>
      </c>
    </row>
    <row r="2029" customFormat="false" ht="15" hidden="false" customHeight="false" outlineLevel="0" collapsed="false">
      <c r="A2029" s="0" t="n">
        <v>435</v>
      </c>
      <c r="B2029" s="191" t="n">
        <v>46208.8999222769</v>
      </c>
      <c r="C2029" s="191" t="n">
        <v>46208.9203968139</v>
      </c>
      <c r="D2029" s="189" t="s">
        <v>2629</v>
      </c>
      <c r="E2029" s="189" t="s">
        <v>2630</v>
      </c>
      <c r="F2029" s="189" t="s">
        <v>2631</v>
      </c>
      <c r="G2029" s="189" t="s">
        <v>2632</v>
      </c>
      <c r="H2029" s="191" t="n">
        <v>46194</v>
      </c>
      <c r="I2029" s="189" t="s">
        <v>863</v>
      </c>
      <c r="J2029" s="189" t="s">
        <v>128</v>
      </c>
      <c r="K2029" s="189" t="s">
        <v>245</v>
      </c>
      <c r="L2029" s="189" t="s">
        <v>431</v>
      </c>
      <c r="M2029" s="189" t="s">
        <v>279</v>
      </c>
      <c r="N2029" s="189" t="s">
        <v>1160</v>
      </c>
      <c r="O2029" s="189" t="s">
        <v>172</v>
      </c>
      <c r="P2029" s="189" t="s">
        <v>131</v>
      </c>
      <c r="Q2029" s="189" t="s">
        <v>112</v>
      </c>
      <c r="R2029" s="189" t="s">
        <v>22</v>
      </c>
      <c r="S2029" s="189" t="s">
        <v>152</v>
      </c>
      <c r="T2029" s="189" t="s">
        <v>121</v>
      </c>
      <c r="U2029" s="189" t="s">
        <v>956</v>
      </c>
      <c r="V2029" s="189" t="s">
        <v>123</v>
      </c>
      <c r="W2029" s="189" t="s">
        <v>168</v>
      </c>
      <c r="X2029" s="189" t="s">
        <v>381</v>
      </c>
      <c r="Y2029" s="189" t="s">
        <v>3064</v>
      </c>
      <c r="Z2029" s="0" t="n">
        <v>2</v>
      </c>
      <c r="AA2029" s="189" t="s">
        <v>3249</v>
      </c>
    </row>
    <row r="2030" customFormat="false" ht="15" hidden="false" customHeight="false" outlineLevel="0" collapsed="false">
      <c r="A2030" s="0" t="n">
        <v>435</v>
      </c>
      <c r="B2030" s="191" t="n">
        <v>46208.8999222769</v>
      </c>
      <c r="C2030" s="191" t="n">
        <v>46208.9203968139</v>
      </c>
      <c r="D2030" s="189" t="s">
        <v>2629</v>
      </c>
      <c r="E2030" s="189" t="s">
        <v>2630</v>
      </c>
      <c r="F2030" s="189" t="s">
        <v>2631</v>
      </c>
      <c r="G2030" s="189" t="s">
        <v>2632</v>
      </c>
      <c r="H2030" s="191" t="n">
        <v>46194</v>
      </c>
      <c r="I2030" s="189" t="s">
        <v>863</v>
      </c>
      <c r="J2030" s="189" t="s">
        <v>128</v>
      </c>
      <c r="K2030" s="189" t="s">
        <v>245</v>
      </c>
      <c r="L2030" s="189" t="s">
        <v>431</v>
      </c>
      <c r="M2030" s="189" t="s">
        <v>279</v>
      </c>
      <c r="N2030" s="189" t="s">
        <v>1160</v>
      </c>
      <c r="O2030" s="189" t="s">
        <v>172</v>
      </c>
      <c r="P2030" s="189" t="s">
        <v>131</v>
      </c>
      <c r="Q2030" s="189" t="s">
        <v>112</v>
      </c>
      <c r="R2030" s="189" t="s">
        <v>22</v>
      </c>
      <c r="S2030" s="189" t="s">
        <v>152</v>
      </c>
      <c r="T2030" s="189" t="s">
        <v>121</v>
      </c>
      <c r="U2030" s="189" t="s">
        <v>956</v>
      </c>
      <c r="V2030" s="189" t="s">
        <v>123</v>
      </c>
      <c r="W2030" s="189" t="s">
        <v>168</v>
      </c>
      <c r="X2030" s="189" t="s">
        <v>381</v>
      </c>
      <c r="Y2030" s="189" t="s">
        <v>3066</v>
      </c>
      <c r="Z2030" s="0" t="n">
        <v>1</v>
      </c>
      <c r="AA2030" s="189" t="s">
        <v>3161</v>
      </c>
    </row>
    <row r="2031" customFormat="false" ht="15" hidden="false" customHeight="false" outlineLevel="0" collapsed="false">
      <c r="A2031" s="0" t="n">
        <v>435</v>
      </c>
      <c r="B2031" s="191" t="n">
        <v>46208.8999222769</v>
      </c>
      <c r="C2031" s="191" t="n">
        <v>46208.9203968139</v>
      </c>
      <c r="D2031" s="189" t="s">
        <v>2629</v>
      </c>
      <c r="E2031" s="189" t="s">
        <v>2630</v>
      </c>
      <c r="F2031" s="189" t="s">
        <v>2631</v>
      </c>
      <c r="G2031" s="189" t="s">
        <v>2632</v>
      </c>
      <c r="H2031" s="191" t="n">
        <v>46194</v>
      </c>
      <c r="I2031" s="189" t="s">
        <v>863</v>
      </c>
      <c r="J2031" s="189" t="s">
        <v>128</v>
      </c>
      <c r="K2031" s="189" t="s">
        <v>245</v>
      </c>
      <c r="L2031" s="189" t="s">
        <v>431</v>
      </c>
      <c r="M2031" s="189" t="s">
        <v>279</v>
      </c>
      <c r="N2031" s="189" t="s">
        <v>1160</v>
      </c>
      <c r="O2031" s="189" t="s">
        <v>172</v>
      </c>
      <c r="P2031" s="189" t="s">
        <v>131</v>
      </c>
      <c r="Q2031" s="189" t="s">
        <v>112</v>
      </c>
      <c r="R2031" s="189" t="s">
        <v>22</v>
      </c>
      <c r="S2031" s="189" t="s">
        <v>152</v>
      </c>
      <c r="T2031" s="189" t="s">
        <v>121</v>
      </c>
      <c r="U2031" s="189" t="s">
        <v>956</v>
      </c>
      <c r="V2031" s="189" t="s">
        <v>123</v>
      </c>
      <c r="W2031" s="189" t="s">
        <v>168</v>
      </c>
      <c r="X2031" s="189" t="s">
        <v>381</v>
      </c>
      <c r="Y2031" s="189" t="s">
        <v>3066</v>
      </c>
      <c r="Z2031" s="0" t="n">
        <v>2</v>
      </c>
      <c r="AA2031" s="189" t="s">
        <v>3160</v>
      </c>
    </row>
    <row r="2032" customFormat="false" ht="15" hidden="false" customHeight="false" outlineLevel="0" collapsed="false">
      <c r="A2032" s="0" t="n">
        <v>435</v>
      </c>
      <c r="B2032" s="191" t="n">
        <v>46208.8999222769</v>
      </c>
      <c r="C2032" s="191" t="n">
        <v>46208.9203968139</v>
      </c>
      <c r="D2032" s="189" t="s">
        <v>2629</v>
      </c>
      <c r="E2032" s="189" t="s">
        <v>2630</v>
      </c>
      <c r="F2032" s="189" t="s">
        <v>2631</v>
      </c>
      <c r="G2032" s="189" t="s">
        <v>2632</v>
      </c>
      <c r="H2032" s="191" t="n">
        <v>46194</v>
      </c>
      <c r="I2032" s="189" t="s">
        <v>863</v>
      </c>
      <c r="J2032" s="189" t="s">
        <v>128</v>
      </c>
      <c r="K2032" s="189" t="s">
        <v>245</v>
      </c>
      <c r="L2032" s="189" t="s">
        <v>431</v>
      </c>
      <c r="M2032" s="189" t="s">
        <v>279</v>
      </c>
      <c r="N2032" s="189" t="s">
        <v>1160</v>
      </c>
      <c r="O2032" s="189" t="s">
        <v>172</v>
      </c>
      <c r="P2032" s="189" t="s">
        <v>131</v>
      </c>
      <c r="Q2032" s="189" t="s">
        <v>112</v>
      </c>
      <c r="R2032" s="189" t="s">
        <v>22</v>
      </c>
      <c r="S2032" s="189" t="s">
        <v>152</v>
      </c>
      <c r="T2032" s="189" t="s">
        <v>121</v>
      </c>
      <c r="U2032" s="189" t="s">
        <v>956</v>
      </c>
      <c r="V2032" s="189" t="s">
        <v>123</v>
      </c>
      <c r="W2032" s="189" t="s">
        <v>168</v>
      </c>
      <c r="X2032" s="189" t="s">
        <v>381</v>
      </c>
      <c r="Y2032" s="189" t="s">
        <v>3069</v>
      </c>
      <c r="Z2032" s="0" t="n">
        <v>1</v>
      </c>
      <c r="AA2032" s="189" t="s">
        <v>3234</v>
      </c>
    </row>
    <row r="2033" customFormat="false" ht="15" hidden="false" customHeight="false" outlineLevel="0" collapsed="false">
      <c r="A2033" s="0" t="n">
        <v>435</v>
      </c>
      <c r="B2033" s="191" t="n">
        <v>46208.8999222769</v>
      </c>
      <c r="C2033" s="191" t="n">
        <v>46208.9203968139</v>
      </c>
      <c r="D2033" s="189" t="s">
        <v>2629</v>
      </c>
      <c r="E2033" s="189" t="s">
        <v>2630</v>
      </c>
      <c r="F2033" s="189" t="s">
        <v>2631</v>
      </c>
      <c r="G2033" s="189" t="s">
        <v>2632</v>
      </c>
      <c r="H2033" s="191" t="n">
        <v>46194</v>
      </c>
      <c r="I2033" s="189" t="s">
        <v>863</v>
      </c>
      <c r="J2033" s="189" t="s">
        <v>128</v>
      </c>
      <c r="K2033" s="189" t="s">
        <v>245</v>
      </c>
      <c r="L2033" s="189" t="s">
        <v>431</v>
      </c>
      <c r="M2033" s="189" t="s">
        <v>279</v>
      </c>
      <c r="N2033" s="189" t="s">
        <v>1160</v>
      </c>
      <c r="O2033" s="189" t="s">
        <v>172</v>
      </c>
      <c r="P2033" s="189" t="s">
        <v>131</v>
      </c>
      <c r="Q2033" s="189" t="s">
        <v>112</v>
      </c>
      <c r="R2033" s="189" t="s">
        <v>22</v>
      </c>
      <c r="S2033" s="189" t="s">
        <v>152</v>
      </c>
      <c r="T2033" s="189" t="s">
        <v>121</v>
      </c>
      <c r="U2033" s="189" t="s">
        <v>956</v>
      </c>
      <c r="V2033" s="189" t="s">
        <v>123</v>
      </c>
      <c r="W2033" s="189" t="s">
        <v>168</v>
      </c>
      <c r="X2033" s="189" t="s">
        <v>381</v>
      </c>
      <c r="Y2033" s="189" t="s">
        <v>3069</v>
      </c>
      <c r="Z2033" s="0" t="n">
        <v>2</v>
      </c>
      <c r="AA2033" s="189" t="s">
        <v>3181</v>
      </c>
    </row>
    <row r="2034" customFormat="false" ht="15" hidden="false" customHeight="false" outlineLevel="0" collapsed="false">
      <c r="A2034" s="0" t="n">
        <v>436</v>
      </c>
      <c r="B2034" s="191" t="n">
        <v>46050.8746011395</v>
      </c>
      <c r="C2034" s="191" t="n">
        <v>46050.8889761395</v>
      </c>
      <c r="D2034" s="189" t="s">
        <v>2635</v>
      </c>
      <c r="E2034" s="189" t="s">
        <v>2636</v>
      </c>
      <c r="F2034" s="189" t="s">
        <v>2636</v>
      </c>
      <c r="G2034" s="189" t="s">
        <v>2637</v>
      </c>
      <c r="H2034" s="191" t="n">
        <v>46039</v>
      </c>
      <c r="I2034" s="189" t="s">
        <v>305</v>
      </c>
      <c r="J2034" s="189" t="s">
        <v>108</v>
      </c>
      <c r="K2034" s="189" t="s">
        <v>2638</v>
      </c>
      <c r="L2034" s="189" t="s">
        <v>114</v>
      </c>
      <c r="M2034" s="189" t="s">
        <v>326</v>
      </c>
      <c r="N2034" s="189" t="s">
        <v>1100</v>
      </c>
      <c r="O2034" s="189" t="s">
        <v>244</v>
      </c>
      <c r="P2034" s="189" t="s">
        <v>111</v>
      </c>
      <c r="Q2034" s="189" t="s">
        <v>112</v>
      </c>
      <c r="R2034" s="189" t="s">
        <v>22</v>
      </c>
      <c r="S2034" s="189" t="s">
        <v>152</v>
      </c>
      <c r="T2034" s="189" t="s">
        <v>121</v>
      </c>
      <c r="V2034" s="189" t="s">
        <v>167</v>
      </c>
      <c r="W2034" s="189" t="s">
        <v>124</v>
      </c>
      <c r="X2034" s="189" t="s">
        <v>176</v>
      </c>
      <c r="Y2034" s="189" t="s">
        <v>3064</v>
      </c>
      <c r="Z2034" s="0" t="n">
        <v>1</v>
      </c>
      <c r="AA2034" s="189" t="s">
        <v>3239</v>
      </c>
    </row>
    <row r="2035" customFormat="false" ht="15" hidden="false" customHeight="false" outlineLevel="0" collapsed="false">
      <c r="A2035" s="0" t="n">
        <v>436</v>
      </c>
      <c r="B2035" s="191" t="n">
        <v>46050.8746011395</v>
      </c>
      <c r="C2035" s="191" t="n">
        <v>46050.8889761395</v>
      </c>
      <c r="D2035" s="189" t="s">
        <v>2635</v>
      </c>
      <c r="E2035" s="189" t="s">
        <v>2636</v>
      </c>
      <c r="F2035" s="189" t="s">
        <v>2636</v>
      </c>
      <c r="G2035" s="189" t="s">
        <v>2637</v>
      </c>
      <c r="H2035" s="191" t="n">
        <v>46039</v>
      </c>
      <c r="I2035" s="189" t="s">
        <v>305</v>
      </c>
      <c r="J2035" s="189" t="s">
        <v>108</v>
      </c>
      <c r="K2035" s="189" t="s">
        <v>2638</v>
      </c>
      <c r="L2035" s="189" t="s">
        <v>114</v>
      </c>
      <c r="M2035" s="189" t="s">
        <v>326</v>
      </c>
      <c r="N2035" s="189" t="s">
        <v>1100</v>
      </c>
      <c r="O2035" s="189" t="s">
        <v>244</v>
      </c>
      <c r="P2035" s="189" t="s">
        <v>111</v>
      </c>
      <c r="Q2035" s="189" t="s">
        <v>112</v>
      </c>
      <c r="R2035" s="189" t="s">
        <v>22</v>
      </c>
      <c r="S2035" s="189" t="s">
        <v>152</v>
      </c>
      <c r="T2035" s="189" t="s">
        <v>121</v>
      </c>
      <c r="V2035" s="189" t="s">
        <v>167</v>
      </c>
      <c r="W2035" s="189" t="s">
        <v>124</v>
      </c>
      <c r="X2035" s="189" t="s">
        <v>176</v>
      </c>
      <c r="Y2035" s="189" t="s">
        <v>3066</v>
      </c>
      <c r="Z2035" s="0" t="n">
        <v>1</v>
      </c>
      <c r="AA2035" s="189" t="s">
        <v>3335</v>
      </c>
    </row>
    <row r="2036" customFormat="false" ht="15" hidden="false" customHeight="false" outlineLevel="0" collapsed="false">
      <c r="A2036" s="0" t="n">
        <v>436</v>
      </c>
      <c r="B2036" s="191" t="n">
        <v>46050.8746011395</v>
      </c>
      <c r="C2036" s="191" t="n">
        <v>46050.8889761395</v>
      </c>
      <c r="D2036" s="189" t="s">
        <v>2635</v>
      </c>
      <c r="E2036" s="189" t="s">
        <v>2636</v>
      </c>
      <c r="F2036" s="189" t="s">
        <v>2636</v>
      </c>
      <c r="G2036" s="189" t="s">
        <v>2637</v>
      </c>
      <c r="H2036" s="191" t="n">
        <v>46039</v>
      </c>
      <c r="I2036" s="189" t="s">
        <v>305</v>
      </c>
      <c r="J2036" s="189" t="s">
        <v>108</v>
      </c>
      <c r="K2036" s="189" t="s">
        <v>2638</v>
      </c>
      <c r="L2036" s="189" t="s">
        <v>114</v>
      </c>
      <c r="M2036" s="189" t="s">
        <v>326</v>
      </c>
      <c r="N2036" s="189" t="s">
        <v>1100</v>
      </c>
      <c r="O2036" s="189" t="s">
        <v>244</v>
      </c>
      <c r="P2036" s="189" t="s">
        <v>111</v>
      </c>
      <c r="Q2036" s="189" t="s">
        <v>112</v>
      </c>
      <c r="R2036" s="189" t="s">
        <v>22</v>
      </c>
      <c r="S2036" s="189" t="s">
        <v>152</v>
      </c>
      <c r="T2036" s="189" t="s">
        <v>121</v>
      </c>
      <c r="V2036" s="189" t="s">
        <v>167</v>
      </c>
      <c r="W2036" s="189" t="s">
        <v>124</v>
      </c>
      <c r="X2036" s="189" t="s">
        <v>176</v>
      </c>
      <c r="Y2036" s="189" t="s">
        <v>3069</v>
      </c>
      <c r="Z2036" s="0" t="n">
        <v>1</v>
      </c>
      <c r="AA2036" s="189" t="s">
        <v>3270</v>
      </c>
    </row>
    <row r="2037" customFormat="false" ht="15" hidden="false" customHeight="false" outlineLevel="0" collapsed="false">
      <c r="A2037" s="0" t="n">
        <v>436</v>
      </c>
      <c r="B2037" s="191" t="n">
        <v>46050.8746011395</v>
      </c>
      <c r="C2037" s="191" t="n">
        <v>46050.8889761395</v>
      </c>
      <c r="D2037" s="189" t="s">
        <v>2635</v>
      </c>
      <c r="E2037" s="189" t="s">
        <v>2636</v>
      </c>
      <c r="F2037" s="189" t="s">
        <v>2636</v>
      </c>
      <c r="G2037" s="189" t="s">
        <v>2637</v>
      </c>
      <c r="H2037" s="191" t="n">
        <v>46039</v>
      </c>
      <c r="I2037" s="189" t="s">
        <v>305</v>
      </c>
      <c r="J2037" s="189" t="s">
        <v>108</v>
      </c>
      <c r="K2037" s="189" t="s">
        <v>2638</v>
      </c>
      <c r="L2037" s="189" t="s">
        <v>114</v>
      </c>
      <c r="M2037" s="189" t="s">
        <v>326</v>
      </c>
      <c r="N2037" s="189" t="s">
        <v>1100</v>
      </c>
      <c r="O2037" s="189" t="s">
        <v>244</v>
      </c>
      <c r="P2037" s="189" t="s">
        <v>111</v>
      </c>
      <c r="Q2037" s="189" t="s">
        <v>112</v>
      </c>
      <c r="R2037" s="189" t="s">
        <v>22</v>
      </c>
      <c r="S2037" s="189" t="s">
        <v>152</v>
      </c>
      <c r="T2037" s="189" t="s">
        <v>121</v>
      </c>
      <c r="V2037" s="189" t="s">
        <v>167</v>
      </c>
      <c r="W2037" s="189" t="s">
        <v>124</v>
      </c>
      <c r="X2037" s="189" t="s">
        <v>176</v>
      </c>
      <c r="Y2037" s="189" t="s">
        <v>3069</v>
      </c>
      <c r="Z2037" s="0" t="n">
        <v>2</v>
      </c>
      <c r="AA2037" s="189" t="s">
        <v>3245</v>
      </c>
    </row>
    <row r="2038" customFormat="false" ht="15" hidden="false" customHeight="false" outlineLevel="0" collapsed="false">
      <c r="A2038" s="0" t="n">
        <v>437</v>
      </c>
      <c r="B2038" s="191" t="n">
        <v>46162.0921856704</v>
      </c>
      <c r="C2038" s="191" t="n">
        <v>46162.1125560408</v>
      </c>
      <c r="D2038" s="189" t="s">
        <v>2642</v>
      </c>
      <c r="E2038" s="189" t="s">
        <v>2643</v>
      </c>
      <c r="F2038" s="189" t="s">
        <v>2643</v>
      </c>
      <c r="G2038" s="189" t="s">
        <v>2644</v>
      </c>
      <c r="H2038" s="191" t="n">
        <v>46152</v>
      </c>
      <c r="I2038" s="189" t="s">
        <v>113</v>
      </c>
      <c r="J2038" s="189" t="s">
        <v>128</v>
      </c>
      <c r="K2038" s="189" t="s">
        <v>2645</v>
      </c>
      <c r="L2038" s="189" t="s">
        <v>389</v>
      </c>
      <c r="M2038" s="189" t="s">
        <v>357</v>
      </c>
      <c r="N2038" s="189" t="s">
        <v>1622</v>
      </c>
      <c r="O2038" s="189" t="s">
        <v>172</v>
      </c>
      <c r="P2038" s="189" t="s">
        <v>111</v>
      </c>
      <c r="Q2038" s="189" t="s">
        <v>247</v>
      </c>
      <c r="R2038" s="189" t="s">
        <v>24</v>
      </c>
      <c r="S2038" s="189" t="s">
        <v>120</v>
      </c>
      <c r="T2038" s="189" t="s">
        <v>121</v>
      </c>
      <c r="U2038" s="189" t="s">
        <v>2611</v>
      </c>
      <c r="V2038" s="189" t="s">
        <v>192</v>
      </c>
      <c r="W2038" s="189" t="s">
        <v>139</v>
      </c>
      <c r="X2038" s="189" t="s">
        <v>260</v>
      </c>
      <c r="Y2038" s="189" t="s">
        <v>3064</v>
      </c>
      <c r="Z2038" s="0" t="n">
        <v>1</v>
      </c>
      <c r="AA2038" s="189" t="s">
        <v>3262</v>
      </c>
    </row>
    <row r="2039" customFormat="false" ht="15" hidden="false" customHeight="false" outlineLevel="0" collapsed="false">
      <c r="A2039" s="0" t="n">
        <v>437</v>
      </c>
      <c r="B2039" s="191" t="n">
        <v>46162.0921856704</v>
      </c>
      <c r="C2039" s="191" t="n">
        <v>46162.1125560408</v>
      </c>
      <c r="D2039" s="189" t="s">
        <v>2642</v>
      </c>
      <c r="E2039" s="189" t="s">
        <v>2643</v>
      </c>
      <c r="F2039" s="189" t="s">
        <v>2643</v>
      </c>
      <c r="G2039" s="189" t="s">
        <v>2644</v>
      </c>
      <c r="H2039" s="191" t="n">
        <v>46152</v>
      </c>
      <c r="I2039" s="189" t="s">
        <v>113</v>
      </c>
      <c r="J2039" s="189" t="s">
        <v>128</v>
      </c>
      <c r="K2039" s="189" t="s">
        <v>2645</v>
      </c>
      <c r="L2039" s="189" t="s">
        <v>389</v>
      </c>
      <c r="M2039" s="189" t="s">
        <v>357</v>
      </c>
      <c r="N2039" s="189" t="s">
        <v>1622</v>
      </c>
      <c r="O2039" s="189" t="s">
        <v>172</v>
      </c>
      <c r="P2039" s="189" t="s">
        <v>111</v>
      </c>
      <c r="Q2039" s="189" t="s">
        <v>247</v>
      </c>
      <c r="R2039" s="189" t="s">
        <v>24</v>
      </c>
      <c r="S2039" s="189" t="s">
        <v>120</v>
      </c>
      <c r="T2039" s="189" t="s">
        <v>121</v>
      </c>
      <c r="U2039" s="189" t="s">
        <v>2611</v>
      </c>
      <c r="V2039" s="189" t="s">
        <v>192</v>
      </c>
      <c r="W2039" s="189" t="s">
        <v>139</v>
      </c>
      <c r="X2039" s="189" t="s">
        <v>260</v>
      </c>
      <c r="Y2039" s="189" t="s">
        <v>3066</v>
      </c>
      <c r="Z2039" s="0" t="n">
        <v>1</v>
      </c>
      <c r="AA2039" s="189" t="s">
        <v>3319</v>
      </c>
    </row>
    <row r="2040" customFormat="false" ht="15" hidden="false" customHeight="false" outlineLevel="0" collapsed="false">
      <c r="A2040" s="0" t="n">
        <v>437</v>
      </c>
      <c r="B2040" s="191" t="n">
        <v>46162.0921856704</v>
      </c>
      <c r="C2040" s="191" t="n">
        <v>46162.1125560408</v>
      </c>
      <c r="D2040" s="189" t="s">
        <v>2642</v>
      </c>
      <c r="E2040" s="189" t="s">
        <v>2643</v>
      </c>
      <c r="F2040" s="189" t="s">
        <v>2643</v>
      </c>
      <c r="G2040" s="189" t="s">
        <v>2644</v>
      </c>
      <c r="H2040" s="191" t="n">
        <v>46152</v>
      </c>
      <c r="I2040" s="189" t="s">
        <v>113</v>
      </c>
      <c r="J2040" s="189" t="s">
        <v>128</v>
      </c>
      <c r="K2040" s="189" t="s">
        <v>2645</v>
      </c>
      <c r="L2040" s="189" t="s">
        <v>389</v>
      </c>
      <c r="M2040" s="189" t="s">
        <v>357</v>
      </c>
      <c r="N2040" s="189" t="s">
        <v>1622</v>
      </c>
      <c r="O2040" s="189" t="s">
        <v>172</v>
      </c>
      <c r="P2040" s="189" t="s">
        <v>111</v>
      </c>
      <c r="Q2040" s="189" t="s">
        <v>247</v>
      </c>
      <c r="R2040" s="189" t="s">
        <v>24</v>
      </c>
      <c r="S2040" s="189" t="s">
        <v>120</v>
      </c>
      <c r="T2040" s="189" t="s">
        <v>121</v>
      </c>
      <c r="U2040" s="189" t="s">
        <v>2611</v>
      </c>
      <c r="V2040" s="189" t="s">
        <v>192</v>
      </c>
      <c r="W2040" s="189" t="s">
        <v>139</v>
      </c>
      <c r="X2040" s="189" t="s">
        <v>260</v>
      </c>
      <c r="Y2040" s="189" t="s">
        <v>3069</v>
      </c>
      <c r="Z2040" s="0" t="n">
        <v>1</v>
      </c>
      <c r="AA2040" s="189" t="s">
        <v>3112</v>
      </c>
    </row>
    <row r="2041" customFormat="false" ht="15" hidden="false" customHeight="false" outlineLevel="0" collapsed="false">
      <c r="A2041" s="0" t="n">
        <v>438</v>
      </c>
      <c r="B2041" s="191" t="n">
        <v>46212.1910187237</v>
      </c>
      <c r="C2041" s="191" t="n">
        <v>46212.1998844645</v>
      </c>
      <c r="D2041" s="189" t="s">
        <v>2648</v>
      </c>
      <c r="E2041" s="189" t="s">
        <v>2649</v>
      </c>
      <c r="F2041" s="189" t="s">
        <v>2649</v>
      </c>
      <c r="G2041" s="189" t="s">
        <v>2650</v>
      </c>
      <c r="H2041" s="191" t="n">
        <v>46198</v>
      </c>
      <c r="I2041" s="189" t="s">
        <v>305</v>
      </c>
      <c r="J2041" s="189" t="s">
        <v>295</v>
      </c>
      <c r="K2041" s="189" t="s">
        <v>2651</v>
      </c>
      <c r="L2041" s="189" t="s">
        <v>114</v>
      </c>
      <c r="M2041" s="189" t="s">
        <v>944</v>
      </c>
      <c r="N2041" s="189" t="s">
        <v>1160</v>
      </c>
      <c r="O2041" s="189" t="s">
        <v>172</v>
      </c>
      <c r="P2041" s="189" t="s">
        <v>131</v>
      </c>
      <c r="Q2041" s="189" t="s">
        <v>112</v>
      </c>
      <c r="R2041" s="189" t="s">
        <v>21</v>
      </c>
      <c r="S2041" s="189" t="s">
        <v>152</v>
      </c>
      <c r="T2041" s="189" t="s">
        <v>121</v>
      </c>
      <c r="U2041" s="189" t="s">
        <v>562</v>
      </c>
      <c r="V2041" s="189" t="s">
        <v>123</v>
      </c>
      <c r="W2041" s="189" t="s">
        <v>124</v>
      </c>
      <c r="X2041" s="189" t="s">
        <v>457</v>
      </c>
      <c r="Y2041" s="189" t="s">
        <v>3064</v>
      </c>
      <c r="Z2041" s="0" t="n">
        <v>1</v>
      </c>
      <c r="AA2041" s="189" t="s">
        <v>3107</v>
      </c>
    </row>
    <row r="2042" customFormat="false" ht="15" hidden="false" customHeight="false" outlineLevel="0" collapsed="false">
      <c r="A2042" s="0" t="n">
        <v>438</v>
      </c>
      <c r="B2042" s="191" t="n">
        <v>46212.1910187237</v>
      </c>
      <c r="C2042" s="191" t="n">
        <v>46212.1998844645</v>
      </c>
      <c r="D2042" s="189" t="s">
        <v>2648</v>
      </c>
      <c r="E2042" s="189" t="s">
        <v>2649</v>
      </c>
      <c r="F2042" s="189" t="s">
        <v>2649</v>
      </c>
      <c r="G2042" s="189" t="s">
        <v>2650</v>
      </c>
      <c r="H2042" s="191" t="n">
        <v>46198</v>
      </c>
      <c r="I2042" s="189" t="s">
        <v>305</v>
      </c>
      <c r="J2042" s="189" t="s">
        <v>295</v>
      </c>
      <c r="K2042" s="189" t="s">
        <v>2651</v>
      </c>
      <c r="L2042" s="189" t="s">
        <v>114</v>
      </c>
      <c r="M2042" s="189" t="s">
        <v>944</v>
      </c>
      <c r="N2042" s="189" t="s">
        <v>1160</v>
      </c>
      <c r="O2042" s="189" t="s">
        <v>172</v>
      </c>
      <c r="P2042" s="189" t="s">
        <v>131</v>
      </c>
      <c r="Q2042" s="189" t="s">
        <v>112</v>
      </c>
      <c r="R2042" s="189" t="s">
        <v>21</v>
      </c>
      <c r="S2042" s="189" t="s">
        <v>152</v>
      </c>
      <c r="T2042" s="189" t="s">
        <v>121</v>
      </c>
      <c r="U2042" s="189" t="s">
        <v>562</v>
      </c>
      <c r="V2042" s="189" t="s">
        <v>123</v>
      </c>
      <c r="W2042" s="189" t="s">
        <v>124</v>
      </c>
      <c r="X2042" s="189" t="s">
        <v>457</v>
      </c>
      <c r="Y2042" s="189" t="s">
        <v>3064</v>
      </c>
      <c r="Z2042" s="0" t="n">
        <v>2</v>
      </c>
      <c r="AA2042" s="189" t="s">
        <v>3095</v>
      </c>
    </row>
    <row r="2043" customFormat="false" ht="15" hidden="false" customHeight="false" outlineLevel="0" collapsed="false">
      <c r="A2043" s="0" t="n">
        <v>438</v>
      </c>
      <c r="B2043" s="191" t="n">
        <v>46212.1910187237</v>
      </c>
      <c r="C2043" s="191" t="n">
        <v>46212.1998844645</v>
      </c>
      <c r="D2043" s="189" t="s">
        <v>2648</v>
      </c>
      <c r="E2043" s="189" t="s">
        <v>2649</v>
      </c>
      <c r="F2043" s="189" t="s">
        <v>2649</v>
      </c>
      <c r="G2043" s="189" t="s">
        <v>2650</v>
      </c>
      <c r="H2043" s="191" t="n">
        <v>46198</v>
      </c>
      <c r="I2043" s="189" t="s">
        <v>305</v>
      </c>
      <c r="J2043" s="189" t="s">
        <v>295</v>
      </c>
      <c r="K2043" s="189" t="s">
        <v>2651</v>
      </c>
      <c r="L2043" s="189" t="s">
        <v>114</v>
      </c>
      <c r="M2043" s="189" t="s">
        <v>944</v>
      </c>
      <c r="N2043" s="189" t="s">
        <v>1160</v>
      </c>
      <c r="O2043" s="189" t="s">
        <v>172</v>
      </c>
      <c r="P2043" s="189" t="s">
        <v>131</v>
      </c>
      <c r="Q2043" s="189" t="s">
        <v>112</v>
      </c>
      <c r="R2043" s="189" t="s">
        <v>21</v>
      </c>
      <c r="S2043" s="189" t="s">
        <v>152</v>
      </c>
      <c r="T2043" s="189" t="s">
        <v>121</v>
      </c>
      <c r="U2043" s="189" t="s">
        <v>562</v>
      </c>
      <c r="V2043" s="189" t="s">
        <v>123</v>
      </c>
      <c r="W2043" s="189" t="s">
        <v>124</v>
      </c>
      <c r="X2043" s="189" t="s">
        <v>457</v>
      </c>
      <c r="Y2043" s="189" t="s">
        <v>3066</v>
      </c>
      <c r="Z2043" s="0" t="n">
        <v>1</v>
      </c>
      <c r="AA2043" s="189" t="s">
        <v>3067</v>
      </c>
    </row>
    <row r="2044" customFormat="false" ht="15" hidden="false" customHeight="false" outlineLevel="0" collapsed="false">
      <c r="A2044" s="0" t="n">
        <v>438</v>
      </c>
      <c r="B2044" s="191" t="n">
        <v>46212.1910187237</v>
      </c>
      <c r="C2044" s="191" t="n">
        <v>46212.1998844645</v>
      </c>
      <c r="D2044" s="189" t="s">
        <v>2648</v>
      </c>
      <c r="E2044" s="189" t="s">
        <v>2649</v>
      </c>
      <c r="F2044" s="189" t="s">
        <v>2649</v>
      </c>
      <c r="G2044" s="189" t="s">
        <v>2650</v>
      </c>
      <c r="H2044" s="191" t="n">
        <v>46198</v>
      </c>
      <c r="I2044" s="189" t="s">
        <v>305</v>
      </c>
      <c r="J2044" s="189" t="s">
        <v>295</v>
      </c>
      <c r="K2044" s="189" t="s">
        <v>2651</v>
      </c>
      <c r="L2044" s="189" t="s">
        <v>114</v>
      </c>
      <c r="M2044" s="189" t="s">
        <v>944</v>
      </c>
      <c r="N2044" s="189" t="s">
        <v>1160</v>
      </c>
      <c r="O2044" s="189" t="s">
        <v>172</v>
      </c>
      <c r="P2044" s="189" t="s">
        <v>131</v>
      </c>
      <c r="Q2044" s="189" t="s">
        <v>112</v>
      </c>
      <c r="R2044" s="189" t="s">
        <v>21</v>
      </c>
      <c r="S2044" s="189" t="s">
        <v>152</v>
      </c>
      <c r="T2044" s="189" t="s">
        <v>121</v>
      </c>
      <c r="U2044" s="189" t="s">
        <v>562</v>
      </c>
      <c r="V2044" s="189" t="s">
        <v>123</v>
      </c>
      <c r="W2044" s="189" t="s">
        <v>124</v>
      </c>
      <c r="X2044" s="189" t="s">
        <v>457</v>
      </c>
      <c r="Y2044" s="189" t="s">
        <v>3066</v>
      </c>
      <c r="Z2044" s="0" t="n">
        <v>2</v>
      </c>
      <c r="AA2044" s="189" t="s">
        <v>122</v>
      </c>
    </row>
    <row r="2045" customFormat="false" ht="15" hidden="false" customHeight="false" outlineLevel="0" collapsed="false">
      <c r="A2045" s="0" t="n">
        <v>438</v>
      </c>
      <c r="B2045" s="191" t="n">
        <v>46212.1910187237</v>
      </c>
      <c r="C2045" s="191" t="n">
        <v>46212.1998844645</v>
      </c>
      <c r="D2045" s="189" t="s">
        <v>2648</v>
      </c>
      <c r="E2045" s="189" t="s">
        <v>2649</v>
      </c>
      <c r="F2045" s="189" t="s">
        <v>2649</v>
      </c>
      <c r="G2045" s="189" t="s">
        <v>2650</v>
      </c>
      <c r="H2045" s="191" t="n">
        <v>46198</v>
      </c>
      <c r="I2045" s="189" t="s">
        <v>305</v>
      </c>
      <c r="J2045" s="189" t="s">
        <v>295</v>
      </c>
      <c r="K2045" s="189" t="s">
        <v>2651</v>
      </c>
      <c r="L2045" s="189" t="s">
        <v>114</v>
      </c>
      <c r="M2045" s="189" t="s">
        <v>944</v>
      </c>
      <c r="N2045" s="189" t="s">
        <v>1160</v>
      </c>
      <c r="O2045" s="189" t="s">
        <v>172</v>
      </c>
      <c r="P2045" s="189" t="s">
        <v>131</v>
      </c>
      <c r="Q2045" s="189" t="s">
        <v>112</v>
      </c>
      <c r="R2045" s="189" t="s">
        <v>21</v>
      </c>
      <c r="S2045" s="189" t="s">
        <v>152</v>
      </c>
      <c r="T2045" s="189" t="s">
        <v>121</v>
      </c>
      <c r="U2045" s="189" t="s">
        <v>562</v>
      </c>
      <c r="V2045" s="189" t="s">
        <v>123</v>
      </c>
      <c r="W2045" s="189" t="s">
        <v>124</v>
      </c>
      <c r="X2045" s="189" t="s">
        <v>457</v>
      </c>
      <c r="Y2045" s="189" t="s">
        <v>3069</v>
      </c>
      <c r="Z2045" s="0" t="n">
        <v>1</v>
      </c>
      <c r="AA2045" s="189" t="s">
        <v>3083</v>
      </c>
    </row>
    <row r="2046" customFormat="false" ht="15" hidden="false" customHeight="false" outlineLevel="0" collapsed="false">
      <c r="A2046" s="0" t="n">
        <v>439</v>
      </c>
      <c r="B2046" s="191" t="n">
        <v>46120.5972013899</v>
      </c>
      <c r="C2046" s="191" t="n">
        <v>46120.6090416677</v>
      </c>
      <c r="D2046" s="189" t="s">
        <v>2654</v>
      </c>
      <c r="E2046" s="189" t="s">
        <v>2655</v>
      </c>
      <c r="F2046" s="189" t="s">
        <v>2655</v>
      </c>
      <c r="G2046" s="189" t="s">
        <v>2656</v>
      </c>
      <c r="H2046" s="191" t="n">
        <v>46106</v>
      </c>
      <c r="I2046" s="189" t="s">
        <v>113</v>
      </c>
      <c r="J2046" s="189" t="s">
        <v>128</v>
      </c>
      <c r="K2046" s="189" t="s">
        <v>257</v>
      </c>
      <c r="L2046" s="189" t="s">
        <v>144</v>
      </c>
      <c r="M2046" s="189" t="s">
        <v>1313</v>
      </c>
      <c r="N2046" s="189" t="s">
        <v>1100</v>
      </c>
      <c r="O2046" s="189" t="s">
        <v>157</v>
      </c>
      <c r="P2046" s="189" t="s">
        <v>390</v>
      </c>
      <c r="Q2046" s="189" t="s">
        <v>145</v>
      </c>
      <c r="R2046" s="189" t="s">
        <v>22</v>
      </c>
      <c r="S2046" s="189" t="s">
        <v>152</v>
      </c>
      <c r="T2046" s="189" t="s">
        <v>1024</v>
      </c>
      <c r="U2046" s="189" t="s">
        <v>122</v>
      </c>
      <c r="V2046" s="189" t="s">
        <v>192</v>
      </c>
      <c r="W2046" s="189" t="s">
        <v>139</v>
      </c>
      <c r="X2046" s="189" t="s">
        <v>339</v>
      </c>
      <c r="Y2046" s="189" t="s">
        <v>3064</v>
      </c>
      <c r="Z2046" s="0" t="n">
        <v>1</v>
      </c>
      <c r="AA2046" s="189" t="s">
        <v>3216</v>
      </c>
    </row>
    <row r="2047" customFormat="false" ht="15" hidden="false" customHeight="false" outlineLevel="0" collapsed="false">
      <c r="A2047" s="0" t="n">
        <v>439</v>
      </c>
      <c r="B2047" s="191" t="n">
        <v>46120.5972013899</v>
      </c>
      <c r="C2047" s="191" t="n">
        <v>46120.6090416677</v>
      </c>
      <c r="D2047" s="189" t="s">
        <v>2654</v>
      </c>
      <c r="E2047" s="189" t="s">
        <v>2655</v>
      </c>
      <c r="F2047" s="189" t="s">
        <v>2655</v>
      </c>
      <c r="G2047" s="189" t="s">
        <v>2656</v>
      </c>
      <c r="H2047" s="191" t="n">
        <v>46106</v>
      </c>
      <c r="I2047" s="189" t="s">
        <v>113</v>
      </c>
      <c r="J2047" s="189" t="s">
        <v>128</v>
      </c>
      <c r="K2047" s="189" t="s">
        <v>257</v>
      </c>
      <c r="L2047" s="189" t="s">
        <v>144</v>
      </c>
      <c r="M2047" s="189" t="s">
        <v>1313</v>
      </c>
      <c r="N2047" s="189" t="s">
        <v>1100</v>
      </c>
      <c r="O2047" s="189" t="s">
        <v>157</v>
      </c>
      <c r="P2047" s="189" t="s">
        <v>390</v>
      </c>
      <c r="Q2047" s="189" t="s">
        <v>145</v>
      </c>
      <c r="R2047" s="189" t="s">
        <v>22</v>
      </c>
      <c r="S2047" s="189" t="s">
        <v>152</v>
      </c>
      <c r="T2047" s="189" t="s">
        <v>1024</v>
      </c>
      <c r="U2047" s="189" t="s">
        <v>122</v>
      </c>
      <c r="V2047" s="189" t="s">
        <v>192</v>
      </c>
      <c r="W2047" s="189" t="s">
        <v>139</v>
      </c>
      <c r="X2047" s="189" t="s">
        <v>339</v>
      </c>
      <c r="Y2047" s="189" t="s">
        <v>3066</v>
      </c>
      <c r="Z2047" s="0" t="n">
        <v>1</v>
      </c>
      <c r="AA2047" s="189" t="s">
        <v>3143</v>
      </c>
    </row>
    <row r="2048" customFormat="false" ht="15" hidden="false" customHeight="false" outlineLevel="0" collapsed="false">
      <c r="A2048" s="0" t="n">
        <v>439</v>
      </c>
      <c r="B2048" s="191" t="n">
        <v>46120.5972013899</v>
      </c>
      <c r="C2048" s="191" t="n">
        <v>46120.6090416677</v>
      </c>
      <c r="D2048" s="189" t="s">
        <v>2654</v>
      </c>
      <c r="E2048" s="189" t="s">
        <v>2655</v>
      </c>
      <c r="F2048" s="189" t="s">
        <v>2655</v>
      </c>
      <c r="G2048" s="189" t="s">
        <v>2656</v>
      </c>
      <c r="H2048" s="191" t="n">
        <v>46106</v>
      </c>
      <c r="I2048" s="189" t="s">
        <v>113</v>
      </c>
      <c r="J2048" s="189" t="s">
        <v>128</v>
      </c>
      <c r="K2048" s="189" t="s">
        <v>257</v>
      </c>
      <c r="L2048" s="189" t="s">
        <v>144</v>
      </c>
      <c r="M2048" s="189" t="s">
        <v>1313</v>
      </c>
      <c r="N2048" s="189" t="s">
        <v>1100</v>
      </c>
      <c r="O2048" s="189" t="s">
        <v>157</v>
      </c>
      <c r="P2048" s="189" t="s">
        <v>390</v>
      </c>
      <c r="Q2048" s="189" t="s">
        <v>145</v>
      </c>
      <c r="R2048" s="189" t="s">
        <v>22</v>
      </c>
      <c r="S2048" s="189" t="s">
        <v>152</v>
      </c>
      <c r="T2048" s="189" t="s">
        <v>1024</v>
      </c>
      <c r="U2048" s="189" t="s">
        <v>122</v>
      </c>
      <c r="V2048" s="189" t="s">
        <v>192</v>
      </c>
      <c r="W2048" s="189" t="s">
        <v>139</v>
      </c>
      <c r="X2048" s="189" t="s">
        <v>339</v>
      </c>
      <c r="Y2048" s="189" t="s">
        <v>3069</v>
      </c>
      <c r="Z2048" s="0" t="n">
        <v>1</v>
      </c>
      <c r="AA2048" s="189" t="s">
        <v>3200</v>
      </c>
    </row>
    <row r="2049" customFormat="false" ht="15" hidden="false" customHeight="false" outlineLevel="0" collapsed="false">
      <c r="A2049" s="0" t="n">
        <v>439</v>
      </c>
      <c r="B2049" s="191" t="n">
        <v>46120.5972013899</v>
      </c>
      <c r="C2049" s="191" t="n">
        <v>46120.6090416677</v>
      </c>
      <c r="D2049" s="189" t="s">
        <v>2654</v>
      </c>
      <c r="E2049" s="189" t="s">
        <v>2655</v>
      </c>
      <c r="F2049" s="189" t="s">
        <v>2655</v>
      </c>
      <c r="G2049" s="189" t="s">
        <v>2656</v>
      </c>
      <c r="H2049" s="191" t="n">
        <v>46106</v>
      </c>
      <c r="I2049" s="189" t="s">
        <v>113</v>
      </c>
      <c r="J2049" s="189" t="s">
        <v>128</v>
      </c>
      <c r="K2049" s="189" t="s">
        <v>257</v>
      </c>
      <c r="L2049" s="189" t="s">
        <v>144</v>
      </c>
      <c r="M2049" s="189" t="s">
        <v>1313</v>
      </c>
      <c r="N2049" s="189" t="s">
        <v>1100</v>
      </c>
      <c r="O2049" s="189" t="s">
        <v>157</v>
      </c>
      <c r="P2049" s="189" t="s">
        <v>390</v>
      </c>
      <c r="Q2049" s="189" t="s">
        <v>145</v>
      </c>
      <c r="R2049" s="189" t="s">
        <v>22</v>
      </c>
      <c r="S2049" s="189" t="s">
        <v>152</v>
      </c>
      <c r="T2049" s="189" t="s">
        <v>1024</v>
      </c>
      <c r="U2049" s="189" t="s">
        <v>122</v>
      </c>
      <c r="V2049" s="189" t="s">
        <v>192</v>
      </c>
      <c r="W2049" s="189" t="s">
        <v>139</v>
      </c>
      <c r="X2049" s="189" t="s">
        <v>339</v>
      </c>
      <c r="Y2049" s="189" t="s">
        <v>3069</v>
      </c>
      <c r="Z2049" s="0" t="n">
        <v>2</v>
      </c>
      <c r="AA2049" s="189" t="s">
        <v>3235</v>
      </c>
    </row>
    <row r="2050" customFormat="false" ht="15" hidden="false" customHeight="false" outlineLevel="0" collapsed="false">
      <c r="A2050" s="0" t="n">
        <v>440</v>
      </c>
      <c r="B2050" s="191" t="n">
        <v>46197.9512514048</v>
      </c>
      <c r="C2050" s="191" t="n">
        <v>46197.9649666826</v>
      </c>
      <c r="D2050" s="189" t="s">
        <v>2658</v>
      </c>
      <c r="E2050" s="189" t="s">
        <v>2659</v>
      </c>
      <c r="F2050" s="189" t="s">
        <v>2659</v>
      </c>
      <c r="G2050" s="189" t="s">
        <v>2660</v>
      </c>
      <c r="H2050" s="191" t="n">
        <v>46192</v>
      </c>
      <c r="I2050" s="189" t="s">
        <v>1268</v>
      </c>
      <c r="J2050" s="189" t="s">
        <v>108</v>
      </c>
      <c r="K2050" s="189" t="s">
        <v>196</v>
      </c>
      <c r="L2050" s="189" t="s">
        <v>159</v>
      </c>
      <c r="M2050" s="189" t="s">
        <v>234</v>
      </c>
      <c r="N2050" s="189" t="s">
        <v>338</v>
      </c>
      <c r="O2050" s="189" t="s">
        <v>107</v>
      </c>
      <c r="P2050" s="189" t="s">
        <v>111</v>
      </c>
      <c r="Q2050" s="189" t="s">
        <v>112</v>
      </c>
      <c r="R2050" s="189" t="s">
        <v>22</v>
      </c>
      <c r="S2050" s="189" t="s">
        <v>152</v>
      </c>
      <c r="T2050" s="189" t="s">
        <v>264</v>
      </c>
      <c r="V2050" s="189" t="s">
        <v>192</v>
      </c>
      <c r="W2050" s="189" t="s">
        <v>124</v>
      </c>
      <c r="X2050" s="189" t="s">
        <v>271</v>
      </c>
      <c r="Y2050" s="189" t="s">
        <v>3064</v>
      </c>
      <c r="Z2050" s="0" t="n">
        <v>1</v>
      </c>
      <c r="AA2050" s="189" t="s">
        <v>3115</v>
      </c>
    </row>
    <row r="2051" customFormat="false" ht="15" hidden="false" customHeight="false" outlineLevel="0" collapsed="false">
      <c r="A2051" s="0" t="n">
        <v>440</v>
      </c>
      <c r="B2051" s="191" t="n">
        <v>46197.9512514048</v>
      </c>
      <c r="C2051" s="191" t="n">
        <v>46197.9649666826</v>
      </c>
      <c r="D2051" s="189" t="s">
        <v>2658</v>
      </c>
      <c r="E2051" s="189" t="s">
        <v>2659</v>
      </c>
      <c r="F2051" s="189" t="s">
        <v>2659</v>
      </c>
      <c r="G2051" s="189" t="s">
        <v>2660</v>
      </c>
      <c r="H2051" s="191" t="n">
        <v>46192</v>
      </c>
      <c r="I2051" s="189" t="s">
        <v>1268</v>
      </c>
      <c r="J2051" s="189" t="s">
        <v>108</v>
      </c>
      <c r="K2051" s="189" t="s">
        <v>196</v>
      </c>
      <c r="L2051" s="189" t="s">
        <v>159</v>
      </c>
      <c r="M2051" s="189" t="s">
        <v>234</v>
      </c>
      <c r="N2051" s="189" t="s">
        <v>338</v>
      </c>
      <c r="O2051" s="189" t="s">
        <v>107</v>
      </c>
      <c r="P2051" s="189" t="s">
        <v>111</v>
      </c>
      <c r="Q2051" s="189" t="s">
        <v>112</v>
      </c>
      <c r="R2051" s="189" t="s">
        <v>22</v>
      </c>
      <c r="S2051" s="189" t="s">
        <v>152</v>
      </c>
      <c r="T2051" s="189" t="s">
        <v>264</v>
      </c>
      <c r="V2051" s="189" t="s">
        <v>192</v>
      </c>
      <c r="W2051" s="189" t="s">
        <v>124</v>
      </c>
      <c r="X2051" s="189" t="s">
        <v>271</v>
      </c>
      <c r="Y2051" s="189" t="s">
        <v>3064</v>
      </c>
      <c r="Z2051" s="0" t="n">
        <v>2</v>
      </c>
      <c r="AA2051" s="189" t="s">
        <v>3230</v>
      </c>
    </row>
    <row r="2052" customFormat="false" ht="15" hidden="false" customHeight="false" outlineLevel="0" collapsed="false">
      <c r="A2052" s="0" t="n">
        <v>440</v>
      </c>
      <c r="B2052" s="191" t="n">
        <v>46197.9512514048</v>
      </c>
      <c r="C2052" s="191" t="n">
        <v>46197.9649666826</v>
      </c>
      <c r="D2052" s="189" t="s">
        <v>2658</v>
      </c>
      <c r="E2052" s="189" t="s">
        <v>2659</v>
      </c>
      <c r="F2052" s="189" t="s">
        <v>2659</v>
      </c>
      <c r="G2052" s="189" t="s">
        <v>2660</v>
      </c>
      <c r="H2052" s="191" t="n">
        <v>46192</v>
      </c>
      <c r="I2052" s="189" t="s">
        <v>1268</v>
      </c>
      <c r="J2052" s="189" t="s">
        <v>108</v>
      </c>
      <c r="K2052" s="189" t="s">
        <v>196</v>
      </c>
      <c r="L2052" s="189" t="s">
        <v>159</v>
      </c>
      <c r="M2052" s="189" t="s">
        <v>234</v>
      </c>
      <c r="N2052" s="189" t="s">
        <v>338</v>
      </c>
      <c r="O2052" s="189" t="s">
        <v>107</v>
      </c>
      <c r="P2052" s="189" t="s">
        <v>111</v>
      </c>
      <c r="Q2052" s="189" t="s">
        <v>112</v>
      </c>
      <c r="R2052" s="189" t="s">
        <v>22</v>
      </c>
      <c r="S2052" s="189" t="s">
        <v>152</v>
      </c>
      <c r="T2052" s="189" t="s">
        <v>264</v>
      </c>
      <c r="V2052" s="189" t="s">
        <v>192</v>
      </c>
      <c r="W2052" s="189" t="s">
        <v>124</v>
      </c>
      <c r="X2052" s="189" t="s">
        <v>271</v>
      </c>
      <c r="Y2052" s="189" t="s">
        <v>3064</v>
      </c>
      <c r="Z2052" s="0" t="n">
        <v>3</v>
      </c>
      <c r="AA2052" s="189" t="s">
        <v>3136</v>
      </c>
    </row>
    <row r="2053" customFormat="false" ht="15" hidden="false" customHeight="false" outlineLevel="0" collapsed="false">
      <c r="A2053" s="0" t="n">
        <v>440</v>
      </c>
      <c r="B2053" s="191" t="n">
        <v>46197.9512514048</v>
      </c>
      <c r="C2053" s="191" t="n">
        <v>46197.9649666826</v>
      </c>
      <c r="D2053" s="189" t="s">
        <v>2658</v>
      </c>
      <c r="E2053" s="189" t="s">
        <v>2659</v>
      </c>
      <c r="F2053" s="189" t="s">
        <v>2659</v>
      </c>
      <c r="G2053" s="189" t="s">
        <v>2660</v>
      </c>
      <c r="H2053" s="191" t="n">
        <v>46192</v>
      </c>
      <c r="I2053" s="189" t="s">
        <v>1268</v>
      </c>
      <c r="J2053" s="189" t="s">
        <v>108</v>
      </c>
      <c r="K2053" s="189" t="s">
        <v>196</v>
      </c>
      <c r="L2053" s="189" t="s">
        <v>159</v>
      </c>
      <c r="M2053" s="189" t="s">
        <v>234</v>
      </c>
      <c r="N2053" s="189" t="s">
        <v>338</v>
      </c>
      <c r="O2053" s="189" t="s">
        <v>107</v>
      </c>
      <c r="P2053" s="189" t="s">
        <v>111</v>
      </c>
      <c r="Q2053" s="189" t="s">
        <v>112</v>
      </c>
      <c r="R2053" s="189" t="s">
        <v>22</v>
      </c>
      <c r="S2053" s="189" t="s">
        <v>152</v>
      </c>
      <c r="T2053" s="189" t="s">
        <v>264</v>
      </c>
      <c r="V2053" s="189" t="s">
        <v>192</v>
      </c>
      <c r="W2053" s="189" t="s">
        <v>124</v>
      </c>
      <c r="X2053" s="189" t="s">
        <v>271</v>
      </c>
      <c r="Y2053" s="189" t="s">
        <v>3066</v>
      </c>
      <c r="Z2053" s="0" t="n">
        <v>1</v>
      </c>
      <c r="AA2053" s="189" t="s">
        <v>3116</v>
      </c>
    </row>
    <row r="2054" customFormat="false" ht="15" hidden="false" customHeight="false" outlineLevel="0" collapsed="false">
      <c r="A2054" s="0" t="n">
        <v>440</v>
      </c>
      <c r="B2054" s="191" t="n">
        <v>46197.9512514048</v>
      </c>
      <c r="C2054" s="191" t="n">
        <v>46197.9649666826</v>
      </c>
      <c r="D2054" s="189" t="s">
        <v>2658</v>
      </c>
      <c r="E2054" s="189" t="s">
        <v>2659</v>
      </c>
      <c r="F2054" s="189" t="s">
        <v>2659</v>
      </c>
      <c r="G2054" s="189" t="s">
        <v>2660</v>
      </c>
      <c r="H2054" s="191" t="n">
        <v>46192</v>
      </c>
      <c r="I2054" s="189" t="s">
        <v>1268</v>
      </c>
      <c r="J2054" s="189" t="s">
        <v>108</v>
      </c>
      <c r="K2054" s="189" t="s">
        <v>196</v>
      </c>
      <c r="L2054" s="189" t="s">
        <v>159</v>
      </c>
      <c r="M2054" s="189" t="s">
        <v>234</v>
      </c>
      <c r="N2054" s="189" t="s">
        <v>338</v>
      </c>
      <c r="O2054" s="189" t="s">
        <v>107</v>
      </c>
      <c r="P2054" s="189" t="s">
        <v>111</v>
      </c>
      <c r="Q2054" s="189" t="s">
        <v>112</v>
      </c>
      <c r="R2054" s="189" t="s">
        <v>22</v>
      </c>
      <c r="S2054" s="189" t="s">
        <v>152</v>
      </c>
      <c r="T2054" s="189" t="s">
        <v>264</v>
      </c>
      <c r="V2054" s="189" t="s">
        <v>192</v>
      </c>
      <c r="W2054" s="189" t="s">
        <v>124</v>
      </c>
      <c r="X2054" s="189" t="s">
        <v>271</v>
      </c>
      <c r="Y2054" s="189" t="s">
        <v>3069</v>
      </c>
      <c r="Z2054" s="0" t="n">
        <v>1</v>
      </c>
      <c r="AA2054" s="189" t="s">
        <v>3119</v>
      </c>
    </row>
    <row r="2055" customFormat="false" ht="15" hidden="false" customHeight="false" outlineLevel="0" collapsed="false">
      <c r="A2055" s="0" t="n">
        <v>441</v>
      </c>
      <c r="B2055" s="191" t="n">
        <v>46036.6668044233</v>
      </c>
      <c r="C2055" s="191" t="n">
        <v>46036.6867697011</v>
      </c>
      <c r="D2055" s="189" t="s">
        <v>2662</v>
      </c>
      <c r="E2055" s="189" t="s">
        <v>2663</v>
      </c>
      <c r="F2055" s="189" t="s">
        <v>2663</v>
      </c>
      <c r="G2055" s="189" t="s">
        <v>2664</v>
      </c>
      <c r="H2055" s="191" t="n">
        <v>46026</v>
      </c>
      <c r="I2055" s="189" t="s">
        <v>305</v>
      </c>
      <c r="J2055" s="189" t="s">
        <v>108</v>
      </c>
      <c r="K2055" s="189" t="s">
        <v>2665</v>
      </c>
      <c r="L2055" s="189" t="s">
        <v>286</v>
      </c>
      <c r="M2055" s="189" t="s">
        <v>234</v>
      </c>
      <c r="N2055" s="189" t="s">
        <v>560</v>
      </c>
      <c r="O2055" s="189" t="s">
        <v>107</v>
      </c>
      <c r="P2055" s="189" t="s">
        <v>111</v>
      </c>
      <c r="Q2055" s="189" t="s">
        <v>112</v>
      </c>
      <c r="R2055" s="189" t="s">
        <v>24</v>
      </c>
      <c r="S2055" s="189" t="s">
        <v>152</v>
      </c>
      <c r="T2055" s="189" t="s">
        <v>121</v>
      </c>
      <c r="U2055" s="189" t="s">
        <v>1821</v>
      </c>
      <c r="V2055" s="189" t="s">
        <v>167</v>
      </c>
      <c r="W2055" s="189" t="s">
        <v>124</v>
      </c>
      <c r="X2055" s="189" t="s">
        <v>448</v>
      </c>
      <c r="Y2055" s="189" t="s">
        <v>3064</v>
      </c>
      <c r="Z2055" s="0" t="n">
        <v>1</v>
      </c>
      <c r="AA2055" s="189" t="s">
        <v>3175</v>
      </c>
    </row>
    <row r="2056" customFormat="false" ht="15" hidden="false" customHeight="false" outlineLevel="0" collapsed="false">
      <c r="A2056" s="0" t="n">
        <v>441</v>
      </c>
      <c r="B2056" s="191" t="n">
        <v>46036.6668044233</v>
      </c>
      <c r="C2056" s="191" t="n">
        <v>46036.6867697011</v>
      </c>
      <c r="D2056" s="189" t="s">
        <v>2662</v>
      </c>
      <c r="E2056" s="189" t="s">
        <v>2663</v>
      </c>
      <c r="F2056" s="189" t="s">
        <v>2663</v>
      </c>
      <c r="G2056" s="189" t="s">
        <v>2664</v>
      </c>
      <c r="H2056" s="191" t="n">
        <v>46026</v>
      </c>
      <c r="I2056" s="189" t="s">
        <v>305</v>
      </c>
      <c r="J2056" s="189" t="s">
        <v>108</v>
      </c>
      <c r="K2056" s="189" t="s">
        <v>2665</v>
      </c>
      <c r="L2056" s="189" t="s">
        <v>286</v>
      </c>
      <c r="M2056" s="189" t="s">
        <v>234</v>
      </c>
      <c r="N2056" s="189" t="s">
        <v>560</v>
      </c>
      <c r="O2056" s="189" t="s">
        <v>107</v>
      </c>
      <c r="P2056" s="189" t="s">
        <v>111</v>
      </c>
      <c r="Q2056" s="189" t="s">
        <v>112</v>
      </c>
      <c r="R2056" s="189" t="s">
        <v>24</v>
      </c>
      <c r="S2056" s="189" t="s">
        <v>152</v>
      </c>
      <c r="T2056" s="189" t="s">
        <v>121</v>
      </c>
      <c r="U2056" s="189" t="s">
        <v>1821</v>
      </c>
      <c r="V2056" s="189" t="s">
        <v>167</v>
      </c>
      <c r="W2056" s="189" t="s">
        <v>124</v>
      </c>
      <c r="X2056" s="189" t="s">
        <v>448</v>
      </c>
      <c r="Y2056" s="189" t="s">
        <v>3064</v>
      </c>
      <c r="Z2056" s="0" t="n">
        <v>2</v>
      </c>
      <c r="AA2056" s="189" t="s">
        <v>3173</v>
      </c>
    </row>
    <row r="2057" customFormat="false" ht="15" hidden="false" customHeight="false" outlineLevel="0" collapsed="false">
      <c r="A2057" s="0" t="n">
        <v>441</v>
      </c>
      <c r="B2057" s="191" t="n">
        <v>46036.6668044233</v>
      </c>
      <c r="C2057" s="191" t="n">
        <v>46036.6867697011</v>
      </c>
      <c r="D2057" s="189" t="s">
        <v>2662</v>
      </c>
      <c r="E2057" s="189" t="s">
        <v>2663</v>
      </c>
      <c r="F2057" s="189" t="s">
        <v>2663</v>
      </c>
      <c r="G2057" s="189" t="s">
        <v>2664</v>
      </c>
      <c r="H2057" s="191" t="n">
        <v>46026</v>
      </c>
      <c r="I2057" s="189" t="s">
        <v>305</v>
      </c>
      <c r="J2057" s="189" t="s">
        <v>108</v>
      </c>
      <c r="K2057" s="189" t="s">
        <v>2665</v>
      </c>
      <c r="L2057" s="189" t="s">
        <v>286</v>
      </c>
      <c r="M2057" s="189" t="s">
        <v>234</v>
      </c>
      <c r="N2057" s="189" t="s">
        <v>560</v>
      </c>
      <c r="O2057" s="189" t="s">
        <v>107</v>
      </c>
      <c r="P2057" s="189" t="s">
        <v>111</v>
      </c>
      <c r="Q2057" s="189" t="s">
        <v>112</v>
      </c>
      <c r="R2057" s="189" t="s">
        <v>24</v>
      </c>
      <c r="S2057" s="189" t="s">
        <v>152</v>
      </c>
      <c r="T2057" s="189" t="s">
        <v>121</v>
      </c>
      <c r="U2057" s="189" t="s">
        <v>1821</v>
      </c>
      <c r="V2057" s="189" t="s">
        <v>167</v>
      </c>
      <c r="W2057" s="189" t="s">
        <v>124</v>
      </c>
      <c r="X2057" s="189" t="s">
        <v>448</v>
      </c>
      <c r="Y2057" s="189" t="s">
        <v>3064</v>
      </c>
      <c r="Z2057" s="0" t="n">
        <v>3</v>
      </c>
      <c r="AA2057" s="189" t="s">
        <v>3191</v>
      </c>
    </row>
    <row r="2058" customFormat="false" ht="15" hidden="false" customHeight="false" outlineLevel="0" collapsed="false">
      <c r="A2058" s="0" t="n">
        <v>441</v>
      </c>
      <c r="B2058" s="191" t="n">
        <v>46036.6668044233</v>
      </c>
      <c r="C2058" s="191" t="n">
        <v>46036.6867697011</v>
      </c>
      <c r="D2058" s="189" t="s">
        <v>2662</v>
      </c>
      <c r="E2058" s="189" t="s">
        <v>2663</v>
      </c>
      <c r="F2058" s="189" t="s">
        <v>2663</v>
      </c>
      <c r="G2058" s="189" t="s">
        <v>2664</v>
      </c>
      <c r="H2058" s="191" t="n">
        <v>46026</v>
      </c>
      <c r="I2058" s="189" t="s">
        <v>305</v>
      </c>
      <c r="J2058" s="189" t="s">
        <v>108</v>
      </c>
      <c r="K2058" s="189" t="s">
        <v>2665</v>
      </c>
      <c r="L2058" s="189" t="s">
        <v>286</v>
      </c>
      <c r="M2058" s="189" t="s">
        <v>234</v>
      </c>
      <c r="N2058" s="189" t="s">
        <v>560</v>
      </c>
      <c r="O2058" s="189" t="s">
        <v>107</v>
      </c>
      <c r="P2058" s="189" t="s">
        <v>111</v>
      </c>
      <c r="Q2058" s="189" t="s">
        <v>112</v>
      </c>
      <c r="R2058" s="189" t="s">
        <v>24</v>
      </c>
      <c r="S2058" s="189" t="s">
        <v>152</v>
      </c>
      <c r="T2058" s="189" t="s">
        <v>121</v>
      </c>
      <c r="U2058" s="189" t="s">
        <v>1821</v>
      </c>
      <c r="V2058" s="189" t="s">
        <v>167</v>
      </c>
      <c r="W2058" s="189" t="s">
        <v>124</v>
      </c>
      <c r="X2058" s="189" t="s">
        <v>448</v>
      </c>
      <c r="Y2058" s="189" t="s">
        <v>3066</v>
      </c>
      <c r="Z2058" s="0" t="n">
        <v>1</v>
      </c>
      <c r="AA2058" s="189" t="s">
        <v>3177</v>
      </c>
    </row>
    <row r="2059" customFormat="false" ht="15" hidden="false" customHeight="false" outlineLevel="0" collapsed="false">
      <c r="A2059" s="0" t="n">
        <v>441</v>
      </c>
      <c r="B2059" s="191" t="n">
        <v>46036.6668044233</v>
      </c>
      <c r="C2059" s="191" t="n">
        <v>46036.6867697011</v>
      </c>
      <c r="D2059" s="189" t="s">
        <v>2662</v>
      </c>
      <c r="E2059" s="189" t="s">
        <v>2663</v>
      </c>
      <c r="F2059" s="189" t="s">
        <v>2663</v>
      </c>
      <c r="G2059" s="189" t="s">
        <v>2664</v>
      </c>
      <c r="H2059" s="191" t="n">
        <v>46026</v>
      </c>
      <c r="I2059" s="189" t="s">
        <v>305</v>
      </c>
      <c r="J2059" s="189" t="s">
        <v>108</v>
      </c>
      <c r="K2059" s="189" t="s">
        <v>2665</v>
      </c>
      <c r="L2059" s="189" t="s">
        <v>286</v>
      </c>
      <c r="M2059" s="189" t="s">
        <v>234</v>
      </c>
      <c r="N2059" s="189" t="s">
        <v>560</v>
      </c>
      <c r="O2059" s="189" t="s">
        <v>107</v>
      </c>
      <c r="P2059" s="189" t="s">
        <v>111</v>
      </c>
      <c r="Q2059" s="189" t="s">
        <v>112</v>
      </c>
      <c r="R2059" s="189" t="s">
        <v>24</v>
      </c>
      <c r="S2059" s="189" t="s">
        <v>152</v>
      </c>
      <c r="T2059" s="189" t="s">
        <v>121</v>
      </c>
      <c r="U2059" s="189" t="s">
        <v>1821</v>
      </c>
      <c r="V2059" s="189" t="s">
        <v>167</v>
      </c>
      <c r="W2059" s="189" t="s">
        <v>124</v>
      </c>
      <c r="X2059" s="189" t="s">
        <v>448</v>
      </c>
      <c r="Y2059" s="189" t="s">
        <v>3069</v>
      </c>
      <c r="Z2059" s="0" t="n">
        <v>1</v>
      </c>
      <c r="AA2059" s="189" t="s">
        <v>3178</v>
      </c>
    </row>
    <row r="2060" customFormat="false" ht="15" hidden="false" customHeight="false" outlineLevel="0" collapsed="false">
      <c r="A2060" s="0" t="n">
        <v>442</v>
      </c>
      <c r="B2060" s="191" t="n">
        <v>46063.4593086493</v>
      </c>
      <c r="C2060" s="191" t="n">
        <v>46063.4753271679</v>
      </c>
      <c r="D2060" s="189" t="s">
        <v>2667</v>
      </c>
      <c r="E2060" s="189" t="s">
        <v>2668</v>
      </c>
      <c r="F2060" s="189" t="s">
        <v>2668</v>
      </c>
      <c r="G2060" s="189" t="s">
        <v>2669</v>
      </c>
      <c r="H2060" s="191" t="n">
        <v>46043</v>
      </c>
      <c r="I2060" s="189" t="s">
        <v>113</v>
      </c>
      <c r="J2060" s="189" t="s">
        <v>128</v>
      </c>
      <c r="K2060" s="189" t="s">
        <v>257</v>
      </c>
      <c r="L2060" s="189" t="s">
        <v>114</v>
      </c>
      <c r="M2060" s="189" t="s">
        <v>357</v>
      </c>
      <c r="N2060" s="189" t="s">
        <v>560</v>
      </c>
      <c r="O2060" s="189" t="s">
        <v>2670</v>
      </c>
      <c r="P2060" s="189" t="s">
        <v>111</v>
      </c>
      <c r="Q2060" s="189" t="s">
        <v>112</v>
      </c>
      <c r="R2060" s="189" t="s">
        <v>22</v>
      </c>
      <c r="S2060" s="189" t="s">
        <v>152</v>
      </c>
      <c r="T2060" s="189" t="s">
        <v>121</v>
      </c>
      <c r="V2060" s="189" t="s">
        <v>123</v>
      </c>
      <c r="W2060" s="189" t="s">
        <v>139</v>
      </c>
      <c r="X2060" s="189" t="s">
        <v>148</v>
      </c>
      <c r="Y2060" s="189" t="s">
        <v>3064</v>
      </c>
      <c r="Z2060" s="0" t="n">
        <v>1</v>
      </c>
      <c r="AA2060" s="189" t="s">
        <v>3122</v>
      </c>
    </row>
    <row r="2061" customFormat="false" ht="15" hidden="false" customHeight="false" outlineLevel="0" collapsed="false">
      <c r="A2061" s="0" t="n">
        <v>442</v>
      </c>
      <c r="B2061" s="191" t="n">
        <v>46063.4593086493</v>
      </c>
      <c r="C2061" s="191" t="n">
        <v>46063.4753271679</v>
      </c>
      <c r="D2061" s="189" t="s">
        <v>2667</v>
      </c>
      <c r="E2061" s="189" t="s">
        <v>2668</v>
      </c>
      <c r="F2061" s="189" t="s">
        <v>2668</v>
      </c>
      <c r="G2061" s="189" t="s">
        <v>2669</v>
      </c>
      <c r="H2061" s="191" t="n">
        <v>46043</v>
      </c>
      <c r="I2061" s="189" t="s">
        <v>113</v>
      </c>
      <c r="J2061" s="189" t="s">
        <v>128</v>
      </c>
      <c r="K2061" s="189" t="s">
        <v>257</v>
      </c>
      <c r="L2061" s="189" t="s">
        <v>114</v>
      </c>
      <c r="M2061" s="189" t="s">
        <v>357</v>
      </c>
      <c r="N2061" s="189" t="s">
        <v>560</v>
      </c>
      <c r="O2061" s="189" t="s">
        <v>2670</v>
      </c>
      <c r="P2061" s="189" t="s">
        <v>111</v>
      </c>
      <c r="Q2061" s="189" t="s">
        <v>112</v>
      </c>
      <c r="R2061" s="189" t="s">
        <v>22</v>
      </c>
      <c r="S2061" s="189" t="s">
        <v>152</v>
      </c>
      <c r="T2061" s="189" t="s">
        <v>121</v>
      </c>
      <c r="V2061" s="189" t="s">
        <v>123</v>
      </c>
      <c r="W2061" s="189" t="s">
        <v>139</v>
      </c>
      <c r="X2061" s="189" t="s">
        <v>148</v>
      </c>
      <c r="Y2061" s="189" t="s">
        <v>3066</v>
      </c>
      <c r="Z2061" s="0" t="n">
        <v>1</v>
      </c>
      <c r="AA2061" s="189" t="s">
        <v>3077</v>
      </c>
    </row>
    <row r="2062" customFormat="false" ht="15" hidden="false" customHeight="false" outlineLevel="0" collapsed="false">
      <c r="A2062" s="0" t="n">
        <v>442</v>
      </c>
      <c r="B2062" s="191" t="n">
        <v>46063.4593086493</v>
      </c>
      <c r="C2062" s="191" t="n">
        <v>46063.4753271679</v>
      </c>
      <c r="D2062" s="189" t="s">
        <v>2667</v>
      </c>
      <c r="E2062" s="189" t="s">
        <v>2668</v>
      </c>
      <c r="F2062" s="189" t="s">
        <v>2668</v>
      </c>
      <c r="G2062" s="189" t="s">
        <v>2669</v>
      </c>
      <c r="H2062" s="191" t="n">
        <v>46043</v>
      </c>
      <c r="I2062" s="189" t="s">
        <v>113</v>
      </c>
      <c r="J2062" s="189" t="s">
        <v>128</v>
      </c>
      <c r="K2062" s="189" t="s">
        <v>257</v>
      </c>
      <c r="L2062" s="189" t="s">
        <v>114</v>
      </c>
      <c r="M2062" s="189" t="s">
        <v>357</v>
      </c>
      <c r="N2062" s="189" t="s">
        <v>560</v>
      </c>
      <c r="O2062" s="189" t="s">
        <v>2670</v>
      </c>
      <c r="P2062" s="189" t="s">
        <v>111</v>
      </c>
      <c r="Q2062" s="189" t="s">
        <v>112</v>
      </c>
      <c r="R2062" s="189" t="s">
        <v>22</v>
      </c>
      <c r="S2062" s="189" t="s">
        <v>152</v>
      </c>
      <c r="T2062" s="189" t="s">
        <v>121</v>
      </c>
      <c r="V2062" s="189" t="s">
        <v>123</v>
      </c>
      <c r="W2062" s="189" t="s">
        <v>139</v>
      </c>
      <c r="X2062" s="189" t="s">
        <v>148</v>
      </c>
      <c r="Y2062" s="189" t="s">
        <v>3069</v>
      </c>
      <c r="Z2062" s="0" t="n">
        <v>1</v>
      </c>
      <c r="AA2062" s="189" t="s">
        <v>3079</v>
      </c>
    </row>
    <row r="2063" customFormat="false" ht="15" hidden="false" customHeight="false" outlineLevel="0" collapsed="false">
      <c r="A2063" s="0" t="n">
        <v>443</v>
      </c>
      <c r="B2063" s="191" t="n">
        <v>46094.3562192167</v>
      </c>
      <c r="C2063" s="191" t="n">
        <v>46094.3736266241</v>
      </c>
      <c r="D2063" s="189" t="s">
        <v>2672</v>
      </c>
      <c r="E2063" s="189" t="s">
        <v>2673</v>
      </c>
      <c r="F2063" s="189" t="s">
        <v>2673</v>
      </c>
      <c r="G2063" s="189" t="s">
        <v>2674</v>
      </c>
      <c r="H2063" s="191" t="n">
        <v>46093</v>
      </c>
      <c r="I2063" s="189" t="s">
        <v>113</v>
      </c>
      <c r="J2063" s="189" t="s">
        <v>108</v>
      </c>
      <c r="K2063" s="189" t="s">
        <v>476</v>
      </c>
      <c r="L2063" s="189" t="s">
        <v>286</v>
      </c>
      <c r="M2063" s="189" t="s">
        <v>797</v>
      </c>
      <c r="N2063" s="189" t="s">
        <v>306</v>
      </c>
      <c r="O2063" s="189" t="s">
        <v>172</v>
      </c>
      <c r="P2063" s="189" t="s">
        <v>111</v>
      </c>
      <c r="Q2063" s="189" t="s">
        <v>145</v>
      </c>
      <c r="R2063" s="189" t="s">
        <v>21</v>
      </c>
      <c r="S2063" s="189" t="s">
        <v>152</v>
      </c>
      <c r="T2063" s="189" t="s">
        <v>496</v>
      </c>
      <c r="V2063" s="189" t="s">
        <v>192</v>
      </c>
      <c r="W2063" s="189" t="s">
        <v>124</v>
      </c>
      <c r="X2063" s="189" t="s">
        <v>307</v>
      </c>
      <c r="Y2063" s="189" t="s">
        <v>3064</v>
      </c>
      <c r="Z2063" s="0" t="n">
        <v>1</v>
      </c>
      <c r="AA2063" s="189" t="s">
        <v>3131</v>
      </c>
    </row>
    <row r="2064" customFormat="false" ht="15" hidden="false" customHeight="false" outlineLevel="0" collapsed="false">
      <c r="A2064" s="0" t="n">
        <v>443</v>
      </c>
      <c r="B2064" s="191" t="n">
        <v>46094.3562192167</v>
      </c>
      <c r="C2064" s="191" t="n">
        <v>46094.3736266241</v>
      </c>
      <c r="D2064" s="189" t="s">
        <v>2672</v>
      </c>
      <c r="E2064" s="189" t="s">
        <v>2673</v>
      </c>
      <c r="F2064" s="189" t="s">
        <v>2673</v>
      </c>
      <c r="G2064" s="189" t="s">
        <v>2674</v>
      </c>
      <c r="H2064" s="191" t="n">
        <v>46093</v>
      </c>
      <c r="I2064" s="189" t="s">
        <v>113</v>
      </c>
      <c r="J2064" s="189" t="s">
        <v>108</v>
      </c>
      <c r="K2064" s="189" t="s">
        <v>476</v>
      </c>
      <c r="L2064" s="189" t="s">
        <v>286</v>
      </c>
      <c r="M2064" s="189" t="s">
        <v>797</v>
      </c>
      <c r="N2064" s="189" t="s">
        <v>306</v>
      </c>
      <c r="O2064" s="189" t="s">
        <v>172</v>
      </c>
      <c r="P2064" s="189" t="s">
        <v>111</v>
      </c>
      <c r="Q2064" s="189" t="s">
        <v>145</v>
      </c>
      <c r="R2064" s="189" t="s">
        <v>21</v>
      </c>
      <c r="S2064" s="189" t="s">
        <v>152</v>
      </c>
      <c r="T2064" s="189" t="s">
        <v>496</v>
      </c>
      <c r="V2064" s="189" t="s">
        <v>192</v>
      </c>
      <c r="W2064" s="189" t="s">
        <v>124</v>
      </c>
      <c r="X2064" s="189" t="s">
        <v>307</v>
      </c>
      <c r="Y2064" s="189" t="s">
        <v>3066</v>
      </c>
      <c r="Z2064" s="0" t="n">
        <v>1</v>
      </c>
      <c r="AA2064" s="189" t="s">
        <v>3132</v>
      </c>
    </row>
    <row r="2065" customFormat="false" ht="15" hidden="false" customHeight="false" outlineLevel="0" collapsed="false">
      <c r="A2065" s="0" t="n">
        <v>443</v>
      </c>
      <c r="B2065" s="191" t="n">
        <v>46094.3562192167</v>
      </c>
      <c r="C2065" s="191" t="n">
        <v>46094.3736266241</v>
      </c>
      <c r="D2065" s="189" t="s">
        <v>2672</v>
      </c>
      <c r="E2065" s="189" t="s">
        <v>2673</v>
      </c>
      <c r="F2065" s="189" t="s">
        <v>2673</v>
      </c>
      <c r="G2065" s="189" t="s">
        <v>2674</v>
      </c>
      <c r="H2065" s="191" t="n">
        <v>46093</v>
      </c>
      <c r="I2065" s="189" t="s">
        <v>113</v>
      </c>
      <c r="J2065" s="189" t="s">
        <v>108</v>
      </c>
      <c r="K2065" s="189" t="s">
        <v>476</v>
      </c>
      <c r="L2065" s="189" t="s">
        <v>286</v>
      </c>
      <c r="M2065" s="189" t="s">
        <v>797</v>
      </c>
      <c r="N2065" s="189" t="s">
        <v>306</v>
      </c>
      <c r="O2065" s="189" t="s">
        <v>172</v>
      </c>
      <c r="P2065" s="189" t="s">
        <v>111</v>
      </c>
      <c r="Q2065" s="189" t="s">
        <v>145</v>
      </c>
      <c r="R2065" s="189" t="s">
        <v>21</v>
      </c>
      <c r="S2065" s="189" t="s">
        <v>152</v>
      </c>
      <c r="T2065" s="189" t="s">
        <v>496</v>
      </c>
      <c r="V2065" s="189" t="s">
        <v>192</v>
      </c>
      <c r="W2065" s="189" t="s">
        <v>124</v>
      </c>
      <c r="X2065" s="189" t="s">
        <v>307</v>
      </c>
      <c r="Y2065" s="189" t="s">
        <v>3069</v>
      </c>
      <c r="Z2065" s="0" t="n">
        <v>1</v>
      </c>
      <c r="AA2065" s="189" t="s">
        <v>3133</v>
      </c>
    </row>
    <row r="2066" customFormat="false" ht="15" hidden="false" customHeight="false" outlineLevel="0" collapsed="false">
      <c r="A2066" s="0" t="n">
        <v>444</v>
      </c>
      <c r="B2066" s="191" t="n">
        <v>46051.6384987975</v>
      </c>
      <c r="C2066" s="191" t="n">
        <v>46051.6400497234</v>
      </c>
      <c r="D2066" s="189" t="s">
        <v>2675</v>
      </c>
      <c r="E2066" s="189" t="s">
        <v>2676</v>
      </c>
      <c r="F2066" s="189" t="s">
        <v>2676</v>
      </c>
      <c r="G2066" s="189" t="s">
        <v>2677</v>
      </c>
      <c r="H2066" s="191" t="n">
        <v>46043</v>
      </c>
      <c r="I2066" s="189" t="s">
        <v>113</v>
      </c>
      <c r="J2066" s="189" t="s">
        <v>108</v>
      </c>
      <c r="K2066" s="189" t="s">
        <v>796</v>
      </c>
      <c r="L2066" s="189" t="s">
        <v>389</v>
      </c>
      <c r="M2066" s="189" t="s">
        <v>484</v>
      </c>
      <c r="N2066" s="189" t="s">
        <v>270</v>
      </c>
      <c r="O2066" s="189" t="s">
        <v>107</v>
      </c>
      <c r="P2066" s="189" t="s">
        <v>111</v>
      </c>
      <c r="Q2066" s="189" t="s">
        <v>145</v>
      </c>
      <c r="R2066" s="189" t="s">
        <v>21</v>
      </c>
      <c r="S2066" s="189" t="s">
        <v>120</v>
      </c>
      <c r="T2066" s="189" t="s">
        <v>121</v>
      </c>
      <c r="U2066" s="189" t="s">
        <v>122</v>
      </c>
      <c r="V2066" s="189" t="s">
        <v>123</v>
      </c>
      <c r="W2066" s="189" t="s">
        <v>124</v>
      </c>
      <c r="X2066" s="189" t="s">
        <v>307</v>
      </c>
      <c r="Y2066" s="189" t="s">
        <v>3064</v>
      </c>
      <c r="Z2066" s="0" t="n">
        <v>1</v>
      </c>
      <c r="AA2066" s="189" t="s">
        <v>3129</v>
      </c>
    </row>
    <row r="2067" customFormat="false" ht="15" hidden="false" customHeight="false" outlineLevel="0" collapsed="false">
      <c r="A2067" s="0" t="n">
        <v>444</v>
      </c>
      <c r="B2067" s="191" t="n">
        <v>46051.6384987975</v>
      </c>
      <c r="C2067" s="191" t="n">
        <v>46051.6400497234</v>
      </c>
      <c r="D2067" s="189" t="s">
        <v>2675</v>
      </c>
      <c r="E2067" s="189" t="s">
        <v>2676</v>
      </c>
      <c r="F2067" s="189" t="s">
        <v>2676</v>
      </c>
      <c r="G2067" s="189" t="s">
        <v>2677</v>
      </c>
      <c r="H2067" s="191" t="n">
        <v>46043</v>
      </c>
      <c r="I2067" s="189" t="s">
        <v>113</v>
      </c>
      <c r="J2067" s="189" t="s">
        <v>108</v>
      </c>
      <c r="K2067" s="189" t="s">
        <v>796</v>
      </c>
      <c r="L2067" s="189" t="s">
        <v>389</v>
      </c>
      <c r="M2067" s="189" t="s">
        <v>484</v>
      </c>
      <c r="N2067" s="189" t="s">
        <v>270</v>
      </c>
      <c r="O2067" s="189" t="s">
        <v>107</v>
      </c>
      <c r="P2067" s="189" t="s">
        <v>111</v>
      </c>
      <c r="Q2067" s="189" t="s">
        <v>145</v>
      </c>
      <c r="R2067" s="189" t="s">
        <v>21</v>
      </c>
      <c r="S2067" s="189" t="s">
        <v>120</v>
      </c>
      <c r="T2067" s="189" t="s">
        <v>121</v>
      </c>
      <c r="U2067" s="189" t="s">
        <v>122</v>
      </c>
      <c r="V2067" s="189" t="s">
        <v>123</v>
      </c>
      <c r="W2067" s="189" t="s">
        <v>124</v>
      </c>
      <c r="X2067" s="189" t="s">
        <v>307</v>
      </c>
      <c r="Y2067" s="189" t="s">
        <v>3064</v>
      </c>
      <c r="Z2067" s="0" t="n">
        <v>2</v>
      </c>
      <c r="AA2067" s="189" t="s">
        <v>3131</v>
      </c>
    </row>
    <row r="2068" customFormat="false" ht="15" hidden="false" customHeight="false" outlineLevel="0" collapsed="false">
      <c r="A2068" s="0" t="n">
        <v>444</v>
      </c>
      <c r="B2068" s="191" t="n">
        <v>46051.6384987975</v>
      </c>
      <c r="C2068" s="191" t="n">
        <v>46051.6400497234</v>
      </c>
      <c r="D2068" s="189" t="s">
        <v>2675</v>
      </c>
      <c r="E2068" s="189" t="s">
        <v>2676</v>
      </c>
      <c r="F2068" s="189" t="s">
        <v>2676</v>
      </c>
      <c r="G2068" s="189" t="s">
        <v>2677</v>
      </c>
      <c r="H2068" s="191" t="n">
        <v>46043</v>
      </c>
      <c r="I2068" s="189" t="s">
        <v>113</v>
      </c>
      <c r="J2068" s="189" t="s">
        <v>108</v>
      </c>
      <c r="K2068" s="189" t="s">
        <v>796</v>
      </c>
      <c r="L2068" s="189" t="s">
        <v>389</v>
      </c>
      <c r="M2068" s="189" t="s">
        <v>484</v>
      </c>
      <c r="N2068" s="189" t="s">
        <v>270</v>
      </c>
      <c r="O2068" s="189" t="s">
        <v>107</v>
      </c>
      <c r="P2068" s="189" t="s">
        <v>111</v>
      </c>
      <c r="Q2068" s="189" t="s">
        <v>145</v>
      </c>
      <c r="R2068" s="189" t="s">
        <v>21</v>
      </c>
      <c r="S2068" s="189" t="s">
        <v>120</v>
      </c>
      <c r="T2068" s="189" t="s">
        <v>121</v>
      </c>
      <c r="U2068" s="189" t="s">
        <v>122</v>
      </c>
      <c r="V2068" s="189" t="s">
        <v>123</v>
      </c>
      <c r="W2068" s="189" t="s">
        <v>124</v>
      </c>
      <c r="X2068" s="189" t="s">
        <v>307</v>
      </c>
      <c r="Y2068" s="189" t="s">
        <v>3064</v>
      </c>
      <c r="Z2068" s="0" t="n">
        <v>3</v>
      </c>
      <c r="AA2068" s="189" t="s">
        <v>3130</v>
      </c>
    </row>
    <row r="2069" customFormat="false" ht="15" hidden="false" customHeight="false" outlineLevel="0" collapsed="false">
      <c r="A2069" s="0" t="n">
        <v>444</v>
      </c>
      <c r="B2069" s="191" t="n">
        <v>46051.6384987975</v>
      </c>
      <c r="C2069" s="191" t="n">
        <v>46051.6400497234</v>
      </c>
      <c r="D2069" s="189" t="s">
        <v>2675</v>
      </c>
      <c r="E2069" s="189" t="s">
        <v>2676</v>
      </c>
      <c r="F2069" s="189" t="s">
        <v>2676</v>
      </c>
      <c r="G2069" s="189" t="s">
        <v>2677</v>
      </c>
      <c r="H2069" s="191" t="n">
        <v>46043</v>
      </c>
      <c r="I2069" s="189" t="s">
        <v>113</v>
      </c>
      <c r="J2069" s="189" t="s">
        <v>108</v>
      </c>
      <c r="K2069" s="189" t="s">
        <v>796</v>
      </c>
      <c r="L2069" s="189" t="s">
        <v>389</v>
      </c>
      <c r="M2069" s="189" t="s">
        <v>484</v>
      </c>
      <c r="N2069" s="189" t="s">
        <v>270</v>
      </c>
      <c r="O2069" s="189" t="s">
        <v>107</v>
      </c>
      <c r="P2069" s="189" t="s">
        <v>111</v>
      </c>
      <c r="Q2069" s="189" t="s">
        <v>145</v>
      </c>
      <c r="R2069" s="189" t="s">
        <v>21</v>
      </c>
      <c r="S2069" s="189" t="s">
        <v>120</v>
      </c>
      <c r="T2069" s="189" t="s">
        <v>121</v>
      </c>
      <c r="U2069" s="189" t="s">
        <v>122</v>
      </c>
      <c r="V2069" s="189" t="s">
        <v>123</v>
      </c>
      <c r="W2069" s="189" t="s">
        <v>124</v>
      </c>
      <c r="X2069" s="189" t="s">
        <v>307</v>
      </c>
      <c r="Y2069" s="189" t="s">
        <v>3066</v>
      </c>
      <c r="Z2069" s="0" t="n">
        <v>1</v>
      </c>
      <c r="AA2069" s="189" t="s">
        <v>1174</v>
      </c>
    </row>
    <row r="2070" customFormat="false" ht="15" hidden="false" customHeight="false" outlineLevel="0" collapsed="false">
      <c r="A2070" s="0" t="n">
        <v>444</v>
      </c>
      <c r="B2070" s="191" t="n">
        <v>46051.6384987975</v>
      </c>
      <c r="C2070" s="191" t="n">
        <v>46051.6400497234</v>
      </c>
      <c r="D2070" s="189" t="s">
        <v>2675</v>
      </c>
      <c r="E2070" s="189" t="s">
        <v>2676</v>
      </c>
      <c r="F2070" s="189" t="s">
        <v>2676</v>
      </c>
      <c r="G2070" s="189" t="s">
        <v>2677</v>
      </c>
      <c r="H2070" s="191" t="n">
        <v>46043</v>
      </c>
      <c r="I2070" s="189" t="s">
        <v>113</v>
      </c>
      <c r="J2070" s="189" t="s">
        <v>108</v>
      </c>
      <c r="K2070" s="189" t="s">
        <v>796</v>
      </c>
      <c r="L2070" s="189" t="s">
        <v>389</v>
      </c>
      <c r="M2070" s="189" t="s">
        <v>484</v>
      </c>
      <c r="N2070" s="189" t="s">
        <v>270</v>
      </c>
      <c r="O2070" s="189" t="s">
        <v>107</v>
      </c>
      <c r="P2070" s="189" t="s">
        <v>111</v>
      </c>
      <c r="Q2070" s="189" t="s">
        <v>145</v>
      </c>
      <c r="R2070" s="189" t="s">
        <v>21</v>
      </c>
      <c r="S2070" s="189" t="s">
        <v>120</v>
      </c>
      <c r="T2070" s="189" t="s">
        <v>121</v>
      </c>
      <c r="U2070" s="189" t="s">
        <v>122</v>
      </c>
      <c r="V2070" s="189" t="s">
        <v>123</v>
      </c>
      <c r="W2070" s="189" t="s">
        <v>124</v>
      </c>
      <c r="X2070" s="189" t="s">
        <v>307</v>
      </c>
      <c r="Y2070" s="189" t="s">
        <v>3066</v>
      </c>
      <c r="Z2070" s="0" t="n">
        <v>2</v>
      </c>
      <c r="AA2070" s="189" t="s">
        <v>3132</v>
      </c>
    </row>
    <row r="2071" customFormat="false" ht="15" hidden="false" customHeight="false" outlineLevel="0" collapsed="false">
      <c r="A2071" s="0" t="n">
        <v>444</v>
      </c>
      <c r="B2071" s="191" t="n">
        <v>46051.6384987975</v>
      </c>
      <c r="C2071" s="191" t="n">
        <v>46051.6400497234</v>
      </c>
      <c r="D2071" s="189" t="s">
        <v>2675</v>
      </c>
      <c r="E2071" s="189" t="s">
        <v>2676</v>
      </c>
      <c r="F2071" s="189" t="s">
        <v>2676</v>
      </c>
      <c r="G2071" s="189" t="s">
        <v>2677</v>
      </c>
      <c r="H2071" s="191" t="n">
        <v>46043</v>
      </c>
      <c r="I2071" s="189" t="s">
        <v>113</v>
      </c>
      <c r="J2071" s="189" t="s">
        <v>108</v>
      </c>
      <c r="K2071" s="189" t="s">
        <v>796</v>
      </c>
      <c r="L2071" s="189" t="s">
        <v>389</v>
      </c>
      <c r="M2071" s="189" t="s">
        <v>484</v>
      </c>
      <c r="N2071" s="189" t="s">
        <v>270</v>
      </c>
      <c r="O2071" s="189" t="s">
        <v>107</v>
      </c>
      <c r="P2071" s="189" t="s">
        <v>111</v>
      </c>
      <c r="Q2071" s="189" t="s">
        <v>145</v>
      </c>
      <c r="R2071" s="189" t="s">
        <v>21</v>
      </c>
      <c r="S2071" s="189" t="s">
        <v>120</v>
      </c>
      <c r="T2071" s="189" t="s">
        <v>121</v>
      </c>
      <c r="U2071" s="189" t="s">
        <v>122</v>
      </c>
      <c r="V2071" s="189" t="s">
        <v>123</v>
      </c>
      <c r="W2071" s="189" t="s">
        <v>124</v>
      </c>
      <c r="X2071" s="189" t="s">
        <v>307</v>
      </c>
      <c r="Y2071" s="189" t="s">
        <v>3069</v>
      </c>
      <c r="Z2071" s="0" t="n">
        <v>1</v>
      </c>
      <c r="AA2071" s="189" t="s">
        <v>3134</v>
      </c>
    </row>
    <row r="2072" customFormat="false" ht="15" hidden="false" customHeight="false" outlineLevel="0" collapsed="false">
      <c r="A2072" s="0" t="n">
        <v>445</v>
      </c>
      <c r="B2072" s="191" t="n">
        <v>46039.2161641596</v>
      </c>
      <c r="C2072" s="191" t="n">
        <v>46039.222958141</v>
      </c>
      <c r="D2072" s="189" t="s">
        <v>2680</v>
      </c>
      <c r="E2072" s="189" t="s">
        <v>2681</v>
      </c>
      <c r="F2072" s="189" t="s">
        <v>2681</v>
      </c>
      <c r="G2072" s="189" t="s">
        <v>2682</v>
      </c>
      <c r="H2072" s="191" t="n">
        <v>46028</v>
      </c>
      <c r="I2072" s="189" t="s">
        <v>113</v>
      </c>
      <c r="J2072" s="189" t="s">
        <v>128</v>
      </c>
      <c r="K2072" s="189" t="s">
        <v>245</v>
      </c>
      <c r="L2072" s="189" t="s">
        <v>296</v>
      </c>
      <c r="M2072" s="189" t="s">
        <v>357</v>
      </c>
      <c r="N2072" s="189" t="s">
        <v>1140</v>
      </c>
      <c r="O2072" s="189" t="s">
        <v>172</v>
      </c>
      <c r="P2072" s="189" t="s">
        <v>131</v>
      </c>
      <c r="Q2072" s="189" t="s">
        <v>112</v>
      </c>
      <c r="R2072" s="189" t="s">
        <v>22</v>
      </c>
      <c r="S2072" s="189" t="s">
        <v>120</v>
      </c>
      <c r="T2072" s="189" t="s">
        <v>180</v>
      </c>
      <c r="U2072" s="189" t="s">
        <v>122</v>
      </c>
      <c r="V2072" s="189" t="s">
        <v>123</v>
      </c>
      <c r="W2072" s="189" t="s">
        <v>124</v>
      </c>
      <c r="X2072" s="189" t="s">
        <v>135</v>
      </c>
      <c r="Y2072" s="189" t="s">
        <v>3064</v>
      </c>
      <c r="Z2072" s="0" t="n">
        <v>1</v>
      </c>
      <c r="AA2072" s="189" t="s">
        <v>3072</v>
      </c>
    </row>
    <row r="2073" customFormat="false" ht="15" hidden="false" customHeight="false" outlineLevel="0" collapsed="false">
      <c r="A2073" s="0" t="n">
        <v>445</v>
      </c>
      <c r="B2073" s="191" t="n">
        <v>46039.2161641596</v>
      </c>
      <c r="C2073" s="191" t="n">
        <v>46039.222958141</v>
      </c>
      <c r="D2073" s="189" t="s">
        <v>2680</v>
      </c>
      <c r="E2073" s="189" t="s">
        <v>2681</v>
      </c>
      <c r="F2073" s="189" t="s">
        <v>2681</v>
      </c>
      <c r="G2073" s="189" t="s">
        <v>2682</v>
      </c>
      <c r="H2073" s="191" t="n">
        <v>46028</v>
      </c>
      <c r="I2073" s="189" t="s">
        <v>113</v>
      </c>
      <c r="J2073" s="189" t="s">
        <v>128</v>
      </c>
      <c r="K2073" s="189" t="s">
        <v>245</v>
      </c>
      <c r="L2073" s="189" t="s">
        <v>296</v>
      </c>
      <c r="M2073" s="189" t="s">
        <v>357</v>
      </c>
      <c r="N2073" s="189" t="s">
        <v>1140</v>
      </c>
      <c r="O2073" s="189" t="s">
        <v>172</v>
      </c>
      <c r="P2073" s="189" t="s">
        <v>131</v>
      </c>
      <c r="Q2073" s="189" t="s">
        <v>112</v>
      </c>
      <c r="R2073" s="189" t="s">
        <v>22</v>
      </c>
      <c r="S2073" s="189" t="s">
        <v>120</v>
      </c>
      <c r="T2073" s="189" t="s">
        <v>180</v>
      </c>
      <c r="U2073" s="189" t="s">
        <v>122</v>
      </c>
      <c r="V2073" s="189" t="s">
        <v>123</v>
      </c>
      <c r="W2073" s="189" t="s">
        <v>124</v>
      </c>
      <c r="X2073" s="189" t="s">
        <v>135</v>
      </c>
      <c r="Y2073" s="189" t="s">
        <v>3066</v>
      </c>
      <c r="Z2073" s="0" t="n">
        <v>1</v>
      </c>
      <c r="AA2073" s="189" t="s">
        <v>3192</v>
      </c>
    </row>
    <row r="2074" customFormat="false" ht="15" hidden="false" customHeight="false" outlineLevel="0" collapsed="false">
      <c r="A2074" s="0" t="n">
        <v>445</v>
      </c>
      <c r="B2074" s="191" t="n">
        <v>46039.2161641596</v>
      </c>
      <c r="C2074" s="191" t="n">
        <v>46039.222958141</v>
      </c>
      <c r="D2074" s="189" t="s">
        <v>2680</v>
      </c>
      <c r="E2074" s="189" t="s">
        <v>2681</v>
      </c>
      <c r="F2074" s="189" t="s">
        <v>2681</v>
      </c>
      <c r="G2074" s="189" t="s">
        <v>2682</v>
      </c>
      <c r="H2074" s="191" t="n">
        <v>46028</v>
      </c>
      <c r="I2074" s="189" t="s">
        <v>113</v>
      </c>
      <c r="J2074" s="189" t="s">
        <v>128</v>
      </c>
      <c r="K2074" s="189" t="s">
        <v>245</v>
      </c>
      <c r="L2074" s="189" t="s">
        <v>296</v>
      </c>
      <c r="M2074" s="189" t="s">
        <v>357</v>
      </c>
      <c r="N2074" s="189" t="s">
        <v>1140</v>
      </c>
      <c r="O2074" s="189" t="s">
        <v>172</v>
      </c>
      <c r="P2074" s="189" t="s">
        <v>131</v>
      </c>
      <c r="Q2074" s="189" t="s">
        <v>112</v>
      </c>
      <c r="R2074" s="189" t="s">
        <v>22</v>
      </c>
      <c r="S2074" s="189" t="s">
        <v>120</v>
      </c>
      <c r="T2074" s="189" t="s">
        <v>180</v>
      </c>
      <c r="U2074" s="189" t="s">
        <v>122</v>
      </c>
      <c r="V2074" s="189" t="s">
        <v>123</v>
      </c>
      <c r="W2074" s="189" t="s">
        <v>124</v>
      </c>
      <c r="X2074" s="189" t="s">
        <v>135</v>
      </c>
      <c r="Y2074" s="189" t="s">
        <v>3066</v>
      </c>
      <c r="Z2074" s="0" t="n">
        <v>2</v>
      </c>
      <c r="AA2074" s="189" t="s">
        <v>3278</v>
      </c>
    </row>
    <row r="2075" customFormat="false" ht="15" hidden="false" customHeight="false" outlineLevel="0" collapsed="false">
      <c r="A2075" s="0" t="n">
        <v>445</v>
      </c>
      <c r="B2075" s="191" t="n">
        <v>46039.2161641596</v>
      </c>
      <c r="C2075" s="191" t="n">
        <v>46039.222958141</v>
      </c>
      <c r="D2075" s="189" t="s">
        <v>2680</v>
      </c>
      <c r="E2075" s="189" t="s">
        <v>2681</v>
      </c>
      <c r="F2075" s="189" t="s">
        <v>2681</v>
      </c>
      <c r="G2075" s="189" t="s">
        <v>2682</v>
      </c>
      <c r="H2075" s="191" t="n">
        <v>46028</v>
      </c>
      <c r="I2075" s="189" t="s">
        <v>113</v>
      </c>
      <c r="J2075" s="189" t="s">
        <v>128</v>
      </c>
      <c r="K2075" s="189" t="s">
        <v>245</v>
      </c>
      <c r="L2075" s="189" t="s">
        <v>296</v>
      </c>
      <c r="M2075" s="189" t="s">
        <v>357</v>
      </c>
      <c r="N2075" s="189" t="s">
        <v>1140</v>
      </c>
      <c r="O2075" s="189" t="s">
        <v>172</v>
      </c>
      <c r="P2075" s="189" t="s">
        <v>131</v>
      </c>
      <c r="Q2075" s="189" t="s">
        <v>112</v>
      </c>
      <c r="R2075" s="189" t="s">
        <v>22</v>
      </c>
      <c r="S2075" s="189" t="s">
        <v>120</v>
      </c>
      <c r="T2075" s="189" t="s">
        <v>180</v>
      </c>
      <c r="U2075" s="189" t="s">
        <v>122</v>
      </c>
      <c r="V2075" s="189" t="s">
        <v>123</v>
      </c>
      <c r="W2075" s="189" t="s">
        <v>124</v>
      </c>
      <c r="X2075" s="189" t="s">
        <v>135</v>
      </c>
      <c r="Y2075" s="189" t="s">
        <v>3069</v>
      </c>
      <c r="Z2075" s="0" t="n">
        <v>1</v>
      </c>
      <c r="AA2075" s="189" t="s">
        <v>3203</v>
      </c>
    </row>
    <row r="2076" customFormat="false" ht="15" hidden="false" customHeight="false" outlineLevel="0" collapsed="false">
      <c r="A2076" s="0" t="n">
        <v>445</v>
      </c>
      <c r="B2076" s="191" t="n">
        <v>46039.2161641596</v>
      </c>
      <c r="C2076" s="191" t="n">
        <v>46039.222958141</v>
      </c>
      <c r="D2076" s="189" t="s">
        <v>2680</v>
      </c>
      <c r="E2076" s="189" t="s">
        <v>2681</v>
      </c>
      <c r="F2076" s="189" t="s">
        <v>2681</v>
      </c>
      <c r="G2076" s="189" t="s">
        <v>2682</v>
      </c>
      <c r="H2076" s="191" t="n">
        <v>46028</v>
      </c>
      <c r="I2076" s="189" t="s">
        <v>113</v>
      </c>
      <c r="J2076" s="189" t="s">
        <v>128</v>
      </c>
      <c r="K2076" s="189" t="s">
        <v>245</v>
      </c>
      <c r="L2076" s="189" t="s">
        <v>296</v>
      </c>
      <c r="M2076" s="189" t="s">
        <v>357</v>
      </c>
      <c r="N2076" s="189" t="s">
        <v>1140</v>
      </c>
      <c r="O2076" s="189" t="s">
        <v>172</v>
      </c>
      <c r="P2076" s="189" t="s">
        <v>131</v>
      </c>
      <c r="Q2076" s="189" t="s">
        <v>112</v>
      </c>
      <c r="R2076" s="189" t="s">
        <v>22</v>
      </c>
      <c r="S2076" s="189" t="s">
        <v>120</v>
      </c>
      <c r="T2076" s="189" t="s">
        <v>180</v>
      </c>
      <c r="U2076" s="189" t="s">
        <v>122</v>
      </c>
      <c r="V2076" s="189" t="s">
        <v>123</v>
      </c>
      <c r="W2076" s="189" t="s">
        <v>124</v>
      </c>
      <c r="X2076" s="189" t="s">
        <v>135</v>
      </c>
      <c r="Y2076" s="189" t="s">
        <v>3069</v>
      </c>
      <c r="Z2076" s="0" t="n">
        <v>2</v>
      </c>
      <c r="AA2076" s="189" t="s">
        <v>122</v>
      </c>
    </row>
    <row r="2077" customFormat="false" ht="15" hidden="false" customHeight="false" outlineLevel="0" collapsed="false">
      <c r="A2077" s="0" t="n">
        <v>446</v>
      </c>
      <c r="B2077" s="191" t="n">
        <v>46075.4487078051</v>
      </c>
      <c r="C2077" s="191" t="n">
        <v>46075.4506059532</v>
      </c>
      <c r="D2077" s="189" t="s">
        <v>2685</v>
      </c>
      <c r="E2077" s="189" t="s">
        <v>2686</v>
      </c>
      <c r="F2077" s="189" t="s">
        <v>2686</v>
      </c>
      <c r="G2077" s="189" t="s">
        <v>2687</v>
      </c>
      <c r="H2077" s="191" t="n">
        <v>46066</v>
      </c>
      <c r="I2077" s="189" t="s">
        <v>113</v>
      </c>
      <c r="J2077" s="189" t="s">
        <v>295</v>
      </c>
      <c r="K2077" s="189" t="s">
        <v>2688</v>
      </c>
      <c r="L2077" s="189" t="s">
        <v>286</v>
      </c>
      <c r="M2077" s="189" t="s">
        <v>543</v>
      </c>
      <c r="N2077" s="189" t="s">
        <v>259</v>
      </c>
      <c r="O2077" s="189" t="s">
        <v>278</v>
      </c>
      <c r="P2077" s="189" t="s">
        <v>111</v>
      </c>
      <c r="Q2077" s="189" t="s">
        <v>145</v>
      </c>
      <c r="R2077" s="189" t="s">
        <v>22</v>
      </c>
      <c r="S2077" s="189" t="s">
        <v>152</v>
      </c>
      <c r="T2077" s="189" t="s">
        <v>121</v>
      </c>
      <c r="V2077" s="189" t="s">
        <v>167</v>
      </c>
      <c r="W2077" s="189" t="s">
        <v>124</v>
      </c>
      <c r="X2077" s="189" t="s">
        <v>135</v>
      </c>
      <c r="Y2077" s="189" t="s">
        <v>3064</v>
      </c>
      <c r="Z2077" s="0" t="n">
        <v>1</v>
      </c>
      <c r="AA2077" s="189" t="s">
        <v>3073</v>
      </c>
    </row>
    <row r="2078" customFormat="false" ht="15" hidden="false" customHeight="false" outlineLevel="0" collapsed="false">
      <c r="A2078" s="0" t="n">
        <v>446</v>
      </c>
      <c r="B2078" s="191" t="n">
        <v>46075.4487078051</v>
      </c>
      <c r="C2078" s="191" t="n">
        <v>46075.4506059532</v>
      </c>
      <c r="D2078" s="189" t="s">
        <v>2685</v>
      </c>
      <c r="E2078" s="189" t="s">
        <v>2686</v>
      </c>
      <c r="F2078" s="189" t="s">
        <v>2686</v>
      </c>
      <c r="G2078" s="189" t="s">
        <v>2687</v>
      </c>
      <c r="H2078" s="191" t="n">
        <v>46066</v>
      </c>
      <c r="I2078" s="189" t="s">
        <v>113</v>
      </c>
      <c r="J2078" s="189" t="s">
        <v>295</v>
      </c>
      <c r="K2078" s="189" t="s">
        <v>2688</v>
      </c>
      <c r="L2078" s="189" t="s">
        <v>286</v>
      </c>
      <c r="M2078" s="189" t="s">
        <v>543</v>
      </c>
      <c r="N2078" s="189" t="s">
        <v>259</v>
      </c>
      <c r="O2078" s="189" t="s">
        <v>278</v>
      </c>
      <c r="P2078" s="189" t="s">
        <v>111</v>
      </c>
      <c r="Q2078" s="189" t="s">
        <v>145</v>
      </c>
      <c r="R2078" s="189" t="s">
        <v>22</v>
      </c>
      <c r="S2078" s="189" t="s">
        <v>152</v>
      </c>
      <c r="T2078" s="189" t="s">
        <v>121</v>
      </c>
      <c r="V2078" s="189" t="s">
        <v>167</v>
      </c>
      <c r="W2078" s="189" t="s">
        <v>124</v>
      </c>
      <c r="X2078" s="189" t="s">
        <v>135</v>
      </c>
      <c r="Y2078" s="189" t="s">
        <v>3064</v>
      </c>
      <c r="Z2078" s="0" t="n">
        <v>2</v>
      </c>
      <c r="AA2078" s="189" t="s">
        <v>3202</v>
      </c>
    </row>
    <row r="2079" customFormat="false" ht="15" hidden="false" customHeight="false" outlineLevel="0" collapsed="false">
      <c r="A2079" s="0" t="n">
        <v>446</v>
      </c>
      <c r="B2079" s="191" t="n">
        <v>46075.4487078051</v>
      </c>
      <c r="C2079" s="191" t="n">
        <v>46075.4506059532</v>
      </c>
      <c r="D2079" s="189" t="s">
        <v>2685</v>
      </c>
      <c r="E2079" s="189" t="s">
        <v>2686</v>
      </c>
      <c r="F2079" s="189" t="s">
        <v>2686</v>
      </c>
      <c r="G2079" s="189" t="s">
        <v>2687</v>
      </c>
      <c r="H2079" s="191" t="n">
        <v>46066</v>
      </c>
      <c r="I2079" s="189" t="s">
        <v>113</v>
      </c>
      <c r="J2079" s="189" t="s">
        <v>295</v>
      </c>
      <c r="K2079" s="189" t="s">
        <v>2688</v>
      </c>
      <c r="L2079" s="189" t="s">
        <v>286</v>
      </c>
      <c r="M2079" s="189" t="s">
        <v>543</v>
      </c>
      <c r="N2079" s="189" t="s">
        <v>259</v>
      </c>
      <c r="O2079" s="189" t="s">
        <v>278</v>
      </c>
      <c r="P2079" s="189" t="s">
        <v>111</v>
      </c>
      <c r="Q2079" s="189" t="s">
        <v>145</v>
      </c>
      <c r="R2079" s="189" t="s">
        <v>22</v>
      </c>
      <c r="S2079" s="189" t="s">
        <v>152</v>
      </c>
      <c r="T2079" s="189" t="s">
        <v>121</v>
      </c>
      <c r="V2079" s="189" t="s">
        <v>167</v>
      </c>
      <c r="W2079" s="189" t="s">
        <v>124</v>
      </c>
      <c r="X2079" s="189" t="s">
        <v>135</v>
      </c>
      <c r="Y2079" s="189" t="s">
        <v>3066</v>
      </c>
      <c r="Z2079" s="0" t="n">
        <v>1</v>
      </c>
      <c r="AA2079" s="189" t="s">
        <v>3151</v>
      </c>
    </row>
    <row r="2080" customFormat="false" ht="15" hidden="false" customHeight="false" outlineLevel="0" collapsed="false">
      <c r="A2080" s="0" t="n">
        <v>446</v>
      </c>
      <c r="B2080" s="191" t="n">
        <v>46075.4487078051</v>
      </c>
      <c r="C2080" s="191" t="n">
        <v>46075.4506059532</v>
      </c>
      <c r="D2080" s="189" t="s">
        <v>2685</v>
      </c>
      <c r="E2080" s="189" t="s">
        <v>2686</v>
      </c>
      <c r="F2080" s="189" t="s">
        <v>2686</v>
      </c>
      <c r="G2080" s="189" t="s">
        <v>2687</v>
      </c>
      <c r="H2080" s="191" t="n">
        <v>46066</v>
      </c>
      <c r="I2080" s="189" t="s">
        <v>113</v>
      </c>
      <c r="J2080" s="189" t="s">
        <v>295</v>
      </c>
      <c r="K2080" s="189" t="s">
        <v>2688</v>
      </c>
      <c r="L2080" s="189" t="s">
        <v>286</v>
      </c>
      <c r="M2080" s="189" t="s">
        <v>543</v>
      </c>
      <c r="N2080" s="189" t="s">
        <v>259</v>
      </c>
      <c r="O2080" s="189" t="s">
        <v>278</v>
      </c>
      <c r="P2080" s="189" t="s">
        <v>111</v>
      </c>
      <c r="Q2080" s="189" t="s">
        <v>145</v>
      </c>
      <c r="R2080" s="189" t="s">
        <v>22</v>
      </c>
      <c r="S2080" s="189" t="s">
        <v>152</v>
      </c>
      <c r="T2080" s="189" t="s">
        <v>121</v>
      </c>
      <c r="V2080" s="189" t="s">
        <v>167</v>
      </c>
      <c r="W2080" s="189" t="s">
        <v>124</v>
      </c>
      <c r="X2080" s="189" t="s">
        <v>135</v>
      </c>
      <c r="Y2080" s="189" t="s">
        <v>3066</v>
      </c>
      <c r="Z2080" s="0" t="n">
        <v>2</v>
      </c>
      <c r="AA2080" s="189" t="s">
        <v>122</v>
      </c>
    </row>
    <row r="2081" customFormat="false" ht="15" hidden="false" customHeight="false" outlineLevel="0" collapsed="false">
      <c r="A2081" s="0" t="n">
        <v>446</v>
      </c>
      <c r="B2081" s="191" t="n">
        <v>46075.4487078051</v>
      </c>
      <c r="C2081" s="191" t="n">
        <v>46075.4506059532</v>
      </c>
      <c r="D2081" s="189" t="s">
        <v>2685</v>
      </c>
      <c r="E2081" s="189" t="s">
        <v>2686</v>
      </c>
      <c r="F2081" s="189" t="s">
        <v>2686</v>
      </c>
      <c r="G2081" s="189" t="s">
        <v>2687</v>
      </c>
      <c r="H2081" s="191" t="n">
        <v>46066</v>
      </c>
      <c r="I2081" s="189" t="s">
        <v>113</v>
      </c>
      <c r="J2081" s="189" t="s">
        <v>295</v>
      </c>
      <c r="K2081" s="189" t="s">
        <v>2688</v>
      </c>
      <c r="L2081" s="189" t="s">
        <v>286</v>
      </c>
      <c r="M2081" s="189" t="s">
        <v>543</v>
      </c>
      <c r="N2081" s="189" t="s">
        <v>259</v>
      </c>
      <c r="O2081" s="189" t="s">
        <v>278</v>
      </c>
      <c r="P2081" s="189" t="s">
        <v>111</v>
      </c>
      <c r="Q2081" s="189" t="s">
        <v>145</v>
      </c>
      <c r="R2081" s="189" t="s">
        <v>22</v>
      </c>
      <c r="S2081" s="189" t="s">
        <v>152</v>
      </c>
      <c r="T2081" s="189" t="s">
        <v>121</v>
      </c>
      <c r="V2081" s="189" t="s">
        <v>167</v>
      </c>
      <c r="W2081" s="189" t="s">
        <v>124</v>
      </c>
      <c r="X2081" s="189" t="s">
        <v>135</v>
      </c>
      <c r="Y2081" s="189" t="s">
        <v>3069</v>
      </c>
      <c r="Z2081" s="0" t="n">
        <v>1</v>
      </c>
      <c r="AA2081" s="189" t="s">
        <v>3193</v>
      </c>
    </row>
    <row r="2082" customFormat="false" ht="15" hidden="false" customHeight="false" outlineLevel="0" collapsed="false">
      <c r="A2082" s="0" t="n">
        <v>446</v>
      </c>
      <c r="B2082" s="191" t="n">
        <v>46075.4487078051</v>
      </c>
      <c r="C2082" s="191" t="n">
        <v>46075.4506059532</v>
      </c>
      <c r="D2082" s="189" t="s">
        <v>2685</v>
      </c>
      <c r="E2082" s="189" t="s">
        <v>2686</v>
      </c>
      <c r="F2082" s="189" t="s">
        <v>2686</v>
      </c>
      <c r="G2082" s="189" t="s">
        <v>2687</v>
      </c>
      <c r="H2082" s="191" t="n">
        <v>46066</v>
      </c>
      <c r="I2082" s="189" t="s">
        <v>113</v>
      </c>
      <c r="J2082" s="189" t="s">
        <v>295</v>
      </c>
      <c r="K2082" s="189" t="s">
        <v>2688</v>
      </c>
      <c r="L2082" s="189" t="s">
        <v>286</v>
      </c>
      <c r="M2082" s="189" t="s">
        <v>543</v>
      </c>
      <c r="N2082" s="189" t="s">
        <v>259</v>
      </c>
      <c r="O2082" s="189" t="s">
        <v>278</v>
      </c>
      <c r="P2082" s="189" t="s">
        <v>111</v>
      </c>
      <c r="Q2082" s="189" t="s">
        <v>145</v>
      </c>
      <c r="R2082" s="189" t="s">
        <v>22</v>
      </c>
      <c r="S2082" s="189" t="s">
        <v>152</v>
      </c>
      <c r="T2082" s="189" t="s">
        <v>121</v>
      </c>
      <c r="V2082" s="189" t="s">
        <v>167</v>
      </c>
      <c r="W2082" s="189" t="s">
        <v>124</v>
      </c>
      <c r="X2082" s="189" t="s">
        <v>135</v>
      </c>
      <c r="Y2082" s="189" t="s">
        <v>3069</v>
      </c>
      <c r="Z2082" s="0" t="n">
        <v>2</v>
      </c>
      <c r="AA2082" s="189" t="s">
        <v>3212</v>
      </c>
    </row>
    <row r="2083" customFormat="false" ht="15" hidden="false" customHeight="false" outlineLevel="0" collapsed="false">
      <c r="A2083" s="0" t="n">
        <v>447</v>
      </c>
      <c r="B2083" s="191" t="n">
        <v>46174.7448834916</v>
      </c>
      <c r="C2083" s="191" t="n">
        <v>46174.7607631212</v>
      </c>
      <c r="D2083" s="189" t="s">
        <v>2692</v>
      </c>
      <c r="E2083" s="189" t="s">
        <v>2693</v>
      </c>
      <c r="F2083" s="189" t="s">
        <v>2693</v>
      </c>
      <c r="G2083" s="189" t="s">
        <v>2694</v>
      </c>
      <c r="H2083" s="191" t="n">
        <v>46158</v>
      </c>
      <c r="I2083" s="189" t="s">
        <v>113</v>
      </c>
      <c r="J2083" s="189" t="s">
        <v>295</v>
      </c>
      <c r="K2083" s="189" t="s">
        <v>364</v>
      </c>
      <c r="L2083" s="189" t="s">
        <v>491</v>
      </c>
      <c r="M2083" s="189" t="s">
        <v>501</v>
      </c>
      <c r="N2083" s="189" t="s">
        <v>1160</v>
      </c>
      <c r="O2083" s="189" t="s">
        <v>107</v>
      </c>
      <c r="P2083" s="189" t="s">
        <v>111</v>
      </c>
      <c r="Q2083" s="189" t="s">
        <v>112</v>
      </c>
      <c r="R2083" s="189" t="s">
        <v>22</v>
      </c>
      <c r="S2083" s="189" t="s">
        <v>120</v>
      </c>
      <c r="T2083" s="189" t="s">
        <v>1406</v>
      </c>
      <c r="U2083" s="189" t="s">
        <v>1376</v>
      </c>
      <c r="V2083" s="189" t="s">
        <v>167</v>
      </c>
      <c r="W2083" s="189" t="s">
        <v>124</v>
      </c>
      <c r="X2083" s="189" t="s">
        <v>271</v>
      </c>
      <c r="Y2083" s="189" t="s">
        <v>3064</v>
      </c>
      <c r="Z2083" s="0" t="n">
        <v>1</v>
      </c>
      <c r="AA2083" s="189" t="s">
        <v>3230</v>
      </c>
    </row>
    <row r="2084" customFormat="false" ht="15" hidden="false" customHeight="false" outlineLevel="0" collapsed="false">
      <c r="A2084" s="0" t="n">
        <v>447</v>
      </c>
      <c r="B2084" s="191" t="n">
        <v>46174.7448834916</v>
      </c>
      <c r="C2084" s="191" t="n">
        <v>46174.7607631212</v>
      </c>
      <c r="D2084" s="189" t="s">
        <v>2692</v>
      </c>
      <c r="E2084" s="189" t="s">
        <v>2693</v>
      </c>
      <c r="F2084" s="189" t="s">
        <v>2693</v>
      </c>
      <c r="G2084" s="189" t="s">
        <v>2694</v>
      </c>
      <c r="H2084" s="191" t="n">
        <v>46158</v>
      </c>
      <c r="I2084" s="189" t="s">
        <v>113</v>
      </c>
      <c r="J2084" s="189" t="s">
        <v>295</v>
      </c>
      <c r="K2084" s="189" t="s">
        <v>364</v>
      </c>
      <c r="L2084" s="189" t="s">
        <v>491</v>
      </c>
      <c r="M2084" s="189" t="s">
        <v>501</v>
      </c>
      <c r="N2084" s="189" t="s">
        <v>1160</v>
      </c>
      <c r="O2084" s="189" t="s">
        <v>107</v>
      </c>
      <c r="P2084" s="189" t="s">
        <v>111</v>
      </c>
      <c r="Q2084" s="189" t="s">
        <v>112</v>
      </c>
      <c r="R2084" s="189" t="s">
        <v>22</v>
      </c>
      <c r="S2084" s="189" t="s">
        <v>120</v>
      </c>
      <c r="T2084" s="189" t="s">
        <v>1406</v>
      </c>
      <c r="U2084" s="189" t="s">
        <v>1376</v>
      </c>
      <c r="V2084" s="189" t="s">
        <v>167</v>
      </c>
      <c r="W2084" s="189" t="s">
        <v>124</v>
      </c>
      <c r="X2084" s="189" t="s">
        <v>271</v>
      </c>
      <c r="Y2084" s="189" t="s">
        <v>3064</v>
      </c>
      <c r="Z2084" s="0" t="n">
        <v>2</v>
      </c>
      <c r="AA2084" s="189" t="s">
        <v>3136</v>
      </c>
    </row>
    <row r="2085" customFormat="false" ht="15" hidden="false" customHeight="false" outlineLevel="0" collapsed="false">
      <c r="A2085" s="0" t="n">
        <v>447</v>
      </c>
      <c r="B2085" s="191" t="n">
        <v>46174.7448834916</v>
      </c>
      <c r="C2085" s="191" t="n">
        <v>46174.7607631212</v>
      </c>
      <c r="D2085" s="189" t="s">
        <v>2692</v>
      </c>
      <c r="E2085" s="189" t="s">
        <v>2693</v>
      </c>
      <c r="F2085" s="189" t="s">
        <v>2693</v>
      </c>
      <c r="G2085" s="189" t="s">
        <v>2694</v>
      </c>
      <c r="H2085" s="191" t="n">
        <v>46158</v>
      </c>
      <c r="I2085" s="189" t="s">
        <v>113</v>
      </c>
      <c r="J2085" s="189" t="s">
        <v>295</v>
      </c>
      <c r="K2085" s="189" t="s">
        <v>364</v>
      </c>
      <c r="L2085" s="189" t="s">
        <v>491</v>
      </c>
      <c r="M2085" s="189" t="s">
        <v>501</v>
      </c>
      <c r="N2085" s="189" t="s">
        <v>1160</v>
      </c>
      <c r="O2085" s="189" t="s">
        <v>107</v>
      </c>
      <c r="P2085" s="189" t="s">
        <v>111</v>
      </c>
      <c r="Q2085" s="189" t="s">
        <v>112</v>
      </c>
      <c r="R2085" s="189" t="s">
        <v>22</v>
      </c>
      <c r="S2085" s="189" t="s">
        <v>120</v>
      </c>
      <c r="T2085" s="189" t="s">
        <v>1406</v>
      </c>
      <c r="U2085" s="189" t="s">
        <v>1376</v>
      </c>
      <c r="V2085" s="189" t="s">
        <v>167</v>
      </c>
      <c r="W2085" s="189" t="s">
        <v>124</v>
      </c>
      <c r="X2085" s="189" t="s">
        <v>271</v>
      </c>
      <c r="Y2085" s="189" t="s">
        <v>3064</v>
      </c>
      <c r="Z2085" s="0" t="n">
        <v>3</v>
      </c>
      <c r="AA2085" s="189" t="s">
        <v>3135</v>
      </c>
    </row>
    <row r="2086" customFormat="false" ht="15" hidden="false" customHeight="false" outlineLevel="0" collapsed="false">
      <c r="A2086" s="0" t="n">
        <v>447</v>
      </c>
      <c r="B2086" s="191" t="n">
        <v>46174.7448834916</v>
      </c>
      <c r="C2086" s="191" t="n">
        <v>46174.7607631212</v>
      </c>
      <c r="D2086" s="189" t="s">
        <v>2692</v>
      </c>
      <c r="E2086" s="189" t="s">
        <v>2693</v>
      </c>
      <c r="F2086" s="189" t="s">
        <v>2693</v>
      </c>
      <c r="G2086" s="189" t="s">
        <v>2694</v>
      </c>
      <c r="H2086" s="191" t="n">
        <v>46158</v>
      </c>
      <c r="I2086" s="189" t="s">
        <v>113</v>
      </c>
      <c r="J2086" s="189" t="s">
        <v>295</v>
      </c>
      <c r="K2086" s="189" t="s">
        <v>364</v>
      </c>
      <c r="L2086" s="189" t="s">
        <v>491</v>
      </c>
      <c r="M2086" s="189" t="s">
        <v>501</v>
      </c>
      <c r="N2086" s="189" t="s">
        <v>1160</v>
      </c>
      <c r="O2086" s="189" t="s">
        <v>107</v>
      </c>
      <c r="P2086" s="189" t="s">
        <v>111</v>
      </c>
      <c r="Q2086" s="189" t="s">
        <v>112</v>
      </c>
      <c r="R2086" s="189" t="s">
        <v>22</v>
      </c>
      <c r="S2086" s="189" t="s">
        <v>120</v>
      </c>
      <c r="T2086" s="189" t="s">
        <v>1406</v>
      </c>
      <c r="U2086" s="189" t="s">
        <v>1376</v>
      </c>
      <c r="V2086" s="189" t="s">
        <v>167</v>
      </c>
      <c r="W2086" s="189" t="s">
        <v>124</v>
      </c>
      <c r="X2086" s="189" t="s">
        <v>271</v>
      </c>
      <c r="Y2086" s="189" t="s">
        <v>3066</v>
      </c>
      <c r="Z2086" s="0" t="n">
        <v>1</v>
      </c>
      <c r="AA2086" s="189" t="s">
        <v>3137</v>
      </c>
    </row>
    <row r="2087" customFormat="false" ht="15" hidden="false" customHeight="false" outlineLevel="0" collapsed="false">
      <c r="A2087" s="0" t="n">
        <v>447</v>
      </c>
      <c r="B2087" s="191" t="n">
        <v>46174.7448834916</v>
      </c>
      <c r="C2087" s="191" t="n">
        <v>46174.7607631212</v>
      </c>
      <c r="D2087" s="189" t="s">
        <v>2692</v>
      </c>
      <c r="E2087" s="189" t="s">
        <v>2693</v>
      </c>
      <c r="F2087" s="189" t="s">
        <v>2693</v>
      </c>
      <c r="G2087" s="189" t="s">
        <v>2694</v>
      </c>
      <c r="H2087" s="191" t="n">
        <v>46158</v>
      </c>
      <c r="I2087" s="189" t="s">
        <v>113</v>
      </c>
      <c r="J2087" s="189" t="s">
        <v>295</v>
      </c>
      <c r="K2087" s="189" t="s">
        <v>364</v>
      </c>
      <c r="L2087" s="189" t="s">
        <v>491</v>
      </c>
      <c r="M2087" s="189" t="s">
        <v>501</v>
      </c>
      <c r="N2087" s="189" t="s">
        <v>1160</v>
      </c>
      <c r="O2087" s="189" t="s">
        <v>107</v>
      </c>
      <c r="P2087" s="189" t="s">
        <v>111</v>
      </c>
      <c r="Q2087" s="189" t="s">
        <v>112</v>
      </c>
      <c r="R2087" s="189" t="s">
        <v>22</v>
      </c>
      <c r="S2087" s="189" t="s">
        <v>120</v>
      </c>
      <c r="T2087" s="189" t="s">
        <v>1406</v>
      </c>
      <c r="U2087" s="189" t="s">
        <v>1376</v>
      </c>
      <c r="V2087" s="189" t="s">
        <v>167</v>
      </c>
      <c r="W2087" s="189" t="s">
        <v>124</v>
      </c>
      <c r="X2087" s="189" t="s">
        <v>271</v>
      </c>
      <c r="Y2087" s="189" t="s">
        <v>3066</v>
      </c>
      <c r="Z2087" s="0" t="n">
        <v>2</v>
      </c>
      <c r="AA2087" s="189" t="s">
        <v>3116</v>
      </c>
    </row>
    <row r="2088" customFormat="false" ht="15" hidden="false" customHeight="false" outlineLevel="0" collapsed="false">
      <c r="A2088" s="0" t="n">
        <v>447</v>
      </c>
      <c r="B2088" s="191" t="n">
        <v>46174.7448834916</v>
      </c>
      <c r="C2088" s="191" t="n">
        <v>46174.7607631212</v>
      </c>
      <c r="D2088" s="189" t="s">
        <v>2692</v>
      </c>
      <c r="E2088" s="189" t="s">
        <v>2693</v>
      </c>
      <c r="F2088" s="189" t="s">
        <v>2693</v>
      </c>
      <c r="G2088" s="189" t="s">
        <v>2694</v>
      </c>
      <c r="H2088" s="191" t="n">
        <v>46158</v>
      </c>
      <c r="I2088" s="189" t="s">
        <v>113</v>
      </c>
      <c r="J2088" s="189" t="s">
        <v>295</v>
      </c>
      <c r="K2088" s="189" t="s">
        <v>364</v>
      </c>
      <c r="L2088" s="189" t="s">
        <v>491</v>
      </c>
      <c r="M2088" s="189" t="s">
        <v>501</v>
      </c>
      <c r="N2088" s="189" t="s">
        <v>1160</v>
      </c>
      <c r="O2088" s="189" t="s">
        <v>107</v>
      </c>
      <c r="P2088" s="189" t="s">
        <v>111</v>
      </c>
      <c r="Q2088" s="189" t="s">
        <v>112</v>
      </c>
      <c r="R2088" s="189" t="s">
        <v>22</v>
      </c>
      <c r="S2088" s="189" t="s">
        <v>120</v>
      </c>
      <c r="T2088" s="189" t="s">
        <v>1406</v>
      </c>
      <c r="U2088" s="189" t="s">
        <v>1376</v>
      </c>
      <c r="V2088" s="189" t="s">
        <v>167</v>
      </c>
      <c r="W2088" s="189" t="s">
        <v>124</v>
      </c>
      <c r="X2088" s="189" t="s">
        <v>271</v>
      </c>
      <c r="Y2088" s="189" t="s">
        <v>3069</v>
      </c>
      <c r="Z2088" s="0" t="n">
        <v>1</v>
      </c>
      <c r="AA2088" s="189" t="s">
        <v>122</v>
      </c>
    </row>
    <row r="2089" customFormat="false" ht="15" hidden="false" customHeight="false" outlineLevel="0" collapsed="false">
      <c r="A2089" s="0" t="n">
        <v>447</v>
      </c>
      <c r="B2089" s="191" t="n">
        <v>46174.7448834916</v>
      </c>
      <c r="C2089" s="191" t="n">
        <v>46174.7607631212</v>
      </c>
      <c r="D2089" s="189" t="s">
        <v>2692</v>
      </c>
      <c r="E2089" s="189" t="s">
        <v>2693</v>
      </c>
      <c r="F2089" s="189" t="s">
        <v>2693</v>
      </c>
      <c r="G2089" s="189" t="s">
        <v>2694</v>
      </c>
      <c r="H2089" s="191" t="n">
        <v>46158</v>
      </c>
      <c r="I2089" s="189" t="s">
        <v>113</v>
      </c>
      <c r="J2089" s="189" t="s">
        <v>295</v>
      </c>
      <c r="K2089" s="189" t="s">
        <v>364</v>
      </c>
      <c r="L2089" s="189" t="s">
        <v>491</v>
      </c>
      <c r="M2089" s="189" t="s">
        <v>501</v>
      </c>
      <c r="N2089" s="189" t="s">
        <v>1160</v>
      </c>
      <c r="O2089" s="189" t="s">
        <v>107</v>
      </c>
      <c r="P2089" s="189" t="s">
        <v>111</v>
      </c>
      <c r="Q2089" s="189" t="s">
        <v>112</v>
      </c>
      <c r="R2089" s="189" t="s">
        <v>22</v>
      </c>
      <c r="S2089" s="189" t="s">
        <v>120</v>
      </c>
      <c r="T2089" s="189" t="s">
        <v>1406</v>
      </c>
      <c r="U2089" s="189" t="s">
        <v>1376</v>
      </c>
      <c r="V2089" s="189" t="s">
        <v>167</v>
      </c>
      <c r="W2089" s="189" t="s">
        <v>124</v>
      </c>
      <c r="X2089" s="189" t="s">
        <v>271</v>
      </c>
      <c r="Y2089" s="189" t="s">
        <v>3069</v>
      </c>
      <c r="Z2089" s="0" t="n">
        <v>2</v>
      </c>
      <c r="AA2089" s="189" t="s">
        <v>3118</v>
      </c>
    </row>
    <row r="2090" customFormat="false" ht="15" hidden="false" customHeight="false" outlineLevel="0" collapsed="false">
      <c r="A2090" s="0" t="n">
        <v>448</v>
      </c>
      <c r="B2090" s="191" t="n">
        <v>46048.7824664144</v>
      </c>
      <c r="C2090" s="191" t="n">
        <v>46048.7954293774</v>
      </c>
      <c r="D2090" s="189" t="s">
        <v>2697</v>
      </c>
      <c r="E2090" s="189" t="s">
        <v>2698</v>
      </c>
      <c r="F2090" s="189" t="s">
        <v>2698</v>
      </c>
      <c r="G2090" s="189" t="s">
        <v>2699</v>
      </c>
      <c r="H2090" s="191" t="n">
        <v>46048</v>
      </c>
      <c r="I2090" s="189" t="s">
        <v>113</v>
      </c>
      <c r="J2090" s="189" t="s">
        <v>128</v>
      </c>
      <c r="K2090" s="189" t="s">
        <v>364</v>
      </c>
      <c r="L2090" s="189" t="s">
        <v>144</v>
      </c>
      <c r="M2090" s="189" t="s">
        <v>439</v>
      </c>
      <c r="N2090" s="189" t="s">
        <v>200</v>
      </c>
      <c r="O2090" s="189" t="s">
        <v>172</v>
      </c>
      <c r="P2090" s="189" t="s">
        <v>111</v>
      </c>
      <c r="Q2090" s="189" t="s">
        <v>112</v>
      </c>
      <c r="R2090" s="189" t="s">
        <v>22</v>
      </c>
      <c r="S2090" s="189" t="s">
        <v>152</v>
      </c>
      <c r="T2090" s="189" t="s">
        <v>180</v>
      </c>
      <c r="U2090" s="189" t="s">
        <v>122</v>
      </c>
      <c r="V2090" s="189" t="s">
        <v>192</v>
      </c>
      <c r="W2090" s="189" t="s">
        <v>124</v>
      </c>
      <c r="X2090" s="189" t="s">
        <v>381</v>
      </c>
      <c r="Y2090" s="189" t="s">
        <v>3064</v>
      </c>
      <c r="Z2090" s="0" t="n">
        <v>1</v>
      </c>
      <c r="AA2090" s="189" t="s">
        <v>3249</v>
      </c>
    </row>
    <row r="2091" customFormat="false" ht="15" hidden="false" customHeight="false" outlineLevel="0" collapsed="false">
      <c r="A2091" s="0" t="n">
        <v>448</v>
      </c>
      <c r="B2091" s="191" t="n">
        <v>46048.7824664144</v>
      </c>
      <c r="C2091" s="191" t="n">
        <v>46048.7954293774</v>
      </c>
      <c r="D2091" s="189" t="s">
        <v>2697</v>
      </c>
      <c r="E2091" s="189" t="s">
        <v>2698</v>
      </c>
      <c r="F2091" s="189" t="s">
        <v>2698</v>
      </c>
      <c r="G2091" s="189" t="s">
        <v>2699</v>
      </c>
      <c r="H2091" s="191" t="n">
        <v>46048</v>
      </c>
      <c r="I2091" s="189" t="s">
        <v>113</v>
      </c>
      <c r="J2091" s="189" t="s">
        <v>128</v>
      </c>
      <c r="K2091" s="189" t="s">
        <v>364</v>
      </c>
      <c r="L2091" s="189" t="s">
        <v>144</v>
      </c>
      <c r="M2091" s="189" t="s">
        <v>439</v>
      </c>
      <c r="N2091" s="189" t="s">
        <v>200</v>
      </c>
      <c r="O2091" s="189" t="s">
        <v>172</v>
      </c>
      <c r="P2091" s="189" t="s">
        <v>111</v>
      </c>
      <c r="Q2091" s="189" t="s">
        <v>112</v>
      </c>
      <c r="R2091" s="189" t="s">
        <v>22</v>
      </c>
      <c r="S2091" s="189" t="s">
        <v>152</v>
      </c>
      <c r="T2091" s="189" t="s">
        <v>180</v>
      </c>
      <c r="U2091" s="189" t="s">
        <v>122</v>
      </c>
      <c r="V2091" s="189" t="s">
        <v>192</v>
      </c>
      <c r="W2091" s="189" t="s">
        <v>124</v>
      </c>
      <c r="X2091" s="189" t="s">
        <v>381</v>
      </c>
      <c r="Y2091" s="189" t="s">
        <v>3064</v>
      </c>
      <c r="Z2091" s="0" t="n">
        <v>2</v>
      </c>
      <c r="AA2091" s="189" t="s">
        <v>3233</v>
      </c>
    </row>
    <row r="2092" customFormat="false" ht="15" hidden="false" customHeight="false" outlineLevel="0" collapsed="false">
      <c r="A2092" s="0" t="n">
        <v>448</v>
      </c>
      <c r="B2092" s="191" t="n">
        <v>46048.7824664144</v>
      </c>
      <c r="C2092" s="191" t="n">
        <v>46048.7954293774</v>
      </c>
      <c r="D2092" s="189" t="s">
        <v>2697</v>
      </c>
      <c r="E2092" s="189" t="s">
        <v>2698</v>
      </c>
      <c r="F2092" s="189" t="s">
        <v>2698</v>
      </c>
      <c r="G2092" s="189" t="s">
        <v>2699</v>
      </c>
      <c r="H2092" s="191" t="n">
        <v>46048</v>
      </c>
      <c r="I2092" s="189" t="s">
        <v>113</v>
      </c>
      <c r="J2092" s="189" t="s">
        <v>128</v>
      </c>
      <c r="K2092" s="189" t="s">
        <v>364</v>
      </c>
      <c r="L2092" s="189" t="s">
        <v>144</v>
      </c>
      <c r="M2092" s="189" t="s">
        <v>439</v>
      </c>
      <c r="N2092" s="189" t="s">
        <v>200</v>
      </c>
      <c r="O2092" s="189" t="s">
        <v>172</v>
      </c>
      <c r="P2092" s="189" t="s">
        <v>111</v>
      </c>
      <c r="Q2092" s="189" t="s">
        <v>112</v>
      </c>
      <c r="R2092" s="189" t="s">
        <v>22</v>
      </c>
      <c r="S2092" s="189" t="s">
        <v>152</v>
      </c>
      <c r="T2092" s="189" t="s">
        <v>180</v>
      </c>
      <c r="U2092" s="189" t="s">
        <v>122</v>
      </c>
      <c r="V2092" s="189" t="s">
        <v>192</v>
      </c>
      <c r="W2092" s="189" t="s">
        <v>124</v>
      </c>
      <c r="X2092" s="189" t="s">
        <v>381</v>
      </c>
      <c r="Y2092" s="189" t="s">
        <v>3066</v>
      </c>
      <c r="Z2092" s="0" t="n">
        <v>1</v>
      </c>
      <c r="AA2092" s="189" t="s">
        <v>3161</v>
      </c>
    </row>
    <row r="2093" customFormat="false" ht="15" hidden="false" customHeight="false" outlineLevel="0" collapsed="false">
      <c r="A2093" s="0" t="n">
        <v>448</v>
      </c>
      <c r="B2093" s="191" t="n">
        <v>46048.7824664144</v>
      </c>
      <c r="C2093" s="191" t="n">
        <v>46048.7954293774</v>
      </c>
      <c r="D2093" s="189" t="s">
        <v>2697</v>
      </c>
      <c r="E2093" s="189" t="s">
        <v>2698</v>
      </c>
      <c r="F2093" s="189" t="s">
        <v>2698</v>
      </c>
      <c r="G2093" s="189" t="s">
        <v>2699</v>
      </c>
      <c r="H2093" s="191" t="n">
        <v>46048</v>
      </c>
      <c r="I2093" s="189" t="s">
        <v>113</v>
      </c>
      <c r="J2093" s="189" t="s">
        <v>128</v>
      </c>
      <c r="K2093" s="189" t="s">
        <v>364</v>
      </c>
      <c r="L2093" s="189" t="s">
        <v>144</v>
      </c>
      <c r="M2093" s="189" t="s">
        <v>439</v>
      </c>
      <c r="N2093" s="189" t="s">
        <v>200</v>
      </c>
      <c r="O2093" s="189" t="s">
        <v>172</v>
      </c>
      <c r="P2093" s="189" t="s">
        <v>111</v>
      </c>
      <c r="Q2093" s="189" t="s">
        <v>112</v>
      </c>
      <c r="R2093" s="189" t="s">
        <v>22</v>
      </c>
      <c r="S2093" s="189" t="s">
        <v>152</v>
      </c>
      <c r="T2093" s="189" t="s">
        <v>180</v>
      </c>
      <c r="U2093" s="189" t="s">
        <v>122</v>
      </c>
      <c r="V2093" s="189" t="s">
        <v>192</v>
      </c>
      <c r="W2093" s="189" t="s">
        <v>124</v>
      </c>
      <c r="X2093" s="189" t="s">
        <v>381</v>
      </c>
      <c r="Y2093" s="189" t="s">
        <v>3069</v>
      </c>
      <c r="Z2093" s="0" t="n">
        <v>1</v>
      </c>
      <c r="AA2093" s="189" t="s">
        <v>3163</v>
      </c>
    </row>
    <row r="2094" customFormat="false" ht="15" hidden="false" customHeight="false" outlineLevel="0" collapsed="false">
      <c r="A2094" s="0" t="n">
        <v>449</v>
      </c>
      <c r="B2094" s="191" t="n">
        <v>46168.8107722329</v>
      </c>
      <c r="C2094" s="191" t="n">
        <v>46168.8264898255</v>
      </c>
      <c r="D2094" s="189" t="s">
        <v>2701</v>
      </c>
      <c r="E2094" s="189" t="s">
        <v>2702</v>
      </c>
      <c r="F2094" s="189" t="s">
        <v>2702</v>
      </c>
      <c r="G2094" s="189" t="s">
        <v>2703</v>
      </c>
      <c r="H2094" s="191" t="n">
        <v>46148</v>
      </c>
      <c r="I2094" s="189" t="s">
        <v>325</v>
      </c>
      <c r="J2094" s="189" t="s">
        <v>128</v>
      </c>
      <c r="K2094" s="189" t="s">
        <v>232</v>
      </c>
      <c r="L2094" s="189" t="s">
        <v>197</v>
      </c>
      <c r="M2094" s="189" t="s">
        <v>652</v>
      </c>
      <c r="N2094" s="189" t="s">
        <v>758</v>
      </c>
      <c r="O2094" s="189" t="s">
        <v>107</v>
      </c>
      <c r="P2094" s="189" t="s">
        <v>111</v>
      </c>
      <c r="Q2094" s="189" t="s">
        <v>112</v>
      </c>
      <c r="R2094" s="189" t="s">
        <v>24</v>
      </c>
      <c r="S2094" s="189" t="s">
        <v>120</v>
      </c>
      <c r="T2094" s="189" t="s">
        <v>352</v>
      </c>
      <c r="V2094" s="189" t="s">
        <v>167</v>
      </c>
      <c r="W2094" s="189" t="s">
        <v>124</v>
      </c>
      <c r="X2094" s="189" t="s">
        <v>214</v>
      </c>
      <c r="Y2094" s="189" t="s">
        <v>3064</v>
      </c>
      <c r="Z2094" s="0" t="n">
        <v>1</v>
      </c>
      <c r="AA2094" s="189" t="s">
        <v>3081</v>
      </c>
    </row>
    <row r="2095" customFormat="false" ht="15" hidden="false" customHeight="false" outlineLevel="0" collapsed="false">
      <c r="A2095" s="0" t="n">
        <v>449</v>
      </c>
      <c r="B2095" s="191" t="n">
        <v>46168.8107722329</v>
      </c>
      <c r="C2095" s="191" t="n">
        <v>46168.8264898255</v>
      </c>
      <c r="D2095" s="189" t="s">
        <v>2701</v>
      </c>
      <c r="E2095" s="189" t="s">
        <v>2702</v>
      </c>
      <c r="F2095" s="189" t="s">
        <v>2702</v>
      </c>
      <c r="G2095" s="189" t="s">
        <v>2703</v>
      </c>
      <c r="H2095" s="191" t="n">
        <v>46148</v>
      </c>
      <c r="I2095" s="189" t="s">
        <v>325</v>
      </c>
      <c r="J2095" s="189" t="s">
        <v>128</v>
      </c>
      <c r="K2095" s="189" t="s">
        <v>232</v>
      </c>
      <c r="L2095" s="189" t="s">
        <v>197</v>
      </c>
      <c r="M2095" s="189" t="s">
        <v>652</v>
      </c>
      <c r="N2095" s="189" t="s">
        <v>758</v>
      </c>
      <c r="O2095" s="189" t="s">
        <v>107</v>
      </c>
      <c r="P2095" s="189" t="s">
        <v>111</v>
      </c>
      <c r="Q2095" s="189" t="s">
        <v>112</v>
      </c>
      <c r="R2095" s="189" t="s">
        <v>24</v>
      </c>
      <c r="S2095" s="189" t="s">
        <v>120</v>
      </c>
      <c r="T2095" s="189" t="s">
        <v>352</v>
      </c>
      <c r="V2095" s="189" t="s">
        <v>167</v>
      </c>
      <c r="W2095" s="189" t="s">
        <v>124</v>
      </c>
      <c r="X2095" s="189" t="s">
        <v>214</v>
      </c>
      <c r="Y2095" s="189" t="s">
        <v>3064</v>
      </c>
      <c r="Z2095" s="0" t="n">
        <v>2</v>
      </c>
      <c r="AA2095" s="189" t="s">
        <v>3139</v>
      </c>
    </row>
    <row r="2096" customFormat="false" ht="15" hidden="false" customHeight="false" outlineLevel="0" collapsed="false">
      <c r="A2096" s="0" t="n">
        <v>449</v>
      </c>
      <c r="B2096" s="191" t="n">
        <v>46168.8107722329</v>
      </c>
      <c r="C2096" s="191" t="n">
        <v>46168.8264898255</v>
      </c>
      <c r="D2096" s="189" t="s">
        <v>2701</v>
      </c>
      <c r="E2096" s="189" t="s">
        <v>2702</v>
      </c>
      <c r="F2096" s="189" t="s">
        <v>2702</v>
      </c>
      <c r="G2096" s="189" t="s">
        <v>2703</v>
      </c>
      <c r="H2096" s="191" t="n">
        <v>46148</v>
      </c>
      <c r="I2096" s="189" t="s">
        <v>325</v>
      </c>
      <c r="J2096" s="189" t="s">
        <v>128</v>
      </c>
      <c r="K2096" s="189" t="s">
        <v>232</v>
      </c>
      <c r="L2096" s="189" t="s">
        <v>197</v>
      </c>
      <c r="M2096" s="189" t="s">
        <v>652</v>
      </c>
      <c r="N2096" s="189" t="s">
        <v>758</v>
      </c>
      <c r="O2096" s="189" t="s">
        <v>107</v>
      </c>
      <c r="P2096" s="189" t="s">
        <v>111</v>
      </c>
      <c r="Q2096" s="189" t="s">
        <v>112</v>
      </c>
      <c r="R2096" s="189" t="s">
        <v>24</v>
      </c>
      <c r="S2096" s="189" t="s">
        <v>120</v>
      </c>
      <c r="T2096" s="189" t="s">
        <v>352</v>
      </c>
      <c r="V2096" s="189" t="s">
        <v>167</v>
      </c>
      <c r="W2096" s="189" t="s">
        <v>124</v>
      </c>
      <c r="X2096" s="189" t="s">
        <v>214</v>
      </c>
      <c r="Y2096" s="189" t="s">
        <v>3064</v>
      </c>
      <c r="Z2096" s="0" t="n">
        <v>3</v>
      </c>
      <c r="AA2096" s="189" t="s">
        <v>3107</v>
      </c>
    </row>
    <row r="2097" customFormat="false" ht="15" hidden="false" customHeight="false" outlineLevel="0" collapsed="false">
      <c r="A2097" s="0" t="n">
        <v>449</v>
      </c>
      <c r="B2097" s="191" t="n">
        <v>46168.8107722329</v>
      </c>
      <c r="C2097" s="191" t="n">
        <v>46168.8264898255</v>
      </c>
      <c r="D2097" s="189" t="s">
        <v>2701</v>
      </c>
      <c r="E2097" s="189" t="s">
        <v>2702</v>
      </c>
      <c r="F2097" s="189" t="s">
        <v>2702</v>
      </c>
      <c r="G2097" s="189" t="s">
        <v>2703</v>
      </c>
      <c r="H2097" s="191" t="n">
        <v>46148</v>
      </c>
      <c r="I2097" s="189" t="s">
        <v>325</v>
      </c>
      <c r="J2097" s="189" t="s">
        <v>128</v>
      </c>
      <c r="K2097" s="189" t="s">
        <v>232</v>
      </c>
      <c r="L2097" s="189" t="s">
        <v>197</v>
      </c>
      <c r="M2097" s="189" t="s">
        <v>652</v>
      </c>
      <c r="N2097" s="189" t="s">
        <v>758</v>
      </c>
      <c r="O2097" s="189" t="s">
        <v>107</v>
      </c>
      <c r="P2097" s="189" t="s">
        <v>111</v>
      </c>
      <c r="Q2097" s="189" t="s">
        <v>112</v>
      </c>
      <c r="R2097" s="189" t="s">
        <v>24</v>
      </c>
      <c r="S2097" s="189" t="s">
        <v>120</v>
      </c>
      <c r="T2097" s="189" t="s">
        <v>352</v>
      </c>
      <c r="V2097" s="189" t="s">
        <v>167</v>
      </c>
      <c r="W2097" s="189" t="s">
        <v>124</v>
      </c>
      <c r="X2097" s="189" t="s">
        <v>214</v>
      </c>
      <c r="Y2097" s="189" t="s">
        <v>3066</v>
      </c>
      <c r="Z2097" s="0" t="n">
        <v>1</v>
      </c>
      <c r="AA2097" s="189" t="s">
        <v>3067</v>
      </c>
    </row>
    <row r="2098" customFormat="false" ht="15" hidden="false" customHeight="false" outlineLevel="0" collapsed="false">
      <c r="A2098" s="0" t="n">
        <v>449</v>
      </c>
      <c r="B2098" s="191" t="n">
        <v>46168.8107722329</v>
      </c>
      <c r="C2098" s="191" t="n">
        <v>46168.8264898255</v>
      </c>
      <c r="D2098" s="189" t="s">
        <v>2701</v>
      </c>
      <c r="E2098" s="189" t="s">
        <v>2702</v>
      </c>
      <c r="F2098" s="189" t="s">
        <v>2702</v>
      </c>
      <c r="G2098" s="189" t="s">
        <v>2703</v>
      </c>
      <c r="H2098" s="191" t="n">
        <v>46148</v>
      </c>
      <c r="I2098" s="189" t="s">
        <v>325</v>
      </c>
      <c r="J2098" s="189" t="s">
        <v>128</v>
      </c>
      <c r="K2098" s="189" t="s">
        <v>232</v>
      </c>
      <c r="L2098" s="189" t="s">
        <v>197</v>
      </c>
      <c r="M2098" s="189" t="s">
        <v>652</v>
      </c>
      <c r="N2098" s="189" t="s">
        <v>758</v>
      </c>
      <c r="O2098" s="189" t="s">
        <v>107</v>
      </c>
      <c r="P2098" s="189" t="s">
        <v>111</v>
      </c>
      <c r="Q2098" s="189" t="s">
        <v>112</v>
      </c>
      <c r="R2098" s="189" t="s">
        <v>24</v>
      </c>
      <c r="S2098" s="189" t="s">
        <v>120</v>
      </c>
      <c r="T2098" s="189" t="s">
        <v>352</v>
      </c>
      <c r="V2098" s="189" t="s">
        <v>167</v>
      </c>
      <c r="W2098" s="189" t="s">
        <v>124</v>
      </c>
      <c r="X2098" s="189" t="s">
        <v>214</v>
      </c>
      <c r="Y2098" s="189" t="s">
        <v>3069</v>
      </c>
      <c r="Z2098" s="0" t="n">
        <v>1</v>
      </c>
      <c r="AA2098" s="189" t="s">
        <v>122</v>
      </c>
    </row>
    <row r="2099" customFormat="false" ht="15" hidden="false" customHeight="false" outlineLevel="0" collapsed="false">
      <c r="A2099" s="0" t="n">
        <v>449</v>
      </c>
      <c r="B2099" s="191" t="n">
        <v>46168.8107722329</v>
      </c>
      <c r="C2099" s="191" t="n">
        <v>46168.8264898255</v>
      </c>
      <c r="D2099" s="189" t="s">
        <v>2701</v>
      </c>
      <c r="E2099" s="189" t="s">
        <v>2702</v>
      </c>
      <c r="F2099" s="189" t="s">
        <v>2702</v>
      </c>
      <c r="G2099" s="189" t="s">
        <v>2703</v>
      </c>
      <c r="H2099" s="191" t="n">
        <v>46148</v>
      </c>
      <c r="I2099" s="189" t="s">
        <v>325</v>
      </c>
      <c r="J2099" s="189" t="s">
        <v>128</v>
      </c>
      <c r="K2099" s="189" t="s">
        <v>232</v>
      </c>
      <c r="L2099" s="189" t="s">
        <v>197</v>
      </c>
      <c r="M2099" s="189" t="s">
        <v>652</v>
      </c>
      <c r="N2099" s="189" t="s">
        <v>758</v>
      </c>
      <c r="O2099" s="189" t="s">
        <v>107</v>
      </c>
      <c r="P2099" s="189" t="s">
        <v>111</v>
      </c>
      <c r="Q2099" s="189" t="s">
        <v>112</v>
      </c>
      <c r="R2099" s="189" t="s">
        <v>24</v>
      </c>
      <c r="S2099" s="189" t="s">
        <v>120</v>
      </c>
      <c r="T2099" s="189" t="s">
        <v>352</v>
      </c>
      <c r="V2099" s="189" t="s">
        <v>167</v>
      </c>
      <c r="W2099" s="189" t="s">
        <v>124</v>
      </c>
      <c r="X2099" s="189" t="s">
        <v>214</v>
      </c>
      <c r="Y2099" s="189" t="s">
        <v>3069</v>
      </c>
      <c r="Z2099" s="0" t="n">
        <v>2</v>
      </c>
      <c r="AA2099" s="189" t="s">
        <v>3140</v>
      </c>
    </row>
    <row r="2100" customFormat="false" ht="28.35" hidden="false" customHeight="false" outlineLevel="0" collapsed="false">
      <c r="A2100" s="0" t="n">
        <v>450</v>
      </c>
      <c r="B2100" s="191" t="n">
        <v>46050.5131975345</v>
      </c>
      <c r="C2100" s="191" t="n">
        <v>46050.5325609605</v>
      </c>
      <c r="D2100" s="189" t="s">
        <v>2705</v>
      </c>
      <c r="E2100" s="189" t="s">
        <v>2706</v>
      </c>
      <c r="F2100" s="189" t="s">
        <v>2707</v>
      </c>
      <c r="G2100" s="189" t="s">
        <v>2708</v>
      </c>
      <c r="H2100" s="191" t="n">
        <v>46042</v>
      </c>
      <c r="I2100" s="189" t="s">
        <v>113</v>
      </c>
      <c r="J2100" s="189" t="s">
        <v>108</v>
      </c>
      <c r="K2100" s="189" t="s">
        <v>232</v>
      </c>
      <c r="L2100" s="189" t="s">
        <v>268</v>
      </c>
      <c r="M2100" s="189" t="s">
        <v>686</v>
      </c>
      <c r="N2100" s="189" t="s">
        <v>316</v>
      </c>
      <c r="O2100" s="189" t="s">
        <v>172</v>
      </c>
      <c r="P2100" s="189" t="s">
        <v>111</v>
      </c>
      <c r="Q2100" s="189" t="s">
        <v>112</v>
      </c>
      <c r="R2100" s="189" t="s">
        <v>22</v>
      </c>
      <c r="S2100" s="189" t="s">
        <v>152</v>
      </c>
      <c r="T2100" s="189" t="s">
        <v>121</v>
      </c>
      <c r="U2100" s="132" t="s">
        <v>969</v>
      </c>
      <c r="V2100" s="189" t="s">
        <v>192</v>
      </c>
      <c r="W2100" s="189" t="s">
        <v>124</v>
      </c>
      <c r="X2100" s="189" t="s">
        <v>271</v>
      </c>
      <c r="Y2100" s="189" t="s">
        <v>3064</v>
      </c>
      <c r="Z2100" s="0" t="n">
        <v>1</v>
      </c>
      <c r="AA2100" s="189" t="s">
        <v>3136</v>
      </c>
    </row>
    <row r="2101" customFormat="false" ht="28.35" hidden="false" customHeight="false" outlineLevel="0" collapsed="false">
      <c r="A2101" s="0" t="n">
        <v>450</v>
      </c>
      <c r="B2101" s="191" t="n">
        <v>46050.5131975345</v>
      </c>
      <c r="C2101" s="191" t="n">
        <v>46050.5325609605</v>
      </c>
      <c r="D2101" s="189" t="s">
        <v>2705</v>
      </c>
      <c r="E2101" s="189" t="s">
        <v>2706</v>
      </c>
      <c r="F2101" s="189" t="s">
        <v>2707</v>
      </c>
      <c r="G2101" s="189" t="s">
        <v>2708</v>
      </c>
      <c r="H2101" s="191" t="n">
        <v>46042</v>
      </c>
      <c r="I2101" s="189" t="s">
        <v>113</v>
      </c>
      <c r="J2101" s="189" t="s">
        <v>108</v>
      </c>
      <c r="K2101" s="189" t="s">
        <v>232</v>
      </c>
      <c r="L2101" s="189" t="s">
        <v>268</v>
      </c>
      <c r="M2101" s="189" t="s">
        <v>686</v>
      </c>
      <c r="N2101" s="189" t="s">
        <v>316</v>
      </c>
      <c r="O2101" s="189" t="s">
        <v>172</v>
      </c>
      <c r="P2101" s="189" t="s">
        <v>111</v>
      </c>
      <c r="Q2101" s="189" t="s">
        <v>112</v>
      </c>
      <c r="R2101" s="189" t="s">
        <v>22</v>
      </c>
      <c r="S2101" s="189" t="s">
        <v>152</v>
      </c>
      <c r="T2101" s="189" t="s">
        <v>121</v>
      </c>
      <c r="U2101" s="132" t="s">
        <v>969</v>
      </c>
      <c r="V2101" s="189" t="s">
        <v>192</v>
      </c>
      <c r="W2101" s="189" t="s">
        <v>124</v>
      </c>
      <c r="X2101" s="189" t="s">
        <v>271</v>
      </c>
      <c r="Y2101" s="189" t="s">
        <v>3066</v>
      </c>
      <c r="Z2101" s="0" t="n">
        <v>1</v>
      </c>
      <c r="AA2101" s="189" t="s">
        <v>3116</v>
      </c>
    </row>
    <row r="2102" customFormat="false" ht="28.35" hidden="false" customHeight="false" outlineLevel="0" collapsed="false">
      <c r="A2102" s="0" t="n">
        <v>450</v>
      </c>
      <c r="B2102" s="191" t="n">
        <v>46050.5131975345</v>
      </c>
      <c r="C2102" s="191" t="n">
        <v>46050.5325609605</v>
      </c>
      <c r="D2102" s="189" t="s">
        <v>2705</v>
      </c>
      <c r="E2102" s="189" t="s">
        <v>2706</v>
      </c>
      <c r="F2102" s="189" t="s">
        <v>2707</v>
      </c>
      <c r="G2102" s="189" t="s">
        <v>2708</v>
      </c>
      <c r="H2102" s="191" t="n">
        <v>46042</v>
      </c>
      <c r="I2102" s="189" t="s">
        <v>113</v>
      </c>
      <c r="J2102" s="189" t="s">
        <v>108</v>
      </c>
      <c r="K2102" s="189" t="s">
        <v>232</v>
      </c>
      <c r="L2102" s="189" t="s">
        <v>268</v>
      </c>
      <c r="M2102" s="189" t="s">
        <v>686</v>
      </c>
      <c r="N2102" s="189" t="s">
        <v>316</v>
      </c>
      <c r="O2102" s="189" t="s">
        <v>172</v>
      </c>
      <c r="P2102" s="189" t="s">
        <v>111</v>
      </c>
      <c r="Q2102" s="189" t="s">
        <v>112</v>
      </c>
      <c r="R2102" s="189" t="s">
        <v>22</v>
      </c>
      <c r="S2102" s="189" t="s">
        <v>152</v>
      </c>
      <c r="T2102" s="189" t="s">
        <v>121</v>
      </c>
      <c r="U2102" s="132" t="s">
        <v>969</v>
      </c>
      <c r="V2102" s="189" t="s">
        <v>192</v>
      </c>
      <c r="W2102" s="189" t="s">
        <v>124</v>
      </c>
      <c r="X2102" s="189" t="s">
        <v>271</v>
      </c>
      <c r="Y2102" s="189" t="s">
        <v>3066</v>
      </c>
      <c r="Z2102" s="0" t="n">
        <v>2</v>
      </c>
      <c r="AA2102" s="189" t="s">
        <v>3138</v>
      </c>
    </row>
    <row r="2103" customFormat="false" ht="28.35" hidden="false" customHeight="false" outlineLevel="0" collapsed="false">
      <c r="A2103" s="0" t="n">
        <v>450</v>
      </c>
      <c r="B2103" s="191" t="n">
        <v>46050.5131975345</v>
      </c>
      <c r="C2103" s="191" t="n">
        <v>46050.5325609605</v>
      </c>
      <c r="D2103" s="189" t="s">
        <v>2705</v>
      </c>
      <c r="E2103" s="189" t="s">
        <v>2706</v>
      </c>
      <c r="F2103" s="189" t="s">
        <v>2707</v>
      </c>
      <c r="G2103" s="189" t="s">
        <v>2708</v>
      </c>
      <c r="H2103" s="191" t="n">
        <v>46042</v>
      </c>
      <c r="I2103" s="189" t="s">
        <v>113</v>
      </c>
      <c r="J2103" s="189" t="s">
        <v>108</v>
      </c>
      <c r="K2103" s="189" t="s">
        <v>232</v>
      </c>
      <c r="L2103" s="189" t="s">
        <v>268</v>
      </c>
      <c r="M2103" s="189" t="s">
        <v>686</v>
      </c>
      <c r="N2103" s="189" t="s">
        <v>316</v>
      </c>
      <c r="O2103" s="189" t="s">
        <v>172</v>
      </c>
      <c r="P2103" s="189" t="s">
        <v>111</v>
      </c>
      <c r="Q2103" s="189" t="s">
        <v>112</v>
      </c>
      <c r="R2103" s="189" t="s">
        <v>22</v>
      </c>
      <c r="S2103" s="189" t="s">
        <v>152</v>
      </c>
      <c r="T2103" s="189" t="s">
        <v>121</v>
      </c>
      <c r="U2103" s="132" t="s">
        <v>969</v>
      </c>
      <c r="V2103" s="189" t="s">
        <v>192</v>
      </c>
      <c r="W2103" s="189" t="s">
        <v>124</v>
      </c>
      <c r="X2103" s="189" t="s">
        <v>271</v>
      </c>
      <c r="Y2103" s="189" t="s">
        <v>3069</v>
      </c>
      <c r="Z2103" s="0" t="n">
        <v>1</v>
      </c>
      <c r="AA2103" s="189" t="s">
        <v>122</v>
      </c>
    </row>
    <row r="2104" customFormat="false" ht="28.35" hidden="false" customHeight="false" outlineLevel="0" collapsed="false">
      <c r="A2104" s="0" t="n">
        <v>450</v>
      </c>
      <c r="B2104" s="191" t="n">
        <v>46050.5131975345</v>
      </c>
      <c r="C2104" s="191" t="n">
        <v>46050.5325609605</v>
      </c>
      <c r="D2104" s="189" t="s">
        <v>2705</v>
      </c>
      <c r="E2104" s="189" t="s">
        <v>2706</v>
      </c>
      <c r="F2104" s="189" t="s">
        <v>2707</v>
      </c>
      <c r="G2104" s="189" t="s">
        <v>2708</v>
      </c>
      <c r="H2104" s="191" t="n">
        <v>46042</v>
      </c>
      <c r="I2104" s="189" t="s">
        <v>113</v>
      </c>
      <c r="J2104" s="189" t="s">
        <v>108</v>
      </c>
      <c r="K2104" s="189" t="s">
        <v>232</v>
      </c>
      <c r="L2104" s="189" t="s">
        <v>268</v>
      </c>
      <c r="M2104" s="189" t="s">
        <v>686</v>
      </c>
      <c r="N2104" s="189" t="s">
        <v>316</v>
      </c>
      <c r="O2104" s="189" t="s">
        <v>172</v>
      </c>
      <c r="P2104" s="189" t="s">
        <v>111</v>
      </c>
      <c r="Q2104" s="189" t="s">
        <v>112</v>
      </c>
      <c r="R2104" s="189" t="s">
        <v>22</v>
      </c>
      <c r="S2104" s="189" t="s">
        <v>152</v>
      </c>
      <c r="T2104" s="189" t="s">
        <v>121</v>
      </c>
      <c r="U2104" s="132" t="s">
        <v>969</v>
      </c>
      <c r="V2104" s="189" t="s">
        <v>192</v>
      </c>
      <c r="W2104" s="189" t="s">
        <v>124</v>
      </c>
      <c r="X2104" s="189" t="s">
        <v>271</v>
      </c>
      <c r="Y2104" s="189" t="s">
        <v>3069</v>
      </c>
      <c r="Z2104" s="0" t="n">
        <v>2</v>
      </c>
      <c r="AA2104" s="189" t="s">
        <v>3119</v>
      </c>
    </row>
    <row r="2105" customFormat="false" ht="15" hidden="false" customHeight="false" outlineLevel="0" collapsed="false">
      <c r="A2105" s="0" t="n">
        <v>451</v>
      </c>
      <c r="B2105" s="191" t="n">
        <v>46049.7423797384</v>
      </c>
      <c r="C2105" s="191" t="n">
        <v>46049.7608982569</v>
      </c>
      <c r="D2105" s="189" t="s">
        <v>2709</v>
      </c>
      <c r="E2105" s="189" t="s">
        <v>2710</v>
      </c>
      <c r="F2105" s="189" t="s">
        <v>2710</v>
      </c>
      <c r="G2105" s="189" t="s">
        <v>2711</v>
      </c>
      <c r="H2105" s="191" t="n">
        <v>46034</v>
      </c>
      <c r="I2105" s="189" t="s">
        <v>113</v>
      </c>
      <c r="J2105" s="189" t="s">
        <v>108</v>
      </c>
      <c r="K2105" s="189" t="s">
        <v>2712</v>
      </c>
      <c r="L2105" s="189" t="s">
        <v>233</v>
      </c>
      <c r="M2105" s="189" t="s">
        <v>501</v>
      </c>
      <c r="N2105" s="189" t="s">
        <v>998</v>
      </c>
      <c r="O2105" s="189" t="s">
        <v>107</v>
      </c>
      <c r="P2105" s="189" t="s">
        <v>111</v>
      </c>
      <c r="Q2105" s="189" t="s">
        <v>145</v>
      </c>
      <c r="R2105" s="189" t="s">
        <v>22</v>
      </c>
      <c r="S2105" s="189" t="s">
        <v>120</v>
      </c>
      <c r="T2105" s="189" t="s">
        <v>121</v>
      </c>
      <c r="V2105" s="189" t="s">
        <v>123</v>
      </c>
      <c r="W2105" s="189" t="s">
        <v>168</v>
      </c>
      <c r="X2105" s="189" t="s">
        <v>339</v>
      </c>
      <c r="Y2105" s="189" t="s">
        <v>3064</v>
      </c>
      <c r="Z2105" s="0" t="n">
        <v>1</v>
      </c>
      <c r="AA2105" s="189" t="s">
        <v>3216</v>
      </c>
    </row>
    <row r="2106" customFormat="false" ht="15" hidden="false" customHeight="false" outlineLevel="0" collapsed="false">
      <c r="A2106" s="0" t="n">
        <v>451</v>
      </c>
      <c r="B2106" s="191" t="n">
        <v>46049.7423797384</v>
      </c>
      <c r="C2106" s="191" t="n">
        <v>46049.7608982569</v>
      </c>
      <c r="D2106" s="189" t="s">
        <v>2709</v>
      </c>
      <c r="E2106" s="189" t="s">
        <v>2710</v>
      </c>
      <c r="F2106" s="189" t="s">
        <v>2710</v>
      </c>
      <c r="G2106" s="189" t="s">
        <v>2711</v>
      </c>
      <c r="H2106" s="191" t="n">
        <v>46034</v>
      </c>
      <c r="I2106" s="189" t="s">
        <v>113</v>
      </c>
      <c r="J2106" s="189" t="s">
        <v>108</v>
      </c>
      <c r="K2106" s="189" t="s">
        <v>2712</v>
      </c>
      <c r="L2106" s="189" t="s">
        <v>233</v>
      </c>
      <c r="M2106" s="189" t="s">
        <v>501</v>
      </c>
      <c r="N2106" s="189" t="s">
        <v>998</v>
      </c>
      <c r="O2106" s="189" t="s">
        <v>107</v>
      </c>
      <c r="P2106" s="189" t="s">
        <v>111</v>
      </c>
      <c r="Q2106" s="189" t="s">
        <v>145</v>
      </c>
      <c r="R2106" s="189" t="s">
        <v>22</v>
      </c>
      <c r="S2106" s="189" t="s">
        <v>120</v>
      </c>
      <c r="T2106" s="189" t="s">
        <v>121</v>
      </c>
      <c r="V2106" s="189" t="s">
        <v>123</v>
      </c>
      <c r="W2106" s="189" t="s">
        <v>168</v>
      </c>
      <c r="X2106" s="189" t="s">
        <v>339</v>
      </c>
      <c r="Y2106" s="189" t="s">
        <v>3064</v>
      </c>
      <c r="Z2106" s="0" t="n">
        <v>2</v>
      </c>
      <c r="AA2106" s="189" t="s">
        <v>3198</v>
      </c>
    </row>
    <row r="2107" customFormat="false" ht="15" hidden="false" customHeight="false" outlineLevel="0" collapsed="false">
      <c r="A2107" s="0" t="n">
        <v>451</v>
      </c>
      <c r="B2107" s="191" t="n">
        <v>46049.7423797384</v>
      </c>
      <c r="C2107" s="191" t="n">
        <v>46049.7608982569</v>
      </c>
      <c r="D2107" s="189" t="s">
        <v>2709</v>
      </c>
      <c r="E2107" s="189" t="s">
        <v>2710</v>
      </c>
      <c r="F2107" s="189" t="s">
        <v>2710</v>
      </c>
      <c r="G2107" s="189" t="s">
        <v>2711</v>
      </c>
      <c r="H2107" s="191" t="n">
        <v>46034</v>
      </c>
      <c r="I2107" s="189" t="s">
        <v>113</v>
      </c>
      <c r="J2107" s="189" t="s">
        <v>108</v>
      </c>
      <c r="K2107" s="189" t="s">
        <v>2712</v>
      </c>
      <c r="L2107" s="189" t="s">
        <v>233</v>
      </c>
      <c r="M2107" s="189" t="s">
        <v>501</v>
      </c>
      <c r="N2107" s="189" t="s">
        <v>998</v>
      </c>
      <c r="O2107" s="189" t="s">
        <v>107</v>
      </c>
      <c r="P2107" s="189" t="s">
        <v>111</v>
      </c>
      <c r="Q2107" s="189" t="s">
        <v>145</v>
      </c>
      <c r="R2107" s="189" t="s">
        <v>22</v>
      </c>
      <c r="S2107" s="189" t="s">
        <v>120</v>
      </c>
      <c r="T2107" s="189" t="s">
        <v>121</v>
      </c>
      <c r="V2107" s="189" t="s">
        <v>123</v>
      </c>
      <c r="W2107" s="189" t="s">
        <v>168</v>
      </c>
      <c r="X2107" s="189" t="s">
        <v>339</v>
      </c>
      <c r="Y2107" s="189" t="s">
        <v>3066</v>
      </c>
      <c r="Z2107" s="0" t="n">
        <v>1</v>
      </c>
      <c r="AA2107" s="189" t="s">
        <v>3142</v>
      </c>
    </row>
    <row r="2108" customFormat="false" ht="15" hidden="false" customHeight="false" outlineLevel="0" collapsed="false">
      <c r="A2108" s="0" t="n">
        <v>451</v>
      </c>
      <c r="B2108" s="191" t="n">
        <v>46049.7423797384</v>
      </c>
      <c r="C2108" s="191" t="n">
        <v>46049.7608982569</v>
      </c>
      <c r="D2108" s="189" t="s">
        <v>2709</v>
      </c>
      <c r="E2108" s="189" t="s">
        <v>2710</v>
      </c>
      <c r="F2108" s="189" t="s">
        <v>2710</v>
      </c>
      <c r="G2108" s="189" t="s">
        <v>2711</v>
      </c>
      <c r="H2108" s="191" t="n">
        <v>46034</v>
      </c>
      <c r="I2108" s="189" t="s">
        <v>113</v>
      </c>
      <c r="J2108" s="189" t="s">
        <v>108</v>
      </c>
      <c r="K2108" s="189" t="s">
        <v>2712</v>
      </c>
      <c r="L2108" s="189" t="s">
        <v>233</v>
      </c>
      <c r="M2108" s="189" t="s">
        <v>501</v>
      </c>
      <c r="N2108" s="189" t="s">
        <v>998</v>
      </c>
      <c r="O2108" s="189" t="s">
        <v>107</v>
      </c>
      <c r="P2108" s="189" t="s">
        <v>111</v>
      </c>
      <c r="Q2108" s="189" t="s">
        <v>145</v>
      </c>
      <c r="R2108" s="189" t="s">
        <v>22</v>
      </c>
      <c r="S2108" s="189" t="s">
        <v>120</v>
      </c>
      <c r="T2108" s="189" t="s">
        <v>121</v>
      </c>
      <c r="V2108" s="189" t="s">
        <v>123</v>
      </c>
      <c r="W2108" s="189" t="s">
        <v>168</v>
      </c>
      <c r="X2108" s="189" t="s">
        <v>339</v>
      </c>
      <c r="Y2108" s="189" t="s">
        <v>3066</v>
      </c>
      <c r="Z2108" s="0" t="n">
        <v>2</v>
      </c>
      <c r="AA2108" s="189" t="s">
        <v>3235</v>
      </c>
    </row>
    <row r="2109" customFormat="false" ht="15" hidden="false" customHeight="false" outlineLevel="0" collapsed="false">
      <c r="A2109" s="0" t="n">
        <v>451</v>
      </c>
      <c r="B2109" s="191" t="n">
        <v>46049.7423797384</v>
      </c>
      <c r="C2109" s="191" t="n">
        <v>46049.7608982569</v>
      </c>
      <c r="D2109" s="189" t="s">
        <v>2709</v>
      </c>
      <c r="E2109" s="189" t="s">
        <v>2710</v>
      </c>
      <c r="F2109" s="189" t="s">
        <v>2710</v>
      </c>
      <c r="G2109" s="189" t="s">
        <v>2711</v>
      </c>
      <c r="H2109" s="191" t="n">
        <v>46034</v>
      </c>
      <c r="I2109" s="189" t="s">
        <v>113</v>
      </c>
      <c r="J2109" s="189" t="s">
        <v>108</v>
      </c>
      <c r="K2109" s="189" t="s">
        <v>2712</v>
      </c>
      <c r="L2109" s="189" t="s">
        <v>233</v>
      </c>
      <c r="M2109" s="189" t="s">
        <v>501</v>
      </c>
      <c r="N2109" s="189" t="s">
        <v>998</v>
      </c>
      <c r="O2109" s="189" t="s">
        <v>107</v>
      </c>
      <c r="P2109" s="189" t="s">
        <v>111</v>
      </c>
      <c r="Q2109" s="189" t="s">
        <v>145</v>
      </c>
      <c r="R2109" s="189" t="s">
        <v>22</v>
      </c>
      <c r="S2109" s="189" t="s">
        <v>120</v>
      </c>
      <c r="T2109" s="189" t="s">
        <v>121</v>
      </c>
      <c r="V2109" s="189" t="s">
        <v>123</v>
      </c>
      <c r="W2109" s="189" t="s">
        <v>168</v>
      </c>
      <c r="X2109" s="189" t="s">
        <v>339</v>
      </c>
      <c r="Y2109" s="189" t="s">
        <v>3069</v>
      </c>
      <c r="Z2109" s="0" t="n">
        <v>1</v>
      </c>
      <c r="AA2109" s="189" t="s">
        <v>3145</v>
      </c>
    </row>
    <row r="2110" customFormat="false" ht="15" hidden="false" customHeight="false" outlineLevel="0" collapsed="false">
      <c r="A2110" s="0" t="n">
        <v>451</v>
      </c>
      <c r="B2110" s="191" t="n">
        <v>46049.7423797384</v>
      </c>
      <c r="C2110" s="191" t="n">
        <v>46049.7608982569</v>
      </c>
      <c r="D2110" s="189" t="s">
        <v>2709</v>
      </c>
      <c r="E2110" s="189" t="s">
        <v>2710</v>
      </c>
      <c r="F2110" s="189" t="s">
        <v>2710</v>
      </c>
      <c r="G2110" s="189" t="s">
        <v>2711</v>
      </c>
      <c r="H2110" s="191" t="n">
        <v>46034</v>
      </c>
      <c r="I2110" s="189" t="s">
        <v>113</v>
      </c>
      <c r="J2110" s="189" t="s">
        <v>108</v>
      </c>
      <c r="K2110" s="189" t="s">
        <v>2712</v>
      </c>
      <c r="L2110" s="189" t="s">
        <v>233</v>
      </c>
      <c r="M2110" s="189" t="s">
        <v>501</v>
      </c>
      <c r="N2110" s="189" t="s">
        <v>998</v>
      </c>
      <c r="O2110" s="189" t="s">
        <v>107</v>
      </c>
      <c r="P2110" s="189" t="s">
        <v>111</v>
      </c>
      <c r="Q2110" s="189" t="s">
        <v>145</v>
      </c>
      <c r="R2110" s="189" t="s">
        <v>22</v>
      </c>
      <c r="S2110" s="189" t="s">
        <v>120</v>
      </c>
      <c r="T2110" s="189" t="s">
        <v>121</v>
      </c>
      <c r="V2110" s="189" t="s">
        <v>123</v>
      </c>
      <c r="W2110" s="189" t="s">
        <v>168</v>
      </c>
      <c r="X2110" s="189" t="s">
        <v>339</v>
      </c>
      <c r="Y2110" s="189" t="s">
        <v>3069</v>
      </c>
      <c r="Z2110" s="0" t="n">
        <v>2</v>
      </c>
      <c r="AA2110" s="189" t="s">
        <v>3144</v>
      </c>
    </row>
    <row r="2111" customFormat="false" ht="15" hidden="false" customHeight="false" outlineLevel="0" collapsed="false">
      <c r="A2111" s="0" t="n">
        <v>452</v>
      </c>
      <c r="B2111" s="191" t="n">
        <v>46038.6022116094</v>
      </c>
      <c r="C2111" s="191" t="n">
        <v>46038.6197926279</v>
      </c>
      <c r="D2111" s="189" t="s">
        <v>2715</v>
      </c>
      <c r="E2111" s="189" t="s">
        <v>2716</v>
      </c>
      <c r="F2111" s="189" t="s">
        <v>2717</v>
      </c>
      <c r="G2111" s="189" t="s">
        <v>2718</v>
      </c>
      <c r="H2111" s="191" t="n">
        <v>46018</v>
      </c>
      <c r="I2111" s="189" t="s">
        <v>336</v>
      </c>
      <c r="J2111" s="189" t="s">
        <v>108</v>
      </c>
      <c r="K2111" s="189" t="s">
        <v>1500</v>
      </c>
      <c r="L2111" s="189" t="s">
        <v>184</v>
      </c>
      <c r="M2111" s="189" t="s">
        <v>1313</v>
      </c>
      <c r="N2111" s="189" t="s">
        <v>115</v>
      </c>
      <c r="O2111" s="189" t="s">
        <v>157</v>
      </c>
      <c r="P2111" s="189" t="s">
        <v>111</v>
      </c>
      <c r="Q2111" s="189" t="s">
        <v>247</v>
      </c>
      <c r="R2111" s="189" t="s">
        <v>22</v>
      </c>
      <c r="S2111" s="189" t="s">
        <v>152</v>
      </c>
      <c r="T2111" s="189" t="s">
        <v>180</v>
      </c>
      <c r="U2111" s="189" t="s">
        <v>122</v>
      </c>
      <c r="V2111" s="189" t="s">
        <v>123</v>
      </c>
      <c r="W2111" s="189" t="s">
        <v>124</v>
      </c>
      <c r="X2111" s="189" t="s">
        <v>339</v>
      </c>
      <c r="Y2111" s="189" t="s">
        <v>3064</v>
      </c>
      <c r="Z2111" s="0" t="n">
        <v>1</v>
      </c>
      <c r="AA2111" s="189" t="s">
        <v>3141</v>
      </c>
    </row>
    <row r="2112" customFormat="false" ht="15" hidden="false" customHeight="false" outlineLevel="0" collapsed="false">
      <c r="A2112" s="0" t="n">
        <v>452</v>
      </c>
      <c r="B2112" s="191" t="n">
        <v>46038.6022116094</v>
      </c>
      <c r="C2112" s="191" t="n">
        <v>46038.6197926279</v>
      </c>
      <c r="D2112" s="189" t="s">
        <v>2715</v>
      </c>
      <c r="E2112" s="189" t="s">
        <v>2716</v>
      </c>
      <c r="F2112" s="189" t="s">
        <v>2717</v>
      </c>
      <c r="G2112" s="189" t="s">
        <v>2718</v>
      </c>
      <c r="H2112" s="191" t="n">
        <v>46018</v>
      </c>
      <c r="I2112" s="189" t="s">
        <v>336</v>
      </c>
      <c r="J2112" s="189" t="s">
        <v>108</v>
      </c>
      <c r="K2112" s="189" t="s">
        <v>1500</v>
      </c>
      <c r="L2112" s="189" t="s">
        <v>184</v>
      </c>
      <c r="M2112" s="189" t="s">
        <v>1313</v>
      </c>
      <c r="N2112" s="189" t="s">
        <v>115</v>
      </c>
      <c r="O2112" s="189" t="s">
        <v>157</v>
      </c>
      <c r="P2112" s="189" t="s">
        <v>111</v>
      </c>
      <c r="Q2112" s="189" t="s">
        <v>247</v>
      </c>
      <c r="R2112" s="189" t="s">
        <v>22</v>
      </c>
      <c r="S2112" s="189" t="s">
        <v>152</v>
      </c>
      <c r="T2112" s="189" t="s">
        <v>180</v>
      </c>
      <c r="U2112" s="189" t="s">
        <v>122</v>
      </c>
      <c r="V2112" s="189" t="s">
        <v>123</v>
      </c>
      <c r="W2112" s="189" t="s">
        <v>124</v>
      </c>
      <c r="X2112" s="189" t="s">
        <v>339</v>
      </c>
      <c r="Y2112" s="189" t="s">
        <v>3064</v>
      </c>
      <c r="Z2112" s="0" t="n">
        <v>2</v>
      </c>
      <c r="AA2112" s="189" t="s">
        <v>3198</v>
      </c>
    </row>
    <row r="2113" customFormat="false" ht="15" hidden="false" customHeight="false" outlineLevel="0" collapsed="false">
      <c r="A2113" s="0" t="n">
        <v>452</v>
      </c>
      <c r="B2113" s="191" t="n">
        <v>46038.6022116094</v>
      </c>
      <c r="C2113" s="191" t="n">
        <v>46038.6197926279</v>
      </c>
      <c r="D2113" s="189" t="s">
        <v>2715</v>
      </c>
      <c r="E2113" s="189" t="s">
        <v>2716</v>
      </c>
      <c r="F2113" s="189" t="s">
        <v>2717</v>
      </c>
      <c r="G2113" s="189" t="s">
        <v>2718</v>
      </c>
      <c r="H2113" s="191" t="n">
        <v>46018</v>
      </c>
      <c r="I2113" s="189" t="s">
        <v>336</v>
      </c>
      <c r="J2113" s="189" t="s">
        <v>108</v>
      </c>
      <c r="K2113" s="189" t="s">
        <v>1500</v>
      </c>
      <c r="L2113" s="189" t="s">
        <v>184</v>
      </c>
      <c r="M2113" s="189" t="s">
        <v>1313</v>
      </c>
      <c r="N2113" s="189" t="s">
        <v>115</v>
      </c>
      <c r="O2113" s="189" t="s">
        <v>157</v>
      </c>
      <c r="P2113" s="189" t="s">
        <v>111</v>
      </c>
      <c r="Q2113" s="189" t="s">
        <v>247</v>
      </c>
      <c r="R2113" s="189" t="s">
        <v>22</v>
      </c>
      <c r="S2113" s="189" t="s">
        <v>152</v>
      </c>
      <c r="T2113" s="189" t="s">
        <v>180</v>
      </c>
      <c r="U2113" s="189" t="s">
        <v>122</v>
      </c>
      <c r="V2113" s="189" t="s">
        <v>123</v>
      </c>
      <c r="W2113" s="189" t="s">
        <v>124</v>
      </c>
      <c r="X2113" s="189" t="s">
        <v>339</v>
      </c>
      <c r="Y2113" s="189" t="s">
        <v>3064</v>
      </c>
      <c r="Z2113" s="0" t="n">
        <v>3</v>
      </c>
      <c r="AA2113" s="189" t="s">
        <v>3216</v>
      </c>
    </row>
    <row r="2114" customFormat="false" ht="15" hidden="false" customHeight="false" outlineLevel="0" collapsed="false">
      <c r="A2114" s="0" t="n">
        <v>452</v>
      </c>
      <c r="B2114" s="191" t="n">
        <v>46038.6022116094</v>
      </c>
      <c r="C2114" s="191" t="n">
        <v>46038.6197926279</v>
      </c>
      <c r="D2114" s="189" t="s">
        <v>2715</v>
      </c>
      <c r="E2114" s="189" t="s">
        <v>2716</v>
      </c>
      <c r="F2114" s="189" t="s">
        <v>2717</v>
      </c>
      <c r="G2114" s="189" t="s">
        <v>2718</v>
      </c>
      <c r="H2114" s="191" t="n">
        <v>46018</v>
      </c>
      <c r="I2114" s="189" t="s">
        <v>336</v>
      </c>
      <c r="J2114" s="189" t="s">
        <v>108</v>
      </c>
      <c r="K2114" s="189" t="s">
        <v>1500</v>
      </c>
      <c r="L2114" s="189" t="s">
        <v>184</v>
      </c>
      <c r="M2114" s="189" t="s">
        <v>1313</v>
      </c>
      <c r="N2114" s="189" t="s">
        <v>115</v>
      </c>
      <c r="O2114" s="189" t="s">
        <v>157</v>
      </c>
      <c r="P2114" s="189" t="s">
        <v>111</v>
      </c>
      <c r="Q2114" s="189" t="s">
        <v>247</v>
      </c>
      <c r="R2114" s="189" t="s">
        <v>22</v>
      </c>
      <c r="S2114" s="189" t="s">
        <v>152</v>
      </c>
      <c r="T2114" s="189" t="s">
        <v>180</v>
      </c>
      <c r="U2114" s="189" t="s">
        <v>122</v>
      </c>
      <c r="V2114" s="189" t="s">
        <v>123</v>
      </c>
      <c r="W2114" s="189" t="s">
        <v>124</v>
      </c>
      <c r="X2114" s="189" t="s">
        <v>339</v>
      </c>
      <c r="Y2114" s="189" t="s">
        <v>3066</v>
      </c>
      <c r="Z2114" s="0" t="n">
        <v>1</v>
      </c>
      <c r="AA2114" s="189" t="s">
        <v>3243</v>
      </c>
    </row>
    <row r="2115" customFormat="false" ht="15" hidden="false" customHeight="false" outlineLevel="0" collapsed="false">
      <c r="A2115" s="0" t="n">
        <v>452</v>
      </c>
      <c r="B2115" s="191" t="n">
        <v>46038.6022116094</v>
      </c>
      <c r="C2115" s="191" t="n">
        <v>46038.6197926279</v>
      </c>
      <c r="D2115" s="189" t="s">
        <v>2715</v>
      </c>
      <c r="E2115" s="189" t="s">
        <v>2716</v>
      </c>
      <c r="F2115" s="189" t="s">
        <v>2717</v>
      </c>
      <c r="G2115" s="189" t="s">
        <v>2718</v>
      </c>
      <c r="H2115" s="191" t="n">
        <v>46018</v>
      </c>
      <c r="I2115" s="189" t="s">
        <v>336</v>
      </c>
      <c r="J2115" s="189" t="s">
        <v>108</v>
      </c>
      <c r="K2115" s="189" t="s">
        <v>1500</v>
      </c>
      <c r="L2115" s="189" t="s">
        <v>184</v>
      </c>
      <c r="M2115" s="189" t="s">
        <v>1313</v>
      </c>
      <c r="N2115" s="189" t="s">
        <v>115</v>
      </c>
      <c r="O2115" s="189" t="s">
        <v>157</v>
      </c>
      <c r="P2115" s="189" t="s">
        <v>111</v>
      </c>
      <c r="Q2115" s="189" t="s">
        <v>247</v>
      </c>
      <c r="R2115" s="189" t="s">
        <v>22</v>
      </c>
      <c r="S2115" s="189" t="s">
        <v>152</v>
      </c>
      <c r="T2115" s="189" t="s">
        <v>180</v>
      </c>
      <c r="U2115" s="189" t="s">
        <v>122</v>
      </c>
      <c r="V2115" s="189" t="s">
        <v>123</v>
      </c>
      <c r="W2115" s="189" t="s">
        <v>124</v>
      </c>
      <c r="X2115" s="189" t="s">
        <v>339</v>
      </c>
      <c r="Y2115" s="189" t="s">
        <v>3066</v>
      </c>
      <c r="Z2115" s="0" t="n">
        <v>2</v>
      </c>
      <c r="AA2115" s="189" t="s">
        <v>3235</v>
      </c>
    </row>
    <row r="2116" customFormat="false" ht="15" hidden="false" customHeight="false" outlineLevel="0" collapsed="false">
      <c r="A2116" s="0" t="n">
        <v>452</v>
      </c>
      <c r="B2116" s="191" t="n">
        <v>46038.6022116094</v>
      </c>
      <c r="C2116" s="191" t="n">
        <v>46038.6197926279</v>
      </c>
      <c r="D2116" s="189" t="s">
        <v>2715</v>
      </c>
      <c r="E2116" s="189" t="s">
        <v>2716</v>
      </c>
      <c r="F2116" s="189" t="s">
        <v>2717</v>
      </c>
      <c r="G2116" s="189" t="s">
        <v>2718</v>
      </c>
      <c r="H2116" s="191" t="n">
        <v>46018</v>
      </c>
      <c r="I2116" s="189" t="s">
        <v>336</v>
      </c>
      <c r="J2116" s="189" t="s">
        <v>108</v>
      </c>
      <c r="K2116" s="189" t="s">
        <v>1500</v>
      </c>
      <c r="L2116" s="189" t="s">
        <v>184</v>
      </c>
      <c r="M2116" s="189" t="s">
        <v>1313</v>
      </c>
      <c r="N2116" s="189" t="s">
        <v>115</v>
      </c>
      <c r="O2116" s="189" t="s">
        <v>157</v>
      </c>
      <c r="P2116" s="189" t="s">
        <v>111</v>
      </c>
      <c r="Q2116" s="189" t="s">
        <v>247</v>
      </c>
      <c r="R2116" s="189" t="s">
        <v>22</v>
      </c>
      <c r="S2116" s="189" t="s">
        <v>152</v>
      </c>
      <c r="T2116" s="189" t="s">
        <v>180</v>
      </c>
      <c r="U2116" s="189" t="s">
        <v>122</v>
      </c>
      <c r="V2116" s="189" t="s">
        <v>123</v>
      </c>
      <c r="W2116" s="189" t="s">
        <v>124</v>
      </c>
      <c r="X2116" s="189" t="s">
        <v>339</v>
      </c>
      <c r="Y2116" s="189" t="s">
        <v>3069</v>
      </c>
      <c r="Z2116" s="0" t="n">
        <v>1</v>
      </c>
      <c r="AA2116" s="189" t="s">
        <v>122</v>
      </c>
    </row>
    <row r="2117" customFormat="false" ht="15" hidden="false" customHeight="false" outlineLevel="0" collapsed="false">
      <c r="A2117" s="0" t="n">
        <v>452</v>
      </c>
      <c r="B2117" s="191" t="n">
        <v>46038.6022116094</v>
      </c>
      <c r="C2117" s="191" t="n">
        <v>46038.6197926279</v>
      </c>
      <c r="D2117" s="189" t="s">
        <v>2715</v>
      </c>
      <c r="E2117" s="189" t="s">
        <v>2716</v>
      </c>
      <c r="F2117" s="189" t="s">
        <v>2717</v>
      </c>
      <c r="G2117" s="189" t="s">
        <v>2718</v>
      </c>
      <c r="H2117" s="191" t="n">
        <v>46018</v>
      </c>
      <c r="I2117" s="189" t="s">
        <v>336</v>
      </c>
      <c r="J2117" s="189" t="s">
        <v>108</v>
      </c>
      <c r="K2117" s="189" t="s">
        <v>1500</v>
      </c>
      <c r="L2117" s="189" t="s">
        <v>184</v>
      </c>
      <c r="M2117" s="189" t="s">
        <v>1313</v>
      </c>
      <c r="N2117" s="189" t="s">
        <v>115</v>
      </c>
      <c r="O2117" s="189" t="s">
        <v>157</v>
      </c>
      <c r="P2117" s="189" t="s">
        <v>111</v>
      </c>
      <c r="Q2117" s="189" t="s">
        <v>247</v>
      </c>
      <c r="R2117" s="189" t="s">
        <v>22</v>
      </c>
      <c r="S2117" s="189" t="s">
        <v>152</v>
      </c>
      <c r="T2117" s="189" t="s">
        <v>180</v>
      </c>
      <c r="U2117" s="189" t="s">
        <v>122</v>
      </c>
      <c r="V2117" s="189" t="s">
        <v>123</v>
      </c>
      <c r="W2117" s="189" t="s">
        <v>124</v>
      </c>
      <c r="X2117" s="189" t="s">
        <v>339</v>
      </c>
      <c r="Y2117" s="189" t="s">
        <v>3069</v>
      </c>
      <c r="Z2117" s="0" t="n">
        <v>2</v>
      </c>
      <c r="AA2117" s="189" t="s">
        <v>3235</v>
      </c>
    </row>
    <row r="2118" customFormat="false" ht="15" hidden="false" customHeight="false" outlineLevel="0" collapsed="false">
      <c r="A2118" s="0" t="n">
        <v>453</v>
      </c>
      <c r="B2118" s="191" t="n">
        <v>46176.0228340475</v>
      </c>
      <c r="C2118" s="191" t="n">
        <v>46176.0281118252</v>
      </c>
      <c r="D2118" s="189" t="s">
        <v>2721</v>
      </c>
      <c r="E2118" s="189" t="s">
        <v>2722</v>
      </c>
      <c r="F2118" s="189" t="s">
        <v>2722</v>
      </c>
      <c r="G2118" s="189" t="s">
        <v>2723</v>
      </c>
      <c r="H2118" s="191" t="n">
        <v>46159</v>
      </c>
      <c r="I2118" s="189" t="s">
        <v>113</v>
      </c>
      <c r="J2118" s="189" t="s">
        <v>108</v>
      </c>
      <c r="K2118" s="189" t="s">
        <v>232</v>
      </c>
      <c r="L2118" s="189" t="s">
        <v>491</v>
      </c>
      <c r="M2118" s="189" t="s">
        <v>269</v>
      </c>
      <c r="N2118" s="189" t="s">
        <v>1028</v>
      </c>
      <c r="O2118" s="189" t="s">
        <v>107</v>
      </c>
      <c r="P2118" s="189" t="s">
        <v>111</v>
      </c>
      <c r="Q2118" s="189" t="s">
        <v>112</v>
      </c>
      <c r="R2118" s="189" t="s">
        <v>22</v>
      </c>
      <c r="S2118" s="189" t="s">
        <v>152</v>
      </c>
      <c r="T2118" s="189" t="s">
        <v>121</v>
      </c>
      <c r="V2118" s="189" t="s">
        <v>167</v>
      </c>
      <c r="W2118" s="189" t="s">
        <v>124</v>
      </c>
      <c r="X2118" s="189" t="s">
        <v>271</v>
      </c>
      <c r="Y2118" s="189" t="s">
        <v>3064</v>
      </c>
      <c r="Z2118" s="0" t="n">
        <v>1</v>
      </c>
      <c r="AA2118" s="189" t="s">
        <v>3135</v>
      </c>
    </row>
    <row r="2119" customFormat="false" ht="15" hidden="false" customHeight="false" outlineLevel="0" collapsed="false">
      <c r="A2119" s="0" t="n">
        <v>453</v>
      </c>
      <c r="B2119" s="191" t="n">
        <v>46176.0228340475</v>
      </c>
      <c r="C2119" s="191" t="n">
        <v>46176.0281118252</v>
      </c>
      <c r="D2119" s="189" t="s">
        <v>2721</v>
      </c>
      <c r="E2119" s="189" t="s">
        <v>2722</v>
      </c>
      <c r="F2119" s="189" t="s">
        <v>2722</v>
      </c>
      <c r="G2119" s="189" t="s">
        <v>2723</v>
      </c>
      <c r="H2119" s="191" t="n">
        <v>46159</v>
      </c>
      <c r="I2119" s="189" t="s">
        <v>113</v>
      </c>
      <c r="J2119" s="189" t="s">
        <v>108</v>
      </c>
      <c r="K2119" s="189" t="s">
        <v>232</v>
      </c>
      <c r="L2119" s="189" t="s">
        <v>491</v>
      </c>
      <c r="M2119" s="189" t="s">
        <v>269</v>
      </c>
      <c r="N2119" s="189" t="s">
        <v>1028</v>
      </c>
      <c r="O2119" s="189" t="s">
        <v>107</v>
      </c>
      <c r="P2119" s="189" t="s">
        <v>111</v>
      </c>
      <c r="Q2119" s="189" t="s">
        <v>112</v>
      </c>
      <c r="R2119" s="189" t="s">
        <v>22</v>
      </c>
      <c r="S2119" s="189" t="s">
        <v>152</v>
      </c>
      <c r="T2119" s="189" t="s">
        <v>121</v>
      </c>
      <c r="V2119" s="189" t="s">
        <v>167</v>
      </c>
      <c r="W2119" s="189" t="s">
        <v>124</v>
      </c>
      <c r="X2119" s="189" t="s">
        <v>271</v>
      </c>
      <c r="Y2119" s="189" t="s">
        <v>3064</v>
      </c>
      <c r="Z2119" s="0" t="n">
        <v>2</v>
      </c>
      <c r="AA2119" s="189" t="s">
        <v>3115</v>
      </c>
    </row>
    <row r="2120" customFormat="false" ht="15" hidden="false" customHeight="false" outlineLevel="0" collapsed="false">
      <c r="A2120" s="0" t="n">
        <v>453</v>
      </c>
      <c r="B2120" s="191" t="n">
        <v>46176.0228340475</v>
      </c>
      <c r="C2120" s="191" t="n">
        <v>46176.0281118252</v>
      </c>
      <c r="D2120" s="189" t="s">
        <v>2721</v>
      </c>
      <c r="E2120" s="189" t="s">
        <v>2722</v>
      </c>
      <c r="F2120" s="189" t="s">
        <v>2722</v>
      </c>
      <c r="G2120" s="189" t="s">
        <v>2723</v>
      </c>
      <c r="H2120" s="191" t="n">
        <v>46159</v>
      </c>
      <c r="I2120" s="189" t="s">
        <v>113</v>
      </c>
      <c r="J2120" s="189" t="s">
        <v>108</v>
      </c>
      <c r="K2120" s="189" t="s">
        <v>232</v>
      </c>
      <c r="L2120" s="189" t="s">
        <v>491</v>
      </c>
      <c r="M2120" s="189" t="s">
        <v>269</v>
      </c>
      <c r="N2120" s="189" t="s">
        <v>1028</v>
      </c>
      <c r="O2120" s="189" t="s">
        <v>107</v>
      </c>
      <c r="P2120" s="189" t="s">
        <v>111</v>
      </c>
      <c r="Q2120" s="189" t="s">
        <v>112</v>
      </c>
      <c r="R2120" s="189" t="s">
        <v>22</v>
      </c>
      <c r="S2120" s="189" t="s">
        <v>152</v>
      </c>
      <c r="T2120" s="189" t="s">
        <v>121</v>
      </c>
      <c r="V2120" s="189" t="s">
        <v>167</v>
      </c>
      <c r="W2120" s="189" t="s">
        <v>124</v>
      </c>
      <c r="X2120" s="189" t="s">
        <v>271</v>
      </c>
      <c r="Y2120" s="189" t="s">
        <v>3066</v>
      </c>
      <c r="Z2120" s="0" t="n">
        <v>1</v>
      </c>
      <c r="AA2120" s="189" t="s">
        <v>3266</v>
      </c>
    </row>
    <row r="2121" customFormat="false" ht="15" hidden="false" customHeight="false" outlineLevel="0" collapsed="false">
      <c r="A2121" s="0" t="n">
        <v>453</v>
      </c>
      <c r="B2121" s="191" t="n">
        <v>46176.0228340475</v>
      </c>
      <c r="C2121" s="191" t="n">
        <v>46176.0281118252</v>
      </c>
      <c r="D2121" s="189" t="s">
        <v>2721</v>
      </c>
      <c r="E2121" s="189" t="s">
        <v>2722</v>
      </c>
      <c r="F2121" s="189" t="s">
        <v>2722</v>
      </c>
      <c r="G2121" s="189" t="s">
        <v>2723</v>
      </c>
      <c r="H2121" s="191" t="n">
        <v>46159</v>
      </c>
      <c r="I2121" s="189" t="s">
        <v>113</v>
      </c>
      <c r="J2121" s="189" t="s">
        <v>108</v>
      </c>
      <c r="K2121" s="189" t="s">
        <v>232</v>
      </c>
      <c r="L2121" s="189" t="s">
        <v>491</v>
      </c>
      <c r="M2121" s="189" t="s">
        <v>269</v>
      </c>
      <c r="N2121" s="189" t="s">
        <v>1028</v>
      </c>
      <c r="O2121" s="189" t="s">
        <v>107</v>
      </c>
      <c r="P2121" s="189" t="s">
        <v>111</v>
      </c>
      <c r="Q2121" s="189" t="s">
        <v>112</v>
      </c>
      <c r="R2121" s="189" t="s">
        <v>22</v>
      </c>
      <c r="S2121" s="189" t="s">
        <v>152</v>
      </c>
      <c r="T2121" s="189" t="s">
        <v>121</v>
      </c>
      <c r="V2121" s="189" t="s">
        <v>167</v>
      </c>
      <c r="W2121" s="189" t="s">
        <v>124</v>
      </c>
      <c r="X2121" s="189" t="s">
        <v>271</v>
      </c>
      <c r="Y2121" s="189" t="s">
        <v>3066</v>
      </c>
      <c r="Z2121" s="0" t="n">
        <v>2</v>
      </c>
      <c r="AA2121" s="189" t="s">
        <v>3138</v>
      </c>
    </row>
    <row r="2122" customFormat="false" ht="15" hidden="false" customHeight="false" outlineLevel="0" collapsed="false">
      <c r="A2122" s="0" t="n">
        <v>453</v>
      </c>
      <c r="B2122" s="191" t="n">
        <v>46176.0228340475</v>
      </c>
      <c r="C2122" s="191" t="n">
        <v>46176.0281118252</v>
      </c>
      <c r="D2122" s="189" t="s">
        <v>2721</v>
      </c>
      <c r="E2122" s="189" t="s">
        <v>2722</v>
      </c>
      <c r="F2122" s="189" t="s">
        <v>2722</v>
      </c>
      <c r="G2122" s="189" t="s">
        <v>2723</v>
      </c>
      <c r="H2122" s="191" t="n">
        <v>46159</v>
      </c>
      <c r="I2122" s="189" t="s">
        <v>113</v>
      </c>
      <c r="J2122" s="189" t="s">
        <v>108</v>
      </c>
      <c r="K2122" s="189" t="s">
        <v>232</v>
      </c>
      <c r="L2122" s="189" t="s">
        <v>491</v>
      </c>
      <c r="M2122" s="189" t="s">
        <v>269</v>
      </c>
      <c r="N2122" s="189" t="s">
        <v>1028</v>
      </c>
      <c r="O2122" s="189" t="s">
        <v>107</v>
      </c>
      <c r="P2122" s="189" t="s">
        <v>111</v>
      </c>
      <c r="Q2122" s="189" t="s">
        <v>112</v>
      </c>
      <c r="R2122" s="189" t="s">
        <v>22</v>
      </c>
      <c r="S2122" s="189" t="s">
        <v>152</v>
      </c>
      <c r="T2122" s="189" t="s">
        <v>121</v>
      </c>
      <c r="V2122" s="189" t="s">
        <v>167</v>
      </c>
      <c r="W2122" s="189" t="s">
        <v>124</v>
      </c>
      <c r="X2122" s="189" t="s">
        <v>271</v>
      </c>
      <c r="Y2122" s="189" t="s">
        <v>3069</v>
      </c>
      <c r="Z2122" s="0" t="n">
        <v>1</v>
      </c>
      <c r="AA2122" s="189" t="s">
        <v>122</v>
      </c>
    </row>
    <row r="2123" customFormat="false" ht="15" hidden="false" customHeight="false" outlineLevel="0" collapsed="false">
      <c r="A2123" s="0" t="n">
        <v>453</v>
      </c>
      <c r="B2123" s="191" t="n">
        <v>46176.0228340475</v>
      </c>
      <c r="C2123" s="191" t="n">
        <v>46176.0281118252</v>
      </c>
      <c r="D2123" s="189" t="s">
        <v>2721</v>
      </c>
      <c r="E2123" s="189" t="s">
        <v>2722</v>
      </c>
      <c r="F2123" s="189" t="s">
        <v>2722</v>
      </c>
      <c r="G2123" s="189" t="s">
        <v>2723</v>
      </c>
      <c r="H2123" s="191" t="n">
        <v>46159</v>
      </c>
      <c r="I2123" s="189" t="s">
        <v>113</v>
      </c>
      <c r="J2123" s="189" t="s">
        <v>108</v>
      </c>
      <c r="K2123" s="189" t="s">
        <v>232</v>
      </c>
      <c r="L2123" s="189" t="s">
        <v>491</v>
      </c>
      <c r="M2123" s="189" t="s">
        <v>269</v>
      </c>
      <c r="N2123" s="189" t="s">
        <v>1028</v>
      </c>
      <c r="O2123" s="189" t="s">
        <v>107</v>
      </c>
      <c r="P2123" s="189" t="s">
        <v>111</v>
      </c>
      <c r="Q2123" s="189" t="s">
        <v>112</v>
      </c>
      <c r="R2123" s="189" t="s">
        <v>22</v>
      </c>
      <c r="S2123" s="189" t="s">
        <v>152</v>
      </c>
      <c r="T2123" s="189" t="s">
        <v>121</v>
      </c>
      <c r="V2123" s="189" t="s">
        <v>167</v>
      </c>
      <c r="W2123" s="189" t="s">
        <v>124</v>
      </c>
      <c r="X2123" s="189" t="s">
        <v>271</v>
      </c>
      <c r="Y2123" s="189" t="s">
        <v>3069</v>
      </c>
      <c r="Z2123" s="0" t="n">
        <v>2</v>
      </c>
      <c r="AA2123" s="189" t="s">
        <v>3119</v>
      </c>
    </row>
    <row r="2124" customFormat="false" ht="15" hidden="false" customHeight="false" outlineLevel="0" collapsed="false">
      <c r="A2124" s="0" t="n">
        <v>454</v>
      </c>
      <c r="B2124" s="191" t="n">
        <v>46064.746347431</v>
      </c>
      <c r="C2124" s="191" t="n">
        <v>46064.7640789125</v>
      </c>
      <c r="D2124" s="189" t="s">
        <v>2726</v>
      </c>
      <c r="E2124" s="189" t="s">
        <v>2727</v>
      </c>
      <c r="F2124" s="189" t="s">
        <v>2727</v>
      </c>
      <c r="G2124" s="189" t="s">
        <v>2728</v>
      </c>
      <c r="H2124" s="191" t="n">
        <v>46046</v>
      </c>
      <c r="I2124" s="189" t="s">
        <v>113</v>
      </c>
      <c r="J2124" s="189" t="s">
        <v>108</v>
      </c>
      <c r="K2124" s="189" t="s">
        <v>2729</v>
      </c>
      <c r="L2124" s="189" t="s">
        <v>184</v>
      </c>
      <c r="M2124" s="189" t="s">
        <v>809</v>
      </c>
      <c r="N2124" s="189" t="s">
        <v>2315</v>
      </c>
      <c r="O2124" s="189" t="s">
        <v>278</v>
      </c>
      <c r="P2124" s="189" t="s">
        <v>111</v>
      </c>
      <c r="Q2124" s="189" t="s">
        <v>145</v>
      </c>
      <c r="R2124" s="189" t="s">
        <v>22</v>
      </c>
      <c r="S2124" s="189" t="s">
        <v>152</v>
      </c>
      <c r="T2124" s="189" t="s">
        <v>121</v>
      </c>
      <c r="U2124" s="189" t="s">
        <v>927</v>
      </c>
      <c r="V2124" s="189" t="s">
        <v>192</v>
      </c>
      <c r="W2124" s="189" t="s">
        <v>124</v>
      </c>
      <c r="X2124" s="189" t="s">
        <v>176</v>
      </c>
      <c r="Y2124" s="189" t="s">
        <v>3064</v>
      </c>
      <c r="Z2124" s="0" t="n">
        <v>1</v>
      </c>
      <c r="AA2124" s="189" t="s">
        <v>3239</v>
      </c>
    </row>
    <row r="2125" customFormat="false" ht="15" hidden="false" customHeight="false" outlineLevel="0" collapsed="false">
      <c r="A2125" s="0" t="n">
        <v>454</v>
      </c>
      <c r="B2125" s="191" t="n">
        <v>46064.746347431</v>
      </c>
      <c r="C2125" s="191" t="n">
        <v>46064.7640789125</v>
      </c>
      <c r="D2125" s="189" t="s">
        <v>2726</v>
      </c>
      <c r="E2125" s="189" t="s">
        <v>2727</v>
      </c>
      <c r="F2125" s="189" t="s">
        <v>2727</v>
      </c>
      <c r="G2125" s="189" t="s">
        <v>2728</v>
      </c>
      <c r="H2125" s="191" t="n">
        <v>46046</v>
      </c>
      <c r="I2125" s="189" t="s">
        <v>113</v>
      </c>
      <c r="J2125" s="189" t="s">
        <v>108</v>
      </c>
      <c r="K2125" s="189" t="s">
        <v>2729</v>
      </c>
      <c r="L2125" s="189" t="s">
        <v>184</v>
      </c>
      <c r="M2125" s="189" t="s">
        <v>809</v>
      </c>
      <c r="N2125" s="189" t="s">
        <v>2315</v>
      </c>
      <c r="O2125" s="189" t="s">
        <v>278</v>
      </c>
      <c r="P2125" s="189" t="s">
        <v>111</v>
      </c>
      <c r="Q2125" s="189" t="s">
        <v>145</v>
      </c>
      <c r="R2125" s="189" t="s">
        <v>22</v>
      </c>
      <c r="S2125" s="189" t="s">
        <v>152</v>
      </c>
      <c r="T2125" s="189" t="s">
        <v>121</v>
      </c>
      <c r="U2125" s="189" t="s">
        <v>927</v>
      </c>
      <c r="V2125" s="189" t="s">
        <v>192</v>
      </c>
      <c r="W2125" s="189" t="s">
        <v>124</v>
      </c>
      <c r="X2125" s="189" t="s">
        <v>176</v>
      </c>
      <c r="Y2125" s="189" t="s">
        <v>3066</v>
      </c>
      <c r="Z2125" s="0" t="n">
        <v>1</v>
      </c>
      <c r="AA2125" s="189" t="s">
        <v>3291</v>
      </c>
    </row>
    <row r="2126" customFormat="false" ht="15" hidden="false" customHeight="false" outlineLevel="0" collapsed="false">
      <c r="A2126" s="0" t="n">
        <v>454</v>
      </c>
      <c r="B2126" s="191" t="n">
        <v>46064.746347431</v>
      </c>
      <c r="C2126" s="191" t="n">
        <v>46064.7640789125</v>
      </c>
      <c r="D2126" s="189" t="s">
        <v>2726</v>
      </c>
      <c r="E2126" s="189" t="s">
        <v>2727</v>
      </c>
      <c r="F2126" s="189" t="s">
        <v>2727</v>
      </c>
      <c r="G2126" s="189" t="s">
        <v>2728</v>
      </c>
      <c r="H2126" s="191" t="n">
        <v>46046</v>
      </c>
      <c r="I2126" s="189" t="s">
        <v>113</v>
      </c>
      <c r="J2126" s="189" t="s">
        <v>108</v>
      </c>
      <c r="K2126" s="189" t="s">
        <v>2729</v>
      </c>
      <c r="L2126" s="189" t="s">
        <v>184</v>
      </c>
      <c r="M2126" s="189" t="s">
        <v>809</v>
      </c>
      <c r="N2126" s="189" t="s">
        <v>2315</v>
      </c>
      <c r="O2126" s="189" t="s">
        <v>278</v>
      </c>
      <c r="P2126" s="189" t="s">
        <v>111</v>
      </c>
      <c r="Q2126" s="189" t="s">
        <v>145</v>
      </c>
      <c r="R2126" s="189" t="s">
        <v>22</v>
      </c>
      <c r="S2126" s="189" t="s">
        <v>152</v>
      </c>
      <c r="T2126" s="189" t="s">
        <v>121</v>
      </c>
      <c r="U2126" s="189" t="s">
        <v>927</v>
      </c>
      <c r="V2126" s="189" t="s">
        <v>192</v>
      </c>
      <c r="W2126" s="189" t="s">
        <v>124</v>
      </c>
      <c r="X2126" s="189" t="s">
        <v>176</v>
      </c>
      <c r="Y2126" s="189" t="s">
        <v>3069</v>
      </c>
      <c r="Z2126" s="0" t="n">
        <v>1</v>
      </c>
      <c r="AA2126" s="189" t="s">
        <v>3296</v>
      </c>
    </row>
    <row r="2127" customFormat="false" ht="15" hidden="false" customHeight="false" outlineLevel="0" collapsed="false">
      <c r="A2127" s="0" t="n">
        <v>454</v>
      </c>
      <c r="B2127" s="191" t="n">
        <v>46064.746347431</v>
      </c>
      <c r="C2127" s="191" t="n">
        <v>46064.7640789125</v>
      </c>
      <c r="D2127" s="189" t="s">
        <v>2726</v>
      </c>
      <c r="E2127" s="189" t="s">
        <v>2727</v>
      </c>
      <c r="F2127" s="189" t="s">
        <v>2727</v>
      </c>
      <c r="G2127" s="189" t="s">
        <v>2728</v>
      </c>
      <c r="H2127" s="191" t="n">
        <v>46046</v>
      </c>
      <c r="I2127" s="189" t="s">
        <v>113</v>
      </c>
      <c r="J2127" s="189" t="s">
        <v>108</v>
      </c>
      <c r="K2127" s="189" t="s">
        <v>2729</v>
      </c>
      <c r="L2127" s="189" t="s">
        <v>184</v>
      </c>
      <c r="M2127" s="189" t="s">
        <v>809</v>
      </c>
      <c r="N2127" s="189" t="s">
        <v>2315</v>
      </c>
      <c r="O2127" s="189" t="s">
        <v>278</v>
      </c>
      <c r="P2127" s="189" t="s">
        <v>111</v>
      </c>
      <c r="Q2127" s="189" t="s">
        <v>145</v>
      </c>
      <c r="R2127" s="189" t="s">
        <v>22</v>
      </c>
      <c r="S2127" s="189" t="s">
        <v>152</v>
      </c>
      <c r="T2127" s="189" t="s">
        <v>121</v>
      </c>
      <c r="U2127" s="189" t="s">
        <v>927</v>
      </c>
      <c r="V2127" s="189" t="s">
        <v>192</v>
      </c>
      <c r="W2127" s="189" t="s">
        <v>124</v>
      </c>
      <c r="X2127" s="189" t="s">
        <v>176</v>
      </c>
      <c r="Y2127" s="189" t="s">
        <v>3069</v>
      </c>
      <c r="Z2127" s="0" t="n">
        <v>2</v>
      </c>
      <c r="AA2127" s="189" t="s">
        <v>122</v>
      </c>
    </row>
    <row r="2128" customFormat="false" ht="15" hidden="false" customHeight="false" outlineLevel="0" collapsed="false">
      <c r="A2128" s="0" t="n">
        <v>455</v>
      </c>
      <c r="B2128" s="191" t="n">
        <v>46045.3564091574</v>
      </c>
      <c r="C2128" s="191" t="n">
        <v>46045.3596383241</v>
      </c>
      <c r="D2128" s="189" t="s">
        <v>2732</v>
      </c>
      <c r="E2128" s="189" t="s">
        <v>2733</v>
      </c>
      <c r="F2128" s="189" t="s">
        <v>2734</v>
      </c>
      <c r="G2128" s="189" t="s">
        <v>2735</v>
      </c>
      <c r="H2128" s="191" t="n">
        <v>46045</v>
      </c>
      <c r="I2128" s="189" t="s">
        <v>113</v>
      </c>
      <c r="J2128" s="189" t="s">
        <v>108</v>
      </c>
      <c r="K2128" s="189" t="s">
        <v>232</v>
      </c>
      <c r="L2128" s="189" t="s">
        <v>246</v>
      </c>
      <c r="M2128" s="189" t="s">
        <v>944</v>
      </c>
      <c r="N2128" s="189" t="s">
        <v>849</v>
      </c>
      <c r="O2128" s="189" t="s">
        <v>157</v>
      </c>
      <c r="P2128" s="189" t="s">
        <v>111</v>
      </c>
      <c r="Q2128" s="189" t="s">
        <v>112</v>
      </c>
      <c r="R2128" s="189" t="s">
        <v>21</v>
      </c>
      <c r="S2128" s="189" t="s">
        <v>152</v>
      </c>
      <c r="T2128" s="189" t="s">
        <v>121</v>
      </c>
      <c r="V2128" s="189" t="s">
        <v>192</v>
      </c>
      <c r="W2128" s="189" t="s">
        <v>139</v>
      </c>
      <c r="X2128" s="189" t="s">
        <v>348</v>
      </c>
      <c r="Y2128" s="189" t="s">
        <v>3064</v>
      </c>
      <c r="Z2128" s="0" t="n">
        <v>1</v>
      </c>
      <c r="AA2128" s="189" t="s">
        <v>3146</v>
      </c>
    </row>
    <row r="2129" customFormat="false" ht="15" hidden="false" customHeight="false" outlineLevel="0" collapsed="false">
      <c r="A2129" s="0" t="n">
        <v>455</v>
      </c>
      <c r="B2129" s="191" t="n">
        <v>46045.3564091574</v>
      </c>
      <c r="C2129" s="191" t="n">
        <v>46045.3596383241</v>
      </c>
      <c r="D2129" s="189" t="s">
        <v>2732</v>
      </c>
      <c r="E2129" s="189" t="s">
        <v>2733</v>
      </c>
      <c r="F2129" s="189" t="s">
        <v>2734</v>
      </c>
      <c r="G2129" s="189" t="s">
        <v>2735</v>
      </c>
      <c r="H2129" s="191" t="n">
        <v>46045</v>
      </c>
      <c r="I2129" s="189" t="s">
        <v>113</v>
      </c>
      <c r="J2129" s="189" t="s">
        <v>108</v>
      </c>
      <c r="K2129" s="189" t="s">
        <v>232</v>
      </c>
      <c r="L2129" s="189" t="s">
        <v>246</v>
      </c>
      <c r="M2129" s="189" t="s">
        <v>944</v>
      </c>
      <c r="N2129" s="189" t="s">
        <v>849</v>
      </c>
      <c r="O2129" s="189" t="s">
        <v>157</v>
      </c>
      <c r="P2129" s="189" t="s">
        <v>111</v>
      </c>
      <c r="Q2129" s="189" t="s">
        <v>112</v>
      </c>
      <c r="R2129" s="189" t="s">
        <v>21</v>
      </c>
      <c r="S2129" s="189" t="s">
        <v>152</v>
      </c>
      <c r="T2129" s="189" t="s">
        <v>121</v>
      </c>
      <c r="V2129" s="189" t="s">
        <v>192</v>
      </c>
      <c r="W2129" s="189" t="s">
        <v>139</v>
      </c>
      <c r="X2129" s="189" t="s">
        <v>348</v>
      </c>
      <c r="Y2129" s="189" t="s">
        <v>3064</v>
      </c>
      <c r="Z2129" s="0" t="n">
        <v>2</v>
      </c>
      <c r="AA2129" s="189" t="s">
        <v>3164</v>
      </c>
    </row>
    <row r="2130" customFormat="false" ht="15" hidden="false" customHeight="false" outlineLevel="0" collapsed="false">
      <c r="A2130" s="0" t="n">
        <v>455</v>
      </c>
      <c r="B2130" s="191" t="n">
        <v>46045.3564091574</v>
      </c>
      <c r="C2130" s="191" t="n">
        <v>46045.3596383241</v>
      </c>
      <c r="D2130" s="189" t="s">
        <v>2732</v>
      </c>
      <c r="E2130" s="189" t="s">
        <v>2733</v>
      </c>
      <c r="F2130" s="189" t="s">
        <v>2734</v>
      </c>
      <c r="G2130" s="189" t="s">
        <v>2735</v>
      </c>
      <c r="H2130" s="191" t="n">
        <v>46045</v>
      </c>
      <c r="I2130" s="189" t="s">
        <v>113</v>
      </c>
      <c r="J2130" s="189" t="s">
        <v>108</v>
      </c>
      <c r="K2130" s="189" t="s">
        <v>232</v>
      </c>
      <c r="L2130" s="189" t="s">
        <v>246</v>
      </c>
      <c r="M2130" s="189" t="s">
        <v>944</v>
      </c>
      <c r="N2130" s="189" t="s">
        <v>849</v>
      </c>
      <c r="O2130" s="189" t="s">
        <v>157</v>
      </c>
      <c r="P2130" s="189" t="s">
        <v>111</v>
      </c>
      <c r="Q2130" s="189" t="s">
        <v>112</v>
      </c>
      <c r="R2130" s="189" t="s">
        <v>21</v>
      </c>
      <c r="S2130" s="189" t="s">
        <v>152</v>
      </c>
      <c r="T2130" s="189" t="s">
        <v>121</v>
      </c>
      <c r="V2130" s="189" t="s">
        <v>192</v>
      </c>
      <c r="W2130" s="189" t="s">
        <v>139</v>
      </c>
      <c r="X2130" s="189" t="s">
        <v>348</v>
      </c>
      <c r="Y2130" s="189" t="s">
        <v>3064</v>
      </c>
      <c r="Z2130" s="0" t="n">
        <v>3</v>
      </c>
      <c r="AA2130" s="189" t="s">
        <v>3277</v>
      </c>
    </row>
    <row r="2131" customFormat="false" ht="15" hidden="false" customHeight="false" outlineLevel="0" collapsed="false">
      <c r="A2131" s="0" t="n">
        <v>455</v>
      </c>
      <c r="B2131" s="191" t="n">
        <v>46045.3564091574</v>
      </c>
      <c r="C2131" s="191" t="n">
        <v>46045.3596383241</v>
      </c>
      <c r="D2131" s="189" t="s">
        <v>2732</v>
      </c>
      <c r="E2131" s="189" t="s">
        <v>2733</v>
      </c>
      <c r="F2131" s="189" t="s">
        <v>2734</v>
      </c>
      <c r="G2131" s="189" t="s">
        <v>2735</v>
      </c>
      <c r="H2131" s="191" t="n">
        <v>46045</v>
      </c>
      <c r="I2131" s="189" t="s">
        <v>113</v>
      </c>
      <c r="J2131" s="189" t="s">
        <v>108</v>
      </c>
      <c r="K2131" s="189" t="s">
        <v>232</v>
      </c>
      <c r="L2131" s="189" t="s">
        <v>246</v>
      </c>
      <c r="M2131" s="189" t="s">
        <v>944</v>
      </c>
      <c r="N2131" s="189" t="s">
        <v>849</v>
      </c>
      <c r="O2131" s="189" t="s">
        <v>157</v>
      </c>
      <c r="P2131" s="189" t="s">
        <v>111</v>
      </c>
      <c r="Q2131" s="189" t="s">
        <v>112</v>
      </c>
      <c r="R2131" s="189" t="s">
        <v>21</v>
      </c>
      <c r="S2131" s="189" t="s">
        <v>152</v>
      </c>
      <c r="T2131" s="189" t="s">
        <v>121</v>
      </c>
      <c r="V2131" s="189" t="s">
        <v>192</v>
      </c>
      <c r="W2131" s="189" t="s">
        <v>139</v>
      </c>
      <c r="X2131" s="189" t="s">
        <v>348</v>
      </c>
      <c r="Y2131" s="189" t="s">
        <v>3066</v>
      </c>
      <c r="Z2131" s="0" t="n">
        <v>1</v>
      </c>
      <c r="AA2131" s="189" t="s">
        <v>3147</v>
      </c>
    </row>
    <row r="2132" customFormat="false" ht="15" hidden="false" customHeight="false" outlineLevel="0" collapsed="false">
      <c r="A2132" s="0" t="n">
        <v>455</v>
      </c>
      <c r="B2132" s="191" t="n">
        <v>46045.3564091574</v>
      </c>
      <c r="C2132" s="191" t="n">
        <v>46045.3596383241</v>
      </c>
      <c r="D2132" s="189" t="s">
        <v>2732</v>
      </c>
      <c r="E2132" s="189" t="s">
        <v>2733</v>
      </c>
      <c r="F2132" s="189" t="s">
        <v>2734</v>
      </c>
      <c r="G2132" s="189" t="s">
        <v>2735</v>
      </c>
      <c r="H2132" s="191" t="n">
        <v>46045</v>
      </c>
      <c r="I2132" s="189" t="s">
        <v>113</v>
      </c>
      <c r="J2132" s="189" t="s">
        <v>108</v>
      </c>
      <c r="K2132" s="189" t="s">
        <v>232</v>
      </c>
      <c r="L2132" s="189" t="s">
        <v>246</v>
      </c>
      <c r="M2132" s="189" t="s">
        <v>944</v>
      </c>
      <c r="N2132" s="189" t="s">
        <v>849</v>
      </c>
      <c r="O2132" s="189" t="s">
        <v>157</v>
      </c>
      <c r="P2132" s="189" t="s">
        <v>111</v>
      </c>
      <c r="Q2132" s="189" t="s">
        <v>112</v>
      </c>
      <c r="R2132" s="189" t="s">
        <v>21</v>
      </c>
      <c r="S2132" s="189" t="s">
        <v>152</v>
      </c>
      <c r="T2132" s="189" t="s">
        <v>121</v>
      </c>
      <c r="V2132" s="189" t="s">
        <v>192</v>
      </c>
      <c r="W2132" s="189" t="s">
        <v>139</v>
      </c>
      <c r="X2132" s="189" t="s">
        <v>348</v>
      </c>
      <c r="Y2132" s="189" t="s">
        <v>3069</v>
      </c>
      <c r="Z2132" s="0" t="n">
        <v>1</v>
      </c>
      <c r="AA2132" s="189" t="s">
        <v>3148</v>
      </c>
    </row>
    <row r="2133" customFormat="false" ht="15" hidden="false" customHeight="false" outlineLevel="0" collapsed="false">
      <c r="A2133" s="0" t="n">
        <v>455</v>
      </c>
      <c r="B2133" s="191" t="n">
        <v>46045.3564091574</v>
      </c>
      <c r="C2133" s="191" t="n">
        <v>46045.3596383241</v>
      </c>
      <c r="D2133" s="189" t="s">
        <v>2732</v>
      </c>
      <c r="E2133" s="189" t="s">
        <v>2733</v>
      </c>
      <c r="F2133" s="189" t="s">
        <v>2734</v>
      </c>
      <c r="G2133" s="189" t="s">
        <v>2735</v>
      </c>
      <c r="H2133" s="191" t="n">
        <v>46045</v>
      </c>
      <c r="I2133" s="189" t="s">
        <v>113</v>
      </c>
      <c r="J2133" s="189" t="s">
        <v>108</v>
      </c>
      <c r="K2133" s="189" t="s">
        <v>232</v>
      </c>
      <c r="L2133" s="189" t="s">
        <v>246</v>
      </c>
      <c r="M2133" s="189" t="s">
        <v>944</v>
      </c>
      <c r="N2133" s="189" t="s">
        <v>849</v>
      </c>
      <c r="O2133" s="189" t="s">
        <v>157</v>
      </c>
      <c r="P2133" s="189" t="s">
        <v>111</v>
      </c>
      <c r="Q2133" s="189" t="s">
        <v>112</v>
      </c>
      <c r="R2133" s="189" t="s">
        <v>21</v>
      </c>
      <c r="S2133" s="189" t="s">
        <v>152</v>
      </c>
      <c r="T2133" s="189" t="s">
        <v>121</v>
      </c>
      <c r="V2133" s="189" t="s">
        <v>192</v>
      </c>
      <c r="W2133" s="189" t="s">
        <v>139</v>
      </c>
      <c r="X2133" s="189" t="s">
        <v>348</v>
      </c>
      <c r="Y2133" s="189" t="s">
        <v>3069</v>
      </c>
      <c r="Z2133" s="0" t="n">
        <v>2</v>
      </c>
      <c r="AA2133" s="189" t="s">
        <v>3263</v>
      </c>
    </row>
    <row r="2134" customFormat="false" ht="15" hidden="false" customHeight="false" outlineLevel="0" collapsed="false">
      <c r="A2134" s="0" t="n">
        <v>456</v>
      </c>
      <c r="B2134" s="191" t="n">
        <v>46099.72140788</v>
      </c>
      <c r="C2134" s="191" t="n">
        <v>46099.7389541763</v>
      </c>
      <c r="D2134" s="189" t="s">
        <v>2737</v>
      </c>
      <c r="E2134" s="189" t="s">
        <v>2738</v>
      </c>
      <c r="F2134" s="189" t="s">
        <v>2739</v>
      </c>
      <c r="G2134" s="189" t="s">
        <v>2740</v>
      </c>
      <c r="H2134" s="191" t="n">
        <v>46084</v>
      </c>
      <c r="I2134" s="189" t="s">
        <v>113</v>
      </c>
      <c r="J2134" s="189" t="s">
        <v>108</v>
      </c>
      <c r="K2134" s="189" t="s">
        <v>196</v>
      </c>
      <c r="L2134" s="189" t="s">
        <v>346</v>
      </c>
      <c r="M2134" s="189" t="s">
        <v>885</v>
      </c>
      <c r="N2134" s="189" t="s">
        <v>1036</v>
      </c>
      <c r="O2134" s="189" t="s">
        <v>107</v>
      </c>
      <c r="P2134" s="189" t="s">
        <v>111</v>
      </c>
      <c r="Q2134" s="189" t="s">
        <v>145</v>
      </c>
      <c r="R2134" s="189" t="s">
        <v>22</v>
      </c>
      <c r="S2134" s="189" t="s">
        <v>152</v>
      </c>
      <c r="T2134" s="189" t="s">
        <v>121</v>
      </c>
      <c r="U2134" s="189" t="s">
        <v>994</v>
      </c>
      <c r="V2134" s="189" t="s">
        <v>123</v>
      </c>
      <c r="W2134" s="189" t="s">
        <v>168</v>
      </c>
      <c r="X2134" s="189" t="s">
        <v>148</v>
      </c>
      <c r="Y2134" s="189" t="s">
        <v>3064</v>
      </c>
      <c r="Z2134" s="0" t="n">
        <v>1</v>
      </c>
      <c r="AA2134" s="189" t="s">
        <v>3122</v>
      </c>
    </row>
    <row r="2135" customFormat="false" ht="15" hidden="false" customHeight="false" outlineLevel="0" collapsed="false">
      <c r="A2135" s="0" t="n">
        <v>456</v>
      </c>
      <c r="B2135" s="191" t="n">
        <v>46099.72140788</v>
      </c>
      <c r="C2135" s="191" t="n">
        <v>46099.7389541763</v>
      </c>
      <c r="D2135" s="189" t="s">
        <v>2737</v>
      </c>
      <c r="E2135" s="189" t="s">
        <v>2738</v>
      </c>
      <c r="F2135" s="189" t="s">
        <v>2739</v>
      </c>
      <c r="G2135" s="189" t="s">
        <v>2740</v>
      </c>
      <c r="H2135" s="191" t="n">
        <v>46084</v>
      </c>
      <c r="I2135" s="189" t="s">
        <v>113</v>
      </c>
      <c r="J2135" s="189" t="s">
        <v>108</v>
      </c>
      <c r="K2135" s="189" t="s">
        <v>196</v>
      </c>
      <c r="L2135" s="189" t="s">
        <v>346</v>
      </c>
      <c r="M2135" s="189" t="s">
        <v>885</v>
      </c>
      <c r="N2135" s="189" t="s">
        <v>1036</v>
      </c>
      <c r="O2135" s="189" t="s">
        <v>107</v>
      </c>
      <c r="P2135" s="189" t="s">
        <v>111</v>
      </c>
      <c r="Q2135" s="189" t="s">
        <v>145</v>
      </c>
      <c r="R2135" s="189" t="s">
        <v>22</v>
      </c>
      <c r="S2135" s="189" t="s">
        <v>152</v>
      </c>
      <c r="T2135" s="189" t="s">
        <v>121</v>
      </c>
      <c r="U2135" s="189" t="s">
        <v>994</v>
      </c>
      <c r="V2135" s="189" t="s">
        <v>123</v>
      </c>
      <c r="W2135" s="189" t="s">
        <v>168</v>
      </c>
      <c r="X2135" s="189" t="s">
        <v>148</v>
      </c>
      <c r="Y2135" s="189" t="s">
        <v>3064</v>
      </c>
      <c r="Z2135" s="0" t="n">
        <v>2</v>
      </c>
      <c r="AA2135" s="189" t="s">
        <v>3281</v>
      </c>
    </row>
    <row r="2136" customFormat="false" ht="15" hidden="false" customHeight="false" outlineLevel="0" collapsed="false">
      <c r="A2136" s="0" t="n">
        <v>456</v>
      </c>
      <c r="B2136" s="191" t="n">
        <v>46099.72140788</v>
      </c>
      <c r="C2136" s="191" t="n">
        <v>46099.7389541763</v>
      </c>
      <c r="D2136" s="189" t="s">
        <v>2737</v>
      </c>
      <c r="E2136" s="189" t="s">
        <v>2738</v>
      </c>
      <c r="F2136" s="189" t="s">
        <v>2739</v>
      </c>
      <c r="G2136" s="189" t="s">
        <v>2740</v>
      </c>
      <c r="H2136" s="191" t="n">
        <v>46084</v>
      </c>
      <c r="I2136" s="189" t="s">
        <v>113</v>
      </c>
      <c r="J2136" s="189" t="s">
        <v>108</v>
      </c>
      <c r="K2136" s="189" t="s">
        <v>196</v>
      </c>
      <c r="L2136" s="189" t="s">
        <v>346</v>
      </c>
      <c r="M2136" s="189" t="s">
        <v>885</v>
      </c>
      <c r="N2136" s="189" t="s">
        <v>1036</v>
      </c>
      <c r="O2136" s="189" t="s">
        <v>107</v>
      </c>
      <c r="P2136" s="189" t="s">
        <v>111</v>
      </c>
      <c r="Q2136" s="189" t="s">
        <v>145</v>
      </c>
      <c r="R2136" s="189" t="s">
        <v>22</v>
      </c>
      <c r="S2136" s="189" t="s">
        <v>152</v>
      </c>
      <c r="T2136" s="189" t="s">
        <v>121</v>
      </c>
      <c r="U2136" s="189" t="s">
        <v>994</v>
      </c>
      <c r="V2136" s="189" t="s">
        <v>123</v>
      </c>
      <c r="W2136" s="189" t="s">
        <v>168</v>
      </c>
      <c r="X2136" s="189" t="s">
        <v>148</v>
      </c>
      <c r="Y2136" s="189" t="s">
        <v>3066</v>
      </c>
      <c r="Z2136" s="0" t="n">
        <v>1</v>
      </c>
      <c r="AA2136" s="189" t="s">
        <v>3078</v>
      </c>
    </row>
    <row r="2137" customFormat="false" ht="15" hidden="false" customHeight="false" outlineLevel="0" collapsed="false">
      <c r="A2137" s="0" t="n">
        <v>456</v>
      </c>
      <c r="B2137" s="191" t="n">
        <v>46099.72140788</v>
      </c>
      <c r="C2137" s="191" t="n">
        <v>46099.7389541763</v>
      </c>
      <c r="D2137" s="189" t="s">
        <v>2737</v>
      </c>
      <c r="E2137" s="189" t="s">
        <v>2738</v>
      </c>
      <c r="F2137" s="189" t="s">
        <v>2739</v>
      </c>
      <c r="G2137" s="189" t="s">
        <v>2740</v>
      </c>
      <c r="H2137" s="191" t="n">
        <v>46084</v>
      </c>
      <c r="I2137" s="189" t="s">
        <v>113</v>
      </c>
      <c r="J2137" s="189" t="s">
        <v>108</v>
      </c>
      <c r="K2137" s="189" t="s">
        <v>196</v>
      </c>
      <c r="L2137" s="189" t="s">
        <v>346</v>
      </c>
      <c r="M2137" s="189" t="s">
        <v>885</v>
      </c>
      <c r="N2137" s="189" t="s">
        <v>1036</v>
      </c>
      <c r="O2137" s="189" t="s">
        <v>107</v>
      </c>
      <c r="P2137" s="189" t="s">
        <v>111</v>
      </c>
      <c r="Q2137" s="189" t="s">
        <v>145</v>
      </c>
      <c r="R2137" s="189" t="s">
        <v>22</v>
      </c>
      <c r="S2137" s="189" t="s">
        <v>152</v>
      </c>
      <c r="T2137" s="189" t="s">
        <v>121</v>
      </c>
      <c r="U2137" s="189" t="s">
        <v>994</v>
      </c>
      <c r="V2137" s="189" t="s">
        <v>123</v>
      </c>
      <c r="W2137" s="189" t="s">
        <v>168</v>
      </c>
      <c r="X2137" s="189" t="s">
        <v>148</v>
      </c>
      <c r="Y2137" s="189" t="s">
        <v>3069</v>
      </c>
      <c r="Z2137" s="0" t="n">
        <v>1</v>
      </c>
      <c r="AA2137" s="189" t="s">
        <v>3080</v>
      </c>
    </row>
    <row r="2138" customFormat="false" ht="15" hidden="false" customHeight="false" outlineLevel="0" collapsed="false">
      <c r="A2138" s="0" t="n">
        <v>456</v>
      </c>
      <c r="B2138" s="191" t="n">
        <v>46099.72140788</v>
      </c>
      <c r="C2138" s="191" t="n">
        <v>46099.7389541763</v>
      </c>
      <c r="D2138" s="189" t="s">
        <v>2737</v>
      </c>
      <c r="E2138" s="189" t="s">
        <v>2738</v>
      </c>
      <c r="F2138" s="189" t="s">
        <v>2739</v>
      </c>
      <c r="G2138" s="189" t="s">
        <v>2740</v>
      </c>
      <c r="H2138" s="191" t="n">
        <v>46084</v>
      </c>
      <c r="I2138" s="189" t="s">
        <v>113</v>
      </c>
      <c r="J2138" s="189" t="s">
        <v>108</v>
      </c>
      <c r="K2138" s="189" t="s">
        <v>196</v>
      </c>
      <c r="L2138" s="189" t="s">
        <v>346</v>
      </c>
      <c r="M2138" s="189" t="s">
        <v>885</v>
      </c>
      <c r="N2138" s="189" t="s">
        <v>1036</v>
      </c>
      <c r="O2138" s="189" t="s">
        <v>107</v>
      </c>
      <c r="P2138" s="189" t="s">
        <v>111</v>
      </c>
      <c r="Q2138" s="189" t="s">
        <v>145</v>
      </c>
      <c r="R2138" s="189" t="s">
        <v>22</v>
      </c>
      <c r="S2138" s="189" t="s">
        <v>152</v>
      </c>
      <c r="T2138" s="189" t="s">
        <v>121</v>
      </c>
      <c r="U2138" s="189" t="s">
        <v>994</v>
      </c>
      <c r="V2138" s="189" t="s">
        <v>123</v>
      </c>
      <c r="W2138" s="189" t="s">
        <v>168</v>
      </c>
      <c r="X2138" s="189" t="s">
        <v>148</v>
      </c>
      <c r="Y2138" s="189" t="s">
        <v>3069</v>
      </c>
      <c r="Z2138" s="0" t="n">
        <v>2</v>
      </c>
      <c r="AA2138" s="189" t="s">
        <v>3079</v>
      </c>
    </row>
    <row r="2139" customFormat="false" ht="15" hidden="false" customHeight="false" outlineLevel="0" collapsed="false">
      <c r="A2139" s="0" t="n">
        <v>457</v>
      </c>
      <c r="B2139" s="191" t="n">
        <v>46089.4150662734</v>
      </c>
      <c r="C2139" s="191" t="n">
        <v>46089.4354597919</v>
      </c>
      <c r="D2139" s="189" t="s">
        <v>2743</v>
      </c>
      <c r="E2139" s="189" t="s">
        <v>2744</v>
      </c>
      <c r="F2139" s="189" t="s">
        <v>2745</v>
      </c>
      <c r="G2139" s="189" t="s">
        <v>2746</v>
      </c>
      <c r="H2139" s="191" t="n">
        <v>46081</v>
      </c>
      <c r="I2139" s="189" t="s">
        <v>113</v>
      </c>
      <c r="J2139" s="189" t="s">
        <v>108</v>
      </c>
      <c r="K2139" s="189" t="s">
        <v>173</v>
      </c>
      <c r="L2139" s="189" t="s">
        <v>197</v>
      </c>
      <c r="M2139" s="189" t="s">
        <v>397</v>
      </c>
      <c r="N2139" s="189" t="s">
        <v>398</v>
      </c>
      <c r="O2139" s="189" t="s">
        <v>2670</v>
      </c>
      <c r="P2139" s="189" t="s">
        <v>131</v>
      </c>
      <c r="Q2139" s="189" t="s">
        <v>145</v>
      </c>
      <c r="R2139" s="189" t="s">
        <v>24</v>
      </c>
      <c r="S2139" s="189" t="s">
        <v>120</v>
      </c>
      <c r="T2139" s="189" t="s">
        <v>121</v>
      </c>
      <c r="V2139" s="189" t="s">
        <v>192</v>
      </c>
      <c r="W2139" s="189" t="s">
        <v>124</v>
      </c>
      <c r="X2139" s="189" t="s">
        <v>260</v>
      </c>
      <c r="Y2139" s="189" t="s">
        <v>3064</v>
      </c>
      <c r="Z2139" s="0" t="n">
        <v>1</v>
      </c>
      <c r="AA2139" s="189" t="s">
        <v>122</v>
      </c>
    </row>
    <row r="2140" customFormat="false" ht="15" hidden="false" customHeight="false" outlineLevel="0" collapsed="false">
      <c r="A2140" s="0" t="n">
        <v>457</v>
      </c>
      <c r="B2140" s="191" t="n">
        <v>46089.4150662734</v>
      </c>
      <c r="C2140" s="191" t="n">
        <v>46089.4354597919</v>
      </c>
      <c r="D2140" s="189" t="s">
        <v>2743</v>
      </c>
      <c r="E2140" s="189" t="s">
        <v>2744</v>
      </c>
      <c r="F2140" s="189" t="s">
        <v>2745</v>
      </c>
      <c r="G2140" s="189" t="s">
        <v>2746</v>
      </c>
      <c r="H2140" s="191" t="n">
        <v>46081</v>
      </c>
      <c r="I2140" s="189" t="s">
        <v>113</v>
      </c>
      <c r="J2140" s="189" t="s">
        <v>108</v>
      </c>
      <c r="K2140" s="189" t="s">
        <v>173</v>
      </c>
      <c r="L2140" s="189" t="s">
        <v>197</v>
      </c>
      <c r="M2140" s="189" t="s">
        <v>397</v>
      </c>
      <c r="N2140" s="189" t="s">
        <v>398</v>
      </c>
      <c r="O2140" s="189" t="s">
        <v>2670</v>
      </c>
      <c r="P2140" s="189" t="s">
        <v>131</v>
      </c>
      <c r="Q2140" s="189" t="s">
        <v>145</v>
      </c>
      <c r="R2140" s="189" t="s">
        <v>24</v>
      </c>
      <c r="S2140" s="189" t="s">
        <v>120</v>
      </c>
      <c r="T2140" s="189" t="s">
        <v>121</v>
      </c>
      <c r="V2140" s="189" t="s">
        <v>192</v>
      </c>
      <c r="W2140" s="189" t="s">
        <v>124</v>
      </c>
      <c r="X2140" s="189" t="s">
        <v>260</v>
      </c>
      <c r="Y2140" s="189" t="s">
        <v>3064</v>
      </c>
      <c r="Z2140" s="0" t="n">
        <v>2</v>
      </c>
      <c r="AA2140" s="189" t="s">
        <v>3262</v>
      </c>
    </row>
    <row r="2141" customFormat="false" ht="15" hidden="false" customHeight="false" outlineLevel="0" collapsed="false">
      <c r="A2141" s="0" t="n">
        <v>457</v>
      </c>
      <c r="B2141" s="191" t="n">
        <v>46089.4150662734</v>
      </c>
      <c r="C2141" s="191" t="n">
        <v>46089.4354597919</v>
      </c>
      <c r="D2141" s="189" t="s">
        <v>2743</v>
      </c>
      <c r="E2141" s="189" t="s">
        <v>2744</v>
      </c>
      <c r="F2141" s="189" t="s">
        <v>2745</v>
      </c>
      <c r="G2141" s="189" t="s">
        <v>2746</v>
      </c>
      <c r="H2141" s="191" t="n">
        <v>46081</v>
      </c>
      <c r="I2141" s="189" t="s">
        <v>113</v>
      </c>
      <c r="J2141" s="189" t="s">
        <v>108</v>
      </c>
      <c r="K2141" s="189" t="s">
        <v>173</v>
      </c>
      <c r="L2141" s="189" t="s">
        <v>197</v>
      </c>
      <c r="M2141" s="189" t="s">
        <v>397</v>
      </c>
      <c r="N2141" s="189" t="s">
        <v>398</v>
      </c>
      <c r="O2141" s="189" t="s">
        <v>2670</v>
      </c>
      <c r="P2141" s="189" t="s">
        <v>131</v>
      </c>
      <c r="Q2141" s="189" t="s">
        <v>145</v>
      </c>
      <c r="R2141" s="189" t="s">
        <v>24</v>
      </c>
      <c r="S2141" s="189" t="s">
        <v>120</v>
      </c>
      <c r="T2141" s="189" t="s">
        <v>121</v>
      </c>
      <c r="V2141" s="189" t="s">
        <v>192</v>
      </c>
      <c r="W2141" s="189" t="s">
        <v>124</v>
      </c>
      <c r="X2141" s="189" t="s">
        <v>260</v>
      </c>
      <c r="Y2141" s="189" t="s">
        <v>3066</v>
      </c>
      <c r="Z2141" s="0" t="n">
        <v>1</v>
      </c>
      <c r="AA2141" s="189" t="s">
        <v>3289</v>
      </c>
    </row>
    <row r="2142" customFormat="false" ht="15" hidden="false" customHeight="false" outlineLevel="0" collapsed="false">
      <c r="A2142" s="0" t="n">
        <v>457</v>
      </c>
      <c r="B2142" s="191" t="n">
        <v>46089.4150662734</v>
      </c>
      <c r="C2142" s="191" t="n">
        <v>46089.4354597919</v>
      </c>
      <c r="D2142" s="189" t="s">
        <v>2743</v>
      </c>
      <c r="E2142" s="189" t="s">
        <v>2744</v>
      </c>
      <c r="F2142" s="189" t="s">
        <v>2745</v>
      </c>
      <c r="G2142" s="189" t="s">
        <v>2746</v>
      </c>
      <c r="H2142" s="191" t="n">
        <v>46081</v>
      </c>
      <c r="I2142" s="189" t="s">
        <v>113</v>
      </c>
      <c r="J2142" s="189" t="s">
        <v>108</v>
      </c>
      <c r="K2142" s="189" t="s">
        <v>173</v>
      </c>
      <c r="L2142" s="189" t="s">
        <v>197</v>
      </c>
      <c r="M2142" s="189" t="s">
        <v>397</v>
      </c>
      <c r="N2142" s="189" t="s">
        <v>398</v>
      </c>
      <c r="O2142" s="189" t="s">
        <v>2670</v>
      </c>
      <c r="P2142" s="189" t="s">
        <v>131</v>
      </c>
      <c r="Q2142" s="189" t="s">
        <v>145</v>
      </c>
      <c r="R2142" s="189" t="s">
        <v>24</v>
      </c>
      <c r="S2142" s="189" t="s">
        <v>120</v>
      </c>
      <c r="T2142" s="189" t="s">
        <v>121</v>
      </c>
      <c r="V2142" s="189" t="s">
        <v>192</v>
      </c>
      <c r="W2142" s="189" t="s">
        <v>124</v>
      </c>
      <c r="X2142" s="189" t="s">
        <v>260</v>
      </c>
      <c r="Y2142" s="189" t="s">
        <v>3066</v>
      </c>
      <c r="Z2142" s="0" t="n">
        <v>2</v>
      </c>
      <c r="AA2142" s="189" t="s">
        <v>606</v>
      </c>
    </row>
    <row r="2143" customFormat="false" ht="15" hidden="false" customHeight="false" outlineLevel="0" collapsed="false">
      <c r="A2143" s="0" t="n">
        <v>457</v>
      </c>
      <c r="B2143" s="191" t="n">
        <v>46089.4150662734</v>
      </c>
      <c r="C2143" s="191" t="n">
        <v>46089.4354597919</v>
      </c>
      <c r="D2143" s="189" t="s">
        <v>2743</v>
      </c>
      <c r="E2143" s="189" t="s">
        <v>2744</v>
      </c>
      <c r="F2143" s="189" t="s">
        <v>2745</v>
      </c>
      <c r="G2143" s="189" t="s">
        <v>2746</v>
      </c>
      <c r="H2143" s="191" t="n">
        <v>46081</v>
      </c>
      <c r="I2143" s="189" t="s">
        <v>113</v>
      </c>
      <c r="J2143" s="189" t="s">
        <v>108</v>
      </c>
      <c r="K2143" s="189" t="s">
        <v>173</v>
      </c>
      <c r="L2143" s="189" t="s">
        <v>197</v>
      </c>
      <c r="M2143" s="189" t="s">
        <v>397</v>
      </c>
      <c r="N2143" s="189" t="s">
        <v>398</v>
      </c>
      <c r="O2143" s="189" t="s">
        <v>2670</v>
      </c>
      <c r="P2143" s="189" t="s">
        <v>131</v>
      </c>
      <c r="Q2143" s="189" t="s">
        <v>145</v>
      </c>
      <c r="R2143" s="189" t="s">
        <v>24</v>
      </c>
      <c r="S2143" s="189" t="s">
        <v>120</v>
      </c>
      <c r="T2143" s="189" t="s">
        <v>121</v>
      </c>
      <c r="V2143" s="189" t="s">
        <v>192</v>
      </c>
      <c r="W2143" s="189" t="s">
        <v>124</v>
      </c>
      <c r="X2143" s="189" t="s">
        <v>260</v>
      </c>
      <c r="Y2143" s="189" t="s">
        <v>3069</v>
      </c>
      <c r="Z2143" s="0" t="n">
        <v>1</v>
      </c>
      <c r="AA2143" s="189" t="s">
        <v>3113</v>
      </c>
    </row>
    <row r="2144" customFormat="false" ht="15" hidden="false" customHeight="false" outlineLevel="0" collapsed="false">
      <c r="A2144" s="0" t="n">
        <v>457</v>
      </c>
      <c r="B2144" s="191" t="n">
        <v>46089.4150662734</v>
      </c>
      <c r="C2144" s="191" t="n">
        <v>46089.4354597919</v>
      </c>
      <c r="D2144" s="189" t="s">
        <v>2743</v>
      </c>
      <c r="E2144" s="189" t="s">
        <v>2744</v>
      </c>
      <c r="F2144" s="189" t="s">
        <v>2745</v>
      </c>
      <c r="G2144" s="189" t="s">
        <v>2746</v>
      </c>
      <c r="H2144" s="191" t="n">
        <v>46081</v>
      </c>
      <c r="I2144" s="189" t="s">
        <v>113</v>
      </c>
      <c r="J2144" s="189" t="s">
        <v>108</v>
      </c>
      <c r="K2144" s="189" t="s">
        <v>173</v>
      </c>
      <c r="L2144" s="189" t="s">
        <v>197</v>
      </c>
      <c r="M2144" s="189" t="s">
        <v>397</v>
      </c>
      <c r="N2144" s="189" t="s">
        <v>398</v>
      </c>
      <c r="O2144" s="189" t="s">
        <v>2670</v>
      </c>
      <c r="P2144" s="189" t="s">
        <v>131</v>
      </c>
      <c r="Q2144" s="189" t="s">
        <v>145</v>
      </c>
      <c r="R2144" s="189" t="s">
        <v>24</v>
      </c>
      <c r="S2144" s="189" t="s">
        <v>120</v>
      </c>
      <c r="T2144" s="189" t="s">
        <v>121</v>
      </c>
      <c r="V2144" s="189" t="s">
        <v>192</v>
      </c>
      <c r="W2144" s="189" t="s">
        <v>124</v>
      </c>
      <c r="X2144" s="189" t="s">
        <v>260</v>
      </c>
      <c r="Y2144" s="189" t="s">
        <v>3069</v>
      </c>
      <c r="Z2144" s="0" t="n">
        <v>2</v>
      </c>
      <c r="AA2144" s="189" t="s">
        <v>3259</v>
      </c>
    </row>
    <row r="2145" customFormat="false" ht="68.65" hidden="false" customHeight="false" outlineLevel="0" collapsed="false">
      <c r="A2145" s="0" t="n">
        <v>458</v>
      </c>
      <c r="B2145" s="191" t="n">
        <v>46112.4049615362</v>
      </c>
      <c r="C2145" s="191" t="n">
        <v>46112.4145795917</v>
      </c>
      <c r="D2145" s="189" t="s">
        <v>2750</v>
      </c>
      <c r="E2145" s="189" t="s">
        <v>2751</v>
      </c>
      <c r="F2145" s="189" t="s">
        <v>2751</v>
      </c>
      <c r="G2145" s="189" t="s">
        <v>2752</v>
      </c>
      <c r="H2145" s="191" t="n">
        <v>46097</v>
      </c>
      <c r="I2145" s="189" t="s">
        <v>113</v>
      </c>
      <c r="J2145" s="189" t="s">
        <v>108</v>
      </c>
      <c r="K2145" s="189" t="s">
        <v>462</v>
      </c>
      <c r="L2145" s="189" t="s">
        <v>346</v>
      </c>
      <c r="M2145" s="189" t="s">
        <v>160</v>
      </c>
      <c r="N2145" s="189" t="s">
        <v>595</v>
      </c>
      <c r="O2145" s="189" t="s">
        <v>244</v>
      </c>
      <c r="P2145" s="189" t="s">
        <v>131</v>
      </c>
      <c r="Q2145" s="189" t="s">
        <v>112</v>
      </c>
      <c r="R2145" s="189" t="s">
        <v>23</v>
      </c>
      <c r="S2145" s="189" t="s">
        <v>152</v>
      </c>
      <c r="T2145" s="189" t="s">
        <v>228</v>
      </c>
      <c r="U2145" s="132" t="s">
        <v>641</v>
      </c>
      <c r="V2145" s="189" t="s">
        <v>192</v>
      </c>
      <c r="W2145" s="189" t="s">
        <v>124</v>
      </c>
      <c r="X2145" s="189" t="s">
        <v>442</v>
      </c>
      <c r="Y2145" s="189" t="s">
        <v>3172</v>
      </c>
      <c r="Z2145" s="0" t="n">
        <v>1</v>
      </c>
      <c r="AA2145" s="189" t="s">
        <v>441</v>
      </c>
    </row>
    <row r="2146" customFormat="false" ht="15" hidden="false" customHeight="false" outlineLevel="0" collapsed="false">
      <c r="A2146" s="0" t="n">
        <v>459</v>
      </c>
      <c r="B2146" s="191" t="n">
        <v>46143.9070095954</v>
      </c>
      <c r="C2146" s="191" t="n">
        <v>46143.9116970954</v>
      </c>
      <c r="D2146" s="189" t="s">
        <v>2753</v>
      </c>
      <c r="E2146" s="189" t="s">
        <v>2754</v>
      </c>
      <c r="F2146" s="189" t="s">
        <v>2754</v>
      </c>
      <c r="G2146" s="189" t="s">
        <v>2755</v>
      </c>
      <c r="H2146" s="191" t="n">
        <v>46131</v>
      </c>
      <c r="I2146" s="189" t="s">
        <v>113</v>
      </c>
      <c r="J2146" s="189" t="s">
        <v>108</v>
      </c>
      <c r="K2146" s="189" t="s">
        <v>2756</v>
      </c>
      <c r="L2146" s="189" t="s">
        <v>233</v>
      </c>
      <c r="M2146" s="189" t="s">
        <v>774</v>
      </c>
      <c r="N2146" s="189" t="s">
        <v>297</v>
      </c>
      <c r="O2146" s="189" t="s">
        <v>107</v>
      </c>
      <c r="P2146" s="189" t="s">
        <v>111</v>
      </c>
      <c r="Q2146" s="189" t="s">
        <v>112</v>
      </c>
      <c r="R2146" s="189" t="s">
        <v>22</v>
      </c>
      <c r="S2146" s="189" t="s">
        <v>152</v>
      </c>
      <c r="T2146" s="189" t="s">
        <v>496</v>
      </c>
      <c r="V2146" s="189" t="s">
        <v>123</v>
      </c>
      <c r="W2146" s="189" t="s">
        <v>168</v>
      </c>
      <c r="X2146" s="189" t="s">
        <v>298</v>
      </c>
      <c r="Y2146" s="189" t="s">
        <v>3064</v>
      </c>
      <c r="Z2146" s="0" t="n">
        <v>1</v>
      </c>
      <c r="AA2146" s="189" t="s">
        <v>3208</v>
      </c>
    </row>
    <row r="2147" customFormat="false" ht="15" hidden="false" customHeight="false" outlineLevel="0" collapsed="false">
      <c r="A2147" s="0" t="n">
        <v>459</v>
      </c>
      <c r="B2147" s="191" t="n">
        <v>46143.9070095954</v>
      </c>
      <c r="C2147" s="191" t="n">
        <v>46143.9116970954</v>
      </c>
      <c r="D2147" s="189" t="s">
        <v>2753</v>
      </c>
      <c r="E2147" s="189" t="s">
        <v>2754</v>
      </c>
      <c r="F2147" s="189" t="s">
        <v>2754</v>
      </c>
      <c r="G2147" s="189" t="s">
        <v>2755</v>
      </c>
      <c r="H2147" s="191" t="n">
        <v>46131</v>
      </c>
      <c r="I2147" s="189" t="s">
        <v>113</v>
      </c>
      <c r="J2147" s="189" t="s">
        <v>108</v>
      </c>
      <c r="K2147" s="189" t="s">
        <v>2756</v>
      </c>
      <c r="L2147" s="189" t="s">
        <v>233</v>
      </c>
      <c r="M2147" s="189" t="s">
        <v>774</v>
      </c>
      <c r="N2147" s="189" t="s">
        <v>297</v>
      </c>
      <c r="O2147" s="189" t="s">
        <v>107</v>
      </c>
      <c r="P2147" s="189" t="s">
        <v>111</v>
      </c>
      <c r="Q2147" s="189" t="s">
        <v>112</v>
      </c>
      <c r="R2147" s="189" t="s">
        <v>22</v>
      </c>
      <c r="S2147" s="189" t="s">
        <v>152</v>
      </c>
      <c r="T2147" s="189" t="s">
        <v>496</v>
      </c>
      <c r="V2147" s="189" t="s">
        <v>123</v>
      </c>
      <c r="W2147" s="189" t="s">
        <v>168</v>
      </c>
      <c r="X2147" s="189" t="s">
        <v>298</v>
      </c>
      <c r="Y2147" s="189" t="s">
        <v>3064</v>
      </c>
      <c r="Z2147" s="0" t="n">
        <v>2</v>
      </c>
      <c r="AA2147" s="189" t="s">
        <v>3207</v>
      </c>
    </row>
    <row r="2148" customFormat="false" ht="15" hidden="false" customHeight="false" outlineLevel="0" collapsed="false">
      <c r="A2148" s="0" t="n">
        <v>459</v>
      </c>
      <c r="B2148" s="191" t="n">
        <v>46143.9070095954</v>
      </c>
      <c r="C2148" s="191" t="n">
        <v>46143.9116970954</v>
      </c>
      <c r="D2148" s="189" t="s">
        <v>2753</v>
      </c>
      <c r="E2148" s="189" t="s">
        <v>2754</v>
      </c>
      <c r="F2148" s="189" t="s">
        <v>2754</v>
      </c>
      <c r="G2148" s="189" t="s">
        <v>2755</v>
      </c>
      <c r="H2148" s="191" t="n">
        <v>46131</v>
      </c>
      <c r="I2148" s="189" t="s">
        <v>113</v>
      </c>
      <c r="J2148" s="189" t="s">
        <v>108</v>
      </c>
      <c r="K2148" s="189" t="s">
        <v>2756</v>
      </c>
      <c r="L2148" s="189" t="s">
        <v>233</v>
      </c>
      <c r="M2148" s="189" t="s">
        <v>774</v>
      </c>
      <c r="N2148" s="189" t="s">
        <v>297</v>
      </c>
      <c r="O2148" s="189" t="s">
        <v>107</v>
      </c>
      <c r="P2148" s="189" t="s">
        <v>111</v>
      </c>
      <c r="Q2148" s="189" t="s">
        <v>112</v>
      </c>
      <c r="R2148" s="189" t="s">
        <v>22</v>
      </c>
      <c r="S2148" s="189" t="s">
        <v>152</v>
      </c>
      <c r="T2148" s="189" t="s">
        <v>496</v>
      </c>
      <c r="V2148" s="189" t="s">
        <v>123</v>
      </c>
      <c r="W2148" s="189" t="s">
        <v>168</v>
      </c>
      <c r="X2148" s="189" t="s">
        <v>298</v>
      </c>
      <c r="Y2148" s="189" t="s">
        <v>3064</v>
      </c>
      <c r="Z2148" s="0" t="n">
        <v>3</v>
      </c>
      <c r="AA2148" s="189" t="s">
        <v>3124</v>
      </c>
    </row>
    <row r="2149" customFormat="false" ht="15" hidden="false" customHeight="false" outlineLevel="0" collapsed="false">
      <c r="A2149" s="0" t="n">
        <v>459</v>
      </c>
      <c r="B2149" s="191" t="n">
        <v>46143.9070095954</v>
      </c>
      <c r="C2149" s="191" t="n">
        <v>46143.9116970954</v>
      </c>
      <c r="D2149" s="189" t="s">
        <v>2753</v>
      </c>
      <c r="E2149" s="189" t="s">
        <v>2754</v>
      </c>
      <c r="F2149" s="189" t="s">
        <v>2754</v>
      </c>
      <c r="G2149" s="189" t="s">
        <v>2755</v>
      </c>
      <c r="H2149" s="191" t="n">
        <v>46131</v>
      </c>
      <c r="I2149" s="189" t="s">
        <v>113</v>
      </c>
      <c r="J2149" s="189" t="s">
        <v>108</v>
      </c>
      <c r="K2149" s="189" t="s">
        <v>2756</v>
      </c>
      <c r="L2149" s="189" t="s">
        <v>233</v>
      </c>
      <c r="M2149" s="189" t="s">
        <v>774</v>
      </c>
      <c r="N2149" s="189" t="s">
        <v>297</v>
      </c>
      <c r="O2149" s="189" t="s">
        <v>107</v>
      </c>
      <c r="P2149" s="189" t="s">
        <v>111</v>
      </c>
      <c r="Q2149" s="189" t="s">
        <v>112</v>
      </c>
      <c r="R2149" s="189" t="s">
        <v>22</v>
      </c>
      <c r="S2149" s="189" t="s">
        <v>152</v>
      </c>
      <c r="T2149" s="189" t="s">
        <v>496</v>
      </c>
      <c r="V2149" s="189" t="s">
        <v>123</v>
      </c>
      <c r="W2149" s="189" t="s">
        <v>168</v>
      </c>
      <c r="X2149" s="189" t="s">
        <v>298</v>
      </c>
      <c r="Y2149" s="189" t="s">
        <v>3066</v>
      </c>
      <c r="Z2149" s="0" t="n">
        <v>1</v>
      </c>
      <c r="AA2149" s="189" t="s">
        <v>3246</v>
      </c>
    </row>
    <row r="2150" customFormat="false" ht="15" hidden="false" customHeight="false" outlineLevel="0" collapsed="false">
      <c r="A2150" s="0" t="n">
        <v>459</v>
      </c>
      <c r="B2150" s="191" t="n">
        <v>46143.9070095954</v>
      </c>
      <c r="C2150" s="191" t="n">
        <v>46143.9116970954</v>
      </c>
      <c r="D2150" s="189" t="s">
        <v>2753</v>
      </c>
      <c r="E2150" s="189" t="s">
        <v>2754</v>
      </c>
      <c r="F2150" s="189" t="s">
        <v>2754</v>
      </c>
      <c r="G2150" s="189" t="s">
        <v>2755</v>
      </c>
      <c r="H2150" s="191" t="n">
        <v>46131</v>
      </c>
      <c r="I2150" s="189" t="s">
        <v>113</v>
      </c>
      <c r="J2150" s="189" t="s">
        <v>108</v>
      </c>
      <c r="K2150" s="189" t="s">
        <v>2756</v>
      </c>
      <c r="L2150" s="189" t="s">
        <v>233</v>
      </c>
      <c r="M2150" s="189" t="s">
        <v>774</v>
      </c>
      <c r="N2150" s="189" t="s">
        <v>297</v>
      </c>
      <c r="O2150" s="189" t="s">
        <v>107</v>
      </c>
      <c r="P2150" s="189" t="s">
        <v>111</v>
      </c>
      <c r="Q2150" s="189" t="s">
        <v>112</v>
      </c>
      <c r="R2150" s="189" t="s">
        <v>22</v>
      </c>
      <c r="S2150" s="189" t="s">
        <v>152</v>
      </c>
      <c r="T2150" s="189" t="s">
        <v>496</v>
      </c>
      <c r="V2150" s="189" t="s">
        <v>123</v>
      </c>
      <c r="W2150" s="189" t="s">
        <v>168</v>
      </c>
      <c r="X2150" s="189" t="s">
        <v>298</v>
      </c>
      <c r="Y2150" s="189" t="s">
        <v>3069</v>
      </c>
      <c r="Z2150" s="0" t="n">
        <v>1</v>
      </c>
      <c r="AA2150" s="189" t="s">
        <v>3128</v>
      </c>
    </row>
    <row r="2151" customFormat="false" ht="15" hidden="false" customHeight="false" outlineLevel="0" collapsed="false">
      <c r="A2151" s="0" t="n">
        <v>459</v>
      </c>
      <c r="B2151" s="191" t="n">
        <v>46143.9070095954</v>
      </c>
      <c r="C2151" s="191" t="n">
        <v>46143.9116970954</v>
      </c>
      <c r="D2151" s="189" t="s">
        <v>2753</v>
      </c>
      <c r="E2151" s="189" t="s">
        <v>2754</v>
      </c>
      <c r="F2151" s="189" t="s">
        <v>2754</v>
      </c>
      <c r="G2151" s="189" t="s">
        <v>2755</v>
      </c>
      <c r="H2151" s="191" t="n">
        <v>46131</v>
      </c>
      <c r="I2151" s="189" t="s">
        <v>113</v>
      </c>
      <c r="J2151" s="189" t="s">
        <v>108</v>
      </c>
      <c r="K2151" s="189" t="s">
        <v>2756</v>
      </c>
      <c r="L2151" s="189" t="s">
        <v>233</v>
      </c>
      <c r="M2151" s="189" t="s">
        <v>774</v>
      </c>
      <c r="N2151" s="189" t="s">
        <v>297</v>
      </c>
      <c r="O2151" s="189" t="s">
        <v>107</v>
      </c>
      <c r="P2151" s="189" t="s">
        <v>111</v>
      </c>
      <c r="Q2151" s="189" t="s">
        <v>112</v>
      </c>
      <c r="R2151" s="189" t="s">
        <v>22</v>
      </c>
      <c r="S2151" s="189" t="s">
        <v>152</v>
      </c>
      <c r="T2151" s="189" t="s">
        <v>496</v>
      </c>
      <c r="V2151" s="189" t="s">
        <v>123</v>
      </c>
      <c r="W2151" s="189" t="s">
        <v>168</v>
      </c>
      <c r="X2151" s="189" t="s">
        <v>298</v>
      </c>
      <c r="Y2151" s="189" t="s">
        <v>3069</v>
      </c>
      <c r="Z2151" s="0" t="n">
        <v>2</v>
      </c>
      <c r="AA2151" s="189" t="s">
        <v>3210</v>
      </c>
    </row>
    <row r="2152" customFormat="false" ht="15" hidden="false" customHeight="false" outlineLevel="0" collapsed="false">
      <c r="A2152" s="0" t="n">
        <v>460</v>
      </c>
      <c r="B2152" s="191" t="n">
        <v>46210.6206163621</v>
      </c>
      <c r="C2152" s="191" t="n">
        <v>46210.6384520102</v>
      </c>
      <c r="D2152" s="189" t="s">
        <v>2759</v>
      </c>
      <c r="E2152" s="189" t="s">
        <v>2760</v>
      </c>
      <c r="F2152" s="189" t="s">
        <v>2760</v>
      </c>
      <c r="G2152" s="189" t="s">
        <v>2761</v>
      </c>
      <c r="H2152" s="191" t="n">
        <v>46210</v>
      </c>
      <c r="I2152" s="189" t="s">
        <v>113</v>
      </c>
      <c r="J2152" s="189" t="s">
        <v>128</v>
      </c>
      <c r="K2152" s="189" t="s">
        <v>196</v>
      </c>
      <c r="L2152" s="189" t="s">
        <v>431</v>
      </c>
      <c r="M2152" s="189" t="s">
        <v>905</v>
      </c>
      <c r="N2152" s="189" t="s">
        <v>174</v>
      </c>
      <c r="O2152" s="189" t="s">
        <v>157</v>
      </c>
      <c r="P2152" s="189" t="s">
        <v>211</v>
      </c>
      <c r="Q2152" s="189" t="s">
        <v>145</v>
      </c>
      <c r="R2152" s="189" t="s">
        <v>22</v>
      </c>
      <c r="S2152" s="189" t="s">
        <v>152</v>
      </c>
      <c r="T2152" s="189" t="s">
        <v>121</v>
      </c>
      <c r="U2152" s="189" t="s">
        <v>204</v>
      </c>
      <c r="V2152" s="189" t="s">
        <v>123</v>
      </c>
      <c r="W2152" s="189" t="s">
        <v>124</v>
      </c>
      <c r="X2152" s="189" t="s">
        <v>176</v>
      </c>
      <c r="Y2152" s="189" t="s">
        <v>3064</v>
      </c>
      <c r="Z2152" s="0" t="n">
        <v>1</v>
      </c>
      <c r="AA2152" s="189" t="s">
        <v>3269</v>
      </c>
    </row>
    <row r="2153" customFormat="false" ht="15" hidden="false" customHeight="false" outlineLevel="0" collapsed="false">
      <c r="A2153" s="0" t="n">
        <v>460</v>
      </c>
      <c r="B2153" s="191" t="n">
        <v>46210.6206163621</v>
      </c>
      <c r="C2153" s="191" t="n">
        <v>46210.6384520102</v>
      </c>
      <c r="D2153" s="189" t="s">
        <v>2759</v>
      </c>
      <c r="E2153" s="189" t="s">
        <v>2760</v>
      </c>
      <c r="F2153" s="189" t="s">
        <v>2760</v>
      </c>
      <c r="G2153" s="189" t="s">
        <v>2761</v>
      </c>
      <c r="H2153" s="191" t="n">
        <v>46210</v>
      </c>
      <c r="I2153" s="189" t="s">
        <v>113</v>
      </c>
      <c r="J2153" s="189" t="s">
        <v>128</v>
      </c>
      <c r="K2153" s="189" t="s">
        <v>196</v>
      </c>
      <c r="L2153" s="189" t="s">
        <v>431</v>
      </c>
      <c r="M2153" s="189" t="s">
        <v>905</v>
      </c>
      <c r="N2153" s="189" t="s">
        <v>174</v>
      </c>
      <c r="O2153" s="189" t="s">
        <v>157</v>
      </c>
      <c r="P2153" s="189" t="s">
        <v>211</v>
      </c>
      <c r="Q2153" s="189" t="s">
        <v>145</v>
      </c>
      <c r="R2153" s="189" t="s">
        <v>22</v>
      </c>
      <c r="S2153" s="189" t="s">
        <v>152</v>
      </c>
      <c r="T2153" s="189" t="s">
        <v>121</v>
      </c>
      <c r="U2153" s="189" t="s">
        <v>204</v>
      </c>
      <c r="V2153" s="189" t="s">
        <v>123</v>
      </c>
      <c r="W2153" s="189" t="s">
        <v>124</v>
      </c>
      <c r="X2153" s="189" t="s">
        <v>176</v>
      </c>
      <c r="Y2153" s="189" t="s">
        <v>3064</v>
      </c>
      <c r="Z2153" s="0" t="n">
        <v>2</v>
      </c>
      <c r="AA2153" s="189" t="s">
        <v>3204</v>
      </c>
    </row>
    <row r="2154" customFormat="false" ht="15" hidden="false" customHeight="false" outlineLevel="0" collapsed="false">
      <c r="A2154" s="0" t="n">
        <v>460</v>
      </c>
      <c r="B2154" s="191" t="n">
        <v>46210.6206163621</v>
      </c>
      <c r="C2154" s="191" t="n">
        <v>46210.6384520102</v>
      </c>
      <c r="D2154" s="189" t="s">
        <v>2759</v>
      </c>
      <c r="E2154" s="189" t="s">
        <v>2760</v>
      </c>
      <c r="F2154" s="189" t="s">
        <v>2760</v>
      </c>
      <c r="G2154" s="189" t="s">
        <v>2761</v>
      </c>
      <c r="H2154" s="191" t="n">
        <v>46210</v>
      </c>
      <c r="I2154" s="189" t="s">
        <v>113</v>
      </c>
      <c r="J2154" s="189" t="s">
        <v>128</v>
      </c>
      <c r="K2154" s="189" t="s">
        <v>196</v>
      </c>
      <c r="L2154" s="189" t="s">
        <v>431</v>
      </c>
      <c r="M2154" s="189" t="s">
        <v>905</v>
      </c>
      <c r="N2154" s="189" t="s">
        <v>174</v>
      </c>
      <c r="O2154" s="189" t="s">
        <v>157</v>
      </c>
      <c r="P2154" s="189" t="s">
        <v>211</v>
      </c>
      <c r="Q2154" s="189" t="s">
        <v>145</v>
      </c>
      <c r="R2154" s="189" t="s">
        <v>22</v>
      </c>
      <c r="S2154" s="189" t="s">
        <v>152</v>
      </c>
      <c r="T2154" s="189" t="s">
        <v>121</v>
      </c>
      <c r="U2154" s="189" t="s">
        <v>204</v>
      </c>
      <c r="V2154" s="189" t="s">
        <v>123</v>
      </c>
      <c r="W2154" s="189" t="s">
        <v>124</v>
      </c>
      <c r="X2154" s="189" t="s">
        <v>176</v>
      </c>
      <c r="Y2154" s="189" t="s">
        <v>3064</v>
      </c>
      <c r="Z2154" s="0" t="n">
        <v>3</v>
      </c>
      <c r="AA2154" s="189" t="s">
        <v>3321</v>
      </c>
    </row>
    <row r="2155" customFormat="false" ht="15" hidden="false" customHeight="false" outlineLevel="0" collapsed="false">
      <c r="A2155" s="0" t="n">
        <v>460</v>
      </c>
      <c r="B2155" s="191" t="n">
        <v>46210.6206163621</v>
      </c>
      <c r="C2155" s="191" t="n">
        <v>46210.6384520102</v>
      </c>
      <c r="D2155" s="189" t="s">
        <v>2759</v>
      </c>
      <c r="E2155" s="189" t="s">
        <v>2760</v>
      </c>
      <c r="F2155" s="189" t="s">
        <v>2760</v>
      </c>
      <c r="G2155" s="189" t="s">
        <v>2761</v>
      </c>
      <c r="H2155" s="191" t="n">
        <v>46210</v>
      </c>
      <c r="I2155" s="189" t="s">
        <v>113</v>
      </c>
      <c r="J2155" s="189" t="s">
        <v>128</v>
      </c>
      <c r="K2155" s="189" t="s">
        <v>196</v>
      </c>
      <c r="L2155" s="189" t="s">
        <v>431</v>
      </c>
      <c r="M2155" s="189" t="s">
        <v>905</v>
      </c>
      <c r="N2155" s="189" t="s">
        <v>174</v>
      </c>
      <c r="O2155" s="189" t="s">
        <v>157</v>
      </c>
      <c r="P2155" s="189" t="s">
        <v>211</v>
      </c>
      <c r="Q2155" s="189" t="s">
        <v>145</v>
      </c>
      <c r="R2155" s="189" t="s">
        <v>22</v>
      </c>
      <c r="S2155" s="189" t="s">
        <v>152</v>
      </c>
      <c r="T2155" s="189" t="s">
        <v>121</v>
      </c>
      <c r="U2155" s="189" t="s">
        <v>204</v>
      </c>
      <c r="V2155" s="189" t="s">
        <v>123</v>
      </c>
      <c r="W2155" s="189" t="s">
        <v>124</v>
      </c>
      <c r="X2155" s="189" t="s">
        <v>176</v>
      </c>
      <c r="Y2155" s="189" t="s">
        <v>3066</v>
      </c>
      <c r="Z2155" s="0" t="n">
        <v>1</v>
      </c>
      <c r="AA2155" s="189" t="s">
        <v>3336</v>
      </c>
    </row>
    <row r="2156" customFormat="false" ht="15" hidden="false" customHeight="false" outlineLevel="0" collapsed="false">
      <c r="A2156" s="0" t="n">
        <v>460</v>
      </c>
      <c r="B2156" s="191" t="n">
        <v>46210.6206163621</v>
      </c>
      <c r="C2156" s="191" t="n">
        <v>46210.6384520102</v>
      </c>
      <c r="D2156" s="189" t="s">
        <v>2759</v>
      </c>
      <c r="E2156" s="189" t="s">
        <v>2760</v>
      </c>
      <c r="F2156" s="189" t="s">
        <v>2760</v>
      </c>
      <c r="G2156" s="189" t="s">
        <v>2761</v>
      </c>
      <c r="H2156" s="191" t="n">
        <v>46210</v>
      </c>
      <c r="I2156" s="189" t="s">
        <v>113</v>
      </c>
      <c r="J2156" s="189" t="s">
        <v>128</v>
      </c>
      <c r="K2156" s="189" t="s">
        <v>196</v>
      </c>
      <c r="L2156" s="189" t="s">
        <v>431</v>
      </c>
      <c r="M2156" s="189" t="s">
        <v>905</v>
      </c>
      <c r="N2156" s="189" t="s">
        <v>174</v>
      </c>
      <c r="O2156" s="189" t="s">
        <v>157</v>
      </c>
      <c r="P2156" s="189" t="s">
        <v>211</v>
      </c>
      <c r="Q2156" s="189" t="s">
        <v>145</v>
      </c>
      <c r="R2156" s="189" t="s">
        <v>22</v>
      </c>
      <c r="S2156" s="189" t="s">
        <v>152</v>
      </c>
      <c r="T2156" s="189" t="s">
        <v>121</v>
      </c>
      <c r="U2156" s="189" t="s">
        <v>204</v>
      </c>
      <c r="V2156" s="189" t="s">
        <v>123</v>
      </c>
      <c r="W2156" s="189" t="s">
        <v>124</v>
      </c>
      <c r="X2156" s="189" t="s">
        <v>176</v>
      </c>
      <c r="Y2156" s="189" t="s">
        <v>3069</v>
      </c>
      <c r="Z2156" s="0" t="n">
        <v>1</v>
      </c>
      <c r="AA2156" s="189" t="s">
        <v>3294</v>
      </c>
    </row>
    <row r="2157" customFormat="false" ht="15" hidden="false" customHeight="false" outlineLevel="0" collapsed="false">
      <c r="A2157" s="0" t="n">
        <v>461</v>
      </c>
      <c r="B2157" s="191" t="n">
        <v>46093.289644947</v>
      </c>
      <c r="C2157" s="191" t="n">
        <v>46093.2912768914</v>
      </c>
      <c r="D2157" s="189" t="s">
        <v>2765</v>
      </c>
      <c r="E2157" s="189" t="s">
        <v>2766</v>
      </c>
      <c r="F2157" s="189" t="s">
        <v>2766</v>
      </c>
      <c r="G2157" s="189" t="s">
        <v>2767</v>
      </c>
      <c r="H2157" s="191" t="n">
        <v>46083</v>
      </c>
      <c r="I2157" s="189" t="s">
        <v>113</v>
      </c>
      <c r="J2157" s="189" t="s">
        <v>108</v>
      </c>
      <c r="K2157" s="189" t="s">
        <v>196</v>
      </c>
      <c r="L2157" s="189" t="s">
        <v>197</v>
      </c>
      <c r="M2157" s="189" t="s">
        <v>694</v>
      </c>
      <c r="N2157" s="189" t="s">
        <v>2315</v>
      </c>
      <c r="O2157" s="189" t="s">
        <v>172</v>
      </c>
      <c r="P2157" s="189" t="s">
        <v>111</v>
      </c>
      <c r="Q2157" s="189" t="s">
        <v>198</v>
      </c>
      <c r="R2157" s="189" t="s">
        <v>22</v>
      </c>
      <c r="S2157" s="189" t="s">
        <v>152</v>
      </c>
      <c r="T2157" s="189" t="s">
        <v>121</v>
      </c>
      <c r="U2157" s="189" t="s">
        <v>562</v>
      </c>
      <c r="V2157" s="189" t="s">
        <v>123</v>
      </c>
      <c r="W2157" s="189" t="s">
        <v>124</v>
      </c>
      <c r="X2157" s="189" t="s">
        <v>381</v>
      </c>
      <c r="Y2157" s="189" t="s">
        <v>3064</v>
      </c>
      <c r="Z2157" s="0" t="n">
        <v>1</v>
      </c>
      <c r="AA2157" s="189" t="s">
        <v>3159</v>
      </c>
    </row>
    <row r="2158" customFormat="false" ht="15" hidden="false" customHeight="false" outlineLevel="0" collapsed="false">
      <c r="A2158" s="0" t="n">
        <v>461</v>
      </c>
      <c r="B2158" s="191" t="n">
        <v>46093.289644947</v>
      </c>
      <c r="C2158" s="191" t="n">
        <v>46093.2912768914</v>
      </c>
      <c r="D2158" s="189" t="s">
        <v>2765</v>
      </c>
      <c r="E2158" s="189" t="s">
        <v>2766</v>
      </c>
      <c r="F2158" s="189" t="s">
        <v>2766</v>
      </c>
      <c r="G2158" s="189" t="s">
        <v>2767</v>
      </c>
      <c r="H2158" s="191" t="n">
        <v>46083</v>
      </c>
      <c r="I2158" s="189" t="s">
        <v>113</v>
      </c>
      <c r="J2158" s="189" t="s">
        <v>108</v>
      </c>
      <c r="K2158" s="189" t="s">
        <v>196</v>
      </c>
      <c r="L2158" s="189" t="s">
        <v>197</v>
      </c>
      <c r="M2158" s="189" t="s">
        <v>694</v>
      </c>
      <c r="N2158" s="189" t="s">
        <v>2315</v>
      </c>
      <c r="O2158" s="189" t="s">
        <v>172</v>
      </c>
      <c r="P2158" s="189" t="s">
        <v>111</v>
      </c>
      <c r="Q2158" s="189" t="s">
        <v>198</v>
      </c>
      <c r="R2158" s="189" t="s">
        <v>22</v>
      </c>
      <c r="S2158" s="189" t="s">
        <v>152</v>
      </c>
      <c r="T2158" s="189" t="s">
        <v>121</v>
      </c>
      <c r="U2158" s="189" t="s">
        <v>562</v>
      </c>
      <c r="V2158" s="189" t="s">
        <v>123</v>
      </c>
      <c r="W2158" s="189" t="s">
        <v>124</v>
      </c>
      <c r="X2158" s="189" t="s">
        <v>381</v>
      </c>
      <c r="Y2158" s="189" t="s">
        <v>3064</v>
      </c>
      <c r="Z2158" s="0" t="n">
        <v>2</v>
      </c>
      <c r="AA2158" s="189" t="s">
        <v>3249</v>
      </c>
    </row>
    <row r="2159" customFormat="false" ht="15" hidden="false" customHeight="false" outlineLevel="0" collapsed="false">
      <c r="A2159" s="0" t="n">
        <v>461</v>
      </c>
      <c r="B2159" s="191" t="n">
        <v>46093.289644947</v>
      </c>
      <c r="C2159" s="191" t="n">
        <v>46093.2912768914</v>
      </c>
      <c r="D2159" s="189" t="s">
        <v>2765</v>
      </c>
      <c r="E2159" s="189" t="s">
        <v>2766</v>
      </c>
      <c r="F2159" s="189" t="s">
        <v>2766</v>
      </c>
      <c r="G2159" s="189" t="s">
        <v>2767</v>
      </c>
      <c r="H2159" s="191" t="n">
        <v>46083</v>
      </c>
      <c r="I2159" s="189" t="s">
        <v>113</v>
      </c>
      <c r="J2159" s="189" t="s">
        <v>108</v>
      </c>
      <c r="K2159" s="189" t="s">
        <v>196</v>
      </c>
      <c r="L2159" s="189" t="s">
        <v>197</v>
      </c>
      <c r="M2159" s="189" t="s">
        <v>694</v>
      </c>
      <c r="N2159" s="189" t="s">
        <v>2315</v>
      </c>
      <c r="O2159" s="189" t="s">
        <v>172</v>
      </c>
      <c r="P2159" s="189" t="s">
        <v>111</v>
      </c>
      <c r="Q2159" s="189" t="s">
        <v>198</v>
      </c>
      <c r="R2159" s="189" t="s">
        <v>22</v>
      </c>
      <c r="S2159" s="189" t="s">
        <v>152</v>
      </c>
      <c r="T2159" s="189" t="s">
        <v>121</v>
      </c>
      <c r="U2159" s="189" t="s">
        <v>562</v>
      </c>
      <c r="V2159" s="189" t="s">
        <v>123</v>
      </c>
      <c r="W2159" s="189" t="s">
        <v>124</v>
      </c>
      <c r="X2159" s="189" t="s">
        <v>381</v>
      </c>
      <c r="Y2159" s="189" t="s">
        <v>3066</v>
      </c>
      <c r="Z2159" s="0" t="n">
        <v>1</v>
      </c>
      <c r="AA2159" s="189" t="s">
        <v>3160</v>
      </c>
    </row>
    <row r="2160" customFormat="false" ht="15" hidden="false" customHeight="false" outlineLevel="0" collapsed="false">
      <c r="A2160" s="0" t="n">
        <v>461</v>
      </c>
      <c r="B2160" s="191" t="n">
        <v>46093.289644947</v>
      </c>
      <c r="C2160" s="191" t="n">
        <v>46093.2912768914</v>
      </c>
      <c r="D2160" s="189" t="s">
        <v>2765</v>
      </c>
      <c r="E2160" s="189" t="s">
        <v>2766</v>
      </c>
      <c r="F2160" s="189" t="s">
        <v>2766</v>
      </c>
      <c r="G2160" s="189" t="s">
        <v>2767</v>
      </c>
      <c r="H2160" s="191" t="n">
        <v>46083</v>
      </c>
      <c r="I2160" s="189" t="s">
        <v>113</v>
      </c>
      <c r="J2160" s="189" t="s">
        <v>108</v>
      </c>
      <c r="K2160" s="189" t="s">
        <v>196</v>
      </c>
      <c r="L2160" s="189" t="s">
        <v>197</v>
      </c>
      <c r="M2160" s="189" t="s">
        <v>694</v>
      </c>
      <c r="N2160" s="189" t="s">
        <v>2315</v>
      </c>
      <c r="O2160" s="189" t="s">
        <v>172</v>
      </c>
      <c r="P2160" s="189" t="s">
        <v>111</v>
      </c>
      <c r="Q2160" s="189" t="s">
        <v>198</v>
      </c>
      <c r="R2160" s="189" t="s">
        <v>22</v>
      </c>
      <c r="S2160" s="189" t="s">
        <v>152</v>
      </c>
      <c r="T2160" s="189" t="s">
        <v>121</v>
      </c>
      <c r="U2160" s="189" t="s">
        <v>562</v>
      </c>
      <c r="V2160" s="189" t="s">
        <v>123</v>
      </c>
      <c r="W2160" s="189" t="s">
        <v>124</v>
      </c>
      <c r="X2160" s="189" t="s">
        <v>381</v>
      </c>
      <c r="Y2160" s="189" t="s">
        <v>3066</v>
      </c>
      <c r="Z2160" s="0" t="n">
        <v>2</v>
      </c>
      <c r="AA2160" s="189" t="s">
        <v>3161</v>
      </c>
    </row>
    <row r="2161" customFormat="false" ht="15" hidden="false" customHeight="false" outlineLevel="0" collapsed="false">
      <c r="A2161" s="0" t="n">
        <v>461</v>
      </c>
      <c r="B2161" s="191" t="n">
        <v>46093.289644947</v>
      </c>
      <c r="C2161" s="191" t="n">
        <v>46093.2912768914</v>
      </c>
      <c r="D2161" s="189" t="s">
        <v>2765</v>
      </c>
      <c r="E2161" s="189" t="s">
        <v>2766</v>
      </c>
      <c r="F2161" s="189" t="s">
        <v>2766</v>
      </c>
      <c r="G2161" s="189" t="s">
        <v>2767</v>
      </c>
      <c r="H2161" s="191" t="n">
        <v>46083</v>
      </c>
      <c r="I2161" s="189" t="s">
        <v>113</v>
      </c>
      <c r="J2161" s="189" t="s">
        <v>108</v>
      </c>
      <c r="K2161" s="189" t="s">
        <v>196</v>
      </c>
      <c r="L2161" s="189" t="s">
        <v>197</v>
      </c>
      <c r="M2161" s="189" t="s">
        <v>694</v>
      </c>
      <c r="N2161" s="189" t="s">
        <v>2315</v>
      </c>
      <c r="O2161" s="189" t="s">
        <v>172</v>
      </c>
      <c r="P2161" s="189" t="s">
        <v>111</v>
      </c>
      <c r="Q2161" s="189" t="s">
        <v>198</v>
      </c>
      <c r="R2161" s="189" t="s">
        <v>22</v>
      </c>
      <c r="S2161" s="189" t="s">
        <v>152</v>
      </c>
      <c r="T2161" s="189" t="s">
        <v>121</v>
      </c>
      <c r="U2161" s="189" t="s">
        <v>562</v>
      </c>
      <c r="V2161" s="189" t="s">
        <v>123</v>
      </c>
      <c r="W2161" s="189" t="s">
        <v>124</v>
      </c>
      <c r="X2161" s="189" t="s">
        <v>381</v>
      </c>
      <c r="Y2161" s="189" t="s">
        <v>3069</v>
      </c>
      <c r="Z2161" s="0" t="n">
        <v>1</v>
      </c>
      <c r="AA2161" s="189" t="s">
        <v>3163</v>
      </c>
    </row>
    <row r="2162" customFormat="false" ht="15" hidden="false" customHeight="false" outlineLevel="0" collapsed="false">
      <c r="A2162" s="0" t="n">
        <v>462</v>
      </c>
      <c r="B2162" s="191" t="n">
        <v>46054.5956944546</v>
      </c>
      <c r="C2162" s="191" t="n">
        <v>46054.5993055657</v>
      </c>
      <c r="D2162" s="189" t="s">
        <v>2769</v>
      </c>
      <c r="E2162" s="189" t="s">
        <v>2770</v>
      </c>
      <c r="F2162" s="189" t="s">
        <v>2770</v>
      </c>
      <c r="G2162" s="189" t="s">
        <v>2771</v>
      </c>
      <c r="H2162" s="191" t="n">
        <v>46044</v>
      </c>
      <c r="I2162" s="189" t="s">
        <v>113</v>
      </c>
      <c r="J2162" s="189" t="s">
        <v>128</v>
      </c>
      <c r="K2162" s="189" t="s">
        <v>2772</v>
      </c>
      <c r="L2162" s="189" t="s">
        <v>130</v>
      </c>
      <c r="M2162" s="189" t="s">
        <v>515</v>
      </c>
      <c r="N2162" s="189" t="s">
        <v>701</v>
      </c>
      <c r="O2162" s="189" t="s">
        <v>107</v>
      </c>
      <c r="P2162" s="189" t="s">
        <v>111</v>
      </c>
      <c r="Q2162" s="189" t="s">
        <v>145</v>
      </c>
      <c r="R2162" s="189" t="s">
        <v>21</v>
      </c>
      <c r="S2162" s="189" t="s">
        <v>120</v>
      </c>
      <c r="T2162" s="189" t="s">
        <v>121</v>
      </c>
      <c r="U2162" s="189" t="s">
        <v>321</v>
      </c>
      <c r="V2162" s="189" t="s">
        <v>192</v>
      </c>
      <c r="W2162" s="189" t="s">
        <v>124</v>
      </c>
      <c r="X2162" s="189" t="s">
        <v>187</v>
      </c>
      <c r="Y2162" s="189" t="s">
        <v>3064</v>
      </c>
      <c r="Z2162" s="0" t="n">
        <v>1</v>
      </c>
      <c r="AA2162" s="189" t="s">
        <v>3089</v>
      </c>
    </row>
    <row r="2163" customFormat="false" ht="15" hidden="false" customHeight="false" outlineLevel="0" collapsed="false">
      <c r="A2163" s="0" t="n">
        <v>462</v>
      </c>
      <c r="B2163" s="191" t="n">
        <v>46054.5956944546</v>
      </c>
      <c r="C2163" s="191" t="n">
        <v>46054.5993055657</v>
      </c>
      <c r="D2163" s="189" t="s">
        <v>2769</v>
      </c>
      <c r="E2163" s="189" t="s">
        <v>2770</v>
      </c>
      <c r="F2163" s="189" t="s">
        <v>2770</v>
      </c>
      <c r="G2163" s="189" t="s">
        <v>2771</v>
      </c>
      <c r="H2163" s="191" t="n">
        <v>46044</v>
      </c>
      <c r="I2163" s="189" t="s">
        <v>113</v>
      </c>
      <c r="J2163" s="189" t="s">
        <v>128</v>
      </c>
      <c r="K2163" s="189" t="s">
        <v>2772</v>
      </c>
      <c r="L2163" s="189" t="s">
        <v>130</v>
      </c>
      <c r="M2163" s="189" t="s">
        <v>515</v>
      </c>
      <c r="N2163" s="189" t="s">
        <v>701</v>
      </c>
      <c r="O2163" s="189" t="s">
        <v>107</v>
      </c>
      <c r="P2163" s="189" t="s">
        <v>111</v>
      </c>
      <c r="Q2163" s="189" t="s">
        <v>145</v>
      </c>
      <c r="R2163" s="189" t="s">
        <v>21</v>
      </c>
      <c r="S2163" s="189" t="s">
        <v>120</v>
      </c>
      <c r="T2163" s="189" t="s">
        <v>121</v>
      </c>
      <c r="U2163" s="189" t="s">
        <v>321</v>
      </c>
      <c r="V2163" s="189" t="s">
        <v>192</v>
      </c>
      <c r="W2163" s="189" t="s">
        <v>124</v>
      </c>
      <c r="X2163" s="189" t="s">
        <v>187</v>
      </c>
      <c r="Y2163" s="189" t="s">
        <v>3066</v>
      </c>
      <c r="Z2163" s="0" t="n">
        <v>1</v>
      </c>
      <c r="AA2163" s="189" t="s">
        <v>3090</v>
      </c>
    </row>
    <row r="2164" customFormat="false" ht="15" hidden="false" customHeight="false" outlineLevel="0" collapsed="false">
      <c r="A2164" s="0" t="n">
        <v>462</v>
      </c>
      <c r="B2164" s="191" t="n">
        <v>46054.5956944546</v>
      </c>
      <c r="C2164" s="191" t="n">
        <v>46054.5993055657</v>
      </c>
      <c r="D2164" s="189" t="s">
        <v>2769</v>
      </c>
      <c r="E2164" s="189" t="s">
        <v>2770</v>
      </c>
      <c r="F2164" s="189" t="s">
        <v>2770</v>
      </c>
      <c r="G2164" s="189" t="s">
        <v>2771</v>
      </c>
      <c r="H2164" s="191" t="n">
        <v>46044</v>
      </c>
      <c r="I2164" s="189" t="s">
        <v>113</v>
      </c>
      <c r="J2164" s="189" t="s">
        <v>128</v>
      </c>
      <c r="K2164" s="189" t="s">
        <v>2772</v>
      </c>
      <c r="L2164" s="189" t="s">
        <v>130</v>
      </c>
      <c r="M2164" s="189" t="s">
        <v>515</v>
      </c>
      <c r="N2164" s="189" t="s">
        <v>701</v>
      </c>
      <c r="O2164" s="189" t="s">
        <v>107</v>
      </c>
      <c r="P2164" s="189" t="s">
        <v>111</v>
      </c>
      <c r="Q2164" s="189" t="s">
        <v>145</v>
      </c>
      <c r="R2164" s="189" t="s">
        <v>21</v>
      </c>
      <c r="S2164" s="189" t="s">
        <v>120</v>
      </c>
      <c r="T2164" s="189" t="s">
        <v>121</v>
      </c>
      <c r="U2164" s="189" t="s">
        <v>321</v>
      </c>
      <c r="V2164" s="189" t="s">
        <v>192</v>
      </c>
      <c r="W2164" s="189" t="s">
        <v>124</v>
      </c>
      <c r="X2164" s="189" t="s">
        <v>187</v>
      </c>
      <c r="Y2164" s="189" t="s">
        <v>3066</v>
      </c>
      <c r="Z2164" s="0" t="n">
        <v>2</v>
      </c>
      <c r="AA2164" s="189" t="s">
        <v>3167</v>
      </c>
    </row>
    <row r="2165" customFormat="false" ht="15" hidden="false" customHeight="false" outlineLevel="0" collapsed="false">
      <c r="A2165" s="0" t="n">
        <v>462</v>
      </c>
      <c r="B2165" s="191" t="n">
        <v>46054.5956944546</v>
      </c>
      <c r="C2165" s="191" t="n">
        <v>46054.5993055657</v>
      </c>
      <c r="D2165" s="189" t="s">
        <v>2769</v>
      </c>
      <c r="E2165" s="189" t="s">
        <v>2770</v>
      </c>
      <c r="F2165" s="189" t="s">
        <v>2770</v>
      </c>
      <c r="G2165" s="189" t="s">
        <v>2771</v>
      </c>
      <c r="H2165" s="191" t="n">
        <v>46044</v>
      </c>
      <c r="I2165" s="189" t="s">
        <v>113</v>
      </c>
      <c r="J2165" s="189" t="s">
        <v>128</v>
      </c>
      <c r="K2165" s="189" t="s">
        <v>2772</v>
      </c>
      <c r="L2165" s="189" t="s">
        <v>130</v>
      </c>
      <c r="M2165" s="189" t="s">
        <v>515</v>
      </c>
      <c r="N2165" s="189" t="s">
        <v>701</v>
      </c>
      <c r="O2165" s="189" t="s">
        <v>107</v>
      </c>
      <c r="P2165" s="189" t="s">
        <v>111</v>
      </c>
      <c r="Q2165" s="189" t="s">
        <v>145</v>
      </c>
      <c r="R2165" s="189" t="s">
        <v>21</v>
      </c>
      <c r="S2165" s="189" t="s">
        <v>120</v>
      </c>
      <c r="T2165" s="189" t="s">
        <v>121</v>
      </c>
      <c r="U2165" s="189" t="s">
        <v>321</v>
      </c>
      <c r="V2165" s="189" t="s">
        <v>192</v>
      </c>
      <c r="W2165" s="189" t="s">
        <v>124</v>
      </c>
      <c r="X2165" s="189" t="s">
        <v>187</v>
      </c>
      <c r="Y2165" s="189" t="s">
        <v>3069</v>
      </c>
      <c r="Z2165" s="0" t="n">
        <v>1</v>
      </c>
      <c r="AA2165" s="189" t="s">
        <v>3091</v>
      </c>
    </row>
    <row r="2166" customFormat="false" ht="15" hidden="false" customHeight="false" outlineLevel="0" collapsed="false">
      <c r="A2166" s="0" t="n">
        <v>463</v>
      </c>
      <c r="B2166" s="191" t="n">
        <v>46113.8356871494</v>
      </c>
      <c r="C2166" s="191" t="n">
        <v>46113.8477820568</v>
      </c>
      <c r="D2166" s="189" t="s">
        <v>2774</v>
      </c>
      <c r="E2166" s="189" t="s">
        <v>2775</v>
      </c>
      <c r="F2166" s="189" t="s">
        <v>2775</v>
      </c>
      <c r="G2166" s="189" t="s">
        <v>2776</v>
      </c>
      <c r="H2166" s="191" t="n">
        <v>46112</v>
      </c>
      <c r="I2166" s="189" t="s">
        <v>113</v>
      </c>
      <c r="J2166" s="189" t="s">
        <v>108</v>
      </c>
      <c r="K2166" s="189" t="s">
        <v>2777</v>
      </c>
      <c r="L2166" s="189" t="s">
        <v>431</v>
      </c>
      <c r="M2166" s="189" t="s">
        <v>286</v>
      </c>
      <c r="N2166" s="189" t="s">
        <v>1229</v>
      </c>
      <c r="O2166" s="189" t="s">
        <v>172</v>
      </c>
      <c r="P2166" s="189" t="s">
        <v>390</v>
      </c>
      <c r="Q2166" s="189" t="s">
        <v>112</v>
      </c>
      <c r="R2166" s="189" t="s">
        <v>22</v>
      </c>
      <c r="S2166" s="189" t="s">
        <v>120</v>
      </c>
      <c r="T2166" s="189" t="s">
        <v>121</v>
      </c>
      <c r="U2166" s="189" t="s">
        <v>122</v>
      </c>
      <c r="V2166" s="189" t="s">
        <v>167</v>
      </c>
      <c r="W2166" s="189" t="s">
        <v>124</v>
      </c>
      <c r="X2166" s="189" t="s">
        <v>298</v>
      </c>
      <c r="Y2166" s="189" t="s">
        <v>3064</v>
      </c>
      <c r="Z2166" s="0" t="n">
        <v>1</v>
      </c>
      <c r="AA2166" s="189" t="s">
        <v>3273</v>
      </c>
    </row>
    <row r="2167" customFormat="false" ht="15" hidden="false" customHeight="false" outlineLevel="0" collapsed="false">
      <c r="A2167" s="0" t="n">
        <v>463</v>
      </c>
      <c r="B2167" s="191" t="n">
        <v>46113.8356871494</v>
      </c>
      <c r="C2167" s="191" t="n">
        <v>46113.8477820568</v>
      </c>
      <c r="D2167" s="189" t="s">
        <v>2774</v>
      </c>
      <c r="E2167" s="189" t="s">
        <v>2775</v>
      </c>
      <c r="F2167" s="189" t="s">
        <v>2775</v>
      </c>
      <c r="G2167" s="189" t="s">
        <v>2776</v>
      </c>
      <c r="H2167" s="191" t="n">
        <v>46112</v>
      </c>
      <c r="I2167" s="189" t="s">
        <v>113</v>
      </c>
      <c r="J2167" s="189" t="s">
        <v>108</v>
      </c>
      <c r="K2167" s="189" t="s">
        <v>2777</v>
      </c>
      <c r="L2167" s="189" t="s">
        <v>431</v>
      </c>
      <c r="M2167" s="189" t="s">
        <v>286</v>
      </c>
      <c r="N2167" s="189" t="s">
        <v>1229</v>
      </c>
      <c r="O2167" s="189" t="s">
        <v>172</v>
      </c>
      <c r="P2167" s="189" t="s">
        <v>390</v>
      </c>
      <c r="Q2167" s="189" t="s">
        <v>112</v>
      </c>
      <c r="R2167" s="189" t="s">
        <v>22</v>
      </c>
      <c r="S2167" s="189" t="s">
        <v>120</v>
      </c>
      <c r="T2167" s="189" t="s">
        <v>121</v>
      </c>
      <c r="U2167" s="189" t="s">
        <v>122</v>
      </c>
      <c r="V2167" s="189" t="s">
        <v>167</v>
      </c>
      <c r="W2167" s="189" t="s">
        <v>124</v>
      </c>
      <c r="X2167" s="189" t="s">
        <v>298</v>
      </c>
      <c r="Y2167" s="189" t="s">
        <v>3064</v>
      </c>
      <c r="Z2167" s="0" t="n">
        <v>2</v>
      </c>
      <c r="AA2167" s="189" t="s">
        <v>3194</v>
      </c>
    </row>
    <row r="2168" customFormat="false" ht="15" hidden="false" customHeight="false" outlineLevel="0" collapsed="false">
      <c r="A2168" s="0" t="n">
        <v>463</v>
      </c>
      <c r="B2168" s="191" t="n">
        <v>46113.8356871494</v>
      </c>
      <c r="C2168" s="191" t="n">
        <v>46113.8477820568</v>
      </c>
      <c r="D2168" s="189" t="s">
        <v>2774</v>
      </c>
      <c r="E2168" s="189" t="s">
        <v>2775</v>
      </c>
      <c r="F2168" s="189" t="s">
        <v>2775</v>
      </c>
      <c r="G2168" s="189" t="s">
        <v>2776</v>
      </c>
      <c r="H2168" s="191" t="n">
        <v>46112</v>
      </c>
      <c r="I2168" s="189" t="s">
        <v>113</v>
      </c>
      <c r="J2168" s="189" t="s">
        <v>108</v>
      </c>
      <c r="K2168" s="189" t="s">
        <v>2777</v>
      </c>
      <c r="L2168" s="189" t="s">
        <v>431</v>
      </c>
      <c r="M2168" s="189" t="s">
        <v>286</v>
      </c>
      <c r="N2168" s="189" t="s">
        <v>1229</v>
      </c>
      <c r="O2168" s="189" t="s">
        <v>172</v>
      </c>
      <c r="P2168" s="189" t="s">
        <v>390</v>
      </c>
      <c r="Q2168" s="189" t="s">
        <v>112</v>
      </c>
      <c r="R2168" s="189" t="s">
        <v>22</v>
      </c>
      <c r="S2168" s="189" t="s">
        <v>120</v>
      </c>
      <c r="T2168" s="189" t="s">
        <v>121</v>
      </c>
      <c r="U2168" s="189" t="s">
        <v>122</v>
      </c>
      <c r="V2168" s="189" t="s">
        <v>167</v>
      </c>
      <c r="W2168" s="189" t="s">
        <v>124</v>
      </c>
      <c r="X2168" s="189" t="s">
        <v>298</v>
      </c>
      <c r="Y2168" s="189" t="s">
        <v>3066</v>
      </c>
      <c r="Z2168" s="0" t="n">
        <v>1</v>
      </c>
      <c r="AA2168" s="189" t="s">
        <v>3316</v>
      </c>
    </row>
    <row r="2169" customFormat="false" ht="15" hidden="false" customHeight="false" outlineLevel="0" collapsed="false">
      <c r="A2169" s="0" t="n">
        <v>463</v>
      </c>
      <c r="B2169" s="191" t="n">
        <v>46113.8356871494</v>
      </c>
      <c r="C2169" s="191" t="n">
        <v>46113.8477820568</v>
      </c>
      <c r="D2169" s="189" t="s">
        <v>2774</v>
      </c>
      <c r="E2169" s="189" t="s">
        <v>2775</v>
      </c>
      <c r="F2169" s="189" t="s">
        <v>2775</v>
      </c>
      <c r="G2169" s="189" t="s">
        <v>2776</v>
      </c>
      <c r="H2169" s="191" t="n">
        <v>46112</v>
      </c>
      <c r="I2169" s="189" t="s">
        <v>113</v>
      </c>
      <c r="J2169" s="189" t="s">
        <v>108</v>
      </c>
      <c r="K2169" s="189" t="s">
        <v>2777</v>
      </c>
      <c r="L2169" s="189" t="s">
        <v>431</v>
      </c>
      <c r="M2169" s="189" t="s">
        <v>286</v>
      </c>
      <c r="N2169" s="189" t="s">
        <v>1229</v>
      </c>
      <c r="O2169" s="189" t="s">
        <v>172</v>
      </c>
      <c r="P2169" s="189" t="s">
        <v>390</v>
      </c>
      <c r="Q2169" s="189" t="s">
        <v>112</v>
      </c>
      <c r="R2169" s="189" t="s">
        <v>22</v>
      </c>
      <c r="S2169" s="189" t="s">
        <v>120</v>
      </c>
      <c r="T2169" s="189" t="s">
        <v>121</v>
      </c>
      <c r="U2169" s="189" t="s">
        <v>122</v>
      </c>
      <c r="V2169" s="189" t="s">
        <v>167</v>
      </c>
      <c r="W2169" s="189" t="s">
        <v>124</v>
      </c>
      <c r="X2169" s="189" t="s">
        <v>298</v>
      </c>
      <c r="Y2169" s="189" t="s">
        <v>3069</v>
      </c>
      <c r="Z2169" s="0" t="n">
        <v>1</v>
      </c>
      <c r="AA2169" s="189" t="s">
        <v>3275</v>
      </c>
    </row>
    <row r="2170" customFormat="false" ht="15" hidden="false" customHeight="false" outlineLevel="0" collapsed="false">
      <c r="A2170" s="0" t="n">
        <v>463</v>
      </c>
      <c r="B2170" s="191" t="n">
        <v>46113.8356871494</v>
      </c>
      <c r="C2170" s="191" t="n">
        <v>46113.8477820568</v>
      </c>
      <c r="D2170" s="189" t="s">
        <v>2774</v>
      </c>
      <c r="E2170" s="189" t="s">
        <v>2775</v>
      </c>
      <c r="F2170" s="189" t="s">
        <v>2775</v>
      </c>
      <c r="G2170" s="189" t="s">
        <v>2776</v>
      </c>
      <c r="H2170" s="191" t="n">
        <v>46112</v>
      </c>
      <c r="I2170" s="189" t="s">
        <v>113</v>
      </c>
      <c r="J2170" s="189" t="s">
        <v>108</v>
      </c>
      <c r="K2170" s="189" t="s">
        <v>2777</v>
      </c>
      <c r="L2170" s="189" t="s">
        <v>431</v>
      </c>
      <c r="M2170" s="189" t="s">
        <v>286</v>
      </c>
      <c r="N2170" s="189" t="s">
        <v>1229</v>
      </c>
      <c r="O2170" s="189" t="s">
        <v>172</v>
      </c>
      <c r="P2170" s="189" t="s">
        <v>390</v>
      </c>
      <c r="Q2170" s="189" t="s">
        <v>112</v>
      </c>
      <c r="R2170" s="189" t="s">
        <v>22</v>
      </c>
      <c r="S2170" s="189" t="s">
        <v>120</v>
      </c>
      <c r="T2170" s="189" t="s">
        <v>121</v>
      </c>
      <c r="U2170" s="189" t="s">
        <v>122</v>
      </c>
      <c r="V2170" s="189" t="s">
        <v>167</v>
      </c>
      <c r="W2170" s="189" t="s">
        <v>124</v>
      </c>
      <c r="X2170" s="189" t="s">
        <v>298</v>
      </c>
      <c r="Y2170" s="189" t="s">
        <v>3069</v>
      </c>
      <c r="Z2170" s="0" t="n">
        <v>2</v>
      </c>
      <c r="AA2170" s="189" t="s">
        <v>122</v>
      </c>
    </row>
    <row r="2171" customFormat="false" ht="15" hidden="false" customHeight="false" outlineLevel="0" collapsed="false">
      <c r="A2171" s="0" t="n">
        <v>464</v>
      </c>
      <c r="B2171" s="191" t="n">
        <v>46149.4053828465</v>
      </c>
      <c r="C2171" s="191" t="n">
        <v>46149.4201050687</v>
      </c>
      <c r="D2171" s="189" t="s">
        <v>2781</v>
      </c>
      <c r="E2171" s="189" t="s">
        <v>2782</v>
      </c>
      <c r="F2171" s="189" t="s">
        <v>2782</v>
      </c>
      <c r="G2171" s="189" t="s">
        <v>2783</v>
      </c>
      <c r="H2171" s="191" t="n">
        <v>46138</v>
      </c>
      <c r="I2171" s="189" t="s">
        <v>113</v>
      </c>
      <c r="J2171" s="189" t="s">
        <v>108</v>
      </c>
      <c r="K2171" s="189" t="s">
        <v>257</v>
      </c>
      <c r="L2171" s="189" t="s">
        <v>114</v>
      </c>
      <c r="M2171" s="189" t="s">
        <v>397</v>
      </c>
      <c r="N2171" s="189" t="s">
        <v>841</v>
      </c>
      <c r="O2171" s="189" t="s">
        <v>278</v>
      </c>
      <c r="P2171" s="189" t="s">
        <v>111</v>
      </c>
      <c r="Q2171" s="189" t="s">
        <v>112</v>
      </c>
      <c r="R2171" s="189" t="s">
        <v>21</v>
      </c>
      <c r="S2171" s="189" t="s">
        <v>152</v>
      </c>
      <c r="T2171" s="189" t="s">
        <v>121</v>
      </c>
      <c r="V2171" s="189" t="s">
        <v>192</v>
      </c>
      <c r="W2171" s="189" t="s">
        <v>124</v>
      </c>
      <c r="X2171" s="189" t="s">
        <v>1830</v>
      </c>
      <c r="Y2171" s="189" t="s">
        <v>3064</v>
      </c>
      <c r="Z2171" s="0" t="n">
        <v>1</v>
      </c>
      <c r="AA2171" s="189" t="s">
        <v>3312</v>
      </c>
    </row>
    <row r="2172" customFormat="false" ht="15" hidden="false" customHeight="false" outlineLevel="0" collapsed="false">
      <c r="A2172" s="0" t="n">
        <v>464</v>
      </c>
      <c r="B2172" s="191" t="n">
        <v>46149.4053828465</v>
      </c>
      <c r="C2172" s="191" t="n">
        <v>46149.4201050687</v>
      </c>
      <c r="D2172" s="189" t="s">
        <v>2781</v>
      </c>
      <c r="E2172" s="189" t="s">
        <v>2782</v>
      </c>
      <c r="F2172" s="189" t="s">
        <v>2782</v>
      </c>
      <c r="G2172" s="189" t="s">
        <v>2783</v>
      </c>
      <c r="H2172" s="191" t="n">
        <v>46138</v>
      </c>
      <c r="I2172" s="189" t="s">
        <v>113</v>
      </c>
      <c r="J2172" s="189" t="s">
        <v>108</v>
      </c>
      <c r="K2172" s="189" t="s">
        <v>257</v>
      </c>
      <c r="L2172" s="189" t="s">
        <v>114</v>
      </c>
      <c r="M2172" s="189" t="s">
        <v>397</v>
      </c>
      <c r="N2172" s="189" t="s">
        <v>841</v>
      </c>
      <c r="O2172" s="189" t="s">
        <v>278</v>
      </c>
      <c r="P2172" s="189" t="s">
        <v>111</v>
      </c>
      <c r="Q2172" s="189" t="s">
        <v>112</v>
      </c>
      <c r="R2172" s="189" t="s">
        <v>21</v>
      </c>
      <c r="S2172" s="189" t="s">
        <v>152</v>
      </c>
      <c r="T2172" s="189" t="s">
        <v>121</v>
      </c>
      <c r="V2172" s="189" t="s">
        <v>192</v>
      </c>
      <c r="W2172" s="189" t="s">
        <v>124</v>
      </c>
      <c r="X2172" s="189" t="s">
        <v>1830</v>
      </c>
      <c r="Y2172" s="189" t="s">
        <v>3064</v>
      </c>
      <c r="Z2172" s="0" t="n">
        <v>2</v>
      </c>
      <c r="AA2172" s="189" t="s">
        <v>3311</v>
      </c>
    </row>
    <row r="2173" customFormat="false" ht="15" hidden="false" customHeight="false" outlineLevel="0" collapsed="false">
      <c r="A2173" s="0" t="n">
        <v>464</v>
      </c>
      <c r="B2173" s="191" t="n">
        <v>46149.4053828465</v>
      </c>
      <c r="C2173" s="191" t="n">
        <v>46149.4201050687</v>
      </c>
      <c r="D2173" s="189" t="s">
        <v>2781</v>
      </c>
      <c r="E2173" s="189" t="s">
        <v>2782</v>
      </c>
      <c r="F2173" s="189" t="s">
        <v>2782</v>
      </c>
      <c r="G2173" s="189" t="s">
        <v>2783</v>
      </c>
      <c r="H2173" s="191" t="n">
        <v>46138</v>
      </c>
      <c r="I2173" s="189" t="s">
        <v>113</v>
      </c>
      <c r="J2173" s="189" t="s">
        <v>108</v>
      </c>
      <c r="K2173" s="189" t="s">
        <v>257</v>
      </c>
      <c r="L2173" s="189" t="s">
        <v>114</v>
      </c>
      <c r="M2173" s="189" t="s">
        <v>397</v>
      </c>
      <c r="N2173" s="189" t="s">
        <v>841</v>
      </c>
      <c r="O2173" s="189" t="s">
        <v>278</v>
      </c>
      <c r="P2173" s="189" t="s">
        <v>111</v>
      </c>
      <c r="Q2173" s="189" t="s">
        <v>112</v>
      </c>
      <c r="R2173" s="189" t="s">
        <v>21</v>
      </c>
      <c r="S2173" s="189" t="s">
        <v>152</v>
      </c>
      <c r="T2173" s="189" t="s">
        <v>121</v>
      </c>
      <c r="V2173" s="189" t="s">
        <v>192</v>
      </c>
      <c r="W2173" s="189" t="s">
        <v>124</v>
      </c>
      <c r="X2173" s="189" t="s">
        <v>1830</v>
      </c>
      <c r="Y2173" s="189" t="s">
        <v>3066</v>
      </c>
      <c r="Z2173" s="0" t="n">
        <v>1</v>
      </c>
      <c r="AA2173" s="189" t="s">
        <v>2039</v>
      </c>
    </row>
    <row r="2174" customFormat="false" ht="15" hidden="false" customHeight="false" outlineLevel="0" collapsed="false">
      <c r="A2174" s="0" t="n">
        <v>464</v>
      </c>
      <c r="B2174" s="191" t="n">
        <v>46149.4053828465</v>
      </c>
      <c r="C2174" s="191" t="n">
        <v>46149.4201050687</v>
      </c>
      <c r="D2174" s="189" t="s">
        <v>2781</v>
      </c>
      <c r="E2174" s="189" t="s">
        <v>2782</v>
      </c>
      <c r="F2174" s="189" t="s">
        <v>2782</v>
      </c>
      <c r="G2174" s="189" t="s">
        <v>2783</v>
      </c>
      <c r="H2174" s="191" t="n">
        <v>46138</v>
      </c>
      <c r="I2174" s="189" t="s">
        <v>113</v>
      </c>
      <c r="J2174" s="189" t="s">
        <v>108</v>
      </c>
      <c r="K2174" s="189" t="s">
        <v>257</v>
      </c>
      <c r="L2174" s="189" t="s">
        <v>114</v>
      </c>
      <c r="M2174" s="189" t="s">
        <v>397</v>
      </c>
      <c r="N2174" s="189" t="s">
        <v>841</v>
      </c>
      <c r="O2174" s="189" t="s">
        <v>278</v>
      </c>
      <c r="P2174" s="189" t="s">
        <v>111</v>
      </c>
      <c r="Q2174" s="189" t="s">
        <v>112</v>
      </c>
      <c r="R2174" s="189" t="s">
        <v>21</v>
      </c>
      <c r="S2174" s="189" t="s">
        <v>152</v>
      </c>
      <c r="T2174" s="189" t="s">
        <v>121</v>
      </c>
      <c r="V2174" s="189" t="s">
        <v>192</v>
      </c>
      <c r="W2174" s="189" t="s">
        <v>124</v>
      </c>
      <c r="X2174" s="189" t="s">
        <v>1830</v>
      </c>
      <c r="Y2174" s="189" t="s">
        <v>3066</v>
      </c>
      <c r="Z2174" s="0" t="n">
        <v>2</v>
      </c>
      <c r="AA2174" s="189" t="s">
        <v>3337</v>
      </c>
    </row>
    <row r="2175" customFormat="false" ht="15" hidden="false" customHeight="false" outlineLevel="0" collapsed="false">
      <c r="A2175" s="0" t="n">
        <v>464</v>
      </c>
      <c r="B2175" s="191" t="n">
        <v>46149.4053828465</v>
      </c>
      <c r="C2175" s="191" t="n">
        <v>46149.4201050687</v>
      </c>
      <c r="D2175" s="189" t="s">
        <v>2781</v>
      </c>
      <c r="E2175" s="189" t="s">
        <v>2782</v>
      </c>
      <c r="F2175" s="189" t="s">
        <v>2782</v>
      </c>
      <c r="G2175" s="189" t="s">
        <v>2783</v>
      </c>
      <c r="H2175" s="191" t="n">
        <v>46138</v>
      </c>
      <c r="I2175" s="189" t="s">
        <v>113</v>
      </c>
      <c r="J2175" s="189" t="s">
        <v>108</v>
      </c>
      <c r="K2175" s="189" t="s">
        <v>257</v>
      </c>
      <c r="L2175" s="189" t="s">
        <v>114</v>
      </c>
      <c r="M2175" s="189" t="s">
        <v>397</v>
      </c>
      <c r="N2175" s="189" t="s">
        <v>841</v>
      </c>
      <c r="O2175" s="189" t="s">
        <v>278</v>
      </c>
      <c r="P2175" s="189" t="s">
        <v>111</v>
      </c>
      <c r="Q2175" s="189" t="s">
        <v>112</v>
      </c>
      <c r="R2175" s="189" t="s">
        <v>21</v>
      </c>
      <c r="S2175" s="189" t="s">
        <v>152</v>
      </c>
      <c r="T2175" s="189" t="s">
        <v>121</v>
      </c>
      <c r="V2175" s="189" t="s">
        <v>192</v>
      </c>
      <c r="W2175" s="189" t="s">
        <v>124</v>
      </c>
      <c r="X2175" s="189" t="s">
        <v>1830</v>
      </c>
      <c r="Y2175" s="189" t="s">
        <v>3069</v>
      </c>
      <c r="Z2175" s="0" t="n">
        <v>1</v>
      </c>
      <c r="AA2175" s="189" t="s">
        <v>3338</v>
      </c>
    </row>
    <row r="2176" customFormat="false" ht="15" hidden="false" customHeight="false" outlineLevel="0" collapsed="false">
      <c r="A2176" s="0" t="n">
        <v>465</v>
      </c>
      <c r="B2176" s="191" t="n">
        <v>46164.3538350289</v>
      </c>
      <c r="C2176" s="191" t="n">
        <v>46164.3707794733</v>
      </c>
      <c r="D2176" s="189" t="s">
        <v>2787</v>
      </c>
      <c r="E2176" s="189" t="s">
        <v>2788</v>
      </c>
      <c r="F2176" s="189" t="s">
        <v>2788</v>
      </c>
      <c r="G2176" s="189" t="s">
        <v>2789</v>
      </c>
      <c r="H2176" s="191" t="n">
        <v>46161</v>
      </c>
      <c r="I2176" s="189" t="s">
        <v>113</v>
      </c>
      <c r="J2176" s="189" t="s">
        <v>108</v>
      </c>
      <c r="K2176" s="189" t="s">
        <v>2790</v>
      </c>
      <c r="L2176" s="189" t="s">
        <v>431</v>
      </c>
      <c r="M2176" s="189" t="s">
        <v>809</v>
      </c>
      <c r="N2176" s="189" t="s">
        <v>544</v>
      </c>
      <c r="O2176" s="189" t="s">
        <v>244</v>
      </c>
      <c r="P2176" s="189" t="s">
        <v>111</v>
      </c>
      <c r="Q2176" s="189" t="s">
        <v>112</v>
      </c>
      <c r="R2176" s="189" t="s">
        <v>21</v>
      </c>
      <c r="S2176" s="189" t="s">
        <v>120</v>
      </c>
      <c r="T2176" s="189" t="s">
        <v>121</v>
      </c>
      <c r="V2176" s="189" t="s">
        <v>123</v>
      </c>
      <c r="W2176" s="189" t="s">
        <v>124</v>
      </c>
      <c r="X2176" s="189" t="s">
        <v>457</v>
      </c>
      <c r="Y2176" s="189" t="s">
        <v>3064</v>
      </c>
      <c r="Z2176" s="0" t="n">
        <v>1</v>
      </c>
      <c r="AA2176" s="189" t="s">
        <v>3139</v>
      </c>
    </row>
    <row r="2177" customFormat="false" ht="15" hidden="false" customHeight="false" outlineLevel="0" collapsed="false">
      <c r="A2177" s="0" t="n">
        <v>465</v>
      </c>
      <c r="B2177" s="191" t="n">
        <v>46164.3538350289</v>
      </c>
      <c r="C2177" s="191" t="n">
        <v>46164.3707794733</v>
      </c>
      <c r="D2177" s="189" t="s">
        <v>2787</v>
      </c>
      <c r="E2177" s="189" t="s">
        <v>2788</v>
      </c>
      <c r="F2177" s="189" t="s">
        <v>2788</v>
      </c>
      <c r="G2177" s="189" t="s">
        <v>2789</v>
      </c>
      <c r="H2177" s="191" t="n">
        <v>46161</v>
      </c>
      <c r="I2177" s="189" t="s">
        <v>113</v>
      </c>
      <c r="J2177" s="189" t="s">
        <v>108</v>
      </c>
      <c r="K2177" s="189" t="s">
        <v>2790</v>
      </c>
      <c r="L2177" s="189" t="s">
        <v>431</v>
      </c>
      <c r="M2177" s="189" t="s">
        <v>809</v>
      </c>
      <c r="N2177" s="189" t="s">
        <v>544</v>
      </c>
      <c r="O2177" s="189" t="s">
        <v>244</v>
      </c>
      <c r="P2177" s="189" t="s">
        <v>111</v>
      </c>
      <c r="Q2177" s="189" t="s">
        <v>112</v>
      </c>
      <c r="R2177" s="189" t="s">
        <v>21</v>
      </c>
      <c r="S2177" s="189" t="s">
        <v>120</v>
      </c>
      <c r="T2177" s="189" t="s">
        <v>121</v>
      </c>
      <c r="V2177" s="189" t="s">
        <v>123</v>
      </c>
      <c r="W2177" s="189" t="s">
        <v>124</v>
      </c>
      <c r="X2177" s="189" t="s">
        <v>457</v>
      </c>
      <c r="Y2177" s="189" t="s">
        <v>3064</v>
      </c>
      <c r="Z2177" s="0" t="n">
        <v>2</v>
      </c>
      <c r="AA2177" s="189" t="s">
        <v>3081</v>
      </c>
    </row>
    <row r="2178" customFormat="false" ht="15" hidden="false" customHeight="false" outlineLevel="0" collapsed="false">
      <c r="A2178" s="0" t="n">
        <v>465</v>
      </c>
      <c r="B2178" s="191" t="n">
        <v>46164.3538350289</v>
      </c>
      <c r="C2178" s="191" t="n">
        <v>46164.3707794733</v>
      </c>
      <c r="D2178" s="189" t="s">
        <v>2787</v>
      </c>
      <c r="E2178" s="189" t="s">
        <v>2788</v>
      </c>
      <c r="F2178" s="189" t="s">
        <v>2788</v>
      </c>
      <c r="G2178" s="189" t="s">
        <v>2789</v>
      </c>
      <c r="H2178" s="191" t="n">
        <v>46161</v>
      </c>
      <c r="I2178" s="189" t="s">
        <v>113</v>
      </c>
      <c r="J2178" s="189" t="s">
        <v>108</v>
      </c>
      <c r="K2178" s="189" t="s">
        <v>2790</v>
      </c>
      <c r="L2178" s="189" t="s">
        <v>431</v>
      </c>
      <c r="M2178" s="189" t="s">
        <v>809</v>
      </c>
      <c r="N2178" s="189" t="s">
        <v>544</v>
      </c>
      <c r="O2178" s="189" t="s">
        <v>244</v>
      </c>
      <c r="P2178" s="189" t="s">
        <v>111</v>
      </c>
      <c r="Q2178" s="189" t="s">
        <v>112</v>
      </c>
      <c r="R2178" s="189" t="s">
        <v>21</v>
      </c>
      <c r="S2178" s="189" t="s">
        <v>120</v>
      </c>
      <c r="T2178" s="189" t="s">
        <v>121</v>
      </c>
      <c r="V2178" s="189" t="s">
        <v>123</v>
      </c>
      <c r="W2178" s="189" t="s">
        <v>124</v>
      </c>
      <c r="X2178" s="189" t="s">
        <v>457</v>
      </c>
      <c r="Y2178" s="189" t="s">
        <v>3064</v>
      </c>
      <c r="Z2178" s="0" t="n">
        <v>3</v>
      </c>
      <c r="AA2178" s="189" t="s">
        <v>3107</v>
      </c>
    </row>
    <row r="2179" customFormat="false" ht="15" hidden="false" customHeight="false" outlineLevel="0" collapsed="false">
      <c r="A2179" s="0" t="n">
        <v>465</v>
      </c>
      <c r="B2179" s="191" t="n">
        <v>46164.3538350289</v>
      </c>
      <c r="C2179" s="191" t="n">
        <v>46164.3707794733</v>
      </c>
      <c r="D2179" s="189" t="s">
        <v>2787</v>
      </c>
      <c r="E2179" s="189" t="s">
        <v>2788</v>
      </c>
      <c r="F2179" s="189" t="s">
        <v>2788</v>
      </c>
      <c r="G2179" s="189" t="s">
        <v>2789</v>
      </c>
      <c r="H2179" s="191" t="n">
        <v>46161</v>
      </c>
      <c r="I2179" s="189" t="s">
        <v>113</v>
      </c>
      <c r="J2179" s="189" t="s">
        <v>108</v>
      </c>
      <c r="K2179" s="189" t="s">
        <v>2790</v>
      </c>
      <c r="L2179" s="189" t="s">
        <v>431</v>
      </c>
      <c r="M2179" s="189" t="s">
        <v>809</v>
      </c>
      <c r="N2179" s="189" t="s">
        <v>544</v>
      </c>
      <c r="O2179" s="189" t="s">
        <v>244</v>
      </c>
      <c r="P2179" s="189" t="s">
        <v>111</v>
      </c>
      <c r="Q2179" s="189" t="s">
        <v>112</v>
      </c>
      <c r="R2179" s="189" t="s">
        <v>21</v>
      </c>
      <c r="S2179" s="189" t="s">
        <v>120</v>
      </c>
      <c r="T2179" s="189" t="s">
        <v>121</v>
      </c>
      <c r="V2179" s="189" t="s">
        <v>123</v>
      </c>
      <c r="W2179" s="189" t="s">
        <v>124</v>
      </c>
      <c r="X2179" s="189" t="s">
        <v>457</v>
      </c>
      <c r="Y2179" s="189" t="s">
        <v>3066</v>
      </c>
      <c r="Z2179" s="0" t="n">
        <v>1</v>
      </c>
      <c r="AA2179" s="189" t="s">
        <v>3082</v>
      </c>
    </row>
    <row r="2180" customFormat="false" ht="15" hidden="false" customHeight="false" outlineLevel="0" collapsed="false">
      <c r="A2180" s="0" t="n">
        <v>465</v>
      </c>
      <c r="B2180" s="191" t="n">
        <v>46164.3538350289</v>
      </c>
      <c r="C2180" s="191" t="n">
        <v>46164.3707794733</v>
      </c>
      <c r="D2180" s="189" t="s">
        <v>2787</v>
      </c>
      <c r="E2180" s="189" t="s">
        <v>2788</v>
      </c>
      <c r="F2180" s="189" t="s">
        <v>2788</v>
      </c>
      <c r="G2180" s="189" t="s">
        <v>2789</v>
      </c>
      <c r="H2180" s="191" t="n">
        <v>46161</v>
      </c>
      <c r="I2180" s="189" t="s">
        <v>113</v>
      </c>
      <c r="J2180" s="189" t="s">
        <v>108</v>
      </c>
      <c r="K2180" s="189" t="s">
        <v>2790</v>
      </c>
      <c r="L2180" s="189" t="s">
        <v>431</v>
      </c>
      <c r="M2180" s="189" t="s">
        <v>809</v>
      </c>
      <c r="N2180" s="189" t="s">
        <v>544</v>
      </c>
      <c r="O2180" s="189" t="s">
        <v>244</v>
      </c>
      <c r="P2180" s="189" t="s">
        <v>111</v>
      </c>
      <c r="Q2180" s="189" t="s">
        <v>112</v>
      </c>
      <c r="R2180" s="189" t="s">
        <v>21</v>
      </c>
      <c r="S2180" s="189" t="s">
        <v>120</v>
      </c>
      <c r="T2180" s="189" t="s">
        <v>121</v>
      </c>
      <c r="V2180" s="189" t="s">
        <v>123</v>
      </c>
      <c r="W2180" s="189" t="s">
        <v>124</v>
      </c>
      <c r="X2180" s="189" t="s">
        <v>457</v>
      </c>
      <c r="Y2180" s="189" t="s">
        <v>3069</v>
      </c>
      <c r="Z2180" s="0" t="n">
        <v>1</v>
      </c>
      <c r="AA2180" s="189" t="s">
        <v>3083</v>
      </c>
    </row>
    <row r="2181" customFormat="false" ht="15" hidden="false" customHeight="false" outlineLevel="0" collapsed="false">
      <c r="A2181" s="0" t="n">
        <v>466</v>
      </c>
      <c r="B2181" s="191" t="n">
        <v>46106.9638352535</v>
      </c>
      <c r="C2181" s="191" t="n">
        <v>46106.9686847905</v>
      </c>
      <c r="D2181" s="189" t="s">
        <v>2792</v>
      </c>
      <c r="E2181" s="189" t="s">
        <v>2793</v>
      </c>
      <c r="F2181" s="189" t="s">
        <v>2794</v>
      </c>
      <c r="G2181" s="189" t="s">
        <v>2795</v>
      </c>
      <c r="H2181" s="191" t="n">
        <v>46090</v>
      </c>
      <c r="I2181" s="189" t="s">
        <v>132</v>
      </c>
      <c r="J2181" s="189" t="s">
        <v>295</v>
      </c>
      <c r="K2181" s="189" t="s">
        <v>462</v>
      </c>
      <c r="L2181" s="189" t="s">
        <v>268</v>
      </c>
      <c r="M2181" s="189" t="s">
        <v>501</v>
      </c>
      <c r="N2181" s="189" t="s">
        <v>186</v>
      </c>
      <c r="O2181" s="189" t="s">
        <v>107</v>
      </c>
      <c r="P2181" s="189" t="s">
        <v>111</v>
      </c>
      <c r="Q2181" s="189" t="s">
        <v>145</v>
      </c>
      <c r="R2181" s="189" t="s">
        <v>24</v>
      </c>
      <c r="S2181" s="189" t="s">
        <v>120</v>
      </c>
      <c r="T2181" s="189" t="s">
        <v>228</v>
      </c>
      <c r="U2181" s="189" t="s">
        <v>122</v>
      </c>
      <c r="V2181" s="189" t="s">
        <v>167</v>
      </c>
      <c r="W2181" s="189" t="s">
        <v>124</v>
      </c>
      <c r="X2181" s="189" t="s">
        <v>214</v>
      </c>
      <c r="Y2181" s="189" t="s">
        <v>3064</v>
      </c>
      <c r="Z2181" s="0" t="n">
        <v>1</v>
      </c>
      <c r="AA2181" s="189" t="s">
        <v>3095</v>
      </c>
    </row>
    <row r="2182" customFormat="false" ht="15" hidden="false" customHeight="false" outlineLevel="0" collapsed="false">
      <c r="A2182" s="0" t="n">
        <v>466</v>
      </c>
      <c r="B2182" s="191" t="n">
        <v>46106.9638352535</v>
      </c>
      <c r="C2182" s="191" t="n">
        <v>46106.9686847905</v>
      </c>
      <c r="D2182" s="189" t="s">
        <v>2792</v>
      </c>
      <c r="E2182" s="189" t="s">
        <v>2793</v>
      </c>
      <c r="F2182" s="189" t="s">
        <v>2794</v>
      </c>
      <c r="G2182" s="189" t="s">
        <v>2795</v>
      </c>
      <c r="H2182" s="191" t="n">
        <v>46090</v>
      </c>
      <c r="I2182" s="189" t="s">
        <v>132</v>
      </c>
      <c r="J2182" s="189" t="s">
        <v>295</v>
      </c>
      <c r="K2182" s="189" t="s">
        <v>462</v>
      </c>
      <c r="L2182" s="189" t="s">
        <v>268</v>
      </c>
      <c r="M2182" s="189" t="s">
        <v>501</v>
      </c>
      <c r="N2182" s="189" t="s">
        <v>186</v>
      </c>
      <c r="O2182" s="189" t="s">
        <v>107</v>
      </c>
      <c r="P2182" s="189" t="s">
        <v>111</v>
      </c>
      <c r="Q2182" s="189" t="s">
        <v>145</v>
      </c>
      <c r="R2182" s="189" t="s">
        <v>24</v>
      </c>
      <c r="S2182" s="189" t="s">
        <v>120</v>
      </c>
      <c r="T2182" s="189" t="s">
        <v>228</v>
      </c>
      <c r="U2182" s="189" t="s">
        <v>122</v>
      </c>
      <c r="V2182" s="189" t="s">
        <v>167</v>
      </c>
      <c r="W2182" s="189" t="s">
        <v>124</v>
      </c>
      <c r="X2182" s="189" t="s">
        <v>214</v>
      </c>
      <c r="Y2182" s="189" t="s">
        <v>3066</v>
      </c>
      <c r="Z2182" s="0" t="n">
        <v>1</v>
      </c>
      <c r="AA2182" s="189" t="s">
        <v>3082</v>
      </c>
    </row>
    <row r="2183" customFormat="false" ht="15" hidden="false" customHeight="false" outlineLevel="0" collapsed="false">
      <c r="A2183" s="0" t="n">
        <v>466</v>
      </c>
      <c r="B2183" s="191" t="n">
        <v>46106.9638352535</v>
      </c>
      <c r="C2183" s="191" t="n">
        <v>46106.9686847905</v>
      </c>
      <c r="D2183" s="189" t="s">
        <v>2792</v>
      </c>
      <c r="E2183" s="189" t="s">
        <v>2793</v>
      </c>
      <c r="F2183" s="189" t="s">
        <v>2794</v>
      </c>
      <c r="G2183" s="189" t="s">
        <v>2795</v>
      </c>
      <c r="H2183" s="191" t="n">
        <v>46090</v>
      </c>
      <c r="I2183" s="189" t="s">
        <v>132</v>
      </c>
      <c r="J2183" s="189" t="s">
        <v>295</v>
      </c>
      <c r="K2183" s="189" t="s">
        <v>462</v>
      </c>
      <c r="L2183" s="189" t="s">
        <v>268</v>
      </c>
      <c r="M2183" s="189" t="s">
        <v>501</v>
      </c>
      <c r="N2183" s="189" t="s">
        <v>186</v>
      </c>
      <c r="O2183" s="189" t="s">
        <v>107</v>
      </c>
      <c r="P2183" s="189" t="s">
        <v>111</v>
      </c>
      <c r="Q2183" s="189" t="s">
        <v>145</v>
      </c>
      <c r="R2183" s="189" t="s">
        <v>24</v>
      </c>
      <c r="S2183" s="189" t="s">
        <v>120</v>
      </c>
      <c r="T2183" s="189" t="s">
        <v>228</v>
      </c>
      <c r="U2183" s="189" t="s">
        <v>122</v>
      </c>
      <c r="V2183" s="189" t="s">
        <v>167</v>
      </c>
      <c r="W2183" s="189" t="s">
        <v>124</v>
      </c>
      <c r="X2183" s="189" t="s">
        <v>214</v>
      </c>
      <c r="Y2183" s="189" t="s">
        <v>3069</v>
      </c>
      <c r="Z2183" s="0" t="n">
        <v>1</v>
      </c>
      <c r="AA2183" s="189" t="s">
        <v>122</v>
      </c>
    </row>
    <row r="2184" customFormat="false" ht="15" hidden="false" customHeight="false" outlineLevel="0" collapsed="false">
      <c r="A2184" s="0" t="n">
        <v>466</v>
      </c>
      <c r="B2184" s="191" t="n">
        <v>46106.9638352535</v>
      </c>
      <c r="C2184" s="191" t="n">
        <v>46106.9686847905</v>
      </c>
      <c r="D2184" s="189" t="s">
        <v>2792</v>
      </c>
      <c r="E2184" s="189" t="s">
        <v>2793</v>
      </c>
      <c r="F2184" s="189" t="s">
        <v>2794</v>
      </c>
      <c r="G2184" s="189" t="s">
        <v>2795</v>
      </c>
      <c r="H2184" s="191" t="n">
        <v>46090</v>
      </c>
      <c r="I2184" s="189" t="s">
        <v>132</v>
      </c>
      <c r="J2184" s="189" t="s">
        <v>295</v>
      </c>
      <c r="K2184" s="189" t="s">
        <v>462</v>
      </c>
      <c r="L2184" s="189" t="s">
        <v>268</v>
      </c>
      <c r="M2184" s="189" t="s">
        <v>501</v>
      </c>
      <c r="N2184" s="189" t="s">
        <v>186</v>
      </c>
      <c r="O2184" s="189" t="s">
        <v>107</v>
      </c>
      <c r="P2184" s="189" t="s">
        <v>111</v>
      </c>
      <c r="Q2184" s="189" t="s">
        <v>145</v>
      </c>
      <c r="R2184" s="189" t="s">
        <v>24</v>
      </c>
      <c r="S2184" s="189" t="s">
        <v>120</v>
      </c>
      <c r="T2184" s="189" t="s">
        <v>228</v>
      </c>
      <c r="U2184" s="189" t="s">
        <v>122</v>
      </c>
      <c r="V2184" s="189" t="s">
        <v>167</v>
      </c>
      <c r="W2184" s="189" t="s">
        <v>124</v>
      </c>
      <c r="X2184" s="189" t="s">
        <v>214</v>
      </c>
      <c r="Y2184" s="189" t="s">
        <v>3069</v>
      </c>
      <c r="Z2184" s="0" t="n">
        <v>2</v>
      </c>
      <c r="AA2184" s="189" t="s">
        <v>3070</v>
      </c>
    </row>
    <row r="2185" customFormat="false" ht="15" hidden="false" customHeight="false" outlineLevel="0" collapsed="false">
      <c r="A2185" s="0" t="n">
        <v>467</v>
      </c>
      <c r="B2185" s="191" t="n">
        <v>46153.8343410578</v>
      </c>
      <c r="C2185" s="191" t="n">
        <v>46153.8453595763</v>
      </c>
      <c r="D2185" s="189" t="s">
        <v>2796</v>
      </c>
      <c r="E2185" s="189" t="s">
        <v>2797</v>
      </c>
      <c r="F2185" s="189" t="s">
        <v>2797</v>
      </c>
      <c r="G2185" s="189" t="s">
        <v>2798</v>
      </c>
      <c r="H2185" s="191" t="n">
        <v>46133</v>
      </c>
      <c r="I2185" s="189" t="s">
        <v>113</v>
      </c>
      <c r="J2185" s="189" t="s">
        <v>108</v>
      </c>
      <c r="K2185" s="189" t="s">
        <v>446</v>
      </c>
      <c r="L2185" s="189" t="s">
        <v>110</v>
      </c>
      <c r="M2185" s="189" t="s">
        <v>1120</v>
      </c>
      <c r="N2185" s="189" t="s">
        <v>1553</v>
      </c>
      <c r="O2185" s="189" t="s">
        <v>107</v>
      </c>
      <c r="P2185" s="189" t="s">
        <v>111</v>
      </c>
      <c r="Q2185" s="189" t="s">
        <v>112</v>
      </c>
      <c r="R2185" s="189" t="s">
        <v>24</v>
      </c>
      <c r="S2185" s="189" t="s">
        <v>152</v>
      </c>
      <c r="T2185" s="189" t="s">
        <v>228</v>
      </c>
      <c r="U2185" s="189" t="s">
        <v>562</v>
      </c>
      <c r="V2185" s="189" t="s">
        <v>192</v>
      </c>
      <c r="W2185" s="189" t="s">
        <v>124</v>
      </c>
      <c r="X2185" s="189" t="s">
        <v>223</v>
      </c>
      <c r="Y2185" s="189" t="s">
        <v>3064</v>
      </c>
      <c r="Z2185" s="0" t="n">
        <v>1</v>
      </c>
      <c r="AA2185" s="189" t="s">
        <v>3103</v>
      </c>
    </row>
    <row r="2186" customFormat="false" ht="15" hidden="false" customHeight="false" outlineLevel="0" collapsed="false">
      <c r="A2186" s="0" t="n">
        <v>467</v>
      </c>
      <c r="B2186" s="191" t="n">
        <v>46153.8343410578</v>
      </c>
      <c r="C2186" s="191" t="n">
        <v>46153.8453595763</v>
      </c>
      <c r="D2186" s="189" t="s">
        <v>2796</v>
      </c>
      <c r="E2186" s="189" t="s">
        <v>2797</v>
      </c>
      <c r="F2186" s="189" t="s">
        <v>2797</v>
      </c>
      <c r="G2186" s="189" t="s">
        <v>2798</v>
      </c>
      <c r="H2186" s="191" t="n">
        <v>46133</v>
      </c>
      <c r="I2186" s="189" t="s">
        <v>113</v>
      </c>
      <c r="J2186" s="189" t="s">
        <v>108</v>
      </c>
      <c r="K2186" s="189" t="s">
        <v>446</v>
      </c>
      <c r="L2186" s="189" t="s">
        <v>110</v>
      </c>
      <c r="M2186" s="189" t="s">
        <v>1120</v>
      </c>
      <c r="N2186" s="189" t="s">
        <v>1553</v>
      </c>
      <c r="O2186" s="189" t="s">
        <v>107</v>
      </c>
      <c r="P2186" s="189" t="s">
        <v>111</v>
      </c>
      <c r="Q2186" s="189" t="s">
        <v>112</v>
      </c>
      <c r="R2186" s="189" t="s">
        <v>24</v>
      </c>
      <c r="S2186" s="189" t="s">
        <v>152</v>
      </c>
      <c r="T2186" s="189" t="s">
        <v>228</v>
      </c>
      <c r="U2186" s="189" t="s">
        <v>562</v>
      </c>
      <c r="V2186" s="189" t="s">
        <v>192</v>
      </c>
      <c r="W2186" s="189" t="s">
        <v>124</v>
      </c>
      <c r="X2186" s="189" t="s">
        <v>223</v>
      </c>
      <c r="Y2186" s="189" t="s">
        <v>3064</v>
      </c>
      <c r="Z2186" s="0" t="n">
        <v>2</v>
      </c>
      <c r="AA2186" s="189" t="s">
        <v>3097</v>
      </c>
    </row>
    <row r="2187" customFormat="false" ht="15" hidden="false" customHeight="false" outlineLevel="0" collapsed="false">
      <c r="A2187" s="0" t="n">
        <v>467</v>
      </c>
      <c r="B2187" s="191" t="n">
        <v>46153.8343410578</v>
      </c>
      <c r="C2187" s="191" t="n">
        <v>46153.8453595763</v>
      </c>
      <c r="D2187" s="189" t="s">
        <v>2796</v>
      </c>
      <c r="E2187" s="189" t="s">
        <v>2797</v>
      </c>
      <c r="F2187" s="189" t="s">
        <v>2797</v>
      </c>
      <c r="G2187" s="189" t="s">
        <v>2798</v>
      </c>
      <c r="H2187" s="191" t="n">
        <v>46133</v>
      </c>
      <c r="I2187" s="189" t="s">
        <v>113</v>
      </c>
      <c r="J2187" s="189" t="s">
        <v>108</v>
      </c>
      <c r="K2187" s="189" t="s">
        <v>446</v>
      </c>
      <c r="L2187" s="189" t="s">
        <v>110</v>
      </c>
      <c r="M2187" s="189" t="s">
        <v>1120</v>
      </c>
      <c r="N2187" s="189" t="s">
        <v>1553</v>
      </c>
      <c r="O2187" s="189" t="s">
        <v>107</v>
      </c>
      <c r="P2187" s="189" t="s">
        <v>111</v>
      </c>
      <c r="Q2187" s="189" t="s">
        <v>112</v>
      </c>
      <c r="R2187" s="189" t="s">
        <v>24</v>
      </c>
      <c r="S2187" s="189" t="s">
        <v>152</v>
      </c>
      <c r="T2187" s="189" t="s">
        <v>228</v>
      </c>
      <c r="U2187" s="189" t="s">
        <v>562</v>
      </c>
      <c r="V2187" s="189" t="s">
        <v>192</v>
      </c>
      <c r="W2187" s="189" t="s">
        <v>124</v>
      </c>
      <c r="X2187" s="189" t="s">
        <v>223</v>
      </c>
      <c r="Y2187" s="189" t="s">
        <v>3064</v>
      </c>
      <c r="Z2187" s="0" t="n">
        <v>3</v>
      </c>
      <c r="AA2187" s="189" t="s">
        <v>3096</v>
      </c>
    </row>
    <row r="2188" customFormat="false" ht="15" hidden="false" customHeight="false" outlineLevel="0" collapsed="false">
      <c r="A2188" s="0" t="n">
        <v>467</v>
      </c>
      <c r="B2188" s="191" t="n">
        <v>46153.8343410578</v>
      </c>
      <c r="C2188" s="191" t="n">
        <v>46153.8453595763</v>
      </c>
      <c r="D2188" s="189" t="s">
        <v>2796</v>
      </c>
      <c r="E2188" s="189" t="s">
        <v>2797</v>
      </c>
      <c r="F2188" s="189" t="s">
        <v>2797</v>
      </c>
      <c r="G2188" s="189" t="s">
        <v>2798</v>
      </c>
      <c r="H2188" s="191" t="n">
        <v>46133</v>
      </c>
      <c r="I2188" s="189" t="s">
        <v>113</v>
      </c>
      <c r="J2188" s="189" t="s">
        <v>108</v>
      </c>
      <c r="K2188" s="189" t="s">
        <v>446</v>
      </c>
      <c r="L2188" s="189" t="s">
        <v>110</v>
      </c>
      <c r="M2188" s="189" t="s">
        <v>1120</v>
      </c>
      <c r="N2188" s="189" t="s">
        <v>1553</v>
      </c>
      <c r="O2188" s="189" t="s">
        <v>107</v>
      </c>
      <c r="P2188" s="189" t="s">
        <v>111</v>
      </c>
      <c r="Q2188" s="189" t="s">
        <v>112</v>
      </c>
      <c r="R2188" s="189" t="s">
        <v>24</v>
      </c>
      <c r="S2188" s="189" t="s">
        <v>152</v>
      </c>
      <c r="T2188" s="189" t="s">
        <v>228</v>
      </c>
      <c r="U2188" s="189" t="s">
        <v>562</v>
      </c>
      <c r="V2188" s="189" t="s">
        <v>192</v>
      </c>
      <c r="W2188" s="189" t="s">
        <v>124</v>
      </c>
      <c r="X2188" s="189" t="s">
        <v>223</v>
      </c>
      <c r="Y2188" s="189" t="s">
        <v>3066</v>
      </c>
      <c r="Z2188" s="0" t="n">
        <v>1</v>
      </c>
      <c r="AA2188" s="189" t="s">
        <v>3105</v>
      </c>
    </row>
    <row r="2189" customFormat="false" ht="15" hidden="false" customHeight="false" outlineLevel="0" collapsed="false">
      <c r="A2189" s="0" t="n">
        <v>467</v>
      </c>
      <c r="B2189" s="191" t="n">
        <v>46153.8343410578</v>
      </c>
      <c r="C2189" s="191" t="n">
        <v>46153.8453595763</v>
      </c>
      <c r="D2189" s="189" t="s">
        <v>2796</v>
      </c>
      <c r="E2189" s="189" t="s">
        <v>2797</v>
      </c>
      <c r="F2189" s="189" t="s">
        <v>2797</v>
      </c>
      <c r="G2189" s="189" t="s">
        <v>2798</v>
      </c>
      <c r="H2189" s="191" t="n">
        <v>46133</v>
      </c>
      <c r="I2189" s="189" t="s">
        <v>113</v>
      </c>
      <c r="J2189" s="189" t="s">
        <v>108</v>
      </c>
      <c r="K2189" s="189" t="s">
        <v>446</v>
      </c>
      <c r="L2189" s="189" t="s">
        <v>110</v>
      </c>
      <c r="M2189" s="189" t="s">
        <v>1120</v>
      </c>
      <c r="N2189" s="189" t="s">
        <v>1553</v>
      </c>
      <c r="O2189" s="189" t="s">
        <v>107</v>
      </c>
      <c r="P2189" s="189" t="s">
        <v>111</v>
      </c>
      <c r="Q2189" s="189" t="s">
        <v>112</v>
      </c>
      <c r="R2189" s="189" t="s">
        <v>24</v>
      </c>
      <c r="S2189" s="189" t="s">
        <v>152</v>
      </c>
      <c r="T2189" s="189" t="s">
        <v>228</v>
      </c>
      <c r="U2189" s="189" t="s">
        <v>562</v>
      </c>
      <c r="V2189" s="189" t="s">
        <v>192</v>
      </c>
      <c r="W2189" s="189" t="s">
        <v>124</v>
      </c>
      <c r="X2189" s="189" t="s">
        <v>223</v>
      </c>
      <c r="Y2189" s="189" t="s">
        <v>3066</v>
      </c>
      <c r="Z2189" s="0" t="n">
        <v>2</v>
      </c>
      <c r="AA2189" s="189" t="s">
        <v>3099</v>
      </c>
    </row>
    <row r="2190" customFormat="false" ht="15" hidden="false" customHeight="false" outlineLevel="0" collapsed="false">
      <c r="A2190" s="0" t="n">
        <v>467</v>
      </c>
      <c r="B2190" s="191" t="n">
        <v>46153.8343410578</v>
      </c>
      <c r="C2190" s="191" t="n">
        <v>46153.8453595763</v>
      </c>
      <c r="D2190" s="189" t="s">
        <v>2796</v>
      </c>
      <c r="E2190" s="189" t="s">
        <v>2797</v>
      </c>
      <c r="F2190" s="189" t="s">
        <v>2797</v>
      </c>
      <c r="G2190" s="189" t="s">
        <v>2798</v>
      </c>
      <c r="H2190" s="191" t="n">
        <v>46133</v>
      </c>
      <c r="I2190" s="189" t="s">
        <v>113</v>
      </c>
      <c r="J2190" s="189" t="s">
        <v>108</v>
      </c>
      <c r="K2190" s="189" t="s">
        <v>446</v>
      </c>
      <c r="L2190" s="189" t="s">
        <v>110</v>
      </c>
      <c r="M2190" s="189" t="s">
        <v>1120</v>
      </c>
      <c r="N2190" s="189" t="s">
        <v>1553</v>
      </c>
      <c r="O2190" s="189" t="s">
        <v>107</v>
      </c>
      <c r="P2190" s="189" t="s">
        <v>111</v>
      </c>
      <c r="Q2190" s="189" t="s">
        <v>112</v>
      </c>
      <c r="R2190" s="189" t="s">
        <v>24</v>
      </c>
      <c r="S2190" s="189" t="s">
        <v>152</v>
      </c>
      <c r="T2190" s="189" t="s">
        <v>228</v>
      </c>
      <c r="U2190" s="189" t="s">
        <v>562</v>
      </c>
      <c r="V2190" s="189" t="s">
        <v>192</v>
      </c>
      <c r="W2190" s="189" t="s">
        <v>124</v>
      </c>
      <c r="X2190" s="189" t="s">
        <v>223</v>
      </c>
      <c r="Y2190" s="189" t="s">
        <v>3069</v>
      </c>
      <c r="Z2190" s="0" t="n">
        <v>1</v>
      </c>
      <c r="AA2190" s="189" t="s">
        <v>3106</v>
      </c>
    </row>
    <row r="2191" customFormat="false" ht="15" hidden="false" customHeight="false" outlineLevel="0" collapsed="false">
      <c r="A2191" s="0" t="n">
        <v>467</v>
      </c>
      <c r="B2191" s="191" t="n">
        <v>46153.8343410578</v>
      </c>
      <c r="C2191" s="191" t="n">
        <v>46153.8453595763</v>
      </c>
      <c r="D2191" s="189" t="s">
        <v>2796</v>
      </c>
      <c r="E2191" s="189" t="s">
        <v>2797</v>
      </c>
      <c r="F2191" s="189" t="s">
        <v>2797</v>
      </c>
      <c r="G2191" s="189" t="s">
        <v>2798</v>
      </c>
      <c r="H2191" s="191" t="n">
        <v>46133</v>
      </c>
      <c r="I2191" s="189" t="s">
        <v>113</v>
      </c>
      <c r="J2191" s="189" t="s">
        <v>108</v>
      </c>
      <c r="K2191" s="189" t="s">
        <v>446</v>
      </c>
      <c r="L2191" s="189" t="s">
        <v>110</v>
      </c>
      <c r="M2191" s="189" t="s">
        <v>1120</v>
      </c>
      <c r="N2191" s="189" t="s">
        <v>1553</v>
      </c>
      <c r="O2191" s="189" t="s">
        <v>107</v>
      </c>
      <c r="P2191" s="189" t="s">
        <v>111</v>
      </c>
      <c r="Q2191" s="189" t="s">
        <v>112</v>
      </c>
      <c r="R2191" s="189" t="s">
        <v>24</v>
      </c>
      <c r="S2191" s="189" t="s">
        <v>152</v>
      </c>
      <c r="T2191" s="189" t="s">
        <v>228</v>
      </c>
      <c r="U2191" s="189" t="s">
        <v>562</v>
      </c>
      <c r="V2191" s="189" t="s">
        <v>192</v>
      </c>
      <c r="W2191" s="189" t="s">
        <v>124</v>
      </c>
      <c r="X2191" s="189" t="s">
        <v>223</v>
      </c>
      <c r="Y2191" s="189" t="s">
        <v>3069</v>
      </c>
      <c r="Z2191" s="0" t="n">
        <v>2</v>
      </c>
      <c r="AA2191" s="189" t="s">
        <v>3101</v>
      </c>
    </row>
    <row r="2192" customFormat="false" ht="15" hidden="false" customHeight="false" outlineLevel="0" collapsed="false">
      <c r="A2192" s="0" t="n">
        <v>468</v>
      </c>
      <c r="B2192" s="191" t="n">
        <v>46210.0715151572</v>
      </c>
      <c r="C2192" s="191" t="n">
        <v>46210.0890730276</v>
      </c>
      <c r="D2192" s="189" t="s">
        <v>2802</v>
      </c>
      <c r="E2192" s="189" t="s">
        <v>2803</v>
      </c>
      <c r="F2192" s="189" t="s">
        <v>2803</v>
      </c>
      <c r="G2192" s="189" t="s">
        <v>2804</v>
      </c>
      <c r="H2192" s="191" t="n">
        <v>46192</v>
      </c>
      <c r="I2192" s="189" t="s">
        <v>113</v>
      </c>
      <c r="J2192" s="189" t="s">
        <v>108</v>
      </c>
      <c r="K2192" s="189" t="s">
        <v>257</v>
      </c>
      <c r="L2192" s="189" t="s">
        <v>233</v>
      </c>
      <c r="M2192" s="189" t="s">
        <v>258</v>
      </c>
      <c r="N2192" s="189" t="s">
        <v>440</v>
      </c>
      <c r="O2192" s="189" t="s">
        <v>107</v>
      </c>
      <c r="P2192" s="189" t="s">
        <v>111</v>
      </c>
      <c r="Q2192" s="189" t="s">
        <v>112</v>
      </c>
      <c r="R2192" s="189" t="s">
        <v>22</v>
      </c>
      <c r="S2192" s="189" t="s">
        <v>120</v>
      </c>
      <c r="T2192" s="189" t="s">
        <v>121</v>
      </c>
      <c r="V2192" s="189" t="s">
        <v>123</v>
      </c>
      <c r="W2192" s="189" t="s">
        <v>124</v>
      </c>
      <c r="X2192" s="189" t="s">
        <v>176</v>
      </c>
      <c r="Y2192" s="189" t="s">
        <v>3064</v>
      </c>
      <c r="Z2192" s="0" t="n">
        <v>1</v>
      </c>
      <c r="AA2192" s="189" t="s">
        <v>3239</v>
      </c>
    </row>
    <row r="2193" customFormat="false" ht="15" hidden="false" customHeight="false" outlineLevel="0" collapsed="false">
      <c r="A2193" s="0" t="n">
        <v>468</v>
      </c>
      <c r="B2193" s="191" t="n">
        <v>46210.0715151572</v>
      </c>
      <c r="C2193" s="191" t="n">
        <v>46210.0890730276</v>
      </c>
      <c r="D2193" s="189" t="s">
        <v>2802</v>
      </c>
      <c r="E2193" s="189" t="s">
        <v>2803</v>
      </c>
      <c r="F2193" s="189" t="s">
        <v>2803</v>
      </c>
      <c r="G2193" s="189" t="s">
        <v>2804</v>
      </c>
      <c r="H2193" s="191" t="n">
        <v>46192</v>
      </c>
      <c r="I2193" s="189" t="s">
        <v>113</v>
      </c>
      <c r="J2193" s="189" t="s">
        <v>108</v>
      </c>
      <c r="K2193" s="189" t="s">
        <v>257</v>
      </c>
      <c r="L2193" s="189" t="s">
        <v>233</v>
      </c>
      <c r="M2193" s="189" t="s">
        <v>258</v>
      </c>
      <c r="N2193" s="189" t="s">
        <v>440</v>
      </c>
      <c r="O2193" s="189" t="s">
        <v>107</v>
      </c>
      <c r="P2193" s="189" t="s">
        <v>111</v>
      </c>
      <c r="Q2193" s="189" t="s">
        <v>112</v>
      </c>
      <c r="R2193" s="189" t="s">
        <v>22</v>
      </c>
      <c r="S2193" s="189" t="s">
        <v>120</v>
      </c>
      <c r="T2193" s="189" t="s">
        <v>121</v>
      </c>
      <c r="V2193" s="189" t="s">
        <v>123</v>
      </c>
      <c r="W2193" s="189" t="s">
        <v>124</v>
      </c>
      <c r="X2193" s="189" t="s">
        <v>176</v>
      </c>
      <c r="Y2193" s="189" t="s">
        <v>3064</v>
      </c>
      <c r="Z2193" s="0" t="n">
        <v>2</v>
      </c>
      <c r="AA2193" s="189" t="s">
        <v>3329</v>
      </c>
    </row>
    <row r="2194" customFormat="false" ht="15" hidden="false" customHeight="false" outlineLevel="0" collapsed="false">
      <c r="A2194" s="0" t="n">
        <v>468</v>
      </c>
      <c r="B2194" s="191" t="n">
        <v>46210.0715151572</v>
      </c>
      <c r="C2194" s="191" t="n">
        <v>46210.0890730276</v>
      </c>
      <c r="D2194" s="189" t="s">
        <v>2802</v>
      </c>
      <c r="E2194" s="189" t="s">
        <v>2803</v>
      </c>
      <c r="F2194" s="189" t="s">
        <v>2803</v>
      </c>
      <c r="G2194" s="189" t="s">
        <v>2804</v>
      </c>
      <c r="H2194" s="191" t="n">
        <v>46192</v>
      </c>
      <c r="I2194" s="189" t="s">
        <v>113</v>
      </c>
      <c r="J2194" s="189" t="s">
        <v>108</v>
      </c>
      <c r="K2194" s="189" t="s">
        <v>257</v>
      </c>
      <c r="L2194" s="189" t="s">
        <v>233</v>
      </c>
      <c r="M2194" s="189" t="s">
        <v>258</v>
      </c>
      <c r="N2194" s="189" t="s">
        <v>440</v>
      </c>
      <c r="O2194" s="189" t="s">
        <v>107</v>
      </c>
      <c r="P2194" s="189" t="s">
        <v>111</v>
      </c>
      <c r="Q2194" s="189" t="s">
        <v>112</v>
      </c>
      <c r="R2194" s="189" t="s">
        <v>22</v>
      </c>
      <c r="S2194" s="189" t="s">
        <v>120</v>
      </c>
      <c r="T2194" s="189" t="s">
        <v>121</v>
      </c>
      <c r="V2194" s="189" t="s">
        <v>123</v>
      </c>
      <c r="W2194" s="189" t="s">
        <v>124</v>
      </c>
      <c r="X2194" s="189" t="s">
        <v>176</v>
      </c>
      <c r="Y2194" s="189" t="s">
        <v>3066</v>
      </c>
      <c r="Z2194" s="0" t="n">
        <v>1</v>
      </c>
      <c r="AA2194" s="189" t="s">
        <v>3293</v>
      </c>
    </row>
    <row r="2195" customFormat="false" ht="15" hidden="false" customHeight="false" outlineLevel="0" collapsed="false">
      <c r="A2195" s="0" t="n">
        <v>468</v>
      </c>
      <c r="B2195" s="191" t="n">
        <v>46210.0715151572</v>
      </c>
      <c r="C2195" s="191" t="n">
        <v>46210.0890730276</v>
      </c>
      <c r="D2195" s="189" t="s">
        <v>2802</v>
      </c>
      <c r="E2195" s="189" t="s">
        <v>2803</v>
      </c>
      <c r="F2195" s="189" t="s">
        <v>2803</v>
      </c>
      <c r="G2195" s="189" t="s">
        <v>2804</v>
      </c>
      <c r="H2195" s="191" t="n">
        <v>46192</v>
      </c>
      <c r="I2195" s="189" t="s">
        <v>113</v>
      </c>
      <c r="J2195" s="189" t="s">
        <v>108</v>
      </c>
      <c r="K2195" s="189" t="s">
        <v>257</v>
      </c>
      <c r="L2195" s="189" t="s">
        <v>233</v>
      </c>
      <c r="M2195" s="189" t="s">
        <v>258</v>
      </c>
      <c r="N2195" s="189" t="s">
        <v>440</v>
      </c>
      <c r="O2195" s="189" t="s">
        <v>107</v>
      </c>
      <c r="P2195" s="189" t="s">
        <v>111</v>
      </c>
      <c r="Q2195" s="189" t="s">
        <v>112</v>
      </c>
      <c r="R2195" s="189" t="s">
        <v>22</v>
      </c>
      <c r="S2195" s="189" t="s">
        <v>120</v>
      </c>
      <c r="T2195" s="189" t="s">
        <v>121</v>
      </c>
      <c r="V2195" s="189" t="s">
        <v>123</v>
      </c>
      <c r="W2195" s="189" t="s">
        <v>124</v>
      </c>
      <c r="X2195" s="189" t="s">
        <v>176</v>
      </c>
      <c r="Y2195" s="189" t="s">
        <v>3069</v>
      </c>
      <c r="Z2195" s="0" t="n">
        <v>1</v>
      </c>
      <c r="AA2195" s="189" t="s">
        <v>3294</v>
      </c>
    </row>
    <row r="2196" customFormat="false" ht="15" hidden="false" customHeight="false" outlineLevel="0" collapsed="false">
      <c r="A2196" s="0" t="n">
        <v>468</v>
      </c>
      <c r="B2196" s="191" t="n">
        <v>46210.0715151572</v>
      </c>
      <c r="C2196" s="191" t="n">
        <v>46210.0890730276</v>
      </c>
      <c r="D2196" s="189" t="s">
        <v>2802</v>
      </c>
      <c r="E2196" s="189" t="s">
        <v>2803</v>
      </c>
      <c r="F2196" s="189" t="s">
        <v>2803</v>
      </c>
      <c r="G2196" s="189" t="s">
        <v>2804</v>
      </c>
      <c r="H2196" s="191" t="n">
        <v>46192</v>
      </c>
      <c r="I2196" s="189" t="s">
        <v>113</v>
      </c>
      <c r="J2196" s="189" t="s">
        <v>108</v>
      </c>
      <c r="K2196" s="189" t="s">
        <v>257</v>
      </c>
      <c r="L2196" s="189" t="s">
        <v>233</v>
      </c>
      <c r="M2196" s="189" t="s">
        <v>258</v>
      </c>
      <c r="N2196" s="189" t="s">
        <v>440</v>
      </c>
      <c r="O2196" s="189" t="s">
        <v>107</v>
      </c>
      <c r="P2196" s="189" t="s">
        <v>111</v>
      </c>
      <c r="Q2196" s="189" t="s">
        <v>112</v>
      </c>
      <c r="R2196" s="189" t="s">
        <v>22</v>
      </c>
      <c r="S2196" s="189" t="s">
        <v>120</v>
      </c>
      <c r="T2196" s="189" t="s">
        <v>121</v>
      </c>
      <c r="V2196" s="189" t="s">
        <v>123</v>
      </c>
      <c r="W2196" s="189" t="s">
        <v>124</v>
      </c>
      <c r="X2196" s="189" t="s">
        <v>176</v>
      </c>
      <c r="Y2196" s="189" t="s">
        <v>3069</v>
      </c>
      <c r="Z2196" s="0" t="n">
        <v>2</v>
      </c>
      <c r="AA2196" s="189" t="s">
        <v>3242</v>
      </c>
    </row>
    <row r="2197" customFormat="false" ht="15" hidden="false" customHeight="false" outlineLevel="0" collapsed="false">
      <c r="A2197" s="0" t="n">
        <v>469</v>
      </c>
      <c r="B2197" s="191" t="n">
        <v>46051.8065579612</v>
      </c>
      <c r="C2197" s="191" t="n">
        <v>46051.8261875909</v>
      </c>
      <c r="D2197" s="189" t="s">
        <v>2806</v>
      </c>
      <c r="E2197" s="189" t="s">
        <v>2807</v>
      </c>
      <c r="F2197" s="189" t="s">
        <v>2807</v>
      </c>
      <c r="G2197" s="189" t="s">
        <v>2808</v>
      </c>
      <c r="H2197" s="191" t="n">
        <v>46040</v>
      </c>
      <c r="I2197" s="189" t="s">
        <v>325</v>
      </c>
      <c r="J2197" s="189" t="s">
        <v>108</v>
      </c>
      <c r="K2197" s="189" t="s">
        <v>2809</v>
      </c>
      <c r="L2197" s="189" t="s">
        <v>296</v>
      </c>
      <c r="M2197" s="189" t="s">
        <v>870</v>
      </c>
      <c r="N2197" s="189" t="s">
        <v>1067</v>
      </c>
      <c r="O2197" s="189" t="s">
        <v>278</v>
      </c>
      <c r="P2197" s="189" t="s">
        <v>111</v>
      </c>
      <c r="Q2197" s="189" t="s">
        <v>112</v>
      </c>
      <c r="R2197" s="189" t="s">
        <v>22</v>
      </c>
      <c r="S2197" s="189" t="s">
        <v>227</v>
      </c>
      <c r="T2197" s="189" t="s">
        <v>121</v>
      </c>
      <c r="V2197" s="189" t="s">
        <v>123</v>
      </c>
      <c r="W2197" s="189" t="s">
        <v>124</v>
      </c>
      <c r="X2197" s="189" t="s">
        <v>176</v>
      </c>
      <c r="Y2197" s="189" t="s">
        <v>3064</v>
      </c>
      <c r="Z2197" s="0" t="n">
        <v>1</v>
      </c>
      <c r="AA2197" s="189" t="s">
        <v>3239</v>
      </c>
    </row>
    <row r="2198" customFormat="false" ht="15" hidden="false" customHeight="false" outlineLevel="0" collapsed="false">
      <c r="A2198" s="0" t="n">
        <v>469</v>
      </c>
      <c r="B2198" s="191" t="n">
        <v>46051.8065579612</v>
      </c>
      <c r="C2198" s="191" t="n">
        <v>46051.8261875909</v>
      </c>
      <c r="D2198" s="189" t="s">
        <v>2806</v>
      </c>
      <c r="E2198" s="189" t="s">
        <v>2807</v>
      </c>
      <c r="F2198" s="189" t="s">
        <v>2807</v>
      </c>
      <c r="G2198" s="189" t="s">
        <v>2808</v>
      </c>
      <c r="H2198" s="191" t="n">
        <v>46040</v>
      </c>
      <c r="I2198" s="189" t="s">
        <v>325</v>
      </c>
      <c r="J2198" s="189" t="s">
        <v>108</v>
      </c>
      <c r="K2198" s="189" t="s">
        <v>2809</v>
      </c>
      <c r="L2198" s="189" t="s">
        <v>296</v>
      </c>
      <c r="M2198" s="189" t="s">
        <v>870</v>
      </c>
      <c r="N2198" s="189" t="s">
        <v>1067</v>
      </c>
      <c r="O2198" s="189" t="s">
        <v>278</v>
      </c>
      <c r="P2198" s="189" t="s">
        <v>111</v>
      </c>
      <c r="Q2198" s="189" t="s">
        <v>112</v>
      </c>
      <c r="R2198" s="189" t="s">
        <v>22</v>
      </c>
      <c r="S2198" s="189" t="s">
        <v>227</v>
      </c>
      <c r="T2198" s="189" t="s">
        <v>121</v>
      </c>
      <c r="V2198" s="189" t="s">
        <v>123</v>
      </c>
      <c r="W2198" s="189" t="s">
        <v>124</v>
      </c>
      <c r="X2198" s="189" t="s">
        <v>176</v>
      </c>
      <c r="Y2198" s="189" t="s">
        <v>3064</v>
      </c>
      <c r="Z2198" s="0" t="n">
        <v>2</v>
      </c>
      <c r="AA2198" s="189" t="s">
        <v>3084</v>
      </c>
    </row>
    <row r="2199" customFormat="false" ht="15" hidden="false" customHeight="false" outlineLevel="0" collapsed="false">
      <c r="A2199" s="0" t="n">
        <v>469</v>
      </c>
      <c r="B2199" s="191" t="n">
        <v>46051.8065579612</v>
      </c>
      <c r="C2199" s="191" t="n">
        <v>46051.8261875909</v>
      </c>
      <c r="D2199" s="189" t="s">
        <v>2806</v>
      </c>
      <c r="E2199" s="189" t="s">
        <v>2807</v>
      </c>
      <c r="F2199" s="189" t="s">
        <v>2807</v>
      </c>
      <c r="G2199" s="189" t="s">
        <v>2808</v>
      </c>
      <c r="H2199" s="191" t="n">
        <v>46040</v>
      </c>
      <c r="I2199" s="189" t="s">
        <v>325</v>
      </c>
      <c r="J2199" s="189" t="s">
        <v>108</v>
      </c>
      <c r="K2199" s="189" t="s">
        <v>2809</v>
      </c>
      <c r="L2199" s="189" t="s">
        <v>296</v>
      </c>
      <c r="M2199" s="189" t="s">
        <v>870</v>
      </c>
      <c r="N2199" s="189" t="s">
        <v>1067</v>
      </c>
      <c r="O2199" s="189" t="s">
        <v>278</v>
      </c>
      <c r="P2199" s="189" t="s">
        <v>111</v>
      </c>
      <c r="Q2199" s="189" t="s">
        <v>112</v>
      </c>
      <c r="R2199" s="189" t="s">
        <v>22</v>
      </c>
      <c r="S2199" s="189" t="s">
        <v>227</v>
      </c>
      <c r="T2199" s="189" t="s">
        <v>121</v>
      </c>
      <c r="V2199" s="189" t="s">
        <v>123</v>
      </c>
      <c r="W2199" s="189" t="s">
        <v>124</v>
      </c>
      <c r="X2199" s="189" t="s">
        <v>176</v>
      </c>
      <c r="Y2199" s="189" t="s">
        <v>3064</v>
      </c>
      <c r="Z2199" s="0" t="n">
        <v>3</v>
      </c>
      <c r="AA2199" s="189" t="s">
        <v>3321</v>
      </c>
    </row>
    <row r="2200" customFormat="false" ht="15" hidden="false" customHeight="false" outlineLevel="0" collapsed="false">
      <c r="A2200" s="0" t="n">
        <v>469</v>
      </c>
      <c r="B2200" s="191" t="n">
        <v>46051.8065579612</v>
      </c>
      <c r="C2200" s="191" t="n">
        <v>46051.8261875909</v>
      </c>
      <c r="D2200" s="189" t="s">
        <v>2806</v>
      </c>
      <c r="E2200" s="189" t="s">
        <v>2807</v>
      </c>
      <c r="F2200" s="189" t="s">
        <v>2807</v>
      </c>
      <c r="G2200" s="189" t="s">
        <v>2808</v>
      </c>
      <c r="H2200" s="191" t="n">
        <v>46040</v>
      </c>
      <c r="I2200" s="189" t="s">
        <v>325</v>
      </c>
      <c r="J2200" s="189" t="s">
        <v>108</v>
      </c>
      <c r="K2200" s="189" t="s">
        <v>2809</v>
      </c>
      <c r="L2200" s="189" t="s">
        <v>296</v>
      </c>
      <c r="M2200" s="189" t="s">
        <v>870</v>
      </c>
      <c r="N2200" s="189" t="s">
        <v>1067</v>
      </c>
      <c r="O2200" s="189" t="s">
        <v>278</v>
      </c>
      <c r="P2200" s="189" t="s">
        <v>111</v>
      </c>
      <c r="Q2200" s="189" t="s">
        <v>112</v>
      </c>
      <c r="R2200" s="189" t="s">
        <v>22</v>
      </c>
      <c r="S2200" s="189" t="s">
        <v>227</v>
      </c>
      <c r="T2200" s="189" t="s">
        <v>121</v>
      </c>
      <c r="V2200" s="189" t="s">
        <v>123</v>
      </c>
      <c r="W2200" s="189" t="s">
        <v>124</v>
      </c>
      <c r="X2200" s="189" t="s">
        <v>176</v>
      </c>
      <c r="Y2200" s="189" t="s">
        <v>3066</v>
      </c>
      <c r="Z2200" s="0" t="n">
        <v>1</v>
      </c>
      <c r="AA2200" s="189" t="s">
        <v>3301</v>
      </c>
    </row>
    <row r="2201" customFormat="false" ht="15" hidden="false" customHeight="false" outlineLevel="0" collapsed="false">
      <c r="A2201" s="0" t="n">
        <v>469</v>
      </c>
      <c r="B2201" s="191" t="n">
        <v>46051.8065579612</v>
      </c>
      <c r="C2201" s="191" t="n">
        <v>46051.8261875909</v>
      </c>
      <c r="D2201" s="189" t="s">
        <v>2806</v>
      </c>
      <c r="E2201" s="189" t="s">
        <v>2807</v>
      </c>
      <c r="F2201" s="189" t="s">
        <v>2807</v>
      </c>
      <c r="G2201" s="189" t="s">
        <v>2808</v>
      </c>
      <c r="H2201" s="191" t="n">
        <v>46040</v>
      </c>
      <c r="I2201" s="189" t="s">
        <v>325</v>
      </c>
      <c r="J2201" s="189" t="s">
        <v>108</v>
      </c>
      <c r="K2201" s="189" t="s">
        <v>2809</v>
      </c>
      <c r="L2201" s="189" t="s">
        <v>296</v>
      </c>
      <c r="M2201" s="189" t="s">
        <v>870</v>
      </c>
      <c r="N2201" s="189" t="s">
        <v>1067</v>
      </c>
      <c r="O2201" s="189" t="s">
        <v>278</v>
      </c>
      <c r="P2201" s="189" t="s">
        <v>111</v>
      </c>
      <c r="Q2201" s="189" t="s">
        <v>112</v>
      </c>
      <c r="R2201" s="189" t="s">
        <v>22</v>
      </c>
      <c r="S2201" s="189" t="s">
        <v>227</v>
      </c>
      <c r="T2201" s="189" t="s">
        <v>121</v>
      </c>
      <c r="V2201" s="189" t="s">
        <v>123</v>
      </c>
      <c r="W2201" s="189" t="s">
        <v>124</v>
      </c>
      <c r="X2201" s="189" t="s">
        <v>176</v>
      </c>
      <c r="Y2201" s="189" t="s">
        <v>3066</v>
      </c>
      <c r="Z2201" s="0" t="n">
        <v>2</v>
      </c>
      <c r="AA2201" s="189" t="s">
        <v>3328</v>
      </c>
    </row>
    <row r="2202" customFormat="false" ht="15" hidden="false" customHeight="false" outlineLevel="0" collapsed="false">
      <c r="A2202" s="0" t="n">
        <v>469</v>
      </c>
      <c r="B2202" s="191" t="n">
        <v>46051.8065579612</v>
      </c>
      <c r="C2202" s="191" t="n">
        <v>46051.8261875909</v>
      </c>
      <c r="D2202" s="189" t="s">
        <v>2806</v>
      </c>
      <c r="E2202" s="189" t="s">
        <v>2807</v>
      </c>
      <c r="F2202" s="189" t="s">
        <v>2807</v>
      </c>
      <c r="G2202" s="189" t="s">
        <v>2808</v>
      </c>
      <c r="H2202" s="191" t="n">
        <v>46040</v>
      </c>
      <c r="I2202" s="189" t="s">
        <v>325</v>
      </c>
      <c r="J2202" s="189" t="s">
        <v>108</v>
      </c>
      <c r="K2202" s="189" t="s">
        <v>2809</v>
      </c>
      <c r="L2202" s="189" t="s">
        <v>296</v>
      </c>
      <c r="M2202" s="189" t="s">
        <v>870</v>
      </c>
      <c r="N2202" s="189" t="s">
        <v>1067</v>
      </c>
      <c r="O2202" s="189" t="s">
        <v>278</v>
      </c>
      <c r="P2202" s="189" t="s">
        <v>111</v>
      </c>
      <c r="Q2202" s="189" t="s">
        <v>112</v>
      </c>
      <c r="R2202" s="189" t="s">
        <v>22</v>
      </c>
      <c r="S2202" s="189" t="s">
        <v>227</v>
      </c>
      <c r="T2202" s="189" t="s">
        <v>121</v>
      </c>
      <c r="V2202" s="189" t="s">
        <v>123</v>
      </c>
      <c r="W2202" s="189" t="s">
        <v>124</v>
      </c>
      <c r="X2202" s="189" t="s">
        <v>176</v>
      </c>
      <c r="Y2202" s="189" t="s">
        <v>3069</v>
      </c>
      <c r="Z2202" s="0" t="n">
        <v>1</v>
      </c>
      <c r="AA2202" s="189" t="s">
        <v>3245</v>
      </c>
    </row>
    <row r="2203" customFormat="false" ht="15" hidden="false" customHeight="false" outlineLevel="0" collapsed="false">
      <c r="A2203" s="0" t="n">
        <v>469</v>
      </c>
      <c r="B2203" s="191" t="n">
        <v>46051.8065579612</v>
      </c>
      <c r="C2203" s="191" t="n">
        <v>46051.8261875909</v>
      </c>
      <c r="D2203" s="189" t="s">
        <v>2806</v>
      </c>
      <c r="E2203" s="189" t="s">
        <v>2807</v>
      </c>
      <c r="F2203" s="189" t="s">
        <v>2807</v>
      </c>
      <c r="G2203" s="189" t="s">
        <v>2808</v>
      </c>
      <c r="H2203" s="191" t="n">
        <v>46040</v>
      </c>
      <c r="I2203" s="189" t="s">
        <v>325</v>
      </c>
      <c r="J2203" s="189" t="s">
        <v>108</v>
      </c>
      <c r="K2203" s="189" t="s">
        <v>2809</v>
      </c>
      <c r="L2203" s="189" t="s">
        <v>296</v>
      </c>
      <c r="M2203" s="189" t="s">
        <v>870</v>
      </c>
      <c r="N2203" s="189" t="s">
        <v>1067</v>
      </c>
      <c r="O2203" s="189" t="s">
        <v>278</v>
      </c>
      <c r="P2203" s="189" t="s">
        <v>111</v>
      </c>
      <c r="Q2203" s="189" t="s">
        <v>112</v>
      </c>
      <c r="R2203" s="189" t="s">
        <v>22</v>
      </c>
      <c r="S2203" s="189" t="s">
        <v>227</v>
      </c>
      <c r="T2203" s="189" t="s">
        <v>121</v>
      </c>
      <c r="V2203" s="189" t="s">
        <v>123</v>
      </c>
      <c r="W2203" s="189" t="s">
        <v>124</v>
      </c>
      <c r="X2203" s="189" t="s">
        <v>176</v>
      </c>
      <c r="Y2203" s="189" t="s">
        <v>3069</v>
      </c>
      <c r="Z2203" s="0" t="n">
        <v>2</v>
      </c>
      <c r="AA2203" s="189" t="s">
        <v>3294</v>
      </c>
    </row>
    <row r="2204" customFormat="false" ht="15" hidden="false" customHeight="false" outlineLevel="0" collapsed="false">
      <c r="A2204" s="0" t="n">
        <v>470</v>
      </c>
      <c r="B2204" s="191" t="n">
        <v>46102.0931924047</v>
      </c>
      <c r="C2204" s="191" t="n">
        <v>46102.0961553676</v>
      </c>
      <c r="D2204" s="189" t="s">
        <v>2813</v>
      </c>
      <c r="E2204" s="189" t="s">
        <v>2814</v>
      </c>
      <c r="F2204" s="189" t="s">
        <v>2814</v>
      </c>
      <c r="G2204" s="189" t="s">
        <v>2815</v>
      </c>
      <c r="H2204" s="191" t="n">
        <v>46094</v>
      </c>
      <c r="I2204" s="189" t="s">
        <v>113</v>
      </c>
      <c r="J2204" s="189" t="s">
        <v>108</v>
      </c>
      <c r="K2204" s="189" t="s">
        <v>232</v>
      </c>
      <c r="L2204" s="189" t="s">
        <v>233</v>
      </c>
      <c r="M2204" s="189" t="s">
        <v>1074</v>
      </c>
      <c r="N2204" s="189" t="s">
        <v>1622</v>
      </c>
      <c r="O2204" s="189" t="s">
        <v>713</v>
      </c>
      <c r="P2204" s="189" t="s">
        <v>111</v>
      </c>
      <c r="Q2204" s="189" t="s">
        <v>112</v>
      </c>
      <c r="R2204" s="189" t="s">
        <v>25</v>
      </c>
      <c r="S2204" s="189" t="s">
        <v>152</v>
      </c>
      <c r="T2204" s="189" t="s">
        <v>121</v>
      </c>
      <c r="U2204" s="189" t="s">
        <v>2818</v>
      </c>
      <c r="V2204" s="189" t="s">
        <v>123</v>
      </c>
      <c r="W2204" s="189" t="s">
        <v>124</v>
      </c>
      <c r="X2204" s="189" t="s">
        <v>1712</v>
      </c>
      <c r="Y2204" s="189" t="s">
        <v>3064</v>
      </c>
      <c r="Z2204" s="0" t="n">
        <v>1</v>
      </c>
      <c r="AA2204" s="189" t="s">
        <v>3305</v>
      </c>
    </row>
    <row r="2205" customFormat="false" ht="15" hidden="false" customHeight="false" outlineLevel="0" collapsed="false">
      <c r="A2205" s="0" t="n">
        <v>470</v>
      </c>
      <c r="B2205" s="191" t="n">
        <v>46102.0931924047</v>
      </c>
      <c r="C2205" s="191" t="n">
        <v>46102.0961553676</v>
      </c>
      <c r="D2205" s="189" t="s">
        <v>2813</v>
      </c>
      <c r="E2205" s="189" t="s">
        <v>2814</v>
      </c>
      <c r="F2205" s="189" t="s">
        <v>2814</v>
      </c>
      <c r="G2205" s="189" t="s">
        <v>2815</v>
      </c>
      <c r="H2205" s="191" t="n">
        <v>46094</v>
      </c>
      <c r="I2205" s="189" t="s">
        <v>113</v>
      </c>
      <c r="J2205" s="189" t="s">
        <v>108</v>
      </c>
      <c r="K2205" s="189" t="s">
        <v>232</v>
      </c>
      <c r="L2205" s="189" t="s">
        <v>233</v>
      </c>
      <c r="M2205" s="189" t="s">
        <v>1074</v>
      </c>
      <c r="N2205" s="189" t="s">
        <v>1622</v>
      </c>
      <c r="O2205" s="189" t="s">
        <v>713</v>
      </c>
      <c r="P2205" s="189" t="s">
        <v>111</v>
      </c>
      <c r="Q2205" s="189" t="s">
        <v>112</v>
      </c>
      <c r="R2205" s="189" t="s">
        <v>25</v>
      </c>
      <c r="S2205" s="189" t="s">
        <v>152</v>
      </c>
      <c r="T2205" s="189" t="s">
        <v>121</v>
      </c>
      <c r="U2205" s="189" t="s">
        <v>2818</v>
      </c>
      <c r="V2205" s="189" t="s">
        <v>123</v>
      </c>
      <c r="W2205" s="189" t="s">
        <v>124</v>
      </c>
      <c r="X2205" s="189" t="s">
        <v>1712</v>
      </c>
      <c r="Y2205" s="189" t="s">
        <v>3066</v>
      </c>
      <c r="Z2205" s="0" t="n">
        <v>1</v>
      </c>
      <c r="AA2205" s="189" t="s">
        <v>3306</v>
      </c>
    </row>
    <row r="2206" customFormat="false" ht="15" hidden="false" customHeight="false" outlineLevel="0" collapsed="false">
      <c r="A2206" s="0" t="n">
        <v>470</v>
      </c>
      <c r="B2206" s="191" t="n">
        <v>46102.0931924047</v>
      </c>
      <c r="C2206" s="191" t="n">
        <v>46102.0961553676</v>
      </c>
      <c r="D2206" s="189" t="s">
        <v>2813</v>
      </c>
      <c r="E2206" s="189" t="s">
        <v>2814</v>
      </c>
      <c r="F2206" s="189" t="s">
        <v>2814</v>
      </c>
      <c r="G2206" s="189" t="s">
        <v>2815</v>
      </c>
      <c r="H2206" s="191" t="n">
        <v>46094</v>
      </c>
      <c r="I2206" s="189" t="s">
        <v>113</v>
      </c>
      <c r="J2206" s="189" t="s">
        <v>108</v>
      </c>
      <c r="K2206" s="189" t="s">
        <v>232</v>
      </c>
      <c r="L2206" s="189" t="s">
        <v>233</v>
      </c>
      <c r="M2206" s="189" t="s">
        <v>1074</v>
      </c>
      <c r="N2206" s="189" t="s">
        <v>1622</v>
      </c>
      <c r="O2206" s="189" t="s">
        <v>713</v>
      </c>
      <c r="P2206" s="189" t="s">
        <v>111</v>
      </c>
      <c r="Q2206" s="189" t="s">
        <v>112</v>
      </c>
      <c r="R2206" s="189" t="s">
        <v>25</v>
      </c>
      <c r="S2206" s="189" t="s">
        <v>152</v>
      </c>
      <c r="T2206" s="189" t="s">
        <v>121</v>
      </c>
      <c r="U2206" s="189" t="s">
        <v>2818</v>
      </c>
      <c r="V2206" s="189" t="s">
        <v>123</v>
      </c>
      <c r="W2206" s="189" t="s">
        <v>124</v>
      </c>
      <c r="X2206" s="189" t="s">
        <v>1712</v>
      </c>
      <c r="Y2206" s="189" t="s">
        <v>3066</v>
      </c>
      <c r="Z2206" s="0" t="n">
        <v>2</v>
      </c>
      <c r="AA2206" s="189" t="s">
        <v>3333</v>
      </c>
    </row>
    <row r="2207" customFormat="false" ht="15" hidden="false" customHeight="false" outlineLevel="0" collapsed="false">
      <c r="A2207" s="0" t="n">
        <v>470</v>
      </c>
      <c r="B2207" s="191" t="n">
        <v>46102.0931924047</v>
      </c>
      <c r="C2207" s="191" t="n">
        <v>46102.0961553676</v>
      </c>
      <c r="D2207" s="189" t="s">
        <v>2813</v>
      </c>
      <c r="E2207" s="189" t="s">
        <v>2814</v>
      </c>
      <c r="F2207" s="189" t="s">
        <v>2814</v>
      </c>
      <c r="G2207" s="189" t="s">
        <v>2815</v>
      </c>
      <c r="H2207" s="191" t="n">
        <v>46094</v>
      </c>
      <c r="I2207" s="189" t="s">
        <v>113</v>
      </c>
      <c r="J2207" s="189" t="s">
        <v>108</v>
      </c>
      <c r="K2207" s="189" t="s">
        <v>232</v>
      </c>
      <c r="L2207" s="189" t="s">
        <v>233</v>
      </c>
      <c r="M2207" s="189" t="s">
        <v>1074</v>
      </c>
      <c r="N2207" s="189" t="s">
        <v>1622</v>
      </c>
      <c r="O2207" s="189" t="s">
        <v>713</v>
      </c>
      <c r="P2207" s="189" t="s">
        <v>111</v>
      </c>
      <c r="Q2207" s="189" t="s">
        <v>112</v>
      </c>
      <c r="R2207" s="189" t="s">
        <v>25</v>
      </c>
      <c r="S2207" s="189" t="s">
        <v>152</v>
      </c>
      <c r="T2207" s="189" t="s">
        <v>121</v>
      </c>
      <c r="U2207" s="189" t="s">
        <v>2818</v>
      </c>
      <c r="V2207" s="189" t="s">
        <v>123</v>
      </c>
      <c r="W2207" s="189" t="s">
        <v>124</v>
      </c>
      <c r="X2207" s="189" t="s">
        <v>1712</v>
      </c>
      <c r="Y2207" s="189" t="s">
        <v>3069</v>
      </c>
      <c r="Z2207" s="0" t="n">
        <v>1</v>
      </c>
      <c r="AA2207" s="189" t="s">
        <v>3308</v>
      </c>
    </row>
    <row r="2208" customFormat="false" ht="15" hidden="false" customHeight="false" outlineLevel="0" collapsed="false">
      <c r="A2208" s="0" t="n">
        <v>471</v>
      </c>
      <c r="B2208" s="191" t="n">
        <v>46096.7723364736</v>
      </c>
      <c r="C2208" s="191" t="n">
        <v>46096.775993881</v>
      </c>
      <c r="D2208" s="189" t="s">
        <v>2819</v>
      </c>
      <c r="E2208" s="189" t="s">
        <v>2820</v>
      </c>
      <c r="F2208" s="189" t="s">
        <v>2820</v>
      </c>
      <c r="G2208" s="189" t="s">
        <v>2821</v>
      </c>
      <c r="H2208" s="191" t="n">
        <v>46090</v>
      </c>
      <c r="I2208" s="189" t="s">
        <v>113</v>
      </c>
      <c r="J2208" s="189" t="s">
        <v>295</v>
      </c>
      <c r="K2208" s="189" t="s">
        <v>1906</v>
      </c>
      <c r="L2208" s="189" t="s">
        <v>114</v>
      </c>
      <c r="M2208" s="189" t="s">
        <v>1074</v>
      </c>
      <c r="N2208" s="189" t="s">
        <v>1243</v>
      </c>
      <c r="O2208" s="189" t="s">
        <v>107</v>
      </c>
      <c r="P2208" s="189" t="s">
        <v>111</v>
      </c>
      <c r="Q2208" s="189" t="s">
        <v>112</v>
      </c>
      <c r="R2208" s="189" t="s">
        <v>22</v>
      </c>
      <c r="S2208" s="189" t="s">
        <v>120</v>
      </c>
      <c r="T2208" s="189" t="s">
        <v>496</v>
      </c>
      <c r="U2208" s="189" t="s">
        <v>122</v>
      </c>
      <c r="V2208" s="189" t="s">
        <v>167</v>
      </c>
      <c r="W2208" s="189" t="s">
        <v>124</v>
      </c>
      <c r="X2208" s="189" t="s">
        <v>715</v>
      </c>
      <c r="Y2208" s="189" t="s">
        <v>3064</v>
      </c>
      <c r="Z2208" s="0" t="n">
        <v>1</v>
      </c>
      <c r="AA2208" s="189" t="s">
        <v>3251</v>
      </c>
    </row>
    <row r="2209" customFormat="false" ht="15" hidden="false" customHeight="false" outlineLevel="0" collapsed="false">
      <c r="A2209" s="0" t="n">
        <v>471</v>
      </c>
      <c r="B2209" s="191" t="n">
        <v>46096.7723364736</v>
      </c>
      <c r="C2209" s="191" t="n">
        <v>46096.775993881</v>
      </c>
      <c r="D2209" s="189" t="s">
        <v>2819</v>
      </c>
      <c r="E2209" s="189" t="s">
        <v>2820</v>
      </c>
      <c r="F2209" s="189" t="s">
        <v>2820</v>
      </c>
      <c r="G2209" s="189" t="s">
        <v>2821</v>
      </c>
      <c r="H2209" s="191" t="n">
        <v>46090</v>
      </c>
      <c r="I2209" s="189" t="s">
        <v>113</v>
      </c>
      <c r="J2209" s="189" t="s">
        <v>295</v>
      </c>
      <c r="K2209" s="189" t="s">
        <v>1906</v>
      </c>
      <c r="L2209" s="189" t="s">
        <v>114</v>
      </c>
      <c r="M2209" s="189" t="s">
        <v>1074</v>
      </c>
      <c r="N2209" s="189" t="s">
        <v>1243</v>
      </c>
      <c r="O2209" s="189" t="s">
        <v>107</v>
      </c>
      <c r="P2209" s="189" t="s">
        <v>111</v>
      </c>
      <c r="Q2209" s="189" t="s">
        <v>112</v>
      </c>
      <c r="R2209" s="189" t="s">
        <v>22</v>
      </c>
      <c r="S2209" s="189" t="s">
        <v>120</v>
      </c>
      <c r="T2209" s="189" t="s">
        <v>496</v>
      </c>
      <c r="U2209" s="189" t="s">
        <v>122</v>
      </c>
      <c r="V2209" s="189" t="s">
        <v>167</v>
      </c>
      <c r="W2209" s="189" t="s">
        <v>124</v>
      </c>
      <c r="X2209" s="189" t="s">
        <v>715</v>
      </c>
      <c r="Y2209" s="189" t="s">
        <v>3064</v>
      </c>
      <c r="Z2209" s="0" t="n">
        <v>2</v>
      </c>
      <c r="AA2209" s="189" t="s">
        <v>3255</v>
      </c>
    </row>
    <row r="2210" customFormat="false" ht="15" hidden="false" customHeight="false" outlineLevel="0" collapsed="false">
      <c r="A2210" s="0" t="n">
        <v>471</v>
      </c>
      <c r="B2210" s="191" t="n">
        <v>46096.7723364736</v>
      </c>
      <c r="C2210" s="191" t="n">
        <v>46096.775993881</v>
      </c>
      <c r="D2210" s="189" t="s">
        <v>2819</v>
      </c>
      <c r="E2210" s="189" t="s">
        <v>2820</v>
      </c>
      <c r="F2210" s="189" t="s">
        <v>2820</v>
      </c>
      <c r="G2210" s="189" t="s">
        <v>2821</v>
      </c>
      <c r="H2210" s="191" t="n">
        <v>46090</v>
      </c>
      <c r="I2210" s="189" t="s">
        <v>113</v>
      </c>
      <c r="J2210" s="189" t="s">
        <v>295</v>
      </c>
      <c r="K2210" s="189" t="s">
        <v>1906</v>
      </c>
      <c r="L2210" s="189" t="s">
        <v>114</v>
      </c>
      <c r="M2210" s="189" t="s">
        <v>1074</v>
      </c>
      <c r="N2210" s="189" t="s">
        <v>1243</v>
      </c>
      <c r="O2210" s="189" t="s">
        <v>107</v>
      </c>
      <c r="P2210" s="189" t="s">
        <v>111</v>
      </c>
      <c r="Q2210" s="189" t="s">
        <v>112</v>
      </c>
      <c r="R2210" s="189" t="s">
        <v>22</v>
      </c>
      <c r="S2210" s="189" t="s">
        <v>120</v>
      </c>
      <c r="T2210" s="189" t="s">
        <v>496</v>
      </c>
      <c r="U2210" s="189" t="s">
        <v>122</v>
      </c>
      <c r="V2210" s="189" t="s">
        <v>167</v>
      </c>
      <c r="W2210" s="189" t="s">
        <v>124</v>
      </c>
      <c r="X2210" s="189" t="s">
        <v>715</v>
      </c>
      <c r="Y2210" s="189" t="s">
        <v>3064</v>
      </c>
      <c r="Z2210" s="0" t="n">
        <v>3</v>
      </c>
      <c r="AA2210" s="189" t="s">
        <v>3252</v>
      </c>
    </row>
    <row r="2211" customFormat="false" ht="15" hidden="false" customHeight="false" outlineLevel="0" collapsed="false">
      <c r="A2211" s="0" t="n">
        <v>471</v>
      </c>
      <c r="B2211" s="191" t="n">
        <v>46096.7723364736</v>
      </c>
      <c r="C2211" s="191" t="n">
        <v>46096.775993881</v>
      </c>
      <c r="D2211" s="189" t="s">
        <v>2819</v>
      </c>
      <c r="E2211" s="189" t="s">
        <v>2820</v>
      </c>
      <c r="F2211" s="189" t="s">
        <v>2820</v>
      </c>
      <c r="G2211" s="189" t="s">
        <v>2821</v>
      </c>
      <c r="H2211" s="191" t="n">
        <v>46090</v>
      </c>
      <c r="I2211" s="189" t="s">
        <v>113</v>
      </c>
      <c r="J2211" s="189" t="s">
        <v>295</v>
      </c>
      <c r="K2211" s="189" t="s">
        <v>1906</v>
      </c>
      <c r="L2211" s="189" t="s">
        <v>114</v>
      </c>
      <c r="M2211" s="189" t="s">
        <v>1074</v>
      </c>
      <c r="N2211" s="189" t="s">
        <v>1243</v>
      </c>
      <c r="O2211" s="189" t="s">
        <v>107</v>
      </c>
      <c r="P2211" s="189" t="s">
        <v>111</v>
      </c>
      <c r="Q2211" s="189" t="s">
        <v>112</v>
      </c>
      <c r="R2211" s="189" t="s">
        <v>22</v>
      </c>
      <c r="S2211" s="189" t="s">
        <v>120</v>
      </c>
      <c r="T2211" s="189" t="s">
        <v>496</v>
      </c>
      <c r="U2211" s="189" t="s">
        <v>122</v>
      </c>
      <c r="V2211" s="189" t="s">
        <v>167</v>
      </c>
      <c r="W2211" s="189" t="s">
        <v>124</v>
      </c>
      <c r="X2211" s="189" t="s">
        <v>715</v>
      </c>
      <c r="Y2211" s="189" t="s">
        <v>3066</v>
      </c>
      <c r="Z2211" s="0" t="n">
        <v>1</v>
      </c>
      <c r="AA2211" s="189" t="s">
        <v>2531</v>
      </c>
    </row>
    <row r="2212" customFormat="false" ht="15" hidden="false" customHeight="false" outlineLevel="0" collapsed="false">
      <c r="A2212" s="0" t="n">
        <v>471</v>
      </c>
      <c r="B2212" s="191" t="n">
        <v>46096.7723364736</v>
      </c>
      <c r="C2212" s="191" t="n">
        <v>46096.775993881</v>
      </c>
      <c r="D2212" s="189" t="s">
        <v>2819</v>
      </c>
      <c r="E2212" s="189" t="s">
        <v>2820</v>
      </c>
      <c r="F2212" s="189" t="s">
        <v>2820</v>
      </c>
      <c r="G2212" s="189" t="s">
        <v>2821</v>
      </c>
      <c r="H2212" s="191" t="n">
        <v>46090</v>
      </c>
      <c r="I2212" s="189" t="s">
        <v>113</v>
      </c>
      <c r="J2212" s="189" t="s">
        <v>295</v>
      </c>
      <c r="K2212" s="189" t="s">
        <v>1906</v>
      </c>
      <c r="L2212" s="189" t="s">
        <v>114</v>
      </c>
      <c r="M2212" s="189" t="s">
        <v>1074</v>
      </c>
      <c r="N2212" s="189" t="s">
        <v>1243</v>
      </c>
      <c r="O2212" s="189" t="s">
        <v>107</v>
      </c>
      <c r="P2212" s="189" t="s">
        <v>111</v>
      </c>
      <c r="Q2212" s="189" t="s">
        <v>112</v>
      </c>
      <c r="R2212" s="189" t="s">
        <v>22</v>
      </c>
      <c r="S2212" s="189" t="s">
        <v>120</v>
      </c>
      <c r="T2212" s="189" t="s">
        <v>496</v>
      </c>
      <c r="U2212" s="189" t="s">
        <v>122</v>
      </c>
      <c r="V2212" s="189" t="s">
        <v>167</v>
      </c>
      <c r="W2212" s="189" t="s">
        <v>124</v>
      </c>
      <c r="X2212" s="189" t="s">
        <v>715</v>
      </c>
      <c r="Y2212" s="189" t="s">
        <v>3069</v>
      </c>
      <c r="Z2212" s="0" t="n">
        <v>1</v>
      </c>
      <c r="AA2212" s="189" t="s">
        <v>3228</v>
      </c>
    </row>
    <row r="2213" customFormat="false" ht="15" hidden="false" customHeight="false" outlineLevel="0" collapsed="false">
      <c r="A2213" s="0" t="n">
        <v>471</v>
      </c>
      <c r="B2213" s="191" t="n">
        <v>46096.7723364736</v>
      </c>
      <c r="C2213" s="191" t="n">
        <v>46096.775993881</v>
      </c>
      <c r="D2213" s="189" t="s">
        <v>2819</v>
      </c>
      <c r="E2213" s="189" t="s">
        <v>2820</v>
      </c>
      <c r="F2213" s="189" t="s">
        <v>2820</v>
      </c>
      <c r="G2213" s="189" t="s">
        <v>2821</v>
      </c>
      <c r="H2213" s="191" t="n">
        <v>46090</v>
      </c>
      <c r="I2213" s="189" t="s">
        <v>113</v>
      </c>
      <c r="J2213" s="189" t="s">
        <v>295</v>
      </c>
      <c r="K2213" s="189" t="s">
        <v>1906</v>
      </c>
      <c r="L2213" s="189" t="s">
        <v>114</v>
      </c>
      <c r="M2213" s="189" t="s">
        <v>1074</v>
      </c>
      <c r="N2213" s="189" t="s">
        <v>1243</v>
      </c>
      <c r="O2213" s="189" t="s">
        <v>107</v>
      </c>
      <c r="P2213" s="189" t="s">
        <v>111</v>
      </c>
      <c r="Q2213" s="189" t="s">
        <v>112</v>
      </c>
      <c r="R2213" s="189" t="s">
        <v>22</v>
      </c>
      <c r="S2213" s="189" t="s">
        <v>120</v>
      </c>
      <c r="T2213" s="189" t="s">
        <v>496</v>
      </c>
      <c r="U2213" s="189" t="s">
        <v>122</v>
      </c>
      <c r="V2213" s="189" t="s">
        <v>167</v>
      </c>
      <c r="W2213" s="189" t="s">
        <v>124</v>
      </c>
      <c r="X2213" s="189" t="s">
        <v>715</v>
      </c>
      <c r="Y2213" s="189" t="s">
        <v>3069</v>
      </c>
      <c r="Z2213" s="0" t="n">
        <v>2</v>
      </c>
      <c r="AA2213" s="189" t="s">
        <v>3256</v>
      </c>
    </row>
    <row r="2214" customFormat="false" ht="15" hidden="false" customHeight="false" outlineLevel="0" collapsed="false">
      <c r="A2214" s="0" t="n">
        <v>472</v>
      </c>
      <c r="B2214" s="191" t="n">
        <v>46201.8272267422</v>
      </c>
      <c r="C2214" s="191" t="n">
        <v>46201.8401318348</v>
      </c>
      <c r="D2214" s="189" t="s">
        <v>2823</v>
      </c>
      <c r="E2214" s="189" t="s">
        <v>2824</v>
      </c>
      <c r="F2214" s="189" t="s">
        <v>2825</v>
      </c>
      <c r="G2214" s="189" t="s">
        <v>2826</v>
      </c>
      <c r="H2214" s="191" t="n">
        <v>46188</v>
      </c>
      <c r="I2214" s="189" t="s">
        <v>113</v>
      </c>
      <c r="J2214" s="189" t="s">
        <v>108</v>
      </c>
      <c r="K2214" s="189" t="s">
        <v>2827</v>
      </c>
      <c r="L2214" s="189" t="s">
        <v>268</v>
      </c>
      <c r="M2214" s="189" t="s">
        <v>234</v>
      </c>
      <c r="N2214" s="189" t="s">
        <v>175</v>
      </c>
      <c r="O2214" s="189" t="s">
        <v>107</v>
      </c>
      <c r="P2214" s="189" t="s">
        <v>211</v>
      </c>
      <c r="Q2214" s="189" t="s">
        <v>112</v>
      </c>
      <c r="R2214" s="189" t="s">
        <v>22</v>
      </c>
      <c r="S2214" s="189" t="s">
        <v>152</v>
      </c>
      <c r="T2214" s="189" t="s">
        <v>352</v>
      </c>
      <c r="U2214" s="189" t="s">
        <v>122</v>
      </c>
      <c r="V2214" s="189" t="s">
        <v>123</v>
      </c>
      <c r="W2214" s="189" t="s">
        <v>124</v>
      </c>
      <c r="X2214" s="189" t="s">
        <v>339</v>
      </c>
      <c r="Y2214" s="189" t="s">
        <v>3064</v>
      </c>
      <c r="Z2214" s="0" t="n">
        <v>1</v>
      </c>
      <c r="AA2214" s="189" t="s">
        <v>3199</v>
      </c>
    </row>
    <row r="2215" customFormat="false" ht="15" hidden="false" customHeight="false" outlineLevel="0" collapsed="false">
      <c r="A2215" s="0" t="n">
        <v>472</v>
      </c>
      <c r="B2215" s="191" t="n">
        <v>46201.8272267422</v>
      </c>
      <c r="C2215" s="191" t="n">
        <v>46201.8401318348</v>
      </c>
      <c r="D2215" s="189" t="s">
        <v>2823</v>
      </c>
      <c r="E2215" s="189" t="s">
        <v>2824</v>
      </c>
      <c r="F2215" s="189" t="s">
        <v>2825</v>
      </c>
      <c r="G2215" s="189" t="s">
        <v>2826</v>
      </c>
      <c r="H2215" s="191" t="n">
        <v>46188</v>
      </c>
      <c r="I2215" s="189" t="s">
        <v>113</v>
      </c>
      <c r="J2215" s="189" t="s">
        <v>108</v>
      </c>
      <c r="K2215" s="189" t="s">
        <v>2827</v>
      </c>
      <c r="L2215" s="189" t="s">
        <v>268</v>
      </c>
      <c r="M2215" s="189" t="s">
        <v>234</v>
      </c>
      <c r="N2215" s="189" t="s">
        <v>175</v>
      </c>
      <c r="O2215" s="189" t="s">
        <v>107</v>
      </c>
      <c r="P2215" s="189" t="s">
        <v>211</v>
      </c>
      <c r="Q2215" s="189" t="s">
        <v>112</v>
      </c>
      <c r="R2215" s="189" t="s">
        <v>22</v>
      </c>
      <c r="S2215" s="189" t="s">
        <v>152</v>
      </c>
      <c r="T2215" s="189" t="s">
        <v>352</v>
      </c>
      <c r="U2215" s="189" t="s">
        <v>122</v>
      </c>
      <c r="V2215" s="189" t="s">
        <v>123</v>
      </c>
      <c r="W2215" s="189" t="s">
        <v>124</v>
      </c>
      <c r="X2215" s="189" t="s">
        <v>339</v>
      </c>
      <c r="Y2215" s="189" t="s">
        <v>3064</v>
      </c>
      <c r="Z2215" s="0" t="n">
        <v>2</v>
      </c>
      <c r="AA2215" s="189" t="s">
        <v>3141</v>
      </c>
    </row>
    <row r="2216" customFormat="false" ht="15" hidden="false" customHeight="false" outlineLevel="0" collapsed="false">
      <c r="A2216" s="0" t="n">
        <v>472</v>
      </c>
      <c r="B2216" s="191" t="n">
        <v>46201.8272267422</v>
      </c>
      <c r="C2216" s="191" t="n">
        <v>46201.8401318348</v>
      </c>
      <c r="D2216" s="189" t="s">
        <v>2823</v>
      </c>
      <c r="E2216" s="189" t="s">
        <v>2824</v>
      </c>
      <c r="F2216" s="189" t="s">
        <v>2825</v>
      </c>
      <c r="G2216" s="189" t="s">
        <v>2826</v>
      </c>
      <c r="H2216" s="191" t="n">
        <v>46188</v>
      </c>
      <c r="I2216" s="189" t="s">
        <v>113</v>
      </c>
      <c r="J2216" s="189" t="s">
        <v>108</v>
      </c>
      <c r="K2216" s="189" t="s">
        <v>2827</v>
      </c>
      <c r="L2216" s="189" t="s">
        <v>268</v>
      </c>
      <c r="M2216" s="189" t="s">
        <v>234</v>
      </c>
      <c r="N2216" s="189" t="s">
        <v>175</v>
      </c>
      <c r="O2216" s="189" t="s">
        <v>107</v>
      </c>
      <c r="P2216" s="189" t="s">
        <v>211</v>
      </c>
      <c r="Q2216" s="189" t="s">
        <v>112</v>
      </c>
      <c r="R2216" s="189" t="s">
        <v>22</v>
      </c>
      <c r="S2216" s="189" t="s">
        <v>152</v>
      </c>
      <c r="T2216" s="189" t="s">
        <v>352</v>
      </c>
      <c r="U2216" s="189" t="s">
        <v>122</v>
      </c>
      <c r="V2216" s="189" t="s">
        <v>123</v>
      </c>
      <c r="W2216" s="189" t="s">
        <v>124</v>
      </c>
      <c r="X2216" s="189" t="s">
        <v>339</v>
      </c>
      <c r="Y2216" s="189" t="s">
        <v>3066</v>
      </c>
      <c r="Z2216" s="0" t="n">
        <v>1</v>
      </c>
      <c r="AA2216" s="189" t="s">
        <v>3235</v>
      </c>
    </row>
    <row r="2217" customFormat="false" ht="15" hidden="false" customHeight="false" outlineLevel="0" collapsed="false">
      <c r="A2217" s="0" t="n">
        <v>472</v>
      </c>
      <c r="B2217" s="191" t="n">
        <v>46201.8272267422</v>
      </c>
      <c r="C2217" s="191" t="n">
        <v>46201.8401318348</v>
      </c>
      <c r="D2217" s="189" t="s">
        <v>2823</v>
      </c>
      <c r="E2217" s="189" t="s">
        <v>2824</v>
      </c>
      <c r="F2217" s="189" t="s">
        <v>2825</v>
      </c>
      <c r="G2217" s="189" t="s">
        <v>2826</v>
      </c>
      <c r="H2217" s="191" t="n">
        <v>46188</v>
      </c>
      <c r="I2217" s="189" t="s">
        <v>113</v>
      </c>
      <c r="J2217" s="189" t="s">
        <v>108</v>
      </c>
      <c r="K2217" s="189" t="s">
        <v>2827</v>
      </c>
      <c r="L2217" s="189" t="s">
        <v>268</v>
      </c>
      <c r="M2217" s="189" t="s">
        <v>234</v>
      </c>
      <c r="N2217" s="189" t="s">
        <v>175</v>
      </c>
      <c r="O2217" s="189" t="s">
        <v>107</v>
      </c>
      <c r="P2217" s="189" t="s">
        <v>211</v>
      </c>
      <c r="Q2217" s="189" t="s">
        <v>112</v>
      </c>
      <c r="R2217" s="189" t="s">
        <v>22</v>
      </c>
      <c r="S2217" s="189" t="s">
        <v>152</v>
      </c>
      <c r="T2217" s="189" t="s">
        <v>352</v>
      </c>
      <c r="U2217" s="189" t="s">
        <v>122</v>
      </c>
      <c r="V2217" s="189" t="s">
        <v>123</v>
      </c>
      <c r="W2217" s="189" t="s">
        <v>124</v>
      </c>
      <c r="X2217" s="189" t="s">
        <v>339</v>
      </c>
      <c r="Y2217" s="189" t="s">
        <v>3069</v>
      </c>
      <c r="Z2217" s="0" t="n">
        <v>1</v>
      </c>
      <c r="AA2217" s="189" t="s">
        <v>3145</v>
      </c>
    </row>
    <row r="2218" customFormat="false" ht="15" hidden="false" customHeight="false" outlineLevel="0" collapsed="false">
      <c r="A2218" s="0" t="n">
        <v>472</v>
      </c>
      <c r="B2218" s="191" t="n">
        <v>46201.8272267422</v>
      </c>
      <c r="C2218" s="191" t="n">
        <v>46201.8401318348</v>
      </c>
      <c r="D2218" s="189" t="s">
        <v>2823</v>
      </c>
      <c r="E2218" s="189" t="s">
        <v>2824</v>
      </c>
      <c r="F2218" s="189" t="s">
        <v>2825</v>
      </c>
      <c r="G2218" s="189" t="s">
        <v>2826</v>
      </c>
      <c r="H2218" s="191" t="n">
        <v>46188</v>
      </c>
      <c r="I2218" s="189" t="s">
        <v>113</v>
      </c>
      <c r="J2218" s="189" t="s">
        <v>108</v>
      </c>
      <c r="K2218" s="189" t="s">
        <v>2827</v>
      </c>
      <c r="L2218" s="189" t="s">
        <v>268</v>
      </c>
      <c r="M2218" s="189" t="s">
        <v>234</v>
      </c>
      <c r="N2218" s="189" t="s">
        <v>175</v>
      </c>
      <c r="O2218" s="189" t="s">
        <v>107</v>
      </c>
      <c r="P2218" s="189" t="s">
        <v>211</v>
      </c>
      <c r="Q2218" s="189" t="s">
        <v>112</v>
      </c>
      <c r="R2218" s="189" t="s">
        <v>22</v>
      </c>
      <c r="S2218" s="189" t="s">
        <v>152</v>
      </c>
      <c r="T2218" s="189" t="s">
        <v>352</v>
      </c>
      <c r="U2218" s="189" t="s">
        <v>122</v>
      </c>
      <c r="V2218" s="189" t="s">
        <v>123</v>
      </c>
      <c r="W2218" s="189" t="s">
        <v>124</v>
      </c>
      <c r="X2218" s="189" t="s">
        <v>339</v>
      </c>
      <c r="Y2218" s="189" t="s">
        <v>3069</v>
      </c>
      <c r="Z2218" s="0" t="n">
        <v>2</v>
      </c>
      <c r="AA2218" s="189" t="s">
        <v>3144</v>
      </c>
    </row>
    <row r="2219" customFormat="false" ht="15" hidden="false" customHeight="false" outlineLevel="0" collapsed="false">
      <c r="A2219" s="0" t="n">
        <v>473</v>
      </c>
      <c r="B2219" s="191" t="n">
        <v>46128.9227676241</v>
      </c>
      <c r="C2219" s="191" t="n">
        <v>46128.9428717907</v>
      </c>
      <c r="D2219" s="189" t="s">
        <v>2829</v>
      </c>
      <c r="E2219" s="189" t="s">
        <v>2830</v>
      </c>
      <c r="F2219" s="189" t="s">
        <v>2830</v>
      </c>
      <c r="G2219" s="189" t="s">
        <v>2831</v>
      </c>
      <c r="H2219" s="191" t="n">
        <v>46128</v>
      </c>
      <c r="I2219" s="189" t="s">
        <v>132</v>
      </c>
      <c r="J2219" s="189" t="s">
        <v>108</v>
      </c>
      <c r="K2219" s="189" t="s">
        <v>143</v>
      </c>
      <c r="L2219" s="189" t="s">
        <v>491</v>
      </c>
      <c r="M2219" s="189" t="s">
        <v>594</v>
      </c>
      <c r="N2219" s="189" t="s">
        <v>1323</v>
      </c>
      <c r="O2219" s="189" t="s">
        <v>172</v>
      </c>
      <c r="P2219" s="189" t="s">
        <v>111</v>
      </c>
      <c r="Q2219" s="189" t="s">
        <v>112</v>
      </c>
      <c r="R2219" s="189" t="s">
        <v>22</v>
      </c>
      <c r="S2219" s="189" t="s">
        <v>120</v>
      </c>
      <c r="T2219" s="189" t="s">
        <v>121</v>
      </c>
      <c r="U2219" s="189" t="s">
        <v>1229</v>
      </c>
      <c r="V2219" s="189" t="s">
        <v>192</v>
      </c>
      <c r="W2219" s="189" t="s">
        <v>124</v>
      </c>
      <c r="X2219" s="189" t="s">
        <v>339</v>
      </c>
      <c r="Y2219" s="189" t="s">
        <v>3064</v>
      </c>
      <c r="Z2219" s="0" t="n">
        <v>1</v>
      </c>
      <c r="AA2219" s="189" t="s">
        <v>3199</v>
      </c>
    </row>
    <row r="2220" customFormat="false" ht="15" hidden="false" customHeight="false" outlineLevel="0" collapsed="false">
      <c r="A2220" s="0" t="n">
        <v>473</v>
      </c>
      <c r="B2220" s="191" t="n">
        <v>46128.9227676241</v>
      </c>
      <c r="C2220" s="191" t="n">
        <v>46128.9428717907</v>
      </c>
      <c r="D2220" s="189" t="s">
        <v>2829</v>
      </c>
      <c r="E2220" s="189" t="s">
        <v>2830</v>
      </c>
      <c r="F2220" s="189" t="s">
        <v>2830</v>
      </c>
      <c r="G2220" s="189" t="s">
        <v>2831</v>
      </c>
      <c r="H2220" s="191" t="n">
        <v>46128</v>
      </c>
      <c r="I2220" s="189" t="s">
        <v>132</v>
      </c>
      <c r="J2220" s="189" t="s">
        <v>108</v>
      </c>
      <c r="K2220" s="189" t="s">
        <v>143</v>
      </c>
      <c r="L2220" s="189" t="s">
        <v>491</v>
      </c>
      <c r="M2220" s="189" t="s">
        <v>594</v>
      </c>
      <c r="N2220" s="189" t="s">
        <v>1323</v>
      </c>
      <c r="O2220" s="189" t="s">
        <v>172</v>
      </c>
      <c r="P2220" s="189" t="s">
        <v>111</v>
      </c>
      <c r="Q2220" s="189" t="s">
        <v>112</v>
      </c>
      <c r="R2220" s="189" t="s">
        <v>22</v>
      </c>
      <c r="S2220" s="189" t="s">
        <v>120</v>
      </c>
      <c r="T2220" s="189" t="s">
        <v>121</v>
      </c>
      <c r="U2220" s="189" t="s">
        <v>1229</v>
      </c>
      <c r="V2220" s="189" t="s">
        <v>192</v>
      </c>
      <c r="W2220" s="189" t="s">
        <v>124</v>
      </c>
      <c r="X2220" s="189" t="s">
        <v>339</v>
      </c>
      <c r="Y2220" s="189" t="s">
        <v>3066</v>
      </c>
      <c r="Z2220" s="0" t="n">
        <v>1</v>
      </c>
      <c r="AA2220" s="189" t="s">
        <v>122</v>
      </c>
    </row>
    <row r="2221" customFormat="false" ht="15" hidden="false" customHeight="false" outlineLevel="0" collapsed="false">
      <c r="A2221" s="0" t="n">
        <v>473</v>
      </c>
      <c r="B2221" s="191" t="n">
        <v>46128.9227676241</v>
      </c>
      <c r="C2221" s="191" t="n">
        <v>46128.9428717907</v>
      </c>
      <c r="D2221" s="189" t="s">
        <v>2829</v>
      </c>
      <c r="E2221" s="189" t="s">
        <v>2830</v>
      </c>
      <c r="F2221" s="189" t="s">
        <v>2830</v>
      </c>
      <c r="G2221" s="189" t="s">
        <v>2831</v>
      </c>
      <c r="H2221" s="191" t="n">
        <v>46128</v>
      </c>
      <c r="I2221" s="189" t="s">
        <v>132</v>
      </c>
      <c r="J2221" s="189" t="s">
        <v>108</v>
      </c>
      <c r="K2221" s="189" t="s">
        <v>143</v>
      </c>
      <c r="L2221" s="189" t="s">
        <v>491</v>
      </c>
      <c r="M2221" s="189" t="s">
        <v>594</v>
      </c>
      <c r="N2221" s="189" t="s">
        <v>1323</v>
      </c>
      <c r="O2221" s="189" t="s">
        <v>172</v>
      </c>
      <c r="P2221" s="189" t="s">
        <v>111</v>
      </c>
      <c r="Q2221" s="189" t="s">
        <v>112</v>
      </c>
      <c r="R2221" s="189" t="s">
        <v>22</v>
      </c>
      <c r="S2221" s="189" t="s">
        <v>120</v>
      </c>
      <c r="T2221" s="189" t="s">
        <v>121</v>
      </c>
      <c r="U2221" s="189" t="s">
        <v>1229</v>
      </c>
      <c r="V2221" s="189" t="s">
        <v>192</v>
      </c>
      <c r="W2221" s="189" t="s">
        <v>124</v>
      </c>
      <c r="X2221" s="189" t="s">
        <v>339</v>
      </c>
      <c r="Y2221" s="189" t="s">
        <v>3066</v>
      </c>
      <c r="Z2221" s="0" t="n">
        <v>2</v>
      </c>
      <c r="AA2221" s="189" t="s">
        <v>3243</v>
      </c>
    </row>
    <row r="2222" customFormat="false" ht="15" hidden="false" customHeight="false" outlineLevel="0" collapsed="false">
      <c r="A2222" s="0" t="n">
        <v>473</v>
      </c>
      <c r="B2222" s="191" t="n">
        <v>46128.9227676241</v>
      </c>
      <c r="C2222" s="191" t="n">
        <v>46128.9428717907</v>
      </c>
      <c r="D2222" s="189" t="s">
        <v>2829</v>
      </c>
      <c r="E2222" s="189" t="s">
        <v>2830</v>
      </c>
      <c r="F2222" s="189" t="s">
        <v>2830</v>
      </c>
      <c r="G2222" s="189" t="s">
        <v>2831</v>
      </c>
      <c r="H2222" s="191" t="n">
        <v>46128</v>
      </c>
      <c r="I2222" s="189" t="s">
        <v>132</v>
      </c>
      <c r="J2222" s="189" t="s">
        <v>108</v>
      </c>
      <c r="K2222" s="189" t="s">
        <v>143</v>
      </c>
      <c r="L2222" s="189" t="s">
        <v>491</v>
      </c>
      <c r="M2222" s="189" t="s">
        <v>594</v>
      </c>
      <c r="N2222" s="189" t="s">
        <v>1323</v>
      </c>
      <c r="O2222" s="189" t="s">
        <v>172</v>
      </c>
      <c r="P2222" s="189" t="s">
        <v>111</v>
      </c>
      <c r="Q2222" s="189" t="s">
        <v>112</v>
      </c>
      <c r="R2222" s="189" t="s">
        <v>22</v>
      </c>
      <c r="S2222" s="189" t="s">
        <v>120</v>
      </c>
      <c r="T2222" s="189" t="s">
        <v>121</v>
      </c>
      <c r="U2222" s="189" t="s">
        <v>1229</v>
      </c>
      <c r="V2222" s="189" t="s">
        <v>192</v>
      </c>
      <c r="W2222" s="189" t="s">
        <v>124</v>
      </c>
      <c r="X2222" s="189" t="s">
        <v>339</v>
      </c>
      <c r="Y2222" s="189" t="s">
        <v>3069</v>
      </c>
      <c r="Z2222" s="0" t="n">
        <v>1</v>
      </c>
      <c r="AA2222" s="189" t="s">
        <v>3217</v>
      </c>
    </row>
    <row r="2223" customFormat="false" ht="15" hidden="false" customHeight="false" outlineLevel="0" collapsed="false">
      <c r="A2223" s="0" t="n">
        <v>473</v>
      </c>
      <c r="B2223" s="191" t="n">
        <v>46128.9227676241</v>
      </c>
      <c r="C2223" s="191" t="n">
        <v>46128.9428717907</v>
      </c>
      <c r="D2223" s="189" t="s">
        <v>2829</v>
      </c>
      <c r="E2223" s="189" t="s">
        <v>2830</v>
      </c>
      <c r="F2223" s="189" t="s">
        <v>2830</v>
      </c>
      <c r="G2223" s="189" t="s">
        <v>2831</v>
      </c>
      <c r="H2223" s="191" t="n">
        <v>46128</v>
      </c>
      <c r="I2223" s="189" t="s">
        <v>132</v>
      </c>
      <c r="J2223" s="189" t="s">
        <v>108</v>
      </c>
      <c r="K2223" s="189" t="s">
        <v>143</v>
      </c>
      <c r="L2223" s="189" t="s">
        <v>491</v>
      </c>
      <c r="M2223" s="189" t="s">
        <v>594</v>
      </c>
      <c r="N2223" s="189" t="s">
        <v>1323</v>
      </c>
      <c r="O2223" s="189" t="s">
        <v>172</v>
      </c>
      <c r="P2223" s="189" t="s">
        <v>111</v>
      </c>
      <c r="Q2223" s="189" t="s">
        <v>112</v>
      </c>
      <c r="R2223" s="189" t="s">
        <v>22</v>
      </c>
      <c r="S2223" s="189" t="s">
        <v>120</v>
      </c>
      <c r="T2223" s="189" t="s">
        <v>121</v>
      </c>
      <c r="U2223" s="189" t="s">
        <v>1229</v>
      </c>
      <c r="V2223" s="189" t="s">
        <v>192</v>
      </c>
      <c r="W2223" s="189" t="s">
        <v>124</v>
      </c>
      <c r="X2223" s="189" t="s">
        <v>339</v>
      </c>
      <c r="Y2223" s="189" t="s">
        <v>3069</v>
      </c>
      <c r="Z2223" s="0" t="n">
        <v>2</v>
      </c>
      <c r="AA2223" s="189" t="s">
        <v>3200</v>
      </c>
    </row>
    <row r="2224" customFormat="false" ht="15" hidden="false" customHeight="false" outlineLevel="0" collapsed="false">
      <c r="A2224" s="0" t="n">
        <v>474</v>
      </c>
      <c r="B2224" s="191" t="n">
        <v>46113.7829359425</v>
      </c>
      <c r="C2224" s="191" t="n">
        <v>46113.7848340906</v>
      </c>
      <c r="D2224" s="189" t="s">
        <v>2834</v>
      </c>
      <c r="E2224" s="189" t="s">
        <v>2835</v>
      </c>
      <c r="F2224" s="189" t="s">
        <v>2835</v>
      </c>
      <c r="G2224" s="189" t="s">
        <v>2836</v>
      </c>
      <c r="H2224" s="191" t="n">
        <v>46102</v>
      </c>
      <c r="I2224" s="189" t="s">
        <v>113</v>
      </c>
      <c r="J2224" s="189" t="s">
        <v>108</v>
      </c>
      <c r="K2224" s="189" t="s">
        <v>245</v>
      </c>
      <c r="L2224" s="189" t="s">
        <v>110</v>
      </c>
      <c r="M2224" s="189" t="s">
        <v>774</v>
      </c>
      <c r="N2224" s="189" t="s">
        <v>645</v>
      </c>
      <c r="O2224" s="189" t="s">
        <v>172</v>
      </c>
      <c r="P2224" s="189" t="s">
        <v>111</v>
      </c>
      <c r="Q2224" s="189" t="s">
        <v>112</v>
      </c>
      <c r="R2224" s="189" t="s">
        <v>22</v>
      </c>
      <c r="S2224" s="189" t="s">
        <v>120</v>
      </c>
      <c r="T2224" s="189" t="s">
        <v>121</v>
      </c>
      <c r="U2224" s="189" t="s">
        <v>1902</v>
      </c>
      <c r="V2224" s="189" t="s">
        <v>123</v>
      </c>
      <c r="W2224" s="189" t="s">
        <v>124</v>
      </c>
      <c r="X2224" s="189" t="s">
        <v>176</v>
      </c>
      <c r="Y2224" s="189" t="s">
        <v>3064</v>
      </c>
      <c r="Z2224" s="0" t="n">
        <v>1</v>
      </c>
      <c r="AA2224" s="189" t="s">
        <v>3244</v>
      </c>
    </row>
    <row r="2225" customFormat="false" ht="15" hidden="false" customHeight="false" outlineLevel="0" collapsed="false">
      <c r="A2225" s="0" t="n">
        <v>474</v>
      </c>
      <c r="B2225" s="191" t="n">
        <v>46113.7829359425</v>
      </c>
      <c r="C2225" s="191" t="n">
        <v>46113.7848340906</v>
      </c>
      <c r="D2225" s="189" t="s">
        <v>2834</v>
      </c>
      <c r="E2225" s="189" t="s">
        <v>2835</v>
      </c>
      <c r="F2225" s="189" t="s">
        <v>2835</v>
      </c>
      <c r="G2225" s="189" t="s">
        <v>2836</v>
      </c>
      <c r="H2225" s="191" t="n">
        <v>46102</v>
      </c>
      <c r="I2225" s="189" t="s">
        <v>113</v>
      </c>
      <c r="J2225" s="189" t="s">
        <v>108</v>
      </c>
      <c r="K2225" s="189" t="s">
        <v>245</v>
      </c>
      <c r="L2225" s="189" t="s">
        <v>110</v>
      </c>
      <c r="M2225" s="189" t="s">
        <v>774</v>
      </c>
      <c r="N2225" s="189" t="s">
        <v>645</v>
      </c>
      <c r="O2225" s="189" t="s">
        <v>172</v>
      </c>
      <c r="P2225" s="189" t="s">
        <v>111</v>
      </c>
      <c r="Q2225" s="189" t="s">
        <v>112</v>
      </c>
      <c r="R2225" s="189" t="s">
        <v>22</v>
      </c>
      <c r="S2225" s="189" t="s">
        <v>120</v>
      </c>
      <c r="T2225" s="189" t="s">
        <v>121</v>
      </c>
      <c r="U2225" s="189" t="s">
        <v>1902</v>
      </c>
      <c r="V2225" s="189" t="s">
        <v>123</v>
      </c>
      <c r="W2225" s="189" t="s">
        <v>124</v>
      </c>
      <c r="X2225" s="189" t="s">
        <v>176</v>
      </c>
      <c r="Y2225" s="189" t="s">
        <v>3064</v>
      </c>
      <c r="Z2225" s="0" t="n">
        <v>2</v>
      </c>
      <c r="AA2225" s="189" t="s">
        <v>3204</v>
      </c>
    </row>
    <row r="2226" customFormat="false" ht="15" hidden="false" customHeight="false" outlineLevel="0" collapsed="false">
      <c r="A2226" s="0" t="n">
        <v>474</v>
      </c>
      <c r="B2226" s="191" t="n">
        <v>46113.7829359425</v>
      </c>
      <c r="C2226" s="191" t="n">
        <v>46113.7848340906</v>
      </c>
      <c r="D2226" s="189" t="s">
        <v>2834</v>
      </c>
      <c r="E2226" s="189" t="s">
        <v>2835</v>
      </c>
      <c r="F2226" s="189" t="s">
        <v>2835</v>
      </c>
      <c r="G2226" s="189" t="s">
        <v>2836</v>
      </c>
      <c r="H2226" s="191" t="n">
        <v>46102</v>
      </c>
      <c r="I2226" s="189" t="s">
        <v>113</v>
      </c>
      <c r="J2226" s="189" t="s">
        <v>108</v>
      </c>
      <c r="K2226" s="189" t="s">
        <v>245</v>
      </c>
      <c r="L2226" s="189" t="s">
        <v>110</v>
      </c>
      <c r="M2226" s="189" t="s">
        <v>774</v>
      </c>
      <c r="N2226" s="189" t="s">
        <v>645</v>
      </c>
      <c r="O2226" s="189" t="s">
        <v>172</v>
      </c>
      <c r="P2226" s="189" t="s">
        <v>111</v>
      </c>
      <c r="Q2226" s="189" t="s">
        <v>112</v>
      </c>
      <c r="R2226" s="189" t="s">
        <v>22</v>
      </c>
      <c r="S2226" s="189" t="s">
        <v>120</v>
      </c>
      <c r="T2226" s="189" t="s">
        <v>121</v>
      </c>
      <c r="U2226" s="189" t="s">
        <v>1902</v>
      </c>
      <c r="V2226" s="189" t="s">
        <v>123</v>
      </c>
      <c r="W2226" s="189" t="s">
        <v>124</v>
      </c>
      <c r="X2226" s="189" t="s">
        <v>176</v>
      </c>
      <c r="Y2226" s="189" t="s">
        <v>3064</v>
      </c>
      <c r="Z2226" s="0" t="n">
        <v>3</v>
      </c>
      <c r="AA2226" s="189" t="s">
        <v>3292</v>
      </c>
    </row>
    <row r="2227" customFormat="false" ht="15" hidden="false" customHeight="false" outlineLevel="0" collapsed="false">
      <c r="A2227" s="0" t="n">
        <v>474</v>
      </c>
      <c r="B2227" s="191" t="n">
        <v>46113.7829359425</v>
      </c>
      <c r="C2227" s="191" t="n">
        <v>46113.7848340906</v>
      </c>
      <c r="D2227" s="189" t="s">
        <v>2834</v>
      </c>
      <c r="E2227" s="189" t="s">
        <v>2835</v>
      </c>
      <c r="F2227" s="189" t="s">
        <v>2835</v>
      </c>
      <c r="G2227" s="189" t="s">
        <v>2836</v>
      </c>
      <c r="H2227" s="191" t="n">
        <v>46102</v>
      </c>
      <c r="I2227" s="189" t="s">
        <v>113</v>
      </c>
      <c r="J2227" s="189" t="s">
        <v>108</v>
      </c>
      <c r="K2227" s="189" t="s">
        <v>245</v>
      </c>
      <c r="L2227" s="189" t="s">
        <v>110</v>
      </c>
      <c r="M2227" s="189" t="s">
        <v>774</v>
      </c>
      <c r="N2227" s="189" t="s">
        <v>645</v>
      </c>
      <c r="O2227" s="189" t="s">
        <v>172</v>
      </c>
      <c r="P2227" s="189" t="s">
        <v>111</v>
      </c>
      <c r="Q2227" s="189" t="s">
        <v>112</v>
      </c>
      <c r="R2227" s="189" t="s">
        <v>22</v>
      </c>
      <c r="S2227" s="189" t="s">
        <v>120</v>
      </c>
      <c r="T2227" s="189" t="s">
        <v>121</v>
      </c>
      <c r="U2227" s="189" t="s">
        <v>1902</v>
      </c>
      <c r="V2227" s="189" t="s">
        <v>123</v>
      </c>
      <c r="W2227" s="189" t="s">
        <v>124</v>
      </c>
      <c r="X2227" s="189" t="s">
        <v>176</v>
      </c>
      <c r="Y2227" s="189" t="s">
        <v>3066</v>
      </c>
      <c r="Z2227" s="0" t="n">
        <v>1</v>
      </c>
      <c r="AA2227" s="189" t="s">
        <v>3301</v>
      </c>
    </row>
    <row r="2228" customFormat="false" ht="15" hidden="false" customHeight="false" outlineLevel="0" collapsed="false">
      <c r="A2228" s="0" t="n">
        <v>474</v>
      </c>
      <c r="B2228" s="191" t="n">
        <v>46113.7829359425</v>
      </c>
      <c r="C2228" s="191" t="n">
        <v>46113.7848340906</v>
      </c>
      <c r="D2228" s="189" t="s">
        <v>2834</v>
      </c>
      <c r="E2228" s="189" t="s">
        <v>2835</v>
      </c>
      <c r="F2228" s="189" t="s">
        <v>2835</v>
      </c>
      <c r="G2228" s="189" t="s">
        <v>2836</v>
      </c>
      <c r="H2228" s="191" t="n">
        <v>46102</v>
      </c>
      <c r="I2228" s="189" t="s">
        <v>113</v>
      </c>
      <c r="J2228" s="189" t="s">
        <v>108</v>
      </c>
      <c r="K2228" s="189" t="s">
        <v>245</v>
      </c>
      <c r="L2228" s="189" t="s">
        <v>110</v>
      </c>
      <c r="M2228" s="189" t="s">
        <v>774</v>
      </c>
      <c r="N2228" s="189" t="s">
        <v>645</v>
      </c>
      <c r="O2228" s="189" t="s">
        <v>172</v>
      </c>
      <c r="P2228" s="189" t="s">
        <v>111</v>
      </c>
      <c r="Q2228" s="189" t="s">
        <v>112</v>
      </c>
      <c r="R2228" s="189" t="s">
        <v>22</v>
      </c>
      <c r="S2228" s="189" t="s">
        <v>120</v>
      </c>
      <c r="T2228" s="189" t="s">
        <v>121</v>
      </c>
      <c r="U2228" s="189" t="s">
        <v>1902</v>
      </c>
      <c r="V2228" s="189" t="s">
        <v>123</v>
      </c>
      <c r="W2228" s="189" t="s">
        <v>124</v>
      </c>
      <c r="X2228" s="189" t="s">
        <v>176</v>
      </c>
      <c r="Y2228" s="189" t="s">
        <v>3066</v>
      </c>
      <c r="Z2228" s="0" t="n">
        <v>2</v>
      </c>
      <c r="AA2228" s="189" t="s">
        <v>3084</v>
      </c>
    </row>
    <row r="2229" customFormat="false" ht="15" hidden="false" customHeight="false" outlineLevel="0" collapsed="false">
      <c r="A2229" s="0" t="n">
        <v>474</v>
      </c>
      <c r="B2229" s="191" t="n">
        <v>46113.7829359425</v>
      </c>
      <c r="C2229" s="191" t="n">
        <v>46113.7848340906</v>
      </c>
      <c r="D2229" s="189" t="s">
        <v>2834</v>
      </c>
      <c r="E2229" s="189" t="s">
        <v>2835</v>
      </c>
      <c r="F2229" s="189" t="s">
        <v>2835</v>
      </c>
      <c r="G2229" s="189" t="s">
        <v>2836</v>
      </c>
      <c r="H2229" s="191" t="n">
        <v>46102</v>
      </c>
      <c r="I2229" s="189" t="s">
        <v>113</v>
      </c>
      <c r="J2229" s="189" t="s">
        <v>108</v>
      </c>
      <c r="K2229" s="189" t="s">
        <v>245</v>
      </c>
      <c r="L2229" s="189" t="s">
        <v>110</v>
      </c>
      <c r="M2229" s="189" t="s">
        <v>774</v>
      </c>
      <c r="N2229" s="189" t="s">
        <v>645</v>
      </c>
      <c r="O2229" s="189" t="s">
        <v>172</v>
      </c>
      <c r="P2229" s="189" t="s">
        <v>111</v>
      </c>
      <c r="Q2229" s="189" t="s">
        <v>112</v>
      </c>
      <c r="R2229" s="189" t="s">
        <v>22</v>
      </c>
      <c r="S2229" s="189" t="s">
        <v>120</v>
      </c>
      <c r="T2229" s="189" t="s">
        <v>121</v>
      </c>
      <c r="U2229" s="189" t="s">
        <v>1902</v>
      </c>
      <c r="V2229" s="189" t="s">
        <v>123</v>
      </c>
      <c r="W2229" s="189" t="s">
        <v>124</v>
      </c>
      <c r="X2229" s="189" t="s">
        <v>176</v>
      </c>
      <c r="Y2229" s="189" t="s">
        <v>3069</v>
      </c>
      <c r="Z2229" s="0" t="n">
        <v>1</v>
      </c>
      <c r="AA2229" s="189" t="s">
        <v>3206</v>
      </c>
    </row>
    <row r="2230" customFormat="false" ht="15" hidden="false" customHeight="false" outlineLevel="0" collapsed="false">
      <c r="A2230" s="0" t="n">
        <v>475</v>
      </c>
      <c r="B2230" s="191" t="n">
        <v>46088.6130893513</v>
      </c>
      <c r="C2230" s="191" t="n">
        <v>46088.6248023142</v>
      </c>
      <c r="D2230" s="189" t="s">
        <v>2840</v>
      </c>
      <c r="E2230" s="189" t="s">
        <v>2841</v>
      </c>
      <c r="F2230" s="189" t="s">
        <v>2841</v>
      </c>
      <c r="G2230" s="189" t="s">
        <v>2842</v>
      </c>
      <c r="H2230" s="191" t="n">
        <v>46083</v>
      </c>
      <c r="I2230" s="189" t="s">
        <v>325</v>
      </c>
      <c r="J2230" s="189" t="s">
        <v>108</v>
      </c>
      <c r="K2230" s="189" t="s">
        <v>143</v>
      </c>
      <c r="L2230" s="189" t="s">
        <v>110</v>
      </c>
      <c r="M2230" s="189" t="s">
        <v>406</v>
      </c>
      <c r="N2230" s="189" t="s">
        <v>893</v>
      </c>
      <c r="O2230" s="189" t="s">
        <v>107</v>
      </c>
      <c r="P2230" s="189" t="s">
        <v>111</v>
      </c>
      <c r="Q2230" s="189" t="s">
        <v>112</v>
      </c>
      <c r="R2230" s="189" t="s">
        <v>22</v>
      </c>
      <c r="S2230" s="189" t="s">
        <v>120</v>
      </c>
      <c r="T2230" s="189" t="s">
        <v>121</v>
      </c>
      <c r="U2230" s="189" t="s">
        <v>122</v>
      </c>
      <c r="V2230" s="189" t="s">
        <v>123</v>
      </c>
      <c r="W2230" s="189" t="s">
        <v>124</v>
      </c>
      <c r="X2230" s="189" t="s">
        <v>116</v>
      </c>
      <c r="Y2230" s="189" t="s">
        <v>3064</v>
      </c>
      <c r="Z2230" s="0" t="n">
        <v>1</v>
      </c>
      <c r="AA2230" s="189" t="s">
        <v>3095</v>
      </c>
    </row>
    <row r="2231" customFormat="false" ht="15" hidden="false" customHeight="false" outlineLevel="0" collapsed="false">
      <c r="A2231" s="0" t="n">
        <v>475</v>
      </c>
      <c r="B2231" s="191" t="n">
        <v>46088.6130893513</v>
      </c>
      <c r="C2231" s="191" t="n">
        <v>46088.6248023142</v>
      </c>
      <c r="D2231" s="189" t="s">
        <v>2840</v>
      </c>
      <c r="E2231" s="189" t="s">
        <v>2841</v>
      </c>
      <c r="F2231" s="189" t="s">
        <v>2841</v>
      </c>
      <c r="G2231" s="189" t="s">
        <v>2842</v>
      </c>
      <c r="H2231" s="191" t="n">
        <v>46083</v>
      </c>
      <c r="I2231" s="189" t="s">
        <v>325</v>
      </c>
      <c r="J2231" s="189" t="s">
        <v>108</v>
      </c>
      <c r="K2231" s="189" t="s">
        <v>143</v>
      </c>
      <c r="L2231" s="189" t="s">
        <v>110</v>
      </c>
      <c r="M2231" s="189" t="s">
        <v>406</v>
      </c>
      <c r="N2231" s="189" t="s">
        <v>893</v>
      </c>
      <c r="O2231" s="189" t="s">
        <v>107</v>
      </c>
      <c r="P2231" s="189" t="s">
        <v>111</v>
      </c>
      <c r="Q2231" s="189" t="s">
        <v>112</v>
      </c>
      <c r="R2231" s="189" t="s">
        <v>22</v>
      </c>
      <c r="S2231" s="189" t="s">
        <v>120</v>
      </c>
      <c r="T2231" s="189" t="s">
        <v>121</v>
      </c>
      <c r="U2231" s="189" t="s">
        <v>122</v>
      </c>
      <c r="V2231" s="189" t="s">
        <v>123</v>
      </c>
      <c r="W2231" s="189" t="s">
        <v>124</v>
      </c>
      <c r="X2231" s="189" t="s">
        <v>116</v>
      </c>
      <c r="Y2231" s="189" t="s">
        <v>3064</v>
      </c>
      <c r="Z2231" s="0" t="n">
        <v>2</v>
      </c>
      <c r="AA2231" s="189" t="s">
        <v>3107</v>
      </c>
    </row>
    <row r="2232" customFormat="false" ht="15" hidden="false" customHeight="false" outlineLevel="0" collapsed="false">
      <c r="A2232" s="0" t="n">
        <v>475</v>
      </c>
      <c r="B2232" s="191" t="n">
        <v>46088.6130893513</v>
      </c>
      <c r="C2232" s="191" t="n">
        <v>46088.6248023142</v>
      </c>
      <c r="D2232" s="189" t="s">
        <v>2840</v>
      </c>
      <c r="E2232" s="189" t="s">
        <v>2841</v>
      </c>
      <c r="F2232" s="189" t="s">
        <v>2841</v>
      </c>
      <c r="G2232" s="189" t="s">
        <v>2842</v>
      </c>
      <c r="H2232" s="191" t="n">
        <v>46083</v>
      </c>
      <c r="I2232" s="189" t="s">
        <v>325</v>
      </c>
      <c r="J2232" s="189" t="s">
        <v>108</v>
      </c>
      <c r="K2232" s="189" t="s">
        <v>143</v>
      </c>
      <c r="L2232" s="189" t="s">
        <v>110</v>
      </c>
      <c r="M2232" s="189" t="s">
        <v>406</v>
      </c>
      <c r="N2232" s="189" t="s">
        <v>893</v>
      </c>
      <c r="O2232" s="189" t="s">
        <v>107</v>
      </c>
      <c r="P2232" s="189" t="s">
        <v>111</v>
      </c>
      <c r="Q2232" s="189" t="s">
        <v>112</v>
      </c>
      <c r="R2232" s="189" t="s">
        <v>22</v>
      </c>
      <c r="S2232" s="189" t="s">
        <v>120</v>
      </c>
      <c r="T2232" s="189" t="s">
        <v>121</v>
      </c>
      <c r="U2232" s="189" t="s">
        <v>122</v>
      </c>
      <c r="V2232" s="189" t="s">
        <v>123</v>
      </c>
      <c r="W2232" s="189" t="s">
        <v>124</v>
      </c>
      <c r="X2232" s="189" t="s">
        <v>116</v>
      </c>
      <c r="Y2232" s="189" t="s">
        <v>3066</v>
      </c>
      <c r="Z2232" s="0" t="n">
        <v>1</v>
      </c>
      <c r="AA2232" s="189" t="s">
        <v>122</v>
      </c>
    </row>
    <row r="2233" customFormat="false" ht="15" hidden="false" customHeight="false" outlineLevel="0" collapsed="false">
      <c r="A2233" s="0" t="n">
        <v>475</v>
      </c>
      <c r="B2233" s="191" t="n">
        <v>46088.6130893513</v>
      </c>
      <c r="C2233" s="191" t="n">
        <v>46088.6248023142</v>
      </c>
      <c r="D2233" s="189" t="s">
        <v>2840</v>
      </c>
      <c r="E2233" s="189" t="s">
        <v>2841</v>
      </c>
      <c r="F2233" s="189" t="s">
        <v>2841</v>
      </c>
      <c r="G2233" s="189" t="s">
        <v>2842</v>
      </c>
      <c r="H2233" s="191" t="n">
        <v>46083</v>
      </c>
      <c r="I2233" s="189" t="s">
        <v>325</v>
      </c>
      <c r="J2233" s="189" t="s">
        <v>108</v>
      </c>
      <c r="K2233" s="189" t="s">
        <v>143</v>
      </c>
      <c r="L2233" s="189" t="s">
        <v>110</v>
      </c>
      <c r="M2233" s="189" t="s">
        <v>406</v>
      </c>
      <c r="N2233" s="189" t="s">
        <v>893</v>
      </c>
      <c r="O2233" s="189" t="s">
        <v>107</v>
      </c>
      <c r="P2233" s="189" t="s">
        <v>111</v>
      </c>
      <c r="Q2233" s="189" t="s">
        <v>112</v>
      </c>
      <c r="R2233" s="189" t="s">
        <v>22</v>
      </c>
      <c r="S2233" s="189" t="s">
        <v>120</v>
      </c>
      <c r="T2233" s="189" t="s">
        <v>121</v>
      </c>
      <c r="U2233" s="189" t="s">
        <v>122</v>
      </c>
      <c r="V2233" s="189" t="s">
        <v>123</v>
      </c>
      <c r="W2233" s="189" t="s">
        <v>124</v>
      </c>
      <c r="X2233" s="189" t="s">
        <v>116</v>
      </c>
      <c r="Y2233" s="189" t="s">
        <v>3069</v>
      </c>
      <c r="Z2233" s="0" t="n">
        <v>1</v>
      </c>
      <c r="AA2233" s="189" t="s">
        <v>3140</v>
      </c>
    </row>
    <row r="2234" customFormat="false" ht="15" hidden="false" customHeight="false" outlineLevel="0" collapsed="false">
      <c r="A2234" s="0" t="n">
        <v>476</v>
      </c>
      <c r="B2234" s="191" t="n">
        <v>46152.0763581904</v>
      </c>
      <c r="C2234" s="191" t="n">
        <v>46152.0813581904</v>
      </c>
      <c r="D2234" s="189" t="s">
        <v>2843</v>
      </c>
      <c r="E2234" s="189" t="s">
        <v>2844</v>
      </c>
      <c r="F2234" s="189" t="s">
        <v>2844</v>
      </c>
      <c r="G2234" s="189" t="s">
        <v>2845</v>
      </c>
      <c r="H2234" s="191" t="n">
        <v>46145</v>
      </c>
      <c r="I2234" s="189" t="s">
        <v>113</v>
      </c>
      <c r="J2234" s="189" t="s">
        <v>108</v>
      </c>
      <c r="K2234" s="189" t="s">
        <v>1288</v>
      </c>
      <c r="L2234" s="189" t="s">
        <v>346</v>
      </c>
      <c r="M2234" s="189" t="s">
        <v>686</v>
      </c>
      <c r="N2234" s="189" t="s">
        <v>1441</v>
      </c>
      <c r="O2234" s="189" t="s">
        <v>278</v>
      </c>
      <c r="P2234" s="189" t="s">
        <v>111</v>
      </c>
      <c r="Q2234" s="189" t="s">
        <v>112</v>
      </c>
      <c r="R2234" s="189" t="s">
        <v>22</v>
      </c>
      <c r="S2234" s="189" t="s">
        <v>152</v>
      </c>
      <c r="T2234" s="189" t="s">
        <v>352</v>
      </c>
      <c r="U2234" s="189" t="s">
        <v>2256</v>
      </c>
      <c r="V2234" s="189" t="s">
        <v>192</v>
      </c>
      <c r="W2234" s="189" t="s">
        <v>168</v>
      </c>
      <c r="X2234" s="189" t="s">
        <v>135</v>
      </c>
      <c r="Y2234" s="189" t="s">
        <v>3064</v>
      </c>
      <c r="Z2234" s="0" t="n">
        <v>1</v>
      </c>
      <c r="AA2234" s="189" t="s">
        <v>3071</v>
      </c>
    </row>
    <row r="2235" customFormat="false" ht="15" hidden="false" customHeight="false" outlineLevel="0" collapsed="false">
      <c r="A2235" s="0" t="n">
        <v>476</v>
      </c>
      <c r="B2235" s="191" t="n">
        <v>46152.0763581904</v>
      </c>
      <c r="C2235" s="191" t="n">
        <v>46152.0813581904</v>
      </c>
      <c r="D2235" s="189" t="s">
        <v>2843</v>
      </c>
      <c r="E2235" s="189" t="s">
        <v>2844</v>
      </c>
      <c r="F2235" s="189" t="s">
        <v>2844</v>
      </c>
      <c r="G2235" s="189" t="s">
        <v>2845</v>
      </c>
      <c r="H2235" s="191" t="n">
        <v>46145</v>
      </c>
      <c r="I2235" s="189" t="s">
        <v>113</v>
      </c>
      <c r="J2235" s="189" t="s">
        <v>108</v>
      </c>
      <c r="K2235" s="189" t="s">
        <v>1288</v>
      </c>
      <c r="L2235" s="189" t="s">
        <v>346</v>
      </c>
      <c r="M2235" s="189" t="s">
        <v>686</v>
      </c>
      <c r="N2235" s="189" t="s">
        <v>1441</v>
      </c>
      <c r="O2235" s="189" t="s">
        <v>278</v>
      </c>
      <c r="P2235" s="189" t="s">
        <v>111</v>
      </c>
      <c r="Q2235" s="189" t="s">
        <v>112</v>
      </c>
      <c r="R2235" s="189" t="s">
        <v>22</v>
      </c>
      <c r="S2235" s="189" t="s">
        <v>152</v>
      </c>
      <c r="T2235" s="189" t="s">
        <v>352</v>
      </c>
      <c r="U2235" s="189" t="s">
        <v>2256</v>
      </c>
      <c r="V2235" s="189" t="s">
        <v>192</v>
      </c>
      <c r="W2235" s="189" t="s">
        <v>168</v>
      </c>
      <c r="X2235" s="189" t="s">
        <v>135</v>
      </c>
      <c r="Y2235" s="189" t="s">
        <v>3064</v>
      </c>
      <c r="Z2235" s="0" t="n">
        <v>2</v>
      </c>
      <c r="AA2235" s="189" t="s">
        <v>3202</v>
      </c>
    </row>
    <row r="2236" customFormat="false" ht="15" hidden="false" customHeight="false" outlineLevel="0" collapsed="false">
      <c r="A2236" s="0" t="n">
        <v>476</v>
      </c>
      <c r="B2236" s="191" t="n">
        <v>46152.0763581904</v>
      </c>
      <c r="C2236" s="191" t="n">
        <v>46152.0813581904</v>
      </c>
      <c r="D2236" s="189" t="s">
        <v>2843</v>
      </c>
      <c r="E2236" s="189" t="s">
        <v>2844</v>
      </c>
      <c r="F2236" s="189" t="s">
        <v>2844</v>
      </c>
      <c r="G2236" s="189" t="s">
        <v>2845</v>
      </c>
      <c r="H2236" s="191" t="n">
        <v>46145</v>
      </c>
      <c r="I2236" s="189" t="s">
        <v>113</v>
      </c>
      <c r="J2236" s="189" t="s">
        <v>108</v>
      </c>
      <c r="K2236" s="189" t="s">
        <v>1288</v>
      </c>
      <c r="L2236" s="189" t="s">
        <v>346</v>
      </c>
      <c r="M2236" s="189" t="s">
        <v>686</v>
      </c>
      <c r="N2236" s="189" t="s">
        <v>1441</v>
      </c>
      <c r="O2236" s="189" t="s">
        <v>278</v>
      </c>
      <c r="P2236" s="189" t="s">
        <v>111</v>
      </c>
      <c r="Q2236" s="189" t="s">
        <v>112</v>
      </c>
      <c r="R2236" s="189" t="s">
        <v>22</v>
      </c>
      <c r="S2236" s="189" t="s">
        <v>152</v>
      </c>
      <c r="T2236" s="189" t="s">
        <v>352</v>
      </c>
      <c r="U2236" s="189" t="s">
        <v>2256</v>
      </c>
      <c r="V2236" s="189" t="s">
        <v>192</v>
      </c>
      <c r="W2236" s="189" t="s">
        <v>168</v>
      </c>
      <c r="X2236" s="189" t="s">
        <v>135</v>
      </c>
      <c r="Y2236" s="189" t="s">
        <v>3066</v>
      </c>
      <c r="Z2236" s="0" t="n">
        <v>1</v>
      </c>
      <c r="AA2236" s="189" t="s">
        <v>3185</v>
      </c>
    </row>
    <row r="2237" customFormat="false" ht="15" hidden="false" customHeight="false" outlineLevel="0" collapsed="false">
      <c r="A2237" s="0" t="n">
        <v>476</v>
      </c>
      <c r="B2237" s="191" t="n">
        <v>46152.0763581904</v>
      </c>
      <c r="C2237" s="191" t="n">
        <v>46152.0813581904</v>
      </c>
      <c r="D2237" s="189" t="s">
        <v>2843</v>
      </c>
      <c r="E2237" s="189" t="s">
        <v>2844</v>
      </c>
      <c r="F2237" s="189" t="s">
        <v>2844</v>
      </c>
      <c r="G2237" s="189" t="s">
        <v>2845</v>
      </c>
      <c r="H2237" s="191" t="n">
        <v>46145</v>
      </c>
      <c r="I2237" s="189" t="s">
        <v>113</v>
      </c>
      <c r="J2237" s="189" t="s">
        <v>108</v>
      </c>
      <c r="K2237" s="189" t="s">
        <v>1288</v>
      </c>
      <c r="L2237" s="189" t="s">
        <v>346</v>
      </c>
      <c r="M2237" s="189" t="s">
        <v>686</v>
      </c>
      <c r="N2237" s="189" t="s">
        <v>1441</v>
      </c>
      <c r="O2237" s="189" t="s">
        <v>278</v>
      </c>
      <c r="P2237" s="189" t="s">
        <v>111</v>
      </c>
      <c r="Q2237" s="189" t="s">
        <v>112</v>
      </c>
      <c r="R2237" s="189" t="s">
        <v>22</v>
      </c>
      <c r="S2237" s="189" t="s">
        <v>152</v>
      </c>
      <c r="T2237" s="189" t="s">
        <v>352</v>
      </c>
      <c r="U2237" s="189" t="s">
        <v>2256</v>
      </c>
      <c r="V2237" s="189" t="s">
        <v>192</v>
      </c>
      <c r="W2237" s="189" t="s">
        <v>168</v>
      </c>
      <c r="X2237" s="189" t="s">
        <v>135</v>
      </c>
      <c r="Y2237" s="189" t="s">
        <v>3069</v>
      </c>
      <c r="Z2237" s="0" t="n">
        <v>1</v>
      </c>
      <c r="AA2237" s="189" t="s">
        <v>122</v>
      </c>
    </row>
    <row r="2238" customFormat="false" ht="15" hidden="false" customHeight="false" outlineLevel="0" collapsed="false">
      <c r="A2238" s="0" t="n">
        <v>476</v>
      </c>
      <c r="B2238" s="191" t="n">
        <v>46152.0763581904</v>
      </c>
      <c r="C2238" s="191" t="n">
        <v>46152.0813581904</v>
      </c>
      <c r="D2238" s="189" t="s">
        <v>2843</v>
      </c>
      <c r="E2238" s="189" t="s">
        <v>2844</v>
      </c>
      <c r="F2238" s="189" t="s">
        <v>2844</v>
      </c>
      <c r="G2238" s="189" t="s">
        <v>2845</v>
      </c>
      <c r="H2238" s="191" t="n">
        <v>46145</v>
      </c>
      <c r="I2238" s="189" t="s">
        <v>113</v>
      </c>
      <c r="J2238" s="189" t="s">
        <v>108</v>
      </c>
      <c r="K2238" s="189" t="s">
        <v>1288</v>
      </c>
      <c r="L2238" s="189" t="s">
        <v>346</v>
      </c>
      <c r="M2238" s="189" t="s">
        <v>686</v>
      </c>
      <c r="N2238" s="189" t="s">
        <v>1441</v>
      </c>
      <c r="O2238" s="189" t="s">
        <v>278</v>
      </c>
      <c r="P2238" s="189" t="s">
        <v>111</v>
      </c>
      <c r="Q2238" s="189" t="s">
        <v>112</v>
      </c>
      <c r="R2238" s="189" t="s">
        <v>22</v>
      </c>
      <c r="S2238" s="189" t="s">
        <v>152</v>
      </c>
      <c r="T2238" s="189" t="s">
        <v>352</v>
      </c>
      <c r="U2238" s="189" t="s">
        <v>2256</v>
      </c>
      <c r="V2238" s="189" t="s">
        <v>192</v>
      </c>
      <c r="W2238" s="189" t="s">
        <v>168</v>
      </c>
      <c r="X2238" s="189" t="s">
        <v>135</v>
      </c>
      <c r="Y2238" s="189" t="s">
        <v>3069</v>
      </c>
      <c r="Z2238" s="0" t="n">
        <v>2</v>
      </c>
      <c r="AA2238" s="189" t="s">
        <v>3193</v>
      </c>
    </row>
    <row r="2239" customFormat="false" ht="15" hidden="false" customHeight="false" outlineLevel="0" collapsed="false">
      <c r="A2239" s="0" t="n">
        <v>478</v>
      </c>
      <c r="B2239" s="191" t="n">
        <v>46179.4152753702</v>
      </c>
      <c r="C2239" s="191" t="n">
        <v>46179.4257267591</v>
      </c>
      <c r="D2239" s="189" t="s">
        <v>2850</v>
      </c>
      <c r="E2239" s="189" t="s">
        <v>2851</v>
      </c>
      <c r="F2239" s="189" t="s">
        <v>2851</v>
      </c>
      <c r="G2239" s="189" t="s">
        <v>2852</v>
      </c>
      <c r="H2239" s="191" t="n">
        <v>46179</v>
      </c>
      <c r="I2239" s="189" t="s">
        <v>113</v>
      </c>
      <c r="J2239" s="189" t="s">
        <v>108</v>
      </c>
      <c r="K2239" s="189" t="s">
        <v>2119</v>
      </c>
      <c r="L2239" s="189" t="s">
        <v>159</v>
      </c>
      <c r="M2239" s="189" t="s">
        <v>185</v>
      </c>
      <c r="N2239" s="189" t="s">
        <v>414</v>
      </c>
      <c r="O2239" s="189" t="s">
        <v>172</v>
      </c>
      <c r="P2239" s="189" t="s">
        <v>111</v>
      </c>
      <c r="Q2239" s="189" t="s">
        <v>145</v>
      </c>
      <c r="R2239" s="189" t="s">
        <v>23</v>
      </c>
      <c r="S2239" s="189" t="s">
        <v>152</v>
      </c>
      <c r="T2239" s="189" t="s">
        <v>121</v>
      </c>
      <c r="U2239" s="189" t="s">
        <v>2853</v>
      </c>
      <c r="V2239" s="189" t="s">
        <v>123</v>
      </c>
      <c r="W2239" s="189" t="s">
        <v>124</v>
      </c>
      <c r="X2239" s="189" t="s">
        <v>442</v>
      </c>
      <c r="Y2239" s="189" t="s">
        <v>3172</v>
      </c>
      <c r="Z2239" s="0" t="n">
        <v>1</v>
      </c>
      <c r="AA2239" s="189" t="s">
        <v>441</v>
      </c>
    </row>
    <row r="2240" customFormat="false" ht="15" hidden="false" customHeight="false" outlineLevel="0" collapsed="false">
      <c r="A2240" s="0" t="n">
        <v>479</v>
      </c>
      <c r="B2240" s="191" t="n">
        <v>46168.3970140985</v>
      </c>
      <c r="C2240" s="191" t="n">
        <v>46168.4014932651</v>
      </c>
      <c r="D2240" s="189" t="s">
        <v>2854</v>
      </c>
      <c r="E2240" s="189" t="s">
        <v>2855</v>
      </c>
      <c r="F2240" s="189" t="s">
        <v>2855</v>
      </c>
      <c r="G2240" s="189" t="s">
        <v>2856</v>
      </c>
      <c r="H2240" s="191" t="n">
        <v>46161</v>
      </c>
      <c r="I2240" s="189" t="s">
        <v>113</v>
      </c>
      <c r="J2240" s="189" t="s">
        <v>128</v>
      </c>
      <c r="K2240" s="189" t="s">
        <v>232</v>
      </c>
      <c r="L2240" s="189" t="s">
        <v>491</v>
      </c>
      <c r="M2240" s="189" t="s">
        <v>789</v>
      </c>
      <c r="N2240" s="189" t="s">
        <v>270</v>
      </c>
      <c r="O2240" s="189" t="s">
        <v>750</v>
      </c>
      <c r="P2240" s="189" t="s">
        <v>111</v>
      </c>
      <c r="Q2240" s="189" t="s">
        <v>112</v>
      </c>
      <c r="R2240" s="189" t="s">
        <v>21</v>
      </c>
      <c r="S2240" s="189" t="s">
        <v>152</v>
      </c>
      <c r="T2240" s="189" t="s">
        <v>121</v>
      </c>
      <c r="V2240" s="189" t="s">
        <v>123</v>
      </c>
      <c r="W2240" s="189" t="s">
        <v>124</v>
      </c>
      <c r="X2240" s="189" t="s">
        <v>250</v>
      </c>
      <c r="Y2240" s="189" t="s">
        <v>3064</v>
      </c>
      <c r="Z2240" s="0" t="n">
        <v>1</v>
      </c>
      <c r="AA2240" s="189" t="s">
        <v>3065</v>
      </c>
    </row>
    <row r="2241" customFormat="false" ht="15" hidden="false" customHeight="false" outlineLevel="0" collapsed="false">
      <c r="A2241" s="0" t="n">
        <v>479</v>
      </c>
      <c r="B2241" s="191" t="n">
        <v>46168.3970140985</v>
      </c>
      <c r="C2241" s="191" t="n">
        <v>46168.4014932651</v>
      </c>
      <c r="D2241" s="189" t="s">
        <v>2854</v>
      </c>
      <c r="E2241" s="189" t="s">
        <v>2855</v>
      </c>
      <c r="F2241" s="189" t="s">
        <v>2855</v>
      </c>
      <c r="G2241" s="189" t="s">
        <v>2856</v>
      </c>
      <c r="H2241" s="191" t="n">
        <v>46161</v>
      </c>
      <c r="I2241" s="189" t="s">
        <v>113</v>
      </c>
      <c r="J2241" s="189" t="s">
        <v>128</v>
      </c>
      <c r="K2241" s="189" t="s">
        <v>232</v>
      </c>
      <c r="L2241" s="189" t="s">
        <v>491</v>
      </c>
      <c r="M2241" s="189" t="s">
        <v>789</v>
      </c>
      <c r="N2241" s="189" t="s">
        <v>270</v>
      </c>
      <c r="O2241" s="189" t="s">
        <v>750</v>
      </c>
      <c r="P2241" s="189" t="s">
        <v>111</v>
      </c>
      <c r="Q2241" s="189" t="s">
        <v>112</v>
      </c>
      <c r="R2241" s="189" t="s">
        <v>21</v>
      </c>
      <c r="S2241" s="189" t="s">
        <v>152</v>
      </c>
      <c r="T2241" s="189" t="s">
        <v>121</v>
      </c>
      <c r="V2241" s="189" t="s">
        <v>123</v>
      </c>
      <c r="W2241" s="189" t="s">
        <v>124</v>
      </c>
      <c r="X2241" s="189" t="s">
        <v>250</v>
      </c>
      <c r="Y2241" s="189" t="s">
        <v>3064</v>
      </c>
      <c r="Z2241" s="0" t="n">
        <v>2</v>
      </c>
      <c r="AA2241" s="189" t="s">
        <v>3095</v>
      </c>
    </row>
    <row r="2242" customFormat="false" ht="15" hidden="false" customHeight="false" outlineLevel="0" collapsed="false">
      <c r="A2242" s="0" t="n">
        <v>479</v>
      </c>
      <c r="B2242" s="191" t="n">
        <v>46168.3970140985</v>
      </c>
      <c r="C2242" s="191" t="n">
        <v>46168.4014932651</v>
      </c>
      <c r="D2242" s="189" t="s">
        <v>2854</v>
      </c>
      <c r="E2242" s="189" t="s">
        <v>2855</v>
      </c>
      <c r="F2242" s="189" t="s">
        <v>2855</v>
      </c>
      <c r="G2242" s="189" t="s">
        <v>2856</v>
      </c>
      <c r="H2242" s="191" t="n">
        <v>46161</v>
      </c>
      <c r="I2242" s="189" t="s">
        <v>113</v>
      </c>
      <c r="J2242" s="189" t="s">
        <v>128</v>
      </c>
      <c r="K2242" s="189" t="s">
        <v>232</v>
      </c>
      <c r="L2242" s="189" t="s">
        <v>491</v>
      </c>
      <c r="M2242" s="189" t="s">
        <v>789</v>
      </c>
      <c r="N2242" s="189" t="s">
        <v>270</v>
      </c>
      <c r="O2242" s="189" t="s">
        <v>750</v>
      </c>
      <c r="P2242" s="189" t="s">
        <v>111</v>
      </c>
      <c r="Q2242" s="189" t="s">
        <v>112</v>
      </c>
      <c r="R2242" s="189" t="s">
        <v>21</v>
      </c>
      <c r="S2242" s="189" t="s">
        <v>152</v>
      </c>
      <c r="T2242" s="189" t="s">
        <v>121</v>
      </c>
      <c r="V2242" s="189" t="s">
        <v>123</v>
      </c>
      <c r="W2242" s="189" t="s">
        <v>124</v>
      </c>
      <c r="X2242" s="189" t="s">
        <v>250</v>
      </c>
      <c r="Y2242" s="189" t="s">
        <v>3066</v>
      </c>
      <c r="Z2242" s="0" t="n">
        <v>1</v>
      </c>
      <c r="AA2242" s="189" t="s">
        <v>3068</v>
      </c>
    </row>
    <row r="2243" customFormat="false" ht="15" hidden="false" customHeight="false" outlineLevel="0" collapsed="false">
      <c r="A2243" s="0" t="n">
        <v>479</v>
      </c>
      <c r="B2243" s="191" t="n">
        <v>46168.3970140985</v>
      </c>
      <c r="C2243" s="191" t="n">
        <v>46168.4014932651</v>
      </c>
      <c r="D2243" s="189" t="s">
        <v>2854</v>
      </c>
      <c r="E2243" s="189" t="s">
        <v>2855</v>
      </c>
      <c r="F2243" s="189" t="s">
        <v>2855</v>
      </c>
      <c r="G2243" s="189" t="s">
        <v>2856</v>
      </c>
      <c r="H2243" s="191" t="n">
        <v>46161</v>
      </c>
      <c r="I2243" s="189" t="s">
        <v>113</v>
      </c>
      <c r="J2243" s="189" t="s">
        <v>128</v>
      </c>
      <c r="K2243" s="189" t="s">
        <v>232</v>
      </c>
      <c r="L2243" s="189" t="s">
        <v>491</v>
      </c>
      <c r="M2243" s="189" t="s">
        <v>789</v>
      </c>
      <c r="N2243" s="189" t="s">
        <v>270</v>
      </c>
      <c r="O2243" s="189" t="s">
        <v>750</v>
      </c>
      <c r="P2243" s="189" t="s">
        <v>111</v>
      </c>
      <c r="Q2243" s="189" t="s">
        <v>112</v>
      </c>
      <c r="R2243" s="189" t="s">
        <v>21</v>
      </c>
      <c r="S2243" s="189" t="s">
        <v>152</v>
      </c>
      <c r="T2243" s="189" t="s">
        <v>121</v>
      </c>
      <c r="V2243" s="189" t="s">
        <v>123</v>
      </c>
      <c r="W2243" s="189" t="s">
        <v>124</v>
      </c>
      <c r="X2243" s="189" t="s">
        <v>250</v>
      </c>
      <c r="Y2243" s="189" t="s">
        <v>3069</v>
      </c>
      <c r="Z2243" s="0" t="n">
        <v>1</v>
      </c>
      <c r="AA2243" s="189" t="s">
        <v>3108</v>
      </c>
    </row>
    <row r="2244" customFormat="false" ht="15" hidden="false" customHeight="false" outlineLevel="0" collapsed="false">
      <c r="A2244" s="0" t="n">
        <v>481</v>
      </c>
      <c r="B2244" s="191" t="n">
        <v>46171.1233383021</v>
      </c>
      <c r="C2244" s="191" t="n">
        <v>46171.1416484873</v>
      </c>
      <c r="D2244" s="189" t="s">
        <v>2860</v>
      </c>
      <c r="E2244" s="189" t="s">
        <v>2861</v>
      </c>
      <c r="F2244" s="189" t="s">
        <v>2861</v>
      </c>
      <c r="G2244" s="189" t="s">
        <v>2862</v>
      </c>
      <c r="H2244" s="191" t="n">
        <v>46151</v>
      </c>
      <c r="I2244" s="189" t="s">
        <v>113</v>
      </c>
      <c r="J2244" s="189" t="s">
        <v>108</v>
      </c>
      <c r="K2244" s="189" t="s">
        <v>462</v>
      </c>
      <c r="L2244" s="189" t="s">
        <v>210</v>
      </c>
      <c r="M2244" s="189" t="s">
        <v>736</v>
      </c>
      <c r="N2244" s="189" t="s">
        <v>766</v>
      </c>
      <c r="O2244" s="189" t="s">
        <v>107</v>
      </c>
      <c r="P2244" s="189" t="s">
        <v>111</v>
      </c>
      <c r="Q2244" s="189" t="s">
        <v>112</v>
      </c>
      <c r="R2244" s="189" t="s">
        <v>22</v>
      </c>
      <c r="S2244" s="189" t="s">
        <v>120</v>
      </c>
      <c r="T2244" s="189" t="s">
        <v>121</v>
      </c>
      <c r="V2244" s="189" t="s">
        <v>192</v>
      </c>
      <c r="W2244" s="189" t="s">
        <v>139</v>
      </c>
      <c r="X2244" s="189" t="s">
        <v>176</v>
      </c>
      <c r="Y2244" s="189" t="s">
        <v>3064</v>
      </c>
      <c r="Z2244" s="0" t="n">
        <v>1</v>
      </c>
      <c r="AA2244" s="189" t="s">
        <v>3299</v>
      </c>
    </row>
    <row r="2245" customFormat="false" ht="15" hidden="false" customHeight="false" outlineLevel="0" collapsed="false">
      <c r="A2245" s="0" t="n">
        <v>481</v>
      </c>
      <c r="B2245" s="191" t="n">
        <v>46171.1233383021</v>
      </c>
      <c r="C2245" s="191" t="n">
        <v>46171.1416484873</v>
      </c>
      <c r="D2245" s="189" t="s">
        <v>2860</v>
      </c>
      <c r="E2245" s="189" t="s">
        <v>2861</v>
      </c>
      <c r="F2245" s="189" t="s">
        <v>2861</v>
      </c>
      <c r="G2245" s="189" t="s">
        <v>2862</v>
      </c>
      <c r="H2245" s="191" t="n">
        <v>46151</v>
      </c>
      <c r="I2245" s="189" t="s">
        <v>113</v>
      </c>
      <c r="J2245" s="189" t="s">
        <v>108</v>
      </c>
      <c r="K2245" s="189" t="s">
        <v>462</v>
      </c>
      <c r="L2245" s="189" t="s">
        <v>210</v>
      </c>
      <c r="M2245" s="189" t="s">
        <v>736</v>
      </c>
      <c r="N2245" s="189" t="s">
        <v>766</v>
      </c>
      <c r="O2245" s="189" t="s">
        <v>107</v>
      </c>
      <c r="P2245" s="189" t="s">
        <v>111</v>
      </c>
      <c r="Q2245" s="189" t="s">
        <v>112</v>
      </c>
      <c r="R2245" s="189" t="s">
        <v>22</v>
      </c>
      <c r="S2245" s="189" t="s">
        <v>120</v>
      </c>
      <c r="T2245" s="189" t="s">
        <v>121</v>
      </c>
      <c r="V2245" s="189" t="s">
        <v>192</v>
      </c>
      <c r="W2245" s="189" t="s">
        <v>139</v>
      </c>
      <c r="X2245" s="189" t="s">
        <v>176</v>
      </c>
      <c r="Y2245" s="189" t="s">
        <v>3064</v>
      </c>
      <c r="Z2245" s="0" t="n">
        <v>2</v>
      </c>
      <c r="AA2245" s="189" t="s">
        <v>3244</v>
      </c>
    </row>
    <row r="2246" customFormat="false" ht="15" hidden="false" customHeight="false" outlineLevel="0" collapsed="false">
      <c r="A2246" s="0" t="n">
        <v>481</v>
      </c>
      <c r="B2246" s="191" t="n">
        <v>46171.1233383021</v>
      </c>
      <c r="C2246" s="191" t="n">
        <v>46171.1416484873</v>
      </c>
      <c r="D2246" s="189" t="s">
        <v>2860</v>
      </c>
      <c r="E2246" s="189" t="s">
        <v>2861</v>
      </c>
      <c r="F2246" s="189" t="s">
        <v>2861</v>
      </c>
      <c r="G2246" s="189" t="s">
        <v>2862</v>
      </c>
      <c r="H2246" s="191" t="n">
        <v>46151</v>
      </c>
      <c r="I2246" s="189" t="s">
        <v>113</v>
      </c>
      <c r="J2246" s="189" t="s">
        <v>108</v>
      </c>
      <c r="K2246" s="189" t="s">
        <v>462</v>
      </c>
      <c r="L2246" s="189" t="s">
        <v>210</v>
      </c>
      <c r="M2246" s="189" t="s">
        <v>736</v>
      </c>
      <c r="N2246" s="189" t="s">
        <v>766</v>
      </c>
      <c r="O2246" s="189" t="s">
        <v>107</v>
      </c>
      <c r="P2246" s="189" t="s">
        <v>111</v>
      </c>
      <c r="Q2246" s="189" t="s">
        <v>112</v>
      </c>
      <c r="R2246" s="189" t="s">
        <v>22</v>
      </c>
      <c r="S2246" s="189" t="s">
        <v>120</v>
      </c>
      <c r="T2246" s="189" t="s">
        <v>121</v>
      </c>
      <c r="V2246" s="189" t="s">
        <v>192</v>
      </c>
      <c r="W2246" s="189" t="s">
        <v>139</v>
      </c>
      <c r="X2246" s="189" t="s">
        <v>176</v>
      </c>
      <c r="Y2246" s="189" t="s">
        <v>3066</v>
      </c>
      <c r="Z2246" s="0" t="n">
        <v>1</v>
      </c>
      <c r="AA2246" s="189" t="s">
        <v>3293</v>
      </c>
    </row>
    <row r="2247" customFormat="false" ht="15" hidden="false" customHeight="false" outlineLevel="0" collapsed="false">
      <c r="A2247" s="0" t="n">
        <v>481</v>
      </c>
      <c r="B2247" s="191" t="n">
        <v>46171.1233383021</v>
      </c>
      <c r="C2247" s="191" t="n">
        <v>46171.1416484873</v>
      </c>
      <c r="D2247" s="189" t="s">
        <v>2860</v>
      </c>
      <c r="E2247" s="189" t="s">
        <v>2861</v>
      </c>
      <c r="F2247" s="189" t="s">
        <v>2861</v>
      </c>
      <c r="G2247" s="189" t="s">
        <v>2862</v>
      </c>
      <c r="H2247" s="191" t="n">
        <v>46151</v>
      </c>
      <c r="I2247" s="189" t="s">
        <v>113</v>
      </c>
      <c r="J2247" s="189" t="s">
        <v>108</v>
      </c>
      <c r="K2247" s="189" t="s">
        <v>462</v>
      </c>
      <c r="L2247" s="189" t="s">
        <v>210</v>
      </c>
      <c r="M2247" s="189" t="s">
        <v>736</v>
      </c>
      <c r="N2247" s="189" t="s">
        <v>766</v>
      </c>
      <c r="O2247" s="189" t="s">
        <v>107</v>
      </c>
      <c r="P2247" s="189" t="s">
        <v>111</v>
      </c>
      <c r="Q2247" s="189" t="s">
        <v>112</v>
      </c>
      <c r="R2247" s="189" t="s">
        <v>22</v>
      </c>
      <c r="S2247" s="189" t="s">
        <v>120</v>
      </c>
      <c r="T2247" s="189" t="s">
        <v>121</v>
      </c>
      <c r="V2247" s="189" t="s">
        <v>192</v>
      </c>
      <c r="W2247" s="189" t="s">
        <v>139</v>
      </c>
      <c r="X2247" s="189" t="s">
        <v>176</v>
      </c>
      <c r="Y2247" s="189" t="s">
        <v>3066</v>
      </c>
      <c r="Z2247" s="0" t="n">
        <v>2</v>
      </c>
      <c r="AA2247" s="189" t="s">
        <v>3336</v>
      </c>
    </row>
    <row r="2248" customFormat="false" ht="15" hidden="false" customHeight="false" outlineLevel="0" collapsed="false">
      <c r="A2248" s="0" t="n">
        <v>481</v>
      </c>
      <c r="B2248" s="191" t="n">
        <v>46171.1233383021</v>
      </c>
      <c r="C2248" s="191" t="n">
        <v>46171.1416484873</v>
      </c>
      <c r="D2248" s="189" t="s">
        <v>2860</v>
      </c>
      <c r="E2248" s="189" t="s">
        <v>2861</v>
      </c>
      <c r="F2248" s="189" t="s">
        <v>2861</v>
      </c>
      <c r="G2248" s="189" t="s">
        <v>2862</v>
      </c>
      <c r="H2248" s="191" t="n">
        <v>46151</v>
      </c>
      <c r="I2248" s="189" t="s">
        <v>113</v>
      </c>
      <c r="J2248" s="189" t="s">
        <v>108</v>
      </c>
      <c r="K2248" s="189" t="s">
        <v>462</v>
      </c>
      <c r="L2248" s="189" t="s">
        <v>210</v>
      </c>
      <c r="M2248" s="189" t="s">
        <v>736</v>
      </c>
      <c r="N2248" s="189" t="s">
        <v>766</v>
      </c>
      <c r="O2248" s="189" t="s">
        <v>107</v>
      </c>
      <c r="P2248" s="189" t="s">
        <v>111</v>
      </c>
      <c r="Q2248" s="189" t="s">
        <v>112</v>
      </c>
      <c r="R2248" s="189" t="s">
        <v>22</v>
      </c>
      <c r="S2248" s="189" t="s">
        <v>120</v>
      </c>
      <c r="T2248" s="189" t="s">
        <v>121</v>
      </c>
      <c r="V2248" s="189" t="s">
        <v>192</v>
      </c>
      <c r="W2248" s="189" t="s">
        <v>139</v>
      </c>
      <c r="X2248" s="189" t="s">
        <v>176</v>
      </c>
      <c r="Y2248" s="189" t="s">
        <v>3069</v>
      </c>
      <c r="Z2248" s="0" t="n">
        <v>1</v>
      </c>
      <c r="AA2248" s="189" t="s">
        <v>3270</v>
      </c>
    </row>
    <row r="2249" customFormat="false" ht="15" hidden="false" customHeight="false" outlineLevel="0" collapsed="false">
      <c r="A2249" s="0" t="n">
        <v>482</v>
      </c>
      <c r="B2249" s="191" t="n">
        <v>46067.9327980885</v>
      </c>
      <c r="C2249" s="191" t="n">
        <v>46067.9534230885</v>
      </c>
      <c r="D2249" s="189" t="s">
        <v>2866</v>
      </c>
      <c r="E2249" s="189" t="s">
        <v>2867</v>
      </c>
      <c r="F2249" s="189" t="s">
        <v>2867</v>
      </c>
      <c r="G2249" s="189" t="s">
        <v>2868</v>
      </c>
      <c r="H2249" s="191" t="n">
        <v>46056</v>
      </c>
      <c r="I2249" s="189" t="s">
        <v>113</v>
      </c>
      <c r="J2249" s="189" t="s">
        <v>128</v>
      </c>
      <c r="K2249" s="189" t="s">
        <v>356</v>
      </c>
      <c r="L2249" s="189" t="s">
        <v>144</v>
      </c>
      <c r="M2249" s="189" t="s">
        <v>594</v>
      </c>
      <c r="N2249" s="189" t="s">
        <v>653</v>
      </c>
      <c r="O2249" s="189" t="s">
        <v>157</v>
      </c>
      <c r="P2249" s="189" t="s">
        <v>111</v>
      </c>
      <c r="Q2249" s="189" t="s">
        <v>112</v>
      </c>
      <c r="R2249" s="189" t="s">
        <v>22</v>
      </c>
      <c r="S2249" s="189" t="s">
        <v>152</v>
      </c>
      <c r="T2249" s="189" t="s">
        <v>352</v>
      </c>
      <c r="U2249" s="189" t="s">
        <v>122</v>
      </c>
      <c r="V2249" s="189" t="s">
        <v>123</v>
      </c>
      <c r="W2249" s="189" t="s">
        <v>168</v>
      </c>
      <c r="X2249" s="189" t="s">
        <v>715</v>
      </c>
      <c r="Y2249" s="189" t="s">
        <v>3064</v>
      </c>
      <c r="Z2249" s="0" t="n">
        <v>1</v>
      </c>
      <c r="AA2249" s="189" t="s">
        <v>3255</v>
      </c>
    </row>
    <row r="2250" customFormat="false" ht="15" hidden="false" customHeight="false" outlineLevel="0" collapsed="false">
      <c r="A2250" s="0" t="n">
        <v>482</v>
      </c>
      <c r="B2250" s="191" t="n">
        <v>46067.9327980885</v>
      </c>
      <c r="C2250" s="191" t="n">
        <v>46067.9534230885</v>
      </c>
      <c r="D2250" s="189" t="s">
        <v>2866</v>
      </c>
      <c r="E2250" s="189" t="s">
        <v>2867</v>
      </c>
      <c r="F2250" s="189" t="s">
        <v>2867</v>
      </c>
      <c r="G2250" s="189" t="s">
        <v>2868</v>
      </c>
      <c r="H2250" s="191" t="n">
        <v>46056</v>
      </c>
      <c r="I2250" s="189" t="s">
        <v>113</v>
      </c>
      <c r="J2250" s="189" t="s">
        <v>128</v>
      </c>
      <c r="K2250" s="189" t="s">
        <v>356</v>
      </c>
      <c r="L2250" s="189" t="s">
        <v>144</v>
      </c>
      <c r="M2250" s="189" t="s">
        <v>594</v>
      </c>
      <c r="N2250" s="189" t="s">
        <v>653</v>
      </c>
      <c r="O2250" s="189" t="s">
        <v>157</v>
      </c>
      <c r="P2250" s="189" t="s">
        <v>111</v>
      </c>
      <c r="Q2250" s="189" t="s">
        <v>112</v>
      </c>
      <c r="R2250" s="189" t="s">
        <v>22</v>
      </c>
      <c r="S2250" s="189" t="s">
        <v>152</v>
      </c>
      <c r="T2250" s="189" t="s">
        <v>352</v>
      </c>
      <c r="U2250" s="189" t="s">
        <v>122</v>
      </c>
      <c r="V2250" s="189" t="s">
        <v>123</v>
      </c>
      <c r="W2250" s="189" t="s">
        <v>168</v>
      </c>
      <c r="X2250" s="189" t="s">
        <v>715</v>
      </c>
      <c r="Y2250" s="189" t="s">
        <v>3064</v>
      </c>
      <c r="Z2250" s="0" t="n">
        <v>2</v>
      </c>
      <c r="AA2250" s="189" t="s">
        <v>3224</v>
      </c>
    </row>
    <row r="2251" customFormat="false" ht="15" hidden="false" customHeight="false" outlineLevel="0" collapsed="false">
      <c r="A2251" s="0" t="n">
        <v>482</v>
      </c>
      <c r="B2251" s="191" t="n">
        <v>46067.9327980885</v>
      </c>
      <c r="C2251" s="191" t="n">
        <v>46067.9534230885</v>
      </c>
      <c r="D2251" s="189" t="s">
        <v>2866</v>
      </c>
      <c r="E2251" s="189" t="s">
        <v>2867</v>
      </c>
      <c r="F2251" s="189" t="s">
        <v>2867</v>
      </c>
      <c r="G2251" s="189" t="s">
        <v>2868</v>
      </c>
      <c r="H2251" s="191" t="n">
        <v>46056</v>
      </c>
      <c r="I2251" s="189" t="s">
        <v>113</v>
      </c>
      <c r="J2251" s="189" t="s">
        <v>128</v>
      </c>
      <c r="K2251" s="189" t="s">
        <v>356</v>
      </c>
      <c r="L2251" s="189" t="s">
        <v>144</v>
      </c>
      <c r="M2251" s="189" t="s">
        <v>594</v>
      </c>
      <c r="N2251" s="189" t="s">
        <v>653</v>
      </c>
      <c r="O2251" s="189" t="s">
        <v>157</v>
      </c>
      <c r="P2251" s="189" t="s">
        <v>111</v>
      </c>
      <c r="Q2251" s="189" t="s">
        <v>112</v>
      </c>
      <c r="R2251" s="189" t="s">
        <v>22</v>
      </c>
      <c r="S2251" s="189" t="s">
        <v>152</v>
      </c>
      <c r="T2251" s="189" t="s">
        <v>352</v>
      </c>
      <c r="U2251" s="189" t="s">
        <v>122</v>
      </c>
      <c r="V2251" s="189" t="s">
        <v>123</v>
      </c>
      <c r="W2251" s="189" t="s">
        <v>168</v>
      </c>
      <c r="X2251" s="189" t="s">
        <v>715</v>
      </c>
      <c r="Y2251" s="189" t="s">
        <v>3064</v>
      </c>
      <c r="Z2251" s="0" t="n">
        <v>3</v>
      </c>
      <c r="AA2251" s="189" t="s">
        <v>3252</v>
      </c>
    </row>
    <row r="2252" customFormat="false" ht="15" hidden="false" customHeight="false" outlineLevel="0" collapsed="false">
      <c r="A2252" s="0" t="n">
        <v>482</v>
      </c>
      <c r="B2252" s="191" t="n">
        <v>46067.9327980885</v>
      </c>
      <c r="C2252" s="191" t="n">
        <v>46067.9534230885</v>
      </c>
      <c r="D2252" s="189" t="s">
        <v>2866</v>
      </c>
      <c r="E2252" s="189" t="s">
        <v>2867</v>
      </c>
      <c r="F2252" s="189" t="s">
        <v>2867</v>
      </c>
      <c r="G2252" s="189" t="s">
        <v>2868</v>
      </c>
      <c r="H2252" s="191" t="n">
        <v>46056</v>
      </c>
      <c r="I2252" s="189" t="s">
        <v>113</v>
      </c>
      <c r="J2252" s="189" t="s">
        <v>128</v>
      </c>
      <c r="K2252" s="189" t="s">
        <v>356</v>
      </c>
      <c r="L2252" s="189" t="s">
        <v>144</v>
      </c>
      <c r="M2252" s="189" t="s">
        <v>594</v>
      </c>
      <c r="N2252" s="189" t="s">
        <v>653</v>
      </c>
      <c r="O2252" s="189" t="s">
        <v>157</v>
      </c>
      <c r="P2252" s="189" t="s">
        <v>111</v>
      </c>
      <c r="Q2252" s="189" t="s">
        <v>112</v>
      </c>
      <c r="R2252" s="189" t="s">
        <v>22</v>
      </c>
      <c r="S2252" s="189" t="s">
        <v>152</v>
      </c>
      <c r="T2252" s="189" t="s">
        <v>352</v>
      </c>
      <c r="U2252" s="189" t="s">
        <v>122</v>
      </c>
      <c r="V2252" s="189" t="s">
        <v>123</v>
      </c>
      <c r="W2252" s="189" t="s">
        <v>168</v>
      </c>
      <c r="X2252" s="189" t="s">
        <v>715</v>
      </c>
      <c r="Y2252" s="189" t="s">
        <v>3066</v>
      </c>
      <c r="Z2252" s="0" t="n">
        <v>1</v>
      </c>
      <c r="AA2252" s="189" t="s">
        <v>3227</v>
      </c>
    </row>
    <row r="2253" customFormat="false" ht="15" hidden="false" customHeight="false" outlineLevel="0" collapsed="false">
      <c r="A2253" s="0" t="n">
        <v>482</v>
      </c>
      <c r="B2253" s="191" t="n">
        <v>46067.9327980885</v>
      </c>
      <c r="C2253" s="191" t="n">
        <v>46067.9534230885</v>
      </c>
      <c r="D2253" s="189" t="s">
        <v>2866</v>
      </c>
      <c r="E2253" s="189" t="s">
        <v>2867</v>
      </c>
      <c r="F2253" s="189" t="s">
        <v>2867</v>
      </c>
      <c r="G2253" s="189" t="s">
        <v>2868</v>
      </c>
      <c r="H2253" s="191" t="n">
        <v>46056</v>
      </c>
      <c r="I2253" s="189" t="s">
        <v>113</v>
      </c>
      <c r="J2253" s="189" t="s">
        <v>128</v>
      </c>
      <c r="K2253" s="189" t="s">
        <v>356</v>
      </c>
      <c r="L2253" s="189" t="s">
        <v>144</v>
      </c>
      <c r="M2253" s="189" t="s">
        <v>594</v>
      </c>
      <c r="N2253" s="189" t="s">
        <v>653</v>
      </c>
      <c r="O2253" s="189" t="s">
        <v>157</v>
      </c>
      <c r="P2253" s="189" t="s">
        <v>111</v>
      </c>
      <c r="Q2253" s="189" t="s">
        <v>112</v>
      </c>
      <c r="R2253" s="189" t="s">
        <v>22</v>
      </c>
      <c r="S2253" s="189" t="s">
        <v>152</v>
      </c>
      <c r="T2253" s="189" t="s">
        <v>352</v>
      </c>
      <c r="U2253" s="189" t="s">
        <v>122</v>
      </c>
      <c r="V2253" s="189" t="s">
        <v>123</v>
      </c>
      <c r="W2253" s="189" t="s">
        <v>168</v>
      </c>
      <c r="X2253" s="189" t="s">
        <v>715</v>
      </c>
      <c r="Y2253" s="189" t="s">
        <v>3066</v>
      </c>
      <c r="Z2253" s="0" t="n">
        <v>2</v>
      </c>
      <c r="AA2253" s="189" t="s">
        <v>3327</v>
      </c>
    </row>
    <row r="2254" customFormat="false" ht="15" hidden="false" customHeight="false" outlineLevel="0" collapsed="false">
      <c r="A2254" s="0" t="n">
        <v>482</v>
      </c>
      <c r="B2254" s="191" t="n">
        <v>46067.9327980885</v>
      </c>
      <c r="C2254" s="191" t="n">
        <v>46067.9534230885</v>
      </c>
      <c r="D2254" s="189" t="s">
        <v>2866</v>
      </c>
      <c r="E2254" s="189" t="s">
        <v>2867</v>
      </c>
      <c r="F2254" s="189" t="s">
        <v>2867</v>
      </c>
      <c r="G2254" s="189" t="s">
        <v>2868</v>
      </c>
      <c r="H2254" s="191" t="n">
        <v>46056</v>
      </c>
      <c r="I2254" s="189" t="s">
        <v>113</v>
      </c>
      <c r="J2254" s="189" t="s">
        <v>128</v>
      </c>
      <c r="K2254" s="189" t="s">
        <v>356</v>
      </c>
      <c r="L2254" s="189" t="s">
        <v>144</v>
      </c>
      <c r="M2254" s="189" t="s">
        <v>594</v>
      </c>
      <c r="N2254" s="189" t="s">
        <v>653</v>
      </c>
      <c r="O2254" s="189" t="s">
        <v>157</v>
      </c>
      <c r="P2254" s="189" t="s">
        <v>111</v>
      </c>
      <c r="Q2254" s="189" t="s">
        <v>112</v>
      </c>
      <c r="R2254" s="189" t="s">
        <v>22</v>
      </c>
      <c r="S2254" s="189" t="s">
        <v>152</v>
      </c>
      <c r="T2254" s="189" t="s">
        <v>352</v>
      </c>
      <c r="U2254" s="189" t="s">
        <v>122</v>
      </c>
      <c r="V2254" s="189" t="s">
        <v>123</v>
      </c>
      <c r="W2254" s="189" t="s">
        <v>168</v>
      </c>
      <c r="X2254" s="189" t="s">
        <v>715</v>
      </c>
      <c r="Y2254" s="189" t="s">
        <v>3069</v>
      </c>
      <c r="Z2254" s="0" t="n">
        <v>1</v>
      </c>
      <c r="AA2254" s="189" t="s">
        <v>3232</v>
      </c>
    </row>
    <row r="2255" customFormat="false" ht="15" hidden="false" customHeight="false" outlineLevel="0" collapsed="false">
      <c r="A2255" s="0" t="n">
        <v>482</v>
      </c>
      <c r="B2255" s="191" t="n">
        <v>46067.9327980885</v>
      </c>
      <c r="C2255" s="191" t="n">
        <v>46067.9534230885</v>
      </c>
      <c r="D2255" s="189" t="s">
        <v>2866</v>
      </c>
      <c r="E2255" s="189" t="s">
        <v>2867</v>
      </c>
      <c r="F2255" s="189" t="s">
        <v>2867</v>
      </c>
      <c r="G2255" s="189" t="s">
        <v>2868</v>
      </c>
      <c r="H2255" s="191" t="n">
        <v>46056</v>
      </c>
      <c r="I2255" s="189" t="s">
        <v>113</v>
      </c>
      <c r="J2255" s="189" t="s">
        <v>128</v>
      </c>
      <c r="K2255" s="189" t="s">
        <v>356</v>
      </c>
      <c r="L2255" s="189" t="s">
        <v>144</v>
      </c>
      <c r="M2255" s="189" t="s">
        <v>594</v>
      </c>
      <c r="N2255" s="189" t="s">
        <v>653</v>
      </c>
      <c r="O2255" s="189" t="s">
        <v>157</v>
      </c>
      <c r="P2255" s="189" t="s">
        <v>111</v>
      </c>
      <c r="Q2255" s="189" t="s">
        <v>112</v>
      </c>
      <c r="R2255" s="189" t="s">
        <v>22</v>
      </c>
      <c r="S2255" s="189" t="s">
        <v>152</v>
      </c>
      <c r="T2255" s="189" t="s">
        <v>352</v>
      </c>
      <c r="U2255" s="189" t="s">
        <v>122</v>
      </c>
      <c r="V2255" s="189" t="s">
        <v>123</v>
      </c>
      <c r="W2255" s="189" t="s">
        <v>168</v>
      </c>
      <c r="X2255" s="189" t="s">
        <v>715</v>
      </c>
      <c r="Y2255" s="189" t="s">
        <v>3069</v>
      </c>
      <c r="Z2255" s="0" t="n">
        <v>2</v>
      </c>
      <c r="AA2255" s="189" t="s">
        <v>3229</v>
      </c>
    </row>
    <row r="2256" customFormat="false" ht="15" hidden="false" customHeight="false" outlineLevel="0" collapsed="false">
      <c r="A2256" s="0" t="n">
        <v>483</v>
      </c>
      <c r="B2256" s="191" t="n">
        <v>46156.2253135684</v>
      </c>
      <c r="C2256" s="191" t="n">
        <v>46156.2452672721</v>
      </c>
      <c r="D2256" s="189" t="s">
        <v>2871</v>
      </c>
      <c r="E2256" s="189" t="s">
        <v>2872</v>
      </c>
      <c r="F2256" s="189" t="s">
        <v>2872</v>
      </c>
      <c r="G2256" s="189" t="s">
        <v>2873</v>
      </c>
      <c r="H2256" s="191" t="n">
        <v>46149</v>
      </c>
      <c r="I2256" s="189" t="s">
        <v>113</v>
      </c>
      <c r="J2256" s="189" t="s">
        <v>108</v>
      </c>
      <c r="K2256" s="189" t="s">
        <v>2874</v>
      </c>
      <c r="L2256" s="189" t="s">
        <v>233</v>
      </c>
      <c r="M2256" s="189" t="s">
        <v>612</v>
      </c>
      <c r="N2256" s="189" t="s">
        <v>508</v>
      </c>
      <c r="O2256" s="189" t="s">
        <v>172</v>
      </c>
      <c r="P2256" s="189" t="s">
        <v>111</v>
      </c>
      <c r="Q2256" s="189" t="s">
        <v>145</v>
      </c>
      <c r="R2256" s="189" t="s">
        <v>21</v>
      </c>
      <c r="S2256" s="189" t="s">
        <v>152</v>
      </c>
      <c r="T2256" s="189" t="s">
        <v>590</v>
      </c>
      <c r="V2256" s="189" t="s">
        <v>123</v>
      </c>
      <c r="W2256" s="189" t="s">
        <v>124</v>
      </c>
      <c r="X2256" s="189" t="s">
        <v>348</v>
      </c>
      <c r="Y2256" s="189" t="s">
        <v>3064</v>
      </c>
      <c r="Z2256" s="0" t="n">
        <v>1</v>
      </c>
      <c r="AA2256" s="189" t="s">
        <v>3164</v>
      </c>
    </row>
    <row r="2257" customFormat="false" ht="15" hidden="false" customHeight="false" outlineLevel="0" collapsed="false">
      <c r="A2257" s="0" t="n">
        <v>483</v>
      </c>
      <c r="B2257" s="191" t="n">
        <v>46156.2253135684</v>
      </c>
      <c r="C2257" s="191" t="n">
        <v>46156.2452672721</v>
      </c>
      <c r="D2257" s="189" t="s">
        <v>2871</v>
      </c>
      <c r="E2257" s="189" t="s">
        <v>2872</v>
      </c>
      <c r="F2257" s="189" t="s">
        <v>2872</v>
      </c>
      <c r="G2257" s="189" t="s">
        <v>2873</v>
      </c>
      <c r="H2257" s="191" t="n">
        <v>46149</v>
      </c>
      <c r="I2257" s="189" t="s">
        <v>113</v>
      </c>
      <c r="J2257" s="189" t="s">
        <v>108</v>
      </c>
      <c r="K2257" s="189" t="s">
        <v>2874</v>
      </c>
      <c r="L2257" s="189" t="s">
        <v>233</v>
      </c>
      <c r="M2257" s="189" t="s">
        <v>612</v>
      </c>
      <c r="N2257" s="189" t="s">
        <v>508</v>
      </c>
      <c r="O2257" s="189" t="s">
        <v>172</v>
      </c>
      <c r="P2257" s="189" t="s">
        <v>111</v>
      </c>
      <c r="Q2257" s="189" t="s">
        <v>145</v>
      </c>
      <c r="R2257" s="189" t="s">
        <v>21</v>
      </c>
      <c r="S2257" s="189" t="s">
        <v>152</v>
      </c>
      <c r="T2257" s="189" t="s">
        <v>590</v>
      </c>
      <c r="V2257" s="189" t="s">
        <v>123</v>
      </c>
      <c r="W2257" s="189" t="s">
        <v>124</v>
      </c>
      <c r="X2257" s="189" t="s">
        <v>348</v>
      </c>
      <c r="Y2257" s="189" t="s">
        <v>3064</v>
      </c>
      <c r="Z2257" s="0" t="n">
        <v>2</v>
      </c>
      <c r="AA2257" s="189" t="s">
        <v>3339</v>
      </c>
    </row>
    <row r="2258" customFormat="false" ht="15" hidden="false" customHeight="false" outlineLevel="0" collapsed="false">
      <c r="A2258" s="0" t="n">
        <v>483</v>
      </c>
      <c r="B2258" s="191" t="n">
        <v>46156.2253135684</v>
      </c>
      <c r="C2258" s="191" t="n">
        <v>46156.2452672721</v>
      </c>
      <c r="D2258" s="189" t="s">
        <v>2871</v>
      </c>
      <c r="E2258" s="189" t="s">
        <v>2872</v>
      </c>
      <c r="F2258" s="189" t="s">
        <v>2872</v>
      </c>
      <c r="G2258" s="189" t="s">
        <v>2873</v>
      </c>
      <c r="H2258" s="191" t="n">
        <v>46149</v>
      </c>
      <c r="I2258" s="189" t="s">
        <v>113</v>
      </c>
      <c r="J2258" s="189" t="s">
        <v>108</v>
      </c>
      <c r="K2258" s="189" t="s">
        <v>2874</v>
      </c>
      <c r="L2258" s="189" t="s">
        <v>233</v>
      </c>
      <c r="M2258" s="189" t="s">
        <v>612</v>
      </c>
      <c r="N2258" s="189" t="s">
        <v>508</v>
      </c>
      <c r="O2258" s="189" t="s">
        <v>172</v>
      </c>
      <c r="P2258" s="189" t="s">
        <v>111</v>
      </c>
      <c r="Q2258" s="189" t="s">
        <v>145</v>
      </c>
      <c r="R2258" s="189" t="s">
        <v>21</v>
      </c>
      <c r="S2258" s="189" t="s">
        <v>152</v>
      </c>
      <c r="T2258" s="189" t="s">
        <v>590</v>
      </c>
      <c r="V2258" s="189" t="s">
        <v>123</v>
      </c>
      <c r="W2258" s="189" t="s">
        <v>124</v>
      </c>
      <c r="X2258" s="189" t="s">
        <v>348</v>
      </c>
      <c r="Y2258" s="189" t="s">
        <v>3064</v>
      </c>
      <c r="Z2258" s="0" t="n">
        <v>3</v>
      </c>
      <c r="AA2258" s="189" t="s">
        <v>3277</v>
      </c>
    </row>
    <row r="2259" customFormat="false" ht="15" hidden="false" customHeight="false" outlineLevel="0" collapsed="false">
      <c r="A2259" s="0" t="n">
        <v>483</v>
      </c>
      <c r="B2259" s="191" t="n">
        <v>46156.2253135684</v>
      </c>
      <c r="C2259" s="191" t="n">
        <v>46156.2452672721</v>
      </c>
      <c r="D2259" s="189" t="s">
        <v>2871</v>
      </c>
      <c r="E2259" s="189" t="s">
        <v>2872</v>
      </c>
      <c r="F2259" s="189" t="s">
        <v>2872</v>
      </c>
      <c r="G2259" s="189" t="s">
        <v>2873</v>
      </c>
      <c r="H2259" s="191" t="n">
        <v>46149</v>
      </c>
      <c r="I2259" s="189" t="s">
        <v>113</v>
      </c>
      <c r="J2259" s="189" t="s">
        <v>108</v>
      </c>
      <c r="K2259" s="189" t="s">
        <v>2874</v>
      </c>
      <c r="L2259" s="189" t="s">
        <v>233</v>
      </c>
      <c r="M2259" s="189" t="s">
        <v>612</v>
      </c>
      <c r="N2259" s="189" t="s">
        <v>508</v>
      </c>
      <c r="O2259" s="189" t="s">
        <v>172</v>
      </c>
      <c r="P2259" s="189" t="s">
        <v>111</v>
      </c>
      <c r="Q2259" s="189" t="s">
        <v>145</v>
      </c>
      <c r="R2259" s="189" t="s">
        <v>21</v>
      </c>
      <c r="S2259" s="189" t="s">
        <v>152</v>
      </c>
      <c r="T2259" s="189" t="s">
        <v>590</v>
      </c>
      <c r="V2259" s="189" t="s">
        <v>123</v>
      </c>
      <c r="W2259" s="189" t="s">
        <v>124</v>
      </c>
      <c r="X2259" s="189" t="s">
        <v>348</v>
      </c>
      <c r="Y2259" s="189" t="s">
        <v>3066</v>
      </c>
      <c r="Z2259" s="0" t="n">
        <v>1</v>
      </c>
      <c r="AA2259" s="189" t="s">
        <v>3147</v>
      </c>
    </row>
    <row r="2260" customFormat="false" ht="15" hidden="false" customHeight="false" outlineLevel="0" collapsed="false">
      <c r="A2260" s="0" t="n">
        <v>483</v>
      </c>
      <c r="B2260" s="191" t="n">
        <v>46156.2253135684</v>
      </c>
      <c r="C2260" s="191" t="n">
        <v>46156.2452672721</v>
      </c>
      <c r="D2260" s="189" t="s">
        <v>2871</v>
      </c>
      <c r="E2260" s="189" t="s">
        <v>2872</v>
      </c>
      <c r="F2260" s="189" t="s">
        <v>2872</v>
      </c>
      <c r="G2260" s="189" t="s">
        <v>2873</v>
      </c>
      <c r="H2260" s="191" t="n">
        <v>46149</v>
      </c>
      <c r="I2260" s="189" t="s">
        <v>113</v>
      </c>
      <c r="J2260" s="189" t="s">
        <v>108</v>
      </c>
      <c r="K2260" s="189" t="s">
        <v>2874</v>
      </c>
      <c r="L2260" s="189" t="s">
        <v>233</v>
      </c>
      <c r="M2260" s="189" t="s">
        <v>612</v>
      </c>
      <c r="N2260" s="189" t="s">
        <v>508</v>
      </c>
      <c r="O2260" s="189" t="s">
        <v>172</v>
      </c>
      <c r="P2260" s="189" t="s">
        <v>111</v>
      </c>
      <c r="Q2260" s="189" t="s">
        <v>145</v>
      </c>
      <c r="R2260" s="189" t="s">
        <v>21</v>
      </c>
      <c r="S2260" s="189" t="s">
        <v>152</v>
      </c>
      <c r="T2260" s="189" t="s">
        <v>590</v>
      </c>
      <c r="V2260" s="189" t="s">
        <v>123</v>
      </c>
      <c r="W2260" s="189" t="s">
        <v>124</v>
      </c>
      <c r="X2260" s="189" t="s">
        <v>348</v>
      </c>
      <c r="Y2260" s="189" t="s">
        <v>3069</v>
      </c>
      <c r="Z2260" s="0" t="n">
        <v>1</v>
      </c>
      <c r="AA2260" s="189" t="s">
        <v>3166</v>
      </c>
    </row>
    <row r="2261" customFormat="false" ht="15" hidden="false" customHeight="false" outlineLevel="0" collapsed="false">
      <c r="A2261" s="0" t="n">
        <v>483</v>
      </c>
      <c r="B2261" s="191" t="n">
        <v>46156.2253135684</v>
      </c>
      <c r="C2261" s="191" t="n">
        <v>46156.2452672721</v>
      </c>
      <c r="D2261" s="189" t="s">
        <v>2871</v>
      </c>
      <c r="E2261" s="189" t="s">
        <v>2872</v>
      </c>
      <c r="F2261" s="189" t="s">
        <v>2872</v>
      </c>
      <c r="G2261" s="189" t="s">
        <v>2873</v>
      </c>
      <c r="H2261" s="191" t="n">
        <v>46149</v>
      </c>
      <c r="I2261" s="189" t="s">
        <v>113</v>
      </c>
      <c r="J2261" s="189" t="s">
        <v>108</v>
      </c>
      <c r="K2261" s="189" t="s">
        <v>2874</v>
      </c>
      <c r="L2261" s="189" t="s">
        <v>233</v>
      </c>
      <c r="M2261" s="189" t="s">
        <v>612</v>
      </c>
      <c r="N2261" s="189" t="s">
        <v>508</v>
      </c>
      <c r="O2261" s="189" t="s">
        <v>172</v>
      </c>
      <c r="P2261" s="189" t="s">
        <v>111</v>
      </c>
      <c r="Q2261" s="189" t="s">
        <v>145</v>
      </c>
      <c r="R2261" s="189" t="s">
        <v>21</v>
      </c>
      <c r="S2261" s="189" t="s">
        <v>152</v>
      </c>
      <c r="T2261" s="189" t="s">
        <v>590</v>
      </c>
      <c r="V2261" s="189" t="s">
        <v>123</v>
      </c>
      <c r="W2261" s="189" t="s">
        <v>124</v>
      </c>
      <c r="X2261" s="189" t="s">
        <v>348</v>
      </c>
      <c r="Y2261" s="189" t="s">
        <v>3069</v>
      </c>
      <c r="Z2261" s="0" t="n">
        <v>2</v>
      </c>
      <c r="AA2261" s="189" t="s">
        <v>3263</v>
      </c>
    </row>
    <row r="2262" customFormat="false" ht="15" hidden="false" customHeight="false" outlineLevel="0" collapsed="false">
      <c r="A2262" s="0" t="n">
        <v>484</v>
      </c>
      <c r="B2262" s="191" t="n">
        <v>46054.6585269142</v>
      </c>
      <c r="C2262" s="191" t="n">
        <v>46054.6654829328</v>
      </c>
      <c r="D2262" s="189" t="s">
        <v>2877</v>
      </c>
      <c r="E2262" s="189" t="s">
        <v>2878</v>
      </c>
      <c r="F2262" s="189" t="s">
        <v>2878</v>
      </c>
      <c r="G2262" s="189" t="s">
        <v>2879</v>
      </c>
      <c r="H2262" s="191" t="n">
        <v>46049</v>
      </c>
      <c r="I2262" s="189" t="s">
        <v>113</v>
      </c>
      <c r="J2262" s="189" t="s">
        <v>108</v>
      </c>
      <c r="K2262" s="189" t="s">
        <v>462</v>
      </c>
      <c r="L2262" s="189" t="s">
        <v>114</v>
      </c>
      <c r="M2262" s="189" t="s">
        <v>578</v>
      </c>
      <c r="N2262" s="189" t="s">
        <v>841</v>
      </c>
      <c r="O2262" s="189" t="s">
        <v>172</v>
      </c>
      <c r="P2262" s="189" t="s">
        <v>111</v>
      </c>
      <c r="Q2262" s="189" t="s">
        <v>145</v>
      </c>
      <c r="R2262" s="189" t="s">
        <v>22</v>
      </c>
      <c r="S2262" s="189" t="s">
        <v>227</v>
      </c>
      <c r="T2262" s="189" t="s">
        <v>121</v>
      </c>
      <c r="U2262" s="189" t="s">
        <v>1940</v>
      </c>
      <c r="V2262" s="189" t="s">
        <v>192</v>
      </c>
      <c r="W2262" s="189" t="s">
        <v>124</v>
      </c>
      <c r="X2262" s="189" t="s">
        <v>148</v>
      </c>
      <c r="Y2262" s="189" t="s">
        <v>3064</v>
      </c>
      <c r="Z2262" s="0" t="n">
        <v>1</v>
      </c>
      <c r="AA2262" s="189" t="s">
        <v>3092</v>
      </c>
    </row>
    <row r="2263" customFormat="false" ht="15" hidden="false" customHeight="false" outlineLevel="0" collapsed="false">
      <c r="A2263" s="0" t="n">
        <v>484</v>
      </c>
      <c r="B2263" s="191" t="n">
        <v>46054.6585269142</v>
      </c>
      <c r="C2263" s="191" t="n">
        <v>46054.6654829328</v>
      </c>
      <c r="D2263" s="189" t="s">
        <v>2877</v>
      </c>
      <c r="E2263" s="189" t="s">
        <v>2878</v>
      </c>
      <c r="F2263" s="189" t="s">
        <v>2878</v>
      </c>
      <c r="G2263" s="189" t="s">
        <v>2879</v>
      </c>
      <c r="H2263" s="191" t="n">
        <v>46049</v>
      </c>
      <c r="I2263" s="189" t="s">
        <v>113</v>
      </c>
      <c r="J2263" s="189" t="s">
        <v>108</v>
      </c>
      <c r="K2263" s="189" t="s">
        <v>462</v>
      </c>
      <c r="L2263" s="189" t="s">
        <v>114</v>
      </c>
      <c r="M2263" s="189" t="s">
        <v>578</v>
      </c>
      <c r="N2263" s="189" t="s">
        <v>841</v>
      </c>
      <c r="O2263" s="189" t="s">
        <v>172</v>
      </c>
      <c r="P2263" s="189" t="s">
        <v>111</v>
      </c>
      <c r="Q2263" s="189" t="s">
        <v>145</v>
      </c>
      <c r="R2263" s="189" t="s">
        <v>22</v>
      </c>
      <c r="S2263" s="189" t="s">
        <v>227</v>
      </c>
      <c r="T2263" s="189" t="s">
        <v>121</v>
      </c>
      <c r="U2263" s="189" t="s">
        <v>1940</v>
      </c>
      <c r="V2263" s="189" t="s">
        <v>192</v>
      </c>
      <c r="W2263" s="189" t="s">
        <v>124</v>
      </c>
      <c r="X2263" s="189" t="s">
        <v>148</v>
      </c>
      <c r="Y2263" s="189" t="s">
        <v>3064</v>
      </c>
      <c r="Z2263" s="0" t="n">
        <v>2</v>
      </c>
      <c r="AA2263" s="189" t="s">
        <v>3281</v>
      </c>
    </row>
    <row r="2264" customFormat="false" ht="15" hidden="false" customHeight="false" outlineLevel="0" collapsed="false">
      <c r="A2264" s="0" t="n">
        <v>484</v>
      </c>
      <c r="B2264" s="191" t="n">
        <v>46054.6585269142</v>
      </c>
      <c r="C2264" s="191" t="n">
        <v>46054.6654829328</v>
      </c>
      <c r="D2264" s="189" t="s">
        <v>2877</v>
      </c>
      <c r="E2264" s="189" t="s">
        <v>2878</v>
      </c>
      <c r="F2264" s="189" t="s">
        <v>2878</v>
      </c>
      <c r="G2264" s="189" t="s">
        <v>2879</v>
      </c>
      <c r="H2264" s="191" t="n">
        <v>46049</v>
      </c>
      <c r="I2264" s="189" t="s">
        <v>113</v>
      </c>
      <c r="J2264" s="189" t="s">
        <v>108</v>
      </c>
      <c r="K2264" s="189" t="s">
        <v>462</v>
      </c>
      <c r="L2264" s="189" t="s">
        <v>114</v>
      </c>
      <c r="M2264" s="189" t="s">
        <v>578</v>
      </c>
      <c r="N2264" s="189" t="s">
        <v>841</v>
      </c>
      <c r="O2264" s="189" t="s">
        <v>172</v>
      </c>
      <c r="P2264" s="189" t="s">
        <v>111</v>
      </c>
      <c r="Q2264" s="189" t="s">
        <v>145</v>
      </c>
      <c r="R2264" s="189" t="s">
        <v>22</v>
      </c>
      <c r="S2264" s="189" t="s">
        <v>227</v>
      </c>
      <c r="T2264" s="189" t="s">
        <v>121</v>
      </c>
      <c r="U2264" s="189" t="s">
        <v>1940</v>
      </c>
      <c r="V2264" s="189" t="s">
        <v>192</v>
      </c>
      <c r="W2264" s="189" t="s">
        <v>124</v>
      </c>
      <c r="X2264" s="189" t="s">
        <v>148</v>
      </c>
      <c r="Y2264" s="189" t="s">
        <v>3064</v>
      </c>
      <c r="Z2264" s="0" t="n">
        <v>3</v>
      </c>
      <c r="AA2264" s="189" t="s">
        <v>3122</v>
      </c>
    </row>
    <row r="2265" customFormat="false" ht="15" hidden="false" customHeight="false" outlineLevel="0" collapsed="false">
      <c r="A2265" s="0" t="n">
        <v>484</v>
      </c>
      <c r="B2265" s="191" t="n">
        <v>46054.6585269142</v>
      </c>
      <c r="C2265" s="191" t="n">
        <v>46054.6654829328</v>
      </c>
      <c r="D2265" s="189" t="s">
        <v>2877</v>
      </c>
      <c r="E2265" s="189" t="s">
        <v>2878</v>
      </c>
      <c r="F2265" s="189" t="s">
        <v>2878</v>
      </c>
      <c r="G2265" s="189" t="s">
        <v>2879</v>
      </c>
      <c r="H2265" s="191" t="n">
        <v>46049</v>
      </c>
      <c r="I2265" s="189" t="s">
        <v>113</v>
      </c>
      <c r="J2265" s="189" t="s">
        <v>108</v>
      </c>
      <c r="K2265" s="189" t="s">
        <v>462</v>
      </c>
      <c r="L2265" s="189" t="s">
        <v>114</v>
      </c>
      <c r="M2265" s="189" t="s">
        <v>578</v>
      </c>
      <c r="N2265" s="189" t="s">
        <v>841</v>
      </c>
      <c r="O2265" s="189" t="s">
        <v>172</v>
      </c>
      <c r="P2265" s="189" t="s">
        <v>111</v>
      </c>
      <c r="Q2265" s="189" t="s">
        <v>145</v>
      </c>
      <c r="R2265" s="189" t="s">
        <v>22</v>
      </c>
      <c r="S2265" s="189" t="s">
        <v>227</v>
      </c>
      <c r="T2265" s="189" t="s">
        <v>121</v>
      </c>
      <c r="U2265" s="189" t="s">
        <v>1940</v>
      </c>
      <c r="V2265" s="189" t="s">
        <v>192</v>
      </c>
      <c r="W2265" s="189" t="s">
        <v>124</v>
      </c>
      <c r="X2265" s="189" t="s">
        <v>148</v>
      </c>
      <c r="Y2265" s="189" t="s">
        <v>3066</v>
      </c>
      <c r="Z2265" s="0" t="n">
        <v>1</v>
      </c>
      <c r="AA2265" s="189" t="s">
        <v>3077</v>
      </c>
    </row>
    <row r="2266" customFormat="false" ht="15" hidden="false" customHeight="false" outlineLevel="0" collapsed="false">
      <c r="A2266" s="0" t="n">
        <v>484</v>
      </c>
      <c r="B2266" s="191" t="n">
        <v>46054.6585269142</v>
      </c>
      <c r="C2266" s="191" t="n">
        <v>46054.6654829328</v>
      </c>
      <c r="D2266" s="189" t="s">
        <v>2877</v>
      </c>
      <c r="E2266" s="189" t="s">
        <v>2878</v>
      </c>
      <c r="F2266" s="189" t="s">
        <v>2878</v>
      </c>
      <c r="G2266" s="189" t="s">
        <v>2879</v>
      </c>
      <c r="H2266" s="191" t="n">
        <v>46049</v>
      </c>
      <c r="I2266" s="189" t="s">
        <v>113</v>
      </c>
      <c r="J2266" s="189" t="s">
        <v>108</v>
      </c>
      <c r="K2266" s="189" t="s">
        <v>462</v>
      </c>
      <c r="L2266" s="189" t="s">
        <v>114</v>
      </c>
      <c r="M2266" s="189" t="s">
        <v>578</v>
      </c>
      <c r="N2266" s="189" t="s">
        <v>841</v>
      </c>
      <c r="O2266" s="189" t="s">
        <v>172</v>
      </c>
      <c r="P2266" s="189" t="s">
        <v>111</v>
      </c>
      <c r="Q2266" s="189" t="s">
        <v>145</v>
      </c>
      <c r="R2266" s="189" t="s">
        <v>22</v>
      </c>
      <c r="S2266" s="189" t="s">
        <v>227</v>
      </c>
      <c r="T2266" s="189" t="s">
        <v>121</v>
      </c>
      <c r="U2266" s="189" t="s">
        <v>1940</v>
      </c>
      <c r="V2266" s="189" t="s">
        <v>192</v>
      </c>
      <c r="W2266" s="189" t="s">
        <v>124</v>
      </c>
      <c r="X2266" s="189" t="s">
        <v>148</v>
      </c>
      <c r="Y2266" s="189" t="s">
        <v>3066</v>
      </c>
      <c r="Z2266" s="0" t="n">
        <v>2</v>
      </c>
      <c r="AA2266" s="189" t="s">
        <v>2818</v>
      </c>
    </row>
    <row r="2267" customFormat="false" ht="15" hidden="false" customHeight="false" outlineLevel="0" collapsed="false">
      <c r="A2267" s="0" t="n">
        <v>484</v>
      </c>
      <c r="B2267" s="191" t="n">
        <v>46054.6585269142</v>
      </c>
      <c r="C2267" s="191" t="n">
        <v>46054.6654829328</v>
      </c>
      <c r="D2267" s="189" t="s">
        <v>2877</v>
      </c>
      <c r="E2267" s="189" t="s">
        <v>2878</v>
      </c>
      <c r="F2267" s="189" t="s">
        <v>2878</v>
      </c>
      <c r="G2267" s="189" t="s">
        <v>2879</v>
      </c>
      <c r="H2267" s="191" t="n">
        <v>46049</v>
      </c>
      <c r="I2267" s="189" t="s">
        <v>113</v>
      </c>
      <c r="J2267" s="189" t="s">
        <v>108</v>
      </c>
      <c r="K2267" s="189" t="s">
        <v>462</v>
      </c>
      <c r="L2267" s="189" t="s">
        <v>114</v>
      </c>
      <c r="M2267" s="189" t="s">
        <v>578</v>
      </c>
      <c r="N2267" s="189" t="s">
        <v>841</v>
      </c>
      <c r="O2267" s="189" t="s">
        <v>172</v>
      </c>
      <c r="P2267" s="189" t="s">
        <v>111</v>
      </c>
      <c r="Q2267" s="189" t="s">
        <v>145</v>
      </c>
      <c r="R2267" s="189" t="s">
        <v>22</v>
      </c>
      <c r="S2267" s="189" t="s">
        <v>227</v>
      </c>
      <c r="T2267" s="189" t="s">
        <v>121</v>
      </c>
      <c r="U2267" s="189" t="s">
        <v>1940</v>
      </c>
      <c r="V2267" s="189" t="s">
        <v>192</v>
      </c>
      <c r="W2267" s="189" t="s">
        <v>124</v>
      </c>
      <c r="X2267" s="189" t="s">
        <v>148</v>
      </c>
      <c r="Y2267" s="189" t="s">
        <v>3069</v>
      </c>
      <c r="Z2267" s="0" t="n">
        <v>1</v>
      </c>
      <c r="AA2267" s="189" t="s">
        <v>122</v>
      </c>
    </row>
    <row r="2268" customFormat="false" ht="15" hidden="false" customHeight="false" outlineLevel="0" collapsed="false">
      <c r="A2268" s="0" t="n">
        <v>485</v>
      </c>
      <c r="B2268" s="191" t="n">
        <v>46182.3323950566</v>
      </c>
      <c r="C2268" s="191" t="n">
        <v>46182.3475918159</v>
      </c>
      <c r="D2268" s="189" t="s">
        <v>2881</v>
      </c>
      <c r="E2268" s="189" t="s">
        <v>2882</v>
      </c>
      <c r="F2268" s="189" t="s">
        <v>2882</v>
      </c>
      <c r="G2268" s="189" t="s">
        <v>2883</v>
      </c>
      <c r="H2268" s="191" t="n">
        <v>46163</v>
      </c>
      <c r="I2268" s="189" t="s">
        <v>113</v>
      </c>
      <c r="J2268" s="189" t="s">
        <v>128</v>
      </c>
      <c r="K2268" s="189" t="s">
        <v>245</v>
      </c>
      <c r="L2268" s="189" t="s">
        <v>389</v>
      </c>
      <c r="M2268" s="189" t="s">
        <v>144</v>
      </c>
      <c r="N2268" s="189" t="s">
        <v>1006</v>
      </c>
      <c r="O2268" s="189" t="s">
        <v>107</v>
      </c>
      <c r="P2268" s="189" t="s">
        <v>111</v>
      </c>
      <c r="Q2268" s="189" t="s">
        <v>112</v>
      </c>
      <c r="R2268" s="189" t="s">
        <v>24</v>
      </c>
      <c r="S2268" s="189" t="s">
        <v>152</v>
      </c>
      <c r="T2268" s="189" t="s">
        <v>180</v>
      </c>
      <c r="U2268" s="189" t="s">
        <v>122</v>
      </c>
      <c r="V2268" s="189" t="s">
        <v>192</v>
      </c>
      <c r="W2268" s="189" t="s">
        <v>124</v>
      </c>
      <c r="X2268" s="189" t="s">
        <v>448</v>
      </c>
      <c r="Y2268" s="189" t="s">
        <v>3064</v>
      </c>
      <c r="Z2268" s="0" t="n">
        <v>1</v>
      </c>
      <c r="AA2268" s="189" t="s">
        <v>3175</v>
      </c>
    </row>
    <row r="2269" customFormat="false" ht="15" hidden="false" customHeight="false" outlineLevel="0" collapsed="false">
      <c r="A2269" s="0" t="n">
        <v>485</v>
      </c>
      <c r="B2269" s="191" t="n">
        <v>46182.3323950566</v>
      </c>
      <c r="C2269" s="191" t="n">
        <v>46182.3475918159</v>
      </c>
      <c r="D2269" s="189" t="s">
        <v>2881</v>
      </c>
      <c r="E2269" s="189" t="s">
        <v>2882</v>
      </c>
      <c r="F2269" s="189" t="s">
        <v>2882</v>
      </c>
      <c r="G2269" s="189" t="s">
        <v>2883</v>
      </c>
      <c r="H2269" s="191" t="n">
        <v>46163</v>
      </c>
      <c r="I2269" s="189" t="s">
        <v>113</v>
      </c>
      <c r="J2269" s="189" t="s">
        <v>128</v>
      </c>
      <c r="K2269" s="189" t="s">
        <v>245</v>
      </c>
      <c r="L2269" s="189" t="s">
        <v>389</v>
      </c>
      <c r="M2269" s="189" t="s">
        <v>144</v>
      </c>
      <c r="N2269" s="189" t="s">
        <v>1006</v>
      </c>
      <c r="O2269" s="189" t="s">
        <v>107</v>
      </c>
      <c r="P2269" s="189" t="s">
        <v>111</v>
      </c>
      <c r="Q2269" s="189" t="s">
        <v>112</v>
      </c>
      <c r="R2269" s="189" t="s">
        <v>24</v>
      </c>
      <c r="S2269" s="189" t="s">
        <v>152</v>
      </c>
      <c r="T2269" s="189" t="s">
        <v>180</v>
      </c>
      <c r="U2269" s="189" t="s">
        <v>122</v>
      </c>
      <c r="V2269" s="189" t="s">
        <v>192</v>
      </c>
      <c r="W2269" s="189" t="s">
        <v>124</v>
      </c>
      <c r="X2269" s="189" t="s">
        <v>448</v>
      </c>
      <c r="Y2269" s="189" t="s">
        <v>3066</v>
      </c>
      <c r="Z2269" s="0" t="n">
        <v>1</v>
      </c>
      <c r="AA2269" s="189" t="s">
        <v>3279</v>
      </c>
    </row>
    <row r="2270" customFormat="false" ht="15" hidden="false" customHeight="false" outlineLevel="0" collapsed="false">
      <c r="A2270" s="0" t="n">
        <v>485</v>
      </c>
      <c r="B2270" s="191" t="n">
        <v>46182.3323950566</v>
      </c>
      <c r="C2270" s="191" t="n">
        <v>46182.3475918159</v>
      </c>
      <c r="D2270" s="189" t="s">
        <v>2881</v>
      </c>
      <c r="E2270" s="189" t="s">
        <v>2882</v>
      </c>
      <c r="F2270" s="189" t="s">
        <v>2882</v>
      </c>
      <c r="G2270" s="189" t="s">
        <v>2883</v>
      </c>
      <c r="H2270" s="191" t="n">
        <v>46163</v>
      </c>
      <c r="I2270" s="189" t="s">
        <v>113</v>
      </c>
      <c r="J2270" s="189" t="s">
        <v>128</v>
      </c>
      <c r="K2270" s="189" t="s">
        <v>245</v>
      </c>
      <c r="L2270" s="189" t="s">
        <v>389</v>
      </c>
      <c r="M2270" s="189" t="s">
        <v>144</v>
      </c>
      <c r="N2270" s="189" t="s">
        <v>1006</v>
      </c>
      <c r="O2270" s="189" t="s">
        <v>107</v>
      </c>
      <c r="P2270" s="189" t="s">
        <v>111</v>
      </c>
      <c r="Q2270" s="189" t="s">
        <v>112</v>
      </c>
      <c r="R2270" s="189" t="s">
        <v>24</v>
      </c>
      <c r="S2270" s="189" t="s">
        <v>152</v>
      </c>
      <c r="T2270" s="189" t="s">
        <v>180</v>
      </c>
      <c r="U2270" s="189" t="s">
        <v>122</v>
      </c>
      <c r="V2270" s="189" t="s">
        <v>192</v>
      </c>
      <c r="W2270" s="189" t="s">
        <v>124</v>
      </c>
      <c r="X2270" s="189" t="s">
        <v>448</v>
      </c>
      <c r="Y2270" s="189" t="s">
        <v>3066</v>
      </c>
      <c r="Z2270" s="0" t="n">
        <v>2</v>
      </c>
      <c r="AA2270" s="189" t="s">
        <v>3276</v>
      </c>
    </row>
    <row r="2271" customFormat="false" ht="15" hidden="false" customHeight="false" outlineLevel="0" collapsed="false">
      <c r="A2271" s="0" t="n">
        <v>485</v>
      </c>
      <c r="B2271" s="191" t="n">
        <v>46182.3323950566</v>
      </c>
      <c r="C2271" s="191" t="n">
        <v>46182.3475918159</v>
      </c>
      <c r="D2271" s="189" t="s">
        <v>2881</v>
      </c>
      <c r="E2271" s="189" t="s">
        <v>2882</v>
      </c>
      <c r="F2271" s="189" t="s">
        <v>2882</v>
      </c>
      <c r="G2271" s="189" t="s">
        <v>2883</v>
      </c>
      <c r="H2271" s="191" t="n">
        <v>46163</v>
      </c>
      <c r="I2271" s="189" t="s">
        <v>113</v>
      </c>
      <c r="J2271" s="189" t="s">
        <v>128</v>
      </c>
      <c r="K2271" s="189" t="s">
        <v>245</v>
      </c>
      <c r="L2271" s="189" t="s">
        <v>389</v>
      </c>
      <c r="M2271" s="189" t="s">
        <v>144</v>
      </c>
      <c r="N2271" s="189" t="s">
        <v>1006</v>
      </c>
      <c r="O2271" s="189" t="s">
        <v>107</v>
      </c>
      <c r="P2271" s="189" t="s">
        <v>111</v>
      </c>
      <c r="Q2271" s="189" t="s">
        <v>112</v>
      </c>
      <c r="R2271" s="189" t="s">
        <v>24</v>
      </c>
      <c r="S2271" s="189" t="s">
        <v>152</v>
      </c>
      <c r="T2271" s="189" t="s">
        <v>180</v>
      </c>
      <c r="U2271" s="189" t="s">
        <v>122</v>
      </c>
      <c r="V2271" s="189" t="s">
        <v>192</v>
      </c>
      <c r="W2271" s="189" t="s">
        <v>124</v>
      </c>
      <c r="X2271" s="189" t="s">
        <v>448</v>
      </c>
      <c r="Y2271" s="189" t="s">
        <v>3069</v>
      </c>
      <c r="Z2271" s="0" t="n">
        <v>1</v>
      </c>
      <c r="AA2271" s="189" t="s">
        <v>3179</v>
      </c>
    </row>
    <row r="2272" customFormat="false" ht="15" hidden="false" customHeight="false" outlineLevel="0" collapsed="false">
      <c r="A2272" s="0" t="n">
        <v>486</v>
      </c>
      <c r="B2272" s="191" t="n">
        <v>46090.9715510418</v>
      </c>
      <c r="C2272" s="191" t="n">
        <v>46090.9798959492</v>
      </c>
      <c r="D2272" s="189" t="s">
        <v>2885</v>
      </c>
      <c r="E2272" s="189" t="s">
        <v>2886</v>
      </c>
      <c r="F2272" s="189" t="s">
        <v>2886</v>
      </c>
      <c r="G2272" s="189" t="s">
        <v>2887</v>
      </c>
      <c r="H2272" s="191" t="n">
        <v>46078</v>
      </c>
      <c r="I2272" s="189" t="s">
        <v>325</v>
      </c>
      <c r="J2272" s="189" t="s">
        <v>128</v>
      </c>
      <c r="K2272" s="189" t="s">
        <v>232</v>
      </c>
      <c r="L2272" s="189" t="s">
        <v>144</v>
      </c>
      <c r="M2272" s="189" t="s">
        <v>146</v>
      </c>
      <c r="N2272" s="189" t="s">
        <v>560</v>
      </c>
      <c r="O2272" s="189" t="s">
        <v>172</v>
      </c>
      <c r="P2272" s="189" t="s">
        <v>111</v>
      </c>
      <c r="Q2272" s="189" t="s">
        <v>112</v>
      </c>
      <c r="R2272" s="189" t="s">
        <v>21</v>
      </c>
      <c r="S2272" s="189" t="s">
        <v>120</v>
      </c>
      <c r="T2272" s="189" t="s">
        <v>180</v>
      </c>
      <c r="U2272" s="189" t="s">
        <v>122</v>
      </c>
      <c r="V2272" s="189" t="s">
        <v>123</v>
      </c>
      <c r="W2272" s="189" t="s">
        <v>124</v>
      </c>
      <c r="X2272" s="189" t="s">
        <v>1830</v>
      </c>
      <c r="Y2272" s="189" t="s">
        <v>3064</v>
      </c>
      <c r="Z2272" s="0" t="n">
        <v>1</v>
      </c>
      <c r="AA2272" s="189" t="s">
        <v>3340</v>
      </c>
    </row>
    <row r="2273" customFormat="false" ht="15" hidden="false" customHeight="false" outlineLevel="0" collapsed="false">
      <c r="A2273" s="0" t="n">
        <v>486</v>
      </c>
      <c r="B2273" s="191" t="n">
        <v>46090.9715510418</v>
      </c>
      <c r="C2273" s="191" t="n">
        <v>46090.9798959492</v>
      </c>
      <c r="D2273" s="189" t="s">
        <v>2885</v>
      </c>
      <c r="E2273" s="189" t="s">
        <v>2886</v>
      </c>
      <c r="F2273" s="189" t="s">
        <v>2886</v>
      </c>
      <c r="G2273" s="189" t="s">
        <v>2887</v>
      </c>
      <c r="H2273" s="191" t="n">
        <v>46078</v>
      </c>
      <c r="I2273" s="189" t="s">
        <v>325</v>
      </c>
      <c r="J2273" s="189" t="s">
        <v>128</v>
      </c>
      <c r="K2273" s="189" t="s">
        <v>232</v>
      </c>
      <c r="L2273" s="189" t="s">
        <v>144</v>
      </c>
      <c r="M2273" s="189" t="s">
        <v>146</v>
      </c>
      <c r="N2273" s="189" t="s">
        <v>560</v>
      </c>
      <c r="O2273" s="189" t="s">
        <v>172</v>
      </c>
      <c r="P2273" s="189" t="s">
        <v>111</v>
      </c>
      <c r="Q2273" s="189" t="s">
        <v>112</v>
      </c>
      <c r="R2273" s="189" t="s">
        <v>21</v>
      </c>
      <c r="S2273" s="189" t="s">
        <v>120</v>
      </c>
      <c r="T2273" s="189" t="s">
        <v>180</v>
      </c>
      <c r="U2273" s="189" t="s">
        <v>122</v>
      </c>
      <c r="V2273" s="189" t="s">
        <v>123</v>
      </c>
      <c r="W2273" s="189" t="s">
        <v>124</v>
      </c>
      <c r="X2273" s="189" t="s">
        <v>1830</v>
      </c>
      <c r="Y2273" s="189" t="s">
        <v>3066</v>
      </c>
      <c r="Z2273" s="0" t="n">
        <v>1</v>
      </c>
      <c r="AA2273" s="189" t="s">
        <v>3341</v>
      </c>
    </row>
    <row r="2274" customFormat="false" ht="15" hidden="false" customHeight="false" outlineLevel="0" collapsed="false">
      <c r="A2274" s="0" t="n">
        <v>486</v>
      </c>
      <c r="B2274" s="191" t="n">
        <v>46090.9715510418</v>
      </c>
      <c r="C2274" s="191" t="n">
        <v>46090.9798959492</v>
      </c>
      <c r="D2274" s="189" t="s">
        <v>2885</v>
      </c>
      <c r="E2274" s="189" t="s">
        <v>2886</v>
      </c>
      <c r="F2274" s="189" t="s">
        <v>2886</v>
      </c>
      <c r="G2274" s="189" t="s">
        <v>2887</v>
      </c>
      <c r="H2274" s="191" t="n">
        <v>46078</v>
      </c>
      <c r="I2274" s="189" t="s">
        <v>325</v>
      </c>
      <c r="J2274" s="189" t="s">
        <v>128</v>
      </c>
      <c r="K2274" s="189" t="s">
        <v>232</v>
      </c>
      <c r="L2274" s="189" t="s">
        <v>144</v>
      </c>
      <c r="M2274" s="189" t="s">
        <v>146</v>
      </c>
      <c r="N2274" s="189" t="s">
        <v>560</v>
      </c>
      <c r="O2274" s="189" t="s">
        <v>172</v>
      </c>
      <c r="P2274" s="189" t="s">
        <v>111</v>
      </c>
      <c r="Q2274" s="189" t="s">
        <v>112</v>
      </c>
      <c r="R2274" s="189" t="s">
        <v>21</v>
      </c>
      <c r="S2274" s="189" t="s">
        <v>120</v>
      </c>
      <c r="T2274" s="189" t="s">
        <v>180</v>
      </c>
      <c r="U2274" s="189" t="s">
        <v>122</v>
      </c>
      <c r="V2274" s="189" t="s">
        <v>123</v>
      </c>
      <c r="W2274" s="189" t="s">
        <v>124</v>
      </c>
      <c r="X2274" s="189" t="s">
        <v>1830</v>
      </c>
      <c r="Y2274" s="189" t="s">
        <v>3066</v>
      </c>
      <c r="Z2274" s="0" t="n">
        <v>2</v>
      </c>
      <c r="AA2274" s="189" t="s">
        <v>3342</v>
      </c>
    </row>
    <row r="2275" customFormat="false" ht="15" hidden="false" customHeight="false" outlineLevel="0" collapsed="false">
      <c r="A2275" s="0" t="n">
        <v>486</v>
      </c>
      <c r="B2275" s="191" t="n">
        <v>46090.9715510418</v>
      </c>
      <c r="C2275" s="191" t="n">
        <v>46090.9798959492</v>
      </c>
      <c r="D2275" s="189" t="s">
        <v>2885</v>
      </c>
      <c r="E2275" s="189" t="s">
        <v>2886</v>
      </c>
      <c r="F2275" s="189" t="s">
        <v>2886</v>
      </c>
      <c r="G2275" s="189" t="s">
        <v>2887</v>
      </c>
      <c r="H2275" s="191" t="n">
        <v>46078</v>
      </c>
      <c r="I2275" s="189" t="s">
        <v>325</v>
      </c>
      <c r="J2275" s="189" t="s">
        <v>128</v>
      </c>
      <c r="K2275" s="189" t="s">
        <v>232</v>
      </c>
      <c r="L2275" s="189" t="s">
        <v>144</v>
      </c>
      <c r="M2275" s="189" t="s">
        <v>146</v>
      </c>
      <c r="N2275" s="189" t="s">
        <v>560</v>
      </c>
      <c r="O2275" s="189" t="s">
        <v>172</v>
      </c>
      <c r="P2275" s="189" t="s">
        <v>111</v>
      </c>
      <c r="Q2275" s="189" t="s">
        <v>112</v>
      </c>
      <c r="R2275" s="189" t="s">
        <v>21</v>
      </c>
      <c r="S2275" s="189" t="s">
        <v>120</v>
      </c>
      <c r="T2275" s="189" t="s">
        <v>180</v>
      </c>
      <c r="U2275" s="189" t="s">
        <v>122</v>
      </c>
      <c r="V2275" s="189" t="s">
        <v>123</v>
      </c>
      <c r="W2275" s="189" t="s">
        <v>124</v>
      </c>
      <c r="X2275" s="189" t="s">
        <v>1830</v>
      </c>
      <c r="Y2275" s="189" t="s">
        <v>3069</v>
      </c>
      <c r="Z2275" s="0" t="n">
        <v>1</v>
      </c>
      <c r="AA2275" s="189" t="s">
        <v>3343</v>
      </c>
    </row>
    <row r="2276" customFormat="false" ht="15" hidden="false" customHeight="false" outlineLevel="0" collapsed="false">
      <c r="A2276" s="0" t="n">
        <v>487</v>
      </c>
      <c r="B2276" s="191" t="n">
        <v>46067.2181743748</v>
      </c>
      <c r="C2276" s="191" t="n">
        <v>46067.2334868748</v>
      </c>
      <c r="D2276" s="189" t="s">
        <v>2891</v>
      </c>
      <c r="E2276" s="189" t="s">
        <v>2892</v>
      </c>
      <c r="F2276" s="189" t="s">
        <v>2892</v>
      </c>
      <c r="G2276" s="189" t="s">
        <v>2893</v>
      </c>
      <c r="H2276" s="191" t="n">
        <v>46061</v>
      </c>
      <c r="I2276" s="189" t="s">
        <v>132</v>
      </c>
      <c r="J2276" s="189" t="s">
        <v>295</v>
      </c>
      <c r="K2276" s="189" t="s">
        <v>245</v>
      </c>
      <c r="L2276" s="189" t="s">
        <v>286</v>
      </c>
      <c r="M2276" s="189" t="s">
        <v>864</v>
      </c>
      <c r="N2276" s="189" t="s">
        <v>1028</v>
      </c>
      <c r="O2276" s="189" t="s">
        <v>713</v>
      </c>
      <c r="P2276" s="189" t="s">
        <v>111</v>
      </c>
      <c r="Q2276" s="189" t="s">
        <v>112</v>
      </c>
      <c r="R2276" s="189" t="s">
        <v>22</v>
      </c>
      <c r="S2276" s="189" t="s">
        <v>152</v>
      </c>
      <c r="T2276" s="189" t="s">
        <v>228</v>
      </c>
      <c r="U2276" s="189" t="s">
        <v>122</v>
      </c>
      <c r="V2276" s="189" t="s">
        <v>123</v>
      </c>
      <c r="W2276" s="189" t="s">
        <v>168</v>
      </c>
      <c r="X2276" s="189" t="s">
        <v>381</v>
      </c>
      <c r="Y2276" s="189" t="s">
        <v>3064</v>
      </c>
      <c r="Z2276" s="0" t="n">
        <v>1</v>
      </c>
      <c r="AA2276" s="189" t="s">
        <v>3233</v>
      </c>
    </row>
    <row r="2277" customFormat="false" ht="15" hidden="false" customHeight="false" outlineLevel="0" collapsed="false">
      <c r="A2277" s="0" t="n">
        <v>487</v>
      </c>
      <c r="B2277" s="191" t="n">
        <v>46067.2181743748</v>
      </c>
      <c r="C2277" s="191" t="n">
        <v>46067.2334868748</v>
      </c>
      <c r="D2277" s="189" t="s">
        <v>2891</v>
      </c>
      <c r="E2277" s="189" t="s">
        <v>2892</v>
      </c>
      <c r="F2277" s="189" t="s">
        <v>2892</v>
      </c>
      <c r="G2277" s="189" t="s">
        <v>2893</v>
      </c>
      <c r="H2277" s="191" t="n">
        <v>46061</v>
      </c>
      <c r="I2277" s="189" t="s">
        <v>132</v>
      </c>
      <c r="J2277" s="189" t="s">
        <v>295</v>
      </c>
      <c r="K2277" s="189" t="s">
        <v>245</v>
      </c>
      <c r="L2277" s="189" t="s">
        <v>286</v>
      </c>
      <c r="M2277" s="189" t="s">
        <v>864</v>
      </c>
      <c r="N2277" s="189" t="s">
        <v>1028</v>
      </c>
      <c r="O2277" s="189" t="s">
        <v>713</v>
      </c>
      <c r="P2277" s="189" t="s">
        <v>111</v>
      </c>
      <c r="Q2277" s="189" t="s">
        <v>112</v>
      </c>
      <c r="R2277" s="189" t="s">
        <v>22</v>
      </c>
      <c r="S2277" s="189" t="s">
        <v>152</v>
      </c>
      <c r="T2277" s="189" t="s">
        <v>228</v>
      </c>
      <c r="U2277" s="189" t="s">
        <v>122</v>
      </c>
      <c r="V2277" s="189" t="s">
        <v>123</v>
      </c>
      <c r="W2277" s="189" t="s">
        <v>168</v>
      </c>
      <c r="X2277" s="189" t="s">
        <v>381</v>
      </c>
      <c r="Y2277" s="189" t="s">
        <v>3064</v>
      </c>
      <c r="Z2277" s="0" t="n">
        <v>2</v>
      </c>
      <c r="AA2277" s="189" t="s">
        <v>3180</v>
      </c>
    </row>
    <row r="2278" customFormat="false" ht="15" hidden="false" customHeight="false" outlineLevel="0" collapsed="false">
      <c r="A2278" s="0" t="n">
        <v>487</v>
      </c>
      <c r="B2278" s="191" t="n">
        <v>46067.2181743748</v>
      </c>
      <c r="C2278" s="191" t="n">
        <v>46067.2334868748</v>
      </c>
      <c r="D2278" s="189" t="s">
        <v>2891</v>
      </c>
      <c r="E2278" s="189" t="s">
        <v>2892</v>
      </c>
      <c r="F2278" s="189" t="s">
        <v>2892</v>
      </c>
      <c r="G2278" s="189" t="s">
        <v>2893</v>
      </c>
      <c r="H2278" s="191" t="n">
        <v>46061</v>
      </c>
      <c r="I2278" s="189" t="s">
        <v>132</v>
      </c>
      <c r="J2278" s="189" t="s">
        <v>295</v>
      </c>
      <c r="K2278" s="189" t="s">
        <v>245</v>
      </c>
      <c r="L2278" s="189" t="s">
        <v>286</v>
      </c>
      <c r="M2278" s="189" t="s">
        <v>864</v>
      </c>
      <c r="N2278" s="189" t="s">
        <v>1028</v>
      </c>
      <c r="O2278" s="189" t="s">
        <v>713</v>
      </c>
      <c r="P2278" s="189" t="s">
        <v>111</v>
      </c>
      <c r="Q2278" s="189" t="s">
        <v>112</v>
      </c>
      <c r="R2278" s="189" t="s">
        <v>22</v>
      </c>
      <c r="S2278" s="189" t="s">
        <v>152</v>
      </c>
      <c r="T2278" s="189" t="s">
        <v>228</v>
      </c>
      <c r="U2278" s="189" t="s">
        <v>122</v>
      </c>
      <c r="V2278" s="189" t="s">
        <v>123</v>
      </c>
      <c r="W2278" s="189" t="s">
        <v>168</v>
      </c>
      <c r="X2278" s="189" t="s">
        <v>381</v>
      </c>
      <c r="Y2278" s="189" t="s">
        <v>3066</v>
      </c>
      <c r="Z2278" s="0" t="n">
        <v>1</v>
      </c>
      <c r="AA2278" s="189" t="s">
        <v>3161</v>
      </c>
    </row>
    <row r="2279" customFormat="false" ht="15" hidden="false" customHeight="false" outlineLevel="0" collapsed="false">
      <c r="A2279" s="0" t="n">
        <v>487</v>
      </c>
      <c r="B2279" s="191" t="n">
        <v>46067.2181743748</v>
      </c>
      <c r="C2279" s="191" t="n">
        <v>46067.2334868748</v>
      </c>
      <c r="D2279" s="189" t="s">
        <v>2891</v>
      </c>
      <c r="E2279" s="189" t="s">
        <v>2892</v>
      </c>
      <c r="F2279" s="189" t="s">
        <v>2892</v>
      </c>
      <c r="G2279" s="189" t="s">
        <v>2893</v>
      </c>
      <c r="H2279" s="191" t="n">
        <v>46061</v>
      </c>
      <c r="I2279" s="189" t="s">
        <v>132</v>
      </c>
      <c r="J2279" s="189" t="s">
        <v>295</v>
      </c>
      <c r="K2279" s="189" t="s">
        <v>245</v>
      </c>
      <c r="L2279" s="189" t="s">
        <v>286</v>
      </c>
      <c r="M2279" s="189" t="s">
        <v>864</v>
      </c>
      <c r="N2279" s="189" t="s">
        <v>1028</v>
      </c>
      <c r="O2279" s="189" t="s">
        <v>713</v>
      </c>
      <c r="P2279" s="189" t="s">
        <v>111</v>
      </c>
      <c r="Q2279" s="189" t="s">
        <v>112</v>
      </c>
      <c r="R2279" s="189" t="s">
        <v>22</v>
      </c>
      <c r="S2279" s="189" t="s">
        <v>152</v>
      </c>
      <c r="T2279" s="189" t="s">
        <v>228</v>
      </c>
      <c r="U2279" s="189" t="s">
        <v>122</v>
      </c>
      <c r="V2279" s="189" t="s">
        <v>123</v>
      </c>
      <c r="W2279" s="189" t="s">
        <v>168</v>
      </c>
      <c r="X2279" s="189" t="s">
        <v>381</v>
      </c>
      <c r="Y2279" s="189" t="s">
        <v>3066</v>
      </c>
      <c r="Z2279" s="0" t="n">
        <v>2</v>
      </c>
      <c r="AA2279" s="189" t="s">
        <v>3250</v>
      </c>
    </row>
    <row r="2280" customFormat="false" ht="15" hidden="false" customHeight="false" outlineLevel="0" collapsed="false">
      <c r="A2280" s="0" t="n">
        <v>487</v>
      </c>
      <c r="B2280" s="191" t="n">
        <v>46067.2181743748</v>
      </c>
      <c r="C2280" s="191" t="n">
        <v>46067.2334868748</v>
      </c>
      <c r="D2280" s="189" t="s">
        <v>2891</v>
      </c>
      <c r="E2280" s="189" t="s">
        <v>2892</v>
      </c>
      <c r="F2280" s="189" t="s">
        <v>2892</v>
      </c>
      <c r="G2280" s="189" t="s">
        <v>2893</v>
      </c>
      <c r="H2280" s="191" t="n">
        <v>46061</v>
      </c>
      <c r="I2280" s="189" t="s">
        <v>132</v>
      </c>
      <c r="J2280" s="189" t="s">
        <v>295</v>
      </c>
      <c r="K2280" s="189" t="s">
        <v>245</v>
      </c>
      <c r="L2280" s="189" t="s">
        <v>286</v>
      </c>
      <c r="M2280" s="189" t="s">
        <v>864</v>
      </c>
      <c r="N2280" s="189" t="s">
        <v>1028</v>
      </c>
      <c r="O2280" s="189" t="s">
        <v>713</v>
      </c>
      <c r="P2280" s="189" t="s">
        <v>111</v>
      </c>
      <c r="Q2280" s="189" t="s">
        <v>112</v>
      </c>
      <c r="R2280" s="189" t="s">
        <v>22</v>
      </c>
      <c r="S2280" s="189" t="s">
        <v>152</v>
      </c>
      <c r="T2280" s="189" t="s">
        <v>228</v>
      </c>
      <c r="U2280" s="189" t="s">
        <v>122</v>
      </c>
      <c r="V2280" s="189" t="s">
        <v>123</v>
      </c>
      <c r="W2280" s="189" t="s">
        <v>168</v>
      </c>
      <c r="X2280" s="189" t="s">
        <v>381</v>
      </c>
      <c r="Y2280" s="189" t="s">
        <v>3069</v>
      </c>
      <c r="Z2280" s="0" t="n">
        <v>1</v>
      </c>
      <c r="AA2280" s="189" t="s">
        <v>3163</v>
      </c>
    </row>
    <row r="2281" customFormat="false" ht="15" hidden="false" customHeight="false" outlineLevel="0" collapsed="false">
      <c r="A2281" s="0" t="n">
        <v>487</v>
      </c>
      <c r="B2281" s="191" t="n">
        <v>46067.2181743748</v>
      </c>
      <c r="C2281" s="191" t="n">
        <v>46067.2334868748</v>
      </c>
      <c r="D2281" s="189" t="s">
        <v>2891</v>
      </c>
      <c r="E2281" s="189" t="s">
        <v>2892</v>
      </c>
      <c r="F2281" s="189" t="s">
        <v>2892</v>
      </c>
      <c r="G2281" s="189" t="s">
        <v>2893</v>
      </c>
      <c r="H2281" s="191" t="n">
        <v>46061</v>
      </c>
      <c r="I2281" s="189" t="s">
        <v>132</v>
      </c>
      <c r="J2281" s="189" t="s">
        <v>295</v>
      </c>
      <c r="K2281" s="189" t="s">
        <v>245</v>
      </c>
      <c r="L2281" s="189" t="s">
        <v>286</v>
      </c>
      <c r="M2281" s="189" t="s">
        <v>864</v>
      </c>
      <c r="N2281" s="189" t="s">
        <v>1028</v>
      </c>
      <c r="O2281" s="189" t="s">
        <v>713</v>
      </c>
      <c r="P2281" s="189" t="s">
        <v>111</v>
      </c>
      <c r="Q2281" s="189" t="s">
        <v>112</v>
      </c>
      <c r="R2281" s="189" t="s">
        <v>22</v>
      </c>
      <c r="S2281" s="189" t="s">
        <v>152</v>
      </c>
      <c r="T2281" s="189" t="s">
        <v>228</v>
      </c>
      <c r="U2281" s="189" t="s">
        <v>122</v>
      </c>
      <c r="V2281" s="189" t="s">
        <v>123</v>
      </c>
      <c r="W2281" s="189" t="s">
        <v>168</v>
      </c>
      <c r="X2281" s="189" t="s">
        <v>381</v>
      </c>
      <c r="Y2281" s="189" t="s">
        <v>3069</v>
      </c>
      <c r="Z2281" s="0" t="n">
        <v>2</v>
      </c>
      <c r="AA2281" s="189" t="s">
        <v>3181</v>
      </c>
    </row>
    <row r="2282" customFormat="false" ht="15" hidden="false" customHeight="false" outlineLevel="0" collapsed="false">
      <c r="A2282" s="0" t="n">
        <v>488</v>
      </c>
      <c r="B2282" s="191" t="n">
        <v>46110.1458905546</v>
      </c>
      <c r="C2282" s="191" t="n">
        <v>46110.1552076842</v>
      </c>
      <c r="D2282" s="189" t="s">
        <v>2895</v>
      </c>
      <c r="E2282" s="189" t="s">
        <v>2896</v>
      </c>
      <c r="F2282" s="189" t="s">
        <v>2897</v>
      </c>
      <c r="G2282" s="189" t="s">
        <v>2898</v>
      </c>
      <c r="H2282" s="191" t="n">
        <v>46106</v>
      </c>
      <c r="I2282" s="189" t="s">
        <v>113</v>
      </c>
      <c r="J2282" s="189" t="s">
        <v>108</v>
      </c>
      <c r="K2282" s="189" t="s">
        <v>143</v>
      </c>
      <c r="L2282" s="189" t="s">
        <v>268</v>
      </c>
      <c r="M2282" s="189" t="s">
        <v>1380</v>
      </c>
      <c r="N2282" s="189" t="s">
        <v>1156</v>
      </c>
      <c r="O2282" s="189" t="s">
        <v>107</v>
      </c>
      <c r="P2282" s="189" t="s">
        <v>111</v>
      </c>
      <c r="Q2282" s="189" t="s">
        <v>145</v>
      </c>
      <c r="R2282" s="189" t="s">
        <v>24</v>
      </c>
      <c r="S2282" s="189" t="s">
        <v>120</v>
      </c>
      <c r="T2282" s="189" t="s">
        <v>496</v>
      </c>
      <c r="U2282" s="189" t="s">
        <v>822</v>
      </c>
      <c r="V2282" s="189" t="s">
        <v>192</v>
      </c>
      <c r="W2282" s="189" t="s">
        <v>168</v>
      </c>
      <c r="X2282" s="189" t="s">
        <v>448</v>
      </c>
      <c r="Y2282" s="189" t="s">
        <v>3064</v>
      </c>
      <c r="Z2282" s="0" t="n">
        <v>1</v>
      </c>
      <c r="AA2282" s="189" t="s">
        <v>3175</v>
      </c>
    </row>
    <row r="2283" customFormat="false" ht="15" hidden="false" customHeight="false" outlineLevel="0" collapsed="false">
      <c r="A2283" s="0" t="n">
        <v>488</v>
      </c>
      <c r="B2283" s="191" t="n">
        <v>46110.1458905546</v>
      </c>
      <c r="C2283" s="191" t="n">
        <v>46110.1552076842</v>
      </c>
      <c r="D2283" s="189" t="s">
        <v>2895</v>
      </c>
      <c r="E2283" s="189" t="s">
        <v>2896</v>
      </c>
      <c r="F2283" s="189" t="s">
        <v>2897</v>
      </c>
      <c r="G2283" s="189" t="s">
        <v>2898</v>
      </c>
      <c r="H2283" s="191" t="n">
        <v>46106</v>
      </c>
      <c r="I2283" s="189" t="s">
        <v>113</v>
      </c>
      <c r="J2283" s="189" t="s">
        <v>108</v>
      </c>
      <c r="K2283" s="189" t="s">
        <v>143</v>
      </c>
      <c r="L2283" s="189" t="s">
        <v>268</v>
      </c>
      <c r="M2283" s="189" t="s">
        <v>1380</v>
      </c>
      <c r="N2283" s="189" t="s">
        <v>1156</v>
      </c>
      <c r="O2283" s="189" t="s">
        <v>107</v>
      </c>
      <c r="P2283" s="189" t="s">
        <v>111</v>
      </c>
      <c r="Q2283" s="189" t="s">
        <v>145</v>
      </c>
      <c r="R2283" s="189" t="s">
        <v>24</v>
      </c>
      <c r="S2283" s="189" t="s">
        <v>120</v>
      </c>
      <c r="T2283" s="189" t="s">
        <v>496</v>
      </c>
      <c r="U2283" s="189" t="s">
        <v>822</v>
      </c>
      <c r="V2283" s="189" t="s">
        <v>192</v>
      </c>
      <c r="W2283" s="189" t="s">
        <v>168</v>
      </c>
      <c r="X2283" s="189" t="s">
        <v>448</v>
      </c>
      <c r="Y2283" s="189" t="s">
        <v>3064</v>
      </c>
      <c r="Z2283" s="0" t="n">
        <v>2</v>
      </c>
      <c r="AA2283" s="189" t="s">
        <v>3173</v>
      </c>
    </row>
    <row r="2284" customFormat="false" ht="15" hidden="false" customHeight="false" outlineLevel="0" collapsed="false">
      <c r="A2284" s="0" t="n">
        <v>488</v>
      </c>
      <c r="B2284" s="191" t="n">
        <v>46110.1458905546</v>
      </c>
      <c r="C2284" s="191" t="n">
        <v>46110.1552076842</v>
      </c>
      <c r="D2284" s="189" t="s">
        <v>2895</v>
      </c>
      <c r="E2284" s="189" t="s">
        <v>2896</v>
      </c>
      <c r="F2284" s="189" t="s">
        <v>2897</v>
      </c>
      <c r="G2284" s="189" t="s">
        <v>2898</v>
      </c>
      <c r="H2284" s="191" t="n">
        <v>46106</v>
      </c>
      <c r="I2284" s="189" t="s">
        <v>113</v>
      </c>
      <c r="J2284" s="189" t="s">
        <v>108</v>
      </c>
      <c r="K2284" s="189" t="s">
        <v>143</v>
      </c>
      <c r="L2284" s="189" t="s">
        <v>268</v>
      </c>
      <c r="M2284" s="189" t="s">
        <v>1380</v>
      </c>
      <c r="N2284" s="189" t="s">
        <v>1156</v>
      </c>
      <c r="O2284" s="189" t="s">
        <v>107</v>
      </c>
      <c r="P2284" s="189" t="s">
        <v>111</v>
      </c>
      <c r="Q2284" s="189" t="s">
        <v>145</v>
      </c>
      <c r="R2284" s="189" t="s">
        <v>24</v>
      </c>
      <c r="S2284" s="189" t="s">
        <v>120</v>
      </c>
      <c r="T2284" s="189" t="s">
        <v>496</v>
      </c>
      <c r="U2284" s="189" t="s">
        <v>822</v>
      </c>
      <c r="V2284" s="189" t="s">
        <v>192</v>
      </c>
      <c r="W2284" s="189" t="s">
        <v>168</v>
      </c>
      <c r="X2284" s="189" t="s">
        <v>448</v>
      </c>
      <c r="Y2284" s="189" t="s">
        <v>3066</v>
      </c>
      <c r="Z2284" s="0" t="n">
        <v>1</v>
      </c>
      <c r="AA2284" s="189" t="s">
        <v>3177</v>
      </c>
    </row>
    <row r="2285" customFormat="false" ht="15" hidden="false" customHeight="false" outlineLevel="0" collapsed="false">
      <c r="A2285" s="0" t="n">
        <v>488</v>
      </c>
      <c r="B2285" s="191" t="n">
        <v>46110.1458905546</v>
      </c>
      <c r="C2285" s="191" t="n">
        <v>46110.1552076842</v>
      </c>
      <c r="D2285" s="189" t="s">
        <v>2895</v>
      </c>
      <c r="E2285" s="189" t="s">
        <v>2896</v>
      </c>
      <c r="F2285" s="189" t="s">
        <v>2897</v>
      </c>
      <c r="G2285" s="189" t="s">
        <v>2898</v>
      </c>
      <c r="H2285" s="191" t="n">
        <v>46106</v>
      </c>
      <c r="I2285" s="189" t="s">
        <v>113</v>
      </c>
      <c r="J2285" s="189" t="s">
        <v>108</v>
      </c>
      <c r="K2285" s="189" t="s">
        <v>143</v>
      </c>
      <c r="L2285" s="189" t="s">
        <v>268</v>
      </c>
      <c r="M2285" s="189" t="s">
        <v>1380</v>
      </c>
      <c r="N2285" s="189" t="s">
        <v>1156</v>
      </c>
      <c r="O2285" s="189" t="s">
        <v>107</v>
      </c>
      <c r="P2285" s="189" t="s">
        <v>111</v>
      </c>
      <c r="Q2285" s="189" t="s">
        <v>145</v>
      </c>
      <c r="R2285" s="189" t="s">
        <v>24</v>
      </c>
      <c r="S2285" s="189" t="s">
        <v>120</v>
      </c>
      <c r="T2285" s="189" t="s">
        <v>496</v>
      </c>
      <c r="U2285" s="189" t="s">
        <v>822</v>
      </c>
      <c r="V2285" s="189" t="s">
        <v>192</v>
      </c>
      <c r="W2285" s="189" t="s">
        <v>168</v>
      </c>
      <c r="X2285" s="189" t="s">
        <v>448</v>
      </c>
      <c r="Y2285" s="189" t="s">
        <v>3066</v>
      </c>
      <c r="Z2285" s="0" t="n">
        <v>2</v>
      </c>
      <c r="AA2285" s="189" t="s">
        <v>3276</v>
      </c>
    </row>
    <row r="2286" customFormat="false" ht="15" hidden="false" customHeight="false" outlineLevel="0" collapsed="false">
      <c r="A2286" s="0" t="n">
        <v>488</v>
      </c>
      <c r="B2286" s="191" t="n">
        <v>46110.1458905546</v>
      </c>
      <c r="C2286" s="191" t="n">
        <v>46110.1552076842</v>
      </c>
      <c r="D2286" s="189" t="s">
        <v>2895</v>
      </c>
      <c r="E2286" s="189" t="s">
        <v>2896</v>
      </c>
      <c r="F2286" s="189" t="s">
        <v>2897</v>
      </c>
      <c r="G2286" s="189" t="s">
        <v>2898</v>
      </c>
      <c r="H2286" s="191" t="n">
        <v>46106</v>
      </c>
      <c r="I2286" s="189" t="s">
        <v>113</v>
      </c>
      <c r="J2286" s="189" t="s">
        <v>108</v>
      </c>
      <c r="K2286" s="189" t="s">
        <v>143</v>
      </c>
      <c r="L2286" s="189" t="s">
        <v>268</v>
      </c>
      <c r="M2286" s="189" t="s">
        <v>1380</v>
      </c>
      <c r="N2286" s="189" t="s">
        <v>1156</v>
      </c>
      <c r="O2286" s="189" t="s">
        <v>107</v>
      </c>
      <c r="P2286" s="189" t="s">
        <v>111</v>
      </c>
      <c r="Q2286" s="189" t="s">
        <v>145</v>
      </c>
      <c r="R2286" s="189" t="s">
        <v>24</v>
      </c>
      <c r="S2286" s="189" t="s">
        <v>120</v>
      </c>
      <c r="T2286" s="189" t="s">
        <v>496</v>
      </c>
      <c r="U2286" s="189" t="s">
        <v>822</v>
      </c>
      <c r="V2286" s="189" t="s">
        <v>192</v>
      </c>
      <c r="W2286" s="189" t="s">
        <v>168</v>
      </c>
      <c r="X2286" s="189" t="s">
        <v>448</v>
      </c>
      <c r="Y2286" s="189" t="s">
        <v>3069</v>
      </c>
      <c r="Z2286" s="0" t="n">
        <v>1</v>
      </c>
      <c r="AA2286" s="189" t="s">
        <v>3179</v>
      </c>
    </row>
    <row r="2287" customFormat="false" ht="15" hidden="false" customHeight="false" outlineLevel="0" collapsed="false">
      <c r="A2287" s="0" t="n">
        <v>489</v>
      </c>
      <c r="B2287" s="191" t="n">
        <v>46160.374266639</v>
      </c>
      <c r="C2287" s="191" t="n">
        <v>46160.3938962687</v>
      </c>
      <c r="D2287" s="189" t="s">
        <v>2901</v>
      </c>
      <c r="E2287" s="189" t="s">
        <v>2902</v>
      </c>
      <c r="F2287" s="189" t="s">
        <v>2902</v>
      </c>
      <c r="G2287" s="189" t="s">
        <v>2903</v>
      </c>
      <c r="H2287" s="191" t="n">
        <v>46146</v>
      </c>
      <c r="I2287" s="189" t="s">
        <v>113</v>
      </c>
      <c r="J2287" s="189" t="s">
        <v>108</v>
      </c>
      <c r="K2287" s="189" t="s">
        <v>2777</v>
      </c>
      <c r="L2287" s="189" t="s">
        <v>296</v>
      </c>
      <c r="M2287" s="189" t="s">
        <v>337</v>
      </c>
      <c r="N2287" s="189" t="s">
        <v>414</v>
      </c>
      <c r="O2287" s="189" t="s">
        <v>2670</v>
      </c>
      <c r="P2287" s="189" t="s">
        <v>111</v>
      </c>
      <c r="Q2287" s="189" t="s">
        <v>112</v>
      </c>
      <c r="R2287" s="189" t="s">
        <v>21</v>
      </c>
      <c r="S2287" s="189" t="s">
        <v>120</v>
      </c>
      <c r="T2287" s="189" t="s">
        <v>496</v>
      </c>
      <c r="U2287" s="189" t="s">
        <v>1641</v>
      </c>
      <c r="V2287" s="189" t="s">
        <v>167</v>
      </c>
      <c r="W2287" s="189" t="s">
        <v>124</v>
      </c>
      <c r="X2287" s="189" t="s">
        <v>307</v>
      </c>
      <c r="Y2287" s="189" t="s">
        <v>3064</v>
      </c>
      <c r="Z2287" s="0" t="n">
        <v>1</v>
      </c>
      <c r="AA2287" s="189" t="s">
        <v>3129</v>
      </c>
    </row>
    <row r="2288" customFormat="false" ht="15" hidden="false" customHeight="false" outlineLevel="0" collapsed="false">
      <c r="A2288" s="0" t="n">
        <v>489</v>
      </c>
      <c r="B2288" s="191" t="n">
        <v>46160.374266639</v>
      </c>
      <c r="C2288" s="191" t="n">
        <v>46160.3938962687</v>
      </c>
      <c r="D2288" s="189" t="s">
        <v>2901</v>
      </c>
      <c r="E2288" s="189" t="s">
        <v>2902</v>
      </c>
      <c r="F2288" s="189" t="s">
        <v>2902</v>
      </c>
      <c r="G2288" s="189" t="s">
        <v>2903</v>
      </c>
      <c r="H2288" s="191" t="n">
        <v>46146</v>
      </c>
      <c r="I2288" s="189" t="s">
        <v>113</v>
      </c>
      <c r="J2288" s="189" t="s">
        <v>108</v>
      </c>
      <c r="K2288" s="189" t="s">
        <v>2777</v>
      </c>
      <c r="L2288" s="189" t="s">
        <v>296</v>
      </c>
      <c r="M2288" s="189" t="s">
        <v>337</v>
      </c>
      <c r="N2288" s="189" t="s">
        <v>414</v>
      </c>
      <c r="O2288" s="189" t="s">
        <v>2670</v>
      </c>
      <c r="P2288" s="189" t="s">
        <v>111</v>
      </c>
      <c r="Q2288" s="189" t="s">
        <v>112</v>
      </c>
      <c r="R2288" s="189" t="s">
        <v>21</v>
      </c>
      <c r="S2288" s="189" t="s">
        <v>120</v>
      </c>
      <c r="T2288" s="189" t="s">
        <v>496</v>
      </c>
      <c r="U2288" s="189" t="s">
        <v>1641</v>
      </c>
      <c r="V2288" s="189" t="s">
        <v>167</v>
      </c>
      <c r="W2288" s="189" t="s">
        <v>124</v>
      </c>
      <c r="X2288" s="189" t="s">
        <v>307</v>
      </c>
      <c r="Y2288" s="189" t="s">
        <v>3064</v>
      </c>
      <c r="Z2288" s="0" t="n">
        <v>2</v>
      </c>
      <c r="AA2288" s="189" t="s">
        <v>3131</v>
      </c>
    </row>
    <row r="2289" customFormat="false" ht="15" hidden="false" customHeight="false" outlineLevel="0" collapsed="false">
      <c r="A2289" s="0" t="n">
        <v>489</v>
      </c>
      <c r="B2289" s="191" t="n">
        <v>46160.374266639</v>
      </c>
      <c r="C2289" s="191" t="n">
        <v>46160.3938962687</v>
      </c>
      <c r="D2289" s="189" t="s">
        <v>2901</v>
      </c>
      <c r="E2289" s="189" t="s">
        <v>2902</v>
      </c>
      <c r="F2289" s="189" t="s">
        <v>2902</v>
      </c>
      <c r="G2289" s="189" t="s">
        <v>2903</v>
      </c>
      <c r="H2289" s="191" t="n">
        <v>46146</v>
      </c>
      <c r="I2289" s="189" t="s">
        <v>113</v>
      </c>
      <c r="J2289" s="189" t="s">
        <v>108</v>
      </c>
      <c r="K2289" s="189" t="s">
        <v>2777</v>
      </c>
      <c r="L2289" s="189" t="s">
        <v>296</v>
      </c>
      <c r="M2289" s="189" t="s">
        <v>337</v>
      </c>
      <c r="N2289" s="189" t="s">
        <v>414</v>
      </c>
      <c r="O2289" s="189" t="s">
        <v>2670</v>
      </c>
      <c r="P2289" s="189" t="s">
        <v>111</v>
      </c>
      <c r="Q2289" s="189" t="s">
        <v>112</v>
      </c>
      <c r="R2289" s="189" t="s">
        <v>21</v>
      </c>
      <c r="S2289" s="189" t="s">
        <v>120</v>
      </c>
      <c r="T2289" s="189" t="s">
        <v>496</v>
      </c>
      <c r="U2289" s="189" t="s">
        <v>1641</v>
      </c>
      <c r="V2289" s="189" t="s">
        <v>167</v>
      </c>
      <c r="W2289" s="189" t="s">
        <v>124</v>
      </c>
      <c r="X2289" s="189" t="s">
        <v>307</v>
      </c>
      <c r="Y2289" s="189" t="s">
        <v>3066</v>
      </c>
      <c r="Z2289" s="0" t="n">
        <v>1</v>
      </c>
      <c r="AA2289" s="189" t="s">
        <v>1174</v>
      </c>
    </row>
    <row r="2290" customFormat="false" ht="15" hidden="false" customHeight="false" outlineLevel="0" collapsed="false">
      <c r="A2290" s="0" t="n">
        <v>489</v>
      </c>
      <c r="B2290" s="191" t="n">
        <v>46160.374266639</v>
      </c>
      <c r="C2290" s="191" t="n">
        <v>46160.3938962687</v>
      </c>
      <c r="D2290" s="189" t="s">
        <v>2901</v>
      </c>
      <c r="E2290" s="189" t="s">
        <v>2902</v>
      </c>
      <c r="F2290" s="189" t="s">
        <v>2902</v>
      </c>
      <c r="G2290" s="189" t="s">
        <v>2903</v>
      </c>
      <c r="H2290" s="191" t="n">
        <v>46146</v>
      </c>
      <c r="I2290" s="189" t="s">
        <v>113</v>
      </c>
      <c r="J2290" s="189" t="s">
        <v>108</v>
      </c>
      <c r="K2290" s="189" t="s">
        <v>2777</v>
      </c>
      <c r="L2290" s="189" t="s">
        <v>296</v>
      </c>
      <c r="M2290" s="189" t="s">
        <v>337</v>
      </c>
      <c r="N2290" s="189" t="s">
        <v>414</v>
      </c>
      <c r="O2290" s="189" t="s">
        <v>2670</v>
      </c>
      <c r="P2290" s="189" t="s">
        <v>111</v>
      </c>
      <c r="Q2290" s="189" t="s">
        <v>112</v>
      </c>
      <c r="R2290" s="189" t="s">
        <v>21</v>
      </c>
      <c r="S2290" s="189" t="s">
        <v>120</v>
      </c>
      <c r="T2290" s="189" t="s">
        <v>496</v>
      </c>
      <c r="U2290" s="189" t="s">
        <v>1641</v>
      </c>
      <c r="V2290" s="189" t="s">
        <v>167</v>
      </c>
      <c r="W2290" s="189" t="s">
        <v>124</v>
      </c>
      <c r="X2290" s="189" t="s">
        <v>307</v>
      </c>
      <c r="Y2290" s="189" t="s">
        <v>3066</v>
      </c>
      <c r="Z2290" s="0" t="n">
        <v>2</v>
      </c>
      <c r="AA2290" s="189" t="s">
        <v>3182</v>
      </c>
    </row>
    <row r="2291" customFormat="false" ht="15" hidden="false" customHeight="false" outlineLevel="0" collapsed="false">
      <c r="A2291" s="0" t="n">
        <v>489</v>
      </c>
      <c r="B2291" s="191" t="n">
        <v>46160.374266639</v>
      </c>
      <c r="C2291" s="191" t="n">
        <v>46160.3938962687</v>
      </c>
      <c r="D2291" s="189" t="s">
        <v>2901</v>
      </c>
      <c r="E2291" s="189" t="s">
        <v>2902</v>
      </c>
      <c r="F2291" s="189" t="s">
        <v>2902</v>
      </c>
      <c r="G2291" s="189" t="s">
        <v>2903</v>
      </c>
      <c r="H2291" s="191" t="n">
        <v>46146</v>
      </c>
      <c r="I2291" s="189" t="s">
        <v>113</v>
      </c>
      <c r="J2291" s="189" t="s">
        <v>108</v>
      </c>
      <c r="K2291" s="189" t="s">
        <v>2777</v>
      </c>
      <c r="L2291" s="189" t="s">
        <v>296</v>
      </c>
      <c r="M2291" s="189" t="s">
        <v>337</v>
      </c>
      <c r="N2291" s="189" t="s">
        <v>414</v>
      </c>
      <c r="O2291" s="189" t="s">
        <v>2670</v>
      </c>
      <c r="P2291" s="189" t="s">
        <v>111</v>
      </c>
      <c r="Q2291" s="189" t="s">
        <v>112</v>
      </c>
      <c r="R2291" s="189" t="s">
        <v>21</v>
      </c>
      <c r="S2291" s="189" t="s">
        <v>120</v>
      </c>
      <c r="T2291" s="189" t="s">
        <v>496</v>
      </c>
      <c r="U2291" s="189" t="s">
        <v>1641</v>
      </c>
      <c r="V2291" s="189" t="s">
        <v>167</v>
      </c>
      <c r="W2291" s="189" t="s">
        <v>124</v>
      </c>
      <c r="X2291" s="189" t="s">
        <v>307</v>
      </c>
      <c r="Y2291" s="189" t="s">
        <v>3069</v>
      </c>
      <c r="Z2291" s="0" t="n">
        <v>1</v>
      </c>
      <c r="AA2291" s="189" t="s">
        <v>3134</v>
      </c>
    </row>
    <row r="2292" customFormat="false" ht="15" hidden="false" customHeight="false" outlineLevel="0" collapsed="false">
      <c r="A2292" s="0" t="n">
        <v>489</v>
      </c>
      <c r="B2292" s="191" t="n">
        <v>46160.374266639</v>
      </c>
      <c r="C2292" s="191" t="n">
        <v>46160.3938962687</v>
      </c>
      <c r="D2292" s="189" t="s">
        <v>2901</v>
      </c>
      <c r="E2292" s="189" t="s">
        <v>2902</v>
      </c>
      <c r="F2292" s="189" t="s">
        <v>2902</v>
      </c>
      <c r="G2292" s="189" t="s">
        <v>2903</v>
      </c>
      <c r="H2292" s="191" t="n">
        <v>46146</v>
      </c>
      <c r="I2292" s="189" t="s">
        <v>113</v>
      </c>
      <c r="J2292" s="189" t="s">
        <v>108</v>
      </c>
      <c r="K2292" s="189" t="s">
        <v>2777</v>
      </c>
      <c r="L2292" s="189" t="s">
        <v>296</v>
      </c>
      <c r="M2292" s="189" t="s">
        <v>337</v>
      </c>
      <c r="N2292" s="189" t="s">
        <v>414</v>
      </c>
      <c r="O2292" s="189" t="s">
        <v>2670</v>
      </c>
      <c r="P2292" s="189" t="s">
        <v>111</v>
      </c>
      <c r="Q2292" s="189" t="s">
        <v>112</v>
      </c>
      <c r="R2292" s="189" t="s">
        <v>21</v>
      </c>
      <c r="S2292" s="189" t="s">
        <v>120</v>
      </c>
      <c r="T2292" s="189" t="s">
        <v>496</v>
      </c>
      <c r="U2292" s="189" t="s">
        <v>1641</v>
      </c>
      <c r="V2292" s="189" t="s">
        <v>167</v>
      </c>
      <c r="W2292" s="189" t="s">
        <v>124</v>
      </c>
      <c r="X2292" s="189" t="s">
        <v>307</v>
      </c>
      <c r="Y2292" s="189" t="s">
        <v>3069</v>
      </c>
      <c r="Z2292" s="0" t="n">
        <v>2</v>
      </c>
      <c r="AA2292" s="189" t="s">
        <v>3133</v>
      </c>
    </row>
    <row r="2293" customFormat="false" ht="15" hidden="false" customHeight="false" outlineLevel="0" collapsed="false">
      <c r="A2293" s="0" t="n">
        <v>490</v>
      </c>
      <c r="B2293" s="191" t="n">
        <v>46067.9581217036</v>
      </c>
      <c r="C2293" s="191" t="n">
        <v>46067.9701587407</v>
      </c>
      <c r="D2293" s="189" t="s">
        <v>2906</v>
      </c>
      <c r="E2293" s="189" t="s">
        <v>2907</v>
      </c>
      <c r="F2293" s="189" t="s">
        <v>2907</v>
      </c>
      <c r="G2293" s="189" t="s">
        <v>2908</v>
      </c>
      <c r="H2293" s="191" t="n">
        <v>46054</v>
      </c>
      <c r="I2293" s="189" t="s">
        <v>325</v>
      </c>
      <c r="J2293" s="189" t="s">
        <v>108</v>
      </c>
      <c r="K2293" s="189" t="s">
        <v>245</v>
      </c>
      <c r="L2293" s="189" t="s">
        <v>246</v>
      </c>
      <c r="M2293" s="189" t="s">
        <v>337</v>
      </c>
      <c r="N2293" s="189" t="s">
        <v>544</v>
      </c>
      <c r="O2293" s="189" t="s">
        <v>107</v>
      </c>
      <c r="P2293" s="189" t="s">
        <v>111</v>
      </c>
      <c r="Q2293" s="189" t="s">
        <v>247</v>
      </c>
      <c r="R2293" s="189" t="s">
        <v>22</v>
      </c>
      <c r="S2293" s="189" t="s">
        <v>152</v>
      </c>
      <c r="T2293" s="189" t="s">
        <v>121</v>
      </c>
      <c r="V2293" s="189" t="s">
        <v>192</v>
      </c>
      <c r="W2293" s="189" t="s">
        <v>124</v>
      </c>
      <c r="X2293" s="189" t="s">
        <v>135</v>
      </c>
      <c r="Y2293" s="189" t="s">
        <v>3064</v>
      </c>
      <c r="Z2293" s="0" t="n">
        <v>1</v>
      </c>
      <c r="AA2293" s="189" t="s">
        <v>3201</v>
      </c>
    </row>
    <row r="2294" customFormat="false" ht="15" hidden="false" customHeight="false" outlineLevel="0" collapsed="false">
      <c r="A2294" s="0" t="n">
        <v>490</v>
      </c>
      <c r="B2294" s="191" t="n">
        <v>46067.9581217036</v>
      </c>
      <c r="C2294" s="191" t="n">
        <v>46067.9701587407</v>
      </c>
      <c r="D2294" s="189" t="s">
        <v>2906</v>
      </c>
      <c r="E2294" s="189" t="s">
        <v>2907</v>
      </c>
      <c r="F2294" s="189" t="s">
        <v>2907</v>
      </c>
      <c r="G2294" s="189" t="s">
        <v>2908</v>
      </c>
      <c r="H2294" s="191" t="n">
        <v>46054</v>
      </c>
      <c r="I2294" s="189" t="s">
        <v>325</v>
      </c>
      <c r="J2294" s="189" t="s">
        <v>108</v>
      </c>
      <c r="K2294" s="189" t="s">
        <v>245</v>
      </c>
      <c r="L2294" s="189" t="s">
        <v>246</v>
      </c>
      <c r="M2294" s="189" t="s">
        <v>337</v>
      </c>
      <c r="N2294" s="189" t="s">
        <v>544</v>
      </c>
      <c r="O2294" s="189" t="s">
        <v>107</v>
      </c>
      <c r="P2294" s="189" t="s">
        <v>111</v>
      </c>
      <c r="Q2294" s="189" t="s">
        <v>247</v>
      </c>
      <c r="R2294" s="189" t="s">
        <v>22</v>
      </c>
      <c r="S2294" s="189" t="s">
        <v>152</v>
      </c>
      <c r="T2294" s="189" t="s">
        <v>121</v>
      </c>
      <c r="V2294" s="189" t="s">
        <v>192</v>
      </c>
      <c r="W2294" s="189" t="s">
        <v>124</v>
      </c>
      <c r="X2294" s="189" t="s">
        <v>135</v>
      </c>
      <c r="Y2294" s="189" t="s">
        <v>3064</v>
      </c>
      <c r="Z2294" s="0" t="n">
        <v>2</v>
      </c>
      <c r="AA2294" s="189" t="s">
        <v>3071</v>
      </c>
    </row>
    <row r="2295" customFormat="false" ht="15" hidden="false" customHeight="false" outlineLevel="0" collapsed="false">
      <c r="A2295" s="0" t="n">
        <v>490</v>
      </c>
      <c r="B2295" s="191" t="n">
        <v>46067.9581217036</v>
      </c>
      <c r="C2295" s="191" t="n">
        <v>46067.9701587407</v>
      </c>
      <c r="D2295" s="189" t="s">
        <v>2906</v>
      </c>
      <c r="E2295" s="189" t="s">
        <v>2907</v>
      </c>
      <c r="F2295" s="189" t="s">
        <v>2907</v>
      </c>
      <c r="G2295" s="189" t="s">
        <v>2908</v>
      </c>
      <c r="H2295" s="191" t="n">
        <v>46054</v>
      </c>
      <c r="I2295" s="189" t="s">
        <v>325</v>
      </c>
      <c r="J2295" s="189" t="s">
        <v>108</v>
      </c>
      <c r="K2295" s="189" t="s">
        <v>245</v>
      </c>
      <c r="L2295" s="189" t="s">
        <v>246</v>
      </c>
      <c r="M2295" s="189" t="s">
        <v>337</v>
      </c>
      <c r="N2295" s="189" t="s">
        <v>544</v>
      </c>
      <c r="O2295" s="189" t="s">
        <v>107</v>
      </c>
      <c r="P2295" s="189" t="s">
        <v>111</v>
      </c>
      <c r="Q2295" s="189" t="s">
        <v>247</v>
      </c>
      <c r="R2295" s="189" t="s">
        <v>22</v>
      </c>
      <c r="S2295" s="189" t="s">
        <v>152</v>
      </c>
      <c r="T2295" s="189" t="s">
        <v>121</v>
      </c>
      <c r="V2295" s="189" t="s">
        <v>192</v>
      </c>
      <c r="W2295" s="189" t="s">
        <v>124</v>
      </c>
      <c r="X2295" s="189" t="s">
        <v>135</v>
      </c>
      <c r="Y2295" s="189" t="s">
        <v>3066</v>
      </c>
      <c r="Z2295" s="0" t="n">
        <v>1</v>
      </c>
      <c r="AA2295" s="189" t="s">
        <v>3074</v>
      </c>
    </row>
    <row r="2296" customFormat="false" ht="15" hidden="false" customHeight="false" outlineLevel="0" collapsed="false">
      <c r="A2296" s="0" t="n">
        <v>490</v>
      </c>
      <c r="B2296" s="191" t="n">
        <v>46067.9581217036</v>
      </c>
      <c r="C2296" s="191" t="n">
        <v>46067.9701587407</v>
      </c>
      <c r="D2296" s="189" t="s">
        <v>2906</v>
      </c>
      <c r="E2296" s="189" t="s">
        <v>2907</v>
      </c>
      <c r="F2296" s="189" t="s">
        <v>2907</v>
      </c>
      <c r="G2296" s="189" t="s">
        <v>2908</v>
      </c>
      <c r="H2296" s="191" t="n">
        <v>46054</v>
      </c>
      <c r="I2296" s="189" t="s">
        <v>325</v>
      </c>
      <c r="J2296" s="189" t="s">
        <v>108</v>
      </c>
      <c r="K2296" s="189" t="s">
        <v>245</v>
      </c>
      <c r="L2296" s="189" t="s">
        <v>246</v>
      </c>
      <c r="M2296" s="189" t="s">
        <v>337</v>
      </c>
      <c r="N2296" s="189" t="s">
        <v>544</v>
      </c>
      <c r="O2296" s="189" t="s">
        <v>107</v>
      </c>
      <c r="P2296" s="189" t="s">
        <v>111</v>
      </c>
      <c r="Q2296" s="189" t="s">
        <v>247</v>
      </c>
      <c r="R2296" s="189" t="s">
        <v>22</v>
      </c>
      <c r="S2296" s="189" t="s">
        <v>152</v>
      </c>
      <c r="T2296" s="189" t="s">
        <v>121</v>
      </c>
      <c r="V2296" s="189" t="s">
        <v>192</v>
      </c>
      <c r="W2296" s="189" t="s">
        <v>124</v>
      </c>
      <c r="X2296" s="189" t="s">
        <v>135</v>
      </c>
      <c r="Y2296" s="189" t="s">
        <v>3066</v>
      </c>
      <c r="Z2296" s="0" t="n">
        <v>2</v>
      </c>
      <c r="AA2296" s="189" t="s">
        <v>3184</v>
      </c>
    </row>
    <row r="2297" customFormat="false" ht="15" hidden="false" customHeight="false" outlineLevel="0" collapsed="false">
      <c r="A2297" s="0" t="n">
        <v>490</v>
      </c>
      <c r="B2297" s="191" t="n">
        <v>46067.9581217036</v>
      </c>
      <c r="C2297" s="191" t="n">
        <v>46067.9701587407</v>
      </c>
      <c r="D2297" s="189" t="s">
        <v>2906</v>
      </c>
      <c r="E2297" s="189" t="s">
        <v>2907</v>
      </c>
      <c r="F2297" s="189" t="s">
        <v>2907</v>
      </c>
      <c r="G2297" s="189" t="s">
        <v>2908</v>
      </c>
      <c r="H2297" s="191" t="n">
        <v>46054</v>
      </c>
      <c r="I2297" s="189" t="s">
        <v>325</v>
      </c>
      <c r="J2297" s="189" t="s">
        <v>108</v>
      </c>
      <c r="K2297" s="189" t="s">
        <v>245</v>
      </c>
      <c r="L2297" s="189" t="s">
        <v>246</v>
      </c>
      <c r="M2297" s="189" t="s">
        <v>337</v>
      </c>
      <c r="N2297" s="189" t="s">
        <v>544</v>
      </c>
      <c r="O2297" s="189" t="s">
        <v>107</v>
      </c>
      <c r="P2297" s="189" t="s">
        <v>111</v>
      </c>
      <c r="Q2297" s="189" t="s">
        <v>247</v>
      </c>
      <c r="R2297" s="189" t="s">
        <v>22</v>
      </c>
      <c r="S2297" s="189" t="s">
        <v>152</v>
      </c>
      <c r="T2297" s="189" t="s">
        <v>121</v>
      </c>
      <c r="V2297" s="189" t="s">
        <v>192</v>
      </c>
      <c r="W2297" s="189" t="s">
        <v>124</v>
      </c>
      <c r="X2297" s="189" t="s">
        <v>135</v>
      </c>
      <c r="Y2297" s="189" t="s">
        <v>3069</v>
      </c>
      <c r="Z2297" s="0" t="n">
        <v>1</v>
      </c>
      <c r="AA2297" s="189" t="s">
        <v>122</v>
      </c>
    </row>
    <row r="2298" customFormat="false" ht="15" hidden="false" customHeight="false" outlineLevel="0" collapsed="false">
      <c r="A2298" s="0" t="n">
        <v>491</v>
      </c>
      <c r="B2298" s="191" t="n">
        <v>46207.539081692</v>
      </c>
      <c r="C2298" s="191" t="n">
        <v>46207.5435377105</v>
      </c>
      <c r="D2298" s="189" t="s">
        <v>2911</v>
      </c>
      <c r="E2298" s="189" t="s">
        <v>2912</v>
      </c>
      <c r="F2298" s="189" t="s">
        <v>2912</v>
      </c>
      <c r="G2298" s="189" t="s">
        <v>2913</v>
      </c>
      <c r="H2298" s="191" t="n">
        <v>46202</v>
      </c>
      <c r="I2298" s="189" t="s">
        <v>325</v>
      </c>
      <c r="J2298" s="189" t="s">
        <v>295</v>
      </c>
      <c r="K2298" s="189" t="s">
        <v>245</v>
      </c>
      <c r="L2298" s="189" t="s">
        <v>286</v>
      </c>
      <c r="M2298" s="189" t="s">
        <v>652</v>
      </c>
      <c r="N2298" s="189" t="s">
        <v>175</v>
      </c>
      <c r="O2298" s="189" t="s">
        <v>244</v>
      </c>
      <c r="P2298" s="189" t="s">
        <v>111</v>
      </c>
      <c r="Q2298" s="189" t="s">
        <v>112</v>
      </c>
      <c r="R2298" s="189" t="s">
        <v>25</v>
      </c>
      <c r="S2298" s="189" t="s">
        <v>152</v>
      </c>
      <c r="T2298" s="189" t="s">
        <v>352</v>
      </c>
      <c r="U2298" s="189" t="s">
        <v>2039</v>
      </c>
      <c r="V2298" s="189" t="s">
        <v>167</v>
      </c>
      <c r="W2298" s="189" t="s">
        <v>124</v>
      </c>
      <c r="X2298" s="189" t="s">
        <v>1712</v>
      </c>
      <c r="Y2298" s="189" t="s">
        <v>3064</v>
      </c>
      <c r="Z2298" s="0" t="n">
        <v>1</v>
      </c>
      <c r="AA2298" s="189" t="s">
        <v>3303</v>
      </c>
    </row>
    <row r="2299" customFormat="false" ht="15" hidden="false" customHeight="false" outlineLevel="0" collapsed="false">
      <c r="A2299" s="0" t="n">
        <v>491</v>
      </c>
      <c r="B2299" s="191" t="n">
        <v>46207.539081692</v>
      </c>
      <c r="C2299" s="191" t="n">
        <v>46207.5435377105</v>
      </c>
      <c r="D2299" s="189" t="s">
        <v>2911</v>
      </c>
      <c r="E2299" s="189" t="s">
        <v>2912</v>
      </c>
      <c r="F2299" s="189" t="s">
        <v>2912</v>
      </c>
      <c r="G2299" s="189" t="s">
        <v>2913</v>
      </c>
      <c r="H2299" s="191" t="n">
        <v>46202</v>
      </c>
      <c r="I2299" s="189" t="s">
        <v>325</v>
      </c>
      <c r="J2299" s="189" t="s">
        <v>295</v>
      </c>
      <c r="K2299" s="189" t="s">
        <v>245</v>
      </c>
      <c r="L2299" s="189" t="s">
        <v>286</v>
      </c>
      <c r="M2299" s="189" t="s">
        <v>652</v>
      </c>
      <c r="N2299" s="189" t="s">
        <v>175</v>
      </c>
      <c r="O2299" s="189" t="s">
        <v>244</v>
      </c>
      <c r="P2299" s="189" t="s">
        <v>111</v>
      </c>
      <c r="Q2299" s="189" t="s">
        <v>112</v>
      </c>
      <c r="R2299" s="189" t="s">
        <v>25</v>
      </c>
      <c r="S2299" s="189" t="s">
        <v>152</v>
      </c>
      <c r="T2299" s="189" t="s">
        <v>352</v>
      </c>
      <c r="U2299" s="189" t="s">
        <v>2039</v>
      </c>
      <c r="V2299" s="189" t="s">
        <v>167</v>
      </c>
      <c r="W2299" s="189" t="s">
        <v>124</v>
      </c>
      <c r="X2299" s="189" t="s">
        <v>1712</v>
      </c>
      <c r="Y2299" s="189" t="s">
        <v>3064</v>
      </c>
      <c r="Z2299" s="0" t="n">
        <v>2</v>
      </c>
      <c r="AA2299" s="189" t="s">
        <v>3304</v>
      </c>
    </row>
    <row r="2300" customFormat="false" ht="15" hidden="false" customHeight="false" outlineLevel="0" collapsed="false">
      <c r="A2300" s="0" t="n">
        <v>491</v>
      </c>
      <c r="B2300" s="191" t="n">
        <v>46207.539081692</v>
      </c>
      <c r="C2300" s="191" t="n">
        <v>46207.5435377105</v>
      </c>
      <c r="D2300" s="189" t="s">
        <v>2911</v>
      </c>
      <c r="E2300" s="189" t="s">
        <v>2912</v>
      </c>
      <c r="F2300" s="189" t="s">
        <v>2912</v>
      </c>
      <c r="G2300" s="189" t="s">
        <v>2913</v>
      </c>
      <c r="H2300" s="191" t="n">
        <v>46202</v>
      </c>
      <c r="I2300" s="189" t="s">
        <v>325</v>
      </c>
      <c r="J2300" s="189" t="s">
        <v>295</v>
      </c>
      <c r="K2300" s="189" t="s">
        <v>245</v>
      </c>
      <c r="L2300" s="189" t="s">
        <v>286</v>
      </c>
      <c r="M2300" s="189" t="s">
        <v>652</v>
      </c>
      <c r="N2300" s="189" t="s">
        <v>175</v>
      </c>
      <c r="O2300" s="189" t="s">
        <v>244</v>
      </c>
      <c r="P2300" s="189" t="s">
        <v>111</v>
      </c>
      <c r="Q2300" s="189" t="s">
        <v>112</v>
      </c>
      <c r="R2300" s="189" t="s">
        <v>25</v>
      </c>
      <c r="S2300" s="189" t="s">
        <v>152</v>
      </c>
      <c r="T2300" s="189" t="s">
        <v>352</v>
      </c>
      <c r="U2300" s="189" t="s">
        <v>2039</v>
      </c>
      <c r="V2300" s="189" t="s">
        <v>167</v>
      </c>
      <c r="W2300" s="189" t="s">
        <v>124</v>
      </c>
      <c r="X2300" s="189" t="s">
        <v>1712</v>
      </c>
      <c r="Y2300" s="189" t="s">
        <v>3064</v>
      </c>
      <c r="Z2300" s="0" t="n">
        <v>3</v>
      </c>
      <c r="AA2300" s="189" t="s">
        <v>3305</v>
      </c>
    </row>
    <row r="2301" customFormat="false" ht="15" hidden="false" customHeight="false" outlineLevel="0" collapsed="false">
      <c r="A2301" s="0" t="n">
        <v>491</v>
      </c>
      <c r="B2301" s="191" t="n">
        <v>46207.539081692</v>
      </c>
      <c r="C2301" s="191" t="n">
        <v>46207.5435377105</v>
      </c>
      <c r="D2301" s="189" t="s">
        <v>2911</v>
      </c>
      <c r="E2301" s="189" t="s">
        <v>2912</v>
      </c>
      <c r="F2301" s="189" t="s">
        <v>2912</v>
      </c>
      <c r="G2301" s="189" t="s">
        <v>2913</v>
      </c>
      <c r="H2301" s="191" t="n">
        <v>46202</v>
      </c>
      <c r="I2301" s="189" t="s">
        <v>325</v>
      </c>
      <c r="J2301" s="189" t="s">
        <v>295</v>
      </c>
      <c r="K2301" s="189" t="s">
        <v>245</v>
      </c>
      <c r="L2301" s="189" t="s">
        <v>286</v>
      </c>
      <c r="M2301" s="189" t="s">
        <v>652</v>
      </c>
      <c r="N2301" s="189" t="s">
        <v>175</v>
      </c>
      <c r="O2301" s="189" t="s">
        <v>244</v>
      </c>
      <c r="P2301" s="189" t="s">
        <v>111</v>
      </c>
      <c r="Q2301" s="189" t="s">
        <v>112</v>
      </c>
      <c r="R2301" s="189" t="s">
        <v>25</v>
      </c>
      <c r="S2301" s="189" t="s">
        <v>152</v>
      </c>
      <c r="T2301" s="189" t="s">
        <v>352</v>
      </c>
      <c r="U2301" s="189" t="s">
        <v>2039</v>
      </c>
      <c r="V2301" s="189" t="s">
        <v>167</v>
      </c>
      <c r="W2301" s="189" t="s">
        <v>124</v>
      </c>
      <c r="X2301" s="189" t="s">
        <v>1712</v>
      </c>
      <c r="Y2301" s="189" t="s">
        <v>3066</v>
      </c>
      <c r="Z2301" s="0" t="n">
        <v>1</v>
      </c>
      <c r="AA2301" s="189" t="s">
        <v>3307</v>
      </c>
    </row>
    <row r="2302" customFormat="false" ht="15" hidden="false" customHeight="false" outlineLevel="0" collapsed="false">
      <c r="A2302" s="0" t="n">
        <v>491</v>
      </c>
      <c r="B2302" s="191" t="n">
        <v>46207.539081692</v>
      </c>
      <c r="C2302" s="191" t="n">
        <v>46207.5435377105</v>
      </c>
      <c r="D2302" s="189" t="s">
        <v>2911</v>
      </c>
      <c r="E2302" s="189" t="s">
        <v>2912</v>
      </c>
      <c r="F2302" s="189" t="s">
        <v>2912</v>
      </c>
      <c r="G2302" s="189" t="s">
        <v>2913</v>
      </c>
      <c r="H2302" s="191" t="n">
        <v>46202</v>
      </c>
      <c r="I2302" s="189" t="s">
        <v>325</v>
      </c>
      <c r="J2302" s="189" t="s">
        <v>295</v>
      </c>
      <c r="K2302" s="189" t="s">
        <v>245</v>
      </c>
      <c r="L2302" s="189" t="s">
        <v>286</v>
      </c>
      <c r="M2302" s="189" t="s">
        <v>652</v>
      </c>
      <c r="N2302" s="189" t="s">
        <v>175</v>
      </c>
      <c r="O2302" s="189" t="s">
        <v>244</v>
      </c>
      <c r="P2302" s="189" t="s">
        <v>111</v>
      </c>
      <c r="Q2302" s="189" t="s">
        <v>112</v>
      </c>
      <c r="R2302" s="189" t="s">
        <v>25</v>
      </c>
      <c r="S2302" s="189" t="s">
        <v>152</v>
      </c>
      <c r="T2302" s="189" t="s">
        <v>352</v>
      </c>
      <c r="U2302" s="189" t="s">
        <v>2039</v>
      </c>
      <c r="V2302" s="189" t="s">
        <v>167</v>
      </c>
      <c r="W2302" s="189" t="s">
        <v>124</v>
      </c>
      <c r="X2302" s="189" t="s">
        <v>1712</v>
      </c>
      <c r="Y2302" s="189" t="s">
        <v>3069</v>
      </c>
      <c r="Z2302" s="0" t="n">
        <v>1</v>
      </c>
      <c r="AA2302" s="189" t="s">
        <v>3308</v>
      </c>
    </row>
    <row r="2303" customFormat="false" ht="15" hidden="false" customHeight="false" outlineLevel="0" collapsed="false">
      <c r="A2303" s="0" t="n">
        <v>492</v>
      </c>
      <c r="B2303" s="191" t="n">
        <v>46182.602102377</v>
      </c>
      <c r="C2303" s="191" t="n">
        <v>46182.6219634881</v>
      </c>
      <c r="D2303" s="189" t="s">
        <v>2914</v>
      </c>
      <c r="E2303" s="189" t="s">
        <v>2915</v>
      </c>
      <c r="F2303" s="189" t="s">
        <v>2915</v>
      </c>
      <c r="G2303" s="189" t="s">
        <v>2916</v>
      </c>
      <c r="H2303" s="191" t="n">
        <v>46179</v>
      </c>
      <c r="I2303" s="189" t="s">
        <v>113</v>
      </c>
      <c r="J2303" s="189" t="s">
        <v>108</v>
      </c>
      <c r="K2303" s="189" t="s">
        <v>257</v>
      </c>
      <c r="L2303" s="189" t="s">
        <v>110</v>
      </c>
      <c r="M2303" s="189" t="s">
        <v>774</v>
      </c>
      <c r="N2303" s="189" t="s">
        <v>389</v>
      </c>
      <c r="O2303" s="189" t="s">
        <v>172</v>
      </c>
      <c r="P2303" s="189" t="s">
        <v>111</v>
      </c>
      <c r="Q2303" s="189" t="s">
        <v>112</v>
      </c>
      <c r="R2303" s="189" t="s">
        <v>21</v>
      </c>
      <c r="S2303" s="189" t="s">
        <v>152</v>
      </c>
      <c r="T2303" s="189" t="s">
        <v>228</v>
      </c>
      <c r="U2303" s="189" t="s">
        <v>1229</v>
      </c>
      <c r="V2303" s="189" t="s">
        <v>123</v>
      </c>
      <c r="W2303" s="189" t="s">
        <v>124</v>
      </c>
      <c r="X2303" s="189" t="s">
        <v>457</v>
      </c>
      <c r="Y2303" s="189" t="s">
        <v>3064</v>
      </c>
      <c r="Z2303" s="0" t="n">
        <v>1</v>
      </c>
      <c r="AA2303" s="189" t="s">
        <v>3081</v>
      </c>
    </row>
    <row r="2304" customFormat="false" ht="15" hidden="false" customHeight="false" outlineLevel="0" collapsed="false">
      <c r="A2304" s="0" t="n">
        <v>492</v>
      </c>
      <c r="B2304" s="191" t="n">
        <v>46182.602102377</v>
      </c>
      <c r="C2304" s="191" t="n">
        <v>46182.6219634881</v>
      </c>
      <c r="D2304" s="189" t="s">
        <v>2914</v>
      </c>
      <c r="E2304" s="189" t="s">
        <v>2915</v>
      </c>
      <c r="F2304" s="189" t="s">
        <v>2915</v>
      </c>
      <c r="G2304" s="189" t="s">
        <v>2916</v>
      </c>
      <c r="H2304" s="191" t="n">
        <v>46179</v>
      </c>
      <c r="I2304" s="189" t="s">
        <v>113</v>
      </c>
      <c r="J2304" s="189" t="s">
        <v>108</v>
      </c>
      <c r="K2304" s="189" t="s">
        <v>257</v>
      </c>
      <c r="L2304" s="189" t="s">
        <v>110</v>
      </c>
      <c r="M2304" s="189" t="s">
        <v>774</v>
      </c>
      <c r="N2304" s="189" t="s">
        <v>389</v>
      </c>
      <c r="O2304" s="189" t="s">
        <v>172</v>
      </c>
      <c r="P2304" s="189" t="s">
        <v>111</v>
      </c>
      <c r="Q2304" s="189" t="s">
        <v>112</v>
      </c>
      <c r="R2304" s="189" t="s">
        <v>21</v>
      </c>
      <c r="S2304" s="189" t="s">
        <v>152</v>
      </c>
      <c r="T2304" s="189" t="s">
        <v>228</v>
      </c>
      <c r="U2304" s="189" t="s">
        <v>1229</v>
      </c>
      <c r="V2304" s="189" t="s">
        <v>123</v>
      </c>
      <c r="W2304" s="189" t="s">
        <v>124</v>
      </c>
      <c r="X2304" s="189" t="s">
        <v>457</v>
      </c>
      <c r="Y2304" s="189" t="s">
        <v>3066</v>
      </c>
      <c r="Z2304" s="0" t="n">
        <v>1</v>
      </c>
      <c r="AA2304" s="189" t="s">
        <v>3067</v>
      </c>
    </row>
    <row r="2305" customFormat="false" ht="15" hidden="false" customHeight="false" outlineLevel="0" collapsed="false">
      <c r="A2305" s="0" t="n">
        <v>492</v>
      </c>
      <c r="B2305" s="191" t="n">
        <v>46182.602102377</v>
      </c>
      <c r="C2305" s="191" t="n">
        <v>46182.6219634881</v>
      </c>
      <c r="D2305" s="189" t="s">
        <v>2914</v>
      </c>
      <c r="E2305" s="189" t="s">
        <v>2915</v>
      </c>
      <c r="F2305" s="189" t="s">
        <v>2915</v>
      </c>
      <c r="G2305" s="189" t="s">
        <v>2916</v>
      </c>
      <c r="H2305" s="191" t="n">
        <v>46179</v>
      </c>
      <c r="I2305" s="189" t="s">
        <v>113</v>
      </c>
      <c r="J2305" s="189" t="s">
        <v>108</v>
      </c>
      <c r="K2305" s="189" t="s">
        <v>257</v>
      </c>
      <c r="L2305" s="189" t="s">
        <v>110</v>
      </c>
      <c r="M2305" s="189" t="s">
        <v>774</v>
      </c>
      <c r="N2305" s="189" t="s">
        <v>389</v>
      </c>
      <c r="O2305" s="189" t="s">
        <v>172</v>
      </c>
      <c r="P2305" s="189" t="s">
        <v>111</v>
      </c>
      <c r="Q2305" s="189" t="s">
        <v>112</v>
      </c>
      <c r="R2305" s="189" t="s">
        <v>21</v>
      </c>
      <c r="S2305" s="189" t="s">
        <v>152</v>
      </c>
      <c r="T2305" s="189" t="s">
        <v>228</v>
      </c>
      <c r="U2305" s="189" t="s">
        <v>1229</v>
      </c>
      <c r="V2305" s="189" t="s">
        <v>123</v>
      </c>
      <c r="W2305" s="189" t="s">
        <v>124</v>
      </c>
      <c r="X2305" s="189" t="s">
        <v>457</v>
      </c>
      <c r="Y2305" s="189" t="s">
        <v>3069</v>
      </c>
      <c r="Z2305" s="0" t="n">
        <v>1</v>
      </c>
      <c r="AA2305" s="189" t="s">
        <v>3070</v>
      </c>
    </row>
    <row r="2306" customFormat="false" ht="15" hidden="false" customHeight="false" outlineLevel="0" collapsed="false">
      <c r="A2306" s="0" t="n">
        <v>492</v>
      </c>
      <c r="B2306" s="191" t="n">
        <v>46182.602102377</v>
      </c>
      <c r="C2306" s="191" t="n">
        <v>46182.6219634881</v>
      </c>
      <c r="D2306" s="189" t="s">
        <v>2914</v>
      </c>
      <c r="E2306" s="189" t="s">
        <v>2915</v>
      </c>
      <c r="F2306" s="189" t="s">
        <v>2915</v>
      </c>
      <c r="G2306" s="189" t="s">
        <v>2916</v>
      </c>
      <c r="H2306" s="191" t="n">
        <v>46179</v>
      </c>
      <c r="I2306" s="189" t="s">
        <v>113</v>
      </c>
      <c r="J2306" s="189" t="s">
        <v>108</v>
      </c>
      <c r="K2306" s="189" t="s">
        <v>257</v>
      </c>
      <c r="L2306" s="189" t="s">
        <v>110</v>
      </c>
      <c r="M2306" s="189" t="s">
        <v>774</v>
      </c>
      <c r="N2306" s="189" t="s">
        <v>389</v>
      </c>
      <c r="O2306" s="189" t="s">
        <v>172</v>
      </c>
      <c r="P2306" s="189" t="s">
        <v>111</v>
      </c>
      <c r="Q2306" s="189" t="s">
        <v>112</v>
      </c>
      <c r="R2306" s="189" t="s">
        <v>21</v>
      </c>
      <c r="S2306" s="189" t="s">
        <v>152</v>
      </c>
      <c r="T2306" s="189" t="s">
        <v>228</v>
      </c>
      <c r="U2306" s="189" t="s">
        <v>1229</v>
      </c>
      <c r="V2306" s="189" t="s">
        <v>123</v>
      </c>
      <c r="W2306" s="189" t="s">
        <v>124</v>
      </c>
      <c r="X2306" s="189" t="s">
        <v>457</v>
      </c>
      <c r="Y2306" s="189" t="s">
        <v>3069</v>
      </c>
      <c r="Z2306" s="0" t="n">
        <v>2</v>
      </c>
      <c r="AA2306" s="189" t="s">
        <v>3140</v>
      </c>
    </row>
    <row r="2307" customFormat="false" ht="15" hidden="false" customHeight="false" outlineLevel="0" collapsed="false">
      <c r="A2307" s="0" t="n">
        <v>493</v>
      </c>
      <c r="B2307" s="191" t="n">
        <v>46109.6697559351</v>
      </c>
      <c r="C2307" s="191" t="n">
        <v>46109.6903809351</v>
      </c>
      <c r="D2307" s="189" t="s">
        <v>2917</v>
      </c>
      <c r="E2307" s="189" t="s">
        <v>2918</v>
      </c>
      <c r="F2307" s="189" t="s">
        <v>2918</v>
      </c>
      <c r="G2307" s="189" t="s">
        <v>2919</v>
      </c>
      <c r="H2307" s="191" t="n">
        <v>46103</v>
      </c>
      <c r="I2307" s="189" t="s">
        <v>325</v>
      </c>
      <c r="J2307" s="189" t="s">
        <v>108</v>
      </c>
      <c r="K2307" s="189" t="s">
        <v>462</v>
      </c>
      <c r="L2307" s="189" t="s">
        <v>184</v>
      </c>
      <c r="M2307" s="189" t="s">
        <v>757</v>
      </c>
      <c r="N2307" s="189" t="s">
        <v>552</v>
      </c>
      <c r="O2307" s="189" t="s">
        <v>244</v>
      </c>
      <c r="P2307" s="189" t="s">
        <v>131</v>
      </c>
      <c r="Q2307" s="189" t="s">
        <v>247</v>
      </c>
      <c r="R2307" s="189" t="s">
        <v>22</v>
      </c>
      <c r="S2307" s="189" t="s">
        <v>152</v>
      </c>
      <c r="T2307" s="189" t="s">
        <v>121</v>
      </c>
      <c r="U2307" s="189" t="s">
        <v>1361</v>
      </c>
      <c r="V2307" s="189" t="s">
        <v>192</v>
      </c>
      <c r="W2307" s="189" t="s">
        <v>124</v>
      </c>
      <c r="X2307" s="189" t="s">
        <v>271</v>
      </c>
      <c r="Y2307" s="189" t="s">
        <v>3064</v>
      </c>
      <c r="Z2307" s="0" t="n">
        <v>1</v>
      </c>
      <c r="AA2307" s="189" t="s">
        <v>3136</v>
      </c>
    </row>
    <row r="2308" customFormat="false" ht="15" hidden="false" customHeight="false" outlineLevel="0" collapsed="false">
      <c r="A2308" s="0" t="n">
        <v>493</v>
      </c>
      <c r="B2308" s="191" t="n">
        <v>46109.6697559351</v>
      </c>
      <c r="C2308" s="191" t="n">
        <v>46109.6903809351</v>
      </c>
      <c r="D2308" s="189" t="s">
        <v>2917</v>
      </c>
      <c r="E2308" s="189" t="s">
        <v>2918</v>
      </c>
      <c r="F2308" s="189" t="s">
        <v>2918</v>
      </c>
      <c r="G2308" s="189" t="s">
        <v>2919</v>
      </c>
      <c r="H2308" s="191" t="n">
        <v>46103</v>
      </c>
      <c r="I2308" s="189" t="s">
        <v>325</v>
      </c>
      <c r="J2308" s="189" t="s">
        <v>108</v>
      </c>
      <c r="K2308" s="189" t="s">
        <v>462</v>
      </c>
      <c r="L2308" s="189" t="s">
        <v>184</v>
      </c>
      <c r="M2308" s="189" t="s">
        <v>757</v>
      </c>
      <c r="N2308" s="189" t="s">
        <v>552</v>
      </c>
      <c r="O2308" s="189" t="s">
        <v>244</v>
      </c>
      <c r="P2308" s="189" t="s">
        <v>131</v>
      </c>
      <c r="Q2308" s="189" t="s">
        <v>247</v>
      </c>
      <c r="R2308" s="189" t="s">
        <v>22</v>
      </c>
      <c r="S2308" s="189" t="s">
        <v>152</v>
      </c>
      <c r="T2308" s="189" t="s">
        <v>121</v>
      </c>
      <c r="U2308" s="189" t="s">
        <v>1361</v>
      </c>
      <c r="V2308" s="189" t="s">
        <v>192</v>
      </c>
      <c r="W2308" s="189" t="s">
        <v>124</v>
      </c>
      <c r="X2308" s="189" t="s">
        <v>271</v>
      </c>
      <c r="Y2308" s="189" t="s">
        <v>3064</v>
      </c>
      <c r="Z2308" s="0" t="n">
        <v>2</v>
      </c>
      <c r="AA2308" s="189" t="s">
        <v>3230</v>
      </c>
    </row>
    <row r="2309" customFormat="false" ht="15" hidden="false" customHeight="false" outlineLevel="0" collapsed="false">
      <c r="A2309" s="0" t="n">
        <v>493</v>
      </c>
      <c r="B2309" s="191" t="n">
        <v>46109.6697559351</v>
      </c>
      <c r="C2309" s="191" t="n">
        <v>46109.6903809351</v>
      </c>
      <c r="D2309" s="189" t="s">
        <v>2917</v>
      </c>
      <c r="E2309" s="189" t="s">
        <v>2918</v>
      </c>
      <c r="F2309" s="189" t="s">
        <v>2918</v>
      </c>
      <c r="G2309" s="189" t="s">
        <v>2919</v>
      </c>
      <c r="H2309" s="191" t="n">
        <v>46103</v>
      </c>
      <c r="I2309" s="189" t="s">
        <v>325</v>
      </c>
      <c r="J2309" s="189" t="s">
        <v>108</v>
      </c>
      <c r="K2309" s="189" t="s">
        <v>462</v>
      </c>
      <c r="L2309" s="189" t="s">
        <v>184</v>
      </c>
      <c r="M2309" s="189" t="s">
        <v>757</v>
      </c>
      <c r="N2309" s="189" t="s">
        <v>552</v>
      </c>
      <c r="O2309" s="189" t="s">
        <v>244</v>
      </c>
      <c r="P2309" s="189" t="s">
        <v>131</v>
      </c>
      <c r="Q2309" s="189" t="s">
        <v>247</v>
      </c>
      <c r="R2309" s="189" t="s">
        <v>22</v>
      </c>
      <c r="S2309" s="189" t="s">
        <v>152</v>
      </c>
      <c r="T2309" s="189" t="s">
        <v>121</v>
      </c>
      <c r="U2309" s="189" t="s">
        <v>1361</v>
      </c>
      <c r="V2309" s="189" t="s">
        <v>192</v>
      </c>
      <c r="W2309" s="189" t="s">
        <v>124</v>
      </c>
      <c r="X2309" s="189" t="s">
        <v>271</v>
      </c>
      <c r="Y2309" s="189" t="s">
        <v>3064</v>
      </c>
      <c r="Z2309" s="0" t="n">
        <v>3</v>
      </c>
      <c r="AA2309" s="189" t="s">
        <v>3115</v>
      </c>
    </row>
    <row r="2310" customFormat="false" ht="15" hidden="false" customHeight="false" outlineLevel="0" collapsed="false">
      <c r="A2310" s="0" t="n">
        <v>493</v>
      </c>
      <c r="B2310" s="191" t="n">
        <v>46109.6697559351</v>
      </c>
      <c r="C2310" s="191" t="n">
        <v>46109.6903809351</v>
      </c>
      <c r="D2310" s="189" t="s">
        <v>2917</v>
      </c>
      <c r="E2310" s="189" t="s">
        <v>2918</v>
      </c>
      <c r="F2310" s="189" t="s">
        <v>2918</v>
      </c>
      <c r="G2310" s="189" t="s">
        <v>2919</v>
      </c>
      <c r="H2310" s="191" t="n">
        <v>46103</v>
      </c>
      <c r="I2310" s="189" t="s">
        <v>325</v>
      </c>
      <c r="J2310" s="189" t="s">
        <v>108</v>
      </c>
      <c r="K2310" s="189" t="s">
        <v>462</v>
      </c>
      <c r="L2310" s="189" t="s">
        <v>184</v>
      </c>
      <c r="M2310" s="189" t="s">
        <v>757</v>
      </c>
      <c r="N2310" s="189" t="s">
        <v>552</v>
      </c>
      <c r="O2310" s="189" t="s">
        <v>244</v>
      </c>
      <c r="P2310" s="189" t="s">
        <v>131</v>
      </c>
      <c r="Q2310" s="189" t="s">
        <v>247</v>
      </c>
      <c r="R2310" s="189" t="s">
        <v>22</v>
      </c>
      <c r="S2310" s="189" t="s">
        <v>152</v>
      </c>
      <c r="T2310" s="189" t="s">
        <v>121</v>
      </c>
      <c r="U2310" s="189" t="s">
        <v>1361</v>
      </c>
      <c r="V2310" s="189" t="s">
        <v>192</v>
      </c>
      <c r="W2310" s="189" t="s">
        <v>124</v>
      </c>
      <c r="X2310" s="189" t="s">
        <v>271</v>
      </c>
      <c r="Y2310" s="189" t="s">
        <v>3066</v>
      </c>
      <c r="Z2310" s="0" t="n">
        <v>1</v>
      </c>
      <c r="AA2310" s="189" t="s">
        <v>3266</v>
      </c>
    </row>
    <row r="2311" customFormat="false" ht="15" hidden="false" customHeight="false" outlineLevel="0" collapsed="false">
      <c r="A2311" s="0" t="n">
        <v>493</v>
      </c>
      <c r="B2311" s="191" t="n">
        <v>46109.6697559351</v>
      </c>
      <c r="C2311" s="191" t="n">
        <v>46109.6903809351</v>
      </c>
      <c r="D2311" s="189" t="s">
        <v>2917</v>
      </c>
      <c r="E2311" s="189" t="s">
        <v>2918</v>
      </c>
      <c r="F2311" s="189" t="s">
        <v>2918</v>
      </c>
      <c r="G2311" s="189" t="s">
        <v>2919</v>
      </c>
      <c r="H2311" s="191" t="n">
        <v>46103</v>
      </c>
      <c r="I2311" s="189" t="s">
        <v>325</v>
      </c>
      <c r="J2311" s="189" t="s">
        <v>108</v>
      </c>
      <c r="K2311" s="189" t="s">
        <v>462</v>
      </c>
      <c r="L2311" s="189" t="s">
        <v>184</v>
      </c>
      <c r="M2311" s="189" t="s">
        <v>757</v>
      </c>
      <c r="N2311" s="189" t="s">
        <v>552</v>
      </c>
      <c r="O2311" s="189" t="s">
        <v>244</v>
      </c>
      <c r="P2311" s="189" t="s">
        <v>131</v>
      </c>
      <c r="Q2311" s="189" t="s">
        <v>247</v>
      </c>
      <c r="R2311" s="189" t="s">
        <v>22</v>
      </c>
      <c r="S2311" s="189" t="s">
        <v>152</v>
      </c>
      <c r="T2311" s="189" t="s">
        <v>121</v>
      </c>
      <c r="U2311" s="189" t="s">
        <v>1361</v>
      </c>
      <c r="V2311" s="189" t="s">
        <v>192</v>
      </c>
      <c r="W2311" s="189" t="s">
        <v>124</v>
      </c>
      <c r="X2311" s="189" t="s">
        <v>271</v>
      </c>
      <c r="Y2311" s="189" t="s">
        <v>3069</v>
      </c>
      <c r="Z2311" s="0" t="n">
        <v>1</v>
      </c>
      <c r="AA2311" s="189" t="s">
        <v>3118</v>
      </c>
    </row>
    <row r="2312" customFormat="false" ht="15" hidden="false" customHeight="false" outlineLevel="0" collapsed="false">
      <c r="A2312" s="0" t="n">
        <v>494</v>
      </c>
      <c r="B2312" s="191" t="n">
        <v>46048.8979315074</v>
      </c>
      <c r="C2312" s="191" t="n">
        <v>46048.9013342852</v>
      </c>
      <c r="D2312" s="189" t="s">
        <v>2921</v>
      </c>
      <c r="E2312" s="189" t="s">
        <v>2922</v>
      </c>
      <c r="F2312" s="189" t="s">
        <v>2922</v>
      </c>
      <c r="G2312" s="189" t="s">
        <v>2923</v>
      </c>
      <c r="H2312" s="191" t="n">
        <v>46029</v>
      </c>
      <c r="I2312" s="189" t="s">
        <v>325</v>
      </c>
      <c r="J2312" s="189" t="s">
        <v>295</v>
      </c>
      <c r="K2312" s="189" t="s">
        <v>196</v>
      </c>
      <c r="L2312" s="189" t="s">
        <v>389</v>
      </c>
      <c r="M2312" s="189" t="s">
        <v>566</v>
      </c>
      <c r="N2312" s="189" t="s">
        <v>1100</v>
      </c>
      <c r="O2312" s="189" t="s">
        <v>244</v>
      </c>
      <c r="P2312" s="189" t="s">
        <v>111</v>
      </c>
      <c r="Q2312" s="189" t="s">
        <v>112</v>
      </c>
      <c r="R2312" s="189" t="s">
        <v>24</v>
      </c>
      <c r="S2312" s="189" t="s">
        <v>227</v>
      </c>
      <c r="T2312" s="189" t="s">
        <v>180</v>
      </c>
      <c r="U2312" s="189" t="s">
        <v>166</v>
      </c>
      <c r="V2312" s="189" t="s">
        <v>167</v>
      </c>
      <c r="W2312" s="189" t="s">
        <v>139</v>
      </c>
      <c r="X2312" s="189" t="s">
        <v>448</v>
      </c>
      <c r="Y2312" s="189" t="s">
        <v>3064</v>
      </c>
      <c r="Z2312" s="0" t="n">
        <v>1</v>
      </c>
      <c r="AA2312" s="189" t="s">
        <v>3174</v>
      </c>
    </row>
    <row r="2313" customFormat="false" ht="15" hidden="false" customHeight="false" outlineLevel="0" collapsed="false">
      <c r="A2313" s="0" t="n">
        <v>494</v>
      </c>
      <c r="B2313" s="191" t="n">
        <v>46048.8979315074</v>
      </c>
      <c r="C2313" s="191" t="n">
        <v>46048.9013342852</v>
      </c>
      <c r="D2313" s="189" t="s">
        <v>2921</v>
      </c>
      <c r="E2313" s="189" t="s">
        <v>2922</v>
      </c>
      <c r="F2313" s="189" t="s">
        <v>2922</v>
      </c>
      <c r="G2313" s="189" t="s">
        <v>2923</v>
      </c>
      <c r="H2313" s="191" t="n">
        <v>46029</v>
      </c>
      <c r="I2313" s="189" t="s">
        <v>325</v>
      </c>
      <c r="J2313" s="189" t="s">
        <v>295</v>
      </c>
      <c r="K2313" s="189" t="s">
        <v>196</v>
      </c>
      <c r="L2313" s="189" t="s">
        <v>389</v>
      </c>
      <c r="M2313" s="189" t="s">
        <v>566</v>
      </c>
      <c r="N2313" s="189" t="s">
        <v>1100</v>
      </c>
      <c r="O2313" s="189" t="s">
        <v>244</v>
      </c>
      <c r="P2313" s="189" t="s">
        <v>111</v>
      </c>
      <c r="Q2313" s="189" t="s">
        <v>112</v>
      </c>
      <c r="R2313" s="189" t="s">
        <v>24</v>
      </c>
      <c r="S2313" s="189" t="s">
        <v>227</v>
      </c>
      <c r="T2313" s="189" t="s">
        <v>180</v>
      </c>
      <c r="U2313" s="189" t="s">
        <v>166</v>
      </c>
      <c r="V2313" s="189" t="s">
        <v>167</v>
      </c>
      <c r="W2313" s="189" t="s">
        <v>139</v>
      </c>
      <c r="X2313" s="189" t="s">
        <v>448</v>
      </c>
      <c r="Y2313" s="189" t="s">
        <v>3066</v>
      </c>
      <c r="Z2313" s="0" t="n">
        <v>1</v>
      </c>
      <c r="AA2313" s="189" t="s">
        <v>3279</v>
      </c>
    </row>
    <row r="2314" customFormat="false" ht="15" hidden="false" customHeight="false" outlineLevel="0" collapsed="false">
      <c r="A2314" s="0" t="n">
        <v>494</v>
      </c>
      <c r="B2314" s="191" t="n">
        <v>46048.8979315074</v>
      </c>
      <c r="C2314" s="191" t="n">
        <v>46048.9013342852</v>
      </c>
      <c r="D2314" s="189" t="s">
        <v>2921</v>
      </c>
      <c r="E2314" s="189" t="s">
        <v>2922</v>
      </c>
      <c r="F2314" s="189" t="s">
        <v>2922</v>
      </c>
      <c r="G2314" s="189" t="s">
        <v>2923</v>
      </c>
      <c r="H2314" s="191" t="n">
        <v>46029</v>
      </c>
      <c r="I2314" s="189" t="s">
        <v>325</v>
      </c>
      <c r="J2314" s="189" t="s">
        <v>295</v>
      </c>
      <c r="K2314" s="189" t="s">
        <v>196</v>
      </c>
      <c r="L2314" s="189" t="s">
        <v>389</v>
      </c>
      <c r="M2314" s="189" t="s">
        <v>566</v>
      </c>
      <c r="N2314" s="189" t="s">
        <v>1100</v>
      </c>
      <c r="O2314" s="189" t="s">
        <v>244</v>
      </c>
      <c r="P2314" s="189" t="s">
        <v>111</v>
      </c>
      <c r="Q2314" s="189" t="s">
        <v>112</v>
      </c>
      <c r="R2314" s="189" t="s">
        <v>24</v>
      </c>
      <c r="S2314" s="189" t="s">
        <v>227</v>
      </c>
      <c r="T2314" s="189" t="s">
        <v>180</v>
      </c>
      <c r="U2314" s="189" t="s">
        <v>166</v>
      </c>
      <c r="V2314" s="189" t="s">
        <v>167</v>
      </c>
      <c r="W2314" s="189" t="s">
        <v>139</v>
      </c>
      <c r="X2314" s="189" t="s">
        <v>448</v>
      </c>
      <c r="Y2314" s="189" t="s">
        <v>3066</v>
      </c>
      <c r="Z2314" s="0" t="n">
        <v>2</v>
      </c>
      <c r="AA2314" s="189" t="s">
        <v>3276</v>
      </c>
    </row>
    <row r="2315" customFormat="false" ht="15" hidden="false" customHeight="false" outlineLevel="0" collapsed="false">
      <c r="A2315" s="0" t="n">
        <v>494</v>
      </c>
      <c r="B2315" s="191" t="n">
        <v>46048.8979315074</v>
      </c>
      <c r="C2315" s="191" t="n">
        <v>46048.9013342852</v>
      </c>
      <c r="D2315" s="189" t="s">
        <v>2921</v>
      </c>
      <c r="E2315" s="189" t="s">
        <v>2922</v>
      </c>
      <c r="F2315" s="189" t="s">
        <v>2922</v>
      </c>
      <c r="G2315" s="189" t="s">
        <v>2923</v>
      </c>
      <c r="H2315" s="191" t="n">
        <v>46029</v>
      </c>
      <c r="I2315" s="189" t="s">
        <v>325</v>
      </c>
      <c r="J2315" s="189" t="s">
        <v>295</v>
      </c>
      <c r="K2315" s="189" t="s">
        <v>196</v>
      </c>
      <c r="L2315" s="189" t="s">
        <v>389</v>
      </c>
      <c r="M2315" s="189" t="s">
        <v>566</v>
      </c>
      <c r="N2315" s="189" t="s">
        <v>1100</v>
      </c>
      <c r="O2315" s="189" t="s">
        <v>244</v>
      </c>
      <c r="P2315" s="189" t="s">
        <v>111</v>
      </c>
      <c r="Q2315" s="189" t="s">
        <v>112</v>
      </c>
      <c r="R2315" s="189" t="s">
        <v>24</v>
      </c>
      <c r="S2315" s="189" t="s">
        <v>227</v>
      </c>
      <c r="T2315" s="189" t="s">
        <v>180</v>
      </c>
      <c r="U2315" s="189" t="s">
        <v>166</v>
      </c>
      <c r="V2315" s="189" t="s">
        <v>167</v>
      </c>
      <c r="W2315" s="189" t="s">
        <v>139</v>
      </c>
      <c r="X2315" s="189" t="s">
        <v>448</v>
      </c>
      <c r="Y2315" s="189" t="s">
        <v>3069</v>
      </c>
      <c r="Z2315" s="0" t="n">
        <v>1</v>
      </c>
      <c r="AA2315" s="189" t="s">
        <v>3178</v>
      </c>
    </row>
    <row r="2316" customFormat="false" ht="15" hidden="false" customHeight="false" outlineLevel="0" collapsed="false">
      <c r="A2316" s="0" t="n">
        <v>495</v>
      </c>
      <c r="B2316" s="191" t="n">
        <v>46039.7763961422</v>
      </c>
      <c r="C2316" s="191" t="n">
        <v>46039.7903660496</v>
      </c>
      <c r="D2316" s="189" t="s">
        <v>2925</v>
      </c>
      <c r="E2316" s="189" t="s">
        <v>2926</v>
      </c>
      <c r="F2316" s="189" t="s">
        <v>2927</v>
      </c>
      <c r="G2316" s="189" t="s">
        <v>2928</v>
      </c>
      <c r="H2316" s="191" t="n">
        <v>46030</v>
      </c>
      <c r="I2316" s="189" t="s">
        <v>305</v>
      </c>
      <c r="J2316" s="189" t="s">
        <v>108</v>
      </c>
      <c r="K2316" s="189" t="s">
        <v>2929</v>
      </c>
      <c r="L2316" s="189" t="s">
        <v>130</v>
      </c>
      <c r="M2316" s="189" t="s">
        <v>144</v>
      </c>
      <c r="N2316" s="189" t="s">
        <v>586</v>
      </c>
      <c r="O2316" s="189" t="s">
        <v>278</v>
      </c>
      <c r="P2316" s="189" t="s">
        <v>111</v>
      </c>
      <c r="Q2316" s="189" t="s">
        <v>145</v>
      </c>
      <c r="R2316" s="189" t="s">
        <v>22</v>
      </c>
      <c r="S2316" s="189" t="s">
        <v>152</v>
      </c>
      <c r="T2316" s="189" t="s">
        <v>180</v>
      </c>
      <c r="V2316" s="189" t="s">
        <v>123</v>
      </c>
      <c r="W2316" s="189" t="s">
        <v>168</v>
      </c>
      <c r="X2316" s="189" t="s">
        <v>148</v>
      </c>
      <c r="Y2316" s="189" t="s">
        <v>3064</v>
      </c>
      <c r="Z2316" s="0" t="n">
        <v>1</v>
      </c>
      <c r="AA2316" s="189" t="s">
        <v>3281</v>
      </c>
    </row>
    <row r="2317" customFormat="false" ht="15" hidden="false" customHeight="false" outlineLevel="0" collapsed="false">
      <c r="A2317" s="0" t="n">
        <v>495</v>
      </c>
      <c r="B2317" s="191" t="n">
        <v>46039.7763961422</v>
      </c>
      <c r="C2317" s="191" t="n">
        <v>46039.7903660496</v>
      </c>
      <c r="D2317" s="189" t="s">
        <v>2925</v>
      </c>
      <c r="E2317" s="189" t="s">
        <v>2926</v>
      </c>
      <c r="F2317" s="189" t="s">
        <v>2927</v>
      </c>
      <c r="G2317" s="189" t="s">
        <v>2928</v>
      </c>
      <c r="H2317" s="191" t="n">
        <v>46030</v>
      </c>
      <c r="I2317" s="189" t="s">
        <v>305</v>
      </c>
      <c r="J2317" s="189" t="s">
        <v>108</v>
      </c>
      <c r="K2317" s="189" t="s">
        <v>2929</v>
      </c>
      <c r="L2317" s="189" t="s">
        <v>130</v>
      </c>
      <c r="M2317" s="189" t="s">
        <v>144</v>
      </c>
      <c r="N2317" s="189" t="s">
        <v>586</v>
      </c>
      <c r="O2317" s="189" t="s">
        <v>278</v>
      </c>
      <c r="P2317" s="189" t="s">
        <v>111</v>
      </c>
      <c r="Q2317" s="189" t="s">
        <v>145</v>
      </c>
      <c r="R2317" s="189" t="s">
        <v>22</v>
      </c>
      <c r="S2317" s="189" t="s">
        <v>152</v>
      </c>
      <c r="T2317" s="189" t="s">
        <v>180</v>
      </c>
      <c r="V2317" s="189" t="s">
        <v>123</v>
      </c>
      <c r="W2317" s="189" t="s">
        <v>168</v>
      </c>
      <c r="X2317" s="189" t="s">
        <v>148</v>
      </c>
      <c r="Y2317" s="189" t="s">
        <v>3064</v>
      </c>
      <c r="Z2317" s="0" t="n">
        <v>2</v>
      </c>
      <c r="AA2317" s="189" t="s">
        <v>3076</v>
      </c>
    </row>
    <row r="2318" customFormat="false" ht="15" hidden="false" customHeight="false" outlineLevel="0" collapsed="false">
      <c r="A2318" s="0" t="n">
        <v>495</v>
      </c>
      <c r="B2318" s="191" t="n">
        <v>46039.7763961422</v>
      </c>
      <c r="C2318" s="191" t="n">
        <v>46039.7903660496</v>
      </c>
      <c r="D2318" s="189" t="s">
        <v>2925</v>
      </c>
      <c r="E2318" s="189" t="s">
        <v>2926</v>
      </c>
      <c r="F2318" s="189" t="s">
        <v>2927</v>
      </c>
      <c r="G2318" s="189" t="s">
        <v>2928</v>
      </c>
      <c r="H2318" s="191" t="n">
        <v>46030</v>
      </c>
      <c r="I2318" s="189" t="s">
        <v>305</v>
      </c>
      <c r="J2318" s="189" t="s">
        <v>108</v>
      </c>
      <c r="K2318" s="189" t="s">
        <v>2929</v>
      </c>
      <c r="L2318" s="189" t="s">
        <v>130</v>
      </c>
      <c r="M2318" s="189" t="s">
        <v>144</v>
      </c>
      <c r="N2318" s="189" t="s">
        <v>586</v>
      </c>
      <c r="O2318" s="189" t="s">
        <v>278</v>
      </c>
      <c r="P2318" s="189" t="s">
        <v>111</v>
      </c>
      <c r="Q2318" s="189" t="s">
        <v>145</v>
      </c>
      <c r="R2318" s="189" t="s">
        <v>22</v>
      </c>
      <c r="S2318" s="189" t="s">
        <v>152</v>
      </c>
      <c r="T2318" s="189" t="s">
        <v>180</v>
      </c>
      <c r="V2318" s="189" t="s">
        <v>123</v>
      </c>
      <c r="W2318" s="189" t="s">
        <v>168</v>
      </c>
      <c r="X2318" s="189" t="s">
        <v>148</v>
      </c>
      <c r="Y2318" s="189" t="s">
        <v>3066</v>
      </c>
      <c r="Z2318" s="0" t="n">
        <v>1</v>
      </c>
      <c r="AA2318" s="189" t="s">
        <v>3187</v>
      </c>
    </row>
    <row r="2319" customFormat="false" ht="15" hidden="false" customHeight="false" outlineLevel="0" collapsed="false">
      <c r="A2319" s="0" t="n">
        <v>495</v>
      </c>
      <c r="B2319" s="191" t="n">
        <v>46039.7763961422</v>
      </c>
      <c r="C2319" s="191" t="n">
        <v>46039.7903660496</v>
      </c>
      <c r="D2319" s="189" t="s">
        <v>2925</v>
      </c>
      <c r="E2319" s="189" t="s">
        <v>2926</v>
      </c>
      <c r="F2319" s="189" t="s">
        <v>2927</v>
      </c>
      <c r="G2319" s="189" t="s">
        <v>2928</v>
      </c>
      <c r="H2319" s="191" t="n">
        <v>46030</v>
      </c>
      <c r="I2319" s="189" t="s">
        <v>305</v>
      </c>
      <c r="J2319" s="189" t="s">
        <v>108</v>
      </c>
      <c r="K2319" s="189" t="s">
        <v>2929</v>
      </c>
      <c r="L2319" s="189" t="s">
        <v>130</v>
      </c>
      <c r="M2319" s="189" t="s">
        <v>144</v>
      </c>
      <c r="N2319" s="189" t="s">
        <v>586</v>
      </c>
      <c r="O2319" s="189" t="s">
        <v>278</v>
      </c>
      <c r="P2319" s="189" t="s">
        <v>111</v>
      </c>
      <c r="Q2319" s="189" t="s">
        <v>145</v>
      </c>
      <c r="R2319" s="189" t="s">
        <v>22</v>
      </c>
      <c r="S2319" s="189" t="s">
        <v>152</v>
      </c>
      <c r="T2319" s="189" t="s">
        <v>180</v>
      </c>
      <c r="V2319" s="189" t="s">
        <v>123</v>
      </c>
      <c r="W2319" s="189" t="s">
        <v>168</v>
      </c>
      <c r="X2319" s="189" t="s">
        <v>148</v>
      </c>
      <c r="Y2319" s="189" t="s">
        <v>3066</v>
      </c>
      <c r="Z2319" s="0" t="n">
        <v>2</v>
      </c>
      <c r="AA2319" s="189" t="s">
        <v>122</v>
      </c>
    </row>
    <row r="2320" customFormat="false" ht="15" hidden="false" customHeight="false" outlineLevel="0" collapsed="false">
      <c r="A2320" s="0" t="n">
        <v>495</v>
      </c>
      <c r="B2320" s="191" t="n">
        <v>46039.7763961422</v>
      </c>
      <c r="C2320" s="191" t="n">
        <v>46039.7903660496</v>
      </c>
      <c r="D2320" s="189" t="s">
        <v>2925</v>
      </c>
      <c r="E2320" s="189" t="s">
        <v>2926</v>
      </c>
      <c r="F2320" s="189" t="s">
        <v>2927</v>
      </c>
      <c r="G2320" s="189" t="s">
        <v>2928</v>
      </c>
      <c r="H2320" s="191" t="n">
        <v>46030</v>
      </c>
      <c r="I2320" s="189" t="s">
        <v>305</v>
      </c>
      <c r="J2320" s="189" t="s">
        <v>108</v>
      </c>
      <c r="K2320" s="189" t="s">
        <v>2929</v>
      </c>
      <c r="L2320" s="189" t="s">
        <v>130</v>
      </c>
      <c r="M2320" s="189" t="s">
        <v>144</v>
      </c>
      <c r="N2320" s="189" t="s">
        <v>586</v>
      </c>
      <c r="O2320" s="189" t="s">
        <v>278</v>
      </c>
      <c r="P2320" s="189" t="s">
        <v>111</v>
      </c>
      <c r="Q2320" s="189" t="s">
        <v>145</v>
      </c>
      <c r="R2320" s="189" t="s">
        <v>22</v>
      </c>
      <c r="S2320" s="189" t="s">
        <v>152</v>
      </c>
      <c r="T2320" s="189" t="s">
        <v>180</v>
      </c>
      <c r="V2320" s="189" t="s">
        <v>123</v>
      </c>
      <c r="W2320" s="189" t="s">
        <v>168</v>
      </c>
      <c r="X2320" s="189" t="s">
        <v>148</v>
      </c>
      <c r="Y2320" s="189" t="s">
        <v>3069</v>
      </c>
      <c r="Z2320" s="0" t="n">
        <v>1</v>
      </c>
      <c r="AA2320" s="189" t="s">
        <v>3094</v>
      </c>
    </row>
    <row r="2321" customFormat="false" ht="15" hidden="false" customHeight="false" outlineLevel="0" collapsed="false">
      <c r="A2321" s="0" t="n">
        <v>496</v>
      </c>
      <c r="B2321" s="191" t="n">
        <v>46054.6538868949</v>
      </c>
      <c r="C2321" s="191" t="n">
        <v>46054.6721623579</v>
      </c>
      <c r="D2321" s="189" t="s">
        <v>2931</v>
      </c>
      <c r="E2321" s="189" t="s">
        <v>2932</v>
      </c>
      <c r="F2321" s="189" t="s">
        <v>2932</v>
      </c>
      <c r="G2321" s="189" t="s">
        <v>2933</v>
      </c>
      <c r="H2321" s="191" t="n">
        <v>46037</v>
      </c>
      <c r="I2321" s="189" t="s">
        <v>305</v>
      </c>
      <c r="J2321" s="189" t="s">
        <v>108</v>
      </c>
      <c r="K2321" s="189" t="s">
        <v>2934</v>
      </c>
      <c r="L2321" s="189" t="s">
        <v>210</v>
      </c>
      <c r="M2321" s="189" t="s">
        <v>279</v>
      </c>
      <c r="N2321" s="189" t="s">
        <v>827</v>
      </c>
      <c r="O2321" s="189" t="s">
        <v>172</v>
      </c>
      <c r="P2321" s="189" t="s">
        <v>111</v>
      </c>
      <c r="Q2321" s="189" t="s">
        <v>112</v>
      </c>
      <c r="R2321" s="189" t="s">
        <v>22</v>
      </c>
      <c r="S2321" s="189" t="s">
        <v>120</v>
      </c>
      <c r="T2321" s="189" t="s">
        <v>121</v>
      </c>
      <c r="U2321" s="189" t="s">
        <v>1813</v>
      </c>
      <c r="V2321" s="189" t="s">
        <v>192</v>
      </c>
      <c r="W2321" s="189" t="s">
        <v>124</v>
      </c>
      <c r="X2321" s="189" t="s">
        <v>715</v>
      </c>
      <c r="Y2321" s="189" t="s">
        <v>3064</v>
      </c>
      <c r="Z2321" s="0" t="n">
        <v>1</v>
      </c>
      <c r="AA2321" s="189" t="s">
        <v>3252</v>
      </c>
    </row>
    <row r="2322" customFormat="false" ht="15" hidden="false" customHeight="false" outlineLevel="0" collapsed="false">
      <c r="A2322" s="0" t="n">
        <v>496</v>
      </c>
      <c r="B2322" s="191" t="n">
        <v>46054.6538868949</v>
      </c>
      <c r="C2322" s="191" t="n">
        <v>46054.6721623579</v>
      </c>
      <c r="D2322" s="189" t="s">
        <v>2931</v>
      </c>
      <c r="E2322" s="189" t="s">
        <v>2932</v>
      </c>
      <c r="F2322" s="189" t="s">
        <v>2932</v>
      </c>
      <c r="G2322" s="189" t="s">
        <v>2933</v>
      </c>
      <c r="H2322" s="191" t="n">
        <v>46037</v>
      </c>
      <c r="I2322" s="189" t="s">
        <v>305</v>
      </c>
      <c r="J2322" s="189" t="s">
        <v>108</v>
      </c>
      <c r="K2322" s="189" t="s">
        <v>2934</v>
      </c>
      <c r="L2322" s="189" t="s">
        <v>210</v>
      </c>
      <c r="M2322" s="189" t="s">
        <v>279</v>
      </c>
      <c r="N2322" s="189" t="s">
        <v>827</v>
      </c>
      <c r="O2322" s="189" t="s">
        <v>172</v>
      </c>
      <c r="P2322" s="189" t="s">
        <v>111</v>
      </c>
      <c r="Q2322" s="189" t="s">
        <v>112</v>
      </c>
      <c r="R2322" s="189" t="s">
        <v>22</v>
      </c>
      <c r="S2322" s="189" t="s">
        <v>120</v>
      </c>
      <c r="T2322" s="189" t="s">
        <v>121</v>
      </c>
      <c r="U2322" s="189" t="s">
        <v>1813</v>
      </c>
      <c r="V2322" s="189" t="s">
        <v>192</v>
      </c>
      <c r="W2322" s="189" t="s">
        <v>124</v>
      </c>
      <c r="X2322" s="189" t="s">
        <v>715</v>
      </c>
      <c r="Y2322" s="189" t="s">
        <v>3064</v>
      </c>
      <c r="Z2322" s="0" t="n">
        <v>2</v>
      </c>
      <c r="AA2322" s="189" t="s">
        <v>3255</v>
      </c>
    </row>
    <row r="2323" customFormat="false" ht="15" hidden="false" customHeight="false" outlineLevel="0" collapsed="false">
      <c r="A2323" s="0" t="n">
        <v>496</v>
      </c>
      <c r="B2323" s="191" t="n">
        <v>46054.6538868949</v>
      </c>
      <c r="C2323" s="191" t="n">
        <v>46054.6721623579</v>
      </c>
      <c r="D2323" s="189" t="s">
        <v>2931</v>
      </c>
      <c r="E2323" s="189" t="s">
        <v>2932</v>
      </c>
      <c r="F2323" s="189" t="s">
        <v>2932</v>
      </c>
      <c r="G2323" s="189" t="s">
        <v>2933</v>
      </c>
      <c r="H2323" s="191" t="n">
        <v>46037</v>
      </c>
      <c r="I2323" s="189" t="s">
        <v>305</v>
      </c>
      <c r="J2323" s="189" t="s">
        <v>108</v>
      </c>
      <c r="K2323" s="189" t="s">
        <v>2934</v>
      </c>
      <c r="L2323" s="189" t="s">
        <v>210</v>
      </c>
      <c r="M2323" s="189" t="s">
        <v>279</v>
      </c>
      <c r="N2323" s="189" t="s">
        <v>827</v>
      </c>
      <c r="O2323" s="189" t="s">
        <v>172</v>
      </c>
      <c r="P2323" s="189" t="s">
        <v>111</v>
      </c>
      <c r="Q2323" s="189" t="s">
        <v>112</v>
      </c>
      <c r="R2323" s="189" t="s">
        <v>22</v>
      </c>
      <c r="S2323" s="189" t="s">
        <v>120</v>
      </c>
      <c r="T2323" s="189" t="s">
        <v>121</v>
      </c>
      <c r="U2323" s="189" t="s">
        <v>1813</v>
      </c>
      <c r="V2323" s="189" t="s">
        <v>192</v>
      </c>
      <c r="W2323" s="189" t="s">
        <v>124</v>
      </c>
      <c r="X2323" s="189" t="s">
        <v>715</v>
      </c>
      <c r="Y2323" s="189" t="s">
        <v>3064</v>
      </c>
      <c r="Z2323" s="0" t="n">
        <v>3</v>
      </c>
      <c r="AA2323" s="189" t="s">
        <v>3224</v>
      </c>
    </row>
    <row r="2324" customFormat="false" ht="15" hidden="false" customHeight="false" outlineLevel="0" collapsed="false">
      <c r="A2324" s="0" t="n">
        <v>496</v>
      </c>
      <c r="B2324" s="191" t="n">
        <v>46054.6538868949</v>
      </c>
      <c r="C2324" s="191" t="n">
        <v>46054.6721623579</v>
      </c>
      <c r="D2324" s="189" t="s">
        <v>2931</v>
      </c>
      <c r="E2324" s="189" t="s">
        <v>2932</v>
      </c>
      <c r="F2324" s="189" t="s">
        <v>2932</v>
      </c>
      <c r="G2324" s="189" t="s">
        <v>2933</v>
      </c>
      <c r="H2324" s="191" t="n">
        <v>46037</v>
      </c>
      <c r="I2324" s="189" t="s">
        <v>305</v>
      </c>
      <c r="J2324" s="189" t="s">
        <v>108</v>
      </c>
      <c r="K2324" s="189" t="s">
        <v>2934</v>
      </c>
      <c r="L2324" s="189" t="s">
        <v>210</v>
      </c>
      <c r="M2324" s="189" t="s">
        <v>279</v>
      </c>
      <c r="N2324" s="189" t="s">
        <v>827</v>
      </c>
      <c r="O2324" s="189" t="s">
        <v>172</v>
      </c>
      <c r="P2324" s="189" t="s">
        <v>111</v>
      </c>
      <c r="Q2324" s="189" t="s">
        <v>112</v>
      </c>
      <c r="R2324" s="189" t="s">
        <v>22</v>
      </c>
      <c r="S2324" s="189" t="s">
        <v>120</v>
      </c>
      <c r="T2324" s="189" t="s">
        <v>121</v>
      </c>
      <c r="U2324" s="189" t="s">
        <v>1813</v>
      </c>
      <c r="V2324" s="189" t="s">
        <v>192</v>
      </c>
      <c r="W2324" s="189" t="s">
        <v>124</v>
      </c>
      <c r="X2324" s="189" t="s">
        <v>715</v>
      </c>
      <c r="Y2324" s="189" t="s">
        <v>3066</v>
      </c>
      <c r="Z2324" s="0" t="n">
        <v>1</v>
      </c>
      <c r="AA2324" s="189" t="s">
        <v>2531</v>
      </c>
    </row>
    <row r="2325" customFormat="false" ht="15" hidden="false" customHeight="false" outlineLevel="0" collapsed="false">
      <c r="A2325" s="0" t="n">
        <v>496</v>
      </c>
      <c r="B2325" s="191" t="n">
        <v>46054.6538868949</v>
      </c>
      <c r="C2325" s="191" t="n">
        <v>46054.6721623579</v>
      </c>
      <c r="D2325" s="189" t="s">
        <v>2931</v>
      </c>
      <c r="E2325" s="189" t="s">
        <v>2932</v>
      </c>
      <c r="F2325" s="189" t="s">
        <v>2932</v>
      </c>
      <c r="G2325" s="189" t="s">
        <v>2933</v>
      </c>
      <c r="H2325" s="191" t="n">
        <v>46037</v>
      </c>
      <c r="I2325" s="189" t="s">
        <v>305</v>
      </c>
      <c r="J2325" s="189" t="s">
        <v>108</v>
      </c>
      <c r="K2325" s="189" t="s">
        <v>2934</v>
      </c>
      <c r="L2325" s="189" t="s">
        <v>210</v>
      </c>
      <c r="M2325" s="189" t="s">
        <v>279</v>
      </c>
      <c r="N2325" s="189" t="s">
        <v>827</v>
      </c>
      <c r="O2325" s="189" t="s">
        <v>172</v>
      </c>
      <c r="P2325" s="189" t="s">
        <v>111</v>
      </c>
      <c r="Q2325" s="189" t="s">
        <v>112</v>
      </c>
      <c r="R2325" s="189" t="s">
        <v>22</v>
      </c>
      <c r="S2325" s="189" t="s">
        <v>120</v>
      </c>
      <c r="T2325" s="189" t="s">
        <v>121</v>
      </c>
      <c r="U2325" s="189" t="s">
        <v>1813</v>
      </c>
      <c r="V2325" s="189" t="s">
        <v>192</v>
      </c>
      <c r="W2325" s="189" t="s">
        <v>124</v>
      </c>
      <c r="X2325" s="189" t="s">
        <v>715</v>
      </c>
      <c r="Y2325" s="189" t="s">
        <v>3069</v>
      </c>
      <c r="Z2325" s="0" t="n">
        <v>1</v>
      </c>
      <c r="AA2325" s="189" t="s">
        <v>3253</v>
      </c>
    </row>
    <row r="2326" customFormat="false" ht="15" hidden="false" customHeight="false" outlineLevel="0" collapsed="false">
      <c r="A2326" s="0" t="n">
        <v>497</v>
      </c>
      <c r="B2326" s="191" t="n">
        <v>46052.5019373128</v>
      </c>
      <c r="C2326" s="191" t="n">
        <v>46052.5052590721</v>
      </c>
      <c r="D2326" s="189" t="s">
        <v>2936</v>
      </c>
      <c r="E2326" s="189" t="s">
        <v>2937</v>
      </c>
      <c r="F2326" s="189" t="s">
        <v>2937</v>
      </c>
      <c r="G2326" s="189" t="s">
        <v>2938</v>
      </c>
      <c r="H2326" s="191" t="n">
        <v>46032</v>
      </c>
      <c r="I2326" s="189" t="s">
        <v>113</v>
      </c>
      <c r="J2326" s="189" t="s">
        <v>295</v>
      </c>
      <c r="K2326" s="189" t="s">
        <v>356</v>
      </c>
      <c r="L2326" s="189" t="s">
        <v>246</v>
      </c>
      <c r="M2326" s="189" t="s">
        <v>357</v>
      </c>
      <c r="N2326" s="189" t="s">
        <v>422</v>
      </c>
      <c r="O2326" s="189" t="s">
        <v>713</v>
      </c>
      <c r="P2326" s="189" t="s">
        <v>111</v>
      </c>
      <c r="Q2326" s="189" t="s">
        <v>145</v>
      </c>
      <c r="R2326" s="189" t="s">
        <v>22</v>
      </c>
      <c r="S2326" s="189" t="s">
        <v>152</v>
      </c>
      <c r="T2326" s="189" t="s">
        <v>121</v>
      </c>
      <c r="U2326" s="189" t="s">
        <v>2940</v>
      </c>
      <c r="V2326" s="189" t="s">
        <v>167</v>
      </c>
      <c r="W2326" s="189" t="s">
        <v>124</v>
      </c>
      <c r="X2326" s="189" t="s">
        <v>339</v>
      </c>
      <c r="Y2326" s="189" t="s">
        <v>3064</v>
      </c>
      <c r="Z2326" s="0" t="n">
        <v>1</v>
      </c>
      <c r="AA2326" s="189" t="s">
        <v>3141</v>
      </c>
    </row>
    <row r="2327" customFormat="false" ht="15" hidden="false" customHeight="false" outlineLevel="0" collapsed="false">
      <c r="A2327" s="0" t="n">
        <v>497</v>
      </c>
      <c r="B2327" s="191" t="n">
        <v>46052.5019373128</v>
      </c>
      <c r="C2327" s="191" t="n">
        <v>46052.5052590721</v>
      </c>
      <c r="D2327" s="189" t="s">
        <v>2936</v>
      </c>
      <c r="E2327" s="189" t="s">
        <v>2937</v>
      </c>
      <c r="F2327" s="189" t="s">
        <v>2937</v>
      </c>
      <c r="G2327" s="189" t="s">
        <v>2938</v>
      </c>
      <c r="H2327" s="191" t="n">
        <v>46032</v>
      </c>
      <c r="I2327" s="189" t="s">
        <v>113</v>
      </c>
      <c r="J2327" s="189" t="s">
        <v>295</v>
      </c>
      <c r="K2327" s="189" t="s">
        <v>356</v>
      </c>
      <c r="L2327" s="189" t="s">
        <v>246</v>
      </c>
      <c r="M2327" s="189" t="s">
        <v>357</v>
      </c>
      <c r="N2327" s="189" t="s">
        <v>422</v>
      </c>
      <c r="O2327" s="189" t="s">
        <v>713</v>
      </c>
      <c r="P2327" s="189" t="s">
        <v>111</v>
      </c>
      <c r="Q2327" s="189" t="s">
        <v>145</v>
      </c>
      <c r="R2327" s="189" t="s">
        <v>22</v>
      </c>
      <c r="S2327" s="189" t="s">
        <v>152</v>
      </c>
      <c r="T2327" s="189" t="s">
        <v>121</v>
      </c>
      <c r="U2327" s="189" t="s">
        <v>2940</v>
      </c>
      <c r="V2327" s="189" t="s">
        <v>167</v>
      </c>
      <c r="W2327" s="189" t="s">
        <v>124</v>
      </c>
      <c r="X2327" s="189" t="s">
        <v>339</v>
      </c>
      <c r="Y2327" s="189" t="s">
        <v>3066</v>
      </c>
      <c r="Z2327" s="0" t="n">
        <v>1</v>
      </c>
      <c r="AA2327" s="189" t="s">
        <v>3142</v>
      </c>
    </row>
    <row r="2328" customFormat="false" ht="15" hidden="false" customHeight="false" outlineLevel="0" collapsed="false">
      <c r="A2328" s="0" t="n">
        <v>497</v>
      </c>
      <c r="B2328" s="191" t="n">
        <v>46052.5019373128</v>
      </c>
      <c r="C2328" s="191" t="n">
        <v>46052.5052590721</v>
      </c>
      <c r="D2328" s="189" t="s">
        <v>2936</v>
      </c>
      <c r="E2328" s="189" t="s">
        <v>2937</v>
      </c>
      <c r="F2328" s="189" t="s">
        <v>2937</v>
      </c>
      <c r="G2328" s="189" t="s">
        <v>2938</v>
      </c>
      <c r="H2328" s="191" t="n">
        <v>46032</v>
      </c>
      <c r="I2328" s="189" t="s">
        <v>113</v>
      </c>
      <c r="J2328" s="189" t="s">
        <v>295</v>
      </c>
      <c r="K2328" s="189" t="s">
        <v>356</v>
      </c>
      <c r="L2328" s="189" t="s">
        <v>246</v>
      </c>
      <c r="M2328" s="189" t="s">
        <v>357</v>
      </c>
      <c r="N2328" s="189" t="s">
        <v>422</v>
      </c>
      <c r="O2328" s="189" t="s">
        <v>713</v>
      </c>
      <c r="P2328" s="189" t="s">
        <v>111</v>
      </c>
      <c r="Q2328" s="189" t="s">
        <v>145</v>
      </c>
      <c r="R2328" s="189" t="s">
        <v>22</v>
      </c>
      <c r="S2328" s="189" t="s">
        <v>152</v>
      </c>
      <c r="T2328" s="189" t="s">
        <v>121</v>
      </c>
      <c r="U2328" s="189" t="s">
        <v>2940</v>
      </c>
      <c r="V2328" s="189" t="s">
        <v>167</v>
      </c>
      <c r="W2328" s="189" t="s">
        <v>124</v>
      </c>
      <c r="X2328" s="189" t="s">
        <v>339</v>
      </c>
      <c r="Y2328" s="189" t="s">
        <v>3066</v>
      </c>
      <c r="Z2328" s="0" t="n">
        <v>2</v>
      </c>
      <c r="AA2328" s="189" t="s">
        <v>3260</v>
      </c>
    </row>
    <row r="2329" customFormat="false" ht="15" hidden="false" customHeight="false" outlineLevel="0" collapsed="false">
      <c r="A2329" s="0" t="n">
        <v>497</v>
      </c>
      <c r="B2329" s="191" t="n">
        <v>46052.5019373128</v>
      </c>
      <c r="C2329" s="191" t="n">
        <v>46052.5052590721</v>
      </c>
      <c r="D2329" s="189" t="s">
        <v>2936</v>
      </c>
      <c r="E2329" s="189" t="s">
        <v>2937</v>
      </c>
      <c r="F2329" s="189" t="s">
        <v>2937</v>
      </c>
      <c r="G2329" s="189" t="s">
        <v>2938</v>
      </c>
      <c r="H2329" s="191" t="n">
        <v>46032</v>
      </c>
      <c r="I2329" s="189" t="s">
        <v>113</v>
      </c>
      <c r="J2329" s="189" t="s">
        <v>295</v>
      </c>
      <c r="K2329" s="189" t="s">
        <v>356</v>
      </c>
      <c r="L2329" s="189" t="s">
        <v>246</v>
      </c>
      <c r="M2329" s="189" t="s">
        <v>357</v>
      </c>
      <c r="N2329" s="189" t="s">
        <v>422</v>
      </c>
      <c r="O2329" s="189" t="s">
        <v>713</v>
      </c>
      <c r="P2329" s="189" t="s">
        <v>111</v>
      </c>
      <c r="Q2329" s="189" t="s">
        <v>145</v>
      </c>
      <c r="R2329" s="189" t="s">
        <v>22</v>
      </c>
      <c r="S2329" s="189" t="s">
        <v>152</v>
      </c>
      <c r="T2329" s="189" t="s">
        <v>121</v>
      </c>
      <c r="U2329" s="189" t="s">
        <v>2940</v>
      </c>
      <c r="V2329" s="189" t="s">
        <v>167</v>
      </c>
      <c r="W2329" s="189" t="s">
        <v>124</v>
      </c>
      <c r="X2329" s="189" t="s">
        <v>339</v>
      </c>
      <c r="Y2329" s="189" t="s">
        <v>3069</v>
      </c>
      <c r="Z2329" s="0" t="n">
        <v>1</v>
      </c>
      <c r="AA2329" s="189" t="s">
        <v>122</v>
      </c>
    </row>
    <row r="2330" customFormat="false" ht="15" hidden="false" customHeight="false" outlineLevel="0" collapsed="false">
      <c r="A2330" s="0" t="n">
        <v>497</v>
      </c>
      <c r="B2330" s="191" t="n">
        <v>46052.5019373128</v>
      </c>
      <c r="C2330" s="191" t="n">
        <v>46052.5052590721</v>
      </c>
      <c r="D2330" s="189" t="s">
        <v>2936</v>
      </c>
      <c r="E2330" s="189" t="s">
        <v>2937</v>
      </c>
      <c r="F2330" s="189" t="s">
        <v>2937</v>
      </c>
      <c r="G2330" s="189" t="s">
        <v>2938</v>
      </c>
      <c r="H2330" s="191" t="n">
        <v>46032</v>
      </c>
      <c r="I2330" s="189" t="s">
        <v>113</v>
      </c>
      <c r="J2330" s="189" t="s">
        <v>295</v>
      </c>
      <c r="K2330" s="189" t="s">
        <v>356</v>
      </c>
      <c r="L2330" s="189" t="s">
        <v>246</v>
      </c>
      <c r="M2330" s="189" t="s">
        <v>357</v>
      </c>
      <c r="N2330" s="189" t="s">
        <v>422</v>
      </c>
      <c r="O2330" s="189" t="s">
        <v>713</v>
      </c>
      <c r="P2330" s="189" t="s">
        <v>111</v>
      </c>
      <c r="Q2330" s="189" t="s">
        <v>145</v>
      </c>
      <c r="R2330" s="189" t="s">
        <v>22</v>
      </c>
      <c r="S2330" s="189" t="s">
        <v>152</v>
      </c>
      <c r="T2330" s="189" t="s">
        <v>121</v>
      </c>
      <c r="U2330" s="189" t="s">
        <v>2940</v>
      </c>
      <c r="V2330" s="189" t="s">
        <v>167</v>
      </c>
      <c r="W2330" s="189" t="s">
        <v>124</v>
      </c>
      <c r="X2330" s="189" t="s">
        <v>339</v>
      </c>
      <c r="Y2330" s="189" t="s">
        <v>3069</v>
      </c>
      <c r="Z2330" s="0" t="n">
        <v>2</v>
      </c>
      <c r="AA2330" s="189" t="s">
        <v>3217</v>
      </c>
    </row>
    <row r="2331" customFormat="false" ht="15" hidden="false" customHeight="false" outlineLevel="0" collapsed="false">
      <c r="A2331" s="0" t="n">
        <v>498</v>
      </c>
      <c r="B2331" s="191" t="n">
        <v>46097.4311586985</v>
      </c>
      <c r="C2331" s="191" t="n">
        <v>46097.4462512911</v>
      </c>
      <c r="D2331" s="189" t="s">
        <v>2941</v>
      </c>
      <c r="E2331" s="189" t="s">
        <v>2942</v>
      </c>
      <c r="F2331" s="189" t="s">
        <v>2942</v>
      </c>
      <c r="G2331" s="189" t="s">
        <v>2943</v>
      </c>
      <c r="H2331" s="191" t="n">
        <v>46078</v>
      </c>
      <c r="I2331" s="189" t="s">
        <v>113</v>
      </c>
      <c r="J2331" s="189" t="s">
        <v>108</v>
      </c>
      <c r="K2331" s="189" t="s">
        <v>196</v>
      </c>
      <c r="L2331" s="189" t="s">
        <v>246</v>
      </c>
      <c r="M2331" s="189" t="s">
        <v>774</v>
      </c>
      <c r="N2331" s="189" t="s">
        <v>1036</v>
      </c>
      <c r="O2331" s="189" t="s">
        <v>157</v>
      </c>
      <c r="P2331" s="189" t="s">
        <v>390</v>
      </c>
      <c r="Q2331" s="189" t="s">
        <v>112</v>
      </c>
      <c r="R2331" s="189" t="s">
        <v>21</v>
      </c>
      <c r="S2331" s="189" t="s">
        <v>120</v>
      </c>
      <c r="T2331" s="189" t="s">
        <v>352</v>
      </c>
      <c r="U2331" s="189" t="s">
        <v>1568</v>
      </c>
      <c r="V2331" s="189" t="s">
        <v>167</v>
      </c>
      <c r="W2331" s="189" t="s">
        <v>124</v>
      </c>
      <c r="X2331" s="189" t="s">
        <v>348</v>
      </c>
      <c r="Y2331" s="189" t="s">
        <v>3064</v>
      </c>
      <c r="Z2331" s="0" t="n">
        <v>1</v>
      </c>
      <c r="AA2331" s="189" t="s">
        <v>3310</v>
      </c>
    </row>
    <row r="2332" customFormat="false" ht="15" hidden="false" customHeight="false" outlineLevel="0" collapsed="false">
      <c r="A2332" s="0" t="n">
        <v>498</v>
      </c>
      <c r="B2332" s="191" t="n">
        <v>46097.4311586985</v>
      </c>
      <c r="C2332" s="191" t="n">
        <v>46097.4462512911</v>
      </c>
      <c r="D2332" s="189" t="s">
        <v>2941</v>
      </c>
      <c r="E2332" s="189" t="s">
        <v>2942</v>
      </c>
      <c r="F2332" s="189" t="s">
        <v>2942</v>
      </c>
      <c r="G2332" s="189" t="s">
        <v>2943</v>
      </c>
      <c r="H2332" s="191" t="n">
        <v>46078</v>
      </c>
      <c r="I2332" s="189" t="s">
        <v>113</v>
      </c>
      <c r="J2332" s="189" t="s">
        <v>108</v>
      </c>
      <c r="K2332" s="189" t="s">
        <v>196</v>
      </c>
      <c r="L2332" s="189" t="s">
        <v>246</v>
      </c>
      <c r="M2332" s="189" t="s">
        <v>774</v>
      </c>
      <c r="N2332" s="189" t="s">
        <v>1036</v>
      </c>
      <c r="O2332" s="189" t="s">
        <v>157</v>
      </c>
      <c r="P2332" s="189" t="s">
        <v>390</v>
      </c>
      <c r="Q2332" s="189" t="s">
        <v>112</v>
      </c>
      <c r="R2332" s="189" t="s">
        <v>21</v>
      </c>
      <c r="S2332" s="189" t="s">
        <v>120</v>
      </c>
      <c r="T2332" s="189" t="s">
        <v>352</v>
      </c>
      <c r="U2332" s="189" t="s">
        <v>1568</v>
      </c>
      <c r="V2332" s="189" t="s">
        <v>167</v>
      </c>
      <c r="W2332" s="189" t="s">
        <v>124</v>
      </c>
      <c r="X2332" s="189" t="s">
        <v>348</v>
      </c>
      <c r="Y2332" s="189" t="s">
        <v>3064</v>
      </c>
      <c r="Z2332" s="0" t="n">
        <v>2</v>
      </c>
      <c r="AA2332" s="189" t="s">
        <v>3339</v>
      </c>
    </row>
    <row r="2333" customFormat="false" ht="15" hidden="false" customHeight="false" outlineLevel="0" collapsed="false">
      <c r="A2333" s="0" t="n">
        <v>498</v>
      </c>
      <c r="B2333" s="191" t="n">
        <v>46097.4311586985</v>
      </c>
      <c r="C2333" s="191" t="n">
        <v>46097.4462512911</v>
      </c>
      <c r="D2333" s="189" t="s">
        <v>2941</v>
      </c>
      <c r="E2333" s="189" t="s">
        <v>2942</v>
      </c>
      <c r="F2333" s="189" t="s">
        <v>2942</v>
      </c>
      <c r="G2333" s="189" t="s">
        <v>2943</v>
      </c>
      <c r="H2333" s="191" t="n">
        <v>46078</v>
      </c>
      <c r="I2333" s="189" t="s">
        <v>113</v>
      </c>
      <c r="J2333" s="189" t="s">
        <v>108</v>
      </c>
      <c r="K2333" s="189" t="s">
        <v>196</v>
      </c>
      <c r="L2333" s="189" t="s">
        <v>246</v>
      </c>
      <c r="M2333" s="189" t="s">
        <v>774</v>
      </c>
      <c r="N2333" s="189" t="s">
        <v>1036</v>
      </c>
      <c r="O2333" s="189" t="s">
        <v>157</v>
      </c>
      <c r="P2333" s="189" t="s">
        <v>390</v>
      </c>
      <c r="Q2333" s="189" t="s">
        <v>112</v>
      </c>
      <c r="R2333" s="189" t="s">
        <v>21</v>
      </c>
      <c r="S2333" s="189" t="s">
        <v>120</v>
      </c>
      <c r="T2333" s="189" t="s">
        <v>352</v>
      </c>
      <c r="U2333" s="189" t="s">
        <v>1568</v>
      </c>
      <c r="V2333" s="189" t="s">
        <v>167</v>
      </c>
      <c r="W2333" s="189" t="s">
        <v>124</v>
      </c>
      <c r="X2333" s="189" t="s">
        <v>348</v>
      </c>
      <c r="Y2333" s="189" t="s">
        <v>3064</v>
      </c>
      <c r="Z2333" s="0" t="n">
        <v>3</v>
      </c>
      <c r="AA2333" s="189" t="s">
        <v>3146</v>
      </c>
    </row>
    <row r="2334" customFormat="false" ht="15" hidden="false" customHeight="false" outlineLevel="0" collapsed="false">
      <c r="A2334" s="0" t="n">
        <v>498</v>
      </c>
      <c r="B2334" s="191" t="n">
        <v>46097.4311586985</v>
      </c>
      <c r="C2334" s="191" t="n">
        <v>46097.4462512911</v>
      </c>
      <c r="D2334" s="189" t="s">
        <v>2941</v>
      </c>
      <c r="E2334" s="189" t="s">
        <v>2942</v>
      </c>
      <c r="F2334" s="189" t="s">
        <v>2942</v>
      </c>
      <c r="G2334" s="189" t="s">
        <v>2943</v>
      </c>
      <c r="H2334" s="191" t="n">
        <v>46078</v>
      </c>
      <c r="I2334" s="189" t="s">
        <v>113</v>
      </c>
      <c r="J2334" s="189" t="s">
        <v>108</v>
      </c>
      <c r="K2334" s="189" t="s">
        <v>196</v>
      </c>
      <c r="L2334" s="189" t="s">
        <v>246</v>
      </c>
      <c r="M2334" s="189" t="s">
        <v>774</v>
      </c>
      <c r="N2334" s="189" t="s">
        <v>1036</v>
      </c>
      <c r="O2334" s="189" t="s">
        <v>157</v>
      </c>
      <c r="P2334" s="189" t="s">
        <v>390</v>
      </c>
      <c r="Q2334" s="189" t="s">
        <v>112</v>
      </c>
      <c r="R2334" s="189" t="s">
        <v>21</v>
      </c>
      <c r="S2334" s="189" t="s">
        <v>120</v>
      </c>
      <c r="T2334" s="189" t="s">
        <v>352</v>
      </c>
      <c r="U2334" s="189" t="s">
        <v>1568</v>
      </c>
      <c r="V2334" s="189" t="s">
        <v>167</v>
      </c>
      <c r="W2334" s="189" t="s">
        <v>124</v>
      </c>
      <c r="X2334" s="189" t="s">
        <v>348</v>
      </c>
      <c r="Y2334" s="189" t="s">
        <v>3066</v>
      </c>
      <c r="Z2334" s="0" t="n">
        <v>1</v>
      </c>
      <c r="AA2334" s="189" t="s">
        <v>3147</v>
      </c>
    </row>
    <row r="2335" customFormat="false" ht="15" hidden="false" customHeight="false" outlineLevel="0" collapsed="false">
      <c r="A2335" s="0" t="n">
        <v>498</v>
      </c>
      <c r="B2335" s="191" t="n">
        <v>46097.4311586985</v>
      </c>
      <c r="C2335" s="191" t="n">
        <v>46097.4462512911</v>
      </c>
      <c r="D2335" s="189" t="s">
        <v>2941</v>
      </c>
      <c r="E2335" s="189" t="s">
        <v>2942</v>
      </c>
      <c r="F2335" s="189" t="s">
        <v>2942</v>
      </c>
      <c r="G2335" s="189" t="s">
        <v>2943</v>
      </c>
      <c r="H2335" s="191" t="n">
        <v>46078</v>
      </c>
      <c r="I2335" s="189" t="s">
        <v>113</v>
      </c>
      <c r="J2335" s="189" t="s">
        <v>108</v>
      </c>
      <c r="K2335" s="189" t="s">
        <v>196</v>
      </c>
      <c r="L2335" s="189" t="s">
        <v>246</v>
      </c>
      <c r="M2335" s="189" t="s">
        <v>774</v>
      </c>
      <c r="N2335" s="189" t="s">
        <v>1036</v>
      </c>
      <c r="O2335" s="189" t="s">
        <v>157</v>
      </c>
      <c r="P2335" s="189" t="s">
        <v>390</v>
      </c>
      <c r="Q2335" s="189" t="s">
        <v>112</v>
      </c>
      <c r="R2335" s="189" t="s">
        <v>21</v>
      </c>
      <c r="S2335" s="189" t="s">
        <v>120</v>
      </c>
      <c r="T2335" s="189" t="s">
        <v>352</v>
      </c>
      <c r="U2335" s="189" t="s">
        <v>1568</v>
      </c>
      <c r="V2335" s="189" t="s">
        <v>167</v>
      </c>
      <c r="W2335" s="189" t="s">
        <v>124</v>
      </c>
      <c r="X2335" s="189" t="s">
        <v>348</v>
      </c>
      <c r="Y2335" s="189" t="s">
        <v>3069</v>
      </c>
      <c r="Z2335" s="0" t="n">
        <v>1</v>
      </c>
      <c r="AA2335" s="189" t="s">
        <v>3263</v>
      </c>
    </row>
    <row r="2336" customFormat="false" ht="15" hidden="false" customHeight="false" outlineLevel="0" collapsed="false">
      <c r="A2336" s="0" t="n">
        <v>499</v>
      </c>
      <c r="B2336" s="191" t="n">
        <v>46175.3771776251</v>
      </c>
      <c r="C2336" s="191" t="n">
        <v>46175.3811822548</v>
      </c>
      <c r="D2336" s="189" t="s">
        <v>2945</v>
      </c>
      <c r="E2336" s="189" t="s">
        <v>2946</v>
      </c>
      <c r="F2336" s="189" t="s">
        <v>2946</v>
      </c>
      <c r="G2336" s="189" t="s">
        <v>2947</v>
      </c>
      <c r="H2336" s="191" t="n">
        <v>46162</v>
      </c>
      <c r="I2336" s="189" t="s">
        <v>113</v>
      </c>
      <c r="J2336" s="189" t="s">
        <v>108</v>
      </c>
      <c r="K2336" s="189" t="s">
        <v>2948</v>
      </c>
      <c r="L2336" s="189" t="s">
        <v>114</v>
      </c>
      <c r="M2336" s="189" t="s">
        <v>234</v>
      </c>
      <c r="N2336" s="189" t="s">
        <v>606</v>
      </c>
      <c r="O2336" s="189" t="s">
        <v>107</v>
      </c>
      <c r="P2336" s="189" t="s">
        <v>131</v>
      </c>
      <c r="Q2336" s="189" t="s">
        <v>112</v>
      </c>
      <c r="R2336" s="189" t="s">
        <v>22</v>
      </c>
      <c r="S2336" s="189" t="s">
        <v>120</v>
      </c>
      <c r="T2336" s="189" t="s">
        <v>180</v>
      </c>
      <c r="U2336" s="189" t="s">
        <v>122</v>
      </c>
      <c r="V2336" s="189" t="s">
        <v>123</v>
      </c>
      <c r="W2336" s="189" t="s">
        <v>124</v>
      </c>
      <c r="X2336" s="189" t="s">
        <v>381</v>
      </c>
      <c r="Y2336" s="189" t="s">
        <v>3064</v>
      </c>
      <c r="Z2336" s="0" t="n">
        <v>1</v>
      </c>
      <c r="AA2336" s="189" t="s">
        <v>3249</v>
      </c>
    </row>
    <row r="2337" customFormat="false" ht="15" hidden="false" customHeight="false" outlineLevel="0" collapsed="false">
      <c r="A2337" s="0" t="n">
        <v>499</v>
      </c>
      <c r="B2337" s="191" t="n">
        <v>46175.3771776251</v>
      </c>
      <c r="C2337" s="191" t="n">
        <v>46175.3811822548</v>
      </c>
      <c r="D2337" s="189" t="s">
        <v>2945</v>
      </c>
      <c r="E2337" s="189" t="s">
        <v>2946</v>
      </c>
      <c r="F2337" s="189" t="s">
        <v>2946</v>
      </c>
      <c r="G2337" s="189" t="s">
        <v>2947</v>
      </c>
      <c r="H2337" s="191" t="n">
        <v>46162</v>
      </c>
      <c r="I2337" s="189" t="s">
        <v>113</v>
      </c>
      <c r="J2337" s="189" t="s">
        <v>108</v>
      </c>
      <c r="K2337" s="189" t="s">
        <v>2948</v>
      </c>
      <c r="L2337" s="189" t="s">
        <v>114</v>
      </c>
      <c r="M2337" s="189" t="s">
        <v>234</v>
      </c>
      <c r="N2337" s="189" t="s">
        <v>606</v>
      </c>
      <c r="O2337" s="189" t="s">
        <v>107</v>
      </c>
      <c r="P2337" s="189" t="s">
        <v>131</v>
      </c>
      <c r="Q2337" s="189" t="s">
        <v>112</v>
      </c>
      <c r="R2337" s="189" t="s">
        <v>22</v>
      </c>
      <c r="S2337" s="189" t="s">
        <v>120</v>
      </c>
      <c r="T2337" s="189" t="s">
        <v>180</v>
      </c>
      <c r="U2337" s="189" t="s">
        <v>122</v>
      </c>
      <c r="V2337" s="189" t="s">
        <v>123</v>
      </c>
      <c r="W2337" s="189" t="s">
        <v>124</v>
      </c>
      <c r="X2337" s="189" t="s">
        <v>381</v>
      </c>
      <c r="Y2337" s="189" t="s">
        <v>3064</v>
      </c>
      <c r="Z2337" s="0" t="n">
        <v>2</v>
      </c>
      <c r="AA2337" s="189" t="s">
        <v>3180</v>
      </c>
    </row>
    <row r="2338" customFormat="false" ht="15" hidden="false" customHeight="false" outlineLevel="0" collapsed="false">
      <c r="A2338" s="0" t="n">
        <v>499</v>
      </c>
      <c r="B2338" s="191" t="n">
        <v>46175.3771776251</v>
      </c>
      <c r="C2338" s="191" t="n">
        <v>46175.3811822548</v>
      </c>
      <c r="D2338" s="189" t="s">
        <v>2945</v>
      </c>
      <c r="E2338" s="189" t="s">
        <v>2946</v>
      </c>
      <c r="F2338" s="189" t="s">
        <v>2946</v>
      </c>
      <c r="G2338" s="189" t="s">
        <v>2947</v>
      </c>
      <c r="H2338" s="191" t="n">
        <v>46162</v>
      </c>
      <c r="I2338" s="189" t="s">
        <v>113</v>
      </c>
      <c r="J2338" s="189" t="s">
        <v>108</v>
      </c>
      <c r="K2338" s="189" t="s">
        <v>2948</v>
      </c>
      <c r="L2338" s="189" t="s">
        <v>114</v>
      </c>
      <c r="M2338" s="189" t="s">
        <v>234</v>
      </c>
      <c r="N2338" s="189" t="s">
        <v>606</v>
      </c>
      <c r="O2338" s="189" t="s">
        <v>107</v>
      </c>
      <c r="P2338" s="189" t="s">
        <v>131</v>
      </c>
      <c r="Q2338" s="189" t="s">
        <v>112</v>
      </c>
      <c r="R2338" s="189" t="s">
        <v>22</v>
      </c>
      <c r="S2338" s="189" t="s">
        <v>120</v>
      </c>
      <c r="T2338" s="189" t="s">
        <v>180</v>
      </c>
      <c r="U2338" s="189" t="s">
        <v>122</v>
      </c>
      <c r="V2338" s="189" t="s">
        <v>123</v>
      </c>
      <c r="W2338" s="189" t="s">
        <v>124</v>
      </c>
      <c r="X2338" s="189" t="s">
        <v>381</v>
      </c>
      <c r="Y2338" s="189" t="s">
        <v>3064</v>
      </c>
      <c r="Z2338" s="0" t="n">
        <v>3</v>
      </c>
      <c r="AA2338" s="189" t="s">
        <v>3159</v>
      </c>
    </row>
    <row r="2339" customFormat="false" ht="15" hidden="false" customHeight="false" outlineLevel="0" collapsed="false">
      <c r="A2339" s="0" t="n">
        <v>499</v>
      </c>
      <c r="B2339" s="191" t="n">
        <v>46175.3771776251</v>
      </c>
      <c r="C2339" s="191" t="n">
        <v>46175.3811822548</v>
      </c>
      <c r="D2339" s="189" t="s">
        <v>2945</v>
      </c>
      <c r="E2339" s="189" t="s">
        <v>2946</v>
      </c>
      <c r="F2339" s="189" t="s">
        <v>2946</v>
      </c>
      <c r="G2339" s="189" t="s">
        <v>2947</v>
      </c>
      <c r="H2339" s="191" t="n">
        <v>46162</v>
      </c>
      <c r="I2339" s="189" t="s">
        <v>113</v>
      </c>
      <c r="J2339" s="189" t="s">
        <v>108</v>
      </c>
      <c r="K2339" s="189" t="s">
        <v>2948</v>
      </c>
      <c r="L2339" s="189" t="s">
        <v>114</v>
      </c>
      <c r="M2339" s="189" t="s">
        <v>234</v>
      </c>
      <c r="N2339" s="189" t="s">
        <v>606</v>
      </c>
      <c r="O2339" s="189" t="s">
        <v>107</v>
      </c>
      <c r="P2339" s="189" t="s">
        <v>131</v>
      </c>
      <c r="Q2339" s="189" t="s">
        <v>112</v>
      </c>
      <c r="R2339" s="189" t="s">
        <v>22</v>
      </c>
      <c r="S2339" s="189" t="s">
        <v>120</v>
      </c>
      <c r="T2339" s="189" t="s">
        <v>180</v>
      </c>
      <c r="U2339" s="189" t="s">
        <v>122</v>
      </c>
      <c r="V2339" s="189" t="s">
        <v>123</v>
      </c>
      <c r="W2339" s="189" t="s">
        <v>124</v>
      </c>
      <c r="X2339" s="189" t="s">
        <v>381</v>
      </c>
      <c r="Y2339" s="189" t="s">
        <v>3066</v>
      </c>
      <c r="Z2339" s="0" t="n">
        <v>1</v>
      </c>
      <c r="AA2339" s="189" t="s">
        <v>3161</v>
      </c>
    </row>
    <row r="2340" customFormat="false" ht="15" hidden="false" customHeight="false" outlineLevel="0" collapsed="false">
      <c r="A2340" s="0" t="n">
        <v>499</v>
      </c>
      <c r="B2340" s="191" t="n">
        <v>46175.3771776251</v>
      </c>
      <c r="C2340" s="191" t="n">
        <v>46175.3811822548</v>
      </c>
      <c r="D2340" s="189" t="s">
        <v>2945</v>
      </c>
      <c r="E2340" s="189" t="s">
        <v>2946</v>
      </c>
      <c r="F2340" s="189" t="s">
        <v>2946</v>
      </c>
      <c r="G2340" s="189" t="s">
        <v>2947</v>
      </c>
      <c r="H2340" s="191" t="n">
        <v>46162</v>
      </c>
      <c r="I2340" s="189" t="s">
        <v>113</v>
      </c>
      <c r="J2340" s="189" t="s">
        <v>108</v>
      </c>
      <c r="K2340" s="189" t="s">
        <v>2948</v>
      </c>
      <c r="L2340" s="189" t="s">
        <v>114</v>
      </c>
      <c r="M2340" s="189" t="s">
        <v>234</v>
      </c>
      <c r="N2340" s="189" t="s">
        <v>606</v>
      </c>
      <c r="O2340" s="189" t="s">
        <v>107</v>
      </c>
      <c r="P2340" s="189" t="s">
        <v>131</v>
      </c>
      <c r="Q2340" s="189" t="s">
        <v>112</v>
      </c>
      <c r="R2340" s="189" t="s">
        <v>22</v>
      </c>
      <c r="S2340" s="189" t="s">
        <v>120</v>
      </c>
      <c r="T2340" s="189" t="s">
        <v>180</v>
      </c>
      <c r="U2340" s="189" t="s">
        <v>122</v>
      </c>
      <c r="V2340" s="189" t="s">
        <v>123</v>
      </c>
      <c r="W2340" s="189" t="s">
        <v>124</v>
      </c>
      <c r="X2340" s="189" t="s">
        <v>381</v>
      </c>
      <c r="Y2340" s="189" t="s">
        <v>3069</v>
      </c>
      <c r="Z2340" s="0" t="n">
        <v>1</v>
      </c>
      <c r="AA2340" s="189" t="s">
        <v>3234</v>
      </c>
    </row>
    <row r="2341" customFormat="false" ht="15" hidden="false" customHeight="false" outlineLevel="0" collapsed="false">
      <c r="A2341" s="0" t="n">
        <v>499</v>
      </c>
      <c r="B2341" s="191" t="n">
        <v>46175.3771776251</v>
      </c>
      <c r="C2341" s="191" t="n">
        <v>46175.3811822548</v>
      </c>
      <c r="D2341" s="189" t="s">
        <v>2945</v>
      </c>
      <c r="E2341" s="189" t="s">
        <v>2946</v>
      </c>
      <c r="F2341" s="189" t="s">
        <v>2946</v>
      </c>
      <c r="G2341" s="189" t="s">
        <v>2947</v>
      </c>
      <c r="H2341" s="191" t="n">
        <v>46162</v>
      </c>
      <c r="I2341" s="189" t="s">
        <v>113</v>
      </c>
      <c r="J2341" s="189" t="s">
        <v>108</v>
      </c>
      <c r="K2341" s="189" t="s">
        <v>2948</v>
      </c>
      <c r="L2341" s="189" t="s">
        <v>114</v>
      </c>
      <c r="M2341" s="189" t="s">
        <v>234</v>
      </c>
      <c r="N2341" s="189" t="s">
        <v>606</v>
      </c>
      <c r="O2341" s="189" t="s">
        <v>107</v>
      </c>
      <c r="P2341" s="189" t="s">
        <v>131</v>
      </c>
      <c r="Q2341" s="189" t="s">
        <v>112</v>
      </c>
      <c r="R2341" s="189" t="s">
        <v>22</v>
      </c>
      <c r="S2341" s="189" t="s">
        <v>120</v>
      </c>
      <c r="T2341" s="189" t="s">
        <v>180</v>
      </c>
      <c r="U2341" s="189" t="s">
        <v>122</v>
      </c>
      <c r="V2341" s="189" t="s">
        <v>123</v>
      </c>
      <c r="W2341" s="189" t="s">
        <v>124</v>
      </c>
      <c r="X2341" s="189" t="s">
        <v>381</v>
      </c>
      <c r="Y2341" s="189" t="s">
        <v>3069</v>
      </c>
      <c r="Z2341" s="0" t="n">
        <v>2</v>
      </c>
      <c r="AA2341" s="189" t="s">
        <v>3181</v>
      </c>
    </row>
    <row r="2342" customFormat="false" ht="15" hidden="false" customHeight="false" outlineLevel="0" collapsed="false">
      <c r="A2342" s="0" t="n">
        <v>500</v>
      </c>
      <c r="B2342" s="191" t="n">
        <v>46146.2688058731</v>
      </c>
      <c r="C2342" s="191" t="n">
        <v>46146.2716067991</v>
      </c>
      <c r="D2342" s="189" t="s">
        <v>2950</v>
      </c>
      <c r="E2342" s="189" t="s">
        <v>2951</v>
      </c>
      <c r="F2342" s="189" t="s">
        <v>2951</v>
      </c>
      <c r="G2342" s="189" t="s">
        <v>2952</v>
      </c>
      <c r="H2342" s="191" t="n">
        <v>46137</v>
      </c>
      <c r="I2342" s="189" t="s">
        <v>113</v>
      </c>
      <c r="J2342" s="189" t="s">
        <v>108</v>
      </c>
      <c r="K2342" s="189" t="s">
        <v>2953</v>
      </c>
      <c r="L2342" s="189" t="s">
        <v>130</v>
      </c>
      <c r="M2342" s="189" t="s">
        <v>447</v>
      </c>
      <c r="N2342" s="189" t="s">
        <v>1381</v>
      </c>
      <c r="O2342" s="189" t="s">
        <v>107</v>
      </c>
      <c r="P2342" s="189" t="s">
        <v>111</v>
      </c>
      <c r="Q2342" s="189" t="s">
        <v>112</v>
      </c>
      <c r="R2342" s="189" t="s">
        <v>22</v>
      </c>
      <c r="S2342" s="189" t="s">
        <v>120</v>
      </c>
      <c r="T2342" s="189" t="s">
        <v>1406</v>
      </c>
      <c r="V2342" s="189" t="s">
        <v>123</v>
      </c>
      <c r="W2342" s="189" t="s">
        <v>124</v>
      </c>
      <c r="X2342" s="189" t="s">
        <v>381</v>
      </c>
      <c r="Y2342" s="189" t="s">
        <v>3064</v>
      </c>
      <c r="Z2342" s="0" t="n">
        <v>1</v>
      </c>
      <c r="AA2342" s="189" t="s">
        <v>3180</v>
      </c>
    </row>
    <row r="2343" customFormat="false" ht="15" hidden="false" customHeight="false" outlineLevel="0" collapsed="false">
      <c r="A2343" s="0" t="n">
        <v>500</v>
      </c>
      <c r="B2343" s="191" t="n">
        <v>46146.2688058731</v>
      </c>
      <c r="C2343" s="191" t="n">
        <v>46146.2716067991</v>
      </c>
      <c r="D2343" s="189" t="s">
        <v>2950</v>
      </c>
      <c r="E2343" s="189" t="s">
        <v>2951</v>
      </c>
      <c r="F2343" s="189" t="s">
        <v>2951</v>
      </c>
      <c r="G2343" s="189" t="s">
        <v>2952</v>
      </c>
      <c r="H2343" s="191" t="n">
        <v>46137</v>
      </c>
      <c r="I2343" s="189" t="s">
        <v>113</v>
      </c>
      <c r="J2343" s="189" t="s">
        <v>108</v>
      </c>
      <c r="K2343" s="189" t="s">
        <v>2953</v>
      </c>
      <c r="L2343" s="189" t="s">
        <v>130</v>
      </c>
      <c r="M2343" s="189" t="s">
        <v>447</v>
      </c>
      <c r="N2343" s="189" t="s">
        <v>1381</v>
      </c>
      <c r="O2343" s="189" t="s">
        <v>107</v>
      </c>
      <c r="P2343" s="189" t="s">
        <v>111</v>
      </c>
      <c r="Q2343" s="189" t="s">
        <v>112</v>
      </c>
      <c r="R2343" s="189" t="s">
        <v>22</v>
      </c>
      <c r="S2343" s="189" t="s">
        <v>120</v>
      </c>
      <c r="T2343" s="189" t="s">
        <v>1406</v>
      </c>
      <c r="V2343" s="189" t="s">
        <v>123</v>
      </c>
      <c r="W2343" s="189" t="s">
        <v>124</v>
      </c>
      <c r="X2343" s="189" t="s">
        <v>381</v>
      </c>
      <c r="Y2343" s="189" t="s">
        <v>3064</v>
      </c>
      <c r="Z2343" s="0" t="n">
        <v>2</v>
      </c>
      <c r="AA2343" s="189" t="s">
        <v>3233</v>
      </c>
    </row>
    <row r="2344" customFormat="false" ht="15" hidden="false" customHeight="false" outlineLevel="0" collapsed="false">
      <c r="A2344" s="0" t="n">
        <v>500</v>
      </c>
      <c r="B2344" s="191" t="n">
        <v>46146.2688058731</v>
      </c>
      <c r="C2344" s="191" t="n">
        <v>46146.2716067991</v>
      </c>
      <c r="D2344" s="189" t="s">
        <v>2950</v>
      </c>
      <c r="E2344" s="189" t="s">
        <v>2951</v>
      </c>
      <c r="F2344" s="189" t="s">
        <v>2951</v>
      </c>
      <c r="G2344" s="189" t="s">
        <v>2952</v>
      </c>
      <c r="H2344" s="191" t="n">
        <v>46137</v>
      </c>
      <c r="I2344" s="189" t="s">
        <v>113</v>
      </c>
      <c r="J2344" s="189" t="s">
        <v>108</v>
      </c>
      <c r="K2344" s="189" t="s">
        <v>2953</v>
      </c>
      <c r="L2344" s="189" t="s">
        <v>130</v>
      </c>
      <c r="M2344" s="189" t="s">
        <v>447</v>
      </c>
      <c r="N2344" s="189" t="s">
        <v>1381</v>
      </c>
      <c r="O2344" s="189" t="s">
        <v>107</v>
      </c>
      <c r="P2344" s="189" t="s">
        <v>111</v>
      </c>
      <c r="Q2344" s="189" t="s">
        <v>112</v>
      </c>
      <c r="R2344" s="189" t="s">
        <v>22</v>
      </c>
      <c r="S2344" s="189" t="s">
        <v>120</v>
      </c>
      <c r="T2344" s="189" t="s">
        <v>1406</v>
      </c>
      <c r="V2344" s="189" t="s">
        <v>123</v>
      </c>
      <c r="W2344" s="189" t="s">
        <v>124</v>
      </c>
      <c r="X2344" s="189" t="s">
        <v>381</v>
      </c>
      <c r="Y2344" s="189" t="s">
        <v>3066</v>
      </c>
      <c r="Z2344" s="0" t="n">
        <v>1</v>
      </c>
      <c r="AA2344" s="189" t="s">
        <v>3161</v>
      </c>
    </row>
    <row r="2345" customFormat="false" ht="15" hidden="false" customHeight="false" outlineLevel="0" collapsed="false">
      <c r="A2345" s="0" t="n">
        <v>500</v>
      </c>
      <c r="B2345" s="191" t="n">
        <v>46146.2688058731</v>
      </c>
      <c r="C2345" s="191" t="n">
        <v>46146.2716067991</v>
      </c>
      <c r="D2345" s="189" t="s">
        <v>2950</v>
      </c>
      <c r="E2345" s="189" t="s">
        <v>2951</v>
      </c>
      <c r="F2345" s="189" t="s">
        <v>2951</v>
      </c>
      <c r="G2345" s="189" t="s">
        <v>2952</v>
      </c>
      <c r="H2345" s="191" t="n">
        <v>46137</v>
      </c>
      <c r="I2345" s="189" t="s">
        <v>113</v>
      </c>
      <c r="J2345" s="189" t="s">
        <v>108</v>
      </c>
      <c r="K2345" s="189" t="s">
        <v>2953</v>
      </c>
      <c r="L2345" s="189" t="s">
        <v>130</v>
      </c>
      <c r="M2345" s="189" t="s">
        <v>447</v>
      </c>
      <c r="N2345" s="189" t="s">
        <v>1381</v>
      </c>
      <c r="O2345" s="189" t="s">
        <v>107</v>
      </c>
      <c r="P2345" s="189" t="s">
        <v>111</v>
      </c>
      <c r="Q2345" s="189" t="s">
        <v>112</v>
      </c>
      <c r="R2345" s="189" t="s">
        <v>22</v>
      </c>
      <c r="S2345" s="189" t="s">
        <v>120</v>
      </c>
      <c r="T2345" s="189" t="s">
        <v>1406</v>
      </c>
      <c r="V2345" s="189" t="s">
        <v>123</v>
      </c>
      <c r="W2345" s="189" t="s">
        <v>124</v>
      </c>
      <c r="X2345" s="189" t="s">
        <v>381</v>
      </c>
      <c r="Y2345" s="189" t="s">
        <v>3069</v>
      </c>
      <c r="Z2345" s="0" t="n">
        <v>1</v>
      </c>
      <c r="AA2345" s="189" t="s">
        <v>3181</v>
      </c>
    </row>
    <row r="4990" customFormat="false" ht="22.5" hidden="false" customHeight="true" outlineLevel="0" collapsed="false"/>
    <row r="4991" customFormat="false" ht="9.75" hidden="false" customHeight="true" outlineLevel="0" collapsed="false"/>
    <row r="4992" customFormat="false" ht="10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048576"/>
  <sheetViews>
    <sheetView showFormulas="false" showGridLines="true" showRowColHeaders="true" showZeros="true" rightToLeft="false" tabSelected="false" showOutlineSymbols="true" defaultGridColor="true" view="normal" topLeftCell="A148" colorId="64" zoomScale="100" zoomScaleNormal="100" zoomScalePageLayoutView="100" workbookViewId="0">
      <selection pane="topLeft" activeCell="A168" activeCellId="0" sqref="A16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185" width="13.15"/>
    <col collapsed="false" customWidth="true" hidden="false" outlineLevel="0" max="3" min="3" style="185" width="14.29"/>
    <col collapsed="false" customWidth="true" hidden="false" outlineLevel="0" max="4" min="4" style="0" width="30"/>
    <col collapsed="false" customWidth="true" hidden="false" outlineLevel="0" max="6" min="5" style="0" width="25"/>
    <col collapsed="false" customWidth="true" hidden="false" outlineLevel="0" max="7" min="7" style="0" width="17"/>
    <col collapsed="false" customWidth="true" hidden="false" outlineLevel="0" max="8" min="8" style="185" width="12.86"/>
    <col collapsed="false" customWidth="true" hidden="false" outlineLevel="0" max="9" min="9" style="0" width="31"/>
    <col collapsed="false" customWidth="true" hidden="false" outlineLevel="0" max="10" min="10" style="0" width="40"/>
    <col collapsed="false" customWidth="true" hidden="false" outlineLevel="0" max="11" min="11" style="0" width="20"/>
    <col collapsed="false" customWidth="true" hidden="false" outlineLevel="0" max="12" min="12" style="0" width="37"/>
    <col collapsed="false" customWidth="true" hidden="false" outlineLevel="0" max="13" min="13" style="0" width="25"/>
    <col collapsed="false" customWidth="true" hidden="false" outlineLevel="0" max="14" min="14" style="0" width="45"/>
    <col collapsed="false" customWidth="true" hidden="false" outlineLevel="0" max="15" min="15" style="0" width="31"/>
    <col collapsed="false" customWidth="true" hidden="false" outlineLevel="0" max="16" min="16" style="0" width="12"/>
    <col collapsed="false" customWidth="true" hidden="false" outlineLevel="0" max="17" min="17" style="0" width="27"/>
    <col collapsed="false" customWidth="true" hidden="false" outlineLevel="0" max="18" min="18" style="0" width="17"/>
    <col collapsed="false" customWidth="true" hidden="false" outlineLevel="0" max="19" min="19" style="0" width="19"/>
    <col collapsed="false" customWidth="true" hidden="false" outlineLevel="0" max="21" min="20" style="0" width="45"/>
    <col collapsed="false" customWidth="true" hidden="false" outlineLevel="0" max="22" min="22" style="0" width="12"/>
    <col collapsed="false" customWidth="true" hidden="false" outlineLevel="0" max="23" min="23" style="0" width="13"/>
    <col collapsed="false" customWidth="true" hidden="false" outlineLevel="0" max="25" min="24" style="0" width="30"/>
    <col collapsed="false" customWidth="true" hidden="false" outlineLevel="0" max="26" min="26" style="0" width="63.42"/>
    <col collapsed="false" customWidth="true" hidden="false" outlineLevel="0" max="28" min="27" style="0" width="24.42"/>
    <col collapsed="false" customWidth="true" hidden="false" outlineLevel="0" max="29" min="29" style="0" width="46.42"/>
    <col collapsed="false" customWidth="true" hidden="false" outlineLevel="0" max="31" min="30" style="0" width="56.29"/>
    <col collapsed="false" customWidth="true" hidden="false" outlineLevel="0" max="32" min="32" style="0" width="56"/>
    <col collapsed="false" customWidth="true" hidden="false" outlineLevel="0" max="33" min="33" style="0" width="94.42"/>
    <col collapsed="false" customWidth="true" hidden="false" outlineLevel="0" max="34" min="34" style="0" width="37.29"/>
    <col collapsed="false" customWidth="true" hidden="false" outlineLevel="0" max="35" min="35" style="0" width="64.85"/>
    <col collapsed="false" customWidth="true" hidden="false" outlineLevel="0" max="36" min="36" style="0" width="58.14"/>
    <col collapsed="false" customWidth="true" hidden="false" outlineLevel="0" max="37" min="37" style="0" width="45"/>
  </cols>
  <sheetData>
    <row r="1" customFormat="false" ht="30.75" hidden="false" customHeight="true" outlineLevel="0" collapsed="false">
      <c r="A1" s="192" t="s">
        <v>0</v>
      </c>
      <c r="B1" s="193" t="s">
        <v>1</v>
      </c>
      <c r="C1" s="193" t="s">
        <v>2</v>
      </c>
      <c r="D1" s="194" t="s">
        <v>3</v>
      </c>
      <c r="E1" s="194" t="s">
        <v>4</v>
      </c>
      <c r="F1" s="194" t="s">
        <v>5</v>
      </c>
      <c r="G1" s="194" t="s">
        <v>6</v>
      </c>
      <c r="H1" s="193" t="s">
        <v>7</v>
      </c>
      <c r="I1" s="194" t="s">
        <v>14</v>
      </c>
      <c r="J1" s="194" t="s">
        <v>9</v>
      </c>
      <c r="K1" s="194" t="s">
        <v>3058</v>
      </c>
      <c r="L1" s="194" t="s">
        <v>3059</v>
      </c>
      <c r="M1" s="194" t="s">
        <v>3060</v>
      </c>
      <c r="N1" s="194" t="s">
        <v>3061</v>
      </c>
      <c r="O1" s="194" t="s">
        <v>8</v>
      </c>
      <c r="P1" s="194" t="s">
        <v>12</v>
      </c>
      <c r="Q1" s="194" t="s">
        <v>13</v>
      </c>
      <c r="R1" s="194" t="s">
        <v>20</v>
      </c>
      <c r="S1" s="194" t="s">
        <v>95</v>
      </c>
      <c r="T1" s="194" t="s">
        <v>96</v>
      </c>
      <c r="U1" s="194" t="s">
        <v>97</v>
      </c>
      <c r="V1" s="194" t="s">
        <v>98</v>
      </c>
      <c r="W1" s="194" t="s">
        <v>99</v>
      </c>
      <c r="X1" s="194" t="s">
        <v>3344</v>
      </c>
      <c r="Y1" s="194" t="s">
        <v>3345</v>
      </c>
      <c r="Z1" s="194" t="s">
        <v>3064</v>
      </c>
      <c r="AA1" s="189" t="s">
        <v>3346</v>
      </c>
      <c r="AB1" s="189" t="s">
        <v>3347</v>
      </c>
      <c r="AC1" s="189" t="s">
        <v>3348</v>
      </c>
      <c r="AD1" s="189" t="s">
        <v>3349</v>
      </c>
      <c r="AE1" s="189" t="s">
        <v>3350</v>
      </c>
      <c r="AF1" s="189" t="s">
        <v>3351</v>
      </c>
      <c r="AG1" s="194" t="s">
        <v>3069</v>
      </c>
      <c r="AH1" s="189" t="s">
        <v>3352</v>
      </c>
      <c r="AI1" s="189" t="s">
        <v>3353</v>
      </c>
      <c r="AJ1" s="189" t="s">
        <v>3354</v>
      </c>
      <c r="AK1" s="195" t="s">
        <v>3172</v>
      </c>
      <c r="AL1" s="189" t="s">
        <v>3355</v>
      </c>
    </row>
    <row r="2" customFormat="false" ht="15" hidden="false" customHeight="true" outlineLevel="0" collapsed="false">
      <c r="A2" s="0" t="n">
        <v>1</v>
      </c>
      <c r="B2" s="185" t="n">
        <v>46150.5170681434</v>
      </c>
      <c r="C2" s="185" t="n">
        <v>46150.5336074953</v>
      </c>
      <c r="D2" s="189" t="s">
        <v>103</v>
      </c>
      <c r="E2" s="189" t="s">
        <v>104</v>
      </c>
      <c r="F2" s="189" t="s">
        <v>105</v>
      </c>
      <c r="G2" s="189" t="s">
        <v>106</v>
      </c>
      <c r="H2" s="185" t="n">
        <v>46142</v>
      </c>
      <c r="I2" s="189" t="s">
        <v>113</v>
      </c>
      <c r="J2" s="189" t="s">
        <v>108</v>
      </c>
      <c r="K2" s="189" t="s">
        <v>109</v>
      </c>
      <c r="L2" s="189" t="s">
        <v>110</v>
      </c>
      <c r="M2" s="189" t="s">
        <v>114</v>
      </c>
      <c r="N2" s="189" t="s">
        <v>115</v>
      </c>
      <c r="O2" s="189" t="s">
        <v>107</v>
      </c>
      <c r="P2" s="189" t="s">
        <v>111</v>
      </c>
      <c r="Q2" s="189" t="s">
        <v>112</v>
      </c>
      <c r="R2" s="189" t="s">
        <v>22</v>
      </c>
      <c r="S2" s="189" t="s">
        <v>120</v>
      </c>
      <c r="T2" s="189" t="s">
        <v>121</v>
      </c>
      <c r="U2" s="189" t="s">
        <v>122</v>
      </c>
      <c r="V2" s="189" t="s">
        <v>123</v>
      </c>
      <c r="W2" s="189" t="s">
        <v>124</v>
      </c>
      <c r="X2" s="189" t="s">
        <v>116</v>
      </c>
      <c r="Y2" s="189" t="s">
        <v>116</v>
      </c>
      <c r="Z2" s="189" t="s">
        <v>3065</v>
      </c>
      <c r="AG2" s="189" t="s">
        <v>122</v>
      </c>
      <c r="AH2" s="189" t="s">
        <v>3070</v>
      </c>
    </row>
    <row r="3" customFormat="false" ht="15" hidden="false" customHeight="true" outlineLevel="0" collapsed="false">
      <c r="A3" s="0" t="n">
        <v>2</v>
      </c>
      <c r="B3" s="185" t="n">
        <v>46110.8180594179</v>
      </c>
      <c r="C3" s="185" t="n">
        <v>46110.8385686771</v>
      </c>
      <c r="D3" s="189" t="s">
        <v>125</v>
      </c>
      <c r="E3" s="189" t="s">
        <v>126</v>
      </c>
      <c r="F3" s="189" t="s">
        <v>126</v>
      </c>
      <c r="G3" s="189" t="s">
        <v>127</v>
      </c>
      <c r="H3" s="185" t="n">
        <v>46093</v>
      </c>
      <c r="I3" s="189" t="s">
        <v>132</v>
      </c>
      <c r="J3" s="189" t="s">
        <v>128</v>
      </c>
      <c r="K3" s="189" t="s">
        <v>129</v>
      </c>
      <c r="L3" s="189" t="s">
        <v>130</v>
      </c>
      <c r="M3" s="189" t="s">
        <v>133</v>
      </c>
      <c r="N3" s="189" t="s">
        <v>134</v>
      </c>
      <c r="O3" s="189" t="s">
        <v>107</v>
      </c>
      <c r="P3" s="189" t="s">
        <v>131</v>
      </c>
      <c r="Q3" s="189" t="s">
        <v>112</v>
      </c>
      <c r="R3" s="189" t="s">
        <v>22</v>
      </c>
      <c r="S3" s="189" t="s">
        <v>120</v>
      </c>
      <c r="T3" s="189" t="s">
        <v>121</v>
      </c>
      <c r="V3" s="189" t="s">
        <v>123</v>
      </c>
      <c r="W3" s="189" t="s">
        <v>139</v>
      </c>
      <c r="X3" s="189" t="s">
        <v>135</v>
      </c>
      <c r="Y3" s="189" t="s">
        <v>135</v>
      </c>
      <c r="Z3" s="189" t="s">
        <v>3071</v>
      </c>
      <c r="AA3" s="189" t="s">
        <v>3072</v>
      </c>
      <c r="AB3" s="189" t="s">
        <v>3073</v>
      </c>
      <c r="AG3" s="189" t="s">
        <v>3075</v>
      </c>
      <c r="AH3" s="189" t="s">
        <v>122</v>
      </c>
    </row>
    <row r="4" customFormat="false" ht="15" hidden="false" customHeight="true" outlineLevel="0" collapsed="false">
      <c r="A4" s="0" t="n">
        <v>3</v>
      </c>
      <c r="B4" s="185" t="n">
        <v>46143.6893473151</v>
      </c>
      <c r="C4" s="185" t="n">
        <v>46143.7080162966</v>
      </c>
      <c r="D4" s="189" t="s">
        <v>140</v>
      </c>
      <c r="E4" s="189" t="s">
        <v>141</v>
      </c>
      <c r="F4" s="189" t="s">
        <v>141</v>
      </c>
      <c r="G4" s="189" t="s">
        <v>142</v>
      </c>
      <c r="H4" s="185" t="n">
        <v>46131</v>
      </c>
      <c r="I4" s="189" t="s">
        <v>113</v>
      </c>
      <c r="J4" s="189" t="s">
        <v>128</v>
      </c>
      <c r="K4" s="189" t="s">
        <v>143</v>
      </c>
      <c r="L4" s="189" t="s">
        <v>144</v>
      </c>
      <c r="M4" s="189" t="s">
        <v>146</v>
      </c>
      <c r="N4" s="189" t="s">
        <v>147</v>
      </c>
      <c r="O4" s="189" t="s">
        <v>107</v>
      </c>
      <c r="P4" s="189" t="s">
        <v>131</v>
      </c>
      <c r="Q4" s="189" t="s">
        <v>145</v>
      </c>
      <c r="R4" s="189" t="s">
        <v>22</v>
      </c>
      <c r="S4" s="189" t="s">
        <v>152</v>
      </c>
      <c r="T4" s="189" t="s">
        <v>121</v>
      </c>
      <c r="U4" s="189" t="s">
        <v>153</v>
      </c>
      <c r="V4" s="189" t="s">
        <v>123</v>
      </c>
      <c r="W4" s="189" t="s">
        <v>124</v>
      </c>
      <c r="X4" s="189" t="s">
        <v>148</v>
      </c>
      <c r="Y4" s="189" t="s">
        <v>148</v>
      </c>
      <c r="Z4" s="189" t="s">
        <v>3076</v>
      </c>
      <c r="AG4" s="189" t="s">
        <v>3079</v>
      </c>
      <c r="AH4" s="189" t="s">
        <v>3080</v>
      </c>
    </row>
    <row r="5" customFormat="false" ht="15" hidden="false" customHeight="true" outlineLevel="0" collapsed="false">
      <c r="A5" s="0" t="n">
        <v>4</v>
      </c>
      <c r="B5" s="185" t="n">
        <v>46115.7985240166</v>
      </c>
      <c r="C5" s="185" t="n">
        <v>46115.8031883685</v>
      </c>
      <c r="D5" s="189" t="s">
        <v>154</v>
      </c>
      <c r="E5" s="189" t="s">
        <v>155</v>
      </c>
      <c r="F5" s="189" t="s">
        <v>155</v>
      </c>
      <c r="G5" s="189" t="s">
        <v>156</v>
      </c>
      <c r="H5" s="185" t="n">
        <v>46114</v>
      </c>
      <c r="I5" s="189" t="s">
        <v>113</v>
      </c>
      <c r="J5" s="189" t="s">
        <v>108</v>
      </c>
      <c r="K5" s="189" t="s">
        <v>158</v>
      </c>
      <c r="L5" s="189" t="s">
        <v>159</v>
      </c>
      <c r="M5" s="189" t="s">
        <v>160</v>
      </c>
      <c r="N5" s="189" t="s">
        <v>161</v>
      </c>
      <c r="O5" s="189" t="s">
        <v>157</v>
      </c>
      <c r="P5" s="189" t="s">
        <v>111</v>
      </c>
      <c r="Q5" s="189" t="s">
        <v>112</v>
      </c>
      <c r="R5" s="189" t="s">
        <v>22</v>
      </c>
      <c r="S5" s="189" t="s">
        <v>152</v>
      </c>
      <c r="T5" s="189" t="s">
        <v>165</v>
      </c>
      <c r="U5" s="189" t="s">
        <v>166</v>
      </c>
      <c r="V5" s="189" t="s">
        <v>167</v>
      </c>
      <c r="W5" s="189" t="s">
        <v>168</v>
      </c>
      <c r="X5" s="189" t="s">
        <v>116</v>
      </c>
      <c r="Y5" s="189" t="s">
        <v>116</v>
      </c>
      <c r="Z5" s="189" t="s">
        <v>3081</v>
      </c>
      <c r="AG5" s="189" t="s">
        <v>3083</v>
      </c>
      <c r="AH5" s="189" t="s">
        <v>3070</v>
      </c>
    </row>
    <row r="6" customFormat="false" ht="15" hidden="false" customHeight="true" outlineLevel="0" collapsed="false">
      <c r="A6" s="0" t="n">
        <v>5</v>
      </c>
      <c r="B6" s="185" t="n">
        <v>46084.5259661708</v>
      </c>
      <c r="C6" s="185" t="n">
        <v>46084.5424939486</v>
      </c>
      <c r="D6" s="189" t="s">
        <v>169</v>
      </c>
      <c r="E6" s="189" t="s">
        <v>170</v>
      </c>
      <c r="F6" s="189" t="s">
        <v>170</v>
      </c>
      <c r="G6" s="189" t="s">
        <v>171</v>
      </c>
      <c r="H6" s="185" t="n">
        <v>46080</v>
      </c>
      <c r="I6" s="189" t="s">
        <v>113</v>
      </c>
      <c r="J6" s="189" t="s">
        <v>108</v>
      </c>
      <c r="K6" s="189" t="s">
        <v>173</v>
      </c>
      <c r="L6" s="189" t="s">
        <v>144</v>
      </c>
      <c r="M6" s="189" t="s">
        <v>174</v>
      </c>
      <c r="N6" s="189" t="s">
        <v>175</v>
      </c>
      <c r="O6" s="189" t="s">
        <v>172</v>
      </c>
      <c r="P6" s="189" t="s">
        <v>111</v>
      </c>
      <c r="Q6" s="189" t="s">
        <v>112</v>
      </c>
      <c r="R6" s="189" t="s">
        <v>22</v>
      </c>
      <c r="S6" s="189" t="s">
        <v>152</v>
      </c>
      <c r="T6" s="189" t="s">
        <v>180</v>
      </c>
      <c r="U6" s="189" t="s">
        <v>122</v>
      </c>
      <c r="V6" s="189" t="s">
        <v>123</v>
      </c>
      <c r="W6" s="189" t="s">
        <v>124</v>
      </c>
      <c r="X6" s="189" t="s">
        <v>176</v>
      </c>
      <c r="Y6" s="189" t="s">
        <v>176</v>
      </c>
      <c r="Z6" s="189" t="s">
        <v>3084</v>
      </c>
      <c r="AA6" s="189" t="s">
        <v>3085</v>
      </c>
      <c r="AB6" s="189" t="s">
        <v>3086</v>
      </c>
      <c r="AG6" s="189" t="s">
        <v>3088</v>
      </c>
    </row>
    <row r="7" customFormat="false" ht="27.75" hidden="false" customHeight="true" outlineLevel="0" collapsed="false">
      <c r="A7" s="0" t="n">
        <v>6</v>
      </c>
      <c r="B7" s="185" t="n">
        <v>46050.7368602226</v>
      </c>
      <c r="C7" s="185" t="n">
        <v>46050.7456333708</v>
      </c>
      <c r="D7" s="189" t="s">
        <v>181</v>
      </c>
      <c r="E7" s="189" t="s">
        <v>182</v>
      </c>
      <c r="F7" s="189" t="s">
        <v>182</v>
      </c>
      <c r="G7" s="189" t="s">
        <v>183</v>
      </c>
      <c r="H7" s="185" t="n">
        <v>46030</v>
      </c>
      <c r="I7" s="189" t="s">
        <v>113</v>
      </c>
      <c r="J7" s="189" t="s">
        <v>128</v>
      </c>
      <c r="K7" s="189" t="s">
        <v>143</v>
      </c>
      <c r="L7" s="189" t="s">
        <v>184</v>
      </c>
      <c r="M7" s="189" t="s">
        <v>185</v>
      </c>
      <c r="N7" s="132" t="s">
        <v>186</v>
      </c>
      <c r="O7" s="189" t="s">
        <v>172</v>
      </c>
      <c r="P7" s="189" t="s">
        <v>111</v>
      </c>
      <c r="Q7" s="189" t="s">
        <v>112</v>
      </c>
      <c r="R7" s="189" t="s">
        <v>21</v>
      </c>
      <c r="S7" s="189" t="s">
        <v>152</v>
      </c>
      <c r="T7" s="189" t="s">
        <v>121</v>
      </c>
      <c r="U7" s="189" t="s">
        <v>191</v>
      </c>
      <c r="V7" s="189" t="s">
        <v>192</v>
      </c>
      <c r="W7" s="189" t="s">
        <v>124</v>
      </c>
      <c r="X7" s="189" t="s">
        <v>187</v>
      </c>
      <c r="Y7" s="189" t="s">
        <v>187</v>
      </c>
      <c r="Z7" s="189" t="s">
        <v>3089</v>
      </c>
      <c r="AG7" s="189" t="s">
        <v>3091</v>
      </c>
    </row>
    <row r="8" customFormat="false" ht="15" hidden="false" customHeight="true" outlineLevel="0" collapsed="false">
      <c r="A8" s="0" t="n">
        <v>7</v>
      </c>
      <c r="B8" s="185" t="n">
        <v>46144.000964134</v>
      </c>
      <c r="C8" s="185" t="n">
        <v>46144.0135567266</v>
      </c>
      <c r="D8" s="189" t="s">
        <v>193</v>
      </c>
      <c r="E8" s="189" t="s">
        <v>194</v>
      </c>
      <c r="F8" s="189" t="s">
        <v>194</v>
      </c>
      <c r="G8" s="189" t="s">
        <v>195</v>
      </c>
      <c r="H8" s="185" t="n">
        <v>46141</v>
      </c>
      <c r="I8" s="189" t="s">
        <v>113</v>
      </c>
      <c r="J8" s="189" t="s">
        <v>108</v>
      </c>
      <c r="K8" s="189" t="s">
        <v>196</v>
      </c>
      <c r="L8" s="189" t="s">
        <v>197</v>
      </c>
      <c r="M8" s="189" t="s">
        <v>199</v>
      </c>
      <c r="N8" s="189" t="s">
        <v>200</v>
      </c>
      <c r="O8" s="189" t="s">
        <v>107</v>
      </c>
      <c r="P8" s="189" t="s">
        <v>111</v>
      </c>
      <c r="Q8" s="189" t="s">
        <v>198</v>
      </c>
      <c r="R8" s="189" t="s">
        <v>22</v>
      </c>
      <c r="S8" s="189" t="s">
        <v>152</v>
      </c>
      <c r="T8" s="189" t="s">
        <v>121</v>
      </c>
      <c r="U8" s="189" t="s">
        <v>204</v>
      </c>
      <c r="V8" s="189" t="s">
        <v>123</v>
      </c>
      <c r="W8" s="189" t="s">
        <v>168</v>
      </c>
      <c r="X8" s="189" t="s">
        <v>148</v>
      </c>
      <c r="Y8" s="189" t="s">
        <v>148</v>
      </c>
      <c r="Z8" s="189" t="s">
        <v>3092</v>
      </c>
      <c r="AG8" s="189" t="s">
        <v>3094</v>
      </c>
      <c r="AH8" s="189" t="s">
        <v>3080</v>
      </c>
    </row>
    <row r="9" customFormat="false" ht="15" hidden="false" customHeight="true" outlineLevel="0" collapsed="false">
      <c r="A9" s="0" t="n">
        <v>8</v>
      </c>
      <c r="B9" s="185" t="n">
        <v>46056.5921601329</v>
      </c>
      <c r="C9" s="185" t="n">
        <v>46056.593896244</v>
      </c>
      <c r="D9" s="189" t="s">
        <v>206</v>
      </c>
      <c r="E9" s="189" t="s">
        <v>207</v>
      </c>
      <c r="F9" s="189" t="s">
        <v>207</v>
      </c>
      <c r="G9" s="189" t="s">
        <v>208</v>
      </c>
      <c r="H9" s="185" t="n">
        <v>46049</v>
      </c>
      <c r="I9" s="189" t="s">
        <v>113</v>
      </c>
      <c r="J9" s="189" t="s">
        <v>108</v>
      </c>
      <c r="K9" s="189" t="s">
        <v>209</v>
      </c>
      <c r="L9" s="189" t="s">
        <v>210</v>
      </c>
      <c r="M9" s="189" t="s">
        <v>212</v>
      </c>
      <c r="N9" s="189" t="s">
        <v>213</v>
      </c>
      <c r="O9" s="189" t="s">
        <v>107</v>
      </c>
      <c r="P9" s="189" t="s">
        <v>211</v>
      </c>
      <c r="Q9" s="189" t="s">
        <v>112</v>
      </c>
      <c r="R9" s="189" t="s">
        <v>24</v>
      </c>
      <c r="S9" s="189" t="s">
        <v>152</v>
      </c>
      <c r="T9" s="189" t="s">
        <v>121</v>
      </c>
      <c r="U9" s="189" t="s">
        <v>218</v>
      </c>
      <c r="V9" s="189" t="s">
        <v>123</v>
      </c>
      <c r="W9" s="189" t="s">
        <v>124</v>
      </c>
      <c r="X9" s="189" t="s">
        <v>214</v>
      </c>
      <c r="Y9" s="189" t="s">
        <v>214</v>
      </c>
      <c r="Z9" s="189" t="s">
        <v>3095</v>
      </c>
      <c r="AA9" s="189" t="s">
        <v>3065</v>
      </c>
      <c r="AG9" s="189" t="s">
        <v>3070</v>
      </c>
      <c r="AH9" s="189" t="s">
        <v>122</v>
      </c>
    </row>
    <row r="10" customFormat="false" ht="15" hidden="false" customHeight="true" outlineLevel="0" collapsed="false">
      <c r="A10" s="0" t="n">
        <v>9</v>
      </c>
      <c r="B10" s="185" t="n">
        <v>46068.9054023825</v>
      </c>
      <c r="C10" s="185" t="n">
        <v>46068.9086894196</v>
      </c>
      <c r="D10" s="189" t="s">
        <v>220</v>
      </c>
      <c r="E10" s="189" t="s">
        <v>221</v>
      </c>
      <c r="F10" s="189" t="s">
        <v>221</v>
      </c>
      <c r="G10" s="189" t="s">
        <v>222</v>
      </c>
      <c r="H10" s="185" t="n">
        <v>46049</v>
      </c>
      <c r="I10" s="189" t="s">
        <v>113</v>
      </c>
      <c r="J10" s="189" t="s">
        <v>128</v>
      </c>
      <c r="K10" s="189" t="s">
        <v>143</v>
      </c>
      <c r="L10" s="189" t="s">
        <v>197</v>
      </c>
      <c r="M10" s="189" t="s">
        <v>144</v>
      </c>
      <c r="N10" s="189" t="s">
        <v>147</v>
      </c>
      <c r="O10" s="189" t="s">
        <v>107</v>
      </c>
      <c r="P10" s="189" t="s">
        <v>111</v>
      </c>
      <c r="Q10" s="189" t="s">
        <v>112</v>
      </c>
      <c r="R10" s="189" t="s">
        <v>24</v>
      </c>
      <c r="S10" s="189" t="s">
        <v>227</v>
      </c>
      <c r="T10" s="189" t="s">
        <v>228</v>
      </c>
      <c r="U10" s="189" t="s">
        <v>122</v>
      </c>
      <c r="V10" s="189" t="s">
        <v>192</v>
      </c>
      <c r="W10" s="189" t="s">
        <v>124</v>
      </c>
      <c r="X10" s="189" t="s">
        <v>223</v>
      </c>
      <c r="Y10" s="189" t="s">
        <v>223</v>
      </c>
      <c r="Z10" s="189" t="s">
        <v>3096</v>
      </c>
      <c r="AA10" s="189" t="s">
        <v>3097</v>
      </c>
      <c r="AB10" s="189" t="s">
        <v>3098</v>
      </c>
      <c r="AG10" s="189" t="s">
        <v>3101</v>
      </c>
      <c r="AH10" s="189" t="s">
        <v>3102</v>
      </c>
    </row>
    <row r="11" customFormat="false" ht="15" hidden="false" customHeight="true" outlineLevel="0" collapsed="false">
      <c r="A11" s="0" t="n">
        <v>10</v>
      </c>
      <c r="B11" s="185" t="n">
        <v>46174.9093224496</v>
      </c>
      <c r="C11" s="185" t="n">
        <v>46174.9189752274</v>
      </c>
      <c r="D11" s="189" t="s">
        <v>229</v>
      </c>
      <c r="E11" s="189" t="s">
        <v>230</v>
      </c>
      <c r="F11" s="189" t="s">
        <v>230</v>
      </c>
      <c r="G11" s="189" t="s">
        <v>231</v>
      </c>
      <c r="H11" s="185" t="n">
        <v>46163</v>
      </c>
      <c r="I11" s="189" t="s">
        <v>113</v>
      </c>
      <c r="J11" s="189" t="s">
        <v>108</v>
      </c>
      <c r="K11" s="189" t="s">
        <v>232</v>
      </c>
      <c r="L11" s="189" t="s">
        <v>233</v>
      </c>
      <c r="M11" s="189" t="s">
        <v>234</v>
      </c>
      <c r="N11" s="189" t="s">
        <v>235</v>
      </c>
      <c r="O11" s="189" t="s">
        <v>172</v>
      </c>
      <c r="P11" s="189" t="s">
        <v>111</v>
      </c>
      <c r="Q11" s="189" t="s">
        <v>145</v>
      </c>
      <c r="R11" s="189" t="s">
        <v>24</v>
      </c>
      <c r="S11" s="189" t="s">
        <v>152</v>
      </c>
      <c r="T11" s="189" t="s">
        <v>180</v>
      </c>
      <c r="U11" s="189" t="s">
        <v>239</v>
      </c>
      <c r="V11" s="189" t="s">
        <v>192</v>
      </c>
      <c r="W11" s="189" t="s">
        <v>168</v>
      </c>
      <c r="X11" s="189" t="s">
        <v>223</v>
      </c>
      <c r="Y11" s="189" t="s">
        <v>223</v>
      </c>
      <c r="Z11" s="189" t="s">
        <v>3103</v>
      </c>
      <c r="AA11" s="189" t="s">
        <v>3104</v>
      </c>
      <c r="AG11" s="189" t="s">
        <v>3102</v>
      </c>
      <c r="AH11" s="189" t="s">
        <v>3106</v>
      </c>
    </row>
    <row r="12" customFormat="false" ht="15" hidden="false" customHeight="true" outlineLevel="0" collapsed="false">
      <c r="A12" s="0" t="n">
        <v>11</v>
      </c>
      <c r="B12" s="185" t="n">
        <v>46103.189527483</v>
      </c>
      <c r="C12" s="185" t="n">
        <v>46103.1974672979</v>
      </c>
      <c r="D12" s="189" t="s">
        <v>240</v>
      </c>
      <c r="E12" s="189" t="s">
        <v>241</v>
      </c>
      <c r="F12" s="189" t="s">
        <v>242</v>
      </c>
      <c r="G12" s="189" t="s">
        <v>243</v>
      </c>
      <c r="H12" s="185" t="n">
        <v>46099</v>
      </c>
      <c r="I12" s="189" t="s">
        <v>113</v>
      </c>
      <c r="J12" s="189" t="s">
        <v>108</v>
      </c>
      <c r="K12" s="189" t="s">
        <v>245</v>
      </c>
      <c r="L12" s="189" t="s">
        <v>246</v>
      </c>
      <c r="M12" s="189" t="s">
        <v>248</v>
      </c>
      <c r="N12" s="189" t="s">
        <v>249</v>
      </c>
      <c r="O12" s="189" t="s">
        <v>244</v>
      </c>
      <c r="P12" s="189" t="s">
        <v>111</v>
      </c>
      <c r="Q12" s="189" t="s">
        <v>247</v>
      </c>
      <c r="R12" s="189" t="s">
        <v>21</v>
      </c>
      <c r="S12" s="189" t="s">
        <v>120</v>
      </c>
      <c r="T12" s="189" t="s">
        <v>121</v>
      </c>
      <c r="V12" s="189" t="s">
        <v>192</v>
      </c>
      <c r="W12" s="189" t="s">
        <v>168</v>
      </c>
      <c r="X12" s="189" t="s">
        <v>250</v>
      </c>
      <c r="Y12" s="189" t="s">
        <v>250</v>
      </c>
      <c r="Z12" s="189" t="s">
        <v>3065</v>
      </c>
      <c r="AA12" s="189" t="s">
        <v>3107</v>
      </c>
      <c r="AB12" s="189" t="s">
        <v>3095</v>
      </c>
      <c r="AG12" s="189" t="s">
        <v>3108</v>
      </c>
      <c r="AH12" s="189" t="s">
        <v>122</v>
      </c>
    </row>
    <row r="13" customFormat="false" ht="15" hidden="false" customHeight="true" outlineLevel="0" collapsed="false">
      <c r="A13" s="0" t="n">
        <v>12</v>
      </c>
      <c r="B13" s="185" t="n">
        <v>46156.1292617163</v>
      </c>
      <c r="C13" s="185" t="n">
        <v>46156.1362524571</v>
      </c>
      <c r="D13" s="189" t="s">
        <v>254</v>
      </c>
      <c r="E13" s="189" t="s">
        <v>255</v>
      </c>
      <c r="F13" s="189" t="s">
        <v>255</v>
      </c>
      <c r="G13" s="189" t="s">
        <v>256</v>
      </c>
      <c r="H13" s="185" t="n">
        <v>46151</v>
      </c>
      <c r="I13" s="189" t="s">
        <v>132</v>
      </c>
      <c r="J13" s="189" t="s">
        <v>108</v>
      </c>
      <c r="K13" s="189" t="s">
        <v>257</v>
      </c>
      <c r="L13" s="189" t="s">
        <v>159</v>
      </c>
      <c r="M13" s="189" t="s">
        <v>258</v>
      </c>
      <c r="N13" s="189" t="s">
        <v>259</v>
      </c>
      <c r="O13" s="189" t="s">
        <v>157</v>
      </c>
      <c r="P13" s="189" t="s">
        <v>131</v>
      </c>
      <c r="Q13" s="189" t="s">
        <v>145</v>
      </c>
      <c r="R13" s="189" t="s">
        <v>24</v>
      </c>
      <c r="S13" s="189" t="s">
        <v>120</v>
      </c>
      <c r="T13" s="189" t="s">
        <v>264</v>
      </c>
      <c r="U13" s="189" t="s">
        <v>122</v>
      </c>
      <c r="V13" s="189" t="s">
        <v>123</v>
      </c>
      <c r="W13" s="189" t="s">
        <v>124</v>
      </c>
      <c r="X13" s="189" t="s">
        <v>260</v>
      </c>
      <c r="Y13" s="189" t="s">
        <v>260</v>
      </c>
      <c r="Z13" s="189" t="s">
        <v>3109</v>
      </c>
      <c r="AA13" s="189" t="s">
        <v>3110</v>
      </c>
      <c r="AG13" s="189" t="s">
        <v>3112</v>
      </c>
      <c r="AH13" s="189" t="s">
        <v>3113</v>
      </c>
    </row>
    <row r="14" customFormat="false" ht="15" hidden="false" customHeight="true" outlineLevel="0" collapsed="false">
      <c r="A14" s="0" t="n">
        <v>13</v>
      </c>
      <c r="B14" s="185" t="n">
        <v>46166.8891120508</v>
      </c>
      <c r="C14" s="185" t="n">
        <v>46166.9025726989</v>
      </c>
      <c r="D14" s="189" t="s">
        <v>265</v>
      </c>
      <c r="E14" s="189" t="s">
        <v>266</v>
      </c>
      <c r="F14" s="189" t="s">
        <v>266</v>
      </c>
      <c r="G14" s="189" t="s">
        <v>267</v>
      </c>
      <c r="H14" s="185" t="n">
        <v>46149</v>
      </c>
      <c r="I14" s="189" t="s">
        <v>113</v>
      </c>
      <c r="J14" s="189" t="s">
        <v>108</v>
      </c>
      <c r="K14" s="189" t="s">
        <v>232</v>
      </c>
      <c r="L14" s="189" t="s">
        <v>268</v>
      </c>
      <c r="M14" s="189" t="s">
        <v>269</v>
      </c>
      <c r="N14" s="189" t="s">
        <v>270</v>
      </c>
      <c r="O14" s="189" t="s">
        <v>172</v>
      </c>
      <c r="P14" s="189" t="s">
        <v>111</v>
      </c>
      <c r="Q14" s="189" t="s">
        <v>198</v>
      </c>
      <c r="R14" s="189" t="s">
        <v>22</v>
      </c>
      <c r="S14" s="189" t="s">
        <v>152</v>
      </c>
      <c r="T14" s="189" t="s">
        <v>228</v>
      </c>
      <c r="U14" s="189" t="s">
        <v>122</v>
      </c>
      <c r="V14" s="189" t="s">
        <v>192</v>
      </c>
      <c r="W14" s="189" t="s">
        <v>124</v>
      </c>
      <c r="X14" s="189" t="s">
        <v>271</v>
      </c>
      <c r="Y14" s="189" t="s">
        <v>271</v>
      </c>
      <c r="Z14" s="189" t="s">
        <v>3114</v>
      </c>
      <c r="AA14" s="189" t="s">
        <v>3115</v>
      </c>
      <c r="AG14" s="189" t="s">
        <v>3118</v>
      </c>
      <c r="AH14" s="189" t="s">
        <v>3119</v>
      </c>
    </row>
    <row r="15" customFormat="false" ht="15" hidden="false" customHeight="true" outlineLevel="0" collapsed="false">
      <c r="A15" s="0" t="n">
        <v>14</v>
      </c>
      <c r="B15" s="185" t="n">
        <v>46083.0797662336</v>
      </c>
      <c r="C15" s="185" t="n">
        <v>46083.0889791965</v>
      </c>
      <c r="D15" s="189" t="s">
        <v>275</v>
      </c>
      <c r="E15" s="189" t="s">
        <v>276</v>
      </c>
      <c r="F15" s="189" t="s">
        <v>276</v>
      </c>
      <c r="G15" s="189" t="s">
        <v>277</v>
      </c>
      <c r="H15" s="185" t="n">
        <v>46080</v>
      </c>
      <c r="I15" s="189" t="s">
        <v>113</v>
      </c>
      <c r="J15" s="189" t="s">
        <v>108</v>
      </c>
      <c r="K15" s="189" t="s">
        <v>245</v>
      </c>
      <c r="L15" s="189" t="s">
        <v>144</v>
      </c>
      <c r="M15" s="189" t="s">
        <v>279</v>
      </c>
      <c r="N15" s="189" t="s">
        <v>280</v>
      </c>
      <c r="O15" s="189" t="s">
        <v>278</v>
      </c>
      <c r="P15" s="189" t="s">
        <v>111</v>
      </c>
      <c r="Q15" s="189" t="s">
        <v>112</v>
      </c>
      <c r="R15" s="189" t="s">
        <v>24</v>
      </c>
      <c r="S15" s="189" t="s">
        <v>120</v>
      </c>
      <c r="T15" s="189" t="s">
        <v>180</v>
      </c>
      <c r="V15" s="189" t="s">
        <v>192</v>
      </c>
      <c r="W15" s="189" t="s">
        <v>124</v>
      </c>
      <c r="X15" s="189" t="s">
        <v>223</v>
      </c>
      <c r="Y15" s="189" t="s">
        <v>223</v>
      </c>
      <c r="Z15" s="189" t="s">
        <v>3120</v>
      </c>
      <c r="AA15" s="189" t="s">
        <v>3097</v>
      </c>
      <c r="AB15" s="189" t="s">
        <v>3121</v>
      </c>
      <c r="AG15" s="189" t="s">
        <v>3102</v>
      </c>
      <c r="AH15" s="189" t="s">
        <v>3101</v>
      </c>
    </row>
    <row r="16" customFormat="false" ht="15" hidden="false" customHeight="true" outlineLevel="0" collapsed="false">
      <c r="A16" s="0" t="n">
        <v>15</v>
      </c>
      <c r="B16" s="185" t="n">
        <v>46075.6147429838</v>
      </c>
      <c r="C16" s="185" t="n">
        <v>46075.6317452986</v>
      </c>
      <c r="D16" s="189" t="s">
        <v>283</v>
      </c>
      <c r="E16" s="189" t="s">
        <v>284</v>
      </c>
      <c r="F16" s="189" t="s">
        <v>284</v>
      </c>
      <c r="G16" s="189" t="s">
        <v>285</v>
      </c>
      <c r="H16" s="185" t="n">
        <v>46055</v>
      </c>
      <c r="I16" s="189" t="s">
        <v>113</v>
      </c>
      <c r="J16" s="189" t="s">
        <v>108</v>
      </c>
      <c r="K16" s="189" t="s">
        <v>143</v>
      </c>
      <c r="L16" s="189" t="s">
        <v>130</v>
      </c>
      <c r="M16" s="189" t="s">
        <v>286</v>
      </c>
      <c r="N16" s="189" t="s">
        <v>287</v>
      </c>
      <c r="O16" s="189" t="s">
        <v>244</v>
      </c>
      <c r="P16" s="189" t="s">
        <v>111</v>
      </c>
      <c r="Q16" s="189" t="s">
        <v>112</v>
      </c>
      <c r="R16" s="189" t="s">
        <v>22</v>
      </c>
      <c r="S16" s="189" t="s">
        <v>120</v>
      </c>
      <c r="T16" s="189" t="s">
        <v>121</v>
      </c>
      <c r="U16" s="189" t="s">
        <v>291</v>
      </c>
      <c r="V16" s="189" t="s">
        <v>192</v>
      </c>
      <c r="W16" s="189" t="s">
        <v>124</v>
      </c>
      <c r="X16" s="189" t="s">
        <v>148</v>
      </c>
      <c r="Y16" s="189" t="s">
        <v>148</v>
      </c>
      <c r="Z16" s="189" t="s">
        <v>3122</v>
      </c>
      <c r="AA16" s="189" t="s">
        <v>3092</v>
      </c>
      <c r="AG16" s="189" t="s">
        <v>3094</v>
      </c>
    </row>
    <row r="17" customFormat="false" ht="15" hidden="false" customHeight="true" outlineLevel="0" collapsed="false">
      <c r="A17" s="0" t="n">
        <v>16</v>
      </c>
      <c r="B17" s="185" t="n">
        <v>46082.676953572</v>
      </c>
      <c r="C17" s="185" t="n">
        <v>46082.6915484794</v>
      </c>
      <c r="D17" s="189" t="s">
        <v>292</v>
      </c>
      <c r="E17" s="189" t="s">
        <v>293</v>
      </c>
      <c r="F17" s="189" t="s">
        <v>293</v>
      </c>
      <c r="G17" s="189" t="s">
        <v>294</v>
      </c>
      <c r="H17" s="185" t="n">
        <v>46079</v>
      </c>
      <c r="I17" s="189" t="s">
        <v>113</v>
      </c>
      <c r="J17" s="189" t="s">
        <v>295</v>
      </c>
      <c r="K17" s="189" t="s">
        <v>257</v>
      </c>
      <c r="L17" s="189" t="s">
        <v>296</v>
      </c>
      <c r="M17" s="189" t="s">
        <v>174</v>
      </c>
      <c r="N17" s="189" t="s">
        <v>297</v>
      </c>
      <c r="O17" s="189" t="s">
        <v>172</v>
      </c>
      <c r="P17" s="189" t="s">
        <v>111</v>
      </c>
      <c r="Q17" s="189" t="s">
        <v>145</v>
      </c>
      <c r="R17" s="189" t="s">
        <v>22</v>
      </c>
      <c r="S17" s="189" t="s">
        <v>152</v>
      </c>
      <c r="T17" s="189" t="s">
        <v>121</v>
      </c>
      <c r="U17" s="189" t="s">
        <v>122</v>
      </c>
      <c r="V17" s="189" t="s">
        <v>123</v>
      </c>
      <c r="W17" s="189" t="s">
        <v>124</v>
      </c>
      <c r="X17" s="189" t="s">
        <v>298</v>
      </c>
      <c r="Y17" s="189" t="s">
        <v>298</v>
      </c>
      <c r="Z17" s="189" t="s">
        <v>3123</v>
      </c>
      <c r="AA17" s="189" t="s">
        <v>3124</v>
      </c>
      <c r="AB17" s="189" t="s">
        <v>3125</v>
      </c>
      <c r="AG17" s="189" t="s">
        <v>3127</v>
      </c>
      <c r="AH17" s="189" t="s">
        <v>3128</v>
      </c>
    </row>
    <row r="18" customFormat="false" ht="15" hidden="false" customHeight="true" outlineLevel="0" collapsed="false">
      <c r="A18" s="0" t="n">
        <v>17</v>
      </c>
      <c r="B18" s="185" t="n">
        <v>46153.4395540785</v>
      </c>
      <c r="C18" s="185" t="n">
        <v>46153.4500170415</v>
      </c>
      <c r="D18" s="189" t="s">
        <v>302</v>
      </c>
      <c r="E18" s="189" t="s">
        <v>303</v>
      </c>
      <c r="F18" s="189" t="s">
        <v>303</v>
      </c>
      <c r="G18" s="189" t="s">
        <v>304</v>
      </c>
      <c r="H18" s="185" t="n">
        <v>46147</v>
      </c>
      <c r="I18" s="189" t="s">
        <v>305</v>
      </c>
      <c r="J18" s="189" t="s">
        <v>108</v>
      </c>
      <c r="K18" s="189" t="s">
        <v>245</v>
      </c>
      <c r="L18" s="189" t="s">
        <v>197</v>
      </c>
      <c r="M18" s="189" t="s">
        <v>185</v>
      </c>
      <c r="N18" s="189" t="s">
        <v>306</v>
      </c>
      <c r="O18" s="189" t="s">
        <v>107</v>
      </c>
      <c r="P18" s="189" t="s">
        <v>111</v>
      </c>
      <c r="Q18" s="189" t="s">
        <v>112</v>
      </c>
      <c r="R18" s="189" t="s">
        <v>21</v>
      </c>
      <c r="S18" s="189" t="s">
        <v>152</v>
      </c>
      <c r="T18" s="189" t="s">
        <v>121</v>
      </c>
      <c r="V18" s="189" t="s">
        <v>192</v>
      </c>
      <c r="W18" s="189" t="s">
        <v>124</v>
      </c>
      <c r="X18" s="189" t="s">
        <v>307</v>
      </c>
      <c r="Y18" s="189" t="s">
        <v>307</v>
      </c>
      <c r="Z18" s="189" t="s">
        <v>3129</v>
      </c>
      <c r="AA18" s="189" t="s">
        <v>3130</v>
      </c>
      <c r="AB18" s="189" t="s">
        <v>3131</v>
      </c>
      <c r="AG18" s="189" t="s">
        <v>3133</v>
      </c>
      <c r="AH18" s="189" t="s">
        <v>3134</v>
      </c>
    </row>
    <row r="19" customFormat="false" ht="15" hidden="false" customHeight="true" outlineLevel="0" collapsed="false">
      <c r="A19" s="0" t="n">
        <v>18</v>
      </c>
      <c r="B19" s="185" t="n">
        <v>46082.1548168781</v>
      </c>
      <c r="C19" s="185" t="n">
        <v>46082.1709511374</v>
      </c>
      <c r="D19" s="189" t="s">
        <v>311</v>
      </c>
      <c r="E19" s="189" t="s">
        <v>312</v>
      </c>
      <c r="F19" s="189" t="s">
        <v>313</v>
      </c>
      <c r="G19" s="189" t="s">
        <v>314</v>
      </c>
      <c r="H19" s="185" t="n">
        <v>46070</v>
      </c>
      <c r="I19" s="189" t="s">
        <v>113</v>
      </c>
      <c r="J19" s="189" t="s">
        <v>295</v>
      </c>
      <c r="K19" s="189" t="s">
        <v>315</v>
      </c>
      <c r="L19" s="189" t="s">
        <v>159</v>
      </c>
      <c r="M19" s="189" t="s">
        <v>212</v>
      </c>
      <c r="N19" s="189" t="s">
        <v>316</v>
      </c>
      <c r="O19" s="189" t="s">
        <v>244</v>
      </c>
      <c r="P19" s="189" t="s">
        <v>111</v>
      </c>
      <c r="Q19" s="189" t="s">
        <v>112</v>
      </c>
      <c r="R19" s="189" t="s">
        <v>22</v>
      </c>
      <c r="S19" s="189" t="s">
        <v>320</v>
      </c>
      <c r="T19" s="189" t="s">
        <v>121</v>
      </c>
      <c r="U19" s="189" t="s">
        <v>321</v>
      </c>
      <c r="V19" s="189" t="s">
        <v>123</v>
      </c>
      <c r="W19" s="189" t="s">
        <v>124</v>
      </c>
      <c r="X19" s="189" t="s">
        <v>271</v>
      </c>
      <c r="Y19" s="189" t="s">
        <v>271</v>
      </c>
      <c r="Z19" s="189" t="s">
        <v>3135</v>
      </c>
      <c r="AA19" s="189" t="s">
        <v>3136</v>
      </c>
      <c r="AG19" s="189" t="s">
        <v>3118</v>
      </c>
      <c r="AH19" s="189" t="s">
        <v>122</v>
      </c>
    </row>
    <row r="20" customFormat="false" ht="15" hidden="false" customHeight="true" outlineLevel="0" collapsed="false">
      <c r="A20" s="0" t="n">
        <v>19</v>
      </c>
      <c r="B20" s="185" t="n">
        <v>46123.885399073</v>
      </c>
      <c r="C20" s="185" t="n">
        <v>46123.89243611</v>
      </c>
      <c r="D20" s="189" t="s">
        <v>322</v>
      </c>
      <c r="E20" s="189" t="s">
        <v>323</v>
      </c>
      <c r="F20" s="189" t="s">
        <v>323</v>
      </c>
      <c r="G20" s="189" t="s">
        <v>324</v>
      </c>
      <c r="H20" s="185" t="n">
        <v>46120</v>
      </c>
      <c r="I20" s="189" t="s">
        <v>325</v>
      </c>
      <c r="J20" s="189" t="s">
        <v>108</v>
      </c>
      <c r="K20" s="189" t="s">
        <v>257</v>
      </c>
      <c r="L20" s="189" t="s">
        <v>268</v>
      </c>
      <c r="M20" s="189" t="s">
        <v>326</v>
      </c>
      <c r="N20" s="189" t="s">
        <v>259</v>
      </c>
      <c r="O20" s="189" t="s">
        <v>244</v>
      </c>
      <c r="P20" s="189" t="s">
        <v>111</v>
      </c>
      <c r="Q20" s="189" t="s">
        <v>247</v>
      </c>
      <c r="R20" s="189" t="s">
        <v>25</v>
      </c>
      <c r="S20" s="189" t="s">
        <v>120</v>
      </c>
      <c r="T20" s="189" t="s">
        <v>180</v>
      </c>
      <c r="U20" s="189" t="s">
        <v>122</v>
      </c>
      <c r="V20" s="189" t="s">
        <v>167</v>
      </c>
      <c r="W20" s="189" t="s">
        <v>124</v>
      </c>
      <c r="X20" s="189" t="s">
        <v>327</v>
      </c>
      <c r="Y20" s="189" t="s">
        <v>327</v>
      </c>
      <c r="Z20" s="189" t="s">
        <v>3081</v>
      </c>
      <c r="AA20" s="189" t="s">
        <v>3139</v>
      </c>
      <c r="AB20" s="189" t="s">
        <v>3095</v>
      </c>
      <c r="AG20" s="189" t="s">
        <v>3140</v>
      </c>
    </row>
    <row r="21" customFormat="false" ht="15" hidden="false" customHeight="true" outlineLevel="0" collapsed="false">
      <c r="A21" s="0" t="n">
        <v>20</v>
      </c>
      <c r="B21" s="185" t="n">
        <v>46148.3303404205</v>
      </c>
      <c r="C21" s="185" t="n">
        <v>46148.3399584761</v>
      </c>
      <c r="D21" s="189" t="s">
        <v>332</v>
      </c>
      <c r="E21" s="189" t="s">
        <v>333</v>
      </c>
      <c r="F21" s="189" t="s">
        <v>333</v>
      </c>
      <c r="G21" s="189" t="s">
        <v>334</v>
      </c>
      <c r="H21" s="185" t="n">
        <v>46137</v>
      </c>
      <c r="I21" s="189" t="s">
        <v>336</v>
      </c>
      <c r="J21" s="189" t="s">
        <v>295</v>
      </c>
      <c r="K21" s="189" t="s">
        <v>335</v>
      </c>
      <c r="L21" s="189" t="s">
        <v>159</v>
      </c>
      <c r="M21" s="189" t="s">
        <v>337</v>
      </c>
      <c r="N21" s="189" t="s">
        <v>338</v>
      </c>
      <c r="O21" s="189" t="s">
        <v>107</v>
      </c>
      <c r="P21" s="189" t="s">
        <v>131</v>
      </c>
      <c r="Q21" s="189" t="s">
        <v>112</v>
      </c>
      <c r="R21" s="189" t="s">
        <v>22</v>
      </c>
      <c r="S21" s="189" t="s">
        <v>120</v>
      </c>
      <c r="T21" s="189" t="s">
        <v>180</v>
      </c>
      <c r="V21" s="189" t="s">
        <v>167</v>
      </c>
      <c r="W21" s="189" t="s">
        <v>124</v>
      </c>
      <c r="X21" s="189" t="s">
        <v>339</v>
      </c>
      <c r="Y21" s="189" t="s">
        <v>339</v>
      </c>
      <c r="Z21" s="189" t="s">
        <v>3141</v>
      </c>
      <c r="AG21" s="189" t="s">
        <v>3144</v>
      </c>
      <c r="AH21" s="189" t="s">
        <v>3145</v>
      </c>
    </row>
    <row r="22" customFormat="false" ht="270" hidden="false" customHeight="true" outlineLevel="0" collapsed="false">
      <c r="A22" s="0" t="n">
        <v>21</v>
      </c>
      <c r="B22" s="185" t="n">
        <v>46215.6209632103</v>
      </c>
      <c r="C22" s="185" t="n">
        <v>46215.6381854325</v>
      </c>
      <c r="D22" s="189" t="s">
        <v>343</v>
      </c>
      <c r="E22" s="189" t="s">
        <v>344</v>
      </c>
      <c r="F22" s="189" t="s">
        <v>344</v>
      </c>
      <c r="G22" s="189" t="s">
        <v>345</v>
      </c>
      <c r="H22" s="185" t="n">
        <v>46200</v>
      </c>
      <c r="I22" s="189" t="s">
        <v>325</v>
      </c>
      <c r="J22" s="189" t="s">
        <v>108</v>
      </c>
      <c r="K22" s="189" t="s">
        <v>158</v>
      </c>
      <c r="L22" s="189" t="s">
        <v>346</v>
      </c>
      <c r="M22" s="189" t="s">
        <v>258</v>
      </c>
      <c r="N22" s="189" t="s">
        <v>347</v>
      </c>
      <c r="O22" s="189" t="s">
        <v>157</v>
      </c>
      <c r="P22" s="189" t="s">
        <v>111</v>
      </c>
      <c r="Q22" s="189" t="s">
        <v>145</v>
      </c>
      <c r="R22" s="189" t="s">
        <v>21</v>
      </c>
      <c r="S22" s="189" t="s">
        <v>152</v>
      </c>
      <c r="T22" s="189" t="s">
        <v>352</v>
      </c>
      <c r="U22" s="132"/>
      <c r="V22" s="189" t="s">
        <v>123</v>
      </c>
      <c r="W22" s="189" t="s">
        <v>124</v>
      </c>
      <c r="X22" s="189" t="s">
        <v>348</v>
      </c>
      <c r="Y22" s="189" t="s">
        <v>348</v>
      </c>
      <c r="Z22" s="189" t="s">
        <v>3146</v>
      </c>
      <c r="AG22" s="189" t="s">
        <v>3148</v>
      </c>
    </row>
    <row r="23" customFormat="false" ht="54.75" hidden="false" customHeight="true" outlineLevel="0" collapsed="false">
      <c r="A23" s="0" t="n">
        <v>22</v>
      </c>
      <c r="B23" s="185" t="n">
        <v>46054.1693916136</v>
      </c>
      <c r="C23" s="185" t="n">
        <v>46054.1838939284</v>
      </c>
      <c r="D23" s="189" t="s">
        <v>353</v>
      </c>
      <c r="E23" s="189" t="s">
        <v>354</v>
      </c>
      <c r="F23" s="189" t="s">
        <v>354</v>
      </c>
      <c r="G23" s="189" t="s">
        <v>355</v>
      </c>
      <c r="H23" s="185" t="n">
        <v>46037</v>
      </c>
      <c r="I23" s="189" t="s">
        <v>113</v>
      </c>
      <c r="J23" s="189" t="s">
        <v>295</v>
      </c>
      <c r="K23" s="189" t="s">
        <v>356</v>
      </c>
      <c r="L23" s="189" t="s">
        <v>346</v>
      </c>
      <c r="M23" s="189" t="s">
        <v>357</v>
      </c>
      <c r="N23" s="189" t="s">
        <v>219</v>
      </c>
      <c r="O23" s="189" t="s">
        <v>172</v>
      </c>
      <c r="P23" s="189" t="s">
        <v>111</v>
      </c>
      <c r="Q23" s="189" t="s">
        <v>145</v>
      </c>
      <c r="R23" s="189" t="s">
        <v>24</v>
      </c>
      <c r="S23" s="189" t="s">
        <v>152</v>
      </c>
      <c r="T23" s="189" t="s">
        <v>121</v>
      </c>
      <c r="U23" s="132" t="s">
        <v>122</v>
      </c>
      <c r="V23" s="189" t="s">
        <v>123</v>
      </c>
      <c r="W23" s="189" t="s">
        <v>124</v>
      </c>
      <c r="X23" s="189" t="s">
        <v>223</v>
      </c>
      <c r="Y23" s="189" t="s">
        <v>223</v>
      </c>
      <c r="Z23" s="189" t="s">
        <v>3098</v>
      </c>
      <c r="AG23" s="189" t="s">
        <v>3150</v>
      </c>
      <c r="AH23" s="189" t="s">
        <v>3101</v>
      </c>
    </row>
    <row r="24" customFormat="false" ht="81.75" hidden="false" customHeight="true" outlineLevel="0" collapsed="false">
      <c r="A24" s="0" t="n">
        <v>23</v>
      </c>
      <c r="B24" s="185" t="n">
        <v>46211.1979046947</v>
      </c>
      <c r="C24" s="185" t="n">
        <v>46211.2144093243</v>
      </c>
      <c r="D24" s="189" t="s">
        <v>361</v>
      </c>
      <c r="E24" s="189" t="s">
        <v>362</v>
      </c>
      <c r="F24" s="189" t="s">
        <v>362</v>
      </c>
      <c r="G24" s="189" t="s">
        <v>363</v>
      </c>
      <c r="H24" s="185" t="n">
        <v>46211</v>
      </c>
      <c r="I24" s="189" t="s">
        <v>113</v>
      </c>
      <c r="J24" s="189" t="s">
        <v>108</v>
      </c>
      <c r="K24" s="189" t="s">
        <v>364</v>
      </c>
      <c r="L24" s="189" t="s">
        <v>197</v>
      </c>
      <c r="M24" s="189" t="s">
        <v>365</v>
      </c>
      <c r="N24" s="189" t="s">
        <v>174</v>
      </c>
      <c r="O24" s="189" t="s">
        <v>244</v>
      </c>
      <c r="P24" s="189" t="s">
        <v>111</v>
      </c>
      <c r="Q24" s="189" t="s">
        <v>145</v>
      </c>
      <c r="R24" s="189" t="s">
        <v>22</v>
      </c>
      <c r="S24" s="189" t="s">
        <v>120</v>
      </c>
      <c r="T24" s="189" t="s">
        <v>180</v>
      </c>
      <c r="U24" s="132" t="s">
        <v>369</v>
      </c>
      <c r="V24" s="189" t="s">
        <v>192</v>
      </c>
      <c r="W24" s="189" t="s">
        <v>124</v>
      </c>
      <c r="X24" s="189" t="s">
        <v>135</v>
      </c>
      <c r="Y24" s="189" t="s">
        <v>135</v>
      </c>
      <c r="Z24" s="189" t="s">
        <v>3071</v>
      </c>
      <c r="AG24" s="189" t="s">
        <v>3152</v>
      </c>
    </row>
    <row r="25" customFormat="false" ht="95.25" hidden="false" customHeight="true" outlineLevel="0" collapsed="false">
      <c r="A25" s="0" t="n">
        <v>24</v>
      </c>
      <c r="B25" s="185" t="n">
        <v>46192.6959382555</v>
      </c>
      <c r="C25" s="185" t="n">
        <v>46192.7045609407</v>
      </c>
      <c r="D25" s="189" t="s">
        <v>371</v>
      </c>
      <c r="E25" s="189" t="s">
        <v>372</v>
      </c>
      <c r="F25" s="189" t="s">
        <v>372</v>
      </c>
      <c r="G25" s="189" t="s">
        <v>373</v>
      </c>
      <c r="H25" s="185" t="n">
        <v>46173</v>
      </c>
      <c r="I25" s="189" t="s">
        <v>113</v>
      </c>
      <c r="J25" s="189" t="s">
        <v>108</v>
      </c>
      <c r="K25" s="189" t="s">
        <v>143</v>
      </c>
      <c r="L25" s="189" t="s">
        <v>346</v>
      </c>
      <c r="M25" s="189" t="s">
        <v>365</v>
      </c>
      <c r="N25" s="189" t="s">
        <v>259</v>
      </c>
      <c r="O25" s="189" t="s">
        <v>260</v>
      </c>
      <c r="P25" s="189" t="s">
        <v>111</v>
      </c>
      <c r="Q25" s="189" t="s">
        <v>112</v>
      </c>
      <c r="R25" s="189" t="s">
        <v>21</v>
      </c>
      <c r="S25" s="189" t="s">
        <v>152</v>
      </c>
      <c r="T25" s="189" t="s">
        <v>121</v>
      </c>
      <c r="U25" s="132" t="s">
        <v>122</v>
      </c>
      <c r="V25" s="189" t="s">
        <v>192</v>
      </c>
      <c r="W25" s="189" t="s">
        <v>168</v>
      </c>
      <c r="X25" s="189" t="s">
        <v>374</v>
      </c>
      <c r="Y25" s="189" t="s">
        <v>374</v>
      </c>
      <c r="Z25" s="189" t="s">
        <v>3153</v>
      </c>
      <c r="AA25" s="189" t="s">
        <v>3154</v>
      </c>
      <c r="AB25" s="189" t="s">
        <v>3155</v>
      </c>
      <c r="AG25" s="189" t="s">
        <v>3157</v>
      </c>
      <c r="AH25" s="189" t="s">
        <v>3158</v>
      </c>
    </row>
    <row r="26" customFormat="false" ht="95.25" hidden="false" customHeight="true" outlineLevel="0" collapsed="false">
      <c r="A26" s="0" t="n">
        <v>25</v>
      </c>
      <c r="B26" s="185" t="n">
        <v>46061.7051121846</v>
      </c>
      <c r="C26" s="185" t="n">
        <v>46061.7100311661</v>
      </c>
      <c r="D26" s="189" t="s">
        <v>378</v>
      </c>
      <c r="E26" s="189" t="s">
        <v>379</v>
      </c>
      <c r="F26" s="189" t="s">
        <v>379</v>
      </c>
      <c r="G26" s="189" t="s">
        <v>380</v>
      </c>
      <c r="H26" s="185" t="n">
        <v>46059</v>
      </c>
      <c r="I26" s="189" t="s">
        <v>325</v>
      </c>
      <c r="J26" s="189" t="s">
        <v>295</v>
      </c>
      <c r="K26" s="189" t="s">
        <v>232</v>
      </c>
      <c r="L26" s="189" t="s">
        <v>296</v>
      </c>
      <c r="M26" s="189" t="s">
        <v>258</v>
      </c>
      <c r="N26" s="189" t="s">
        <v>115</v>
      </c>
      <c r="O26" s="189" t="s">
        <v>107</v>
      </c>
      <c r="P26" s="189" t="s">
        <v>111</v>
      </c>
      <c r="Q26" s="189" t="s">
        <v>145</v>
      </c>
      <c r="R26" s="189" t="s">
        <v>22</v>
      </c>
      <c r="S26" s="189" t="s">
        <v>152</v>
      </c>
      <c r="T26" s="189" t="s">
        <v>180</v>
      </c>
      <c r="U26" s="132" t="s">
        <v>385</v>
      </c>
      <c r="V26" s="189" t="s">
        <v>167</v>
      </c>
      <c r="W26" s="189" t="s">
        <v>139</v>
      </c>
      <c r="X26" s="189" t="s">
        <v>381</v>
      </c>
      <c r="Y26" s="189" t="s">
        <v>381</v>
      </c>
      <c r="Z26" s="189" t="s">
        <v>3159</v>
      </c>
      <c r="AG26" s="189" t="s">
        <v>3162</v>
      </c>
      <c r="AH26" s="189" t="s">
        <v>3163</v>
      </c>
    </row>
    <row r="27" customFormat="false" ht="15" hidden="false" customHeight="true" outlineLevel="0" collapsed="false">
      <c r="A27" s="0" t="n">
        <v>26</v>
      </c>
      <c r="B27" s="185" t="n">
        <v>46122.9892027183</v>
      </c>
      <c r="C27" s="185" t="n">
        <v>46123.0085082739</v>
      </c>
      <c r="D27" s="189" t="s">
        <v>386</v>
      </c>
      <c r="E27" s="189" t="s">
        <v>387</v>
      </c>
      <c r="F27" s="189" t="s">
        <v>387</v>
      </c>
      <c r="G27" s="189" t="s">
        <v>388</v>
      </c>
      <c r="H27" s="185" t="n">
        <v>46102</v>
      </c>
      <c r="I27" s="189" t="s">
        <v>113</v>
      </c>
      <c r="J27" s="189" t="s">
        <v>108</v>
      </c>
      <c r="K27" s="189" t="s">
        <v>245</v>
      </c>
      <c r="L27" s="189" t="s">
        <v>389</v>
      </c>
      <c r="M27" s="189" t="s">
        <v>391</v>
      </c>
      <c r="N27" s="189" t="s">
        <v>280</v>
      </c>
      <c r="O27" s="189" t="s">
        <v>172</v>
      </c>
      <c r="P27" s="189" t="s">
        <v>390</v>
      </c>
      <c r="Q27" s="189" t="s">
        <v>112</v>
      </c>
      <c r="R27" s="189" t="s">
        <v>21</v>
      </c>
      <c r="S27" s="189" t="s">
        <v>152</v>
      </c>
      <c r="T27" s="189" t="s">
        <v>121</v>
      </c>
      <c r="U27" s="189" t="s">
        <v>122</v>
      </c>
      <c r="V27" s="189" t="s">
        <v>167</v>
      </c>
      <c r="W27" s="189" t="s">
        <v>168</v>
      </c>
      <c r="X27" s="189" t="s">
        <v>348</v>
      </c>
      <c r="Y27" s="189" t="s">
        <v>348</v>
      </c>
      <c r="Z27" s="189" t="s">
        <v>3164</v>
      </c>
      <c r="AA27" s="189" t="s">
        <v>3165</v>
      </c>
      <c r="AG27" s="189" t="s">
        <v>3166</v>
      </c>
    </row>
    <row r="28" customFormat="false" ht="15" hidden="false" customHeight="true" outlineLevel="0" collapsed="false">
      <c r="A28" s="0" t="n">
        <v>27</v>
      </c>
      <c r="B28" s="185" t="n">
        <v>46077.5137245718</v>
      </c>
      <c r="C28" s="185" t="n">
        <v>46077.5163981829</v>
      </c>
      <c r="D28" s="189" t="s">
        <v>394</v>
      </c>
      <c r="E28" s="189" t="s">
        <v>395</v>
      </c>
      <c r="F28" s="189" t="s">
        <v>395</v>
      </c>
      <c r="G28" s="189" t="s">
        <v>396</v>
      </c>
      <c r="H28" s="185" t="n">
        <v>46058</v>
      </c>
      <c r="I28" s="189" t="s">
        <v>113</v>
      </c>
      <c r="J28" s="189" t="s">
        <v>108</v>
      </c>
      <c r="K28" s="189" t="s">
        <v>143</v>
      </c>
      <c r="L28" s="189" t="s">
        <v>346</v>
      </c>
      <c r="M28" s="189" t="s">
        <v>397</v>
      </c>
      <c r="N28" s="189" t="s">
        <v>398</v>
      </c>
      <c r="O28" s="189" t="s">
        <v>278</v>
      </c>
      <c r="P28" s="189" t="s">
        <v>111</v>
      </c>
      <c r="Q28" s="189" t="s">
        <v>247</v>
      </c>
      <c r="R28" s="189" t="s">
        <v>21</v>
      </c>
      <c r="S28" s="189" t="s">
        <v>152</v>
      </c>
      <c r="T28" s="189" t="s">
        <v>400</v>
      </c>
      <c r="U28" s="189" t="s">
        <v>401</v>
      </c>
      <c r="V28" s="189" t="s">
        <v>167</v>
      </c>
      <c r="W28" s="189" t="s">
        <v>124</v>
      </c>
      <c r="X28" s="189" t="s">
        <v>187</v>
      </c>
      <c r="Y28" s="189" t="s">
        <v>187</v>
      </c>
      <c r="Z28" s="189" t="s">
        <v>3089</v>
      </c>
      <c r="AG28" s="189" t="s">
        <v>3091</v>
      </c>
    </row>
    <row r="29" customFormat="false" ht="15" hidden="false" customHeight="true" outlineLevel="0" collapsed="false">
      <c r="A29" s="0" t="n">
        <v>28</v>
      </c>
      <c r="B29" s="185" t="n">
        <v>46167.3966630999</v>
      </c>
      <c r="C29" s="185" t="n">
        <v>46167.4147649518</v>
      </c>
      <c r="D29" s="189" t="s">
        <v>402</v>
      </c>
      <c r="E29" s="189" t="s">
        <v>403</v>
      </c>
      <c r="F29" s="189" t="s">
        <v>403</v>
      </c>
      <c r="G29" s="189" t="s">
        <v>404</v>
      </c>
      <c r="H29" s="185" t="n">
        <v>46152</v>
      </c>
      <c r="I29" s="189" t="s">
        <v>305</v>
      </c>
      <c r="J29" s="189" t="s">
        <v>108</v>
      </c>
      <c r="K29" s="189" t="s">
        <v>245</v>
      </c>
      <c r="L29" s="189" t="s">
        <v>286</v>
      </c>
      <c r="M29" s="189" t="s">
        <v>406</v>
      </c>
      <c r="N29" s="189" t="s">
        <v>407</v>
      </c>
      <c r="O29" s="189" t="s">
        <v>405</v>
      </c>
      <c r="P29" s="189" t="s">
        <v>211</v>
      </c>
      <c r="Q29" s="189" t="s">
        <v>112</v>
      </c>
      <c r="R29" s="189" t="s">
        <v>22</v>
      </c>
      <c r="S29" s="189" t="s">
        <v>320</v>
      </c>
      <c r="T29" s="189" t="s">
        <v>121</v>
      </c>
      <c r="U29" s="189" t="s">
        <v>122</v>
      </c>
      <c r="V29" s="189" t="s">
        <v>123</v>
      </c>
      <c r="W29" s="189" t="s">
        <v>124</v>
      </c>
      <c r="X29" s="189" t="s">
        <v>339</v>
      </c>
      <c r="Y29" s="189" t="s">
        <v>339</v>
      </c>
      <c r="Z29" s="189" t="s">
        <v>3168</v>
      </c>
      <c r="AA29" s="189" t="s">
        <v>3169</v>
      </c>
      <c r="AG29" s="189" t="s">
        <v>122</v>
      </c>
      <c r="AH29" s="189" t="s">
        <v>3145</v>
      </c>
    </row>
    <row r="30" customFormat="false" ht="15" hidden="false" customHeight="true" outlineLevel="0" collapsed="false">
      <c r="A30" s="0" t="n">
        <v>29</v>
      </c>
      <c r="B30" s="185" t="n">
        <v>46154.2266090567</v>
      </c>
      <c r="C30" s="185" t="n">
        <v>46154.2324655382</v>
      </c>
      <c r="D30" s="189" t="s">
        <v>410</v>
      </c>
      <c r="E30" s="189" t="s">
        <v>411</v>
      </c>
      <c r="F30" s="189" t="s">
        <v>411</v>
      </c>
      <c r="G30" s="189" t="s">
        <v>412</v>
      </c>
      <c r="H30" s="185" t="n">
        <v>46142</v>
      </c>
      <c r="I30" s="189" t="s">
        <v>113</v>
      </c>
      <c r="J30" s="189" t="s">
        <v>295</v>
      </c>
      <c r="K30" s="189" t="s">
        <v>413</v>
      </c>
      <c r="L30" s="189" t="s">
        <v>389</v>
      </c>
      <c r="M30" s="189" t="s">
        <v>234</v>
      </c>
      <c r="N30" s="189" t="s">
        <v>414</v>
      </c>
      <c r="O30" s="189" t="s">
        <v>107</v>
      </c>
      <c r="P30" s="189" t="s">
        <v>111</v>
      </c>
      <c r="Q30" s="189" t="s">
        <v>145</v>
      </c>
      <c r="R30" s="189" t="s">
        <v>24</v>
      </c>
      <c r="S30" s="189" t="s">
        <v>120</v>
      </c>
      <c r="T30" s="189" t="s">
        <v>121</v>
      </c>
      <c r="U30" s="189" t="s">
        <v>122</v>
      </c>
      <c r="V30" s="189" t="s">
        <v>167</v>
      </c>
      <c r="W30" s="189" t="s">
        <v>124</v>
      </c>
      <c r="X30" s="189" t="s">
        <v>223</v>
      </c>
      <c r="Y30" s="189" t="s">
        <v>223</v>
      </c>
      <c r="Z30" s="189" t="s">
        <v>3103</v>
      </c>
      <c r="AA30" s="189" t="s">
        <v>3098</v>
      </c>
      <c r="AG30" s="189" t="s">
        <v>3150</v>
      </c>
      <c r="AH30" s="189" t="s">
        <v>3106</v>
      </c>
    </row>
    <row r="31" customFormat="false" ht="15" hidden="false" customHeight="true" outlineLevel="0" collapsed="false">
      <c r="A31" s="0" t="n">
        <v>30</v>
      </c>
      <c r="B31" s="185" t="n">
        <v>46203.3541796316</v>
      </c>
      <c r="C31" s="185" t="n">
        <v>46203.3649898168</v>
      </c>
      <c r="D31" s="189" t="s">
        <v>418</v>
      </c>
      <c r="E31" s="189" t="s">
        <v>419</v>
      </c>
      <c r="F31" s="189" t="s">
        <v>420</v>
      </c>
      <c r="G31" s="189" t="s">
        <v>421</v>
      </c>
      <c r="H31" s="185" t="n">
        <v>46193</v>
      </c>
      <c r="I31" s="189" t="s">
        <v>113</v>
      </c>
      <c r="J31" s="189" t="s">
        <v>128</v>
      </c>
      <c r="K31" s="189" t="s">
        <v>257</v>
      </c>
      <c r="L31" s="189" t="s">
        <v>389</v>
      </c>
      <c r="M31" s="189" t="s">
        <v>337</v>
      </c>
      <c r="N31" s="189" t="s">
        <v>422</v>
      </c>
      <c r="O31" s="189" t="s">
        <v>157</v>
      </c>
      <c r="P31" s="189" t="s">
        <v>131</v>
      </c>
      <c r="Q31" s="189" t="s">
        <v>112</v>
      </c>
      <c r="R31" s="189" t="s">
        <v>24</v>
      </c>
      <c r="S31" s="189" t="s">
        <v>120</v>
      </c>
      <c r="T31" s="189" t="s">
        <v>121</v>
      </c>
      <c r="U31" s="189" t="s">
        <v>426</v>
      </c>
      <c r="V31" s="189" t="s">
        <v>123</v>
      </c>
      <c r="W31" s="189" t="s">
        <v>124</v>
      </c>
      <c r="X31" s="189" t="s">
        <v>223</v>
      </c>
      <c r="Y31" s="189" t="s">
        <v>223</v>
      </c>
      <c r="Z31" s="189" t="s">
        <v>3103</v>
      </c>
      <c r="AA31" s="189" t="s">
        <v>3121</v>
      </c>
      <c r="AB31" s="189" t="s">
        <v>3104</v>
      </c>
      <c r="AG31" s="189" t="s">
        <v>3106</v>
      </c>
    </row>
    <row r="32" customFormat="false" ht="15" hidden="false" customHeight="true" outlineLevel="0" collapsed="false">
      <c r="A32" s="0" t="n">
        <v>31</v>
      </c>
      <c r="B32" s="185" t="n">
        <v>46116.2141394156</v>
      </c>
      <c r="C32" s="185" t="n">
        <v>46116.2197875638</v>
      </c>
      <c r="D32" s="189" t="s">
        <v>427</v>
      </c>
      <c r="E32" s="189" t="s">
        <v>428</v>
      </c>
      <c r="F32" s="189" t="s">
        <v>428</v>
      </c>
      <c r="G32" s="189" t="s">
        <v>429</v>
      </c>
      <c r="H32" s="185" t="n">
        <v>46097</v>
      </c>
      <c r="I32" s="189" t="s">
        <v>113</v>
      </c>
      <c r="J32" s="189" t="s">
        <v>108</v>
      </c>
      <c r="K32" s="189" t="s">
        <v>430</v>
      </c>
      <c r="L32" s="189" t="s">
        <v>431</v>
      </c>
      <c r="M32" s="189" t="s">
        <v>234</v>
      </c>
      <c r="N32" s="189" t="s">
        <v>432</v>
      </c>
      <c r="O32" s="189" t="s">
        <v>157</v>
      </c>
      <c r="P32" s="189" t="s">
        <v>111</v>
      </c>
      <c r="Q32" s="189" t="s">
        <v>112</v>
      </c>
      <c r="R32" s="189" t="s">
        <v>24</v>
      </c>
      <c r="S32" s="189" t="s">
        <v>120</v>
      </c>
      <c r="T32" s="189" t="s">
        <v>121</v>
      </c>
      <c r="U32" s="189" t="s">
        <v>122</v>
      </c>
      <c r="V32" s="189" t="s">
        <v>123</v>
      </c>
      <c r="W32" s="189" t="s">
        <v>124</v>
      </c>
      <c r="X32" s="189" t="s">
        <v>214</v>
      </c>
      <c r="Y32" s="189" t="s">
        <v>214</v>
      </c>
      <c r="Z32" s="189" t="s">
        <v>3065</v>
      </c>
      <c r="AA32" s="189" t="s">
        <v>3107</v>
      </c>
      <c r="AG32" s="189" t="s">
        <v>3140</v>
      </c>
      <c r="AH32" s="189" t="s">
        <v>3108</v>
      </c>
    </row>
    <row r="33" customFormat="false" ht="15" hidden="false" customHeight="true" outlineLevel="0" collapsed="false">
      <c r="A33" s="0" t="n">
        <v>32</v>
      </c>
      <c r="B33" s="185" t="n">
        <v>46141.1869961817</v>
      </c>
      <c r="C33" s="185" t="n">
        <v>46141.2020077558</v>
      </c>
      <c r="D33" s="189" t="s">
        <v>436</v>
      </c>
      <c r="E33" s="189" t="s">
        <v>437</v>
      </c>
      <c r="F33" s="189" t="s">
        <v>437</v>
      </c>
      <c r="G33" s="189" t="s">
        <v>438</v>
      </c>
      <c r="H33" s="185" t="n">
        <v>46132</v>
      </c>
      <c r="I33" s="189" t="s">
        <v>132</v>
      </c>
      <c r="J33" s="189" t="s">
        <v>295</v>
      </c>
      <c r="K33" s="189" t="s">
        <v>173</v>
      </c>
      <c r="L33" s="189" t="s">
        <v>197</v>
      </c>
      <c r="M33" s="189" t="s">
        <v>439</v>
      </c>
      <c r="N33" s="189" t="s">
        <v>440</v>
      </c>
      <c r="O33" s="189" t="s">
        <v>107</v>
      </c>
      <c r="P33" s="189" t="s">
        <v>211</v>
      </c>
      <c r="Q33" s="189" t="s">
        <v>145</v>
      </c>
      <c r="R33" s="189" t="s">
        <v>23</v>
      </c>
      <c r="S33" s="189" t="s">
        <v>152</v>
      </c>
      <c r="T33" s="189" t="s">
        <v>121</v>
      </c>
      <c r="U33" s="189" t="s">
        <v>122</v>
      </c>
      <c r="V33" s="189" t="s">
        <v>192</v>
      </c>
      <c r="W33" s="189" t="s">
        <v>124</v>
      </c>
      <c r="X33" s="189" t="s">
        <v>442</v>
      </c>
      <c r="Y33" s="189" t="s">
        <v>442</v>
      </c>
      <c r="AK33" s="189" t="s">
        <v>441</v>
      </c>
    </row>
    <row r="34" customFormat="false" ht="15" hidden="false" customHeight="true" outlineLevel="0" collapsed="false">
      <c r="A34" s="0" t="n">
        <v>33</v>
      </c>
      <c r="B34" s="185" t="n">
        <v>46046.7665469473</v>
      </c>
      <c r="C34" s="185" t="n">
        <v>46046.7688617621</v>
      </c>
      <c r="D34" s="189" t="s">
        <v>443</v>
      </c>
      <c r="E34" s="189" t="s">
        <v>444</v>
      </c>
      <c r="F34" s="189" t="s">
        <v>444</v>
      </c>
      <c r="G34" s="189" t="s">
        <v>445</v>
      </c>
      <c r="H34" s="185" t="n">
        <v>46045</v>
      </c>
      <c r="I34" s="189" t="s">
        <v>113</v>
      </c>
      <c r="J34" s="189" t="s">
        <v>295</v>
      </c>
      <c r="K34" s="189" t="s">
        <v>446</v>
      </c>
      <c r="L34" s="189" t="s">
        <v>130</v>
      </c>
      <c r="M34" s="189" t="s">
        <v>447</v>
      </c>
      <c r="N34" s="189" t="s">
        <v>249</v>
      </c>
      <c r="O34" s="189" t="s">
        <v>244</v>
      </c>
      <c r="P34" s="189" t="s">
        <v>111</v>
      </c>
      <c r="Q34" s="189" t="s">
        <v>112</v>
      </c>
      <c r="R34" s="189" t="s">
        <v>24</v>
      </c>
      <c r="S34" s="189" t="s">
        <v>227</v>
      </c>
      <c r="T34" s="189" t="s">
        <v>121</v>
      </c>
      <c r="U34" s="189" t="s">
        <v>452</v>
      </c>
      <c r="V34" s="189" t="s">
        <v>192</v>
      </c>
      <c r="W34" s="189" t="s">
        <v>139</v>
      </c>
      <c r="X34" s="189" t="s">
        <v>448</v>
      </c>
      <c r="Y34" s="189" t="s">
        <v>448</v>
      </c>
      <c r="Z34" s="189" t="s">
        <v>3173</v>
      </c>
      <c r="AA34" s="189" t="s">
        <v>3174</v>
      </c>
      <c r="AB34" s="189" t="s">
        <v>3175</v>
      </c>
      <c r="AG34" s="189" t="s">
        <v>3178</v>
      </c>
      <c r="AH34" s="189" t="s">
        <v>3179</v>
      </c>
    </row>
    <row r="35" customFormat="false" ht="15" hidden="false" customHeight="true" outlineLevel="0" collapsed="false">
      <c r="A35" s="0" t="n">
        <v>34</v>
      </c>
      <c r="B35" s="185" t="n">
        <v>46046.7417723906</v>
      </c>
      <c r="C35" s="185" t="n">
        <v>46046.7434853535</v>
      </c>
      <c r="D35" s="189" t="s">
        <v>453</v>
      </c>
      <c r="E35" s="189" t="s">
        <v>454</v>
      </c>
      <c r="F35" s="189" t="s">
        <v>454</v>
      </c>
      <c r="G35" s="189" t="s">
        <v>455</v>
      </c>
      <c r="H35" s="185" t="n">
        <v>46032</v>
      </c>
      <c r="I35" s="189" t="s">
        <v>113</v>
      </c>
      <c r="J35" s="189" t="s">
        <v>295</v>
      </c>
      <c r="K35" s="189" t="s">
        <v>456</v>
      </c>
      <c r="L35" s="189" t="s">
        <v>210</v>
      </c>
      <c r="M35" s="189" t="s">
        <v>114</v>
      </c>
      <c r="N35" s="189" t="s">
        <v>287</v>
      </c>
      <c r="O35" s="189" t="s">
        <v>172</v>
      </c>
      <c r="P35" s="189" t="s">
        <v>131</v>
      </c>
      <c r="Q35" s="189" t="s">
        <v>247</v>
      </c>
      <c r="R35" s="189" t="s">
        <v>21</v>
      </c>
      <c r="S35" s="189" t="s">
        <v>152</v>
      </c>
      <c r="T35" s="189" t="s">
        <v>228</v>
      </c>
      <c r="V35" s="189" t="s">
        <v>123</v>
      </c>
      <c r="W35" s="189" t="s">
        <v>168</v>
      </c>
      <c r="X35" s="189" t="s">
        <v>457</v>
      </c>
      <c r="Y35" s="189" t="s">
        <v>457</v>
      </c>
      <c r="Z35" s="189" t="s">
        <v>3065</v>
      </c>
      <c r="AA35" s="189" t="s">
        <v>3107</v>
      </c>
      <c r="AG35" s="189" t="s">
        <v>3083</v>
      </c>
      <c r="AH35" s="189" t="s">
        <v>122</v>
      </c>
    </row>
    <row r="36" customFormat="false" ht="15" hidden="false" customHeight="true" outlineLevel="0" collapsed="false">
      <c r="A36" s="0" t="n">
        <v>35</v>
      </c>
      <c r="B36" s="185" t="n">
        <v>46057.9584475182</v>
      </c>
      <c r="C36" s="185" t="n">
        <v>46057.9774405737</v>
      </c>
      <c r="D36" s="189" t="s">
        <v>459</v>
      </c>
      <c r="E36" s="189" t="s">
        <v>460</v>
      </c>
      <c r="F36" s="189" t="s">
        <v>460</v>
      </c>
      <c r="G36" s="189" t="s">
        <v>461</v>
      </c>
      <c r="H36" s="185" t="n">
        <v>46044</v>
      </c>
      <c r="I36" s="189" t="s">
        <v>113</v>
      </c>
      <c r="J36" s="189" t="s">
        <v>295</v>
      </c>
      <c r="K36" s="189" t="s">
        <v>462</v>
      </c>
      <c r="L36" s="189" t="s">
        <v>389</v>
      </c>
      <c r="M36" s="189" t="s">
        <v>397</v>
      </c>
      <c r="N36" s="189" t="s">
        <v>227</v>
      </c>
      <c r="O36" s="189" t="s">
        <v>244</v>
      </c>
      <c r="P36" s="189" t="s">
        <v>111</v>
      </c>
      <c r="Q36" s="189" t="s">
        <v>247</v>
      </c>
      <c r="R36" s="189" t="s">
        <v>22</v>
      </c>
      <c r="S36" s="189" t="s">
        <v>152</v>
      </c>
      <c r="T36" s="189" t="s">
        <v>121</v>
      </c>
      <c r="U36" s="189" t="s">
        <v>122</v>
      </c>
      <c r="V36" s="189" t="s">
        <v>192</v>
      </c>
      <c r="W36" s="189" t="s">
        <v>124</v>
      </c>
      <c r="X36" s="189" t="s">
        <v>381</v>
      </c>
      <c r="Y36" s="189" t="s">
        <v>381</v>
      </c>
      <c r="Z36" s="189" t="s">
        <v>3180</v>
      </c>
      <c r="AG36" s="189" t="s">
        <v>3181</v>
      </c>
      <c r="AH36" s="189" t="s">
        <v>3162</v>
      </c>
    </row>
    <row r="37" customFormat="false" ht="15" hidden="false" customHeight="true" outlineLevel="0" collapsed="false">
      <c r="A37" s="0" t="n">
        <v>36</v>
      </c>
      <c r="B37" s="185" t="n">
        <v>46181.1932409213</v>
      </c>
      <c r="C37" s="185" t="n">
        <v>46181.2132756435</v>
      </c>
      <c r="D37" s="189" t="s">
        <v>466</v>
      </c>
      <c r="E37" s="189" t="s">
        <v>467</v>
      </c>
      <c r="F37" s="189" t="s">
        <v>467</v>
      </c>
      <c r="G37" s="189" t="s">
        <v>468</v>
      </c>
      <c r="H37" s="185" t="n">
        <v>46177</v>
      </c>
      <c r="I37" s="189" t="s">
        <v>325</v>
      </c>
      <c r="J37" s="189" t="s">
        <v>108</v>
      </c>
      <c r="K37" s="189" t="s">
        <v>143</v>
      </c>
      <c r="L37" s="189" t="s">
        <v>286</v>
      </c>
      <c r="M37" s="189" t="s">
        <v>447</v>
      </c>
      <c r="N37" s="189" t="s">
        <v>469</v>
      </c>
      <c r="O37" s="189" t="s">
        <v>278</v>
      </c>
      <c r="P37" s="189" t="s">
        <v>131</v>
      </c>
      <c r="Q37" s="189" t="s">
        <v>112</v>
      </c>
      <c r="R37" s="189" t="s">
        <v>21</v>
      </c>
      <c r="S37" s="189" t="s">
        <v>152</v>
      </c>
      <c r="T37" s="189" t="s">
        <v>352</v>
      </c>
      <c r="V37" s="189" t="s">
        <v>123</v>
      </c>
      <c r="W37" s="189" t="s">
        <v>124</v>
      </c>
      <c r="X37" s="189" t="s">
        <v>307</v>
      </c>
      <c r="Y37" s="189" t="s">
        <v>307</v>
      </c>
      <c r="Z37" s="189" t="s">
        <v>3131</v>
      </c>
      <c r="AG37" s="189" t="s">
        <v>3133</v>
      </c>
    </row>
    <row r="38" customFormat="false" ht="15" hidden="false" customHeight="true" outlineLevel="0" collapsed="false">
      <c r="A38" s="0" t="n">
        <v>37</v>
      </c>
      <c r="B38" s="185" t="n">
        <v>46154.0864203303</v>
      </c>
      <c r="C38" s="185" t="n">
        <v>46154.0990939414</v>
      </c>
      <c r="D38" s="189" t="s">
        <v>473</v>
      </c>
      <c r="E38" s="189" t="s">
        <v>474</v>
      </c>
      <c r="F38" s="189" t="s">
        <v>474</v>
      </c>
      <c r="G38" s="189" t="s">
        <v>475</v>
      </c>
      <c r="H38" s="185" t="n">
        <v>46138</v>
      </c>
      <c r="I38" s="189" t="s">
        <v>113</v>
      </c>
      <c r="J38" s="189" t="s">
        <v>108</v>
      </c>
      <c r="K38" s="189" t="s">
        <v>476</v>
      </c>
      <c r="L38" s="189" t="s">
        <v>197</v>
      </c>
      <c r="M38" s="189" t="s">
        <v>477</v>
      </c>
      <c r="N38" s="189" t="s">
        <v>338</v>
      </c>
      <c r="O38" s="189" t="s">
        <v>244</v>
      </c>
      <c r="P38" s="189" t="s">
        <v>111</v>
      </c>
      <c r="Q38" s="189" t="s">
        <v>145</v>
      </c>
      <c r="R38" s="189" t="s">
        <v>22</v>
      </c>
      <c r="S38" s="189" t="s">
        <v>120</v>
      </c>
      <c r="T38" s="189" t="s">
        <v>121</v>
      </c>
      <c r="U38" s="189" t="s">
        <v>480</v>
      </c>
      <c r="V38" s="189" t="s">
        <v>192</v>
      </c>
      <c r="W38" s="189" t="s">
        <v>124</v>
      </c>
      <c r="X38" s="189" t="s">
        <v>135</v>
      </c>
      <c r="Y38" s="189" t="s">
        <v>135</v>
      </c>
      <c r="Z38" s="189" t="s">
        <v>3183</v>
      </c>
      <c r="AG38" s="189" t="s">
        <v>122</v>
      </c>
    </row>
    <row r="39" customFormat="false" ht="15" hidden="false" customHeight="true" outlineLevel="0" collapsed="false">
      <c r="A39" s="0" t="n">
        <v>38</v>
      </c>
      <c r="B39" s="185" t="n">
        <v>46156.7113860609</v>
      </c>
      <c r="C39" s="185" t="n">
        <v>46156.720471709</v>
      </c>
      <c r="D39" s="189" t="s">
        <v>481</v>
      </c>
      <c r="E39" s="189" t="s">
        <v>482</v>
      </c>
      <c r="F39" s="189" t="s">
        <v>482</v>
      </c>
      <c r="G39" s="189" t="s">
        <v>483</v>
      </c>
      <c r="H39" s="185" t="n">
        <v>46140</v>
      </c>
      <c r="I39" s="189" t="s">
        <v>113</v>
      </c>
      <c r="J39" s="189" t="s">
        <v>108</v>
      </c>
      <c r="K39" s="189" t="s">
        <v>462</v>
      </c>
      <c r="L39" s="189" t="s">
        <v>286</v>
      </c>
      <c r="M39" s="189" t="s">
        <v>484</v>
      </c>
      <c r="N39" s="189" t="s">
        <v>338</v>
      </c>
      <c r="O39" s="189" t="s">
        <v>172</v>
      </c>
      <c r="P39" s="189" t="s">
        <v>111</v>
      </c>
      <c r="Q39" s="189" t="s">
        <v>145</v>
      </c>
      <c r="R39" s="189" t="s">
        <v>22</v>
      </c>
      <c r="S39" s="189" t="s">
        <v>120</v>
      </c>
      <c r="T39" s="189" t="s">
        <v>121</v>
      </c>
      <c r="U39" s="189" t="s">
        <v>122</v>
      </c>
      <c r="V39" s="189" t="s">
        <v>167</v>
      </c>
      <c r="W39" s="189" t="s">
        <v>124</v>
      </c>
      <c r="X39" s="189" t="s">
        <v>148</v>
      </c>
      <c r="Y39" s="189" t="s">
        <v>148</v>
      </c>
      <c r="Z39" s="189" t="s">
        <v>3122</v>
      </c>
      <c r="AA39" s="189" t="s">
        <v>3186</v>
      </c>
      <c r="AG39" s="189" t="s">
        <v>3188</v>
      </c>
      <c r="AH39" s="189" t="s">
        <v>3079</v>
      </c>
    </row>
    <row r="40" customFormat="false" ht="41.25" hidden="false" customHeight="true" outlineLevel="0" collapsed="false">
      <c r="A40" s="0" t="n">
        <v>39</v>
      </c>
      <c r="B40" s="185" t="n">
        <v>46166.7224330512</v>
      </c>
      <c r="C40" s="185" t="n">
        <v>46166.7267154586</v>
      </c>
      <c r="D40" s="189" t="s">
        <v>488</v>
      </c>
      <c r="E40" s="189" t="s">
        <v>489</v>
      </c>
      <c r="F40" s="189" t="s">
        <v>489</v>
      </c>
      <c r="G40" s="189" t="s">
        <v>490</v>
      </c>
      <c r="H40" s="185" t="n">
        <v>46153</v>
      </c>
      <c r="I40" s="189" t="s">
        <v>113</v>
      </c>
      <c r="J40" s="189" t="s">
        <v>295</v>
      </c>
      <c r="K40" s="189" t="s">
        <v>232</v>
      </c>
      <c r="L40" s="189" t="s">
        <v>491</v>
      </c>
      <c r="M40" s="189" t="s">
        <v>492</v>
      </c>
      <c r="N40" s="189" t="s">
        <v>186</v>
      </c>
      <c r="O40" s="189" t="s">
        <v>157</v>
      </c>
      <c r="P40" s="189" t="s">
        <v>111</v>
      </c>
      <c r="Q40" s="189" t="s">
        <v>112</v>
      </c>
      <c r="R40" s="189" t="s">
        <v>24</v>
      </c>
      <c r="S40" s="189" t="s">
        <v>227</v>
      </c>
      <c r="T40" s="189" t="s">
        <v>496</v>
      </c>
      <c r="U40" s="132"/>
      <c r="V40" s="189" t="s">
        <v>192</v>
      </c>
      <c r="W40" s="189" t="s">
        <v>124</v>
      </c>
      <c r="X40" s="189" t="s">
        <v>448</v>
      </c>
      <c r="Y40" s="189" t="s">
        <v>448</v>
      </c>
      <c r="Z40" s="189" t="s">
        <v>3174</v>
      </c>
      <c r="AA40" s="189" t="s">
        <v>3175</v>
      </c>
      <c r="AB40" s="189" t="s">
        <v>3189</v>
      </c>
      <c r="AG40" s="189" t="s">
        <v>3190</v>
      </c>
    </row>
    <row r="41" customFormat="false" ht="15" hidden="false" customHeight="true" outlineLevel="0" collapsed="false">
      <c r="A41" s="0" t="n">
        <v>40</v>
      </c>
      <c r="B41" s="185" t="n">
        <v>46068.5258188575</v>
      </c>
      <c r="C41" s="185" t="n">
        <v>46068.5406220983</v>
      </c>
      <c r="D41" s="189" t="s">
        <v>497</v>
      </c>
      <c r="E41" s="189" t="s">
        <v>498</v>
      </c>
      <c r="F41" s="189" t="s">
        <v>498</v>
      </c>
      <c r="G41" s="189" t="s">
        <v>499</v>
      </c>
      <c r="H41" s="185" t="n">
        <v>46064</v>
      </c>
      <c r="I41" s="189" t="s">
        <v>113</v>
      </c>
      <c r="J41" s="189" t="s">
        <v>128</v>
      </c>
      <c r="K41" s="189" t="s">
        <v>500</v>
      </c>
      <c r="L41" s="189" t="s">
        <v>233</v>
      </c>
      <c r="M41" s="189" t="s">
        <v>501</v>
      </c>
      <c r="N41" s="189" t="s">
        <v>175</v>
      </c>
      <c r="O41" s="189" t="s">
        <v>278</v>
      </c>
      <c r="P41" s="189" t="s">
        <v>111</v>
      </c>
      <c r="Q41" s="189" t="s">
        <v>112</v>
      </c>
      <c r="R41" s="189" t="s">
        <v>23</v>
      </c>
      <c r="S41" s="189" t="s">
        <v>152</v>
      </c>
      <c r="T41" s="189" t="s">
        <v>352</v>
      </c>
      <c r="V41" s="189" t="s">
        <v>123</v>
      </c>
      <c r="W41" s="189" t="s">
        <v>124</v>
      </c>
      <c r="X41" s="189" t="s">
        <v>503</v>
      </c>
      <c r="Y41" s="189" t="s">
        <v>503</v>
      </c>
      <c r="AK41" s="189" t="s">
        <v>502</v>
      </c>
    </row>
    <row r="42" customFormat="false" ht="15" hidden="false" customHeight="true" outlineLevel="0" collapsed="false">
      <c r="A42" s="0" t="n">
        <v>41</v>
      </c>
      <c r="B42" s="185" t="n">
        <v>46118.2477639334</v>
      </c>
      <c r="C42" s="185" t="n">
        <v>46118.261294026</v>
      </c>
      <c r="D42" s="189" t="s">
        <v>504</v>
      </c>
      <c r="E42" s="189" t="s">
        <v>505</v>
      </c>
      <c r="F42" s="189" t="s">
        <v>505</v>
      </c>
      <c r="G42" s="189" t="s">
        <v>506</v>
      </c>
      <c r="H42" s="185" t="n">
        <v>46115</v>
      </c>
      <c r="I42" s="189" t="s">
        <v>113</v>
      </c>
      <c r="J42" s="189" t="s">
        <v>295</v>
      </c>
      <c r="K42" s="189" t="s">
        <v>232</v>
      </c>
      <c r="L42" s="189" t="s">
        <v>197</v>
      </c>
      <c r="M42" s="189" t="s">
        <v>507</v>
      </c>
      <c r="N42" s="189" t="s">
        <v>508</v>
      </c>
      <c r="O42" s="189" t="s">
        <v>107</v>
      </c>
      <c r="P42" s="189" t="s">
        <v>111</v>
      </c>
      <c r="Q42" s="189" t="s">
        <v>198</v>
      </c>
      <c r="R42" s="189" t="s">
        <v>24</v>
      </c>
      <c r="S42" s="189" t="s">
        <v>152</v>
      </c>
      <c r="T42" s="189" t="s">
        <v>121</v>
      </c>
      <c r="U42" s="189" t="s">
        <v>122</v>
      </c>
      <c r="V42" s="189" t="s">
        <v>192</v>
      </c>
      <c r="W42" s="189" t="s">
        <v>124</v>
      </c>
      <c r="X42" s="189" t="s">
        <v>223</v>
      </c>
      <c r="Y42" s="189" t="s">
        <v>223</v>
      </c>
      <c r="Z42" s="189" t="s">
        <v>3097</v>
      </c>
      <c r="AA42" s="189" t="s">
        <v>3104</v>
      </c>
      <c r="AG42" s="189" t="s">
        <v>3101</v>
      </c>
      <c r="AH42" s="189" t="s">
        <v>3150</v>
      </c>
    </row>
    <row r="43" customFormat="false" ht="15" hidden="false" customHeight="true" outlineLevel="0" collapsed="false">
      <c r="A43" s="0" t="n">
        <v>42</v>
      </c>
      <c r="B43" s="185" t="n">
        <v>46043.0422707938</v>
      </c>
      <c r="C43" s="185" t="n">
        <v>46043.0545508864</v>
      </c>
      <c r="D43" s="189" t="s">
        <v>512</v>
      </c>
      <c r="E43" s="189" t="s">
        <v>513</v>
      </c>
      <c r="F43" s="189" t="s">
        <v>513</v>
      </c>
      <c r="G43" s="189" t="s">
        <v>514</v>
      </c>
      <c r="H43" s="185" t="n">
        <v>46025</v>
      </c>
      <c r="I43" s="189" t="s">
        <v>113</v>
      </c>
      <c r="J43" s="189" t="s">
        <v>108</v>
      </c>
      <c r="K43" s="189" t="s">
        <v>232</v>
      </c>
      <c r="L43" s="189" t="s">
        <v>114</v>
      </c>
      <c r="M43" s="189" t="s">
        <v>515</v>
      </c>
      <c r="N43" s="189" t="s">
        <v>338</v>
      </c>
      <c r="O43" s="189" t="s">
        <v>172</v>
      </c>
      <c r="P43" s="189" t="s">
        <v>111</v>
      </c>
      <c r="Q43" s="189" t="s">
        <v>247</v>
      </c>
      <c r="R43" s="189" t="s">
        <v>24</v>
      </c>
      <c r="S43" s="189" t="s">
        <v>152</v>
      </c>
      <c r="T43" s="189" t="s">
        <v>121</v>
      </c>
      <c r="V43" s="189" t="s">
        <v>123</v>
      </c>
      <c r="W43" s="189" t="s">
        <v>124</v>
      </c>
      <c r="X43" s="189" t="s">
        <v>448</v>
      </c>
      <c r="Y43" s="189" t="s">
        <v>448</v>
      </c>
      <c r="Z43" s="189" t="s">
        <v>3191</v>
      </c>
      <c r="AG43" s="189" t="s">
        <v>3190</v>
      </c>
      <c r="AH43" s="189" t="s">
        <v>3179</v>
      </c>
    </row>
    <row r="44" customFormat="false" ht="27.75" hidden="false" customHeight="true" outlineLevel="0" collapsed="false">
      <c r="A44" s="0" t="n">
        <v>43</v>
      </c>
      <c r="B44" s="185" t="n">
        <v>46064.1639927963</v>
      </c>
      <c r="C44" s="185" t="n">
        <v>46064.1837728889</v>
      </c>
      <c r="D44" s="189" t="s">
        <v>519</v>
      </c>
      <c r="E44" s="189" t="s">
        <v>520</v>
      </c>
      <c r="F44" s="189" t="s">
        <v>520</v>
      </c>
      <c r="G44" s="189" t="s">
        <v>521</v>
      </c>
      <c r="H44" s="185" t="n">
        <v>46044</v>
      </c>
      <c r="I44" s="189" t="s">
        <v>325</v>
      </c>
      <c r="J44" s="189" t="s">
        <v>108</v>
      </c>
      <c r="K44" s="189" t="s">
        <v>522</v>
      </c>
      <c r="L44" s="189" t="s">
        <v>286</v>
      </c>
      <c r="M44" s="189" t="s">
        <v>365</v>
      </c>
      <c r="N44" s="189" t="s">
        <v>523</v>
      </c>
      <c r="O44" s="189" t="s">
        <v>278</v>
      </c>
      <c r="P44" s="189" t="s">
        <v>111</v>
      </c>
      <c r="Q44" s="189" t="s">
        <v>112</v>
      </c>
      <c r="R44" s="189" t="s">
        <v>24</v>
      </c>
      <c r="S44" s="189" t="s">
        <v>152</v>
      </c>
      <c r="T44" s="189" t="s">
        <v>121</v>
      </c>
      <c r="U44" s="132"/>
      <c r="V44" s="189" t="s">
        <v>192</v>
      </c>
      <c r="W44" s="189" t="s">
        <v>124</v>
      </c>
      <c r="X44" s="189" t="s">
        <v>214</v>
      </c>
      <c r="Y44" s="189" t="s">
        <v>214</v>
      </c>
      <c r="Z44" s="189" t="s">
        <v>3065</v>
      </c>
      <c r="AA44" s="189" t="s">
        <v>3095</v>
      </c>
      <c r="AG44" s="189" t="s">
        <v>122</v>
      </c>
      <c r="AH44" s="189" t="s">
        <v>3083</v>
      </c>
    </row>
    <row r="45" customFormat="false" ht="15" hidden="false" customHeight="true" outlineLevel="0" collapsed="false">
      <c r="A45" s="0" t="n">
        <v>44</v>
      </c>
      <c r="B45" s="185" t="n">
        <v>46063.8584562871</v>
      </c>
      <c r="C45" s="185" t="n">
        <v>46063.8616623056</v>
      </c>
      <c r="D45" s="189" t="s">
        <v>527</v>
      </c>
      <c r="E45" s="189" t="s">
        <v>528</v>
      </c>
      <c r="F45" s="189" t="s">
        <v>528</v>
      </c>
      <c r="G45" s="189" t="s">
        <v>529</v>
      </c>
      <c r="H45" s="185" t="n">
        <v>46061</v>
      </c>
      <c r="I45" s="189" t="s">
        <v>113</v>
      </c>
      <c r="J45" s="189" t="s">
        <v>108</v>
      </c>
      <c r="K45" s="189" t="s">
        <v>173</v>
      </c>
      <c r="L45" s="189" t="s">
        <v>296</v>
      </c>
      <c r="M45" s="189" t="s">
        <v>269</v>
      </c>
      <c r="N45" s="189" t="s">
        <v>287</v>
      </c>
      <c r="O45" s="189" t="s">
        <v>244</v>
      </c>
      <c r="P45" s="189" t="s">
        <v>211</v>
      </c>
      <c r="Q45" s="189" t="s">
        <v>112</v>
      </c>
      <c r="R45" s="189" t="s">
        <v>22</v>
      </c>
      <c r="S45" s="189" t="s">
        <v>120</v>
      </c>
      <c r="T45" s="189" t="s">
        <v>400</v>
      </c>
      <c r="U45" s="189" t="s">
        <v>122</v>
      </c>
      <c r="V45" s="189" t="s">
        <v>123</v>
      </c>
      <c r="W45" s="189" t="s">
        <v>139</v>
      </c>
      <c r="X45" s="189" t="s">
        <v>135</v>
      </c>
      <c r="Y45" s="189" t="s">
        <v>135</v>
      </c>
      <c r="Z45" s="189" t="s">
        <v>3073</v>
      </c>
      <c r="AA45" s="189" t="s">
        <v>3072</v>
      </c>
      <c r="AG45" s="189" t="s">
        <v>3193</v>
      </c>
    </row>
    <row r="46" customFormat="false" ht="15" hidden="false" customHeight="true" outlineLevel="0" collapsed="false">
      <c r="A46" s="0" t="n">
        <v>45</v>
      </c>
      <c r="B46" s="185" t="n">
        <v>46202.9169676749</v>
      </c>
      <c r="C46" s="185" t="n">
        <v>46202.9195949898</v>
      </c>
      <c r="D46" s="189" t="s">
        <v>533</v>
      </c>
      <c r="E46" s="189" t="s">
        <v>534</v>
      </c>
      <c r="F46" s="189" t="s">
        <v>534</v>
      </c>
      <c r="G46" s="189" t="s">
        <v>535</v>
      </c>
      <c r="H46" s="185" t="n">
        <v>46192</v>
      </c>
      <c r="I46" s="189" t="s">
        <v>305</v>
      </c>
      <c r="J46" s="189" t="s">
        <v>108</v>
      </c>
      <c r="K46" s="189" t="s">
        <v>232</v>
      </c>
      <c r="L46" s="189" t="s">
        <v>346</v>
      </c>
      <c r="M46" s="189" t="s">
        <v>406</v>
      </c>
      <c r="N46" s="189" t="s">
        <v>234</v>
      </c>
      <c r="O46" s="189" t="s">
        <v>107</v>
      </c>
      <c r="P46" s="189" t="s">
        <v>111</v>
      </c>
      <c r="Q46" s="189" t="s">
        <v>112</v>
      </c>
      <c r="R46" s="189" t="s">
        <v>22</v>
      </c>
      <c r="S46" s="189" t="s">
        <v>152</v>
      </c>
      <c r="T46" s="189" t="s">
        <v>180</v>
      </c>
      <c r="V46" s="189" t="s">
        <v>192</v>
      </c>
      <c r="W46" s="189" t="s">
        <v>139</v>
      </c>
      <c r="X46" s="189" t="s">
        <v>298</v>
      </c>
      <c r="Y46" s="189" t="s">
        <v>298</v>
      </c>
      <c r="Z46" s="189" t="s">
        <v>3194</v>
      </c>
      <c r="AA46" s="189" t="s">
        <v>3195</v>
      </c>
      <c r="AG46" s="189" t="s">
        <v>3197</v>
      </c>
    </row>
    <row r="47" customFormat="false" ht="15" hidden="false" customHeight="true" outlineLevel="0" collapsed="false">
      <c r="A47" s="0" t="n">
        <v>46</v>
      </c>
      <c r="B47" s="185" t="n">
        <v>46160.950770126</v>
      </c>
      <c r="C47" s="185" t="n">
        <v>46160.964207626</v>
      </c>
      <c r="D47" s="189" t="s">
        <v>539</v>
      </c>
      <c r="E47" s="189" t="s">
        <v>540</v>
      </c>
      <c r="F47" s="189" t="s">
        <v>541</v>
      </c>
      <c r="G47" s="189" t="s">
        <v>542</v>
      </c>
      <c r="H47" s="185" t="n">
        <v>46151</v>
      </c>
      <c r="I47" s="189" t="s">
        <v>113</v>
      </c>
      <c r="J47" s="189" t="s">
        <v>108</v>
      </c>
      <c r="K47" s="189" t="s">
        <v>196</v>
      </c>
      <c r="L47" s="189" t="s">
        <v>286</v>
      </c>
      <c r="M47" s="189" t="s">
        <v>543</v>
      </c>
      <c r="N47" s="189" t="s">
        <v>544</v>
      </c>
      <c r="O47" s="189" t="s">
        <v>107</v>
      </c>
      <c r="P47" s="189" t="s">
        <v>111</v>
      </c>
      <c r="Q47" s="189" t="s">
        <v>112</v>
      </c>
      <c r="R47" s="189" t="s">
        <v>21</v>
      </c>
      <c r="S47" s="189" t="s">
        <v>152</v>
      </c>
      <c r="T47" s="189" t="s">
        <v>180</v>
      </c>
      <c r="U47" s="189" t="s">
        <v>547</v>
      </c>
      <c r="V47" s="189" t="s">
        <v>192</v>
      </c>
      <c r="W47" s="189" t="s">
        <v>124</v>
      </c>
      <c r="X47" s="189" t="s">
        <v>307</v>
      </c>
      <c r="Y47" s="189" t="s">
        <v>307</v>
      </c>
      <c r="Z47" s="189" t="s">
        <v>3130</v>
      </c>
      <c r="AA47" s="189" t="s">
        <v>3131</v>
      </c>
      <c r="AB47" s="189" t="s">
        <v>3129</v>
      </c>
      <c r="AG47" s="189" t="s">
        <v>3133</v>
      </c>
      <c r="AH47" s="189" t="s">
        <v>3134</v>
      </c>
    </row>
    <row r="48" customFormat="false" ht="15" hidden="false" customHeight="true" outlineLevel="0" collapsed="false">
      <c r="A48" s="0" t="n">
        <v>47</v>
      </c>
      <c r="B48" s="185" t="n">
        <v>46139.5208755687</v>
      </c>
      <c r="C48" s="185" t="n">
        <v>46139.5367320502</v>
      </c>
      <c r="D48" s="189" t="s">
        <v>548</v>
      </c>
      <c r="E48" s="189" t="s">
        <v>549</v>
      </c>
      <c r="F48" s="189" t="s">
        <v>549</v>
      </c>
      <c r="G48" s="189" t="s">
        <v>550</v>
      </c>
      <c r="H48" s="185" t="n">
        <v>46125</v>
      </c>
      <c r="I48" s="189" t="s">
        <v>551</v>
      </c>
      <c r="J48" s="189" t="s">
        <v>108</v>
      </c>
      <c r="K48" s="189" t="s">
        <v>196</v>
      </c>
      <c r="L48" s="189" t="s">
        <v>286</v>
      </c>
      <c r="M48" s="189" t="s">
        <v>160</v>
      </c>
      <c r="N48" s="189" t="s">
        <v>552</v>
      </c>
      <c r="O48" s="189" t="s">
        <v>107</v>
      </c>
      <c r="P48" s="189" t="s">
        <v>111</v>
      </c>
      <c r="Q48" s="189" t="s">
        <v>247</v>
      </c>
      <c r="R48" s="189" t="s">
        <v>22</v>
      </c>
      <c r="S48" s="189" t="s">
        <v>152</v>
      </c>
      <c r="T48" s="189" t="s">
        <v>121</v>
      </c>
      <c r="U48" s="189" t="s">
        <v>122</v>
      </c>
      <c r="V48" s="189" t="s">
        <v>192</v>
      </c>
      <c r="W48" s="189" t="s">
        <v>124</v>
      </c>
      <c r="X48" s="189" t="s">
        <v>339</v>
      </c>
      <c r="Y48" s="189" t="s">
        <v>339</v>
      </c>
      <c r="Z48" s="189" t="s">
        <v>3168</v>
      </c>
      <c r="AA48" s="189" t="s">
        <v>3198</v>
      </c>
      <c r="AB48" s="189" t="s">
        <v>3199</v>
      </c>
      <c r="AG48" s="189" t="s">
        <v>3200</v>
      </c>
    </row>
    <row r="49" customFormat="false" ht="15" hidden="false" customHeight="true" outlineLevel="0" collapsed="false">
      <c r="A49" s="0" t="n">
        <v>48</v>
      </c>
      <c r="B49" s="185" t="n">
        <v>46042.9608682863</v>
      </c>
      <c r="C49" s="185" t="n">
        <v>46042.9729053234</v>
      </c>
      <c r="D49" s="189" t="s">
        <v>556</v>
      </c>
      <c r="E49" s="189" t="s">
        <v>557</v>
      </c>
      <c r="F49" s="189" t="s">
        <v>558</v>
      </c>
      <c r="G49" s="189" t="s">
        <v>559</v>
      </c>
      <c r="H49" s="185" t="n">
        <v>46029</v>
      </c>
      <c r="I49" s="189" t="s">
        <v>113</v>
      </c>
      <c r="J49" s="189" t="s">
        <v>128</v>
      </c>
      <c r="K49" s="189" t="s">
        <v>257</v>
      </c>
      <c r="L49" s="189" t="s">
        <v>246</v>
      </c>
      <c r="M49" s="189" t="s">
        <v>212</v>
      </c>
      <c r="N49" s="189" t="s">
        <v>560</v>
      </c>
      <c r="O49" s="189" t="s">
        <v>107</v>
      </c>
      <c r="P49" s="189" t="s">
        <v>111</v>
      </c>
      <c r="Q49" s="189" t="s">
        <v>112</v>
      </c>
      <c r="R49" s="189" t="s">
        <v>22</v>
      </c>
      <c r="S49" s="189" t="s">
        <v>120</v>
      </c>
      <c r="T49" s="189" t="s">
        <v>121</v>
      </c>
      <c r="U49" s="189" t="s">
        <v>562</v>
      </c>
      <c r="V49" s="189" t="s">
        <v>192</v>
      </c>
      <c r="W49" s="189" t="s">
        <v>124</v>
      </c>
      <c r="X49" s="189" t="s">
        <v>135</v>
      </c>
      <c r="Y49" s="189" t="s">
        <v>135</v>
      </c>
      <c r="Z49" s="189" t="s">
        <v>3073</v>
      </c>
      <c r="AA49" s="189" t="s">
        <v>3072</v>
      </c>
      <c r="AG49" s="189" t="s">
        <v>3075</v>
      </c>
    </row>
    <row r="50" customFormat="false" ht="15" hidden="false" customHeight="true" outlineLevel="0" collapsed="false">
      <c r="A50" s="0" t="n">
        <v>49</v>
      </c>
      <c r="B50" s="185" t="n">
        <v>46048.4308335246</v>
      </c>
      <c r="C50" s="185" t="n">
        <v>46048.4452200987</v>
      </c>
      <c r="D50" s="189" t="s">
        <v>563</v>
      </c>
      <c r="E50" s="189" t="s">
        <v>564</v>
      </c>
      <c r="F50" s="189" t="s">
        <v>564</v>
      </c>
      <c r="G50" s="189" t="s">
        <v>565</v>
      </c>
      <c r="H50" s="185" t="n">
        <v>46035</v>
      </c>
      <c r="I50" s="189" t="s">
        <v>113</v>
      </c>
      <c r="J50" s="189" t="s">
        <v>108</v>
      </c>
      <c r="K50" s="189" t="s">
        <v>173</v>
      </c>
      <c r="L50" s="189" t="s">
        <v>184</v>
      </c>
      <c r="M50" s="189" t="s">
        <v>566</v>
      </c>
      <c r="N50" s="189" t="s">
        <v>567</v>
      </c>
      <c r="O50" s="189" t="s">
        <v>107</v>
      </c>
      <c r="P50" s="189" t="s">
        <v>111</v>
      </c>
      <c r="Q50" s="189" t="s">
        <v>145</v>
      </c>
      <c r="R50" s="189" t="s">
        <v>22</v>
      </c>
      <c r="S50" s="189" t="s">
        <v>152</v>
      </c>
      <c r="T50" s="189" t="s">
        <v>180</v>
      </c>
      <c r="U50" s="189" t="s">
        <v>122</v>
      </c>
      <c r="V50" s="189" t="s">
        <v>192</v>
      </c>
      <c r="W50" s="189" t="s">
        <v>124</v>
      </c>
      <c r="X50" s="189" t="s">
        <v>135</v>
      </c>
      <c r="Y50" s="189" t="s">
        <v>135</v>
      </c>
      <c r="Z50" s="189" t="s">
        <v>3201</v>
      </c>
      <c r="AA50" s="189" t="s">
        <v>3202</v>
      </c>
      <c r="AB50" s="189" t="s">
        <v>3071</v>
      </c>
      <c r="AG50" s="189" t="s">
        <v>3203</v>
      </c>
      <c r="AH50" s="189" t="s">
        <v>3152</v>
      </c>
    </row>
    <row r="51" customFormat="false" ht="15" hidden="false" customHeight="true" outlineLevel="0" collapsed="false">
      <c r="A51" s="0" t="n">
        <v>50</v>
      </c>
      <c r="B51" s="185" t="n">
        <v>46157.0486841727</v>
      </c>
      <c r="C51" s="185" t="n">
        <v>46157.0631980616</v>
      </c>
      <c r="D51" s="189" t="s">
        <v>570</v>
      </c>
      <c r="E51" s="189" t="s">
        <v>571</v>
      </c>
      <c r="F51" s="189" t="s">
        <v>571</v>
      </c>
      <c r="G51" s="189" t="s">
        <v>572</v>
      </c>
      <c r="H51" s="185" t="n">
        <v>46142</v>
      </c>
      <c r="I51" s="189" t="s">
        <v>325</v>
      </c>
      <c r="J51" s="189" t="s">
        <v>108</v>
      </c>
      <c r="K51" s="189" t="s">
        <v>173</v>
      </c>
      <c r="L51" s="189" t="s">
        <v>491</v>
      </c>
      <c r="M51" s="189" t="s">
        <v>337</v>
      </c>
      <c r="N51" s="189" t="s">
        <v>235</v>
      </c>
      <c r="O51" s="189" t="s">
        <v>107</v>
      </c>
      <c r="P51" s="189" t="s">
        <v>131</v>
      </c>
      <c r="Q51" s="189" t="s">
        <v>112</v>
      </c>
      <c r="R51" s="189" t="s">
        <v>23</v>
      </c>
      <c r="S51" s="189" t="s">
        <v>152</v>
      </c>
      <c r="T51" s="189" t="s">
        <v>121</v>
      </c>
      <c r="U51" s="189" t="s">
        <v>122</v>
      </c>
      <c r="V51" s="189" t="s">
        <v>167</v>
      </c>
      <c r="W51" s="189" t="s">
        <v>124</v>
      </c>
      <c r="X51" s="189" t="s">
        <v>122</v>
      </c>
      <c r="Y51" s="189" t="s">
        <v>122</v>
      </c>
    </row>
    <row r="52" customFormat="false" ht="15" hidden="false" customHeight="true" outlineLevel="0" collapsed="false">
      <c r="A52" s="0" t="n">
        <v>51</v>
      </c>
      <c r="B52" s="185" t="n">
        <v>46205.6690140307</v>
      </c>
      <c r="C52" s="185" t="n">
        <v>46205.6718959752</v>
      </c>
      <c r="D52" s="189" t="s">
        <v>574</v>
      </c>
      <c r="E52" s="189" t="s">
        <v>575</v>
      </c>
      <c r="F52" s="189" t="s">
        <v>575</v>
      </c>
      <c r="G52" s="189" t="s">
        <v>576</v>
      </c>
      <c r="H52" s="185" t="n">
        <v>46191</v>
      </c>
      <c r="I52" s="189" t="s">
        <v>577</v>
      </c>
      <c r="J52" s="189" t="s">
        <v>108</v>
      </c>
      <c r="K52" s="189" t="s">
        <v>173</v>
      </c>
      <c r="L52" s="189" t="s">
        <v>144</v>
      </c>
      <c r="M52" s="189" t="s">
        <v>578</v>
      </c>
      <c r="N52" s="189" t="s">
        <v>287</v>
      </c>
      <c r="O52" s="189" t="s">
        <v>107</v>
      </c>
      <c r="P52" s="189" t="s">
        <v>211</v>
      </c>
      <c r="Q52" s="189" t="s">
        <v>112</v>
      </c>
      <c r="R52" s="189" t="s">
        <v>22</v>
      </c>
      <c r="S52" s="189" t="s">
        <v>152</v>
      </c>
      <c r="T52" s="189" t="s">
        <v>121</v>
      </c>
      <c r="U52" s="189" t="s">
        <v>122</v>
      </c>
      <c r="V52" s="189" t="s">
        <v>123</v>
      </c>
      <c r="W52" s="189" t="s">
        <v>124</v>
      </c>
      <c r="X52" s="189" t="s">
        <v>176</v>
      </c>
      <c r="Y52" s="189" t="s">
        <v>176</v>
      </c>
      <c r="Z52" s="189" t="s">
        <v>3086</v>
      </c>
      <c r="AA52" s="189" t="s">
        <v>3204</v>
      </c>
      <c r="AG52" s="189" t="s">
        <v>3206</v>
      </c>
      <c r="AH52" s="189" t="s">
        <v>122</v>
      </c>
    </row>
    <row r="53" customFormat="false" ht="15" hidden="false" customHeight="true" outlineLevel="0" collapsed="false">
      <c r="A53" s="0" t="n">
        <v>52</v>
      </c>
      <c r="B53" s="185" t="n">
        <v>46110.325820436</v>
      </c>
      <c r="C53" s="185" t="n">
        <v>46110.3335287693</v>
      </c>
      <c r="D53" s="189" t="s">
        <v>582</v>
      </c>
      <c r="E53" s="189" t="s">
        <v>583</v>
      </c>
      <c r="F53" s="189" t="s">
        <v>584</v>
      </c>
      <c r="G53" s="189" t="s">
        <v>585</v>
      </c>
      <c r="H53" s="185" t="n">
        <v>46097</v>
      </c>
      <c r="I53" s="189" t="s">
        <v>113</v>
      </c>
      <c r="J53" s="189" t="s">
        <v>108</v>
      </c>
      <c r="K53" s="189" t="s">
        <v>232</v>
      </c>
      <c r="L53" s="189" t="s">
        <v>144</v>
      </c>
      <c r="M53" s="189" t="s">
        <v>130</v>
      </c>
      <c r="N53" s="189" t="s">
        <v>586</v>
      </c>
      <c r="O53" s="189" t="s">
        <v>107</v>
      </c>
      <c r="P53" s="189" t="s">
        <v>111</v>
      </c>
      <c r="Q53" s="189" t="s">
        <v>112</v>
      </c>
      <c r="R53" s="189" t="s">
        <v>22</v>
      </c>
      <c r="S53" s="189" t="s">
        <v>152</v>
      </c>
      <c r="T53" s="189" t="s">
        <v>590</v>
      </c>
      <c r="U53" s="189" t="s">
        <v>204</v>
      </c>
      <c r="V53" s="189" t="s">
        <v>192</v>
      </c>
      <c r="W53" s="189" t="s">
        <v>124</v>
      </c>
      <c r="X53" s="189" t="s">
        <v>298</v>
      </c>
      <c r="Y53" s="189" t="s">
        <v>298</v>
      </c>
      <c r="Z53" s="189" t="s">
        <v>3123</v>
      </c>
      <c r="AA53" s="189" t="s">
        <v>3207</v>
      </c>
      <c r="AB53" s="189" t="s">
        <v>3208</v>
      </c>
      <c r="AG53" s="189" t="s">
        <v>122</v>
      </c>
      <c r="AH53" s="189" t="s">
        <v>3210</v>
      </c>
    </row>
    <row r="54" customFormat="false" ht="15" hidden="false" customHeight="true" outlineLevel="0" collapsed="false">
      <c r="A54" s="0" t="n">
        <v>53</v>
      </c>
      <c r="B54" s="185" t="n">
        <v>46106.0477216452</v>
      </c>
      <c r="C54" s="185" t="n">
        <v>46106.0498397008</v>
      </c>
      <c r="D54" s="189" t="s">
        <v>591</v>
      </c>
      <c r="E54" s="189" t="s">
        <v>592</v>
      </c>
      <c r="F54" s="189" t="s">
        <v>592</v>
      </c>
      <c r="G54" s="189" t="s">
        <v>593</v>
      </c>
      <c r="H54" s="185" t="n">
        <v>46092</v>
      </c>
      <c r="I54" s="189" t="s">
        <v>113</v>
      </c>
      <c r="J54" s="189" t="s">
        <v>108</v>
      </c>
      <c r="K54" s="189" t="s">
        <v>257</v>
      </c>
      <c r="L54" s="189" t="s">
        <v>491</v>
      </c>
      <c r="M54" s="189" t="s">
        <v>594</v>
      </c>
      <c r="N54" s="189" t="s">
        <v>595</v>
      </c>
      <c r="O54" s="189" t="s">
        <v>107</v>
      </c>
      <c r="P54" s="189" t="s">
        <v>111</v>
      </c>
      <c r="Q54" s="189" t="s">
        <v>112</v>
      </c>
      <c r="R54" s="189" t="s">
        <v>24</v>
      </c>
      <c r="S54" s="189" t="s">
        <v>152</v>
      </c>
      <c r="T54" s="189" t="s">
        <v>121</v>
      </c>
      <c r="U54" s="189" t="s">
        <v>122</v>
      </c>
      <c r="V54" s="189" t="s">
        <v>123</v>
      </c>
      <c r="W54" s="189" t="s">
        <v>168</v>
      </c>
      <c r="X54" s="189" t="s">
        <v>448</v>
      </c>
      <c r="Y54" s="189" t="s">
        <v>448</v>
      </c>
      <c r="Z54" s="189" t="s">
        <v>3175</v>
      </c>
      <c r="AA54" s="189" t="s">
        <v>3189</v>
      </c>
      <c r="AG54" s="189" t="s">
        <v>3178</v>
      </c>
      <c r="AH54" s="189" t="s">
        <v>3190</v>
      </c>
    </row>
    <row r="55" customFormat="false" ht="15" hidden="false" customHeight="true" outlineLevel="0" collapsed="false">
      <c r="A55" s="0" t="n">
        <v>54</v>
      </c>
      <c r="B55" s="185" t="n">
        <v>46203.3733147918</v>
      </c>
      <c r="C55" s="185" t="n">
        <v>46203.3911504399</v>
      </c>
      <c r="D55" s="189" t="s">
        <v>598</v>
      </c>
      <c r="E55" s="189" t="s">
        <v>599</v>
      </c>
      <c r="F55" s="189" t="s">
        <v>599</v>
      </c>
      <c r="G55" s="189" t="s">
        <v>600</v>
      </c>
      <c r="H55" s="185" t="n">
        <v>46199</v>
      </c>
      <c r="I55" s="189" t="s">
        <v>551</v>
      </c>
      <c r="J55" s="189" t="s">
        <v>108</v>
      </c>
      <c r="K55" s="189" t="s">
        <v>196</v>
      </c>
      <c r="L55" s="189" t="s">
        <v>110</v>
      </c>
      <c r="M55" s="189" t="s">
        <v>234</v>
      </c>
      <c r="N55" s="189" t="s">
        <v>111</v>
      </c>
      <c r="O55" s="189" t="s">
        <v>157</v>
      </c>
      <c r="P55" s="189" t="s">
        <v>131</v>
      </c>
      <c r="Q55" s="189" t="s">
        <v>247</v>
      </c>
      <c r="R55" s="189" t="s">
        <v>22</v>
      </c>
      <c r="S55" s="189" t="s">
        <v>227</v>
      </c>
      <c r="T55" s="189" t="s">
        <v>352</v>
      </c>
      <c r="V55" s="189" t="s">
        <v>123</v>
      </c>
      <c r="W55" s="189" t="s">
        <v>124</v>
      </c>
      <c r="X55" s="189" t="s">
        <v>116</v>
      </c>
      <c r="Y55" s="189" t="s">
        <v>116</v>
      </c>
      <c r="Z55" s="189" t="s">
        <v>3139</v>
      </c>
      <c r="AA55" s="189" t="s">
        <v>3065</v>
      </c>
      <c r="AB55" s="189" t="s">
        <v>3081</v>
      </c>
      <c r="AG55" s="189" t="s">
        <v>122</v>
      </c>
    </row>
    <row r="56" customFormat="false" ht="15" hidden="false" customHeight="true" outlineLevel="0" collapsed="false">
      <c r="A56" s="0" t="n">
        <v>55</v>
      </c>
      <c r="B56" s="185" t="n">
        <v>46147.1828762015</v>
      </c>
      <c r="C56" s="185" t="n">
        <v>46147.1863021274</v>
      </c>
      <c r="D56" s="189" t="s">
        <v>603</v>
      </c>
      <c r="E56" s="189" t="s">
        <v>604</v>
      </c>
      <c r="F56" s="189" t="s">
        <v>604</v>
      </c>
      <c r="G56" s="189" t="s">
        <v>605</v>
      </c>
      <c r="H56" s="185" t="n">
        <v>46132</v>
      </c>
      <c r="I56" s="189" t="s">
        <v>113</v>
      </c>
      <c r="J56" s="189" t="s">
        <v>295</v>
      </c>
      <c r="K56" s="189" t="s">
        <v>462</v>
      </c>
      <c r="L56" s="189" t="s">
        <v>431</v>
      </c>
      <c r="M56" s="189" t="s">
        <v>594</v>
      </c>
      <c r="N56" s="189" t="s">
        <v>606</v>
      </c>
      <c r="O56" s="189" t="s">
        <v>244</v>
      </c>
      <c r="P56" s="189" t="s">
        <v>390</v>
      </c>
      <c r="Q56" s="189" t="s">
        <v>112</v>
      </c>
      <c r="R56" s="189" t="s">
        <v>22</v>
      </c>
      <c r="S56" s="189" t="s">
        <v>152</v>
      </c>
      <c r="T56" s="189" t="s">
        <v>121</v>
      </c>
      <c r="U56" s="189" t="s">
        <v>122</v>
      </c>
      <c r="V56" s="189" t="s">
        <v>123</v>
      </c>
      <c r="W56" s="189" t="s">
        <v>139</v>
      </c>
      <c r="X56" s="189" t="s">
        <v>116</v>
      </c>
      <c r="Y56" s="189" t="s">
        <v>116</v>
      </c>
      <c r="Z56" s="189" t="s">
        <v>3065</v>
      </c>
      <c r="AA56" s="189" t="s">
        <v>3107</v>
      </c>
      <c r="AB56" s="189" t="s">
        <v>3081</v>
      </c>
      <c r="AG56" s="189" t="s">
        <v>3140</v>
      </c>
    </row>
    <row r="57" customFormat="false" ht="15" hidden="false" customHeight="true" outlineLevel="0" collapsed="false">
      <c r="A57" s="0" t="n">
        <v>56</v>
      </c>
      <c r="B57" s="185" t="n">
        <v>46072.7138139639</v>
      </c>
      <c r="C57" s="185" t="n">
        <v>46072.7302491491</v>
      </c>
      <c r="D57" s="189" t="s">
        <v>609</v>
      </c>
      <c r="E57" s="189" t="s">
        <v>610</v>
      </c>
      <c r="F57" s="189" t="s">
        <v>610</v>
      </c>
      <c r="G57" s="189" t="s">
        <v>611</v>
      </c>
      <c r="H57" s="185" t="n">
        <v>46052</v>
      </c>
      <c r="I57" s="189" t="s">
        <v>305</v>
      </c>
      <c r="J57" s="189" t="s">
        <v>108</v>
      </c>
      <c r="K57" s="189" t="s">
        <v>364</v>
      </c>
      <c r="L57" s="189" t="s">
        <v>431</v>
      </c>
      <c r="M57" s="189" t="s">
        <v>612</v>
      </c>
      <c r="N57" s="189" t="s">
        <v>613</v>
      </c>
      <c r="O57" s="189" t="s">
        <v>172</v>
      </c>
      <c r="P57" s="189" t="s">
        <v>111</v>
      </c>
      <c r="Q57" s="189" t="s">
        <v>112</v>
      </c>
      <c r="R57" s="189" t="s">
        <v>21</v>
      </c>
      <c r="S57" s="189" t="s">
        <v>152</v>
      </c>
      <c r="T57" s="189" t="s">
        <v>121</v>
      </c>
      <c r="U57" s="189" t="s">
        <v>614</v>
      </c>
      <c r="V57" s="189" t="s">
        <v>123</v>
      </c>
      <c r="W57" s="189" t="s">
        <v>139</v>
      </c>
      <c r="X57" s="189" t="s">
        <v>307</v>
      </c>
      <c r="Y57" s="189" t="s">
        <v>307</v>
      </c>
      <c r="Z57" s="189" t="s">
        <v>3131</v>
      </c>
      <c r="AG57" s="189" t="s">
        <v>3133</v>
      </c>
      <c r="AH57" s="189" t="s">
        <v>3134</v>
      </c>
    </row>
    <row r="58" customFormat="false" ht="15" hidden="false" customHeight="true" outlineLevel="0" collapsed="false">
      <c r="A58" s="0" t="n">
        <v>57</v>
      </c>
      <c r="B58" s="185" t="n">
        <v>46194.5842178701</v>
      </c>
      <c r="C58" s="185" t="n">
        <v>46194.5926553701</v>
      </c>
      <c r="D58" s="189" t="s">
        <v>615</v>
      </c>
      <c r="E58" s="189" t="s">
        <v>616</v>
      </c>
      <c r="F58" s="189" t="s">
        <v>617</v>
      </c>
      <c r="G58" s="189" t="s">
        <v>618</v>
      </c>
      <c r="H58" s="185" t="n">
        <v>46193</v>
      </c>
      <c r="I58" s="189" t="s">
        <v>325</v>
      </c>
      <c r="J58" s="189" t="s">
        <v>108</v>
      </c>
      <c r="K58" s="189" t="s">
        <v>257</v>
      </c>
      <c r="L58" s="189" t="s">
        <v>431</v>
      </c>
      <c r="M58" s="189" t="s">
        <v>406</v>
      </c>
      <c r="N58" s="189" t="s">
        <v>111</v>
      </c>
      <c r="O58" s="189" t="s">
        <v>107</v>
      </c>
      <c r="P58" s="189" t="s">
        <v>111</v>
      </c>
      <c r="Q58" s="189" t="s">
        <v>145</v>
      </c>
      <c r="R58" s="189" t="s">
        <v>25</v>
      </c>
      <c r="S58" s="189" t="s">
        <v>152</v>
      </c>
      <c r="T58" s="189" t="s">
        <v>121</v>
      </c>
      <c r="U58" s="189" t="s">
        <v>122</v>
      </c>
      <c r="V58" s="189" t="s">
        <v>167</v>
      </c>
      <c r="W58" s="189" t="s">
        <v>124</v>
      </c>
      <c r="X58" s="189" t="s">
        <v>327</v>
      </c>
      <c r="Y58" s="189" t="s">
        <v>327</v>
      </c>
      <c r="Z58" s="189" t="s">
        <v>3065</v>
      </c>
      <c r="AA58" s="189" t="s">
        <v>3081</v>
      </c>
      <c r="AG58" s="189" t="s">
        <v>3108</v>
      </c>
    </row>
    <row r="59" customFormat="false" ht="15" hidden="false" customHeight="true" outlineLevel="0" collapsed="false">
      <c r="A59" s="0" t="n">
        <v>58</v>
      </c>
      <c r="B59" s="185" t="n">
        <v>46145.4523146892</v>
      </c>
      <c r="C59" s="185" t="n">
        <v>46145.4707869114</v>
      </c>
      <c r="D59" s="189" t="s">
        <v>622</v>
      </c>
      <c r="E59" s="189" t="s">
        <v>623</v>
      </c>
      <c r="F59" s="189" t="s">
        <v>623</v>
      </c>
      <c r="G59" s="189" t="s">
        <v>624</v>
      </c>
      <c r="H59" s="185" t="n">
        <v>46140</v>
      </c>
      <c r="I59" s="189" t="s">
        <v>113</v>
      </c>
      <c r="J59" s="189" t="s">
        <v>108</v>
      </c>
      <c r="K59" s="189" t="s">
        <v>232</v>
      </c>
      <c r="L59" s="189" t="s">
        <v>389</v>
      </c>
      <c r="M59" s="189" t="s">
        <v>286</v>
      </c>
      <c r="N59" s="189" t="s">
        <v>625</v>
      </c>
      <c r="O59" s="189" t="s">
        <v>172</v>
      </c>
      <c r="P59" s="189" t="s">
        <v>111</v>
      </c>
      <c r="Q59" s="189" t="s">
        <v>247</v>
      </c>
      <c r="R59" s="189" t="s">
        <v>22</v>
      </c>
      <c r="S59" s="189" t="s">
        <v>152</v>
      </c>
      <c r="T59" s="189" t="s">
        <v>121</v>
      </c>
      <c r="V59" s="189" t="s">
        <v>123</v>
      </c>
      <c r="W59" s="189" t="s">
        <v>124</v>
      </c>
      <c r="X59" s="189" t="s">
        <v>135</v>
      </c>
      <c r="Y59" s="189" t="s">
        <v>135</v>
      </c>
      <c r="Z59" s="189" t="s">
        <v>3072</v>
      </c>
      <c r="AG59" s="189" t="s">
        <v>3212</v>
      </c>
    </row>
    <row r="60" customFormat="false" ht="15" hidden="false" customHeight="true" outlineLevel="0" collapsed="false">
      <c r="A60" s="0" t="n">
        <v>59</v>
      </c>
      <c r="B60" s="185" t="n">
        <v>46205.1823932057</v>
      </c>
      <c r="C60" s="185" t="n">
        <v>46205.1906223723</v>
      </c>
      <c r="D60" s="189" t="s">
        <v>629</v>
      </c>
      <c r="E60" s="189" t="s">
        <v>630</v>
      </c>
      <c r="F60" s="189" t="s">
        <v>630</v>
      </c>
      <c r="G60" s="189" t="s">
        <v>631</v>
      </c>
      <c r="H60" s="185" t="n">
        <v>46191</v>
      </c>
      <c r="I60" s="189" t="s">
        <v>325</v>
      </c>
      <c r="J60" s="189" t="s">
        <v>108</v>
      </c>
      <c r="K60" s="189" t="s">
        <v>462</v>
      </c>
      <c r="L60" s="189" t="s">
        <v>431</v>
      </c>
      <c r="M60" s="189" t="s">
        <v>612</v>
      </c>
      <c r="N60" s="189" t="s">
        <v>347</v>
      </c>
      <c r="O60" s="189" t="s">
        <v>278</v>
      </c>
      <c r="P60" s="189" t="s">
        <v>390</v>
      </c>
      <c r="Q60" s="189" t="s">
        <v>112</v>
      </c>
      <c r="R60" s="189" t="s">
        <v>24</v>
      </c>
      <c r="S60" s="189" t="s">
        <v>152</v>
      </c>
      <c r="T60" s="189" t="s">
        <v>121</v>
      </c>
      <c r="V60" s="189" t="s">
        <v>192</v>
      </c>
      <c r="W60" s="189" t="s">
        <v>124</v>
      </c>
      <c r="X60" s="189" t="s">
        <v>223</v>
      </c>
      <c r="Y60" s="189" t="s">
        <v>223</v>
      </c>
      <c r="Z60" s="189" t="s">
        <v>3120</v>
      </c>
      <c r="AG60" s="189" t="s">
        <v>3150</v>
      </c>
    </row>
    <row r="61" customFormat="false" ht="15" hidden="false" customHeight="true" outlineLevel="0" collapsed="false">
      <c r="A61" s="0" t="n">
        <v>60</v>
      </c>
      <c r="B61" s="185" t="n">
        <v>46196.1992521716</v>
      </c>
      <c r="C61" s="185" t="n">
        <v>46196.2152475419</v>
      </c>
      <c r="D61" s="189" t="s">
        <v>635</v>
      </c>
      <c r="E61" s="189" t="s">
        <v>636</v>
      </c>
      <c r="F61" s="189" t="s">
        <v>636</v>
      </c>
      <c r="G61" s="189" t="s">
        <v>637</v>
      </c>
      <c r="H61" s="185" t="n">
        <v>46178</v>
      </c>
      <c r="I61" s="189" t="s">
        <v>113</v>
      </c>
      <c r="J61" s="189" t="s">
        <v>295</v>
      </c>
      <c r="K61" s="189" t="s">
        <v>232</v>
      </c>
      <c r="L61" s="189" t="s">
        <v>389</v>
      </c>
      <c r="M61" s="189" t="s">
        <v>279</v>
      </c>
      <c r="N61" s="189" t="s">
        <v>638</v>
      </c>
      <c r="O61" s="189" t="s">
        <v>172</v>
      </c>
      <c r="P61" s="189" t="s">
        <v>131</v>
      </c>
      <c r="Q61" s="189" t="s">
        <v>112</v>
      </c>
      <c r="R61" s="189" t="s">
        <v>22</v>
      </c>
      <c r="S61" s="189" t="s">
        <v>120</v>
      </c>
      <c r="T61" s="189" t="s">
        <v>180</v>
      </c>
      <c r="U61" s="132" t="s">
        <v>641</v>
      </c>
      <c r="V61" s="189" t="s">
        <v>167</v>
      </c>
      <c r="W61" s="189" t="s">
        <v>124</v>
      </c>
      <c r="X61" s="189" t="s">
        <v>135</v>
      </c>
      <c r="Y61" s="189" t="s">
        <v>135</v>
      </c>
      <c r="Z61" s="189" t="s">
        <v>3183</v>
      </c>
      <c r="AA61" s="189" t="s">
        <v>3072</v>
      </c>
      <c r="AB61" s="189" t="s">
        <v>3071</v>
      </c>
      <c r="AG61" s="189" t="s">
        <v>3152</v>
      </c>
    </row>
    <row r="62" customFormat="false" ht="15" hidden="false" customHeight="true" outlineLevel="0" collapsed="false">
      <c r="A62" s="0" t="n">
        <v>61</v>
      </c>
      <c r="B62" s="185" t="n">
        <v>46144.2024289185</v>
      </c>
      <c r="C62" s="185" t="n">
        <v>46144.2142691962</v>
      </c>
      <c r="D62" s="189" t="s">
        <v>642</v>
      </c>
      <c r="E62" s="189" t="s">
        <v>643</v>
      </c>
      <c r="F62" s="189" t="s">
        <v>643</v>
      </c>
      <c r="G62" s="189" t="s">
        <v>644</v>
      </c>
      <c r="H62" s="185" t="n">
        <v>46131</v>
      </c>
      <c r="I62" s="189" t="s">
        <v>113</v>
      </c>
      <c r="J62" s="189" t="s">
        <v>108</v>
      </c>
      <c r="K62" s="189" t="s">
        <v>196</v>
      </c>
      <c r="L62" s="189" t="s">
        <v>197</v>
      </c>
      <c r="M62" s="189" t="s">
        <v>234</v>
      </c>
      <c r="N62" s="189" t="s">
        <v>645</v>
      </c>
      <c r="O62" s="189" t="s">
        <v>244</v>
      </c>
      <c r="P62" s="189" t="s">
        <v>111</v>
      </c>
      <c r="Q62" s="189" t="s">
        <v>112</v>
      </c>
      <c r="R62" s="189" t="s">
        <v>22</v>
      </c>
      <c r="S62" s="189" t="s">
        <v>152</v>
      </c>
      <c r="T62" s="189" t="s">
        <v>121</v>
      </c>
      <c r="V62" s="189" t="s">
        <v>167</v>
      </c>
      <c r="W62" s="189" t="s">
        <v>124</v>
      </c>
      <c r="X62" s="189" t="s">
        <v>271</v>
      </c>
      <c r="Y62" s="189" t="s">
        <v>271</v>
      </c>
      <c r="Z62" s="189" t="s">
        <v>3135</v>
      </c>
      <c r="AG62" s="189" t="s">
        <v>122</v>
      </c>
      <c r="AH62" s="189" t="s">
        <v>3119</v>
      </c>
    </row>
    <row r="63" customFormat="false" ht="15" hidden="false" customHeight="true" outlineLevel="0" collapsed="false">
      <c r="A63" s="0" t="n">
        <v>62</v>
      </c>
      <c r="B63" s="185" t="n">
        <v>46126.0561501729</v>
      </c>
      <c r="C63" s="185" t="n">
        <v>46126.0650506359</v>
      </c>
      <c r="D63" s="189" t="s">
        <v>649</v>
      </c>
      <c r="E63" s="189" t="s">
        <v>650</v>
      </c>
      <c r="F63" s="189" t="s">
        <v>650</v>
      </c>
      <c r="G63" s="189" t="s">
        <v>651</v>
      </c>
      <c r="H63" s="185" t="n">
        <v>46118</v>
      </c>
      <c r="I63" s="189" t="s">
        <v>113</v>
      </c>
      <c r="J63" s="189" t="s">
        <v>108</v>
      </c>
      <c r="K63" s="189" t="s">
        <v>245</v>
      </c>
      <c r="L63" s="189" t="s">
        <v>491</v>
      </c>
      <c r="M63" s="189" t="s">
        <v>652</v>
      </c>
      <c r="N63" s="189" t="s">
        <v>653</v>
      </c>
      <c r="O63" s="189" t="s">
        <v>172</v>
      </c>
      <c r="P63" s="189" t="s">
        <v>211</v>
      </c>
      <c r="Q63" s="189" t="s">
        <v>145</v>
      </c>
      <c r="R63" s="189" t="s">
        <v>21</v>
      </c>
      <c r="S63" s="189" t="s">
        <v>152</v>
      </c>
      <c r="T63" s="189" t="s">
        <v>352</v>
      </c>
      <c r="V63" s="189" t="s">
        <v>167</v>
      </c>
      <c r="W63" s="189" t="s">
        <v>124</v>
      </c>
      <c r="X63" s="189" t="s">
        <v>374</v>
      </c>
      <c r="Y63" s="189" t="s">
        <v>374</v>
      </c>
      <c r="Z63" s="189" t="s">
        <v>3154</v>
      </c>
      <c r="AA63" s="189" t="s">
        <v>3153</v>
      </c>
      <c r="AB63" s="189" t="s">
        <v>3155</v>
      </c>
      <c r="AG63" s="189" t="s">
        <v>3157</v>
      </c>
      <c r="AH63" s="189" t="s">
        <v>3158</v>
      </c>
    </row>
    <row r="64" customFormat="false" ht="15" hidden="false" customHeight="true" outlineLevel="0" collapsed="false">
      <c r="A64" s="0" t="n">
        <v>63</v>
      </c>
      <c r="B64" s="185" t="n">
        <v>46149.5784862118</v>
      </c>
      <c r="C64" s="185" t="n">
        <v>46149.5910672303</v>
      </c>
      <c r="D64" s="189" t="s">
        <v>656</v>
      </c>
      <c r="E64" s="189" t="s">
        <v>657</v>
      </c>
      <c r="F64" s="189" t="s">
        <v>657</v>
      </c>
      <c r="G64" s="189" t="s">
        <v>658</v>
      </c>
      <c r="H64" s="185" t="n">
        <v>46145</v>
      </c>
      <c r="I64" s="189" t="s">
        <v>336</v>
      </c>
      <c r="J64" s="189" t="s">
        <v>108</v>
      </c>
      <c r="K64" s="189" t="s">
        <v>245</v>
      </c>
      <c r="L64" s="189" t="s">
        <v>389</v>
      </c>
      <c r="M64" s="189" t="s">
        <v>391</v>
      </c>
      <c r="N64" s="189" t="s">
        <v>440</v>
      </c>
      <c r="O64" s="189" t="s">
        <v>107</v>
      </c>
      <c r="P64" s="189" t="s">
        <v>111</v>
      </c>
      <c r="Q64" s="189" t="s">
        <v>112</v>
      </c>
      <c r="R64" s="189" t="s">
        <v>22</v>
      </c>
      <c r="S64" s="189" t="s">
        <v>320</v>
      </c>
      <c r="T64" s="189" t="s">
        <v>121</v>
      </c>
      <c r="U64" s="189" t="s">
        <v>122</v>
      </c>
      <c r="V64" s="189" t="s">
        <v>167</v>
      </c>
      <c r="W64" s="189" t="s">
        <v>139</v>
      </c>
      <c r="X64" s="189" t="s">
        <v>148</v>
      </c>
      <c r="Y64" s="189" t="s">
        <v>148</v>
      </c>
      <c r="Z64" s="189" t="s">
        <v>3076</v>
      </c>
      <c r="AA64" s="189" t="s">
        <v>3092</v>
      </c>
      <c r="AB64" s="189" t="s">
        <v>3186</v>
      </c>
      <c r="AG64" s="189" t="s">
        <v>3094</v>
      </c>
      <c r="AH64" s="189" t="s">
        <v>3188</v>
      </c>
    </row>
    <row r="65" customFormat="false" ht="15" hidden="false" customHeight="true" outlineLevel="0" collapsed="false">
      <c r="A65" s="0" t="n">
        <v>64</v>
      </c>
      <c r="B65" s="185" t="n">
        <v>46094.6896283151</v>
      </c>
      <c r="C65" s="185" t="n">
        <v>46094.6935519262</v>
      </c>
      <c r="D65" s="189" t="s">
        <v>662</v>
      </c>
      <c r="E65" s="189" t="s">
        <v>663</v>
      </c>
      <c r="F65" s="189" t="s">
        <v>663</v>
      </c>
      <c r="G65" s="189" t="s">
        <v>664</v>
      </c>
      <c r="H65" s="185" t="n">
        <v>46074</v>
      </c>
      <c r="I65" s="189" t="s">
        <v>113</v>
      </c>
      <c r="J65" s="189" t="s">
        <v>108</v>
      </c>
      <c r="K65" s="189" t="s">
        <v>196</v>
      </c>
      <c r="L65" s="189" t="s">
        <v>346</v>
      </c>
      <c r="M65" s="189" t="s">
        <v>160</v>
      </c>
      <c r="N65" s="189" t="s">
        <v>665</v>
      </c>
      <c r="O65" s="189" t="s">
        <v>244</v>
      </c>
      <c r="P65" s="189" t="s">
        <v>111</v>
      </c>
      <c r="Q65" s="189" t="s">
        <v>112</v>
      </c>
      <c r="R65" s="189" t="s">
        <v>22</v>
      </c>
      <c r="S65" s="189" t="s">
        <v>152</v>
      </c>
      <c r="T65" s="189" t="s">
        <v>180</v>
      </c>
      <c r="V65" s="189" t="s">
        <v>123</v>
      </c>
      <c r="W65" s="189" t="s">
        <v>124</v>
      </c>
      <c r="X65" s="189" t="s">
        <v>298</v>
      </c>
      <c r="Y65" s="189" t="s">
        <v>298</v>
      </c>
      <c r="Z65" s="189" t="s">
        <v>3207</v>
      </c>
      <c r="AG65" s="189" t="s">
        <v>3215</v>
      </c>
    </row>
    <row r="66" customFormat="false" ht="15" hidden="false" customHeight="true" outlineLevel="0" collapsed="false">
      <c r="A66" s="0" t="n">
        <v>65</v>
      </c>
      <c r="B66" s="185" t="n">
        <v>46169.0983542806</v>
      </c>
      <c r="C66" s="185" t="n">
        <v>46169.1056227991</v>
      </c>
      <c r="D66" s="189" t="s">
        <v>669</v>
      </c>
      <c r="E66" s="189" t="s">
        <v>670</v>
      </c>
      <c r="F66" s="189" t="s">
        <v>670</v>
      </c>
      <c r="G66" s="189" t="s">
        <v>671</v>
      </c>
      <c r="H66" s="185" t="n">
        <v>46162</v>
      </c>
      <c r="I66" s="189" t="s">
        <v>113</v>
      </c>
      <c r="J66" s="189" t="s">
        <v>108</v>
      </c>
      <c r="K66" s="189" t="s">
        <v>173</v>
      </c>
      <c r="L66" s="189" t="s">
        <v>346</v>
      </c>
      <c r="M66" s="189" t="s">
        <v>566</v>
      </c>
      <c r="N66" s="189" t="s">
        <v>672</v>
      </c>
      <c r="O66" s="196" t="s">
        <v>172</v>
      </c>
      <c r="P66" s="189" t="s">
        <v>111</v>
      </c>
      <c r="Q66" s="189" t="s">
        <v>145</v>
      </c>
      <c r="R66" s="189" t="s">
        <v>22</v>
      </c>
      <c r="S66" s="189" t="s">
        <v>227</v>
      </c>
      <c r="T66" s="189" t="s">
        <v>121</v>
      </c>
      <c r="U66" s="189" t="s">
        <v>122</v>
      </c>
      <c r="V66" s="189" t="s">
        <v>123</v>
      </c>
      <c r="W66" s="189" t="s">
        <v>124</v>
      </c>
      <c r="X66" s="189" t="s">
        <v>339</v>
      </c>
      <c r="Y66" s="189" t="s">
        <v>339</v>
      </c>
      <c r="Z66" s="189" t="s">
        <v>3168</v>
      </c>
      <c r="AA66" s="189" t="s">
        <v>3169</v>
      </c>
      <c r="AB66" s="189" t="s">
        <v>3216</v>
      </c>
      <c r="AG66" s="189" t="s">
        <v>3217</v>
      </c>
    </row>
    <row r="67" customFormat="false" ht="30" hidden="false" customHeight="true" outlineLevel="0" collapsed="false">
      <c r="A67" s="0" t="n">
        <v>66</v>
      </c>
      <c r="B67" s="185" t="n">
        <v>46047.5423982296</v>
      </c>
      <c r="C67" s="185" t="n">
        <v>46047.561842674</v>
      </c>
      <c r="D67" s="189" t="s">
        <v>676</v>
      </c>
      <c r="E67" s="189" t="s">
        <v>677</v>
      </c>
      <c r="F67" s="189" t="s">
        <v>677</v>
      </c>
      <c r="G67" s="189" t="s">
        <v>678</v>
      </c>
      <c r="H67" s="185" t="n">
        <v>46028</v>
      </c>
      <c r="I67" s="189" t="s">
        <v>132</v>
      </c>
      <c r="J67" s="189" t="s">
        <v>108</v>
      </c>
      <c r="K67" s="189" t="s">
        <v>257</v>
      </c>
      <c r="L67" s="189" t="s">
        <v>110</v>
      </c>
      <c r="M67" s="189" t="s">
        <v>439</v>
      </c>
      <c r="N67" s="132" t="s">
        <v>115</v>
      </c>
      <c r="O67" s="189" t="s">
        <v>157</v>
      </c>
      <c r="P67" s="189" t="s">
        <v>211</v>
      </c>
      <c r="Q67" s="189" t="s">
        <v>112</v>
      </c>
      <c r="R67" s="189" t="s">
        <v>22</v>
      </c>
      <c r="S67" s="189" t="s">
        <v>120</v>
      </c>
      <c r="T67" s="189" t="s">
        <v>121</v>
      </c>
      <c r="U67" s="189" t="s">
        <v>682</v>
      </c>
      <c r="V67" s="189" t="s">
        <v>167</v>
      </c>
      <c r="W67" s="189" t="s">
        <v>124</v>
      </c>
      <c r="X67" s="189" t="s">
        <v>116</v>
      </c>
      <c r="Y67" s="189" t="s">
        <v>116</v>
      </c>
      <c r="Z67" s="189" t="s">
        <v>3107</v>
      </c>
      <c r="AG67" s="189" t="s">
        <v>3070</v>
      </c>
    </row>
    <row r="68" customFormat="false" ht="30" hidden="false" customHeight="true" outlineLevel="0" collapsed="false">
      <c r="A68" s="0" t="n">
        <v>67</v>
      </c>
      <c r="B68" s="185" t="n">
        <v>46140.1285349646</v>
      </c>
      <c r="C68" s="185" t="n">
        <v>46140.1408729276</v>
      </c>
      <c r="D68" s="189" t="s">
        <v>683</v>
      </c>
      <c r="E68" s="189" t="s">
        <v>684</v>
      </c>
      <c r="F68" s="189" t="s">
        <v>684</v>
      </c>
      <c r="G68" s="189" t="s">
        <v>685</v>
      </c>
      <c r="H68" s="185" t="n">
        <v>46140</v>
      </c>
      <c r="I68" s="189" t="s">
        <v>113</v>
      </c>
      <c r="J68" s="189" t="s">
        <v>295</v>
      </c>
      <c r="K68" s="189" t="s">
        <v>462</v>
      </c>
      <c r="L68" s="189" t="s">
        <v>197</v>
      </c>
      <c r="M68" s="189" t="s">
        <v>686</v>
      </c>
      <c r="N68" s="132" t="s">
        <v>407</v>
      </c>
      <c r="O68" s="189" t="s">
        <v>172</v>
      </c>
      <c r="P68" s="189" t="s">
        <v>111</v>
      </c>
      <c r="Q68" s="189" t="s">
        <v>145</v>
      </c>
      <c r="R68" s="189" t="s">
        <v>25</v>
      </c>
      <c r="S68" s="189" t="s">
        <v>152</v>
      </c>
      <c r="T68" s="189" t="s">
        <v>228</v>
      </c>
      <c r="V68" s="189" t="s">
        <v>167</v>
      </c>
      <c r="W68" s="189" t="s">
        <v>168</v>
      </c>
      <c r="X68" s="189" t="s">
        <v>687</v>
      </c>
      <c r="Y68" s="189" t="s">
        <v>687</v>
      </c>
      <c r="Z68" s="189" t="s">
        <v>3218</v>
      </c>
      <c r="AG68" s="189" t="s">
        <v>3221</v>
      </c>
      <c r="AH68" s="189" t="s">
        <v>3222</v>
      </c>
    </row>
    <row r="69" customFormat="false" ht="15" hidden="false" customHeight="true" outlineLevel="0" collapsed="false">
      <c r="A69" s="0" t="n">
        <v>68</v>
      </c>
      <c r="B69" s="185" t="n">
        <v>46041.4434920819</v>
      </c>
      <c r="C69" s="185" t="n">
        <v>46041.4576124522</v>
      </c>
      <c r="D69" s="189" t="s">
        <v>691</v>
      </c>
      <c r="E69" s="189" t="s">
        <v>692</v>
      </c>
      <c r="F69" s="189" t="s">
        <v>692</v>
      </c>
      <c r="G69" s="189" t="s">
        <v>693</v>
      </c>
      <c r="H69" s="185" t="n">
        <v>46034</v>
      </c>
      <c r="I69" s="189" t="s">
        <v>113</v>
      </c>
      <c r="J69" s="189" t="s">
        <v>295</v>
      </c>
      <c r="K69" s="189" t="s">
        <v>196</v>
      </c>
      <c r="L69" s="189" t="s">
        <v>159</v>
      </c>
      <c r="M69" s="189" t="s">
        <v>694</v>
      </c>
      <c r="N69" s="189" t="s">
        <v>234</v>
      </c>
      <c r="O69" s="189" t="s">
        <v>157</v>
      </c>
      <c r="P69" s="189" t="s">
        <v>111</v>
      </c>
      <c r="Q69" s="189" t="s">
        <v>145</v>
      </c>
      <c r="R69" s="189" t="s">
        <v>22</v>
      </c>
      <c r="S69" s="189" t="s">
        <v>152</v>
      </c>
      <c r="T69" s="189" t="s">
        <v>121</v>
      </c>
      <c r="U69" s="189" t="s">
        <v>122</v>
      </c>
      <c r="V69" s="189" t="s">
        <v>123</v>
      </c>
      <c r="W69" s="189" t="s">
        <v>124</v>
      </c>
      <c r="X69" s="189" t="s">
        <v>148</v>
      </c>
      <c r="Y69" s="189" t="s">
        <v>148</v>
      </c>
      <c r="Z69" s="189" t="s">
        <v>3122</v>
      </c>
      <c r="AG69" s="189" t="s">
        <v>3188</v>
      </c>
    </row>
    <row r="70" customFormat="false" ht="15" hidden="false" customHeight="true" outlineLevel="0" collapsed="false">
      <c r="A70" s="0" t="n">
        <v>69</v>
      </c>
      <c r="B70" s="185" t="n">
        <v>46072.1520586667</v>
      </c>
      <c r="C70" s="185" t="n">
        <v>46072.1718387593</v>
      </c>
      <c r="D70" s="189" t="s">
        <v>697</v>
      </c>
      <c r="E70" s="189" t="s">
        <v>698</v>
      </c>
      <c r="F70" s="189" t="s">
        <v>699</v>
      </c>
      <c r="G70" s="189" t="s">
        <v>700</v>
      </c>
      <c r="H70" s="185" t="n">
        <v>46063</v>
      </c>
      <c r="I70" s="189" t="s">
        <v>113</v>
      </c>
      <c r="J70" s="189" t="s">
        <v>128</v>
      </c>
      <c r="K70" s="189" t="s">
        <v>257</v>
      </c>
      <c r="L70" s="189" t="s">
        <v>184</v>
      </c>
      <c r="M70" s="189" t="s">
        <v>114</v>
      </c>
      <c r="N70" s="189" t="s">
        <v>701</v>
      </c>
      <c r="O70" s="189" t="s">
        <v>107</v>
      </c>
      <c r="P70" s="189" t="s">
        <v>111</v>
      </c>
      <c r="Q70" s="189" t="s">
        <v>112</v>
      </c>
      <c r="R70" s="189" t="s">
        <v>22</v>
      </c>
      <c r="S70" s="189" t="s">
        <v>152</v>
      </c>
      <c r="T70" s="189" t="s">
        <v>121</v>
      </c>
      <c r="V70" s="189" t="s">
        <v>192</v>
      </c>
      <c r="W70" s="189" t="s">
        <v>124</v>
      </c>
      <c r="X70" s="189" t="s">
        <v>135</v>
      </c>
      <c r="Y70" s="189" t="s">
        <v>135</v>
      </c>
      <c r="Z70" s="189" t="s">
        <v>3201</v>
      </c>
      <c r="AA70" s="189" t="s">
        <v>3071</v>
      </c>
      <c r="AB70" s="189" t="s">
        <v>3183</v>
      </c>
      <c r="AG70" s="189" t="s">
        <v>3212</v>
      </c>
      <c r="AH70" s="189" t="s">
        <v>3152</v>
      </c>
    </row>
    <row r="71" customFormat="false" ht="15" hidden="false" customHeight="true" outlineLevel="0" collapsed="false">
      <c r="A71" s="0" t="n">
        <v>70</v>
      </c>
      <c r="B71" s="185" t="n">
        <v>46191.616720563</v>
      </c>
      <c r="C71" s="185" t="n">
        <v>46191.6372066741</v>
      </c>
      <c r="D71" s="189" t="s">
        <v>705</v>
      </c>
      <c r="E71" s="189" t="s">
        <v>706</v>
      </c>
      <c r="F71" s="189" t="s">
        <v>706</v>
      </c>
      <c r="G71" s="189" t="s">
        <v>707</v>
      </c>
      <c r="H71" s="185" t="n">
        <v>46174</v>
      </c>
      <c r="I71" s="189" t="s">
        <v>113</v>
      </c>
      <c r="J71" s="189" t="s">
        <v>108</v>
      </c>
      <c r="K71" s="189" t="s">
        <v>245</v>
      </c>
      <c r="L71" s="189" t="s">
        <v>184</v>
      </c>
      <c r="M71" s="189" t="s">
        <v>130</v>
      </c>
      <c r="N71" s="189" t="s">
        <v>227</v>
      </c>
      <c r="O71" s="189" t="s">
        <v>172</v>
      </c>
      <c r="P71" s="189" t="s">
        <v>111</v>
      </c>
      <c r="Q71" s="189" t="s">
        <v>112</v>
      </c>
      <c r="R71" s="189" t="s">
        <v>21</v>
      </c>
      <c r="S71" s="189" t="s">
        <v>120</v>
      </c>
      <c r="T71" s="189" t="s">
        <v>180</v>
      </c>
      <c r="U71" s="189" t="s">
        <v>191</v>
      </c>
      <c r="V71" s="189" t="s">
        <v>192</v>
      </c>
      <c r="W71" s="189" t="s">
        <v>168</v>
      </c>
      <c r="X71" s="189" t="s">
        <v>187</v>
      </c>
      <c r="Y71" s="189" t="s">
        <v>187</v>
      </c>
      <c r="Z71" s="189" t="s">
        <v>3089</v>
      </c>
      <c r="AG71" s="189" t="s">
        <v>3091</v>
      </c>
    </row>
    <row r="72" customFormat="false" ht="15" hidden="false" customHeight="true" outlineLevel="0" collapsed="false">
      <c r="A72" s="0" t="n">
        <v>71</v>
      </c>
      <c r="B72" s="185" t="n">
        <v>46066.545797176</v>
      </c>
      <c r="C72" s="185" t="n">
        <v>46066.5516883797</v>
      </c>
      <c r="D72" s="189" t="s">
        <v>709</v>
      </c>
      <c r="E72" s="189" t="s">
        <v>710</v>
      </c>
      <c r="F72" s="189" t="s">
        <v>711</v>
      </c>
      <c r="G72" s="189" t="s">
        <v>712</v>
      </c>
      <c r="H72" s="185" t="n">
        <v>46051</v>
      </c>
      <c r="I72" s="189" t="s">
        <v>113</v>
      </c>
      <c r="J72" s="189" t="s">
        <v>295</v>
      </c>
      <c r="K72" s="189" t="s">
        <v>245</v>
      </c>
      <c r="L72" s="189" t="s">
        <v>184</v>
      </c>
      <c r="M72" s="189" t="s">
        <v>578</v>
      </c>
      <c r="N72" s="189" t="s">
        <v>714</v>
      </c>
      <c r="O72" s="189" t="s">
        <v>713</v>
      </c>
      <c r="P72" s="189" t="s">
        <v>111</v>
      </c>
      <c r="Q72" s="189" t="s">
        <v>145</v>
      </c>
      <c r="R72" s="189" t="s">
        <v>22</v>
      </c>
      <c r="S72" s="189" t="s">
        <v>152</v>
      </c>
      <c r="T72" s="189" t="s">
        <v>121</v>
      </c>
      <c r="U72" s="132" t="s">
        <v>641</v>
      </c>
      <c r="V72" s="189" t="s">
        <v>123</v>
      </c>
      <c r="W72" s="189" t="s">
        <v>124</v>
      </c>
      <c r="X72" s="189" t="s">
        <v>715</v>
      </c>
      <c r="Y72" s="189" t="s">
        <v>715</v>
      </c>
      <c r="Z72" s="189" t="s">
        <v>3224</v>
      </c>
      <c r="AA72" s="189" t="s">
        <v>3225</v>
      </c>
      <c r="AG72" s="189" t="s">
        <v>3228</v>
      </c>
      <c r="AH72" s="189" t="s">
        <v>3229</v>
      </c>
    </row>
    <row r="73" customFormat="false" ht="15" hidden="false" customHeight="true" outlineLevel="0" collapsed="false">
      <c r="A73" s="0" t="n">
        <v>72</v>
      </c>
      <c r="B73" s="185" t="n">
        <v>46103.6304040973</v>
      </c>
      <c r="C73" s="185" t="n">
        <v>46103.6364341899</v>
      </c>
      <c r="D73" s="189" t="s">
        <v>719</v>
      </c>
      <c r="E73" s="189" t="s">
        <v>720</v>
      </c>
      <c r="F73" s="189" t="s">
        <v>720</v>
      </c>
      <c r="G73" s="189" t="s">
        <v>721</v>
      </c>
      <c r="H73" s="185" t="n">
        <v>46085</v>
      </c>
      <c r="I73" s="189" t="s">
        <v>325</v>
      </c>
      <c r="J73" s="189" t="s">
        <v>108</v>
      </c>
      <c r="K73" s="189" t="s">
        <v>257</v>
      </c>
      <c r="L73" s="189" t="s">
        <v>346</v>
      </c>
      <c r="M73" s="189" t="s">
        <v>357</v>
      </c>
      <c r="N73" s="189" t="s">
        <v>398</v>
      </c>
      <c r="O73" s="196" t="s">
        <v>157</v>
      </c>
      <c r="P73" s="189" t="s">
        <v>111</v>
      </c>
      <c r="Q73" s="189" t="s">
        <v>112</v>
      </c>
      <c r="R73" s="189" t="s">
        <v>22</v>
      </c>
      <c r="S73" s="189" t="s">
        <v>227</v>
      </c>
      <c r="T73" s="189" t="s">
        <v>180</v>
      </c>
      <c r="U73" s="189" t="s">
        <v>725</v>
      </c>
      <c r="V73" s="189" t="s">
        <v>123</v>
      </c>
      <c r="W73" s="189" t="s">
        <v>124</v>
      </c>
      <c r="X73" s="189" t="s">
        <v>271</v>
      </c>
      <c r="Y73" s="189" t="s">
        <v>271</v>
      </c>
      <c r="Z73" s="189" t="s">
        <v>3230</v>
      </c>
      <c r="AG73" s="189" t="s">
        <v>3118</v>
      </c>
    </row>
    <row r="74" customFormat="false" ht="15" hidden="false" customHeight="true" outlineLevel="0" collapsed="false">
      <c r="A74" s="0" t="n">
        <v>73</v>
      </c>
      <c r="B74" s="185" t="n">
        <v>46070.2349218252</v>
      </c>
      <c r="C74" s="185" t="n">
        <v>46070.2471093252</v>
      </c>
      <c r="D74" s="189" t="s">
        <v>726</v>
      </c>
      <c r="E74" s="189" t="s">
        <v>727</v>
      </c>
      <c r="F74" s="189" t="s">
        <v>728</v>
      </c>
      <c r="G74" s="189" t="s">
        <v>729</v>
      </c>
      <c r="H74" s="185" t="n">
        <v>46050</v>
      </c>
      <c r="I74" s="189" t="s">
        <v>113</v>
      </c>
      <c r="J74" s="189" t="s">
        <v>108</v>
      </c>
      <c r="K74" s="189" t="s">
        <v>196</v>
      </c>
      <c r="L74" s="189" t="s">
        <v>246</v>
      </c>
      <c r="M74" s="189" t="s">
        <v>144</v>
      </c>
      <c r="N74" s="189" t="s">
        <v>389</v>
      </c>
      <c r="O74" s="189" t="s">
        <v>244</v>
      </c>
      <c r="P74" s="189" t="s">
        <v>111</v>
      </c>
      <c r="Q74" s="189" t="s">
        <v>112</v>
      </c>
      <c r="R74" s="189" t="s">
        <v>22</v>
      </c>
      <c r="S74" s="189" t="s">
        <v>152</v>
      </c>
      <c r="T74" s="189" t="s">
        <v>121</v>
      </c>
      <c r="U74" s="189" t="s">
        <v>122</v>
      </c>
      <c r="V74" s="189" t="s">
        <v>123</v>
      </c>
      <c r="W74" s="189" t="s">
        <v>124</v>
      </c>
      <c r="X74" s="189" t="s">
        <v>715</v>
      </c>
      <c r="Y74" s="189" t="s">
        <v>715</v>
      </c>
      <c r="Z74" s="189" t="s">
        <v>3224</v>
      </c>
      <c r="AG74" s="189" t="s">
        <v>3232</v>
      </c>
    </row>
    <row r="75" customFormat="false" ht="15" hidden="false" customHeight="true" outlineLevel="0" collapsed="false">
      <c r="A75" s="0" t="n">
        <v>74</v>
      </c>
      <c r="B75" s="185" t="n">
        <v>46154.2781454042</v>
      </c>
      <c r="C75" s="185" t="n">
        <v>46154.2960504968</v>
      </c>
      <c r="D75" s="189" t="s">
        <v>733</v>
      </c>
      <c r="E75" s="189" t="s">
        <v>734</v>
      </c>
      <c r="F75" s="189" t="s">
        <v>734</v>
      </c>
      <c r="G75" s="189" t="s">
        <v>735</v>
      </c>
      <c r="H75" s="185" t="n">
        <v>46152</v>
      </c>
      <c r="I75" s="189" t="s">
        <v>113</v>
      </c>
      <c r="J75" s="189" t="s">
        <v>128</v>
      </c>
      <c r="K75" s="189" t="s">
        <v>462</v>
      </c>
      <c r="L75" s="189" t="s">
        <v>210</v>
      </c>
      <c r="M75" s="189" t="s">
        <v>736</v>
      </c>
      <c r="N75" s="189" t="s">
        <v>306</v>
      </c>
      <c r="O75" s="189" t="s">
        <v>244</v>
      </c>
      <c r="P75" s="189" t="s">
        <v>111</v>
      </c>
      <c r="Q75" s="189" t="s">
        <v>112</v>
      </c>
      <c r="R75" s="189" t="s">
        <v>22</v>
      </c>
      <c r="S75" s="189" t="s">
        <v>152</v>
      </c>
      <c r="T75" s="189" t="s">
        <v>264</v>
      </c>
      <c r="U75" s="189" t="s">
        <v>562</v>
      </c>
      <c r="V75" s="189" t="s">
        <v>123</v>
      </c>
      <c r="W75" s="189" t="s">
        <v>139</v>
      </c>
      <c r="X75" s="189" t="s">
        <v>381</v>
      </c>
      <c r="Y75" s="189" t="s">
        <v>381</v>
      </c>
      <c r="Z75" s="189" t="s">
        <v>3180</v>
      </c>
      <c r="AA75" s="189" t="s">
        <v>3233</v>
      </c>
      <c r="AG75" s="189" t="s">
        <v>3234</v>
      </c>
    </row>
    <row r="76" customFormat="false" ht="15" hidden="false" customHeight="true" outlineLevel="0" collapsed="false">
      <c r="A76" s="0" t="n">
        <v>75</v>
      </c>
      <c r="B76" s="185" t="n">
        <v>46191.5705878683</v>
      </c>
      <c r="C76" s="185" t="n">
        <v>46191.5875670349</v>
      </c>
      <c r="D76" s="189" t="s">
        <v>739</v>
      </c>
      <c r="E76" s="189" t="s">
        <v>740</v>
      </c>
      <c r="F76" s="189" t="s">
        <v>740</v>
      </c>
      <c r="G76" s="189" t="s">
        <v>741</v>
      </c>
      <c r="H76" s="185" t="n">
        <v>46181</v>
      </c>
      <c r="I76" s="189" t="s">
        <v>113</v>
      </c>
      <c r="J76" s="189" t="s">
        <v>108</v>
      </c>
      <c r="K76" s="189" t="s">
        <v>742</v>
      </c>
      <c r="L76" s="189" t="s">
        <v>210</v>
      </c>
      <c r="M76" s="189" t="s">
        <v>133</v>
      </c>
      <c r="N76" s="189" t="s">
        <v>743</v>
      </c>
      <c r="O76" s="189" t="s">
        <v>107</v>
      </c>
      <c r="P76" s="189" t="s">
        <v>211</v>
      </c>
      <c r="Q76" s="189" t="s">
        <v>112</v>
      </c>
      <c r="R76" s="189" t="s">
        <v>22</v>
      </c>
      <c r="S76" s="189" t="s">
        <v>152</v>
      </c>
      <c r="T76" s="189" t="s">
        <v>496</v>
      </c>
      <c r="U76" s="189" t="s">
        <v>122</v>
      </c>
      <c r="V76" s="189" t="s">
        <v>167</v>
      </c>
      <c r="W76" s="189" t="s">
        <v>124</v>
      </c>
      <c r="X76" s="189" t="s">
        <v>116</v>
      </c>
      <c r="Y76" s="189" t="s">
        <v>116</v>
      </c>
      <c r="Z76" s="189" t="s">
        <v>3095</v>
      </c>
      <c r="AA76" s="189" t="s">
        <v>3107</v>
      </c>
      <c r="AG76" s="189" t="s">
        <v>122</v>
      </c>
      <c r="AH76" s="189" t="s">
        <v>3140</v>
      </c>
    </row>
    <row r="77" customFormat="false" ht="15" hidden="false" customHeight="true" outlineLevel="0" collapsed="false">
      <c r="A77" s="0" t="n">
        <v>76</v>
      </c>
      <c r="B77" s="185" t="n">
        <v>46094.2503628354</v>
      </c>
      <c r="C77" s="185" t="n">
        <v>46094.2624230206</v>
      </c>
      <c r="D77" s="189" t="s">
        <v>747</v>
      </c>
      <c r="E77" s="189" t="s">
        <v>748</v>
      </c>
      <c r="F77" s="189" t="s">
        <v>748</v>
      </c>
      <c r="G77" s="189" t="s">
        <v>749</v>
      </c>
      <c r="H77" s="185" t="n">
        <v>46077</v>
      </c>
      <c r="I77" s="189" t="s">
        <v>113</v>
      </c>
      <c r="J77" s="189" t="s">
        <v>108</v>
      </c>
      <c r="K77" s="189" t="s">
        <v>245</v>
      </c>
      <c r="L77" s="189" t="s">
        <v>110</v>
      </c>
      <c r="M77" s="189" t="s">
        <v>365</v>
      </c>
      <c r="N77" s="189" t="s">
        <v>560</v>
      </c>
      <c r="O77" s="196" t="s">
        <v>750</v>
      </c>
      <c r="P77" s="189" t="s">
        <v>111</v>
      </c>
      <c r="Q77" s="189" t="s">
        <v>112</v>
      </c>
      <c r="R77" s="189" t="s">
        <v>22</v>
      </c>
      <c r="S77" s="189" t="s">
        <v>227</v>
      </c>
      <c r="T77" s="189" t="s">
        <v>121</v>
      </c>
      <c r="U77" s="189" t="s">
        <v>291</v>
      </c>
      <c r="V77" s="189" t="s">
        <v>123</v>
      </c>
      <c r="W77" s="189" t="s">
        <v>124</v>
      </c>
      <c r="X77" s="189" t="s">
        <v>339</v>
      </c>
      <c r="Y77" s="189" t="s">
        <v>339</v>
      </c>
      <c r="Z77" s="189" t="s">
        <v>3141</v>
      </c>
      <c r="AA77" s="189" t="s">
        <v>3199</v>
      </c>
      <c r="AB77" s="189" t="s">
        <v>3198</v>
      </c>
      <c r="AG77" s="189" t="s">
        <v>3235</v>
      </c>
    </row>
    <row r="78" customFormat="false" ht="15" hidden="false" customHeight="true" outlineLevel="0" collapsed="false">
      <c r="A78" s="0" t="n">
        <v>77</v>
      </c>
      <c r="B78" s="185" t="n">
        <v>46066.4010866967</v>
      </c>
      <c r="C78" s="185" t="n">
        <v>46066.4030890115</v>
      </c>
      <c r="D78" s="189" t="s">
        <v>754</v>
      </c>
      <c r="E78" s="189" t="s">
        <v>755</v>
      </c>
      <c r="F78" s="189" t="s">
        <v>755</v>
      </c>
      <c r="G78" s="189" t="s">
        <v>756</v>
      </c>
      <c r="H78" s="185" t="n">
        <v>46064</v>
      </c>
      <c r="I78" s="189" t="s">
        <v>325</v>
      </c>
      <c r="J78" s="189" t="s">
        <v>295</v>
      </c>
      <c r="K78" s="189" t="s">
        <v>173</v>
      </c>
      <c r="L78" s="189" t="s">
        <v>130</v>
      </c>
      <c r="M78" s="189" t="s">
        <v>757</v>
      </c>
      <c r="N78" s="189" t="s">
        <v>758</v>
      </c>
      <c r="O78" s="189" t="s">
        <v>244</v>
      </c>
      <c r="P78" s="189" t="s">
        <v>111</v>
      </c>
      <c r="Q78" s="189" t="s">
        <v>145</v>
      </c>
      <c r="R78" s="189" t="s">
        <v>22</v>
      </c>
      <c r="S78" s="189" t="s">
        <v>152</v>
      </c>
      <c r="T78" s="189" t="s">
        <v>121</v>
      </c>
      <c r="U78" s="189" t="s">
        <v>122</v>
      </c>
      <c r="V78" s="189" t="s">
        <v>123</v>
      </c>
      <c r="W78" s="189" t="s">
        <v>139</v>
      </c>
      <c r="X78" s="189" t="s">
        <v>298</v>
      </c>
      <c r="Y78" s="189" t="s">
        <v>298</v>
      </c>
      <c r="Z78" s="189" t="s">
        <v>3195</v>
      </c>
      <c r="AA78" s="189" t="s">
        <v>3125</v>
      </c>
      <c r="AB78" s="189" t="s">
        <v>3236</v>
      </c>
      <c r="AG78" s="189" t="s">
        <v>3215</v>
      </c>
      <c r="AH78" s="189" t="s">
        <v>3238</v>
      </c>
    </row>
    <row r="79" customFormat="false" ht="15" hidden="false" customHeight="true" outlineLevel="0" collapsed="false">
      <c r="A79" s="0" t="n">
        <v>78</v>
      </c>
      <c r="B79" s="185" t="n">
        <v>46142.6950743493</v>
      </c>
      <c r="C79" s="185" t="n">
        <v>46142.7073081456</v>
      </c>
      <c r="D79" s="189" t="s">
        <v>762</v>
      </c>
      <c r="E79" s="189" t="s">
        <v>763</v>
      </c>
      <c r="F79" s="189" t="s">
        <v>764</v>
      </c>
      <c r="G79" s="189" t="s">
        <v>765</v>
      </c>
      <c r="H79" s="185" t="n">
        <v>46142</v>
      </c>
      <c r="I79" s="189" t="s">
        <v>132</v>
      </c>
      <c r="J79" s="189" t="s">
        <v>108</v>
      </c>
      <c r="K79" s="189" t="s">
        <v>257</v>
      </c>
      <c r="L79" s="189" t="s">
        <v>296</v>
      </c>
      <c r="M79" s="189" t="s">
        <v>269</v>
      </c>
      <c r="N79" s="189" t="s">
        <v>766</v>
      </c>
      <c r="O79" s="189" t="s">
        <v>750</v>
      </c>
      <c r="P79" s="189" t="s">
        <v>111</v>
      </c>
      <c r="Q79" s="189" t="s">
        <v>145</v>
      </c>
      <c r="R79" s="189" t="s">
        <v>22</v>
      </c>
      <c r="S79" s="189" t="s">
        <v>152</v>
      </c>
      <c r="T79" s="189" t="s">
        <v>121</v>
      </c>
      <c r="U79" s="189" t="s">
        <v>770</v>
      </c>
      <c r="V79" s="189" t="s">
        <v>123</v>
      </c>
      <c r="W79" s="189" t="s">
        <v>124</v>
      </c>
      <c r="X79" s="189" t="s">
        <v>176</v>
      </c>
      <c r="Y79" s="189" t="s">
        <v>176</v>
      </c>
      <c r="Z79" s="189" t="s">
        <v>3239</v>
      </c>
      <c r="AA79" s="189" t="s">
        <v>3084</v>
      </c>
      <c r="AG79" s="189" t="s">
        <v>3241</v>
      </c>
      <c r="AH79" s="189" t="s">
        <v>3242</v>
      </c>
    </row>
    <row r="80" customFormat="false" ht="15" hidden="false" customHeight="true" outlineLevel="0" collapsed="false">
      <c r="A80" s="0" t="n">
        <v>79</v>
      </c>
      <c r="B80" s="185" t="n">
        <v>46080.3008407093</v>
      </c>
      <c r="C80" s="185" t="n">
        <v>46080.3152620056</v>
      </c>
      <c r="D80" s="189" t="s">
        <v>771</v>
      </c>
      <c r="E80" s="189" t="s">
        <v>772</v>
      </c>
      <c r="F80" s="189" t="s">
        <v>772</v>
      </c>
      <c r="G80" s="189" t="s">
        <v>773</v>
      </c>
      <c r="H80" s="185" t="n">
        <v>46066</v>
      </c>
      <c r="I80" s="189" t="s">
        <v>113</v>
      </c>
      <c r="J80" s="189" t="s">
        <v>108</v>
      </c>
      <c r="K80" s="189" t="s">
        <v>462</v>
      </c>
      <c r="L80" s="189" t="s">
        <v>159</v>
      </c>
      <c r="M80" s="189" t="s">
        <v>774</v>
      </c>
      <c r="N80" s="189" t="s">
        <v>775</v>
      </c>
      <c r="O80" s="189" t="s">
        <v>750</v>
      </c>
      <c r="P80" s="189" t="s">
        <v>111</v>
      </c>
      <c r="Q80" s="189" t="s">
        <v>112</v>
      </c>
      <c r="R80" s="189" t="s">
        <v>22</v>
      </c>
      <c r="S80" s="189" t="s">
        <v>120</v>
      </c>
      <c r="T80" s="189" t="s">
        <v>121</v>
      </c>
      <c r="U80" s="189" t="s">
        <v>153</v>
      </c>
      <c r="V80" s="189" t="s">
        <v>192</v>
      </c>
      <c r="W80" s="189" t="s">
        <v>139</v>
      </c>
      <c r="X80" s="189" t="s">
        <v>339</v>
      </c>
      <c r="Y80" s="189" t="s">
        <v>339</v>
      </c>
      <c r="Z80" s="189" t="s">
        <v>3216</v>
      </c>
      <c r="AA80" s="189" t="s">
        <v>3198</v>
      </c>
      <c r="AG80" s="189" t="s">
        <v>122</v>
      </c>
      <c r="AH80" s="189" t="s">
        <v>3235</v>
      </c>
    </row>
    <row r="81" customFormat="false" ht="15" hidden="false" customHeight="true" outlineLevel="0" collapsed="false">
      <c r="A81" s="0" t="n">
        <v>80</v>
      </c>
      <c r="B81" s="185" t="n">
        <v>46202.7448680958</v>
      </c>
      <c r="C81" s="185" t="n">
        <v>46202.7501921699</v>
      </c>
      <c r="D81" s="189" t="s">
        <v>778</v>
      </c>
      <c r="E81" s="189" t="s">
        <v>779</v>
      </c>
      <c r="F81" s="189" t="s">
        <v>779</v>
      </c>
      <c r="G81" s="189" t="s">
        <v>780</v>
      </c>
      <c r="H81" s="185" t="n">
        <v>46184</v>
      </c>
      <c r="I81" s="189" t="s">
        <v>113</v>
      </c>
      <c r="J81" s="189" t="s">
        <v>295</v>
      </c>
      <c r="K81" s="189" t="s">
        <v>257</v>
      </c>
      <c r="L81" s="189" t="s">
        <v>159</v>
      </c>
      <c r="M81" s="189" t="s">
        <v>357</v>
      </c>
      <c r="N81" s="189" t="s">
        <v>606</v>
      </c>
      <c r="O81" s="189" t="s">
        <v>781</v>
      </c>
      <c r="P81" s="189" t="s">
        <v>111</v>
      </c>
      <c r="Q81" s="189" t="s">
        <v>112</v>
      </c>
      <c r="R81" s="189" t="s">
        <v>22</v>
      </c>
      <c r="S81" s="189" t="s">
        <v>152</v>
      </c>
      <c r="T81" s="189" t="s">
        <v>121</v>
      </c>
      <c r="U81" s="189" t="s">
        <v>785</v>
      </c>
      <c r="V81" s="189" t="s">
        <v>167</v>
      </c>
      <c r="W81" s="189" t="s">
        <v>124</v>
      </c>
      <c r="X81" s="189" t="s">
        <v>176</v>
      </c>
      <c r="Y81" s="189" t="s">
        <v>176</v>
      </c>
      <c r="Z81" s="189" t="s">
        <v>3086</v>
      </c>
      <c r="AA81" s="189" t="s">
        <v>3244</v>
      </c>
      <c r="AG81" s="189" t="s">
        <v>3084</v>
      </c>
      <c r="AH81" s="189" t="s">
        <v>3245</v>
      </c>
    </row>
    <row r="82" customFormat="false" ht="15" hidden="false" customHeight="true" outlineLevel="0" collapsed="false">
      <c r="A82" s="0" t="n">
        <v>81</v>
      </c>
      <c r="B82" s="185" t="n">
        <v>46046.5805088957</v>
      </c>
      <c r="C82" s="185" t="n">
        <v>46046.5942473216</v>
      </c>
      <c r="D82" s="189" t="s">
        <v>786</v>
      </c>
      <c r="E82" s="189" t="s">
        <v>787</v>
      </c>
      <c r="F82" s="189" t="s">
        <v>787</v>
      </c>
      <c r="G82" s="189" t="s">
        <v>788</v>
      </c>
      <c r="H82" s="185" t="n">
        <v>46043</v>
      </c>
      <c r="I82" s="189" t="s">
        <v>132</v>
      </c>
      <c r="J82" s="189" t="s">
        <v>295</v>
      </c>
      <c r="K82" s="189" t="s">
        <v>232</v>
      </c>
      <c r="L82" s="189" t="s">
        <v>197</v>
      </c>
      <c r="M82" s="189" t="s">
        <v>789</v>
      </c>
      <c r="N82" s="189" t="s">
        <v>235</v>
      </c>
      <c r="O82" s="189" t="s">
        <v>172</v>
      </c>
      <c r="P82" s="189" t="s">
        <v>131</v>
      </c>
      <c r="Q82" s="189" t="s">
        <v>112</v>
      </c>
      <c r="R82" s="189" t="s">
        <v>22</v>
      </c>
      <c r="S82" s="189" t="s">
        <v>120</v>
      </c>
      <c r="T82" s="189" t="s">
        <v>180</v>
      </c>
      <c r="U82" s="189" t="s">
        <v>122</v>
      </c>
      <c r="V82" s="189" t="s">
        <v>123</v>
      </c>
      <c r="W82" s="189" t="s">
        <v>124</v>
      </c>
      <c r="X82" s="189" t="s">
        <v>298</v>
      </c>
      <c r="Y82" s="189" t="s">
        <v>298</v>
      </c>
      <c r="Z82" s="189" t="s">
        <v>3208</v>
      </c>
      <c r="AA82" s="189" t="s">
        <v>3125</v>
      </c>
      <c r="AB82" s="189" t="s">
        <v>3194</v>
      </c>
      <c r="AG82" s="189" t="s">
        <v>3247</v>
      </c>
      <c r="AH82" s="189" t="s">
        <v>3248</v>
      </c>
    </row>
    <row r="83" customFormat="false" ht="15" hidden="false" customHeight="true" outlineLevel="0" collapsed="false">
      <c r="A83" s="0" t="n">
        <v>82</v>
      </c>
      <c r="B83" s="185" t="n">
        <v>46165.1784369742</v>
      </c>
      <c r="C83" s="185" t="n">
        <v>46165.1799300298</v>
      </c>
      <c r="D83" s="189" t="s">
        <v>793</v>
      </c>
      <c r="E83" s="189" t="s">
        <v>794</v>
      </c>
      <c r="F83" s="189" t="s">
        <v>794</v>
      </c>
      <c r="G83" s="189" t="s">
        <v>795</v>
      </c>
      <c r="H83" s="185" t="n">
        <v>46157</v>
      </c>
      <c r="I83" s="189" t="s">
        <v>113</v>
      </c>
      <c r="J83" s="189" t="s">
        <v>295</v>
      </c>
      <c r="K83" s="189" t="s">
        <v>796</v>
      </c>
      <c r="L83" s="189" t="s">
        <v>114</v>
      </c>
      <c r="M83" s="189" t="s">
        <v>797</v>
      </c>
      <c r="N83" s="189" t="s">
        <v>338</v>
      </c>
      <c r="O83" s="189" t="s">
        <v>278</v>
      </c>
      <c r="P83" s="189" t="s">
        <v>131</v>
      </c>
      <c r="Q83" s="189" t="s">
        <v>112</v>
      </c>
      <c r="R83" s="189" t="s">
        <v>21</v>
      </c>
      <c r="S83" s="189" t="s">
        <v>120</v>
      </c>
      <c r="T83" s="189" t="s">
        <v>180</v>
      </c>
      <c r="U83" s="189" t="s">
        <v>798</v>
      </c>
      <c r="V83" s="189" t="s">
        <v>167</v>
      </c>
      <c r="W83" s="189" t="s">
        <v>124</v>
      </c>
      <c r="X83" s="189" t="s">
        <v>187</v>
      </c>
      <c r="Y83" s="189" t="s">
        <v>187</v>
      </c>
      <c r="Z83" s="189" t="s">
        <v>3089</v>
      </c>
      <c r="AG83" s="189" t="s">
        <v>3091</v>
      </c>
    </row>
    <row r="84" customFormat="false" ht="15" hidden="false" customHeight="true" outlineLevel="0" collapsed="false">
      <c r="A84" s="0" t="n">
        <v>83</v>
      </c>
      <c r="B84" s="185" t="n">
        <v>46107.2550075347</v>
      </c>
      <c r="C84" s="185" t="n">
        <v>46107.2591626273</v>
      </c>
      <c r="D84" s="189" t="s">
        <v>799</v>
      </c>
      <c r="E84" s="189" t="s">
        <v>800</v>
      </c>
      <c r="F84" s="189" t="s">
        <v>800</v>
      </c>
      <c r="G84" s="189" t="s">
        <v>801</v>
      </c>
      <c r="H84" s="185" t="n">
        <v>46103</v>
      </c>
      <c r="I84" s="189" t="s">
        <v>113</v>
      </c>
      <c r="J84" s="189" t="s">
        <v>108</v>
      </c>
      <c r="K84" s="189" t="s">
        <v>802</v>
      </c>
      <c r="L84" s="189" t="s">
        <v>210</v>
      </c>
      <c r="M84" s="189" t="s">
        <v>789</v>
      </c>
      <c r="N84" s="189" t="s">
        <v>523</v>
      </c>
      <c r="O84" s="189" t="s">
        <v>172</v>
      </c>
      <c r="P84" s="189" t="s">
        <v>111</v>
      </c>
      <c r="Q84" s="189" t="s">
        <v>112</v>
      </c>
      <c r="R84" s="189" t="s">
        <v>22</v>
      </c>
      <c r="S84" s="189" t="s">
        <v>152</v>
      </c>
      <c r="T84" s="189" t="s">
        <v>496</v>
      </c>
      <c r="U84" s="189" t="s">
        <v>239</v>
      </c>
      <c r="V84" s="189" t="s">
        <v>192</v>
      </c>
      <c r="W84" s="189" t="s">
        <v>124</v>
      </c>
      <c r="X84" s="189" t="s">
        <v>381</v>
      </c>
      <c r="Y84" s="189" t="s">
        <v>381</v>
      </c>
      <c r="Z84" s="189" t="s">
        <v>3249</v>
      </c>
      <c r="AA84" s="189" t="s">
        <v>3159</v>
      </c>
      <c r="AG84" s="189" t="s">
        <v>3162</v>
      </c>
      <c r="AH84" s="189" t="s">
        <v>3234</v>
      </c>
    </row>
    <row r="85" customFormat="false" ht="15" hidden="false" customHeight="true" outlineLevel="0" collapsed="false">
      <c r="A85" s="0" t="n">
        <v>84</v>
      </c>
      <c r="B85" s="185" t="n">
        <v>46157.4329602601</v>
      </c>
      <c r="C85" s="185" t="n">
        <v>46157.4383074823</v>
      </c>
      <c r="D85" s="189" t="s">
        <v>806</v>
      </c>
      <c r="E85" s="189" t="s">
        <v>807</v>
      </c>
      <c r="F85" s="189" t="s">
        <v>807</v>
      </c>
      <c r="G85" s="189" t="s">
        <v>808</v>
      </c>
      <c r="H85" s="185" t="n">
        <v>46150</v>
      </c>
      <c r="I85" s="189" t="s">
        <v>113</v>
      </c>
      <c r="J85" s="189" t="s">
        <v>108</v>
      </c>
      <c r="K85" s="189" t="s">
        <v>364</v>
      </c>
      <c r="L85" s="189" t="s">
        <v>296</v>
      </c>
      <c r="M85" s="189" t="s">
        <v>809</v>
      </c>
      <c r="N85" s="189" t="s">
        <v>810</v>
      </c>
      <c r="O85" s="189" t="s">
        <v>172</v>
      </c>
      <c r="P85" s="189" t="s">
        <v>111</v>
      </c>
      <c r="Q85" s="189" t="s">
        <v>145</v>
      </c>
      <c r="R85" s="189" t="s">
        <v>22</v>
      </c>
      <c r="S85" s="189" t="s">
        <v>152</v>
      </c>
      <c r="T85" s="189" t="s">
        <v>814</v>
      </c>
      <c r="V85" s="189" t="s">
        <v>167</v>
      </c>
      <c r="W85" s="189" t="s">
        <v>124</v>
      </c>
      <c r="X85" s="189" t="s">
        <v>715</v>
      </c>
      <c r="Y85" s="189" t="s">
        <v>715</v>
      </c>
      <c r="Z85" s="189" t="s">
        <v>3251</v>
      </c>
      <c r="AA85" s="189" t="s">
        <v>3252</v>
      </c>
      <c r="AB85" s="189" t="s">
        <v>3224</v>
      </c>
      <c r="AG85" s="189" t="s">
        <v>3253</v>
      </c>
      <c r="AH85" s="189" t="s">
        <v>3228</v>
      </c>
    </row>
    <row r="86" customFormat="false" ht="15" hidden="false" customHeight="true" outlineLevel="0" collapsed="false">
      <c r="A86" s="0" t="n">
        <v>85</v>
      </c>
      <c r="B86" s="185" t="n">
        <v>46133.8183890304</v>
      </c>
      <c r="C86" s="185" t="n">
        <v>46133.8361089378</v>
      </c>
      <c r="D86" s="189" t="s">
        <v>815</v>
      </c>
      <c r="E86" s="189" t="s">
        <v>816</v>
      </c>
      <c r="F86" s="189" t="s">
        <v>816</v>
      </c>
      <c r="G86" s="189" t="s">
        <v>817</v>
      </c>
      <c r="H86" s="185" t="n">
        <v>46114</v>
      </c>
      <c r="I86" s="189" t="s">
        <v>113</v>
      </c>
      <c r="J86" s="189" t="s">
        <v>108</v>
      </c>
      <c r="K86" s="189" t="s">
        <v>818</v>
      </c>
      <c r="L86" s="189" t="s">
        <v>286</v>
      </c>
      <c r="M86" s="189" t="s">
        <v>578</v>
      </c>
      <c r="N86" s="189" t="s">
        <v>819</v>
      </c>
      <c r="O86" s="189" t="s">
        <v>244</v>
      </c>
      <c r="P86" s="189" t="s">
        <v>131</v>
      </c>
      <c r="Q86" s="189" t="s">
        <v>145</v>
      </c>
      <c r="R86" s="189" t="s">
        <v>22</v>
      </c>
      <c r="S86" s="189" t="s">
        <v>227</v>
      </c>
      <c r="T86" s="189" t="s">
        <v>352</v>
      </c>
      <c r="U86" s="189" t="s">
        <v>822</v>
      </c>
      <c r="V86" s="189" t="s">
        <v>167</v>
      </c>
      <c r="W86" s="189" t="s">
        <v>124</v>
      </c>
      <c r="X86" s="189" t="s">
        <v>298</v>
      </c>
      <c r="Y86" s="189" t="s">
        <v>298</v>
      </c>
      <c r="Z86" s="189" t="s">
        <v>3194</v>
      </c>
      <c r="AA86" s="189" t="s">
        <v>3124</v>
      </c>
      <c r="AG86" s="189" t="s">
        <v>3215</v>
      </c>
    </row>
    <row r="87" customFormat="false" ht="15" hidden="false" customHeight="true" outlineLevel="0" collapsed="false">
      <c r="A87" s="0" t="n">
        <v>86</v>
      </c>
      <c r="B87" s="185" t="n">
        <v>46177.2255900801</v>
      </c>
      <c r="C87" s="185" t="n">
        <v>46177.2328354505</v>
      </c>
      <c r="D87" s="189" t="s">
        <v>823</v>
      </c>
      <c r="E87" s="189" t="s">
        <v>824</v>
      </c>
      <c r="F87" s="189" t="s">
        <v>824</v>
      </c>
      <c r="G87" s="189" t="s">
        <v>825</v>
      </c>
      <c r="H87" s="185" t="n">
        <v>46165</v>
      </c>
      <c r="I87" s="189" t="s">
        <v>325</v>
      </c>
      <c r="J87" s="189" t="s">
        <v>108</v>
      </c>
      <c r="K87" s="189" t="s">
        <v>826</v>
      </c>
      <c r="L87" s="189" t="s">
        <v>159</v>
      </c>
      <c r="M87" s="189" t="s">
        <v>326</v>
      </c>
      <c r="N87" s="189" t="s">
        <v>827</v>
      </c>
      <c r="O87" s="189" t="s">
        <v>172</v>
      </c>
      <c r="P87" s="189" t="s">
        <v>111</v>
      </c>
      <c r="Q87" s="189" t="s">
        <v>112</v>
      </c>
      <c r="R87" s="189" t="s">
        <v>22</v>
      </c>
      <c r="S87" s="189" t="s">
        <v>227</v>
      </c>
      <c r="T87" s="189" t="s">
        <v>180</v>
      </c>
      <c r="U87" s="189" t="s">
        <v>831</v>
      </c>
      <c r="V87" s="189" t="s">
        <v>192</v>
      </c>
      <c r="W87" s="189" t="s">
        <v>124</v>
      </c>
      <c r="X87" s="189" t="s">
        <v>715</v>
      </c>
      <c r="Y87" s="189" t="s">
        <v>715</v>
      </c>
      <c r="Z87" s="189" t="s">
        <v>3251</v>
      </c>
      <c r="AA87" s="189" t="s">
        <v>3225</v>
      </c>
      <c r="AB87" s="189" t="s">
        <v>3255</v>
      </c>
      <c r="AG87" s="189" t="s">
        <v>3256</v>
      </c>
    </row>
    <row r="88" customFormat="false" ht="15" hidden="false" customHeight="true" outlineLevel="0" collapsed="false">
      <c r="A88" s="0" t="n">
        <v>87</v>
      </c>
      <c r="B88" s="185" t="n">
        <v>46127.1083667984</v>
      </c>
      <c r="C88" s="185" t="n">
        <v>46127.1164686503</v>
      </c>
      <c r="D88" s="189" t="s">
        <v>832</v>
      </c>
      <c r="E88" s="189" t="s">
        <v>833</v>
      </c>
      <c r="F88" s="189" t="s">
        <v>833</v>
      </c>
      <c r="G88" s="189" t="s">
        <v>834</v>
      </c>
      <c r="H88" s="185" t="n">
        <v>46123</v>
      </c>
      <c r="I88" s="189" t="s">
        <v>113</v>
      </c>
      <c r="J88" s="189" t="s">
        <v>108</v>
      </c>
      <c r="K88" s="189" t="s">
        <v>173</v>
      </c>
      <c r="L88" s="189" t="s">
        <v>197</v>
      </c>
      <c r="M88" s="189" t="s">
        <v>566</v>
      </c>
      <c r="N88" s="189" t="s">
        <v>259</v>
      </c>
      <c r="O88" s="189" t="s">
        <v>244</v>
      </c>
      <c r="P88" s="189" t="s">
        <v>111</v>
      </c>
      <c r="Q88" s="189" t="s">
        <v>145</v>
      </c>
      <c r="R88" s="189" t="s">
        <v>22</v>
      </c>
      <c r="S88" s="189" t="s">
        <v>152</v>
      </c>
      <c r="T88" s="189" t="s">
        <v>121</v>
      </c>
      <c r="U88" s="189" t="s">
        <v>321</v>
      </c>
      <c r="V88" s="189" t="s">
        <v>123</v>
      </c>
      <c r="W88" s="189" t="s">
        <v>124</v>
      </c>
      <c r="X88" s="189" t="s">
        <v>135</v>
      </c>
      <c r="Y88" s="189" t="s">
        <v>135</v>
      </c>
      <c r="Z88" s="189" t="s">
        <v>3071</v>
      </c>
      <c r="AA88" s="189" t="s">
        <v>3202</v>
      </c>
      <c r="AG88" s="189" t="s">
        <v>3203</v>
      </c>
      <c r="AH88" s="189" t="s">
        <v>3257</v>
      </c>
    </row>
    <row r="89" customFormat="false" ht="15" hidden="false" customHeight="true" outlineLevel="0" collapsed="false">
      <c r="A89" s="0" t="n">
        <v>88</v>
      </c>
      <c r="B89" s="185" t="n">
        <v>46127.8891897386</v>
      </c>
      <c r="C89" s="185" t="n">
        <v>46127.9061110349</v>
      </c>
      <c r="D89" s="189" t="s">
        <v>838</v>
      </c>
      <c r="E89" s="189" t="s">
        <v>839</v>
      </c>
      <c r="F89" s="189" t="s">
        <v>839</v>
      </c>
      <c r="G89" s="189" t="s">
        <v>840</v>
      </c>
      <c r="H89" s="185" t="n">
        <v>46127</v>
      </c>
      <c r="I89" s="189" t="s">
        <v>113</v>
      </c>
      <c r="J89" s="189" t="s">
        <v>108</v>
      </c>
      <c r="K89" s="189" t="s">
        <v>196</v>
      </c>
      <c r="L89" s="189" t="s">
        <v>246</v>
      </c>
      <c r="M89" s="189" t="s">
        <v>406</v>
      </c>
      <c r="N89" s="189" t="s">
        <v>841</v>
      </c>
      <c r="O89" s="189" t="s">
        <v>107</v>
      </c>
      <c r="P89" s="189" t="s">
        <v>111</v>
      </c>
      <c r="Q89" s="189" t="s">
        <v>112</v>
      </c>
      <c r="R89" s="189" t="s">
        <v>22</v>
      </c>
      <c r="S89" s="189" t="s">
        <v>152</v>
      </c>
      <c r="T89" s="189" t="s">
        <v>121</v>
      </c>
      <c r="U89" s="189" t="s">
        <v>122</v>
      </c>
      <c r="V89" s="189" t="s">
        <v>167</v>
      </c>
      <c r="W89" s="189" t="s">
        <v>124</v>
      </c>
      <c r="X89" s="189" t="s">
        <v>381</v>
      </c>
      <c r="Y89" s="189" t="s">
        <v>381</v>
      </c>
      <c r="Z89" s="189" t="s">
        <v>3249</v>
      </c>
      <c r="AG89" s="189" t="s">
        <v>3181</v>
      </c>
    </row>
    <row r="90" customFormat="false" ht="30" hidden="false" customHeight="true" outlineLevel="0" collapsed="false">
      <c r="A90" s="0" t="n">
        <v>89</v>
      </c>
      <c r="B90" s="185" t="n">
        <v>46156.607554679</v>
      </c>
      <c r="C90" s="185" t="n">
        <v>46156.6233995864</v>
      </c>
      <c r="D90" s="189" t="s">
        <v>845</v>
      </c>
      <c r="E90" s="189" t="s">
        <v>846</v>
      </c>
      <c r="F90" s="189" t="s">
        <v>846</v>
      </c>
      <c r="G90" s="189" t="s">
        <v>847</v>
      </c>
      <c r="H90" s="185" t="n">
        <v>46145</v>
      </c>
      <c r="I90" s="189" t="s">
        <v>113</v>
      </c>
      <c r="J90" s="189" t="s">
        <v>108</v>
      </c>
      <c r="K90" s="189" t="s">
        <v>848</v>
      </c>
      <c r="L90" s="189" t="s">
        <v>159</v>
      </c>
      <c r="M90" s="189" t="s">
        <v>439</v>
      </c>
      <c r="N90" s="132" t="s">
        <v>849</v>
      </c>
      <c r="O90" s="189" t="s">
        <v>278</v>
      </c>
      <c r="P90" s="189" t="s">
        <v>111</v>
      </c>
      <c r="Q90" s="189" t="s">
        <v>112</v>
      </c>
      <c r="R90" s="189" t="s">
        <v>22</v>
      </c>
      <c r="S90" s="189" t="s">
        <v>152</v>
      </c>
      <c r="T90" s="189" t="s">
        <v>180</v>
      </c>
      <c r="U90" s="189" t="s">
        <v>853</v>
      </c>
      <c r="V90" s="189" t="s">
        <v>192</v>
      </c>
      <c r="W90" s="189" t="s">
        <v>124</v>
      </c>
      <c r="X90" s="189" t="s">
        <v>148</v>
      </c>
      <c r="Y90" s="189" t="s">
        <v>148</v>
      </c>
      <c r="Z90" s="189" t="s">
        <v>3122</v>
      </c>
      <c r="AA90" s="189" t="s">
        <v>3186</v>
      </c>
      <c r="AB90" s="189" t="s">
        <v>3092</v>
      </c>
      <c r="AG90" s="189" t="s">
        <v>3079</v>
      </c>
      <c r="AH90" s="189" t="s">
        <v>3188</v>
      </c>
    </row>
    <row r="91" customFormat="false" ht="15" hidden="false" customHeight="true" outlineLevel="0" collapsed="false">
      <c r="A91" s="0" t="n">
        <v>90</v>
      </c>
      <c r="B91" s="185" t="n">
        <v>46078.4975500341</v>
      </c>
      <c r="C91" s="185" t="n">
        <v>46078.5112074415</v>
      </c>
      <c r="D91" s="189" t="s">
        <v>854</v>
      </c>
      <c r="E91" s="189" t="s">
        <v>855</v>
      </c>
      <c r="F91" s="189" t="s">
        <v>855</v>
      </c>
      <c r="G91" s="189" t="s">
        <v>856</v>
      </c>
      <c r="H91" s="185" t="n">
        <v>46066</v>
      </c>
      <c r="I91" s="189" t="s">
        <v>113</v>
      </c>
      <c r="J91" s="189" t="s">
        <v>108</v>
      </c>
      <c r="K91" s="189" t="s">
        <v>143</v>
      </c>
      <c r="L91" s="189" t="s">
        <v>389</v>
      </c>
      <c r="M91" s="189" t="s">
        <v>365</v>
      </c>
      <c r="N91" s="189" t="s">
        <v>161</v>
      </c>
      <c r="O91" s="189" t="s">
        <v>172</v>
      </c>
      <c r="P91" s="189" t="s">
        <v>111</v>
      </c>
      <c r="Q91" s="189" t="s">
        <v>112</v>
      </c>
      <c r="R91" s="189" t="s">
        <v>24</v>
      </c>
      <c r="S91" s="189" t="s">
        <v>227</v>
      </c>
      <c r="T91" s="189" t="s">
        <v>352</v>
      </c>
      <c r="V91" s="189" t="s">
        <v>123</v>
      </c>
      <c r="W91" s="189" t="s">
        <v>124</v>
      </c>
      <c r="X91" s="189" t="s">
        <v>260</v>
      </c>
      <c r="Y91" s="189" t="s">
        <v>260</v>
      </c>
      <c r="Z91" s="189" t="s">
        <v>122</v>
      </c>
      <c r="AA91" s="189" t="s">
        <v>3258</v>
      </c>
      <c r="AG91" s="189" t="s">
        <v>3259</v>
      </c>
    </row>
    <row r="92" customFormat="false" ht="15" hidden="false" customHeight="true" outlineLevel="0" collapsed="false">
      <c r="A92" s="0" t="n">
        <v>91</v>
      </c>
      <c r="B92" s="185" t="n">
        <v>46109.4526622162</v>
      </c>
      <c r="C92" s="185" t="n">
        <v>46109.4689469384</v>
      </c>
      <c r="D92" s="189" t="s">
        <v>860</v>
      </c>
      <c r="E92" s="189" t="s">
        <v>861</v>
      </c>
      <c r="F92" s="189" t="s">
        <v>861</v>
      </c>
      <c r="G92" s="189" t="s">
        <v>862</v>
      </c>
      <c r="H92" s="185" t="n">
        <v>46096</v>
      </c>
      <c r="I92" s="189" t="s">
        <v>863</v>
      </c>
      <c r="J92" s="189" t="s">
        <v>108</v>
      </c>
      <c r="K92" s="189" t="s">
        <v>364</v>
      </c>
      <c r="L92" s="189" t="s">
        <v>346</v>
      </c>
      <c r="M92" s="189" t="s">
        <v>864</v>
      </c>
      <c r="N92" s="189" t="s">
        <v>234</v>
      </c>
      <c r="O92" s="189" t="s">
        <v>172</v>
      </c>
      <c r="P92" s="189" t="s">
        <v>111</v>
      </c>
      <c r="Q92" s="189" t="s">
        <v>112</v>
      </c>
      <c r="R92" s="189" t="s">
        <v>22</v>
      </c>
      <c r="S92" s="189" t="s">
        <v>152</v>
      </c>
      <c r="T92" s="189" t="s">
        <v>121</v>
      </c>
      <c r="U92" s="189" t="s">
        <v>122</v>
      </c>
      <c r="V92" s="189" t="s">
        <v>123</v>
      </c>
      <c r="W92" s="189" t="s">
        <v>124</v>
      </c>
      <c r="X92" s="189" t="s">
        <v>339</v>
      </c>
      <c r="Y92" s="189" t="s">
        <v>339</v>
      </c>
      <c r="Z92" s="189" t="s">
        <v>3141</v>
      </c>
      <c r="AA92" s="189" t="s">
        <v>3216</v>
      </c>
      <c r="AB92" s="189" t="s">
        <v>3169</v>
      </c>
      <c r="AG92" s="189" t="s">
        <v>3217</v>
      </c>
    </row>
    <row r="93" customFormat="false" ht="15" hidden="false" customHeight="true" outlineLevel="0" collapsed="false">
      <c r="A93" s="0" t="n">
        <v>92</v>
      </c>
      <c r="B93" s="185" t="n">
        <v>46106.7535294211</v>
      </c>
      <c r="C93" s="185" t="n">
        <v>46106.7715386804</v>
      </c>
      <c r="D93" s="189" t="s">
        <v>867</v>
      </c>
      <c r="E93" s="189" t="s">
        <v>868</v>
      </c>
      <c r="F93" s="189" t="s">
        <v>868</v>
      </c>
      <c r="G93" s="189" t="s">
        <v>869</v>
      </c>
      <c r="H93" s="185" t="n">
        <v>46095</v>
      </c>
      <c r="I93" s="189" t="s">
        <v>113</v>
      </c>
      <c r="J93" s="189" t="s">
        <v>295</v>
      </c>
      <c r="K93" s="189" t="s">
        <v>364</v>
      </c>
      <c r="L93" s="189" t="s">
        <v>491</v>
      </c>
      <c r="M93" s="189" t="s">
        <v>870</v>
      </c>
      <c r="N93" s="189" t="s">
        <v>757</v>
      </c>
      <c r="O93" s="189" t="s">
        <v>244</v>
      </c>
      <c r="P93" s="189" t="s">
        <v>111</v>
      </c>
      <c r="Q93" s="189" t="s">
        <v>145</v>
      </c>
      <c r="R93" s="189" t="s">
        <v>23</v>
      </c>
      <c r="S93" s="189" t="s">
        <v>120</v>
      </c>
      <c r="T93" s="189" t="s">
        <v>121</v>
      </c>
      <c r="U93" s="189" t="s">
        <v>122</v>
      </c>
      <c r="V93" s="189" t="s">
        <v>192</v>
      </c>
      <c r="W93" s="189" t="s">
        <v>124</v>
      </c>
      <c r="X93" s="189" t="s">
        <v>503</v>
      </c>
      <c r="Y93" s="189" t="s">
        <v>503</v>
      </c>
      <c r="AK93" s="189" t="s">
        <v>871</v>
      </c>
    </row>
    <row r="94" customFormat="false" ht="15" hidden="false" customHeight="true" outlineLevel="0" collapsed="false">
      <c r="A94" s="0" t="n">
        <v>93</v>
      </c>
      <c r="B94" s="185" t="n">
        <v>46175.8861815321</v>
      </c>
      <c r="C94" s="185" t="n">
        <v>46175.9009963469</v>
      </c>
      <c r="D94" s="189" t="s">
        <v>872</v>
      </c>
      <c r="E94" s="189" t="s">
        <v>873</v>
      </c>
      <c r="F94" s="189" t="s">
        <v>873</v>
      </c>
      <c r="G94" s="189" t="s">
        <v>874</v>
      </c>
      <c r="H94" s="185" t="n">
        <v>46167</v>
      </c>
      <c r="I94" s="189" t="s">
        <v>132</v>
      </c>
      <c r="J94" s="189" t="s">
        <v>128</v>
      </c>
      <c r="K94" s="189" t="s">
        <v>462</v>
      </c>
      <c r="L94" s="189" t="s">
        <v>184</v>
      </c>
      <c r="M94" s="189" t="s">
        <v>736</v>
      </c>
      <c r="N94" s="189" t="s">
        <v>758</v>
      </c>
      <c r="O94" s="189" t="s">
        <v>278</v>
      </c>
      <c r="P94" s="189" t="s">
        <v>111</v>
      </c>
      <c r="Q94" s="189" t="s">
        <v>112</v>
      </c>
      <c r="R94" s="189" t="s">
        <v>21</v>
      </c>
      <c r="S94" s="189" t="s">
        <v>152</v>
      </c>
      <c r="T94" s="189" t="s">
        <v>228</v>
      </c>
      <c r="U94" s="189" t="s">
        <v>122</v>
      </c>
      <c r="V94" s="189" t="s">
        <v>192</v>
      </c>
      <c r="W94" s="189" t="s">
        <v>124</v>
      </c>
      <c r="X94" s="189" t="s">
        <v>250</v>
      </c>
      <c r="Y94" s="189" t="s">
        <v>250</v>
      </c>
      <c r="Z94" s="189" t="s">
        <v>3107</v>
      </c>
      <c r="AA94" s="189" t="s">
        <v>3065</v>
      </c>
      <c r="AG94" s="189" t="s">
        <v>3070</v>
      </c>
      <c r="AH94" s="189" t="s">
        <v>3108</v>
      </c>
    </row>
    <row r="95" customFormat="false" ht="15" hidden="false" customHeight="true" outlineLevel="0" collapsed="false">
      <c r="A95" s="0" t="n">
        <v>94</v>
      </c>
      <c r="B95" s="185" t="n">
        <v>46118.5985338214</v>
      </c>
      <c r="C95" s="185" t="n">
        <v>46118.6121449325</v>
      </c>
      <c r="D95" s="189" t="s">
        <v>877</v>
      </c>
      <c r="E95" s="189" t="s">
        <v>878</v>
      </c>
      <c r="F95" s="189" t="s">
        <v>878</v>
      </c>
      <c r="G95" s="189" t="s">
        <v>879</v>
      </c>
      <c r="H95" s="185" t="n">
        <v>46116</v>
      </c>
      <c r="I95" s="189" t="s">
        <v>113</v>
      </c>
      <c r="J95" s="189" t="s">
        <v>128</v>
      </c>
      <c r="K95" s="189" t="s">
        <v>232</v>
      </c>
      <c r="L95" s="189" t="s">
        <v>144</v>
      </c>
      <c r="M95" s="189" t="s">
        <v>652</v>
      </c>
      <c r="N95" s="189" t="s">
        <v>613</v>
      </c>
      <c r="O95" s="189" t="s">
        <v>157</v>
      </c>
      <c r="P95" s="189" t="s">
        <v>111</v>
      </c>
      <c r="Q95" s="189" t="s">
        <v>112</v>
      </c>
      <c r="R95" s="189" t="s">
        <v>24</v>
      </c>
      <c r="S95" s="189" t="s">
        <v>152</v>
      </c>
      <c r="T95" s="189" t="s">
        <v>180</v>
      </c>
      <c r="U95" s="189" t="s">
        <v>122</v>
      </c>
      <c r="V95" s="189" t="s">
        <v>123</v>
      </c>
      <c r="W95" s="189" t="s">
        <v>168</v>
      </c>
      <c r="X95" s="189" t="s">
        <v>19</v>
      </c>
      <c r="Y95" s="189" t="s">
        <v>19</v>
      </c>
      <c r="AK95" s="189" t="s">
        <v>880</v>
      </c>
    </row>
    <row r="96" customFormat="false" ht="15" hidden="false" customHeight="true" outlineLevel="0" collapsed="false">
      <c r="A96" s="0" t="n">
        <v>95</v>
      </c>
      <c r="B96" s="185" t="n">
        <v>46058.1459424352</v>
      </c>
      <c r="C96" s="185" t="n">
        <v>46058.1570419722</v>
      </c>
      <c r="D96" s="189" t="s">
        <v>881</v>
      </c>
      <c r="E96" s="189" t="s">
        <v>882</v>
      </c>
      <c r="F96" s="189" t="s">
        <v>882</v>
      </c>
      <c r="G96" s="189" t="s">
        <v>883</v>
      </c>
      <c r="H96" s="185" t="n">
        <v>46047</v>
      </c>
      <c r="I96" s="189" t="s">
        <v>132</v>
      </c>
      <c r="J96" s="189" t="s">
        <v>295</v>
      </c>
      <c r="K96" s="189" t="s">
        <v>884</v>
      </c>
      <c r="L96" s="189" t="s">
        <v>144</v>
      </c>
      <c r="M96" s="189" t="s">
        <v>885</v>
      </c>
      <c r="N96" s="189" t="s">
        <v>175</v>
      </c>
      <c r="O96" s="189" t="s">
        <v>244</v>
      </c>
      <c r="P96" s="189" t="s">
        <v>111</v>
      </c>
      <c r="Q96" s="189" t="s">
        <v>112</v>
      </c>
      <c r="R96" s="189" t="s">
        <v>21</v>
      </c>
      <c r="S96" s="189" t="s">
        <v>227</v>
      </c>
      <c r="T96" s="189" t="s">
        <v>264</v>
      </c>
      <c r="U96" s="189" t="s">
        <v>122</v>
      </c>
      <c r="V96" s="189" t="s">
        <v>123</v>
      </c>
      <c r="W96" s="189" t="s">
        <v>139</v>
      </c>
      <c r="X96" s="189" t="s">
        <v>457</v>
      </c>
      <c r="Y96" s="189" t="s">
        <v>457</v>
      </c>
      <c r="Z96" s="189" t="s">
        <v>3095</v>
      </c>
      <c r="AG96" s="189" t="s">
        <v>122</v>
      </c>
      <c r="AH96" s="189" t="s">
        <v>3140</v>
      </c>
    </row>
    <row r="97" customFormat="false" ht="15" hidden="false" customHeight="true" outlineLevel="0" collapsed="false">
      <c r="A97" s="0" t="n">
        <v>96</v>
      </c>
      <c r="B97" s="185" t="n">
        <v>46115.1970413651</v>
      </c>
      <c r="C97" s="185" t="n">
        <v>46115.2178631244</v>
      </c>
      <c r="D97" s="189" t="s">
        <v>888</v>
      </c>
      <c r="E97" s="189" t="s">
        <v>889</v>
      </c>
      <c r="F97" s="189" t="s">
        <v>890</v>
      </c>
      <c r="G97" s="189" t="s">
        <v>891</v>
      </c>
      <c r="H97" s="185" t="n">
        <v>46097</v>
      </c>
      <c r="I97" s="189" t="s">
        <v>325</v>
      </c>
      <c r="J97" s="189" t="s">
        <v>295</v>
      </c>
      <c r="K97" s="189" t="s">
        <v>892</v>
      </c>
      <c r="L97" s="189" t="s">
        <v>130</v>
      </c>
      <c r="M97" s="189" t="s">
        <v>397</v>
      </c>
      <c r="N97" s="189" t="s">
        <v>893</v>
      </c>
      <c r="O97" s="196" t="s">
        <v>107</v>
      </c>
      <c r="P97" s="189" t="s">
        <v>111</v>
      </c>
      <c r="Q97" s="189" t="s">
        <v>112</v>
      </c>
      <c r="R97" s="189" t="s">
        <v>22</v>
      </c>
      <c r="S97" s="189" t="s">
        <v>152</v>
      </c>
      <c r="T97" s="189" t="s">
        <v>121</v>
      </c>
      <c r="V97" s="189" t="s">
        <v>123</v>
      </c>
      <c r="W97" s="189" t="s">
        <v>168</v>
      </c>
      <c r="X97" s="189" t="s">
        <v>381</v>
      </c>
      <c r="Y97" s="189" t="s">
        <v>381</v>
      </c>
      <c r="Z97" s="189" t="s">
        <v>3249</v>
      </c>
      <c r="AA97" s="189" t="s">
        <v>3159</v>
      </c>
      <c r="AG97" s="189" t="s">
        <v>3234</v>
      </c>
    </row>
    <row r="98" customFormat="false" ht="30" hidden="false" customHeight="true" outlineLevel="0" collapsed="false">
      <c r="A98" s="0" t="n">
        <v>97</v>
      </c>
      <c r="B98" s="185" t="n">
        <v>46083.9284149003</v>
      </c>
      <c r="C98" s="185" t="n">
        <v>46083.9319449929</v>
      </c>
      <c r="D98" s="189" t="s">
        <v>895</v>
      </c>
      <c r="E98" s="189" t="s">
        <v>896</v>
      </c>
      <c r="F98" s="189" t="s">
        <v>896</v>
      </c>
      <c r="G98" s="189" t="s">
        <v>897</v>
      </c>
      <c r="H98" s="185" t="n">
        <v>46074</v>
      </c>
      <c r="I98" s="189" t="s">
        <v>336</v>
      </c>
      <c r="J98" s="189" t="s">
        <v>295</v>
      </c>
      <c r="K98" s="189" t="s">
        <v>898</v>
      </c>
      <c r="L98" s="189" t="s">
        <v>144</v>
      </c>
      <c r="M98" s="189" t="s">
        <v>199</v>
      </c>
      <c r="N98" s="189" t="s">
        <v>899</v>
      </c>
      <c r="O98" s="196" t="s">
        <v>278</v>
      </c>
      <c r="P98" s="189" t="s">
        <v>111</v>
      </c>
      <c r="Q98" s="189" t="s">
        <v>145</v>
      </c>
      <c r="R98" s="189" t="s">
        <v>21</v>
      </c>
      <c r="S98" s="189" t="s">
        <v>152</v>
      </c>
      <c r="T98" s="189" t="s">
        <v>352</v>
      </c>
      <c r="U98" s="132"/>
      <c r="V98" s="189" t="s">
        <v>192</v>
      </c>
      <c r="W98" s="189" t="s">
        <v>124</v>
      </c>
      <c r="X98" s="189" t="s">
        <v>250</v>
      </c>
      <c r="Y98" s="189" t="s">
        <v>250</v>
      </c>
      <c r="Z98" s="189" t="s">
        <v>3107</v>
      </c>
      <c r="AA98" s="189" t="s">
        <v>3081</v>
      </c>
      <c r="AG98" s="189" t="s">
        <v>3083</v>
      </c>
    </row>
    <row r="99" customFormat="false" ht="15" hidden="false" customHeight="true" outlineLevel="0" collapsed="false">
      <c r="A99" s="0" t="n">
        <v>98</v>
      </c>
      <c r="B99" s="185" t="n">
        <v>46092.1622793167</v>
      </c>
      <c r="C99" s="185" t="n">
        <v>46092.1789459834</v>
      </c>
      <c r="D99" s="189" t="s">
        <v>902</v>
      </c>
      <c r="E99" s="189" t="s">
        <v>903</v>
      </c>
      <c r="F99" s="189" t="s">
        <v>903</v>
      </c>
      <c r="G99" s="189" t="s">
        <v>904</v>
      </c>
      <c r="H99" s="185" t="n">
        <v>46084</v>
      </c>
      <c r="I99" s="189" t="s">
        <v>132</v>
      </c>
      <c r="J99" s="189" t="s">
        <v>108</v>
      </c>
      <c r="K99" s="189" t="s">
        <v>143</v>
      </c>
      <c r="L99" s="189" t="s">
        <v>296</v>
      </c>
      <c r="M99" s="189" t="s">
        <v>864</v>
      </c>
      <c r="N99" s="189" t="s">
        <v>905</v>
      </c>
      <c r="O99" s="189" t="s">
        <v>713</v>
      </c>
      <c r="P99" s="189" t="s">
        <v>131</v>
      </c>
      <c r="Q99" s="189" t="s">
        <v>112</v>
      </c>
      <c r="R99" s="189" t="s">
        <v>21</v>
      </c>
      <c r="S99" s="189" t="s">
        <v>120</v>
      </c>
      <c r="T99" s="189" t="s">
        <v>121</v>
      </c>
      <c r="V99" s="189" t="s">
        <v>123</v>
      </c>
      <c r="W99" s="189" t="s">
        <v>168</v>
      </c>
      <c r="X99" s="189" t="s">
        <v>374</v>
      </c>
      <c r="Y99" s="189" t="s">
        <v>374</v>
      </c>
      <c r="Z99" s="189" t="s">
        <v>3155</v>
      </c>
      <c r="AG99" s="189" t="s">
        <v>3158</v>
      </c>
      <c r="AH99" s="189" t="s">
        <v>3157</v>
      </c>
    </row>
    <row r="100" customFormat="false" ht="15" hidden="false" customHeight="true" outlineLevel="0" collapsed="false">
      <c r="A100" s="0" t="n">
        <v>99</v>
      </c>
      <c r="B100" s="185" t="n">
        <v>46076.0187341689</v>
      </c>
      <c r="C100" s="185" t="n">
        <v>46076.0271137985</v>
      </c>
      <c r="D100" s="189" t="s">
        <v>909</v>
      </c>
      <c r="E100" s="189" t="s">
        <v>910</v>
      </c>
      <c r="F100" s="189" t="s">
        <v>910</v>
      </c>
      <c r="G100" s="189" t="s">
        <v>911</v>
      </c>
      <c r="H100" s="185" t="n">
        <v>46059</v>
      </c>
      <c r="I100" s="189" t="s">
        <v>113</v>
      </c>
      <c r="J100" s="189" t="s">
        <v>108</v>
      </c>
      <c r="K100" s="189" t="s">
        <v>245</v>
      </c>
      <c r="L100" s="189" t="s">
        <v>286</v>
      </c>
      <c r="M100" s="189" t="s">
        <v>864</v>
      </c>
      <c r="N100" s="189" t="s">
        <v>249</v>
      </c>
      <c r="O100" s="189" t="s">
        <v>172</v>
      </c>
      <c r="P100" s="189" t="s">
        <v>111</v>
      </c>
      <c r="Q100" s="189" t="s">
        <v>145</v>
      </c>
      <c r="R100" s="189" t="s">
        <v>24</v>
      </c>
      <c r="S100" s="189" t="s">
        <v>152</v>
      </c>
      <c r="T100" s="189" t="s">
        <v>180</v>
      </c>
      <c r="U100" s="189" t="s">
        <v>122</v>
      </c>
      <c r="V100" s="189" t="s">
        <v>123</v>
      </c>
      <c r="W100" s="189" t="s">
        <v>168</v>
      </c>
      <c r="X100" s="189" t="s">
        <v>214</v>
      </c>
      <c r="Y100" s="189" t="s">
        <v>214</v>
      </c>
      <c r="Z100" s="189" t="s">
        <v>3139</v>
      </c>
      <c r="AA100" s="189" t="s">
        <v>3095</v>
      </c>
      <c r="AB100" s="189" t="s">
        <v>3065</v>
      </c>
      <c r="AG100" s="189" t="s">
        <v>3108</v>
      </c>
      <c r="AH100" s="189" t="s">
        <v>3070</v>
      </c>
    </row>
    <row r="101" customFormat="false" ht="15" hidden="false" customHeight="true" outlineLevel="0" collapsed="false">
      <c r="A101" s="0" t="n">
        <v>100</v>
      </c>
      <c r="B101" s="185" t="n">
        <v>46109.5305772482</v>
      </c>
      <c r="C101" s="185" t="n">
        <v>46109.5374753964</v>
      </c>
      <c r="D101" s="189" t="s">
        <v>915</v>
      </c>
      <c r="E101" s="189" t="s">
        <v>916</v>
      </c>
      <c r="F101" s="189" t="s">
        <v>917</v>
      </c>
      <c r="G101" s="189" t="s">
        <v>918</v>
      </c>
      <c r="H101" s="185" t="n">
        <v>46102</v>
      </c>
      <c r="I101" s="189" t="s">
        <v>113</v>
      </c>
      <c r="J101" s="189" t="s">
        <v>295</v>
      </c>
      <c r="K101" s="189" t="s">
        <v>173</v>
      </c>
      <c r="L101" s="189" t="s">
        <v>184</v>
      </c>
      <c r="M101" s="189" t="s">
        <v>174</v>
      </c>
      <c r="N101" s="189" t="s">
        <v>523</v>
      </c>
      <c r="O101" s="189" t="s">
        <v>107</v>
      </c>
      <c r="P101" s="189" t="s">
        <v>111</v>
      </c>
      <c r="Q101" s="189" t="s">
        <v>198</v>
      </c>
      <c r="R101" s="189" t="s">
        <v>22</v>
      </c>
      <c r="S101" s="189" t="s">
        <v>152</v>
      </c>
      <c r="T101" s="189" t="s">
        <v>121</v>
      </c>
      <c r="V101" s="189" t="s">
        <v>192</v>
      </c>
      <c r="W101" s="189" t="s">
        <v>124</v>
      </c>
      <c r="X101" s="189" t="s">
        <v>271</v>
      </c>
      <c r="Y101" s="189" t="s">
        <v>271</v>
      </c>
      <c r="Z101" s="189" t="s">
        <v>3136</v>
      </c>
      <c r="AA101" s="189" t="s">
        <v>3115</v>
      </c>
      <c r="AB101" s="189" t="s">
        <v>3114</v>
      </c>
      <c r="AG101" s="189" t="s">
        <v>3119</v>
      </c>
    </row>
    <row r="102" customFormat="false" ht="15" hidden="false" customHeight="true" outlineLevel="0" collapsed="false">
      <c r="A102" s="0" t="n">
        <v>101</v>
      </c>
      <c r="B102" s="185" t="n">
        <v>46104.8961967369</v>
      </c>
      <c r="C102" s="185" t="n">
        <v>46104.9166944221</v>
      </c>
      <c r="D102" s="189" t="s">
        <v>921</v>
      </c>
      <c r="E102" s="189" t="s">
        <v>922</v>
      </c>
      <c r="F102" s="189" t="s">
        <v>922</v>
      </c>
      <c r="G102" s="189" t="s">
        <v>923</v>
      </c>
      <c r="H102" s="185" t="n">
        <v>46099</v>
      </c>
      <c r="I102" s="189" t="s">
        <v>325</v>
      </c>
      <c r="J102" s="189" t="s">
        <v>295</v>
      </c>
      <c r="K102" s="189" t="s">
        <v>173</v>
      </c>
      <c r="L102" s="189" t="s">
        <v>431</v>
      </c>
      <c r="M102" s="189" t="s">
        <v>543</v>
      </c>
      <c r="N102" s="189" t="s">
        <v>161</v>
      </c>
      <c r="O102" s="189" t="s">
        <v>713</v>
      </c>
      <c r="P102" s="189" t="s">
        <v>111</v>
      </c>
      <c r="Q102" s="189" t="s">
        <v>145</v>
      </c>
      <c r="R102" s="189" t="s">
        <v>24</v>
      </c>
      <c r="S102" s="189" t="s">
        <v>120</v>
      </c>
      <c r="T102" s="189" t="s">
        <v>121</v>
      </c>
      <c r="U102" s="189" t="s">
        <v>927</v>
      </c>
      <c r="V102" s="189" t="s">
        <v>192</v>
      </c>
      <c r="W102" s="189" t="s">
        <v>124</v>
      </c>
      <c r="X102" s="189" t="s">
        <v>260</v>
      </c>
      <c r="Y102" s="189" t="s">
        <v>260</v>
      </c>
      <c r="Z102" s="189" t="s">
        <v>606</v>
      </c>
      <c r="AA102" s="189" t="s">
        <v>3262</v>
      </c>
      <c r="AG102" s="189" t="s">
        <v>3113</v>
      </c>
    </row>
    <row r="103" customFormat="false" ht="30" hidden="false" customHeight="true" outlineLevel="0" collapsed="false">
      <c r="A103" s="0" t="n">
        <v>102</v>
      </c>
      <c r="B103" s="185" t="n">
        <v>46034.8850420646</v>
      </c>
      <c r="C103" s="185" t="n">
        <v>46034.8948800276</v>
      </c>
      <c r="D103" s="189" t="s">
        <v>929</v>
      </c>
      <c r="E103" s="189" t="s">
        <v>930</v>
      </c>
      <c r="F103" s="189" t="s">
        <v>930</v>
      </c>
      <c r="G103" s="189" t="s">
        <v>931</v>
      </c>
      <c r="H103" s="185" t="n">
        <v>46029</v>
      </c>
      <c r="I103" s="189" t="s">
        <v>336</v>
      </c>
      <c r="J103" s="189" t="s">
        <v>295</v>
      </c>
      <c r="K103" s="189" t="s">
        <v>932</v>
      </c>
      <c r="L103" s="189" t="s">
        <v>268</v>
      </c>
      <c r="M103" s="189" t="s">
        <v>199</v>
      </c>
      <c r="N103" s="189" t="s">
        <v>552</v>
      </c>
      <c r="O103" s="189" t="s">
        <v>172</v>
      </c>
      <c r="P103" s="189" t="s">
        <v>111</v>
      </c>
      <c r="Q103" s="189" t="s">
        <v>247</v>
      </c>
      <c r="R103" s="189" t="s">
        <v>25</v>
      </c>
      <c r="S103" s="189" t="s">
        <v>152</v>
      </c>
      <c r="T103" s="189" t="s">
        <v>352</v>
      </c>
      <c r="U103" s="132" t="s">
        <v>122</v>
      </c>
      <c r="V103" s="189" t="s">
        <v>123</v>
      </c>
      <c r="W103" s="189" t="s">
        <v>168</v>
      </c>
      <c r="X103" s="189" t="s">
        <v>327</v>
      </c>
      <c r="Y103" s="189" t="s">
        <v>327</v>
      </c>
      <c r="Z103" s="189" t="s">
        <v>3065</v>
      </c>
      <c r="AG103" s="189" t="s">
        <v>3083</v>
      </c>
    </row>
    <row r="104" customFormat="false" ht="15" hidden="false" customHeight="true" outlineLevel="0" collapsed="false">
      <c r="A104" s="0" t="n">
        <v>103</v>
      </c>
      <c r="B104" s="185" t="n">
        <v>46170.2454487908</v>
      </c>
      <c r="C104" s="185" t="n">
        <v>46170.2547890685</v>
      </c>
      <c r="D104" s="189" t="s">
        <v>934</v>
      </c>
      <c r="E104" s="189" t="s">
        <v>935</v>
      </c>
      <c r="F104" s="189" t="s">
        <v>936</v>
      </c>
      <c r="G104" s="189" t="s">
        <v>937</v>
      </c>
      <c r="H104" s="185" t="n">
        <v>46164</v>
      </c>
      <c r="I104" s="189" t="s">
        <v>113</v>
      </c>
      <c r="J104" s="189" t="s">
        <v>108</v>
      </c>
      <c r="K104" s="189" t="s">
        <v>938</v>
      </c>
      <c r="L104" s="189" t="s">
        <v>114</v>
      </c>
      <c r="M104" s="189" t="s">
        <v>279</v>
      </c>
      <c r="N104" s="189" t="s">
        <v>939</v>
      </c>
      <c r="O104" s="189" t="s">
        <v>107</v>
      </c>
      <c r="P104" s="189" t="s">
        <v>111</v>
      </c>
      <c r="Q104" s="189" t="s">
        <v>112</v>
      </c>
      <c r="R104" s="189" t="s">
        <v>24</v>
      </c>
      <c r="S104" s="189" t="s">
        <v>152</v>
      </c>
      <c r="T104" s="189" t="s">
        <v>352</v>
      </c>
      <c r="V104" s="189" t="s">
        <v>123</v>
      </c>
      <c r="W104" s="189" t="s">
        <v>124</v>
      </c>
      <c r="X104" s="189" t="s">
        <v>214</v>
      </c>
      <c r="Y104" s="189" t="s">
        <v>214</v>
      </c>
      <c r="Z104" s="189" t="s">
        <v>3139</v>
      </c>
      <c r="AA104" s="189" t="s">
        <v>3095</v>
      </c>
      <c r="AG104" s="189" t="s">
        <v>3070</v>
      </c>
    </row>
    <row r="105" customFormat="false" ht="15" hidden="false" customHeight="true" outlineLevel="0" collapsed="false">
      <c r="A105" s="0" t="n">
        <v>104</v>
      </c>
      <c r="B105" s="185" t="n">
        <v>46095.1592532047</v>
      </c>
      <c r="C105" s="185" t="n">
        <v>46095.162412927</v>
      </c>
      <c r="D105" s="189" t="s">
        <v>941</v>
      </c>
      <c r="E105" s="189" t="s">
        <v>942</v>
      </c>
      <c r="F105" s="189" t="s">
        <v>942</v>
      </c>
      <c r="G105" s="189" t="s">
        <v>943</v>
      </c>
      <c r="H105" s="185" t="n">
        <v>46093</v>
      </c>
      <c r="I105" s="189" t="s">
        <v>305</v>
      </c>
      <c r="J105" s="189" t="s">
        <v>128</v>
      </c>
      <c r="K105" s="189" t="s">
        <v>173</v>
      </c>
      <c r="L105" s="189" t="s">
        <v>159</v>
      </c>
      <c r="M105" s="189" t="s">
        <v>944</v>
      </c>
      <c r="N105" s="189" t="s">
        <v>945</v>
      </c>
      <c r="O105" s="196" t="s">
        <v>172</v>
      </c>
      <c r="P105" s="189" t="s">
        <v>211</v>
      </c>
      <c r="Q105" s="189" t="s">
        <v>112</v>
      </c>
      <c r="R105" s="189" t="s">
        <v>21</v>
      </c>
      <c r="S105" s="189" t="s">
        <v>152</v>
      </c>
      <c r="T105" s="189" t="s">
        <v>180</v>
      </c>
      <c r="U105" s="189" t="s">
        <v>948</v>
      </c>
      <c r="V105" s="189" t="s">
        <v>123</v>
      </c>
      <c r="W105" s="189" t="s">
        <v>124</v>
      </c>
      <c r="X105" s="189" t="s">
        <v>348</v>
      </c>
      <c r="Y105" s="189" t="s">
        <v>348</v>
      </c>
      <c r="Z105" s="189" t="s">
        <v>3164</v>
      </c>
      <c r="AG105" s="189" t="s">
        <v>3263</v>
      </c>
      <c r="AH105" s="189" t="s">
        <v>3148</v>
      </c>
    </row>
    <row r="106" customFormat="false" ht="15" hidden="false" customHeight="true" outlineLevel="0" collapsed="false">
      <c r="A106" s="0" t="n">
        <v>105</v>
      </c>
      <c r="B106" s="185" t="n">
        <v>46201.6436254934</v>
      </c>
      <c r="C106" s="185" t="n">
        <v>46201.6563916971</v>
      </c>
      <c r="D106" s="189" t="s">
        <v>949</v>
      </c>
      <c r="E106" s="189" t="s">
        <v>950</v>
      </c>
      <c r="F106" s="189" t="s">
        <v>951</v>
      </c>
      <c r="G106" s="189" t="s">
        <v>952</v>
      </c>
      <c r="H106" s="185" t="n">
        <v>46195</v>
      </c>
      <c r="I106" s="189" t="s">
        <v>113</v>
      </c>
      <c r="J106" s="189" t="s">
        <v>108</v>
      </c>
      <c r="K106" s="189" t="s">
        <v>953</v>
      </c>
      <c r="L106" s="189" t="s">
        <v>114</v>
      </c>
      <c r="M106" s="189" t="s">
        <v>234</v>
      </c>
      <c r="N106" s="189" t="s">
        <v>213</v>
      </c>
      <c r="O106" s="196" t="s">
        <v>107</v>
      </c>
      <c r="P106" s="189" t="s">
        <v>111</v>
      </c>
      <c r="Q106" s="189" t="s">
        <v>112</v>
      </c>
      <c r="R106" s="189" t="s">
        <v>21</v>
      </c>
      <c r="S106" s="189" t="s">
        <v>152</v>
      </c>
      <c r="T106" s="189" t="s">
        <v>121</v>
      </c>
      <c r="U106" s="189" t="s">
        <v>956</v>
      </c>
      <c r="V106" s="189" t="s">
        <v>123</v>
      </c>
      <c r="W106" s="189" t="s">
        <v>168</v>
      </c>
      <c r="X106" s="189" t="s">
        <v>457</v>
      </c>
      <c r="Y106" s="189" t="s">
        <v>457</v>
      </c>
      <c r="Z106" s="189" t="s">
        <v>3107</v>
      </c>
      <c r="AA106" s="189" t="s">
        <v>3139</v>
      </c>
      <c r="AG106" s="189" t="s">
        <v>122</v>
      </c>
      <c r="AH106" s="189" t="s">
        <v>3108</v>
      </c>
    </row>
    <row r="107" customFormat="false" ht="15" hidden="false" customHeight="true" outlineLevel="0" collapsed="false">
      <c r="A107" s="0" t="n">
        <v>106</v>
      </c>
      <c r="B107" s="185" t="n">
        <v>46042.9868401932</v>
      </c>
      <c r="C107" s="185" t="n">
        <v>46043.0010531562</v>
      </c>
      <c r="D107" s="189" t="s">
        <v>957</v>
      </c>
      <c r="E107" s="189" t="s">
        <v>958</v>
      </c>
      <c r="F107" s="189" t="s">
        <v>958</v>
      </c>
      <c r="G107" s="189" t="s">
        <v>959</v>
      </c>
      <c r="H107" s="185" t="n">
        <v>46024</v>
      </c>
      <c r="I107" s="189" t="s">
        <v>113</v>
      </c>
      <c r="J107" s="189" t="s">
        <v>108</v>
      </c>
      <c r="K107" s="189" t="s">
        <v>245</v>
      </c>
      <c r="L107" s="189" t="s">
        <v>389</v>
      </c>
      <c r="M107" s="189" t="s">
        <v>199</v>
      </c>
      <c r="N107" s="189" t="s">
        <v>653</v>
      </c>
      <c r="O107" s="189" t="s">
        <v>107</v>
      </c>
      <c r="P107" s="189" t="s">
        <v>111</v>
      </c>
      <c r="Q107" s="189" t="s">
        <v>112</v>
      </c>
      <c r="R107" s="189" t="s">
        <v>21</v>
      </c>
      <c r="S107" s="189" t="s">
        <v>152</v>
      </c>
      <c r="T107" s="189" t="s">
        <v>121</v>
      </c>
      <c r="U107" s="189" t="s">
        <v>961</v>
      </c>
      <c r="V107" s="189" t="s">
        <v>123</v>
      </c>
      <c r="W107" s="189" t="s">
        <v>168</v>
      </c>
      <c r="X107" s="189" t="s">
        <v>457</v>
      </c>
      <c r="Y107" s="189" t="s">
        <v>457</v>
      </c>
      <c r="Z107" s="189" t="s">
        <v>3065</v>
      </c>
      <c r="AA107" s="189" t="s">
        <v>3107</v>
      </c>
      <c r="AB107" s="189" t="s">
        <v>3081</v>
      </c>
      <c r="AG107" s="189" t="s">
        <v>3070</v>
      </c>
    </row>
    <row r="108" customFormat="false" ht="15" hidden="false" customHeight="true" outlineLevel="0" collapsed="false">
      <c r="A108" s="0" t="n">
        <v>107</v>
      </c>
      <c r="B108" s="185" t="n">
        <v>46116.8006096909</v>
      </c>
      <c r="C108" s="185" t="n">
        <v>46116.8192323761</v>
      </c>
      <c r="D108" s="189" t="s">
        <v>962</v>
      </c>
      <c r="E108" s="189" t="s">
        <v>963</v>
      </c>
      <c r="F108" s="189" t="s">
        <v>964</v>
      </c>
      <c r="G108" s="189" t="s">
        <v>965</v>
      </c>
      <c r="H108" s="185" t="n">
        <v>46104</v>
      </c>
      <c r="I108" s="189" t="s">
        <v>113</v>
      </c>
      <c r="J108" s="189" t="s">
        <v>108</v>
      </c>
      <c r="K108" s="189" t="s">
        <v>196</v>
      </c>
      <c r="L108" s="189" t="s">
        <v>246</v>
      </c>
      <c r="M108" s="189" t="s">
        <v>279</v>
      </c>
      <c r="N108" s="189" t="s">
        <v>810</v>
      </c>
      <c r="O108" s="196" t="s">
        <v>244</v>
      </c>
      <c r="P108" s="189" t="s">
        <v>111</v>
      </c>
      <c r="Q108" s="189" t="s">
        <v>112</v>
      </c>
      <c r="R108" s="189" t="s">
        <v>22</v>
      </c>
      <c r="S108" s="189" t="s">
        <v>152</v>
      </c>
      <c r="T108" s="189" t="s">
        <v>121</v>
      </c>
      <c r="U108" s="132" t="s">
        <v>969</v>
      </c>
      <c r="V108" s="189" t="s">
        <v>123</v>
      </c>
      <c r="W108" s="189" t="s">
        <v>124</v>
      </c>
      <c r="X108" s="189" t="s">
        <v>298</v>
      </c>
      <c r="Y108" s="189" t="s">
        <v>298</v>
      </c>
      <c r="Z108" s="189" t="s">
        <v>3236</v>
      </c>
      <c r="AA108" s="189" t="s">
        <v>3124</v>
      </c>
      <c r="AB108" s="189" t="s">
        <v>3194</v>
      </c>
      <c r="AG108" s="189" t="s">
        <v>3210</v>
      </c>
      <c r="AH108" s="189" t="s">
        <v>3197</v>
      </c>
    </row>
    <row r="109" customFormat="false" ht="15" hidden="false" customHeight="true" outlineLevel="0" collapsed="false">
      <c r="A109" s="0" t="n">
        <v>108</v>
      </c>
      <c r="B109" s="185" t="n">
        <v>46119.6492926345</v>
      </c>
      <c r="C109" s="185" t="n">
        <v>46119.6600565234</v>
      </c>
      <c r="D109" s="189" t="s">
        <v>970</v>
      </c>
      <c r="E109" s="189" t="s">
        <v>971</v>
      </c>
      <c r="F109" s="189" t="s">
        <v>971</v>
      </c>
      <c r="G109" s="189" t="s">
        <v>972</v>
      </c>
      <c r="H109" s="185" t="n">
        <v>46118</v>
      </c>
      <c r="I109" s="189" t="s">
        <v>113</v>
      </c>
      <c r="J109" s="189" t="s">
        <v>128</v>
      </c>
      <c r="K109" s="189" t="s">
        <v>173</v>
      </c>
      <c r="L109" s="189" t="s">
        <v>144</v>
      </c>
      <c r="M109" s="189" t="s">
        <v>973</v>
      </c>
      <c r="N109" s="189" t="s">
        <v>306</v>
      </c>
      <c r="O109" s="196" t="s">
        <v>278</v>
      </c>
      <c r="P109" s="189" t="s">
        <v>131</v>
      </c>
      <c r="Q109" s="189" t="s">
        <v>112</v>
      </c>
      <c r="R109" s="189" t="s">
        <v>22</v>
      </c>
      <c r="S109" s="189" t="s">
        <v>152</v>
      </c>
      <c r="T109" s="189" t="s">
        <v>121</v>
      </c>
      <c r="U109" s="189" t="s">
        <v>725</v>
      </c>
      <c r="V109" s="189" t="s">
        <v>192</v>
      </c>
      <c r="W109" s="189" t="s">
        <v>168</v>
      </c>
      <c r="X109" s="189" t="s">
        <v>176</v>
      </c>
      <c r="Y109" s="189" t="s">
        <v>176</v>
      </c>
      <c r="Z109" s="189" t="s">
        <v>3264</v>
      </c>
      <c r="AG109" s="189" t="s">
        <v>3241</v>
      </c>
      <c r="AH109" s="189" t="s">
        <v>3088</v>
      </c>
    </row>
    <row r="110" customFormat="false" ht="15" hidden="false" customHeight="true" outlineLevel="0" collapsed="false">
      <c r="A110" s="0" t="n">
        <v>109</v>
      </c>
      <c r="B110" s="185" t="n">
        <v>46152.4731887889</v>
      </c>
      <c r="C110" s="185" t="n">
        <v>46152.4783392518</v>
      </c>
      <c r="D110" s="189" t="s">
        <v>977</v>
      </c>
      <c r="E110" s="189" t="s">
        <v>978</v>
      </c>
      <c r="F110" s="189" t="s">
        <v>978</v>
      </c>
      <c r="G110" s="189" t="s">
        <v>979</v>
      </c>
      <c r="H110" s="185" t="n">
        <v>46136</v>
      </c>
      <c r="I110" s="189" t="s">
        <v>132</v>
      </c>
      <c r="J110" s="189" t="s">
        <v>295</v>
      </c>
      <c r="K110" s="189" t="s">
        <v>173</v>
      </c>
      <c r="L110" s="189" t="s">
        <v>268</v>
      </c>
      <c r="M110" s="189" t="s">
        <v>286</v>
      </c>
      <c r="N110" s="189" t="s">
        <v>980</v>
      </c>
      <c r="O110" s="189" t="s">
        <v>172</v>
      </c>
      <c r="P110" s="189" t="s">
        <v>111</v>
      </c>
      <c r="Q110" s="189" t="s">
        <v>145</v>
      </c>
      <c r="R110" s="189" t="s">
        <v>22</v>
      </c>
      <c r="S110" s="189" t="s">
        <v>152</v>
      </c>
      <c r="T110" s="189" t="s">
        <v>121</v>
      </c>
      <c r="V110" s="189" t="s">
        <v>167</v>
      </c>
      <c r="W110" s="189" t="s">
        <v>124</v>
      </c>
      <c r="X110" s="189" t="s">
        <v>271</v>
      </c>
      <c r="Y110" s="189" t="s">
        <v>271</v>
      </c>
      <c r="Z110" s="189" t="s">
        <v>3230</v>
      </c>
      <c r="AA110" s="189" t="s">
        <v>3136</v>
      </c>
      <c r="AB110" s="189" t="s">
        <v>3114</v>
      </c>
      <c r="AG110" s="189" t="s">
        <v>122</v>
      </c>
    </row>
    <row r="111" customFormat="false" ht="15" hidden="false" customHeight="true" outlineLevel="0" collapsed="false">
      <c r="A111" s="0" t="n">
        <v>110</v>
      </c>
      <c r="B111" s="185" t="n">
        <v>46070.1962006337</v>
      </c>
      <c r="C111" s="185" t="n">
        <v>46070.2153325781</v>
      </c>
      <c r="D111" s="189" t="s">
        <v>983</v>
      </c>
      <c r="E111" s="189" t="s">
        <v>984</v>
      </c>
      <c r="F111" s="189" t="s">
        <v>984</v>
      </c>
      <c r="G111" s="189" t="s">
        <v>985</v>
      </c>
      <c r="H111" s="185" t="n">
        <v>46061</v>
      </c>
      <c r="I111" s="189" t="s">
        <v>113</v>
      </c>
      <c r="J111" s="189" t="s">
        <v>108</v>
      </c>
      <c r="K111" s="189" t="s">
        <v>143</v>
      </c>
      <c r="L111" s="189" t="s">
        <v>184</v>
      </c>
      <c r="M111" s="189" t="s">
        <v>279</v>
      </c>
      <c r="N111" s="189" t="s">
        <v>899</v>
      </c>
      <c r="O111" s="189" t="s">
        <v>107</v>
      </c>
      <c r="P111" s="189" t="s">
        <v>111</v>
      </c>
      <c r="Q111" s="189" t="s">
        <v>112</v>
      </c>
      <c r="R111" s="189" t="s">
        <v>21</v>
      </c>
      <c r="S111" s="189" t="s">
        <v>152</v>
      </c>
      <c r="T111" s="189" t="s">
        <v>352</v>
      </c>
      <c r="U111" s="189" t="s">
        <v>122</v>
      </c>
      <c r="V111" s="189" t="s">
        <v>192</v>
      </c>
      <c r="W111" s="189" t="s">
        <v>124</v>
      </c>
      <c r="X111" s="189" t="s">
        <v>307</v>
      </c>
      <c r="Y111" s="189" t="s">
        <v>307</v>
      </c>
      <c r="Z111" s="189" t="s">
        <v>3131</v>
      </c>
      <c r="AA111" s="189" t="s">
        <v>3129</v>
      </c>
      <c r="AB111" s="189" t="s">
        <v>3130</v>
      </c>
      <c r="AG111" s="189" t="s">
        <v>3133</v>
      </c>
    </row>
    <row r="112" customFormat="false" ht="15" hidden="false" customHeight="true" outlineLevel="0" collapsed="false">
      <c r="A112" s="0" t="n">
        <v>111</v>
      </c>
      <c r="B112" s="185" t="n">
        <v>46056.8467412229</v>
      </c>
      <c r="C112" s="185" t="n">
        <v>46056.8591833526</v>
      </c>
      <c r="D112" s="189" t="s">
        <v>987</v>
      </c>
      <c r="E112" s="189" t="s">
        <v>988</v>
      </c>
      <c r="F112" s="189" t="s">
        <v>988</v>
      </c>
      <c r="G112" s="189" t="s">
        <v>989</v>
      </c>
      <c r="H112" s="185" t="n">
        <v>46037</v>
      </c>
      <c r="I112" s="189" t="s">
        <v>113</v>
      </c>
      <c r="J112" s="189" t="s">
        <v>108</v>
      </c>
      <c r="K112" s="189" t="s">
        <v>257</v>
      </c>
      <c r="L112" s="189" t="s">
        <v>130</v>
      </c>
      <c r="M112" s="189" t="s">
        <v>258</v>
      </c>
      <c r="N112" s="189" t="s">
        <v>990</v>
      </c>
      <c r="O112" s="189" t="s">
        <v>172</v>
      </c>
      <c r="P112" s="189" t="s">
        <v>111</v>
      </c>
      <c r="Q112" s="189" t="s">
        <v>112</v>
      </c>
      <c r="R112" s="189" t="s">
        <v>22</v>
      </c>
      <c r="S112" s="189" t="s">
        <v>120</v>
      </c>
      <c r="T112" s="189" t="s">
        <v>352</v>
      </c>
      <c r="U112" s="189" t="s">
        <v>994</v>
      </c>
      <c r="V112" s="189" t="s">
        <v>123</v>
      </c>
      <c r="W112" s="189" t="s">
        <v>124</v>
      </c>
      <c r="X112" s="189" t="s">
        <v>715</v>
      </c>
      <c r="Y112" s="189" t="s">
        <v>715</v>
      </c>
      <c r="Z112" s="189" t="s">
        <v>3251</v>
      </c>
      <c r="AA112" s="189" t="s">
        <v>3255</v>
      </c>
      <c r="AG112" s="189" t="s">
        <v>3253</v>
      </c>
    </row>
    <row r="113" customFormat="false" ht="15" hidden="false" customHeight="true" outlineLevel="0" collapsed="false">
      <c r="A113" s="0" t="n">
        <v>112</v>
      </c>
      <c r="B113" s="185" t="n">
        <v>46161.4752354407</v>
      </c>
      <c r="C113" s="185" t="n">
        <v>46161.4865433111</v>
      </c>
      <c r="D113" s="189" t="s">
        <v>995</v>
      </c>
      <c r="E113" s="189" t="s">
        <v>996</v>
      </c>
      <c r="F113" s="189" t="s">
        <v>996</v>
      </c>
      <c r="G113" s="189" t="s">
        <v>997</v>
      </c>
      <c r="H113" s="185" t="n">
        <v>46160</v>
      </c>
      <c r="I113" s="189" t="s">
        <v>113</v>
      </c>
      <c r="J113" s="189" t="s">
        <v>128</v>
      </c>
      <c r="K113" s="189" t="s">
        <v>257</v>
      </c>
      <c r="L113" s="189" t="s">
        <v>184</v>
      </c>
      <c r="M113" s="189" t="s">
        <v>234</v>
      </c>
      <c r="N113" s="189" t="s">
        <v>998</v>
      </c>
      <c r="O113" s="189" t="s">
        <v>244</v>
      </c>
      <c r="P113" s="189" t="s">
        <v>111</v>
      </c>
      <c r="Q113" s="189" t="s">
        <v>112</v>
      </c>
      <c r="R113" s="189" t="s">
        <v>22</v>
      </c>
      <c r="S113" s="189" t="s">
        <v>152</v>
      </c>
      <c r="T113" s="189" t="s">
        <v>496</v>
      </c>
      <c r="U113" s="189" t="s">
        <v>1002</v>
      </c>
      <c r="V113" s="189" t="s">
        <v>167</v>
      </c>
      <c r="W113" s="189" t="s">
        <v>168</v>
      </c>
      <c r="X113" s="189" t="s">
        <v>298</v>
      </c>
      <c r="Y113" s="189" t="s">
        <v>298</v>
      </c>
      <c r="Z113" s="189" t="s">
        <v>3124</v>
      </c>
      <c r="AA113" s="189" t="s">
        <v>3125</v>
      </c>
      <c r="AB113" s="189" t="s">
        <v>3123</v>
      </c>
      <c r="AG113" s="189" t="s">
        <v>3268</v>
      </c>
    </row>
    <row r="114" customFormat="false" ht="15" hidden="false" customHeight="true" outlineLevel="0" collapsed="false">
      <c r="A114" s="0" t="n">
        <v>113</v>
      </c>
      <c r="B114" s="185" t="n">
        <v>46175.7714639536</v>
      </c>
      <c r="C114" s="185" t="n">
        <v>46175.780121361</v>
      </c>
      <c r="D114" s="189" t="s">
        <v>1003</v>
      </c>
      <c r="E114" s="189" t="s">
        <v>1004</v>
      </c>
      <c r="F114" s="189" t="s">
        <v>1004</v>
      </c>
      <c r="G114" s="189" t="s">
        <v>1005</v>
      </c>
      <c r="H114" s="185" t="n">
        <v>46165</v>
      </c>
      <c r="I114" s="189" t="s">
        <v>113</v>
      </c>
      <c r="J114" s="189" t="s">
        <v>108</v>
      </c>
      <c r="K114" s="189" t="s">
        <v>462</v>
      </c>
      <c r="L114" s="189" t="s">
        <v>389</v>
      </c>
      <c r="M114" s="189" t="s">
        <v>515</v>
      </c>
      <c r="N114" s="189" t="s">
        <v>1006</v>
      </c>
      <c r="O114" s="196" t="s">
        <v>172</v>
      </c>
      <c r="P114" s="189" t="s">
        <v>111</v>
      </c>
      <c r="Q114" s="189" t="s">
        <v>112</v>
      </c>
      <c r="R114" s="189" t="s">
        <v>22</v>
      </c>
      <c r="S114" s="189" t="s">
        <v>152</v>
      </c>
      <c r="T114" s="189" t="s">
        <v>121</v>
      </c>
      <c r="U114" s="189" t="s">
        <v>122</v>
      </c>
      <c r="V114" s="189" t="s">
        <v>167</v>
      </c>
      <c r="W114" s="189" t="s">
        <v>124</v>
      </c>
      <c r="X114" s="189" t="s">
        <v>176</v>
      </c>
      <c r="Y114" s="189" t="s">
        <v>176</v>
      </c>
      <c r="Z114" s="189" t="s">
        <v>3269</v>
      </c>
      <c r="AA114" s="189" t="s">
        <v>3204</v>
      </c>
      <c r="AB114" s="189" t="s">
        <v>3239</v>
      </c>
      <c r="AG114" s="189" t="s">
        <v>3084</v>
      </c>
      <c r="AH114" s="189" t="s">
        <v>3270</v>
      </c>
    </row>
    <row r="115" customFormat="false" ht="15" hidden="false" customHeight="true" outlineLevel="0" collapsed="false">
      <c r="A115" s="0" t="n">
        <v>114</v>
      </c>
      <c r="B115" s="185" t="n">
        <v>46139.4304262665</v>
      </c>
      <c r="C115" s="185" t="n">
        <v>46139.4433660813</v>
      </c>
      <c r="D115" s="189" t="s">
        <v>1010</v>
      </c>
      <c r="E115" s="189" t="s">
        <v>1011</v>
      </c>
      <c r="F115" s="189" t="s">
        <v>1011</v>
      </c>
      <c r="G115" s="189" t="s">
        <v>1012</v>
      </c>
      <c r="H115" s="185" t="n">
        <v>46134</v>
      </c>
      <c r="I115" s="189" t="s">
        <v>325</v>
      </c>
      <c r="J115" s="189" t="s">
        <v>108</v>
      </c>
      <c r="K115" s="189" t="s">
        <v>143</v>
      </c>
      <c r="L115" s="189" t="s">
        <v>268</v>
      </c>
      <c r="M115" s="189" t="s">
        <v>326</v>
      </c>
      <c r="N115" s="189" t="s">
        <v>827</v>
      </c>
      <c r="O115" s="196" t="s">
        <v>172</v>
      </c>
      <c r="P115" s="189" t="s">
        <v>111</v>
      </c>
      <c r="Q115" s="189" t="s">
        <v>112</v>
      </c>
      <c r="R115" s="189" t="s">
        <v>21</v>
      </c>
      <c r="S115" s="189" t="s">
        <v>120</v>
      </c>
      <c r="T115" s="189" t="s">
        <v>165</v>
      </c>
      <c r="U115" s="189" t="s">
        <v>1015</v>
      </c>
      <c r="V115" s="189" t="s">
        <v>123</v>
      </c>
      <c r="W115" s="189" t="s">
        <v>124</v>
      </c>
      <c r="X115" s="189" t="s">
        <v>374</v>
      </c>
      <c r="Y115" s="189" t="s">
        <v>374</v>
      </c>
      <c r="Z115" s="189" t="s">
        <v>3154</v>
      </c>
      <c r="AA115" s="189" t="s">
        <v>3153</v>
      </c>
      <c r="AB115" s="189" t="s">
        <v>3155</v>
      </c>
      <c r="AG115" s="189" t="s">
        <v>3158</v>
      </c>
    </row>
    <row r="116" customFormat="false" ht="15" hidden="false" customHeight="true" outlineLevel="0" collapsed="false">
      <c r="A116" s="0" t="n">
        <v>115</v>
      </c>
      <c r="B116" s="185" t="n">
        <v>46205.6461025347</v>
      </c>
      <c r="C116" s="185" t="n">
        <v>46205.6556511458</v>
      </c>
      <c r="D116" s="189" t="s">
        <v>1016</v>
      </c>
      <c r="E116" s="189" t="s">
        <v>1017</v>
      </c>
      <c r="F116" s="189" t="s">
        <v>1018</v>
      </c>
      <c r="G116" s="189" t="s">
        <v>1019</v>
      </c>
      <c r="H116" s="185" t="n">
        <v>46193</v>
      </c>
      <c r="I116" s="189" t="s">
        <v>325</v>
      </c>
      <c r="J116" s="189" t="s">
        <v>108</v>
      </c>
      <c r="K116" s="189" t="s">
        <v>1020</v>
      </c>
      <c r="L116" s="189" t="s">
        <v>197</v>
      </c>
      <c r="M116" s="189" t="s">
        <v>269</v>
      </c>
      <c r="N116" s="189" t="s">
        <v>161</v>
      </c>
      <c r="O116" s="196" t="s">
        <v>172</v>
      </c>
      <c r="P116" s="189" t="s">
        <v>111</v>
      </c>
      <c r="Q116" s="189" t="s">
        <v>112</v>
      </c>
      <c r="R116" s="189" t="s">
        <v>22</v>
      </c>
      <c r="S116" s="189" t="s">
        <v>152</v>
      </c>
      <c r="T116" s="189" t="s">
        <v>1024</v>
      </c>
      <c r="V116" s="189" t="s">
        <v>192</v>
      </c>
      <c r="W116" s="189" t="s">
        <v>124</v>
      </c>
      <c r="X116" s="189" t="s">
        <v>298</v>
      </c>
      <c r="Y116" s="189" t="s">
        <v>298</v>
      </c>
      <c r="Z116" s="189" t="s">
        <v>3123</v>
      </c>
      <c r="AA116" s="189" t="s">
        <v>3207</v>
      </c>
      <c r="AG116" s="189" t="s">
        <v>3272</v>
      </c>
      <c r="AH116" s="189" t="s">
        <v>3248</v>
      </c>
    </row>
    <row r="117" customFormat="false" ht="15" hidden="false" customHeight="true" outlineLevel="0" collapsed="false">
      <c r="A117" s="0" t="n">
        <v>116</v>
      </c>
      <c r="B117" s="185" t="n">
        <v>46131.045551063</v>
      </c>
      <c r="C117" s="185" t="n">
        <v>46131.062113563</v>
      </c>
      <c r="D117" s="189" t="s">
        <v>1025</v>
      </c>
      <c r="E117" s="189" t="s">
        <v>1026</v>
      </c>
      <c r="F117" s="189" t="s">
        <v>1026</v>
      </c>
      <c r="G117" s="189" t="s">
        <v>1027</v>
      </c>
      <c r="H117" s="185" t="n">
        <v>46112</v>
      </c>
      <c r="I117" s="189" t="s">
        <v>113</v>
      </c>
      <c r="J117" s="189" t="s">
        <v>128</v>
      </c>
      <c r="K117" s="189" t="s">
        <v>173</v>
      </c>
      <c r="L117" s="189" t="s">
        <v>197</v>
      </c>
      <c r="M117" s="189" t="s">
        <v>757</v>
      </c>
      <c r="N117" s="189" t="s">
        <v>1028</v>
      </c>
      <c r="O117" s="189" t="s">
        <v>107</v>
      </c>
      <c r="P117" s="189" t="s">
        <v>111</v>
      </c>
      <c r="Q117" s="189" t="s">
        <v>112</v>
      </c>
      <c r="R117" s="189" t="s">
        <v>22</v>
      </c>
      <c r="S117" s="189" t="s">
        <v>152</v>
      </c>
      <c r="T117" s="189" t="s">
        <v>180</v>
      </c>
      <c r="U117" s="189" t="s">
        <v>1032</v>
      </c>
      <c r="V117" s="189" t="s">
        <v>167</v>
      </c>
      <c r="W117" s="189" t="s">
        <v>124</v>
      </c>
      <c r="X117" s="189" t="s">
        <v>298</v>
      </c>
      <c r="Y117" s="189" t="s">
        <v>298</v>
      </c>
      <c r="Z117" s="189" t="s">
        <v>3273</v>
      </c>
      <c r="AG117" s="189" t="s">
        <v>3275</v>
      </c>
    </row>
    <row r="118" customFormat="false" ht="15" hidden="false" customHeight="true" outlineLevel="0" collapsed="false">
      <c r="A118" s="0" t="n">
        <v>117</v>
      </c>
      <c r="B118" s="185" t="n">
        <v>46151.9984836193</v>
      </c>
      <c r="C118" s="185" t="n">
        <v>46152.0023840823</v>
      </c>
      <c r="D118" s="189" t="s">
        <v>1033</v>
      </c>
      <c r="E118" s="189" t="s">
        <v>1034</v>
      </c>
      <c r="F118" s="189" t="s">
        <v>1034</v>
      </c>
      <c r="G118" s="189" t="s">
        <v>1035</v>
      </c>
      <c r="H118" s="185" t="n">
        <v>46145</v>
      </c>
      <c r="I118" s="189" t="s">
        <v>113</v>
      </c>
      <c r="J118" s="189" t="s">
        <v>295</v>
      </c>
      <c r="K118" s="189" t="s">
        <v>257</v>
      </c>
      <c r="L118" s="189" t="s">
        <v>159</v>
      </c>
      <c r="M118" s="189" t="s">
        <v>507</v>
      </c>
      <c r="N118" s="189" t="s">
        <v>1036</v>
      </c>
      <c r="O118" s="196" t="s">
        <v>278</v>
      </c>
      <c r="P118" s="189" t="s">
        <v>111</v>
      </c>
      <c r="Q118" s="189" t="s">
        <v>112</v>
      </c>
      <c r="R118" s="189" t="s">
        <v>24</v>
      </c>
      <c r="S118" s="189" t="s">
        <v>120</v>
      </c>
      <c r="T118" s="189" t="s">
        <v>121</v>
      </c>
      <c r="U118" s="189" t="s">
        <v>122</v>
      </c>
      <c r="V118" s="189" t="s">
        <v>192</v>
      </c>
      <c r="W118" s="189" t="s">
        <v>124</v>
      </c>
      <c r="X118" s="189" t="s">
        <v>448</v>
      </c>
      <c r="Y118" s="189" t="s">
        <v>448</v>
      </c>
      <c r="Z118" s="189" t="s">
        <v>3175</v>
      </c>
      <c r="AG118" s="189" t="s">
        <v>3190</v>
      </c>
    </row>
    <row r="119" customFormat="false" ht="15" hidden="false" customHeight="true" outlineLevel="0" collapsed="false">
      <c r="A119" s="0" t="n">
        <v>118</v>
      </c>
      <c r="B119" s="185" t="n">
        <v>46053.0718435588</v>
      </c>
      <c r="C119" s="185" t="n">
        <v>46053.0802463366</v>
      </c>
      <c r="D119" s="189" t="s">
        <v>1039</v>
      </c>
      <c r="E119" s="189" t="s">
        <v>1040</v>
      </c>
      <c r="F119" s="189" t="s">
        <v>1040</v>
      </c>
      <c r="G119" s="189" t="s">
        <v>1041</v>
      </c>
      <c r="H119" s="185" t="n">
        <v>46050</v>
      </c>
      <c r="I119" s="189" t="s">
        <v>132</v>
      </c>
      <c r="J119" s="189" t="s">
        <v>128</v>
      </c>
      <c r="K119" s="189" t="s">
        <v>257</v>
      </c>
      <c r="L119" s="189" t="s">
        <v>144</v>
      </c>
      <c r="M119" s="189" t="s">
        <v>870</v>
      </c>
      <c r="N119" s="189" t="s">
        <v>1042</v>
      </c>
      <c r="O119" s="189" t="s">
        <v>278</v>
      </c>
      <c r="P119" s="189" t="s">
        <v>111</v>
      </c>
      <c r="Q119" s="189" t="s">
        <v>112</v>
      </c>
      <c r="R119" s="189" t="s">
        <v>21</v>
      </c>
      <c r="S119" s="189" t="s">
        <v>152</v>
      </c>
      <c r="T119" s="189" t="s">
        <v>121</v>
      </c>
      <c r="V119" s="189" t="s">
        <v>192</v>
      </c>
      <c r="W119" s="189" t="s">
        <v>168</v>
      </c>
      <c r="X119" s="189" t="s">
        <v>348</v>
      </c>
      <c r="Y119" s="189" t="s">
        <v>348</v>
      </c>
      <c r="Z119" s="189" t="s">
        <v>3165</v>
      </c>
      <c r="AA119" s="189" t="s">
        <v>3146</v>
      </c>
      <c r="AB119" s="189" t="s">
        <v>3277</v>
      </c>
      <c r="AG119" s="189" t="s">
        <v>3148</v>
      </c>
      <c r="AH119" s="189" t="s">
        <v>3263</v>
      </c>
    </row>
    <row r="120" customFormat="false" ht="15" hidden="false" customHeight="true" outlineLevel="0" collapsed="false">
      <c r="A120" s="0" t="n">
        <v>119</v>
      </c>
      <c r="B120" s="185" t="n">
        <v>46113.2940025957</v>
      </c>
      <c r="C120" s="185" t="n">
        <v>46113.3142803735</v>
      </c>
      <c r="D120" s="189" t="s">
        <v>1045</v>
      </c>
      <c r="E120" s="189" t="s">
        <v>1046</v>
      </c>
      <c r="F120" s="189" t="s">
        <v>1047</v>
      </c>
      <c r="G120" s="189" t="s">
        <v>1048</v>
      </c>
      <c r="H120" s="185" t="n">
        <v>46112</v>
      </c>
      <c r="I120" s="189" t="s">
        <v>113</v>
      </c>
      <c r="J120" s="189" t="s">
        <v>295</v>
      </c>
      <c r="K120" s="189" t="s">
        <v>1049</v>
      </c>
      <c r="L120" s="189" t="s">
        <v>389</v>
      </c>
      <c r="M120" s="189" t="s">
        <v>212</v>
      </c>
      <c r="N120" s="189" t="s">
        <v>1050</v>
      </c>
      <c r="O120" s="189" t="s">
        <v>781</v>
      </c>
      <c r="P120" s="189" t="s">
        <v>131</v>
      </c>
      <c r="Q120" s="189" t="s">
        <v>112</v>
      </c>
      <c r="R120" s="189" t="s">
        <v>22</v>
      </c>
      <c r="S120" s="189" t="s">
        <v>152</v>
      </c>
      <c r="T120" s="189" t="s">
        <v>121</v>
      </c>
      <c r="U120" s="189" t="s">
        <v>452</v>
      </c>
      <c r="V120" s="189" t="s">
        <v>192</v>
      </c>
      <c r="W120" s="189" t="s">
        <v>124</v>
      </c>
      <c r="X120" s="189" t="s">
        <v>135</v>
      </c>
      <c r="Y120" s="189" t="s">
        <v>135</v>
      </c>
      <c r="Z120" s="189" t="s">
        <v>3202</v>
      </c>
      <c r="AA120" s="189" t="s">
        <v>3071</v>
      </c>
      <c r="AB120" s="189" t="s">
        <v>3183</v>
      </c>
      <c r="AG120" s="189" t="s">
        <v>3203</v>
      </c>
      <c r="AH120" s="189" t="s">
        <v>3212</v>
      </c>
    </row>
    <row r="121" customFormat="false" ht="15" hidden="false" customHeight="true" outlineLevel="0" collapsed="false">
      <c r="A121" s="0" t="n">
        <v>120</v>
      </c>
      <c r="B121" s="185" t="n">
        <v>46084.7188729315</v>
      </c>
      <c r="C121" s="185" t="n">
        <v>46084.7282710796</v>
      </c>
      <c r="D121" s="189" t="s">
        <v>1054</v>
      </c>
      <c r="E121" s="189" t="s">
        <v>1055</v>
      </c>
      <c r="F121" s="189" t="s">
        <v>1055</v>
      </c>
      <c r="G121" s="189" t="s">
        <v>1056</v>
      </c>
      <c r="H121" s="185" t="n">
        <v>46065</v>
      </c>
      <c r="I121" s="189" t="s">
        <v>113</v>
      </c>
      <c r="J121" s="189" t="s">
        <v>295</v>
      </c>
      <c r="K121" s="189" t="s">
        <v>1057</v>
      </c>
      <c r="L121" s="189" t="s">
        <v>491</v>
      </c>
      <c r="M121" s="189" t="s">
        <v>484</v>
      </c>
      <c r="N121" s="189" t="s">
        <v>347</v>
      </c>
      <c r="O121" s="189" t="s">
        <v>107</v>
      </c>
      <c r="P121" s="189" t="s">
        <v>111</v>
      </c>
      <c r="Q121" s="189" t="s">
        <v>112</v>
      </c>
      <c r="R121" s="189" t="s">
        <v>24</v>
      </c>
      <c r="S121" s="189" t="s">
        <v>152</v>
      </c>
      <c r="T121" s="189" t="s">
        <v>228</v>
      </c>
      <c r="V121" s="189" t="s">
        <v>192</v>
      </c>
      <c r="W121" s="189" t="s">
        <v>124</v>
      </c>
      <c r="X121" s="189" t="s">
        <v>19</v>
      </c>
      <c r="Y121" s="189" t="s">
        <v>19</v>
      </c>
      <c r="AK121" s="189" t="s">
        <v>880</v>
      </c>
    </row>
    <row r="122" customFormat="false" ht="15" hidden="false" customHeight="true" outlineLevel="0" collapsed="false">
      <c r="A122" s="0" t="n">
        <v>121</v>
      </c>
      <c r="B122" s="185" t="n">
        <v>46039.0472124819</v>
      </c>
      <c r="C122" s="185" t="n">
        <v>46039.0551870189</v>
      </c>
      <c r="D122" s="189" t="s">
        <v>1058</v>
      </c>
      <c r="E122" s="189" t="s">
        <v>1059</v>
      </c>
      <c r="F122" s="189" t="s">
        <v>1059</v>
      </c>
      <c r="G122" s="189" t="s">
        <v>1060</v>
      </c>
      <c r="H122" s="185" t="n">
        <v>46022</v>
      </c>
      <c r="I122" s="189" t="s">
        <v>113</v>
      </c>
      <c r="J122" s="189" t="s">
        <v>108</v>
      </c>
      <c r="K122" s="189" t="s">
        <v>1061</v>
      </c>
      <c r="L122" s="189" t="s">
        <v>296</v>
      </c>
      <c r="M122" s="189" t="s">
        <v>973</v>
      </c>
      <c r="N122" s="189" t="s">
        <v>595</v>
      </c>
      <c r="O122" s="189" t="s">
        <v>244</v>
      </c>
      <c r="P122" s="189" t="s">
        <v>111</v>
      </c>
      <c r="Q122" s="189" t="s">
        <v>112</v>
      </c>
      <c r="R122" s="189" t="s">
        <v>22</v>
      </c>
      <c r="S122" s="189" t="s">
        <v>120</v>
      </c>
      <c r="T122" s="189" t="s">
        <v>180</v>
      </c>
      <c r="U122" s="189" t="s">
        <v>1063</v>
      </c>
      <c r="V122" s="189" t="s">
        <v>167</v>
      </c>
      <c r="W122" s="189" t="s">
        <v>124</v>
      </c>
      <c r="X122" s="189" t="s">
        <v>381</v>
      </c>
      <c r="Y122" s="189" t="s">
        <v>381</v>
      </c>
      <c r="Z122" s="189" t="s">
        <v>3159</v>
      </c>
      <c r="AA122" s="189" t="s">
        <v>3233</v>
      </c>
      <c r="AB122" s="189" t="s">
        <v>3249</v>
      </c>
      <c r="AG122" s="189" t="s">
        <v>3181</v>
      </c>
    </row>
    <row r="123" customFormat="false" ht="15" hidden="false" customHeight="true" outlineLevel="0" collapsed="false">
      <c r="A123" s="0" t="n">
        <v>122</v>
      </c>
      <c r="B123" s="185" t="n">
        <v>46179.4292506572</v>
      </c>
      <c r="C123" s="185" t="n">
        <v>46179.443915009</v>
      </c>
      <c r="D123" s="189" t="s">
        <v>1064</v>
      </c>
      <c r="E123" s="189" t="s">
        <v>1065</v>
      </c>
      <c r="F123" s="189" t="s">
        <v>1065</v>
      </c>
      <c r="G123" s="189" t="s">
        <v>1066</v>
      </c>
      <c r="H123" s="185" t="n">
        <v>46164</v>
      </c>
      <c r="I123" s="189" t="s">
        <v>113</v>
      </c>
      <c r="J123" s="189" t="s">
        <v>108</v>
      </c>
      <c r="K123" s="189" t="s">
        <v>462</v>
      </c>
      <c r="L123" s="189" t="s">
        <v>184</v>
      </c>
      <c r="M123" s="189" t="s">
        <v>864</v>
      </c>
      <c r="N123" s="189" t="s">
        <v>1067</v>
      </c>
      <c r="O123" s="189" t="s">
        <v>278</v>
      </c>
      <c r="P123" s="189" t="s">
        <v>111</v>
      </c>
      <c r="Q123" s="189" t="s">
        <v>112</v>
      </c>
      <c r="R123" s="189" t="s">
        <v>22</v>
      </c>
      <c r="S123" s="189" t="s">
        <v>152</v>
      </c>
      <c r="T123" s="189" t="s">
        <v>121</v>
      </c>
      <c r="U123" s="189" t="s">
        <v>1070</v>
      </c>
      <c r="V123" s="189" t="s">
        <v>123</v>
      </c>
      <c r="W123" s="189" t="s">
        <v>168</v>
      </c>
      <c r="X123" s="189" t="s">
        <v>271</v>
      </c>
      <c r="Y123" s="189" t="s">
        <v>271</v>
      </c>
      <c r="Z123" s="189" t="s">
        <v>3115</v>
      </c>
      <c r="AA123" s="189" t="s">
        <v>3114</v>
      </c>
      <c r="AB123" s="189" t="s">
        <v>3135</v>
      </c>
      <c r="AG123" s="189" t="s">
        <v>3119</v>
      </c>
    </row>
    <row r="124" customFormat="false" ht="15" hidden="false" customHeight="true" outlineLevel="0" collapsed="false">
      <c r="A124" s="0" t="n">
        <v>123</v>
      </c>
      <c r="B124" s="185" t="n">
        <v>46135.2518673048</v>
      </c>
      <c r="C124" s="185" t="n">
        <v>46135.2543557307</v>
      </c>
      <c r="D124" s="189" t="s">
        <v>1071</v>
      </c>
      <c r="E124" s="189" t="s">
        <v>1072</v>
      </c>
      <c r="F124" s="189" t="s">
        <v>1072</v>
      </c>
      <c r="G124" s="189" t="s">
        <v>1073</v>
      </c>
      <c r="H124" s="185" t="n">
        <v>46117</v>
      </c>
      <c r="I124" s="189" t="s">
        <v>113</v>
      </c>
      <c r="J124" s="189" t="s">
        <v>128</v>
      </c>
      <c r="K124" s="189" t="s">
        <v>364</v>
      </c>
      <c r="L124" s="189" t="s">
        <v>389</v>
      </c>
      <c r="M124" s="189" t="s">
        <v>1074</v>
      </c>
      <c r="N124" s="189" t="s">
        <v>638</v>
      </c>
      <c r="O124" s="189" t="s">
        <v>107</v>
      </c>
      <c r="P124" s="189" t="s">
        <v>111</v>
      </c>
      <c r="Q124" s="189" t="s">
        <v>145</v>
      </c>
      <c r="R124" s="189" t="s">
        <v>22</v>
      </c>
      <c r="S124" s="189" t="s">
        <v>120</v>
      </c>
      <c r="T124" s="189" t="s">
        <v>180</v>
      </c>
      <c r="U124" s="189" t="s">
        <v>122</v>
      </c>
      <c r="V124" s="189" t="s">
        <v>123</v>
      </c>
      <c r="W124" s="189" t="s">
        <v>124</v>
      </c>
      <c r="X124" s="189" t="s">
        <v>116</v>
      </c>
      <c r="Y124" s="189" t="s">
        <v>116</v>
      </c>
      <c r="Z124" s="189" t="s">
        <v>3065</v>
      </c>
      <c r="AG124" s="189" t="s">
        <v>3083</v>
      </c>
    </row>
    <row r="125" customFormat="false" ht="15" hidden="false" customHeight="true" outlineLevel="0" collapsed="false">
      <c r="A125" s="0" t="n">
        <v>124</v>
      </c>
      <c r="B125" s="185" t="n">
        <v>46165.2369165812</v>
      </c>
      <c r="C125" s="185" t="n">
        <v>46165.2464304701</v>
      </c>
      <c r="D125" s="189" t="s">
        <v>1075</v>
      </c>
      <c r="E125" s="189" t="s">
        <v>1076</v>
      </c>
      <c r="F125" s="189" t="s">
        <v>1076</v>
      </c>
      <c r="G125" s="189" t="s">
        <v>1077</v>
      </c>
      <c r="H125" s="185" t="n">
        <v>46161</v>
      </c>
      <c r="I125" s="189" t="s">
        <v>113</v>
      </c>
      <c r="J125" s="189" t="s">
        <v>108</v>
      </c>
      <c r="K125" s="189" t="s">
        <v>232</v>
      </c>
      <c r="L125" s="189" t="s">
        <v>144</v>
      </c>
      <c r="M125" s="189" t="s">
        <v>797</v>
      </c>
      <c r="N125" s="189" t="s">
        <v>1078</v>
      </c>
      <c r="O125" s="189" t="s">
        <v>107</v>
      </c>
      <c r="P125" s="189" t="s">
        <v>111</v>
      </c>
      <c r="Q125" s="189" t="s">
        <v>247</v>
      </c>
      <c r="R125" s="189" t="s">
        <v>22</v>
      </c>
      <c r="S125" s="189" t="s">
        <v>120</v>
      </c>
      <c r="T125" s="189" t="s">
        <v>180</v>
      </c>
      <c r="U125" s="189" t="s">
        <v>122</v>
      </c>
      <c r="V125" s="189" t="s">
        <v>192</v>
      </c>
      <c r="W125" s="189" t="s">
        <v>124</v>
      </c>
      <c r="X125" s="189" t="s">
        <v>715</v>
      </c>
      <c r="Y125" s="189" t="s">
        <v>715</v>
      </c>
      <c r="Z125" s="189" t="s">
        <v>3251</v>
      </c>
      <c r="AA125" s="189" t="s">
        <v>3255</v>
      </c>
      <c r="AB125" s="189" t="s">
        <v>3224</v>
      </c>
      <c r="AG125" s="189" t="s">
        <v>3256</v>
      </c>
      <c r="AH125" s="189" t="s">
        <v>3253</v>
      </c>
    </row>
    <row r="126" customFormat="false" ht="15" hidden="false" customHeight="true" outlineLevel="0" collapsed="false">
      <c r="A126" s="0" t="n">
        <v>125</v>
      </c>
      <c r="B126" s="185" t="n">
        <v>46151.6990861496</v>
      </c>
      <c r="C126" s="185" t="n">
        <v>46151.7104866126</v>
      </c>
      <c r="D126" s="189" t="s">
        <v>1081</v>
      </c>
      <c r="E126" s="189" t="s">
        <v>1082</v>
      </c>
      <c r="F126" s="189" t="s">
        <v>1083</v>
      </c>
      <c r="G126" s="189" t="s">
        <v>1084</v>
      </c>
      <c r="H126" s="185" t="n">
        <v>46148</v>
      </c>
      <c r="I126" s="189" t="s">
        <v>113</v>
      </c>
      <c r="J126" s="189" t="s">
        <v>108</v>
      </c>
      <c r="K126" s="189" t="s">
        <v>143</v>
      </c>
      <c r="L126" s="189" t="s">
        <v>346</v>
      </c>
      <c r="M126" s="189" t="s">
        <v>774</v>
      </c>
      <c r="N126" s="189" t="s">
        <v>337</v>
      </c>
      <c r="O126" s="189" t="s">
        <v>107</v>
      </c>
      <c r="P126" s="189" t="s">
        <v>111</v>
      </c>
      <c r="Q126" s="189" t="s">
        <v>112</v>
      </c>
      <c r="R126" s="189" t="s">
        <v>24</v>
      </c>
      <c r="S126" s="189" t="s">
        <v>120</v>
      </c>
      <c r="T126" s="189" t="s">
        <v>180</v>
      </c>
      <c r="U126" s="189" t="s">
        <v>122</v>
      </c>
      <c r="V126" s="189" t="s">
        <v>192</v>
      </c>
      <c r="W126" s="189" t="s">
        <v>124</v>
      </c>
      <c r="X126" s="189" t="s">
        <v>448</v>
      </c>
      <c r="Y126" s="189" t="s">
        <v>448</v>
      </c>
      <c r="Z126" s="189" t="s">
        <v>3173</v>
      </c>
      <c r="AG126" s="189" t="s">
        <v>3178</v>
      </c>
      <c r="AH126" s="189" t="s">
        <v>3190</v>
      </c>
    </row>
    <row r="127" customFormat="false" ht="15" hidden="false" customHeight="true" outlineLevel="0" collapsed="false">
      <c r="A127" s="0" t="n">
        <v>126</v>
      </c>
      <c r="B127" s="185" t="n">
        <v>46107.6201828952</v>
      </c>
      <c r="C127" s="185" t="n">
        <v>46107.6402523396</v>
      </c>
      <c r="D127" s="189" t="s">
        <v>1087</v>
      </c>
      <c r="E127" s="189" t="s">
        <v>1088</v>
      </c>
      <c r="F127" s="189" t="s">
        <v>1088</v>
      </c>
      <c r="G127" s="189" t="s">
        <v>1089</v>
      </c>
      <c r="H127" s="185" t="n">
        <v>46090</v>
      </c>
      <c r="I127" s="189" t="s">
        <v>325</v>
      </c>
      <c r="J127" s="189" t="s">
        <v>295</v>
      </c>
      <c r="K127" s="189" t="s">
        <v>1090</v>
      </c>
      <c r="L127" s="189" t="s">
        <v>296</v>
      </c>
      <c r="M127" s="189" t="s">
        <v>789</v>
      </c>
      <c r="N127" s="189" t="s">
        <v>227</v>
      </c>
      <c r="O127" s="189" t="s">
        <v>107</v>
      </c>
      <c r="P127" s="189" t="s">
        <v>131</v>
      </c>
      <c r="Q127" s="189" t="s">
        <v>145</v>
      </c>
      <c r="R127" s="189" t="s">
        <v>23</v>
      </c>
      <c r="S127" s="189" t="s">
        <v>152</v>
      </c>
      <c r="T127" s="189" t="s">
        <v>121</v>
      </c>
      <c r="U127" s="189" t="s">
        <v>1002</v>
      </c>
      <c r="V127" s="189" t="s">
        <v>167</v>
      </c>
      <c r="W127" s="189" t="s">
        <v>124</v>
      </c>
      <c r="X127" s="189" t="s">
        <v>442</v>
      </c>
      <c r="Y127" s="189" t="s">
        <v>442</v>
      </c>
      <c r="AK127" s="189" t="s">
        <v>441</v>
      </c>
    </row>
    <row r="128" customFormat="false" ht="15" hidden="false" customHeight="true" outlineLevel="0" collapsed="false">
      <c r="A128" s="0" t="n">
        <v>127</v>
      </c>
      <c r="B128" s="185" t="n">
        <v>46130.7127597616</v>
      </c>
      <c r="C128" s="185" t="n">
        <v>46130.7204102246</v>
      </c>
      <c r="D128" s="189" t="s">
        <v>1091</v>
      </c>
      <c r="E128" s="189" t="s">
        <v>1092</v>
      </c>
      <c r="F128" s="189" t="s">
        <v>1092</v>
      </c>
      <c r="G128" s="189" t="s">
        <v>1093</v>
      </c>
      <c r="H128" s="185" t="n">
        <v>46122</v>
      </c>
      <c r="I128" s="189" t="s">
        <v>325</v>
      </c>
      <c r="J128" s="189" t="s">
        <v>108</v>
      </c>
      <c r="K128" s="189" t="s">
        <v>173</v>
      </c>
      <c r="L128" s="189" t="s">
        <v>431</v>
      </c>
      <c r="M128" s="189" t="s">
        <v>337</v>
      </c>
      <c r="N128" s="189" t="s">
        <v>1094</v>
      </c>
      <c r="O128" s="189" t="s">
        <v>107</v>
      </c>
      <c r="P128" s="189" t="s">
        <v>211</v>
      </c>
      <c r="Q128" s="189" t="s">
        <v>112</v>
      </c>
      <c r="R128" s="189" t="s">
        <v>24</v>
      </c>
      <c r="S128" s="189" t="s">
        <v>152</v>
      </c>
      <c r="T128" s="189" t="s">
        <v>352</v>
      </c>
      <c r="U128" s="189" t="s">
        <v>122</v>
      </c>
      <c r="V128" s="189" t="s">
        <v>123</v>
      </c>
      <c r="W128" s="189" t="s">
        <v>124</v>
      </c>
      <c r="X128" s="189" t="s">
        <v>448</v>
      </c>
      <c r="Y128" s="189" t="s">
        <v>448</v>
      </c>
      <c r="Z128" s="189" t="s">
        <v>3173</v>
      </c>
      <c r="AA128" s="189" t="s">
        <v>3174</v>
      </c>
      <c r="AG128" s="189" t="s">
        <v>3178</v>
      </c>
    </row>
    <row r="129" customFormat="false" ht="15" hidden="false" customHeight="true" outlineLevel="0" collapsed="false">
      <c r="A129" s="0" t="n">
        <v>128</v>
      </c>
      <c r="B129" s="185" t="n">
        <v>46162.0939729366</v>
      </c>
      <c r="C129" s="185" t="n">
        <v>46162.102317844</v>
      </c>
      <c r="D129" s="189" t="s">
        <v>1097</v>
      </c>
      <c r="E129" s="189" t="s">
        <v>1098</v>
      </c>
      <c r="F129" s="189" t="s">
        <v>1098</v>
      </c>
      <c r="G129" s="189" t="s">
        <v>1099</v>
      </c>
      <c r="H129" s="185" t="n">
        <v>46143</v>
      </c>
      <c r="I129" s="189" t="s">
        <v>305</v>
      </c>
      <c r="J129" s="189" t="s">
        <v>128</v>
      </c>
      <c r="K129" s="189" t="s">
        <v>173</v>
      </c>
      <c r="L129" s="189" t="s">
        <v>114</v>
      </c>
      <c r="M129" s="189" t="s">
        <v>515</v>
      </c>
      <c r="N129" s="189" t="s">
        <v>1100</v>
      </c>
      <c r="O129" s="189" t="s">
        <v>244</v>
      </c>
      <c r="P129" s="189" t="s">
        <v>111</v>
      </c>
      <c r="Q129" s="189" t="s">
        <v>112</v>
      </c>
      <c r="R129" s="189" t="s">
        <v>22</v>
      </c>
      <c r="S129" s="189" t="s">
        <v>120</v>
      </c>
      <c r="T129" s="189" t="s">
        <v>121</v>
      </c>
      <c r="U129" s="189" t="s">
        <v>682</v>
      </c>
      <c r="V129" s="189" t="s">
        <v>192</v>
      </c>
      <c r="W129" s="189" t="s">
        <v>124</v>
      </c>
      <c r="X129" s="189" t="s">
        <v>135</v>
      </c>
      <c r="Y129" s="189" t="s">
        <v>135</v>
      </c>
      <c r="Z129" s="189" t="s">
        <v>3072</v>
      </c>
      <c r="AA129" s="189" t="s">
        <v>3183</v>
      </c>
      <c r="AB129" s="189" t="s">
        <v>3073</v>
      </c>
      <c r="AG129" s="189" t="s">
        <v>3203</v>
      </c>
      <c r="AH129" s="189" t="s">
        <v>3152</v>
      </c>
    </row>
    <row r="130" customFormat="false" ht="15" hidden="false" customHeight="true" outlineLevel="0" collapsed="false">
      <c r="A130" s="0" t="n">
        <v>129</v>
      </c>
      <c r="B130" s="185" t="n">
        <v>46075.8866921867</v>
      </c>
      <c r="C130" s="185" t="n">
        <v>46075.8903495941</v>
      </c>
      <c r="D130" s="189" t="s">
        <v>1103</v>
      </c>
      <c r="E130" s="189" t="s">
        <v>1104</v>
      </c>
      <c r="F130" s="189" t="s">
        <v>1104</v>
      </c>
      <c r="G130" s="189" t="s">
        <v>1105</v>
      </c>
      <c r="H130" s="185" t="n">
        <v>46058</v>
      </c>
      <c r="I130" s="189" t="s">
        <v>113</v>
      </c>
      <c r="J130" s="189" t="s">
        <v>108</v>
      </c>
      <c r="K130" s="189" t="s">
        <v>1106</v>
      </c>
      <c r="L130" s="189" t="s">
        <v>286</v>
      </c>
      <c r="M130" s="189" t="s">
        <v>578</v>
      </c>
      <c r="N130" s="189" t="s">
        <v>306</v>
      </c>
      <c r="O130" s="189" t="s">
        <v>244</v>
      </c>
      <c r="P130" s="189" t="s">
        <v>131</v>
      </c>
      <c r="Q130" s="189" t="s">
        <v>112</v>
      </c>
      <c r="R130" s="189" t="s">
        <v>24</v>
      </c>
      <c r="S130" s="189" t="s">
        <v>152</v>
      </c>
      <c r="T130" s="189" t="s">
        <v>352</v>
      </c>
      <c r="U130" s="189" t="s">
        <v>122</v>
      </c>
      <c r="V130" s="189" t="s">
        <v>123</v>
      </c>
      <c r="W130" s="189" t="s">
        <v>124</v>
      </c>
      <c r="X130" s="189" t="s">
        <v>214</v>
      </c>
      <c r="Y130" s="189" t="s">
        <v>214</v>
      </c>
      <c r="Z130" s="189" t="s">
        <v>3081</v>
      </c>
      <c r="AA130" s="189" t="s">
        <v>3107</v>
      </c>
      <c r="AB130" s="189" t="s">
        <v>3065</v>
      </c>
      <c r="AG130" s="189" t="s">
        <v>122</v>
      </c>
    </row>
    <row r="131" customFormat="false" ht="15" hidden="false" customHeight="true" outlineLevel="0" collapsed="false">
      <c r="A131" s="0" t="n">
        <v>130</v>
      </c>
      <c r="B131" s="185" t="n">
        <v>46073.3034133595</v>
      </c>
      <c r="C131" s="185" t="n">
        <v>46073.3051957669</v>
      </c>
      <c r="D131" s="189" t="s">
        <v>1108</v>
      </c>
      <c r="E131" s="189" t="s">
        <v>1109</v>
      </c>
      <c r="F131" s="189" t="s">
        <v>1109</v>
      </c>
      <c r="G131" s="189" t="s">
        <v>1110</v>
      </c>
      <c r="H131" s="185" t="n">
        <v>46056</v>
      </c>
      <c r="I131" s="189" t="s">
        <v>863</v>
      </c>
      <c r="J131" s="189" t="s">
        <v>295</v>
      </c>
      <c r="K131" s="189" t="s">
        <v>1111</v>
      </c>
      <c r="L131" s="189" t="s">
        <v>197</v>
      </c>
      <c r="M131" s="189" t="s">
        <v>1112</v>
      </c>
      <c r="N131" s="189" t="s">
        <v>1067</v>
      </c>
      <c r="O131" s="189" t="s">
        <v>107</v>
      </c>
      <c r="P131" s="189" t="s">
        <v>111</v>
      </c>
      <c r="Q131" s="189" t="s">
        <v>112</v>
      </c>
      <c r="R131" s="189" t="s">
        <v>24</v>
      </c>
      <c r="S131" s="189" t="s">
        <v>152</v>
      </c>
      <c r="T131" s="189" t="s">
        <v>121</v>
      </c>
      <c r="U131" s="189" t="s">
        <v>614</v>
      </c>
      <c r="V131" s="189" t="s">
        <v>123</v>
      </c>
      <c r="W131" s="189" t="s">
        <v>124</v>
      </c>
      <c r="X131" s="189" t="s">
        <v>448</v>
      </c>
      <c r="Y131" s="189" t="s">
        <v>448</v>
      </c>
      <c r="Z131" s="189" t="s">
        <v>3175</v>
      </c>
      <c r="AA131" s="189" t="s">
        <v>3174</v>
      </c>
      <c r="AB131" s="189" t="s">
        <v>3189</v>
      </c>
      <c r="AG131" s="189" t="s">
        <v>3179</v>
      </c>
    </row>
    <row r="132" customFormat="false" ht="15" hidden="false" customHeight="true" outlineLevel="0" collapsed="false">
      <c r="A132" s="0" t="n">
        <v>131</v>
      </c>
      <c r="B132" s="185" t="n">
        <v>46185.7802177633</v>
      </c>
      <c r="C132" s="185" t="n">
        <v>46185.7988867448</v>
      </c>
      <c r="D132" s="189" t="s">
        <v>1116</v>
      </c>
      <c r="E132" s="189" t="s">
        <v>1117</v>
      </c>
      <c r="F132" s="189" t="s">
        <v>1117</v>
      </c>
      <c r="G132" s="189" t="s">
        <v>1118</v>
      </c>
      <c r="H132" s="185" t="n">
        <v>46185</v>
      </c>
      <c r="I132" s="189" t="s">
        <v>113</v>
      </c>
      <c r="J132" s="189" t="s">
        <v>108</v>
      </c>
      <c r="K132" s="189" t="s">
        <v>1119</v>
      </c>
      <c r="L132" s="189" t="s">
        <v>246</v>
      </c>
      <c r="M132" s="189" t="s">
        <v>1120</v>
      </c>
      <c r="N132" s="189" t="s">
        <v>175</v>
      </c>
      <c r="O132" s="189" t="s">
        <v>244</v>
      </c>
      <c r="P132" s="189" t="s">
        <v>111</v>
      </c>
      <c r="Q132" s="189" t="s">
        <v>112</v>
      </c>
      <c r="R132" s="189" t="s">
        <v>22</v>
      </c>
      <c r="S132" s="189" t="s">
        <v>152</v>
      </c>
      <c r="T132" s="189" t="s">
        <v>121</v>
      </c>
      <c r="U132" s="189" t="s">
        <v>122</v>
      </c>
      <c r="V132" s="189" t="s">
        <v>192</v>
      </c>
      <c r="W132" s="189" t="s">
        <v>124</v>
      </c>
      <c r="X132" s="189" t="s">
        <v>271</v>
      </c>
      <c r="Y132" s="189" t="s">
        <v>271</v>
      </c>
      <c r="Z132" s="189" t="s">
        <v>3135</v>
      </c>
      <c r="AG132" s="189" t="s">
        <v>3118</v>
      </c>
    </row>
    <row r="133" customFormat="false" ht="15" hidden="false" customHeight="true" outlineLevel="0" collapsed="false">
      <c r="A133" s="0" t="n">
        <v>132</v>
      </c>
      <c r="B133" s="185" t="n">
        <v>46036.3912488805</v>
      </c>
      <c r="C133" s="185" t="n">
        <v>46036.4079155471</v>
      </c>
      <c r="D133" s="189" t="s">
        <v>1122</v>
      </c>
      <c r="E133" s="189" t="s">
        <v>1123</v>
      </c>
      <c r="F133" s="189" t="s">
        <v>1124</v>
      </c>
      <c r="G133" s="189" t="s">
        <v>1125</v>
      </c>
      <c r="H133" s="185" t="n">
        <v>46034</v>
      </c>
      <c r="I133" s="189" t="s">
        <v>113</v>
      </c>
      <c r="J133" s="189" t="s">
        <v>108</v>
      </c>
      <c r="K133" s="189" t="s">
        <v>257</v>
      </c>
      <c r="L133" s="189" t="s">
        <v>491</v>
      </c>
      <c r="M133" s="189" t="s">
        <v>515</v>
      </c>
      <c r="N133" s="189" t="s">
        <v>407</v>
      </c>
      <c r="O133" s="189" t="s">
        <v>107</v>
      </c>
      <c r="P133" s="189" t="s">
        <v>111</v>
      </c>
      <c r="Q133" s="189" t="s">
        <v>112</v>
      </c>
      <c r="R133" s="189" t="s">
        <v>24</v>
      </c>
      <c r="S133" s="189" t="s">
        <v>152</v>
      </c>
      <c r="T133" s="189" t="s">
        <v>121</v>
      </c>
      <c r="U133" s="189" t="s">
        <v>1129</v>
      </c>
      <c r="V133" s="189" t="s">
        <v>123</v>
      </c>
      <c r="W133" s="189" t="s">
        <v>168</v>
      </c>
      <c r="X133" s="189" t="s">
        <v>448</v>
      </c>
      <c r="Y133" s="189" t="s">
        <v>448</v>
      </c>
      <c r="Z133" s="189" t="s">
        <v>3191</v>
      </c>
      <c r="AA133" s="189" t="s">
        <v>3174</v>
      </c>
      <c r="AG133" s="189" t="s">
        <v>3179</v>
      </c>
      <c r="AH133" s="189" t="s">
        <v>3190</v>
      </c>
    </row>
    <row r="134" customFormat="false" ht="15" hidden="false" customHeight="true" outlineLevel="0" collapsed="false">
      <c r="A134" s="0" t="n">
        <v>133</v>
      </c>
      <c r="B134" s="185" t="n">
        <v>46150.2328583388</v>
      </c>
      <c r="C134" s="185" t="n">
        <v>46150.2452078759</v>
      </c>
      <c r="D134" s="189" t="s">
        <v>1130</v>
      </c>
      <c r="E134" s="189" t="s">
        <v>1131</v>
      </c>
      <c r="F134" s="189" t="s">
        <v>1131</v>
      </c>
      <c r="G134" s="189" t="s">
        <v>1132</v>
      </c>
      <c r="H134" s="185" t="n">
        <v>46141</v>
      </c>
      <c r="I134" s="189" t="s">
        <v>113</v>
      </c>
      <c r="J134" s="189" t="s">
        <v>108</v>
      </c>
      <c r="K134" s="189" t="s">
        <v>462</v>
      </c>
      <c r="L134" s="189" t="s">
        <v>346</v>
      </c>
      <c r="M134" s="189" t="s">
        <v>774</v>
      </c>
      <c r="N134" s="189" t="s">
        <v>200</v>
      </c>
      <c r="O134" s="189" t="s">
        <v>172</v>
      </c>
      <c r="P134" s="189" t="s">
        <v>131</v>
      </c>
      <c r="Q134" s="189" t="s">
        <v>112</v>
      </c>
      <c r="R134" s="189" t="s">
        <v>24</v>
      </c>
      <c r="S134" s="189" t="s">
        <v>152</v>
      </c>
      <c r="T134" s="189" t="s">
        <v>121</v>
      </c>
      <c r="U134" s="189" t="s">
        <v>562</v>
      </c>
      <c r="V134" s="189" t="s">
        <v>192</v>
      </c>
      <c r="W134" s="189" t="s">
        <v>124</v>
      </c>
      <c r="X134" s="189" t="s">
        <v>260</v>
      </c>
      <c r="Y134" s="189" t="s">
        <v>260</v>
      </c>
      <c r="Z134" s="189" t="s">
        <v>3262</v>
      </c>
      <c r="AA134" s="189" t="s">
        <v>3109</v>
      </c>
      <c r="AB134" s="189" t="s">
        <v>606</v>
      </c>
      <c r="AG134" s="189" t="s">
        <v>3280</v>
      </c>
    </row>
    <row r="135" customFormat="false" ht="15" hidden="false" customHeight="true" outlineLevel="0" collapsed="false">
      <c r="A135" s="0" t="n">
        <v>134</v>
      </c>
      <c r="B135" s="185" t="n">
        <v>46138.5870902551</v>
      </c>
      <c r="C135" s="185" t="n">
        <v>46138.5953657181</v>
      </c>
      <c r="D135" s="189" t="s">
        <v>1136</v>
      </c>
      <c r="E135" s="189" t="s">
        <v>1137</v>
      </c>
      <c r="F135" s="189" t="s">
        <v>1137</v>
      </c>
      <c r="G135" s="189" t="s">
        <v>1138</v>
      </c>
      <c r="H135" s="185" t="n">
        <v>46122</v>
      </c>
      <c r="I135" s="189" t="s">
        <v>113</v>
      </c>
      <c r="J135" s="189" t="s">
        <v>108</v>
      </c>
      <c r="K135" s="189" t="s">
        <v>1139</v>
      </c>
      <c r="L135" s="189" t="s">
        <v>184</v>
      </c>
      <c r="M135" s="189" t="s">
        <v>944</v>
      </c>
      <c r="N135" s="189" t="s">
        <v>1140</v>
      </c>
      <c r="O135" s="189" t="s">
        <v>107</v>
      </c>
      <c r="P135" s="189" t="s">
        <v>131</v>
      </c>
      <c r="Q135" s="189" t="s">
        <v>145</v>
      </c>
      <c r="R135" s="189" t="s">
        <v>22</v>
      </c>
      <c r="S135" s="189" t="s">
        <v>152</v>
      </c>
      <c r="T135" s="189" t="s">
        <v>121</v>
      </c>
      <c r="V135" s="189" t="s">
        <v>123</v>
      </c>
      <c r="W135" s="189" t="s">
        <v>124</v>
      </c>
      <c r="X135" s="189" t="s">
        <v>381</v>
      </c>
      <c r="Y135" s="189" t="s">
        <v>381</v>
      </c>
      <c r="Z135" s="189" t="s">
        <v>3249</v>
      </c>
      <c r="AG135" s="189" t="s">
        <v>3181</v>
      </c>
      <c r="AH135" s="189" t="s">
        <v>3162</v>
      </c>
    </row>
    <row r="136" customFormat="false" ht="15" hidden="false" customHeight="true" outlineLevel="0" collapsed="false">
      <c r="A136" s="0" t="n">
        <v>135</v>
      </c>
      <c r="B136" s="185" t="n">
        <v>46210.0315187145</v>
      </c>
      <c r="C136" s="185" t="n">
        <v>46210.0340071404</v>
      </c>
      <c r="D136" s="189" t="s">
        <v>1141</v>
      </c>
      <c r="E136" s="189" t="s">
        <v>1142</v>
      </c>
      <c r="F136" s="189" t="s">
        <v>1142</v>
      </c>
      <c r="G136" s="189" t="s">
        <v>1143</v>
      </c>
      <c r="H136" s="185" t="n">
        <v>46200</v>
      </c>
      <c r="I136" s="189" t="s">
        <v>113</v>
      </c>
      <c r="J136" s="189" t="s">
        <v>128</v>
      </c>
      <c r="K136" s="189" t="s">
        <v>232</v>
      </c>
      <c r="L136" s="189" t="s">
        <v>346</v>
      </c>
      <c r="M136" s="189" t="s">
        <v>212</v>
      </c>
      <c r="N136" s="189" t="s">
        <v>1144</v>
      </c>
      <c r="O136" s="189" t="s">
        <v>107</v>
      </c>
      <c r="P136" s="189" t="s">
        <v>111</v>
      </c>
      <c r="Q136" s="189" t="s">
        <v>112</v>
      </c>
      <c r="R136" s="189" t="s">
        <v>22</v>
      </c>
      <c r="S136" s="189" t="s">
        <v>152</v>
      </c>
      <c r="T136" s="189" t="s">
        <v>264</v>
      </c>
      <c r="V136" s="189" t="s">
        <v>192</v>
      </c>
      <c r="W136" s="189" t="s">
        <v>124</v>
      </c>
      <c r="X136" s="189" t="s">
        <v>148</v>
      </c>
      <c r="Y136" s="189" t="s">
        <v>148</v>
      </c>
      <c r="Z136" s="189" t="s">
        <v>3186</v>
      </c>
      <c r="AA136" s="189" t="s">
        <v>3122</v>
      </c>
      <c r="AB136" s="189" t="s">
        <v>3281</v>
      </c>
      <c r="AG136" s="189" t="s">
        <v>3080</v>
      </c>
      <c r="AH136" s="189" t="s">
        <v>3282</v>
      </c>
    </row>
    <row r="137" customFormat="false" ht="15" hidden="false" customHeight="true" outlineLevel="0" collapsed="false">
      <c r="A137" s="0" t="n">
        <v>136</v>
      </c>
      <c r="B137" s="185" t="n">
        <v>46183.861436469</v>
      </c>
      <c r="C137" s="185" t="n">
        <v>46183.8821887838</v>
      </c>
      <c r="D137" s="189" t="s">
        <v>1148</v>
      </c>
      <c r="E137" s="189" t="s">
        <v>1149</v>
      </c>
      <c r="F137" s="189" t="s">
        <v>1149</v>
      </c>
      <c r="G137" s="189" t="s">
        <v>1150</v>
      </c>
      <c r="H137" s="185" t="n">
        <v>46170</v>
      </c>
      <c r="I137" s="189" t="s">
        <v>132</v>
      </c>
      <c r="J137" s="189" t="s">
        <v>295</v>
      </c>
      <c r="K137" s="189" t="s">
        <v>196</v>
      </c>
      <c r="L137" s="189" t="s">
        <v>389</v>
      </c>
      <c r="M137" s="189" t="s">
        <v>1151</v>
      </c>
      <c r="N137" s="189" t="s">
        <v>758</v>
      </c>
      <c r="O137" s="189" t="s">
        <v>278</v>
      </c>
      <c r="P137" s="189" t="s">
        <v>111</v>
      </c>
      <c r="Q137" s="189" t="s">
        <v>112</v>
      </c>
      <c r="R137" s="189" t="s">
        <v>21</v>
      </c>
      <c r="S137" s="189" t="s">
        <v>152</v>
      </c>
      <c r="T137" s="189" t="s">
        <v>228</v>
      </c>
      <c r="V137" s="189" t="s">
        <v>167</v>
      </c>
      <c r="W137" s="189" t="s">
        <v>124</v>
      </c>
      <c r="X137" s="189" t="s">
        <v>457</v>
      </c>
      <c r="Y137" s="189" t="s">
        <v>457</v>
      </c>
      <c r="Z137" s="189" t="s">
        <v>3107</v>
      </c>
      <c r="AA137" s="189" t="s">
        <v>3065</v>
      </c>
      <c r="AB137" s="189" t="s">
        <v>3139</v>
      </c>
      <c r="AG137" s="189" t="s">
        <v>122</v>
      </c>
    </row>
    <row r="138" customFormat="false" ht="15" hidden="false" customHeight="true" outlineLevel="0" collapsed="false">
      <c r="A138" s="0" t="n">
        <v>137</v>
      </c>
      <c r="B138" s="185" t="n">
        <v>46139.1267903679</v>
      </c>
      <c r="C138" s="185" t="n">
        <v>46139.1302047198</v>
      </c>
      <c r="D138" s="189" t="s">
        <v>1153</v>
      </c>
      <c r="E138" s="189" t="s">
        <v>1154</v>
      </c>
      <c r="F138" s="189" t="s">
        <v>1154</v>
      </c>
      <c r="G138" s="189" t="s">
        <v>1155</v>
      </c>
      <c r="H138" s="185" t="n">
        <v>46124</v>
      </c>
      <c r="I138" s="189" t="s">
        <v>113</v>
      </c>
      <c r="J138" s="189" t="s">
        <v>108</v>
      </c>
      <c r="K138" s="189" t="s">
        <v>364</v>
      </c>
      <c r="L138" s="189" t="s">
        <v>268</v>
      </c>
      <c r="M138" s="189" t="s">
        <v>594</v>
      </c>
      <c r="N138" s="189" t="s">
        <v>1156</v>
      </c>
      <c r="O138" s="189" t="s">
        <v>157</v>
      </c>
      <c r="P138" s="189" t="s">
        <v>111</v>
      </c>
      <c r="Q138" s="189" t="s">
        <v>112</v>
      </c>
      <c r="R138" s="189" t="s">
        <v>24</v>
      </c>
      <c r="S138" s="189" t="s">
        <v>152</v>
      </c>
      <c r="T138" s="189" t="s">
        <v>121</v>
      </c>
      <c r="V138" s="189" t="s">
        <v>167</v>
      </c>
      <c r="W138" s="189" t="s">
        <v>124</v>
      </c>
      <c r="X138" s="189" t="s">
        <v>19</v>
      </c>
      <c r="Y138" s="189" t="s">
        <v>19</v>
      </c>
      <c r="AK138" s="189" t="s">
        <v>880</v>
      </c>
    </row>
    <row r="139" customFormat="false" ht="15" hidden="false" customHeight="true" outlineLevel="0" collapsed="false">
      <c r="A139" s="0" t="n">
        <v>138</v>
      </c>
      <c r="B139" s="185" t="n">
        <v>46181.8585406506</v>
      </c>
      <c r="C139" s="185" t="n">
        <v>46181.8712026877</v>
      </c>
      <c r="D139" s="189" t="s">
        <v>1157</v>
      </c>
      <c r="E139" s="189" t="s">
        <v>1158</v>
      </c>
      <c r="F139" s="189" t="s">
        <v>1158</v>
      </c>
      <c r="G139" s="189" t="s">
        <v>1159</v>
      </c>
      <c r="H139" s="185" t="n">
        <v>46164</v>
      </c>
      <c r="I139" s="189" t="s">
        <v>113</v>
      </c>
      <c r="J139" s="189" t="s">
        <v>108</v>
      </c>
      <c r="K139" s="189" t="s">
        <v>364</v>
      </c>
      <c r="L139" s="189" t="s">
        <v>246</v>
      </c>
      <c r="M139" s="189" t="s">
        <v>144</v>
      </c>
      <c r="N139" s="189" t="s">
        <v>1160</v>
      </c>
      <c r="O139" s="189" t="s">
        <v>172</v>
      </c>
      <c r="P139" s="189" t="s">
        <v>131</v>
      </c>
      <c r="Q139" s="189" t="s">
        <v>145</v>
      </c>
      <c r="R139" s="189" t="s">
        <v>22</v>
      </c>
      <c r="S139" s="189" t="s">
        <v>152</v>
      </c>
      <c r="T139" s="189" t="s">
        <v>121</v>
      </c>
      <c r="U139" s="189" t="s">
        <v>122</v>
      </c>
      <c r="V139" s="189" t="s">
        <v>123</v>
      </c>
      <c r="W139" s="189" t="s">
        <v>168</v>
      </c>
      <c r="X139" s="189" t="s">
        <v>135</v>
      </c>
      <c r="Y139" s="189" t="s">
        <v>135</v>
      </c>
      <c r="Z139" s="189" t="s">
        <v>3201</v>
      </c>
      <c r="AA139" s="189" t="s">
        <v>3183</v>
      </c>
      <c r="AB139" s="189" t="s">
        <v>3071</v>
      </c>
      <c r="AG139" s="189" t="s">
        <v>122</v>
      </c>
    </row>
    <row r="140" customFormat="false" ht="15" hidden="false" customHeight="true" outlineLevel="0" collapsed="false">
      <c r="A140" s="0" t="n">
        <v>139</v>
      </c>
      <c r="B140" s="185" t="n">
        <v>46055.4286680237</v>
      </c>
      <c r="C140" s="185" t="n">
        <v>46055.4487606163</v>
      </c>
      <c r="D140" s="189" t="s">
        <v>1163</v>
      </c>
      <c r="E140" s="189" t="s">
        <v>1164</v>
      </c>
      <c r="F140" s="189" t="s">
        <v>1164</v>
      </c>
      <c r="G140" s="189" t="s">
        <v>1165</v>
      </c>
      <c r="H140" s="185" t="n">
        <v>46052</v>
      </c>
      <c r="I140" s="189" t="s">
        <v>113</v>
      </c>
      <c r="J140" s="189" t="s">
        <v>108</v>
      </c>
      <c r="K140" s="189" t="s">
        <v>1166</v>
      </c>
      <c r="L140" s="189" t="s">
        <v>144</v>
      </c>
      <c r="M140" s="189" t="s">
        <v>185</v>
      </c>
      <c r="N140" s="189" t="s">
        <v>1028</v>
      </c>
      <c r="O140" s="189" t="s">
        <v>244</v>
      </c>
      <c r="P140" s="189" t="s">
        <v>111</v>
      </c>
      <c r="Q140" s="189" t="s">
        <v>112</v>
      </c>
      <c r="R140" s="189" t="s">
        <v>22</v>
      </c>
      <c r="S140" s="189" t="s">
        <v>152</v>
      </c>
      <c r="T140" s="189" t="s">
        <v>180</v>
      </c>
      <c r="U140" s="189" t="s">
        <v>122</v>
      </c>
      <c r="V140" s="189" t="s">
        <v>192</v>
      </c>
      <c r="W140" s="189" t="s">
        <v>168</v>
      </c>
      <c r="X140" s="189" t="s">
        <v>116</v>
      </c>
      <c r="Y140" s="189" t="s">
        <v>116</v>
      </c>
      <c r="Z140" s="189" t="s">
        <v>3065</v>
      </c>
      <c r="AA140" s="189" t="s">
        <v>3139</v>
      </c>
      <c r="AG140" s="189" t="s">
        <v>3140</v>
      </c>
      <c r="AH140" s="189" t="s">
        <v>3083</v>
      </c>
    </row>
    <row r="141" customFormat="false" ht="15" hidden="false" customHeight="true" outlineLevel="0" collapsed="false">
      <c r="A141" s="0" t="n">
        <v>140</v>
      </c>
      <c r="B141" s="185" t="n">
        <v>46199.6291078928</v>
      </c>
      <c r="C141" s="185" t="n">
        <v>46199.6333092817</v>
      </c>
      <c r="D141" s="189" t="s">
        <v>1169</v>
      </c>
      <c r="E141" s="189" t="s">
        <v>1170</v>
      </c>
      <c r="F141" s="189" t="s">
        <v>1170</v>
      </c>
      <c r="G141" s="189" t="s">
        <v>1171</v>
      </c>
      <c r="H141" s="185" t="n">
        <v>46194</v>
      </c>
      <c r="I141" s="189" t="s">
        <v>132</v>
      </c>
      <c r="J141" s="189" t="s">
        <v>108</v>
      </c>
      <c r="K141" s="189" t="s">
        <v>173</v>
      </c>
      <c r="L141" s="189" t="s">
        <v>268</v>
      </c>
      <c r="M141" s="189" t="s">
        <v>484</v>
      </c>
      <c r="N141" s="189" t="s">
        <v>337</v>
      </c>
      <c r="O141" s="189" t="s">
        <v>107</v>
      </c>
      <c r="P141" s="189" t="s">
        <v>111</v>
      </c>
      <c r="Q141" s="189" t="s">
        <v>112</v>
      </c>
      <c r="R141" s="189" t="s">
        <v>22</v>
      </c>
      <c r="S141" s="189" t="s">
        <v>152</v>
      </c>
      <c r="T141" s="189" t="s">
        <v>121</v>
      </c>
      <c r="U141" s="189" t="s">
        <v>1174</v>
      </c>
      <c r="V141" s="189" t="s">
        <v>192</v>
      </c>
      <c r="W141" s="189" t="s">
        <v>124</v>
      </c>
      <c r="X141" s="189" t="s">
        <v>339</v>
      </c>
      <c r="Y141" s="189" t="s">
        <v>339</v>
      </c>
      <c r="Z141" s="189" t="s">
        <v>3216</v>
      </c>
      <c r="AG141" s="189" t="s">
        <v>122</v>
      </c>
    </row>
    <row r="142" customFormat="false" ht="15" hidden="false" customHeight="true" outlineLevel="0" collapsed="false">
      <c r="A142" s="0" t="n">
        <v>141</v>
      </c>
      <c r="B142" s="185" t="n">
        <v>46137.5951398672</v>
      </c>
      <c r="C142" s="185" t="n">
        <v>46137.6117023672</v>
      </c>
      <c r="D142" s="189" t="s">
        <v>1176</v>
      </c>
      <c r="E142" s="189" t="s">
        <v>1177</v>
      </c>
      <c r="F142" s="189" t="s">
        <v>1177</v>
      </c>
      <c r="G142" s="189" t="s">
        <v>1178</v>
      </c>
      <c r="H142" s="185" t="n">
        <v>46131</v>
      </c>
      <c r="I142" s="189" t="s">
        <v>113</v>
      </c>
      <c r="J142" s="189" t="s">
        <v>128</v>
      </c>
      <c r="K142" s="189" t="s">
        <v>143</v>
      </c>
      <c r="L142" s="189" t="s">
        <v>197</v>
      </c>
      <c r="M142" s="189" t="s">
        <v>515</v>
      </c>
      <c r="N142" s="189" t="s">
        <v>939</v>
      </c>
      <c r="O142" s="189" t="s">
        <v>157</v>
      </c>
      <c r="P142" s="189" t="s">
        <v>111</v>
      </c>
      <c r="Q142" s="189" t="s">
        <v>112</v>
      </c>
      <c r="R142" s="189" t="s">
        <v>22</v>
      </c>
      <c r="S142" s="189" t="s">
        <v>120</v>
      </c>
      <c r="T142" s="189" t="s">
        <v>121</v>
      </c>
      <c r="V142" s="189" t="s">
        <v>192</v>
      </c>
      <c r="W142" s="189" t="s">
        <v>139</v>
      </c>
      <c r="X142" s="189" t="s">
        <v>271</v>
      </c>
      <c r="Y142" s="189" t="s">
        <v>271</v>
      </c>
      <c r="Z142" s="189" t="s">
        <v>3115</v>
      </c>
      <c r="AG142" s="189" t="s">
        <v>3119</v>
      </c>
      <c r="AH142" s="189" t="s">
        <v>122</v>
      </c>
    </row>
    <row r="143" customFormat="false" ht="15" hidden="false" customHeight="true" outlineLevel="0" collapsed="false">
      <c r="A143" s="0" t="n">
        <v>142</v>
      </c>
      <c r="B143" s="185" t="n">
        <v>46147.9778922387</v>
      </c>
      <c r="C143" s="185" t="n">
        <v>46147.993088998</v>
      </c>
      <c r="D143" s="189" t="s">
        <v>1182</v>
      </c>
      <c r="E143" s="189" t="s">
        <v>1183</v>
      </c>
      <c r="F143" s="189" t="s">
        <v>1183</v>
      </c>
      <c r="G143" s="189" t="s">
        <v>1184</v>
      </c>
      <c r="H143" s="185" t="n">
        <v>46139</v>
      </c>
      <c r="I143" s="189" t="s">
        <v>113</v>
      </c>
      <c r="J143" s="189" t="s">
        <v>128</v>
      </c>
      <c r="K143" s="189" t="s">
        <v>245</v>
      </c>
      <c r="L143" s="189" t="s">
        <v>246</v>
      </c>
      <c r="M143" s="189" t="s">
        <v>365</v>
      </c>
      <c r="N143" s="189" t="s">
        <v>115</v>
      </c>
      <c r="O143" s="189" t="s">
        <v>107</v>
      </c>
      <c r="P143" s="189" t="s">
        <v>111</v>
      </c>
      <c r="Q143" s="189" t="s">
        <v>112</v>
      </c>
      <c r="R143" s="189" t="s">
        <v>22</v>
      </c>
      <c r="S143" s="189" t="s">
        <v>227</v>
      </c>
      <c r="T143" s="189" t="s">
        <v>121</v>
      </c>
      <c r="U143" s="189" t="s">
        <v>122</v>
      </c>
      <c r="V143" s="189" t="s">
        <v>123</v>
      </c>
      <c r="W143" s="189" t="s">
        <v>124</v>
      </c>
      <c r="X143" s="189" t="s">
        <v>148</v>
      </c>
      <c r="Y143" s="189" t="s">
        <v>148</v>
      </c>
      <c r="Z143" s="189" t="s">
        <v>3186</v>
      </c>
      <c r="AA143" s="189" t="s">
        <v>3076</v>
      </c>
      <c r="AB143" s="189" t="s">
        <v>3122</v>
      </c>
      <c r="AG143" s="189" t="s">
        <v>3094</v>
      </c>
      <c r="AH143" s="189" t="s">
        <v>122</v>
      </c>
    </row>
    <row r="144" customFormat="false" ht="15" hidden="false" customHeight="false" outlineLevel="0" collapsed="false">
      <c r="A144" s="0" t="n">
        <v>143</v>
      </c>
      <c r="B144" s="188" t="n">
        <v>46077.5890811181</v>
      </c>
      <c r="C144" s="188" t="n">
        <v>46077.6065116736</v>
      </c>
      <c r="D144" s="189" t="s">
        <v>1188</v>
      </c>
      <c r="E144" s="189" t="s">
        <v>1189</v>
      </c>
      <c r="F144" s="189" t="s">
        <v>1189</v>
      </c>
      <c r="G144" s="189" t="s">
        <v>1190</v>
      </c>
      <c r="H144" s="188" t="n">
        <v>46067</v>
      </c>
      <c r="I144" s="189" t="s">
        <v>325</v>
      </c>
      <c r="J144" s="189" t="s">
        <v>108</v>
      </c>
      <c r="K144" s="189" t="s">
        <v>232</v>
      </c>
      <c r="L144" s="189" t="s">
        <v>184</v>
      </c>
      <c r="M144" s="189" t="s">
        <v>612</v>
      </c>
      <c r="N144" s="189" t="s">
        <v>1006</v>
      </c>
      <c r="O144" s="189" t="s">
        <v>172</v>
      </c>
      <c r="P144" s="189" t="s">
        <v>111</v>
      </c>
      <c r="Q144" s="189" t="s">
        <v>112</v>
      </c>
      <c r="R144" s="189" t="s">
        <v>22</v>
      </c>
      <c r="S144" s="189" t="s">
        <v>120</v>
      </c>
      <c r="T144" s="189" t="s">
        <v>228</v>
      </c>
      <c r="V144" s="189" t="s">
        <v>192</v>
      </c>
      <c r="W144" s="189" t="s">
        <v>168</v>
      </c>
      <c r="X144" s="189" t="s">
        <v>298</v>
      </c>
      <c r="Y144" s="189" t="s">
        <v>298</v>
      </c>
      <c r="Z144" s="189" t="s">
        <v>3207</v>
      </c>
      <c r="AA144" s="189" t="s">
        <v>3124</v>
      </c>
      <c r="AG144" s="189" t="s">
        <v>3215</v>
      </c>
      <c r="AH144" s="189" t="s">
        <v>3268</v>
      </c>
    </row>
    <row r="145" customFormat="false" ht="28.35" hidden="false" customHeight="false" outlineLevel="0" collapsed="false">
      <c r="A145" s="0" t="n">
        <v>144</v>
      </c>
      <c r="B145" s="188" t="n">
        <v>46108.3715162508</v>
      </c>
      <c r="C145" s="188" t="n">
        <v>46108.3875579175</v>
      </c>
      <c r="D145" s="189" t="s">
        <v>1193</v>
      </c>
      <c r="E145" s="189" t="s">
        <v>1194</v>
      </c>
      <c r="F145" s="189" t="s">
        <v>1194</v>
      </c>
      <c r="G145" s="189" t="s">
        <v>1195</v>
      </c>
      <c r="H145" s="188" t="n">
        <v>46105</v>
      </c>
      <c r="I145" s="189" t="s">
        <v>113</v>
      </c>
      <c r="J145" s="189" t="s">
        <v>108</v>
      </c>
      <c r="K145" s="189" t="s">
        <v>196</v>
      </c>
      <c r="L145" s="189" t="s">
        <v>246</v>
      </c>
      <c r="M145" s="189" t="s">
        <v>492</v>
      </c>
      <c r="N145" s="189" t="s">
        <v>227</v>
      </c>
      <c r="O145" s="189" t="s">
        <v>107</v>
      </c>
      <c r="P145" s="189" t="s">
        <v>111</v>
      </c>
      <c r="Q145" s="189" t="s">
        <v>112</v>
      </c>
      <c r="R145" s="189" t="s">
        <v>22</v>
      </c>
      <c r="S145" s="189" t="s">
        <v>152</v>
      </c>
      <c r="T145" s="189" t="s">
        <v>121</v>
      </c>
      <c r="U145" s="132" t="s">
        <v>969</v>
      </c>
      <c r="V145" s="189" t="s">
        <v>192</v>
      </c>
      <c r="W145" s="189" t="s">
        <v>124</v>
      </c>
      <c r="X145" s="189" t="s">
        <v>381</v>
      </c>
      <c r="Y145" s="189" t="s">
        <v>381</v>
      </c>
      <c r="Z145" s="189" t="s">
        <v>3180</v>
      </c>
      <c r="AA145" s="189" t="s">
        <v>3249</v>
      </c>
      <c r="AB145" s="189" t="s">
        <v>3159</v>
      </c>
      <c r="AG145" s="189" t="s">
        <v>3162</v>
      </c>
    </row>
    <row r="146" customFormat="false" ht="15" hidden="false" customHeight="false" outlineLevel="0" collapsed="false">
      <c r="A146" s="0" t="n">
        <v>145</v>
      </c>
      <c r="B146" s="188" t="n">
        <v>46076.0579312201</v>
      </c>
      <c r="C146" s="188" t="n">
        <v>46076.0758710349</v>
      </c>
      <c r="D146" s="189" t="s">
        <v>1198</v>
      </c>
      <c r="E146" s="189" t="s">
        <v>1199</v>
      </c>
      <c r="F146" s="189" t="s">
        <v>1199</v>
      </c>
      <c r="G146" s="189" t="s">
        <v>1200</v>
      </c>
      <c r="H146" s="188" t="n">
        <v>46076</v>
      </c>
      <c r="I146" s="189" t="s">
        <v>113</v>
      </c>
      <c r="J146" s="189" t="s">
        <v>108</v>
      </c>
      <c r="K146" s="189" t="s">
        <v>257</v>
      </c>
      <c r="L146" s="189" t="s">
        <v>491</v>
      </c>
      <c r="M146" s="189" t="s">
        <v>286</v>
      </c>
      <c r="N146" s="189" t="s">
        <v>357</v>
      </c>
      <c r="O146" s="189" t="s">
        <v>107</v>
      </c>
      <c r="P146" s="189" t="s">
        <v>111</v>
      </c>
      <c r="Q146" s="189" t="s">
        <v>112</v>
      </c>
      <c r="R146" s="189" t="s">
        <v>22</v>
      </c>
      <c r="S146" s="189" t="s">
        <v>152</v>
      </c>
      <c r="T146" s="189" t="s">
        <v>121</v>
      </c>
      <c r="U146" s="189" t="s">
        <v>122</v>
      </c>
      <c r="V146" s="189" t="s">
        <v>123</v>
      </c>
      <c r="W146" s="189" t="s">
        <v>124</v>
      </c>
      <c r="X146" s="189" t="s">
        <v>271</v>
      </c>
      <c r="Y146" s="189" t="s">
        <v>271</v>
      </c>
      <c r="Z146" s="189" t="s">
        <v>3230</v>
      </c>
      <c r="AA146" s="189" t="s">
        <v>3135</v>
      </c>
      <c r="AG146" s="189" t="s">
        <v>3119</v>
      </c>
      <c r="AH146" s="189" t="s">
        <v>122</v>
      </c>
    </row>
    <row r="147" customFormat="false" ht="15" hidden="false" customHeight="false" outlineLevel="0" collapsed="false">
      <c r="A147" s="0" t="n">
        <v>146</v>
      </c>
      <c r="B147" s="188" t="n">
        <v>46159.2703845003</v>
      </c>
      <c r="C147" s="188" t="n">
        <v>46159.280801167</v>
      </c>
      <c r="D147" s="189" t="s">
        <v>1202</v>
      </c>
      <c r="E147" s="189" t="s">
        <v>1203</v>
      </c>
      <c r="F147" s="189" t="s">
        <v>1204</v>
      </c>
      <c r="G147" s="189" t="s">
        <v>1205</v>
      </c>
      <c r="H147" s="188" t="n">
        <v>46155</v>
      </c>
      <c r="I147" s="189" t="s">
        <v>113</v>
      </c>
      <c r="J147" s="189" t="s">
        <v>108</v>
      </c>
      <c r="K147" s="189" t="s">
        <v>364</v>
      </c>
      <c r="L147" s="189" t="s">
        <v>233</v>
      </c>
      <c r="M147" s="189" t="s">
        <v>774</v>
      </c>
      <c r="N147" s="189" t="s">
        <v>347</v>
      </c>
      <c r="O147" s="189" t="s">
        <v>172</v>
      </c>
      <c r="P147" s="189" t="s">
        <v>111</v>
      </c>
      <c r="Q147" s="189" t="s">
        <v>112</v>
      </c>
      <c r="R147" s="189" t="s">
        <v>24</v>
      </c>
      <c r="S147" s="189" t="s">
        <v>120</v>
      </c>
      <c r="T147" s="189" t="s">
        <v>121</v>
      </c>
      <c r="V147" s="189" t="s">
        <v>192</v>
      </c>
      <c r="W147" s="189" t="s">
        <v>139</v>
      </c>
      <c r="X147" s="189" t="s">
        <v>260</v>
      </c>
      <c r="Y147" s="189" t="s">
        <v>260</v>
      </c>
      <c r="Z147" s="189" t="s">
        <v>3262</v>
      </c>
      <c r="AA147" s="189" t="s">
        <v>3258</v>
      </c>
      <c r="AG147" s="189" t="s">
        <v>3259</v>
      </c>
      <c r="AH147" s="189" t="s">
        <v>606</v>
      </c>
    </row>
    <row r="148" customFormat="false" ht="15" hidden="false" customHeight="false" outlineLevel="0" collapsed="false">
      <c r="A148" s="0" t="n">
        <v>147</v>
      </c>
      <c r="B148" s="188" t="n">
        <v>46199.6121458691</v>
      </c>
      <c r="C148" s="188" t="n">
        <v>46199.629634295</v>
      </c>
      <c r="D148" s="189" t="s">
        <v>1208</v>
      </c>
      <c r="E148" s="189" t="s">
        <v>1209</v>
      </c>
      <c r="F148" s="189" t="s">
        <v>1209</v>
      </c>
      <c r="G148" s="189" t="s">
        <v>1210</v>
      </c>
      <c r="H148" s="188" t="n">
        <v>46181</v>
      </c>
      <c r="I148" s="189" t="s">
        <v>325</v>
      </c>
      <c r="J148" s="189" t="s">
        <v>108</v>
      </c>
      <c r="K148" s="189" t="s">
        <v>232</v>
      </c>
      <c r="L148" s="189" t="s">
        <v>491</v>
      </c>
      <c r="M148" s="189" t="s">
        <v>130</v>
      </c>
      <c r="N148" s="189" t="s">
        <v>560</v>
      </c>
      <c r="O148" s="189" t="s">
        <v>244</v>
      </c>
      <c r="P148" s="189" t="s">
        <v>111</v>
      </c>
      <c r="Q148" s="189" t="s">
        <v>112</v>
      </c>
      <c r="R148" s="189" t="s">
        <v>22</v>
      </c>
      <c r="S148" s="189" t="s">
        <v>152</v>
      </c>
      <c r="T148" s="189" t="s">
        <v>121</v>
      </c>
      <c r="V148" s="189" t="s">
        <v>123</v>
      </c>
      <c r="W148" s="189" t="s">
        <v>124</v>
      </c>
      <c r="X148" s="189" t="s">
        <v>715</v>
      </c>
      <c r="Y148" s="189" t="s">
        <v>715</v>
      </c>
      <c r="Z148" s="189" t="s">
        <v>3255</v>
      </c>
      <c r="AA148" s="189" t="s">
        <v>3224</v>
      </c>
      <c r="AG148" s="189" t="s">
        <v>3253</v>
      </c>
    </row>
    <row r="149" customFormat="false" ht="15" hidden="false" customHeight="false" outlineLevel="0" collapsed="false">
      <c r="A149" s="0" t="n">
        <v>148</v>
      </c>
      <c r="B149" s="188" t="n">
        <v>46064.0931163775</v>
      </c>
      <c r="C149" s="188" t="n">
        <v>46064.1031048034</v>
      </c>
      <c r="D149" s="189" t="s">
        <v>1213</v>
      </c>
      <c r="E149" s="189" t="s">
        <v>1214</v>
      </c>
      <c r="F149" s="189" t="s">
        <v>1214</v>
      </c>
      <c r="G149" s="189" t="s">
        <v>1215</v>
      </c>
      <c r="H149" s="188" t="n">
        <v>46050</v>
      </c>
      <c r="I149" s="189" t="s">
        <v>325</v>
      </c>
      <c r="J149" s="189" t="s">
        <v>108</v>
      </c>
      <c r="K149" s="189" t="s">
        <v>1216</v>
      </c>
      <c r="L149" s="189" t="s">
        <v>184</v>
      </c>
      <c r="M149" s="189" t="s">
        <v>1120</v>
      </c>
      <c r="N149" s="189" t="s">
        <v>1078</v>
      </c>
      <c r="O149" s="189" t="s">
        <v>172</v>
      </c>
      <c r="P149" s="189" t="s">
        <v>111</v>
      </c>
      <c r="Q149" s="189" t="s">
        <v>247</v>
      </c>
      <c r="R149" s="189" t="s">
        <v>22</v>
      </c>
      <c r="S149" s="189" t="s">
        <v>152</v>
      </c>
      <c r="T149" s="189" t="s">
        <v>814</v>
      </c>
      <c r="U149" s="189" t="s">
        <v>122</v>
      </c>
      <c r="V149" s="189" t="s">
        <v>123</v>
      </c>
      <c r="W149" s="189" t="s">
        <v>139</v>
      </c>
      <c r="X149" s="189" t="s">
        <v>148</v>
      </c>
      <c r="Y149" s="189" t="s">
        <v>148</v>
      </c>
      <c r="Z149" s="189" t="s">
        <v>3281</v>
      </c>
      <c r="AG149" s="189" t="s">
        <v>3080</v>
      </c>
    </row>
    <row r="150" customFormat="false" ht="15" hidden="false" customHeight="false" outlineLevel="0" collapsed="false">
      <c r="A150" s="0" t="n">
        <v>149</v>
      </c>
      <c r="B150" s="188" t="n">
        <v>46159.5063958449</v>
      </c>
      <c r="C150" s="188" t="n">
        <v>46159.518282419</v>
      </c>
      <c r="D150" s="189" t="s">
        <v>1220</v>
      </c>
      <c r="E150" s="189" t="s">
        <v>1221</v>
      </c>
      <c r="F150" s="189" t="s">
        <v>1222</v>
      </c>
      <c r="G150" s="189" t="s">
        <v>1223</v>
      </c>
      <c r="H150" s="188" t="n">
        <v>46143</v>
      </c>
      <c r="I150" s="189" t="s">
        <v>863</v>
      </c>
      <c r="J150" s="189" t="s">
        <v>108</v>
      </c>
      <c r="K150" s="189" t="s">
        <v>257</v>
      </c>
      <c r="L150" s="189" t="s">
        <v>389</v>
      </c>
      <c r="M150" s="189" t="s">
        <v>757</v>
      </c>
      <c r="N150" s="189" t="s">
        <v>1224</v>
      </c>
      <c r="O150" s="189" t="s">
        <v>157</v>
      </c>
      <c r="P150" s="189" t="s">
        <v>111</v>
      </c>
      <c r="Q150" s="189" t="s">
        <v>145</v>
      </c>
      <c r="R150" s="189" t="s">
        <v>22</v>
      </c>
      <c r="S150" s="189" t="s">
        <v>152</v>
      </c>
      <c r="T150" s="189" t="s">
        <v>352</v>
      </c>
      <c r="V150" s="189" t="s">
        <v>123</v>
      </c>
      <c r="W150" s="189" t="s">
        <v>124</v>
      </c>
      <c r="X150" s="189" t="s">
        <v>116</v>
      </c>
      <c r="Y150" s="189" t="s">
        <v>116</v>
      </c>
      <c r="Z150" s="189" t="s">
        <v>3065</v>
      </c>
      <c r="AG150" s="189" t="s">
        <v>3108</v>
      </c>
      <c r="AH150" s="189" t="s">
        <v>3083</v>
      </c>
    </row>
    <row r="151" customFormat="false" ht="15" hidden="false" customHeight="false" outlineLevel="0" collapsed="false">
      <c r="A151" s="0" t="n">
        <v>150</v>
      </c>
      <c r="B151" s="188" t="n">
        <v>46142.9625404446</v>
      </c>
      <c r="C151" s="188" t="n">
        <v>46142.9720774817</v>
      </c>
      <c r="D151" s="189" t="s">
        <v>1226</v>
      </c>
      <c r="E151" s="189" t="s">
        <v>1227</v>
      </c>
      <c r="F151" s="189" t="s">
        <v>1227</v>
      </c>
      <c r="G151" s="189" t="s">
        <v>1228</v>
      </c>
      <c r="H151" s="188" t="n">
        <v>46142</v>
      </c>
      <c r="I151" s="189" t="s">
        <v>113</v>
      </c>
      <c r="J151" s="189" t="s">
        <v>108</v>
      </c>
      <c r="K151" s="189" t="s">
        <v>232</v>
      </c>
      <c r="L151" s="189" t="s">
        <v>246</v>
      </c>
      <c r="M151" s="189" t="s">
        <v>447</v>
      </c>
      <c r="N151" s="189" t="s">
        <v>1229</v>
      </c>
      <c r="O151" s="189" t="s">
        <v>244</v>
      </c>
      <c r="P151" s="189" t="s">
        <v>111</v>
      </c>
      <c r="Q151" s="189" t="s">
        <v>145</v>
      </c>
      <c r="R151" s="189" t="s">
        <v>22</v>
      </c>
      <c r="S151" s="189" t="s">
        <v>152</v>
      </c>
      <c r="T151" s="189" t="s">
        <v>121</v>
      </c>
      <c r="U151" s="189" t="s">
        <v>122</v>
      </c>
      <c r="V151" s="189" t="s">
        <v>167</v>
      </c>
      <c r="W151" s="189" t="s">
        <v>168</v>
      </c>
      <c r="X151" s="189" t="s">
        <v>176</v>
      </c>
      <c r="Y151" s="189" t="s">
        <v>176</v>
      </c>
      <c r="Z151" s="189" t="s">
        <v>3204</v>
      </c>
      <c r="AA151" s="189" t="s">
        <v>3244</v>
      </c>
      <c r="AG151" s="189" t="s">
        <v>3284</v>
      </c>
      <c r="AH151" s="189" t="s">
        <v>3242</v>
      </c>
    </row>
    <row r="152" customFormat="false" ht="15" hidden="false" customHeight="false" outlineLevel="0" collapsed="false">
      <c r="A152" s="0" t="n">
        <v>151</v>
      </c>
      <c r="B152" s="188" t="n">
        <v>46038.5297490476</v>
      </c>
      <c r="C152" s="188" t="n">
        <v>46038.5503046032</v>
      </c>
      <c r="D152" s="189" t="s">
        <v>1233</v>
      </c>
      <c r="E152" s="189" t="s">
        <v>1234</v>
      </c>
      <c r="F152" s="189" t="s">
        <v>1234</v>
      </c>
      <c r="G152" s="189" t="s">
        <v>1235</v>
      </c>
      <c r="H152" s="188" t="n">
        <v>46036</v>
      </c>
      <c r="I152" s="189" t="s">
        <v>113</v>
      </c>
      <c r="J152" s="189" t="s">
        <v>108</v>
      </c>
      <c r="K152" s="189" t="s">
        <v>196</v>
      </c>
      <c r="L152" s="189" t="s">
        <v>346</v>
      </c>
      <c r="M152" s="189" t="s">
        <v>248</v>
      </c>
      <c r="N152" s="189" t="s">
        <v>945</v>
      </c>
      <c r="O152" s="189" t="s">
        <v>107</v>
      </c>
      <c r="P152" s="189" t="s">
        <v>111</v>
      </c>
      <c r="Q152" s="189" t="s">
        <v>112</v>
      </c>
      <c r="R152" s="189" t="s">
        <v>25</v>
      </c>
      <c r="S152" s="189" t="s">
        <v>152</v>
      </c>
      <c r="T152" s="189" t="s">
        <v>121</v>
      </c>
      <c r="V152" s="189" t="s">
        <v>192</v>
      </c>
      <c r="W152" s="189" t="s">
        <v>124</v>
      </c>
      <c r="X152" s="189" t="s">
        <v>327</v>
      </c>
      <c r="Y152" s="189" t="s">
        <v>327</v>
      </c>
      <c r="Z152" s="189" t="s">
        <v>3081</v>
      </c>
      <c r="AG152" s="189" t="s">
        <v>122</v>
      </c>
      <c r="AH152" s="189" t="s">
        <v>3070</v>
      </c>
    </row>
    <row r="153" customFormat="false" ht="15" hidden="false" customHeight="false" outlineLevel="0" collapsed="false">
      <c r="A153" s="0" t="n">
        <v>152</v>
      </c>
      <c r="B153" s="188" t="n">
        <v>46138.9854885186</v>
      </c>
      <c r="C153" s="188" t="n">
        <v>46138.9887755556</v>
      </c>
      <c r="D153" s="189" t="s">
        <v>1236</v>
      </c>
      <c r="E153" s="189" t="s">
        <v>1237</v>
      </c>
      <c r="F153" s="189" t="s">
        <v>1237</v>
      </c>
      <c r="G153" s="189" t="s">
        <v>1238</v>
      </c>
      <c r="H153" s="188" t="n">
        <v>46134</v>
      </c>
      <c r="I153" s="189" t="s">
        <v>113</v>
      </c>
      <c r="J153" s="189" t="s">
        <v>295</v>
      </c>
      <c r="K153" s="189" t="s">
        <v>500</v>
      </c>
      <c r="L153" s="189" t="s">
        <v>389</v>
      </c>
      <c r="M153" s="189" t="s">
        <v>212</v>
      </c>
      <c r="N153" s="189" t="s">
        <v>432</v>
      </c>
      <c r="O153" s="189" t="s">
        <v>107</v>
      </c>
      <c r="P153" s="189" t="s">
        <v>111</v>
      </c>
      <c r="Q153" s="189" t="s">
        <v>145</v>
      </c>
      <c r="R153" s="189" t="s">
        <v>21</v>
      </c>
      <c r="S153" s="189" t="s">
        <v>152</v>
      </c>
      <c r="T153" s="189" t="s">
        <v>352</v>
      </c>
      <c r="U153" s="189" t="s">
        <v>122</v>
      </c>
      <c r="V153" s="189" t="s">
        <v>192</v>
      </c>
      <c r="W153" s="189" t="s">
        <v>124</v>
      </c>
      <c r="X153" s="189" t="s">
        <v>307</v>
      </c>
      <c r="Y153" s="189" t="s">
        <v>307</v>
      </c>
      <c r="Z153" s="189" t="s">
        <v>3131</v>
      </c>
      <c r="AA153" s="189" t="s">
        <v>3129</v>
      </c>
      <c r="AB153" s="189" t="s">
        <v>3130</v>
      </c>
      <c r="AG153" s="189" t="s">
        <v>3133</v>
      </c>
    </row>
    <row r="154" customFormat="false" ht="15" hidden="false" customHeight="false" outlineLevel="0" collapsed="false">
      <c r="A154" s="0" t="n">
        <v>153</v>
      </c>
      <c r="B154" s="188" t="n">
        <v>46066.9342880401</v>
      </c>
      <c r="C154" s="188" t="n">
        <v>46066.9366722993</v>
      </c>
      <c r="D154" s="189" t="s">
        <v>1239</v>
      </c>
      <c r="E154" s="189" t="s">
        <v>1240</v>
      </c>
      <c r="F154" s="189" t="s">
        <v>1240</v>
      </c>
      <c r="G154" s="189" t="s">
        <v>1241</v>
      </c>
      <c r="H154" s="188" t="n">
        <v>46050</v>
      </c>
      <c r="I154" s="189" t="s">
        <v>113</v>
      </c>
      <c r="J154" s="189" t="s">
        <v>108</v>
      </c>
      <c r="K154" s="189" t="s">
        <v>1242</v>
      </c>
      <c r="L154" s="189" t="s">
        <v>491</v>
      </c>
      <c r="M154" s="189" t="s">
        <v>566</v>
      </c>
      <c r="N154" s="189" t="s">
        <v>1243</v>
      </c>
      <c r="O154" s="189" t="s">
        <v>107</v>
      </c>
      <c r="P154" s="189" t="s">
        <v>131</v>
      </c>
      <c r="Q154" s="189" t="s">
        <v>145</v>
      </c>
      <c r="R154" s="189" t="s">
        <v>22</v>
      </c>
      <c r="S154" s="189" t="s">
        <v>227</v>
      </c>
      <c r="T154" s="189" t="s">
        <v>180</v>
      </c>
      <c r="U154" s="189" t="s">
        <v>1245</v>
      </c>
      <c r="V154" s="189" t="s">
        <v>123</v>
      </c>
      <c r="W154" s="189" t="s">
        <v>168</v>
      </c>
      <c r="X154" s="189" t="s">
        <v>271</v>
      </c>
      <c r="Y154" s="189" t="s">
        <v>271</v>
      </c>
      <c r="Z154" s="189" t="s">
        <v>3230</v>
      </c>
      <c r="AG154" s="189" t="s">
        <v>3118</v>
      </c>
      <c r="AH154" s="189" t="s">
        <v>122</v>
      </c>
    </row>
    <row r="155" customFormat="false" ht="15" hidden="false" customHeight="false" outlineLevel="0" collapsed="false">
      <c r="A155" s="0" t="n">
        <v>154</v>
      </c>
      <c r="B155" s="188" t="n">
        <v>46108.3405829017</v>
      </c>
      <c r="C155" s="188" t="n">
        <v>46108.349992624</v>
      </c>
      <c r="D155" s="189" t="s">
        <v>1246</v>
      </c>
      <c r="E155" s="189" t="s">
        <v>1247</v>
      </c>
      <c r="F155" s="189" t="s">
        <v>1247</v>
      </c>
      <c r="G155" s="189" t="s">
        <v>1248</v>
      </c>
      <c r="H155" s="188" t="n">
        <v>46107</v>
      </c>
      <c r="I155" s="189" t="s">
        <v>113</v>
      </c>
      <c r="J155" s="189" t="s">
        <v>108</v>
      </c>
      <c r="K155" s="189" t="s">
        <v>462</v>
      </c>
      <c r="L155" s="189" t="s">
        <v>431</v>
      </c>
      <c r="M155" s="189" t="s">
        <v>789</v>
      </c>
      <c r="N155" s="189" t="s">
        <v>1140</v>
      </c>
      <c r="O155" s="189" t="s">
        <v>172</v>
      </c>
      <c r="P155" s="189" t="s">
        <v>111</v>
      </c>
      <c r="Q155" s="189" t="s">
        <v>112</v>
      </c>
      <c r="R155" s="189" t="s">
        <v>22</v>
      </c>
      <c r="S155" s="189" t="s">
        <v>120</v>
      </c>
      <c r="T155" s="189" t="s">
        <v>180</v>
      </c>
      <c r="V155" s="189" t="s">
        <v>192</v>
      </c>
      <c r="W155" s="189" t="s">
        <v>124</v>
      </c>
      <c r="X155" s="189" t="s">
        <v>381</v>
      </c>
      <c r="Y155" s="189" t="s">
        <v>381</v>
      </c>
      <c r="Z155" s="189" t="s">
        <v>3249</v>
      </c>
      <c r="AA155" s="189" t="s">
        <v>3159</v>
      </c>
      <c r="AB155" s="189" t="s">
        <v>3233</v>
      </c>
      <c r="AG155" s="189" t="s">
        <v>3162</v>
      </c>
      <c r="AH155" s="189" t="s">
        <v>3234</v>
      </c>
    </row>
    <row r="156" customFormat="false" ht="15" hidden="false" customHeight="false" outlineLevel="0" collapsed="false">
      <c r="A156" s="0" t="n">
        <v>155</v>
      </c>
      <c r="B156" s="188" t="n">
        <v>46094.0046535653</v>
      </c>
      <c r="C156" s="188" t="n">
        <v>46094.020232269</v>
      </c>
      <c r="D156" s="189" t="s">
        <v>1251</v>
      </c>
      <c r="E156" s="189" t="s">
        <v>1252</v>
      </c>
      <c r="F156" s="189" t="s">
        <v>1252</v>
      </c>
      <c r="G156" s="189" t="s">
        <v>1253</v>
      </c>
      <c r="H156" s="188" t="n">
        <v>46078</v>
      </c>
      <c r="I156" s="189" t="s">
        <v>113</v>
      </c>
      <c r="J156" s="189" t="s">
        <v>108</v>
      </c>
      <c r="K156" s="189" t="s">
        <v>1254</v>
      </c>
      <c r="L156" s="189" t="s">
        <v>491</v>
      </c>
      <c r="M156" s="189" t="s">
        <v>885</v>
      </c>
      <c r="N156" s="189" t="s">
        <v>1255</v>
      </c>
      <c r="O156" s="189" t="s">
        <v>107</v>
      </c>
      <c r="P156" s="189" t="s">
        <v>111</v>
      </c>
      <c r="Q156" s="189" t="s">
        <v>145</v>
      </c>
      <c r="R156" s="189" t="s">
        <v>24</v>
      </c>
      <c r="S156" s="189" t="s">
        <v>120</v>
      </c>
      <c r="T156" s="189" t="s">
        <v>121</v>
      </c>
      <c r="U156" s="189" t="s">
        <v>994</v>
      </c>
      <c r="V156" s="189" t="s">
        <v>167</v>
      </c>
      <c r="W156" s="189" t="s">
        <v>168</v>
      </c>
      <c r="X156" s="189" t="s">
        <v>19</v>
      </c>
      <c r="Y156" s="189" t="s">
        <v>19</v>
      </c>
      <c r="AK156" s="189" t="s">
        <v>880</v>
      </c>
    </row>
    <row r="157" customFormat="false" ht="15" hidden="false" customHeight="false" outlineLevel="0" collapsed="false">
      <c r="A157" s="0" t="n">
        <v>156</v>
      </c>
      <c r="B157" s="188" t="n">
        <v>46049.8815622663</v>
      </c>
      <c r="C157" s="188" t="n">
        <v>46049.8865969885</v>
      </c>
      <c r="D157" s="189" t="s">
        <v>1256</v>
      </c>
      <c r="E157" s="189" t="s">
        <v>1257</v>
      </c>
      <c r="F157" s="189" t="s">
        <v>1257</v>
      </c>
      <c r="G157" s="189" t="s">
        <v>1258</v>
      </c>
      <c r="H157" s="188" t="n">
        <v>46036</v>
      </c>
      <c r="I157" s="189" t="s">
        <v>305</v>
      </c>
      <c r="J157" s="189" t="s">
        <v>108</v>
      </c>
      <c r="K157" s="189" t="s">
        <v>462</v>
      </c>
      <c r="L157" s="189" t="s">
        <v>197</v>
      </c>
      <c r="M157" s="189" t="s">
        <v>797</v>
      </c>
      <c r="N157" s="189" t="s">
        <v>235</v>
      </c>
      <c r="O157" s="189" t="s">
        <v>244</v>
      </c>
      <c r="P157" s="189" t="s">
        <v>131</v>
      </c>
      <c r="Q157" s="189" t="s">
        <v>112</v>
      </c>
      <c r="R157" s="189" t="s">
        <v>22</v>
      </c>
      <c r="S157" s="189" t="s">
        <v>152</v>
      </c>
      <c r="T157" s="189" t="s">
        <v>352</v>
      </c>
      <c r="U157" s="189" t="s">
        <v>122</v>
      </c>
      <c r="V157" s="189" t="s">
        <v>192</v>
      </c>
      <c r="W157" s="189" t="s">
        <v>139</v>
      </c>
      <c r="X157" s="189" t="s">
        <v>148</v>
      </c>
      <c r="Y157" s="189" t="s">
        <v>148</v>
      </c>
      <c r="Z157" s="189" t="s">
        <v>3076</v>
      </c>
      <c r="AG157" s="189" t="s">
        <v>3188</v>
      </c>
      <c r="AH157" s="189" t="s">
        <v>122</v>
      </c>
    </row>
    <row r="158" customFormat="false" ht="15" hidden="false" customHeight="false" outlineLevel="0" collapsed="false">
      <c r="A158" s="0" t="n">
        <v>157</v>
      </c>
      <c r="B158" s="188" t="n">
        <v>46210.887005226</v>
      </c>
      <c r="C158" s="188" t="n">
        <v>46210.8969473556</v>
      </c>
      <c r="D158" s="189" t="s">
        <v>1261</v>
      </c>
      <c r="E158" s="189" t="s">
        <v>1262</v>
      </c>
      <c r="F158" s="189" t="s">
        <v>1262</v>
      </c>
      <c r="G158" s="189" t="s">
        <v>1263</v>
      </c>
      <c r="H158" s="188" t="n">
        <v>46197</v>
      </c>
      <c r="I158" s="189" t="s">
        <v>132</v>
      </c>
      <c r="J158" s="189" t="s">
        <v>295</v>
      </c>
      <c r="K158" s="189" t="s">
        <v>1264</v>
      </c>
      <c r="L158" s="189" t="s">
        <v>346</v>
      </c>
      <c r="M158" s="189" t="s">
        <v>365</v>
      </c>
      <c r="N158" s="189" t="s">
        <v>625</v>
      </c>
      <c r="O158" s="189" t="s">
        <v>278</v>
      </c>
      <c r="P158" s="189" t="s">
        <v>111</v>
      </c>
      <c r="Q158" s="189" t="s">
        <v>145</v>
      </c>
      <c r="R158" s="189" t="s">
        <v>25</v>
      </c>
      <c r="S158" s="189" t="s">
        <v>120</v>
      </c>
      <c r="T158" s="189" t="s">
        <v>121</v>
      </c>
      <c r="U158" s="189" t="s">
        <v>1032</v>
      </c>
      <c r="V158" s="189" t="s">
        <v>192</v>
      </c>
      <c r="W158" s="189" t="s">
        <v>168</v>
      </c>
      <c r="X158" s="189" t="s">
        <v>327</v>
      </c>
      <c r="Y158" s="189" t="s">
        <v>327</v>
      </c>
      <c r="Z158" s="189" t="s">
        <v>3107</v>
      </c>
      <c r="AG158" s="189" t="s">
        <v>3140</v>
      </c>
    </row>
    <row r="159" customFormat="false" ht="15" hidden="false" customHeight="false" outlineLevel="0" collapsed="false">
      <c r="A159" s="0" t="n">
        <v>158</v>
      </c>
      <c r="B159" s="188" t="n">
        <v>46043.7022185519</v>
      </c>
      <c r="C159" s="188" t="n">
        <v>46043.7137231815</v>
      </c>
      <c r="D159" s="189" t="s">
        <v>1265</v>
      </c>
      <c r="E159" s="189" t="s">
        <v>1266</v>
      </c>
      <c r="F159" s="189" t="s">
        <v>1266</v>
      </c>
      <c r="G159" s="189" t="s">
        <v>1267</v>
      </c>
      <c r="H159" s="188" t="n">
        <v>46038</v>
      </c>
      <c r="I159" s="189" t="s">
        <v>1268</v>
      </c>
      <c r="J159" s="189" t="s">
        <v>108</v>
      </c>
      <c r="K159" s="189" t="s">
        <v>196</v>
      </c>
      <c r="L159" s="189" t="s">
        <v>491</v>
      </c>
      <c r="M159" s="189" t="s">
        <v>543</v>
      </c>
      <c r="N159" s="189" t="s">
        <v>227</v>
      </c>
      <c r="O159" s="189" t="s">
        <v>244</v>
      </c>
      <c r="P159" s="189" t="s">
        <v>211</v>
      </c>
      <c r="Q159" s="189" t="s">
        <v>112</v>
      </c>
      <c r="R159" s="189" t="s">
        <v>22</v>
      </c>
      <c r="S159" s="189" t="s">
        <v>152</v>
      </c>
      <c r="T159" s="189" t="s">
        <v>121</v>
      </c>
      <c r="U159" s="189" t="s">
        <v>853</v>
      </c>
      <c r="V159" s="189" t="s">
        <v>192</v>
      </c>
      <c r="W159" s="189" t="s">
        <v>124</v>
      </c>
      <c r="X159" s="189" t="s">
        <v>339</v>
      </c>
      <c r="Y159" s="189" t="s">
        <v>339</v>
      </c>
      <c r="Z159" s="189" t="s">
        <v>3169</v>
      </c>
      <c r="AA159" s="189" t="s">
        <v>3168</v>
      </c>
      <c r="AB159" s="189" t="s">
        <v>3199</v>
      </c>
      <c r="AG159" s="189" t="s">
        <v>3200</v>
      </c>
      <c r="AH159" s="189" t="s">
        <v>3144</v>
      </c>
    </row>
    <row r="160" customFormat="false" ht="15" hidden="false" customHeight="false" outlineLevel="0" collapsed="false">
      <c r="A160" s="0" t="n">
        <v>159</v>
      </c>
      <c r="B160" s="188" t="n">
        <v>46172.5223615307</v>
      </c>
      <c r="C160" s="188" t="n">
        <v>46172.5288314382</v>
      </c>
      <c r="D160" s="189" t="s">
        <v>1272</v>
      </c>
      <c r="E160" s="189" t="s">
        <v>1273</v>
      </c>
      <c r="F160" s="189" t="s">
        <v>1273</v>
      </c>
      <c r="G160" s="189" t="s">
        <v>1274</v>
      </c>
      <c r="H160" s="188" t="n">
        <v>46164</v>
      </c>
      <c r="I160" s="189" t="s">
        <v>113</v>
      </c>
      <c r="J160" s="189" t="s">
        <v>108</v>
      </c>
      <c r="K160" s="189" t="s">
        <v>364</v>
      </c>
      <c r="L160" s="189" t="s">
        <v>114</v>
      </c>
      <c r="M160" s="189" t="s">
        <v>501</v>
      </c>
      <c r="N160" s="189" t="s">
        <v>638</v>
      </c>
      <c r="O160" s="189" t="s">
        <v>713</v>
      </c>
      <c r="P160" s="189" t="s">
        <v>111</v>
      </c>
      <c r="Q160" s="189" t="s">
        <v>112</v>
      </c>
      <c r="R160" s="189" t="s">
        <v>22</v>
      </c>
      <c r="S160" s="189" t="s">
        <v>152</v>
      </c>
      <c r="T160" s="189" t="s">
        <v>264</v>
      </c>
      <c r="U160" s="189" t="s">
        <v>1278</v>
      </c>
      <c r="V160" s="189" t="s">
        <v>192</v>
      </c>
      <c r="W160" s="189" t="s">
        <v>124</v>
      </c>
      <c r="X160" s="189" t="s">
        <v>715</v>
      </c>
      <c r="Y160" s="189" t="s">
        <v>715</v>
      </c>
      <c r="Z160" s="189" t="s">
        <v>3252</v>
      </c>
      <c r="AA160" s="189" t="s">
        <v>3225</v>
      </c>
      <c r="AG160" s="189" t="s">
        <v>3285</v>
      </c>
      <c r="AH160" s="189" t="s">
        <v>3228</v>
      </c>
    </row>
    <row r="161" customFormat="false" ht="15" hidden="false" customHeight="false" outlineLevel="0" collapsed="false">
      <c r="A161" s="0" t="n">
        <v>160</v>
      </c>
      <c r="B161" s="188" t="n">
        <v>46203.1277211982</v>
      </c>
      <c r="C161" s="188" t="n">
        <v>46203.1304295316</v>
      </c>
      <c r="D161" s="189" t="s">
        <v>1279</v>
      </c>
      <c r="E161" s="189" t="s">
        <v>1280</v>
      </c>
      <c r="F161" s="189" t="s">
        <v>1280</v>
      </c>
      <c r="G161" s="189" t="s">
        <v>1281</v>
      </c>
      <c r="H161" s="188" t="n">
        <v>46190</v>
      </c>
      <c r="I161" s="189" t="s">
        <v>113</v>
      </c>
      <c r="J161" s="189" t="s">
        <v>128</v>
      </c>
      <c r="K161" s="189" t="s">
        <v>143</v>
      </c>
      <c r="L161" s="189" t="s">
        <v>246</v>
      </c>
      <c r="M161" s="189" t="s">
        <v>144</v>
      </c>
      <c r="N161" s="189" t="s">
        <v>1042</v>
      </c>
      <c r="O161" s="189" t="s">
        <v>172</v>
      </c>
      <c r="P161" s="189" t="s">
        <v>111</v>
      </c>
      <c r="Q161" s="189" t="s">
        <v>112</v>
      </c>
      <c r="R161" s="189" t="s">
        <v>22</v>
      </c>
      <c r="S161" s="189" t="s">
        <v>152</v>
      </c>
      <c r="T161" s="189" t="s">
        <v>121</v>
      </c>
      <c r="U161" s="189" t="s">
        <v>122</v>
      </c>
      <c r="V161" s="189" t="s">
        <v>123</v>
      </c>
      <c r="W161" s="189" t="s">
        <v>124</v>
      </c>
      <c r="X161" s="189" t="s">
        <v>298</v>
      </c>
      <c r="Y161" s="189" t="s">
        <v>298</v>
      </c>
      <c r="Z161" s="189" t="s">
        <v>3124</v>
      </c>
      <c r="AA161" s="189" t="s">
        <v>3208</v>
      </c>
      <c r="AG161" s="189" t="s">
        <v>3247</v>
      </c>
      <c r="AH161" s="189" t="s">
        <v>122</v>
      </c>
    </row>
    <row r="162" customFormat="false" ht="15" hidden="false" customHeight="false" outlineLevel="0" collapsed="false">
      <c r="A162" s="0" t="n">
        <v>161</v>
      </c>
      <c r="B162" s="188" t="n">
        <v>46039.0781395233</v>
      </c>
      <c r="C162" s="188" t="n">
        <v>46039.08574369</v>
      </c>
      <c r="D162" s="189" t="s">
        <v>1285</v>
      </c>
      <c r="E162" s="189" t="s">
        <v>1286</v>
      </c>
      <c r="F162" s="189" t="s">
        <v>1286</v>
      </c>
      <c r="G162" s="189" t="s">
        <v>1287</v>
      </c>
      <c r="H162" s="188" t="n">
        <v>46026</v>
      </c>
      <c r="I162" s="189" t="s">
        <v>113</v>
      </c>
      <c r="J162" s="189" t="s">
        <v>108</v>
      </c>
      <c r="K162" s="189" t="s">
        <v>1288</v>
      </c>
      <c r="L162" s="189" t="s">
        <v>286</v>
      </c>
      <c r="M162" s="189" t="s">
        <v>515</v>
      </c>
      <c r="N162" s="189" t="s">
        <v>893</v>
      </c>
      <c r="O162" s="189" t="s">
        <v>278</v>
      </c>
      <c r="P162" s="189" t="s">
        <v>111</v>
      </c>
      <c r="Q162" s="189" t="s">
        <v>112</v>
      </c>
      <c r="R162" s="189" t="s">
        <v>22</v>
      </c>
      <c r="S162" s="189" t="s">
        <v>152</v>
      </c>
      <c r="T162" s="189" t="s">
        <v>121</v>
      </c>
      <c r="V162" s="189" t="s">
        <v>192</v>
      </c>
      <c r="W162" s="189" t="s">
        <v>168</v>
      </c>
      <c r="X162" s="189" t="s">
        <v>176</v>
      </c>
      <c r="Y162" s="189" t="s">
        <v>176</v>
      </c>
      <c r="Z162" s="189" t="s">
        <v>3287</v>
      </c>
      <c r="AG162" s="189" t="s">
        <v>3088</v>
      </c>
    </row>
    <row r="163" customFormat="false" ht="15" hidden="false" customHeight="false" outlineLevel="0" collapsed="false">
      <c r="A163" s="0" t="n">
        <v>162</v>
      </c>
      <c r="B163" s="188" t="n">
        <v>46108.275349133</v>
      </c>
      <c r="C163" s="188" t="n">
        <v>46108.2957657997</v>
      </c>
      <c r="D163" s="189" t="s">
        <v>1291</v>
      </c>
      <c r="E163" s="189" t="s">
        <v>1292</v>
      </c>
      <c r="F163" s="189" t="s">
        <v>1292</v>
      </c>
      <c r="G163" s="189" t="s">
        <v>1293</v>
      </c>
      <c r="H163" s="188" t="n">
        <v>46094</v>
      </c>
      <c r="I163" s="189" t="s">
        <v>113</v>
      </c>
      <c r="J163" s="189" t="s">
        <v>295</v>
      </c>
      <c r="K163" s="189" t="s">
        <v>1294</v>
      </c>
      <c r="L163" s="189" t="s">
        <v>491</v>
      </c>
      <c r="M163" s="189" t="s">
        <v>357</v>
      </c>
      <c r="N163" s="189" t="s">
        <v>945</v>
      </c>
      <c r="O163" s="189" t="s">
        <v>107</v>
      </c>
      <c r="P163" s="189" t="s">
        <v>111</v>
      </c>
      <c r="Q163" s="189" t="s">
        <v>145</v>
      </c>
      <c r="R163" s="189" t="s">
        <v>22</v>
      </c>
      <c r="S163" s="189" t="s">
        <v>152</v>
      </c>
      <c r="T163" s="189" t="s">
        <v>352</v>
      </c>
      <c r="U163" s="189" t="s">
        <v>122</v>
      </c>
      <c r="V163" s="189" t="s">
        <v>192</v>
      </c>
      <c r="W163" s="189" t="s">
        <v>124</v>
      </c>
      <c r="X163" s="189" t="s">
        <v>298</v>
      </c>
      <c r="Y163" s="189" t="s">
        <v>298</v>
      </c>
      <c r="Z163" s="189" t="s">
        <v>3273</v>
      </c>
      <c r="AA163" s="189" t="s">
        <v>3207</v>
      </c>
      <c r="AG163" s="189" t="s">
        <v>3247</v>
      </c>
      <c r="AH163" s="189" t="s">
        <v>3272</v>
      </c>
    </row>
    <row r="164" customFormat="false" ht="15" hidden="false" customHeight="false" outlineLevel="0" collapsed="false">
      <c r="A164" s="0" t="n">
        <v>163</v>
      </c>
      <c r="B164" s="188" t="n">
        <v>46124.772386008</v>
      </c>
      <c r="C164" s="188" t="n">
        <v>46124.7896082303</v>
      </c>
      <c r="D164" s="189" t="s">
        <v>1297</v>
      </c>
      <c r="E164" s="189" t="s">
        <v>1298</v>
      </c>
      <c r="F164" s="189" t="s">
        <v>1298</v>
      </c>
      <c r="G164" s="189" t="s">
        <v>1299</v>
      </c>
      <c r="H164" s="188" t="n">
        <v>46108</v>
      </c>
      <c r="I164" s="189" t="s">
        <v>113</v>
      </c>
      <c r="J164" s="189" t="s">
        <v>108</v>
      </c>
      <c r="K164" s="189" t="s">
        <v>1300</v>
      </c>
      <c r="L164" s="189" t="s">
        <v>346</v>
      </c>
      <c r="M164" s="189" t="s">
        <v>212</v>
      </c>
      <c r="N164" s="189" t="s">
        <v>775</v>
      </c>
      <c r="O164" s="189" t="s">
        <v>107</v>
      </c>
      <c r="P164" s="189" t="s">
        <v>111</v>
      </c>
      <c r="Q164" s="189" t="s">
        <v>112</v>
      </c>
      <c r="R164" s="189" t="s">
        <v>22</v>
      </c>
      <c r="S164" s="189" t="s">
        <v>120</v>
      </c>
      <c r="T164" s="189" t="s">
        <v>121</v>
      </c>
      <c r="V164" s="189" t="s">
        <v>123</v>
      </c>
      <c r="W164" s="189" t="s">
        <v>139</v>
      </c>
      <c r="X164" s="189" t="s">
        <v>271</v>
      </c>
      <c r="Y164" s="189" t="s">
        <v>271</v>
      </c>
      <c r="Z164" s="189" t="s">
        <v>3115</v>
      </c>
      <c r="AG164" s="189" t="s">
        <v>122</v>
      </c>
      <c r="AH164" s="189" t="s">
        <v>3118</v>
      </c>
    </row>
    <row r="165" customFormat="false" ht="15" hidden="false" customHeight="false" outlineLevel="0" collapsed="false">
      <c r="A165" s="0" t="n">
        <v>164</v>
      </c>
      <c r="B165" s="188" t="n">
        <v>46212.7231392317</v>
      </c>
      <c r="C165" s="188" t="n">
        <v>46212.7370744168</v>
      </c>
      <c r="D165" s="189" t="s">
        <v>1303</v>
      </c>
      <c r="E165" s="189" t="s">
        <v>1304</v>
      </c>
      <c r="F165" s="189" t="s">
        <v>1304</v>
      </c>
      <c r="G165" s="189" t="s">
        <v>1305</v>
      </c>
      <c r="H165" s="188" t="n">
        <v>46200</v>
      </c>
      <c r="I165" s="189" t="s">
        <v>113</v>
      </c>
      <c r="J165" s="189" t="s">
        <v>108</v>
      </c>
      <c r="K165" s="189" t="s">
        <v>257</v>
      </c>
      <c r="L165" s="189" t="s">
        <v>130</v>
      </c>
      <c r="M165" s="189" t="s">
        <v>864</v>
      </c>
      <c r="N165" s="189" t="s">
        <v>1306</v>
      </c>
      <c r="O165" s="189" t="s">
        <v>278</v>
      </c>
      <c r="P165" s="189" t="s">
        <v>111</v>
      </c>
      <c r="Q165" s="189" t="s">
        <v>198</v>
      </c>
      <c r="R165" s="189" t="s">
        <v>22</v>
      </c>
      <c r="S165" s="189" t="s">
        <v>152</v>
      </c>
      <c r="T165" s="189" t="s">
        <v>121</v>
      </c>
      <c r="U165" s="189" t="s">
        <v>1174</v>
      </c>
      <c r="V165" s="189" t="s">
        <v>167</v>
      </c>
      <c r="W165" s="189" t="s">
        <v>124</v>
      </c>
      <c r="X165" s="189" t="s">
        <v>339</v>
      </c>
      <c r="Y165" s="189" t="s">
        <v>339</v>
      </c>
      <c r="Z165" s="189" t="s">
        <v>3168</v>
      </c>
      <c r="AG165" s="189" t="s">
        <v>3144</v>
      </c>
      <c r="AH165" s="189" t="s">
        <v>3217</v>
      </c>
    </row>
    <row r="166" customFormat="false" ht="15" hidden="false" customHeight="false" outlineLevel="0" collapsed="false">
      <c r="A166" s="0" t="n">
        <v>165</v>
      </c>
      <c r="B166" s="188" t="n">
        <v>46103.8210080268</v>
      </c>
      <c r="C166" s="188" t="n">
        <v>46103.829792749</v>
      </c>
      <c r="D166" s="189" t="s">
        <v>1310</v>
      </c>
      <c r="E166" s="189" t="s">
        <v>1311</v>
      </c>
      <c r="F166" s="189" t="s">
        <v>1311</v>
      </c>
      <c r="G166" s="189" t="s">
        <v>1312</v>
      </c>
      <c r="H166" s="188" t="n">
        <v>46086</v>
      </c>
      <c r="I166" s="189" t="s">
        <v>113</v>
      </c>
      <c r="J166" s="189" t="s">
        <v>295</v>
      </c>
      <c r="K166" s="189" t="s">
        <v>143</v>
      </c>
      <c r="L166" s="189" t="s">
        <v>431</v>
      </c>
      <c r="M166" s="189" t="s">
        <v>1313</v>
      </c>
      <c r="N166" s="189" t="s">
        <v>270</v>
      </c>
      <c r="O166" s="189" t="s">
        <v>107</v>
      </c>
      <c r="P166" s="189" t="s">
        <v>111</v>
      </c>
      <c r="Q166" s="189" t="s">
        <v>145</v>
      </c>
      <c r="R166" s="189" t="s">
        <v>25</v>
      </c>
      <c r="S166" s="189" t="s">
        <v>152</v>
      </c>
      <c r="T166" s="189" t="s">
        <v>264</v>
      </c>
      <c r="U166" s="189" t="s">
        <v>1314</v>
      </c>
      <c r="V166" s="189" t="s">
        <v>167</v>
      </c>
      <c r="W166" s="189" t="s">
        <v>124</v>
      </c>
      <c r="X166" s="189" t="s">
        <v>327</v>
      </c>
      <c r="Y166" s="189" t="s">
        <v>327</v>
      </c>
      <c r="Z166" s="189" t="s">
        <v>3065</v>
      </c>
      <c r="AA166" s="189" t="s">
        <v>3107</v>
      </c>
      <c r="AB166" s="189" t="s">
        <v>3095</v>
      </c>
      <c r="AG166" s="189" t="s">
        <v>3070</v>
      </c>
    </row>
    <row r="167" customFormat="false" ht="15" hidden="false" customHeight="true" outlineLevel="0" collapsed="false">
      <c r="A167" s="0" t="n">
        <v>166</v>
      </c>
      <c r="B167" s="191" t="n">
        <v>46174.8375541051</v>
      </c>
      <c r="C167" s="191" t="n">
        <v>46174.8540355866</v>
      </c>
      <c r="D167" s="189" t="s">
        <v>1315</v>
      </c>
      <c r="E167" s="189" t="s">
        <v>1316</v>
      </c>
      <c r="F167" s="189" t="s">
        <v>1316</v>
      </c>
      <c r="G167" s="189" t="s">
        <v>1317</v>
      </c>
      <c r="H167" s="191" t="n">
        <v>46168</v>
      </c>
      <c r="I167" s="189" t="s">
        <v>113</v>
      </c>
      <c r="J167" s="189" t="s">
        <v>108</v>
      </c>
      <c r="K167" s="189" t="s">
        <v>232</v>
      </c>
      <c r="L167" s="189" t="s">
        <v>184</v>
      </c>
      <c r="M167" s="189" t="s">
        <v>1120</v>
      </c>
      <c r="N167" s="189" t="s">
        <v>1036</v>
      </c>
      <c r="O167" s="189" t="s">
        <v>107</v>
      </c>
      <c r="P167" s="189" t="s">
        <v>111</v>
      </c>
      <c r="Q167" s="189" t="s">
        <v>112</v>
      </c>
      <c r="R167" s="189" t="s">
        <v>24</v>
      </c>
      <c r="S167" s="189" t="s">
        <v>152</v>
      </c>
      <c r="T167" s="189" t="s">
        <v>121</v>
      </c>
      <c r="U167" s="189" t="s">
        <v>122</v>
      </c>
      <c r="V167" s="189" t="s">
        <v>167</v>
      </c>
      <c r="W167" s="189" t="s">
        <v>139</v>
      </c>
      <c r="X167" s="189" t="s">
        <v>223</v>
      </c>
      <c r="Y167" s="189" t="s">
        <v>223</v>
      </c>
      <c r="Z167" s="189" t="s">
        <v>3104</v>
      </c>
      <c r="AA167" s="189" t="s">
        <v>3120</v>
      </c>
      <c r="AB167" s="189" t="s">
        <v>3121</v>
      </c>
      <c r="AG167" s="189" t="s">
        <v>3101</v>
      </c>
      <c r="AH167" s="189" t="s">
        <v>3150</v>
      </c>
    </row>
    <row r="168" customFormat="false" ht="15" hidden="false" customHeight="true" outlineLevel="0" collapsed="false">
      <c r="A168" s="0" t="n">
        <v>167</v>
      </c>
      <c r="B168" s="191" t="n">
        <v>46082.5732433519</v>
      </c>
      <c r="C168" s="191" t="n">
        <v>46082.5794702037</v>
      </c>
      <c r="D168" s="189" t="s">
        <v>1320</v>
      </c>
      <c r="E168" s="189" t="s">
        <v>1321</v>
      </c>
      <c r="F168" s="189" t="s">
        <v>1321</v>
      </c>
      <c r="G168" s="189" t="s">
        <v>1322</v>
      </c>
      <c r="H168" s="191" t="n">
        <v>46068</v>
      </c>
      <c r="I168" s="189" t="s">
        <v>113</v>
      </c>
      <c r="J168" s="189" t="s">
        <v>108</v>
      </c>
      <c r="K168" s="189" t="s">
        <v>196</v>
      </c>
      <c r="L168" s="189" t="s">
        <v>184</v>
      </c>
      <c r="M168" s="189" t="s">
        <v>484</v>
      </c>
      <c r="N168" s="189" t="s">
        <v>1323</v>
      </c>
      <c r="O168" s="189" t="s">
        <v>157</v>
      </c>
      <c r="P168" s="189" t="s">
        <v>111</v>
      </c>
      <c r="Q168" s="189" t="s">
        <v>145</v>
      </c>
      <c r="R168" s="189" t="s">
        <v>22</v>
      </c>
      <c r="S168" s="189" t="s">
        <v>152</v>
      </c>
      <c r="T168" s="189" t="s">
        <v>121</v>
      </c>
      <c r="U168" s="189" t="s">
        <v>1326</v>
      </c>
      <c r="V168" s="189" t="s">
        <v>123</v>
      </c>
      <c r="W168" s="189" t="s">
        <v>168</v>
      </c>
      <c r="X168" s="189" t="s">
        <v>339</v>
      </c>
      <c r="Y168" s="189" t="s">
        <v>339</v>
      </c>
      <c r="Z168" s="189" t="s">
        <v>3141</v>
      </c>
      <c r="AA168" s="189" t="s">
        <v>3168</v>
      </c>
      <c r="AB168" s="189" t="s">
        <v>3216</v>
      </c>
      <c r="AG168" s="189" t="s">
        <v>3235</v>
      </c>
      <c r="AH168" s="189" t="s">
        <v>3217</v>
      </c>
    </row>
    <row r="169" customFormat="false" ht="15" hidden="false" customHeight="true" outlineLevel="0" collapsed="false">
      <c r="A169" s="0" t="n">
        <v>168</v>
      </c>
      <c r="B169" s="191" t="n">
        <v>46186.664994283</v>
      </c>
      <c r="C169" s="191" t="n">
        <v>46186.67359382</v>
      </c>
      <c r="D169" s="189" t="s">
        <v>1327</v>
      </c>
      <c r="E169" s="189" t="s">
        <v>1328</v>
      </c>
      <c r="F169" s="189" t="s">
        <v>1328</v>
      </c>
      <c r="G169" s="189" t="s">
        <v>1329</v>
      </c>
      <c r="H169" s="191" t="n">
        <v>46172</v>
      </c>
      <c r="I169" s="189" t="s">
        <v>325</v>
      </c>
      <c r="J169" s="189" t="s">
        <v>108</v>
      </c>
      <c r="K169" s="189" t="s">
        <v>364</v>
      </c>
      <c r="L169" s="189" t="s">
        <v>296</v>
      </c>
      <c r="M169" s="189" t="s">
        <v>566</v>
      </c>
      <c r="N169" s="189" t="s">
        <v>1255</v>
      </c>
      <c r="O169" s="189" t="s">
        <v>107</v>
      </c>
      <c r="P169" s="189" t="s">
        <v>131</v>
      </c>
      <c r="Q169" s="189" t="s">
        <v>112</v>
      </c>
      <c r="R169" s="189" t="s">
        <v>24</v>
      </c>
      <c r="S169" s="189" t="s">
        <v>152</v>
      </c>
      <c r="T169" s="189" t="s">
        <v>121</v>
      </c>
      <c r="V169" s="189" t="s">
        <v>167</v>
      </c>
      <c r="W169" s="189" t="s">
        <v>168</v>
      </c>
      <c r="X169" s="189" t="s">
        <v>19</v>
      </c>
      <c r="Y169" s="189" t="s">
        <v>19</v>
      </c>
      <c r="AK169" s="189" t="s">
        <v>880</v>
      </c>
    </row>
    <row r="170" customFormat="false" ht="15" hidden="false" customHeight="true" outlineLevel="0" collapsed="false">
      <c r="A170" s="0" t="n">
        <v>169</v>
      </c>
      <c r="B170" s="191" t="n">
        <v>46132.1106159314</v>
      </c>
      <c r="C170" s="191" t="n">
        <v>46132.1273751907</v>
      </c>
      <c r="D170" s="189" t="s">
        <v>1330</v>
      </c>
      <c r="E170" s="189" t="s">
        <v>1331</v>
      </c>
      <c r="F170" s="189" t="s">
        <v>1331</v>
      </c>
      <c r="G170" s="189" t="s">
        <v>1332</v>
      </c>
      <c r="H170" s="191" t="n">
        <v>46129</v>
      </c>
      <c r="I170" s="189" t="s">
        <v>1333</v>
      </c>
      <c r="J170" s="189" t="s">
        <v>295</v>
      </c>
      <c r="K170" s="189" t="s">
        <v>462</v>
      </c>
      <c r="L170" s="189" t="s">
        <v>233</v>
      </c>
      <c r="M170" s="189" t="s">
        <v>515</v>
      </c>
      <c r="N170" s="189" t="s">
        <v>259</v>
      </c>
      <c r="O170" s="189" t="s">
        <v>107</v>
      </c>
      <c r="P170" s="189" t="s">
        <v>111</v>
      </c>
      <c r="Q170" s="189" t="s">
        <v>145</v>
      </c>
      <c r="R170" s="189" t="s">
        <v>22</v>
      </c>
      <c r="S170" s="189" t="s">
        <v>152</v>
      </c>
      <c r="T170" s="189" t="s">
        <v>352</v>
      </c>
      <c r="V170" s="189" t="s">
        <v>192</v>
      </c>
      <c r="W170" s="189" t="s">
        <v>124</v>
      </c>
      <c r="X170" s="189" t="s">
        <v>339</v>
      </c>
      <c r="Y170" s="189" t="s">
        <v>339</v>
      </c>
      <c r="Z170" s="189" t="s">
        <v>3199</v>
      </c>
      <c r="AG170" s="189" t="s">
        <v>3217</v>
      </c>
    </row>
    <row r="171" customFormat="false" ht="15" hidden="false" customHeight="true" outlineLevel="0" collapsed="false">
      <c r="A171" s="0" t="n">
        <v>170</v>
      </c>
      <c r="B171" s="191" t="n">
        <v>46116.9183883594</v>
      </c>
      <c r="C171" s="191" t="n">
        <v>46116.924580489</v>
      </c>
      <c r="D171" s="189" t="s">
        <v>1336</v>
      </c>
      <c r="E171" s="189" t="s">
        <v>1337</v>
      </c>
      <c r="F171" s="189" t="s">
        <v>1337</v>
      </c>
      <c r="G171" s="189" t="s">
        <v>1338</v>
      </c>
      <c r="H171" s="191" t="n">
        <v>46108</v>
      </c>
      <c r="I171" s="189" t="s">
        <v>113</v>
      </c>
      <c r="J171" s="189" t="s">
        <v>108</v>
      </c>
      <c r="K171" s="189" t="s">
        <v>173</v>
      </c>
      <c r="L171" s="189" t="s">
        <v>389</v>
      </c>
      <c r="M171" s="189" t="s">
        <v>279</v>
      </c>
      <c r="N171" s="189" t="s">
        <v>1224</v>
      </c>
      <c r="O171" s="189" t="s">
        <v>107</v>
      </c>
      <c r="P171" s="189" t="s">
        <v>111</v>
      </c>
      <c r="Q171" s="189" t="s">
        <v>112</v>
      </c>
      <c r="R171" s="189" t="s">
        <v>21</v>
      </c>
      <c r="S171" s="189" t="s">
        <v>152</v>
      </c>
      <c r="T171" s="189" t="s">
        <v>180</v>
      </c>
      <c r="U171" s="189" t="s">
        <v>122</v>
      </c>
      <c r="V171" s="189" t="s">
        <v>192</v>
      </c>
      <c r="W171" s="189" t="s">
        <v>168</v>
      </c>
      <c r="X171" s="189" t="s">
        <v>457</v>
      </c>
      <c r="Y171" s="189" t="s">
        <v>457</v>
      </c>
      <c r="Z171" s="189" t="s">
        <v>3107</v>
      </c>
      <c r="AG171" s="189" t="s">
        <v>3070</v>
      </c>
    </row>
    <row r="172" customFormat="false" ht="15" hidden="false" customHeight="true" outlineLevel="0" collapsed="false">
      <c r="A172" s="0" t="n">
        <v>171</v>
      </c>
      <c r="B172" s="191" t="n">
        <v>46138.173394504</v>
      </c>
      <c r="C172" s="191" t="n">
        <v>46138.1846560781</v>
      </c>
      <c r="D172" s="189" t="s">
        <v>1339</v>
      </c>
      <c r="E172" s="189" t="s">
        <v>1340</v>
      </c>
      <c r="F172" s="189" t="s">
        <v>1340</v>
      </c>
      <c r="G172" s="189" t="s">
        <v>1341</v>
      </c>
      <c r="H172" s="191" t="n">
        <v>46129</v>
      </c>
      <c r="I172" s="189" t="s">
        <v>113</v>
      </c>
      <c r="J172" s="189" t="s">
        <v>295</v>
      </c>
      <c r="K172" s="189" t="s">
        <v>364</v>
      </c>
      <c r="L172" s="189" t="s">
        <v>296</v>
      </c>
      <c r="M172" s="189" t="s">
        <v>326</v>
      </c>
      <c r="N172" s="189" t="s">
        <v>508</v>
      </c>
      <c r="O172" s="189" t="s">
        <v>244</v>
      </c>
      <c r="P172" s="189" t="s">
        <v>111</v>
      </c>
      <c r="Q172" s="189" t="s">
        <v>112</v>
      </c>
      <c r="R172" s="189" t="s">
        <v>22</v>
      </c>
      <c r="S172" s="189" t="s">
        <v>120</v>
      </c>
      <c r="T172" s="189" t="s">
        <v>121</v>
      </c>
      <c r="U172" s="189" t="s">
        <v>122</v>
      </c>
      <c r="V172" s="189" t="s">
        <v>192</v>
      </c>
      <c r="W172" s="189" t="s">
        <v>124</v>
      </c>
      <c r="X172" s="189" t="s">
        <v>339</v>
      </c>
      <c r="Y172" s="189" t="s">
        <v>339</v>
      </c>
      <c r="Z172" s="189" t="s">
        <v>3198</v>
      </c>
      <c r="AG172" s="189" t="s">
        <v>3217</v>
      </c>
      <c r="AH172" s="189" t="s">
        <v>3235</v>
      </c>
    </row>
    <row r="173" customFormat="false" ht="15" hidden="false" customHeight="true" outlineLevel="0" collapsed="false">
      <c r="A173" s="0" t="n">
        <v>172</v>
      </c>
      <c r="B173" s="191" t="n">
        <v>46091.8824321356</v>
      </c>
      <c r="C173" s="191" t="n">
        <v>46091.8858927838</v>
      </c>
      <c r="D173" s="189" t="s">
        <v>1344</v>
      </c>
      <c r="E173" s="189" t="s">
        <v>1345</v>
      </c>
      <c r="F173" s="189" t="s">
        <v>1345</v>
      </c>
      <c r="G173" s="189" t="s">
        <v>1346</v>
      </c>
      <c r="H173" s="191" t="n">
        <v>46072</v>
      </c>
      <c r="I173" s="189" t="s">
        <v>113</v>
      </c>
      <c r="J173" s="189" t="s">
        <v>128</v>
      </c>
      <c r="K173" s="189" t="s">
        <v>1347</v>
      </c>
      <c r="L173" s="189" t="s">
        <v>144</v>
      </c>
      <c r="M173" s="189" t="s">
        <v>1313</v>
      </c>
      <c r="N173" s="189" t="s">
        <v>1094</v>
      </c>
      <c r="O173" s="189" t="s">
        <v>750</v>
      </c>
      <c r="P173" s="189" t="s">
        <v>111</v>
      </c>
      <c r="Q173" s="189" t="s">
        <v>112</v>
      </c>
      <c r="R173" s="189" t="s">
        <v>22</v>
      </c>
      <c r="S173" s="189" t="s">
        <v>152</v>
      </c>
      <c r="T173" s="189" t="s">
        <v>121</v>
      </c>
      <c r="U173" s="189" t="s">
        <v>122</v>
      </c>
      <c r="V173" s="189" t="s">
        <v>192</v>
      </c>
      <c r="W173" s="189" t="s">
        <v>139</v>
      </c>
      <c r="X173" s="189" t="s">
        <v>116</v>
      </c>
      <c r="Y173" s="189" t="s">
        <v>116</v>
      </c>
      <c r="Z173" s="189" t="s">
        <v>3095</v>
      </c>
      <c r="AA173" s="189" t="s">
        <v>3065</v>
      </c>
      <c r="AB173" s="189" t="s">
        <v>3081</v>
      </c>
      <c r="AG173" s="189" t="s">
        <v>122</v>
      </c>
    </row>
    <row r="174" customFormat="false" ht="15" hidden="false" customHeight="true" outlineLevel="0" collapsed="false">
      <c r="A174" s="0" t="n">
        <v>173</v>
      </c>
      <c r="B174" s="191" t="n">
        <v>46209.9086453804</v>
      </c>
      <c r="C174" s="191" t="n">
        <v>46209.9251384359</v>
      </c>
      <c r="D174" s="189" t="s">
        <v>1349</v>
      </c>
      <c r="E174" s="189" t="s">
        <v>1350</v>
      </c>
      <c r="F174" s="189" t="s">
        <v>1351</v>
      </c>
      <c r="G174" s="189" t="s">
        <v>1352</v>
      </c>
      <c r="H174" s="191" t="n">
        <v>46203</v>
      </c>
      <c r="I174" s="189" t="s">
        <v>113</v>
      </c>
      <c r="J174" s="189" t="s">
        <v>108</v>
      </c>
      <c r="K174" s="189" t="s">
        <v>1353</v>
      </c>
      <c r="L174" s="189" t="s">
        <v>130</v>
      </c>
      <c r="M174" s="189" t="s">
        <v>594</v>
      </c>
      <c r="N174" s="189" t="s">
        <v>905</v>
      </c>
      <c r="O174" s="189" t="s">
        <v>244</v>
      </c>
      <c r="P174" s="189" t="s">
        <v>111</v>
      </c>
      <c r="Q174" s="189" t="s">
        <v>112</v>
      </c>
      <c r="R174" s="189" t="s">
        <v>22</v>
      </c>
      <c r="S174" s="189" t="s">
        <v>120</v>
      </c>
      <c r="T174" s="189" t="s">
        <v>121</v>
      </c>
      <c r="U174" s="189" t="s">
        <v>153</v>
      </c>
      <c r="V174" s="189" t="s">
        <v>167</v>
      </c>
      <c r="W174" s="189" t="s">
        <v>124</v>
      </c>
      <c r="X174" s="189" t="s">
        <v>135</v>
      </c>
      <c r="Y174" s="189" t="s">
        <v>135</v>
      </c>
      <c r="Z174" s="189" t="s">
        <v>3071</v>
      </c>
      <c r="AG174" s="189" t="s">
        <v>122</v>
      </c>
      <c r="AH174" s="189" t="s">
        <v>3203</v>
      </c>
    </row>
    <row r="175" customFormat="false" ht="15" hidden="false" customHeight="true" outlineLevel="0" collapsed="false">
      <c r="A175" s="0" t="n">
        <v>174</v>
      </c>
      <c r="B175" s="191" t="n">
        <v>46165.6693362971</v>
      </c>
      <c r="C175" s="191" t="n">
        <v>46165.683074723</v>
      </c>
      <c r="D175" s="189" t="s">
        <v>1356</v>
      </c>
      <c r="E175" s="189" t="s">
        <v>1357</v>
      </c>
      <c r="F175" s="189" t="s">
        <v>1357</v>
      </c>
      <c r="G175" s="189" t="s">
        <v>1358</v>
      </c>
      <c r="H175" s="191" t="n">
        <v>46155</v>
      </c>
      <c r="I175" s="189" t="s">
        <v>132</v>
      </c>
      <c r="J175" s="189" t="s">
        <v>108</v>
      </c>
      <c r="K175" s="189" t="s">
        <v>257</v>
      </c>
      <c r="L175" s="189" t="s">
        <v>491</v>
      </c>
      <c r="M175" s="189" t="s">
        <v>612</v>
      </c>
      <c r="N175" s="189" t="s">
        <v>1323</v>
      </c>
      <c r="O175" s="189" t="s">
        <v>244</v>
      </c>
      <c r="P175" s="189" t="s">
        <v>111</v>
      </c>
      <c r="Q175" s="189" t="s">
        <v>112</v>
      </c>
      <c r="R175" s="189" t="s">
        <v>22</v>
      </c>
      <c r="S175" s="189" t="s">
        <v>152</v>
      </c>
      <c r="T175" s="189" t="s">
        <v>121</v>
      </c>
      <c r="U175" s="189" t="s">
        <v>1361</v>
      </c>
      <c r="V175" s="189" t="s">
        <v>192</v>
      </c>
      <c r="W175" s="189" t="s">
        <v>139</v>
      </c>
      <c r="X175" s="189" t="s">
        <v>298</v>
      </c>
      <c r="Y175" s="189" t="s">
        <v>298</v>
      </c>
      <c r="Z175" s="189" t="s">
        <v>3195</v>
      </c>
      <c r="AA175" s="189" t="s">
        <v>3125</v>
      </c>
      <c r="AB175" s="189" t="s">
        <v>3194</v>
      </c>
      <c r="AG175" s="189" t="s">
        <v>3268</v>
      </c>
      <c r="AH175" s="189" t="s">
        <v>3272</v>
      </c>
    </row>
    <row r="176" customFormat="false" ht="15" hidden="false" customHeight="true" outlineLevel="0" collapsed="false">
      <c r="A176" s="0" t="n">
        <v>175</v>
      </c>
      <c r="B176" s="191" t="n">
        <v>46119.5003133806</v>
      </c>
      <c r="C176" s="191" t="n">
        <v>46119.5203018066</v>
      </c>
      <c r="D176" s="189" t="s">
        <v>1362</v>
      </c>
      <c r="E176" s="189" t="s">
        <v>1363</v>
      </c>
      <c r="F176" s="189" t="s">
        <v>1363</v>
      </c>
      <c r="G176" s="189" t="s">
        <v>1364</v>
      </c>
      <c r="H176" s="191" t="n">
        <v>46117</v>
      </c>
      <c r="I176" s="189" t="s">
        <v>305</v>
      </c>
      <c r="J176" s="189" t="s">
        <v>108</v>
      </c>
      <c r="K176" s="189" t="s">
        <v>364</v>
      </c>
      <c r="L176" s="189" t="s">
        <v>286</v>
      </c>
      <c r="M176" s="189" t="s">
        <v>477</v>
      </c>
      <c r="N176" s="189" t="s">
        <v>1050</v>
      </c>
      <c r="O176" s="189" t="s">
        <v>172</v>
      </c>
      <c r="P176" s="189" t="s">
        <v>111</v>
      </c>
      <c r="Q176" s="189" t="s">
        <v>112</v>
      </c>
      <c r="R176" s="189" t="s">
        <v>22</v>
      </c>
      <c r="S176" s="189" t="s">
        <v>152</v>
      </c>
      <c r="T176" s="189" t="s">
        <v>121</v>
      </c>
      <c r="U176" s="189" t="s">
        <v>122</v>
      </c>
      <c r="V176" s="189" t="s">
        <v>167</v>
      </c>
      <c r="W176" s="189" t="s">
        <v>124</v>
      </c>
      <c r="X176" s="189" t="s">
        <v>148</v>
      </c>
      <c r="Y176" s="189" t="s">
        <v>148</v>
      </c>
      <c r="Z176" s="189" t="s">
        <v>3092</v>
      </c>
      <c r="AA176" s="189" t="s">
        <v>3076</v>
      </c>
      <c r="AB176" s="189" t="s">
        <v>3186</v>
      </c>
      <c r="AG176" s="189" t="s">
        <v>3079</v>
      </c>
      <c r="AH176" s="189" t="s">
        <v>3282</v>
      </c>
    </row>
    <row r="177" customFormat="false" ht="15" hidden="false" customHeight="true" outlineLevel="0" collapsed="false">
      <c r="A177" s="0" t="n">
        <v>176</v>
      </c>
      <c r="B177" s="191" t="n">
        <v>46152.4170747177</v>
      </c>
      <c r="C177" s="191" t="n">
        <v>46152.4361256436</v>
      </c>
      <c r="D177" s="189" t="s">
        <v>1368</v>
      </c>
      <c r="E177" s="189" t="s">
        <v>1369</v>
      </c>
      <c r="F177" s="189" t="s">
        <v>1370</v>
      </c>
      <c r="G177" s="189" t="s">
        <v>1371</v>
      </c>
      <c r="H177" s="191" t="n">
        <v>46143</v>
      </c>
      <c r="I177" s="189" t="s">
        <v>113</v>
      </c>
      <c r="J177" s="189" t="s">
        <v>108</v>
      </c>
      <c r="K177" s="189" t="s">
        <v>1372</v>
      </c>
      <c r="L177" s="189" t="s">
        <v>130</v>
      </c>
      <c r="M177" s="189" t="s">
        <v>566</v>
      </c>
      <c r="N177" s="189" t="s">
        <v>357</v>
      </c>
      <c r="O177" s="189" t="s">
        <v>244</v>
      </c>
      <c r="P177" s="189" t="s">
        <v>111</v>
      </c>
      <c r="Q177" s="189" t="s">
        <v>112</v>
      </c>
      <c r="R177" s="189" t="s">
        <v>22</v>
      </c>
      <c r="S177" s="189" t="s">
        <v>152</v>
      </c>
      <c r="T177" s="189" t="s">
        <v>228</v>
      </c>
      <c r="U177" s="189" t="s">
        <v>1376</v>
      </c>
      <c r="V177" s="189" t="s">
        <v>123</v>
      </c>
      <c r="W177" s="189" t="s">
        <v>124</v>
      </c>
      <c r="X177" s="189" t="s">
        <v>715</v>
      </c>
      <c r="Y177" s="189" t="s">
        <v>715</v>
      </c>
      <c r="Z177" s="189" t="s">
        <v>3252</v>
      </c>
      <c r="AG177" s="189" t="s">
        <v>3232</v>
      </c>
      <c r="AH177" s="189" t="s">
        <v>3229</v>
      </c>
    </row>
    <row r="178" customFormat="false" ht="15" hidden="false" customHeight="true" outlineLevel="0" collapsed="false">
      <c r="A178" s="0" t="n">
        <v>177</v>
      </c>
      <c r="B178" s="191" t="n">
        <v>46215.8590683469</v>
      </c>
      <c r="C178" s="191" t="n">
        <v>46215.8635359395</v>
      </c>
      <c r="D178" s="189" t="s">
        <v>1377</v>
      </c>
      <c r="E178" s="189" t="s">
        <v>1378</v>
      </c>
      <c r="F178" s="189" t="s">
        <v>1378</v>
      </c>
      <c r="G178" s="189" t="s">
        <v>1379</v>
      </c>
      <c r="H178" s="191" t="n">
        <v>46214</v>
      </c>
      <c r="I178" s="189" t="s">
        <v>132</v>
      </c>
      <c r="J178" s="189" t="s">
        <v>108</v>
      </c>
      <c r="K178" s="189" t="s">
        <v>364</v>
      </c>
      <c r="L178" s="189" t="s">
        <v>296</v>
      </c>
      <c r="M178" s="189" t="s">
        <v>1380</v>
      </c>
      <c r="N178" s="189" t="s">
        <v>1381</v>
      </c>
      <c r="O178" s="189" t="s">
        <v>107</v>
      </c>
      <c r="P178" s="189" t="s">
        <v>111</v>
      </c>
      <c r="Q178" s="189" t="s">
        <v>112</v>
      </c>
      <c r="R178" s="189" t="s">
        <v>22</v>
      </c>
      <c r="S178" s="189" t="s">
        <v>152</v>
      </c>
      <c r="T178" s="189" t="s">
        <v>180</v>
      </c>
      <c r="U178" s="189" t="s">
        <v>562</v>
      </c>
      <c r="V178" s="189" t="s">
        <v>123</v>
      </c>
      <c r="W178" s="189" t="s">
        <v>124</v>
      </c>
      <c r="X178" s="189" t="s">
        <v>116</v>
      </c>
      <c r="Y178" s="189" t="s">
        <v>116</v>
      </c>
      <c r="Z178" s="189" t="s">
        <v>3095</v>
      </c>
      <c r="AG178" s="189" t="s">
        <v>122</v>
      </c>
      <c r="AH178" s="189" t="s">
        <v>3083</v>
      </c>
    </row>
    <row r="179" customFormat="false" ht="15" hidden="false" customHeight="true" outlineLevel="0" collapsed="false">
      <c r="A179" s="0" t="n">
        <v>178</v>
      </c>
      <c r="B179" s="191" t="n">
        <v>46172.5915652542</v>
      </c>
      <c r="C179" s="191" t="n">
        <v>46172.6022365505</v>
      </c>
      <c r="D179" s="189" t="s">
        <v>1382</v>
      </c>
      <c r="E179" s="189" t="s">
        <v>1383</v>
      </c>
      <c r="F179" s="189" t="s">
        <v>1383</v>
      </c>
      <c r="G179" s="189" t="s">
        <v>1384</v>
      </c>
      <c r="H179" s="191" t="n">
        <v>46162</v>
      </c>
      <c r="I179" s="189" t="s">
        <v>113</v>
      </c>
      <c r="J179" s="189" t="s">
        <v>128</v>
      </c>
      <c r="K179" s="189" t="s">
        <v>173</v>
      </c>
      <c r="L179" s="189" t="s">
        <v>110</v>
      </c>
      <c r="M179" s="189" t="s">
        <v>944</v>
      </c>
      <c r="N179" s="189" t="s">
        <v>440</v>
      </c>
      <c r="O179" s="189" t="s">
        <v>278</v>
      </c>
      <c r="P179" s="189" t="s">
        <v>111</v>
      </c>
      <c r="Q179" s="189" t="s">
        <v>112</v>
      </c>
      <c r="R179" s="189" t="s">
        <v>23</v>
      </c>
      <c r="S179" s="189" t="s">
        <v>152</v>
      </c>
      <c r="T179" s="189" t="s">
        <v>352</v>
      </c>
      <c r="U179" s="189" t="s">
        <v>122</v>
      </c>
      <c r="V179" s="189" t="s">
        <v>123</v>
      </c>
      <c r="W179" s="189" t="s">
        <v>124</v>
      </c>
      <c r="X179" s="189" t="s">
        <v>442</v>
      </c>
      <c r="Y179" s="189" t="s">
        <v>442</v>
      </c>
      <c r="AK179" s="189" t="s">
        <v>441</v>
      </c>
    </row>
    <row r="180" customFormat="false" ht="15" hidden="false" customHeight="true" outlineLevel="0" collapsed="false">
      <c r="A180" s="0" t="n">
        <v>179</v>
      </c>
      <c r="B180" s="191" t="n">
        <v>46160.4779811219</v>
      </c>
      <c r="C180" s="191" t="n">
        <v>46160.4851454738</v>
      </c>
      <c r="D180" s="189" t="s">
        <v>1385</v>
      </c>
      <c r="E180" s="189" t="s">
        <v>1386</v>
      </c>
      <c r="F180" s="189" t="s">
        <v>1386</v>
      </c>
      <c r="G180" s="189" t="s">
        <v>1387</v>
      </c>
      <c r="H180" s="191" t="n">
        <v>46145</v>
      </c>
      <c r="I180" s="189" t="s">
        <v>113</v>
      </c>
      <c r="J180" s="189" t="s">
        <v>108</v>
      </c>
      <c r="K180" s="189" t="s">
        <v>245</v>
      </c>
      <c r="L180" s="189" t="s">
        <v>159</v>
      </c>
      <c r="M180" s="189" t="s">
        <v>1388</v>
      </c>
      <c r="N180" s="189" t="s">
        <v>775</v>
      </c>
      <c r="O180" s="189" t="s">
        <v>172</v>
      </c>
      <c r="P180" s="189" t="s">
        <v>111</v>
      </c>
      <c r="Q180" s="189" t="s">
        <v>112</v>
      </c>
      <c r="R180" s="189" t="s">
        <v>22</v>
      </c>
      <c r="S180" s="189" t="s">
        <v>227</v>
      </c>
      <c r="T180" s="189" t="s">
        <v>121</v>
      </c>
      <c r="U180" s="189" t="s">
        <v>122</v>
      </c>
      <c r="V180" s="189" t="s">
        <v>192</v>
      </c>
      <c r="W180" s="189" t="s">
        <v>124</v>
      </c>
      <c r="X180" s="189" t="s">
        <v>381</v>
      </c>
      <c r="Y180" s="189" t="s">
        <v>381</v>
      </c>
      <c r="Z180" s="189" t="s">
        <v>3233</v>
      </c>
      <c r="AG180" s="189" t="s">
        <v>3234</v>
      </c>
      <c r="AH180" s="189" t="s">
        <v>3163</v>
      </c>
    </row>
    <row r="181" customFormat="false" ht="15" hidden="false" customHeight="true" outlineLevel="0" collapsed="false">
      <c r="A181" s="0" t="n">
        <v>180</v>
      </c>
      <c r="B181" s="191" t="n">
        <v>46179.1209941503</v>
      </c>
      <c r="C181" s="191" t="n">
        <v>46179.1417464651</v>
      </c>
      <c r="D181" s="189" t="s">
        <v>1391</v>
      </c>
      <c r="E181" s="189" t="s">
        <v>1392</v>
      </c>
      <c r="F181" s="189" t="s">
        <v>1392</v>
      </c>
      <c r="G181" s="189" t="s">
        <v>1393</v>
      </c>
      <c r="H181" s="191" t="n">
        <v>46159</v>
      </c>
      <c r="I181" s="189" t="s">
        <v>113</v>
      </c>
      <c r="J181" s="189" t="s">
        <v>295</v>
      </c>
      <c r="K181" s="189" t="s">
        <v>196</v>
      </c>
      <c r="L181" s="189" t="s">
        <v>130</v>
      </c>
      <c r="M181" s="189" t="s">
        <v>594</v>
      </c>
      <c r="N181" s="189" t="s">
        <v>147</v>
      </c>
      <c r="O181" s="189" t="s">
        <v>278</v>
      </c>
      <c r="P181" s="189" t="s">
        <v>111</v>
      </c>
      <c r="Q181" s="189" t="s">
        <v>112</v>
      </c>
      <c r="R181" s="189" t="s">
        <v>22</v>
      </c>
      <c r="S181" s="189" t="s">
        <v>152</v>
      </c>
      <c r="T181" s="189" t="s">
        <v>264</v>
      </c>
      <c r="U181" s="189" t="s">
        <v>1395</v>
      </c>
      <c r="V181" s="189" t="s">
        <v>192</v>
      </c>
      <c r="W181" s="189" t="s">
        <v>168</v>
      </c>
      <c r="X181" s="189" t="s">
        <v>715</v>
      </c>
      <c r="Y181" s="189" t="s">
        <v>715</v>
      </c>
      <c r="Z181" s="189" t="s">
        <v>3251</v>
      </c>
      <c r="AA181" s="189" t="s">
        <v>3252</v>
      </c>
      <c r="AG181" s="189" t="s">
        <v>3228</v>
      </c>
      <c r="AH181" s="189" t="s">
        <v>3229</v>
      </c>
    </row>
    <row r="182" customFormat="false" ht="15" hidden="false" customHeight="true" outlineLevel="0" collapsed="false">
      <c r="A182" s="0" t="n">
        <v>181</v>
      </c>
      <c r="B182" s="191" t="n">
        <v>46112.4178414083</v>
      </c>
      <c r="C182" s="191" t="n">
        <v>46112.4247974268</v>
      </c>
      <c r="D182" s="189" t="s">
        <v>1396</v>
      </c>
      <c r="E182" s="189" t="s">
        <v>1397</v>
      </c>
      <c r="F182" s="189" t="s">
        <v>1397</v>
      </c>
      <c r="G182" s="189" t="s">
        <v>1398</v>
      </c>
      <c r="H182" s="191" t="n">
        <v>46100</v>
      </c>
      <c r="I182" s="189" t="s">
        <v>113</v>
      </c>
      <c r="J182" s="189" t="s">
        <v>295</v>
      </c>
      <c r="K182" s="189" t="s">
        <v>245</v>
      </c>
      <c r="L182" s="189" t="s">
        <v>286</v>
      </c>
      <c r="M182" s="189" t="s">
        <v>212</v>
      </c>
      <c r="N182" s="189" t="s">
        <v>1144</v>
      </c>
      <c r="O182" s="189" t="s">
        <v>244</v>
      </c>
      <c r="P182" s="189" t="s">
        <v>111</v>
      </c>
      <c r="Q182" s="189" t="s">
        <v>112</v>
      </c>
      <c r="R182" s="189" t="s">
        <v>24</v>
      </c>
      <c r="S182" s="189" t="s">
        <v>120</v>
      </c>
      <c r="T182" s="189" t="s">
        <v>121</v>
      </c>
      <c r="U182" s="189" t="s">
        <v>994</v>
      </c>
      <c r="V182" s="189" t="s">
        <v>123</v>
      </c>
      <c r="W182" s="189" t="s">
        <v>139</v>
      </c>
      <c r="X182" s="189" t="s">
        <v>223</v>
      </c>
      <c r="Y182" s="189" t="s">
        <v>223</v>
      </c>
      <c r="Z182" s="189" t="s">
        <v>3104</v>
      </c>
      <c r="AA182" s="189" t="s">
        <v>3096</v>
      </c>
      <c r="AG182" s="189" t="s">
        <v>3150</v>
      </c>
    </row>
    <row r="183" customFormat="false" ht="15" hidden="false" customHeight="true" outlineLevel="0" collapsed="false">
      <c r="A183" s="0" t="n">
        <v>182</v>
      </c>
      <c r="B183" s="191" t="n">
        <v>46064.8343045168</v>
      </c>
      <c r="C183" s="191" t="n">
        <v>46064.8464920168</v>
      </c>
      <c r="D183" s="189" t="s">
        <v>1401</v>
      </c>
      <c r="E183" s="189" t="s">
        <v>1402</v>
      </c>
      <c r="F183" s="189" t="s">
        <v>1402</v>
      </c>
      <c r="G183" s="189" t="s">
        <v>1403</v>
      </c>
      <c r="H183" s="191" t="n">
        <v>46051</v>
      </c>
      <c r="I183" s="189" t="s">
        <v>113</v>
      </c>
      <c r="J183" s="189" t="s">
        <v>108</v>
      </c>
      <c r="K183" s="189" t="s">
        <v>196</v>
      </c>
      <c r="L183" s="189" t="s">
        <v>210</v>
      </c>
      <c r="M183" s="189" t="s">
        <v>133</v>
      </c>
      <c r="N183" s="189" t="s">
        <v>567</v>
      </c>
      <c r="O183" s="189" t="s">
        <v>244</v>
      </c>
      <c r="P183" s="189" t="s">
        <v>111</v>
      </c>
      <c r="Q183" s="189" t="s">
        <v>112</v>
      </c>
      <c r="R183" s="189" t="s">
        <v>24</v>
      </c>
      <c r="S183" s="189" t="s">
        <v>152</v>
      </c>
      <c r="T183" s="189" t="s">
        <v>1406</v>
      </c>
      <c r="U183" s="189" t="s">
        <v>122</v>
      </c>
      <c r="V183" s="189" t="s">
        <v>192</v>
      </c>
      <c r="W183" s="189" t="s">
        <v>168</v>
      </c>
      <c r="X183" s="189" t="s">
        <v>223</v>
      </c>
      <c r="Y183" s="189" t="s">
        <v>223</v>
      </c>
      <c r="Z183" s="189" t="s">
        <v>3120</v>
      </c>
      <c r="AA183" s="189" t="s">
        <v>3097</v>
      </c>
      <c r="AB183" s="189" t="s">
        <v>3121</v>
      </c>
      <c r="AG183" s="189" t="s">
        <v>3106</v>
      </c>
      <c r="AH183" s="189" t="s">
        <v>3150</v>
      </c>
    </row>
    <row r="184" customFormat="false" ht="15" hidden="false" customHeight="true" outlineLevel="0" collapsed="false">
      <c r="A184" s="0" t="n">
        <v>183</v>
      </c>
      <c r="B184" s="191" t="n">
        <v>46124.6431157911</v>
      </c>
      <c r="C184" s="191" t="n">
        <v>46124.6569005133</v>
      </c>
      <c r="D184" s="189" t="s">
        <v>1407</v>
      </c>
      <c r="E184" s="189" t="s">
        <v>1408</v>
      </c>
      <c r="F184" s="189" t="s">
        <v>1409</v>
      </c>
      <c r="G184" s="189" t="s">
        <v>1410</v>
      </c>
      <c r="H184" s="191" t="n">
        <v>46109</v>
      </c>
      <c r="I184" s="189" t="s">
        <v>113</v>
      </c>
      <c r="J184" s="189" t="s">
        <v>295</v>
      </c>
      <c r="K184" s="189" t="s">
        <v>232</v>
      </c>
      <c r="L184" s="189" t="s">
        <v>197</v>
      </c>
      <c r="M184" s="189" t="s">
        <v>160</v>
      </c>
      <c r="N184" s="189" t="s">
        <v>899</v>
      </c>
      <c r="O184" s="189" t="s">
        <v>244</v>
      </c>
      <c r="P184" s="189" t="s">
        <v>211</v>
      </c>
      <c r="Q184" s="189" t="s">
        <v>112</v>
      </c>
      <c r="R184" s="189" t="s">
        <v>24</v>
      </c>
      <c r="S184" s="189" t="s">
        <v>152</v>
      </c>
      <c r="T184" s="189" t="s">
        <v>165</v>
      </c>
      <c r="U184" s="189" t="s">
        <v>426</v>
      </c>
      <c r="V184" s="189" t="s">
        <v>123</v>
      </c>
      <c r="W184" s="189" t="s">
        <v>124</v>
      </c>
      <c r="X184" s="189" t="s">
        <v>19</v>
      </c>
      <c r="Y184" s="189" t="s">
        <v>19</v>
      </c>
      <c r="AK184" s="189" t="s">
        <v>880</v>
      </c>
    </row>
    <row r="185" customFormat="false" ht="15" hidden="false" customHeight="true" outlineLevel="0" collapsed="false">
      <c r="A185" s="0" t="n">
        <v>184</v>
      </c>
      <c r="B185" s="191" t="n">
        <v>46155.5206566044</v>
      </c>
      <c r="C185" s="191" t="n">
        <v>46155.5282144747</v>
      </c>
      <c r="D185" s="189" t="s">
        <v>1411</v>
      </c>
      <c r="E185" s="189" t="s">
        <v>1412</v>
      </c>
      <c r="F185" s="189" t="s">
        <v>1412</v>
      </c>
      <c r="G185" s="189" t="s">
        <v>1413</v>
      </c>
      <c r="H185" s="191" t="n">
        <v>46137</v>
      </c>
      <c r="I185" s="189" t="s">
        <v>113</v>
      </c>
      <c r="J185" s="189" t="s">
        <v>108</v>
      </c>
      <c r="K185" s="189" t="s">
        <v>173</v>
      </c>
      <c r="L185" s="189" t="s">
        <v>130</v>
      </c>
      <c r="M185" s="189" t="s">
        <v>447</v>
      </c>
      <c r="N185" s="189" t="s">
        <v>819</v>
      </c>
      <c r="O185" s="189" t="s">
        <v>107</v>
      </c>
      <c r="P185" s="189" t="s">
        <v>111</v>
      </c>
      <c r="Q185" s="189" t="s">
        <v>112</v>
      </c>
      <c r="R185" s="189" t="s">
        <v>22</v>
      </c>
      <c r="S185" s="189" t="s">
        <v>120</v>
      </c>
      <c r="T185" s="189" t="s">
        <v>180</v>
      </c>
      <c r="V185" s="189" t="s">
        <v>192</v>
      </c>
      <c r="W185" s="189" t="s">
        <v>124</v>
      </c>
      <c r="X185" s="189" t="s">
        <v>715</v>
      </c>
      <c r="Y185" s="189" t="s">
        <v>715</v>
      </c>
      <c r="Z185" s="189" t="s">
        <v>3251</v>
      </c>
      <c r="AA185" s="189" t="s">
        <v>3252</v>
      </c>
      <c r="AG185" s="189" t="s">
        <v>3232</v>
      </c>
    </row>
    <row r="186" customFormat="false" ht="15" hidden="false" customHeight="true" outlineLevel="0" collapsed="false">
      <c r="A186" s="0" t="n">
        <v>185</v>
      </c>
      <c r="B186" s="191" t="n">
        <v>46047.2901629285</v>
      </c>
      <c r="C186" s="191" t="n">
        <v>46047.2935425582</v>
      </c>
      <c r="D186" s="189" t="s">
        <v>1414</v>
      </c>
      <c r="E186" s="189" t="s">
        <v>1415</v>
      </c>
      <c r="F186" s="189" t="s">
        <v>1415</v>
      </c>
      <c r="G186" s="189" t="s">
        <v>1416</v>
      </c>
      <c r="H186" s="191" t="n">
        <v>46043</v>
      </c>
      <c r="I186" s="189" t="s">
        <v>113</v>
      </c>
      <c r="J186" s="189" t="s">
        <v>295</v>
      </c>
      <c r="K186" s="189" t="s">
        <v>245</v>
      </c>
      <c r="L186" s="189" t="s">
        <v>184</v>
      </c>
      <c r="M186" s="189" t="s">
        <v>133</v>
      </c>
      <c r="N186" s="189" t="s">
        <v>200</v>
      </c>
      <c r="O186" s="189" t="s">
        <v>157</v>
      </c>
      <c r="P186" s="189" t="s">
        <v>111</v>
      </c>
      <c r="Q186" s="189" t="s">
        <v>145</v>
      </c>
      <c r="R186" s="189" t="s">
        <v>24</v>
      </c>
      <c r="S186" s="189" t="s">
        <v>152</v>
      </c>
      <c r="T186" s="189" t="s">
        <v>228</v>
      </c>
      <c r="U186" s="189" t="s">
        <v>1420</v>
      </c>
      <c r="V186" s="189" t="s">
        <v>123</v>
      </c>
      <c r="W186" s="189" t="s">
        <v>124</v>
      </c>
      <c r="X186" s="189" t="s">
        <v>260</v>
      </c>
      <c r="Y186" s="189" t="s">
        <v>260</v>
      </c>
      <c r="Z186" s="189" t="s">
        <v>3288</v>
      </c>
      <c r="AA186" s="189" t="s">
        <v>3262</v>
      </c>
      <c r="AB186" s="189" t="s">
        <v>3109</v>
      </c>
      <c r="AG186" s="189" t="s">
        <v>3259</v>
      </c>
      <c r="AH186" s="189" t="s">
        <v>3113</v>
      </c>
    </row>
    <row r="187" customFormat="false" ht="15" hidden="false" customHeight="true" outlineLevel="0" collapsed="false">
      <c r="A187" s="0" t="n">
        <v>186</v>
      </c>
      <c r="B187" s="191" t="n">
        <v>46159.8049111831</v>
      </c>
      <c r="C187" s="191" t="n">
        <v>46159.8065778498</v>
      </c>
      <c r="D187" s="189" t="s">
        <v>1421</v>
      </c>
      <c r="E187" s="189" t="s">
        <v>1422</v>
      </c>
      <c r="F187" s="189" t="s">
        <v>1422</v>
      </c>
      <c r="G187" s="189" t="s">
        <v>1423</v>
      </c>
      <c r="H187" s="191" t="n">
        <v>46145</v>
      </c>
      <c r="I187" s="189" t="s">
        <v>336</v>
      </c>
      <c r="J187" s="189" t="s">
        <v>108</v>
      </c>
      <c r="K187" s="189" t="s">
        <v>173</v>
      </c>
      <c r="L187" s="189" t="s">
        <v>114</v>
      </c>
      <c r="M187" s="189" t="s">
        <v>1074</v>
      </c>
      <c r="N187" s="189" t="s">
        <v>1094</v>
      </c>
      <c r="O187" s="189" t="s">
        <v>172</v>
      </c>
      <c r="P187" s="189" t="s">
        <v>211</v>
      </c>
      <c r="Q187" s="189" t="s">
        <v>112</v>
      </c>
      <c r="R187" s="189" t="s">
        <v>24</v>
      </c>
      <c r="S187" s="189" t="s">
        <v>120</v>
      </c>
      <c r="T187" s="189" t="s">
        <v>180</v>
      </c>
      <c r="V187" s="189" t="s">
        <v>192</v>
      </c>
      <c r="W187" s="189" t="s">
        <v>124</v>
      </c>
      <c r="X187" s="189" t="s">
        <v>448</v>
      </c>
      <c r="Y187" s="189" t="s">
        <v>448</v>
      </c>
      <c r="Z187" s="189" t="s">
        <v>3174</v>
      </c>
      <c r="AA187" s="189" t="s">
        <v>3173</v>
      </c>
      <c r="AG187" s="189" t="s">
        <v>3179</v>
      </c>
      <c r="AH187" s="189" t="s">
        <v>3178</v>
      </c>
    </row>
    <row r="188" customFormat="false" ht="15" hidden="false" customHeight="true" outlineLevel="0" collapsed="false">
      <c r="A188" s="0" t="n">
        <v>187</v>
      </c>
      <c r="B188" s="191" t="n">
        <v>46216.214552064</v>
      </c>
      <c r="C188" s="191" t="n">
        <v>46216.2162187307</v>
      </c>
      <c r="D188" s="189" t="s">
        <v>1426</v>
      </c>
      <c r="E188" s="189" t="s">
        <v>1427</v>
      </c>
      <c r="F188" s="189" t="s">
        <v>1428</v>
      </c>
      <c r="G188" s="189" t="s">
        <v>1429</v>
      </c>
      <c r="H188" s="191" t="n">
        <v>46213</v>
      </c>
      <c r="I188" s="189" t="s">
        <v>113</v>
      </c>
      <c r="J188" s="189" t="s">
        <v>108</v>
      </c>
      <c r="K188" s="189" t="s">
        <v>232</v>
      </c>
      <c r="L188" s="189" t="s">
        <v>286</v>
      </c>
      <c r="M188" s="189" t="s">
        <v>269</v>
      </c>
      <c r="N188" s="189" t="s">
        <v>775</v>
      </c>
      <c r="O188" s="189" t="s">
        <v>244</v>
      </c>
      <c r="P188" s="189" t="s">
        <v>111</v>
      </c>
      <c r="Q188" s="189" t="s">
        <v>112</v>
      </c>
      <c r="R188" s="189" t="s">
        <v>24</v>
      </c>
      <c r="S188" s="189" t="s">
        <v>120</v>
      </c>
      <c r="T188" s="189" t="s">
        <v>264</v>
      </c>
      <c r="U188" s="189" t="s">
        <v>122</v>
      </c>
      <c r="V188" s="189" t="s">
        <v>167</v>
      </c>
      <c r="W188" s="189" t="s">
        <v>124</v>
      </c>
      <c r="X188" s="189" t="s">
        <v>223</v>
      </c>
      <c r="Y188" s="189" t="s">
        <v>223</v>
      </c>
      <c r="Z188" s="189" t="s">
        <v>3096</v>
      </c>
      <c r="AA188" s="189" t="s">
        <v>3103</v>
      </c>
      <c r="AB188" s="189" t="s">
        <v>3104</v>
      </c>
      <c r="AG188" s="189" t="s">
        <v>3101</v>
      </c>
    </row>
    <row r="189" customFormat="false" ht="15" hidden="false" customHeight="true" outlineLevel="0" collapsed="false">
      <c r="A189" s="0" t="n">
        <v>188</v>
      </c>
      <c r="B189" s="191" t="n">
        <v>46214.9950406917</v>
      </c>
      <c r="C189" s="191" t="n">
        <v>46215.0115684695</v>
      </c>
      <c r="D189" s="189" t="s">
        <v>1433</v>
      </c>
      <c r="E189" s="189" t="s">
        <v>1434</v>
      </c>
      <c r="F189" s="189" t="s">
        <v>1434</v>
      </c>
      <c r="G189" s="189" t="s">
        <v>1435</v>
      </c>
      <c r="H189" s="191" t="n">
        <v>46206</v>
      </c>
      <c r="I189" s="189" t="s">
        <v>325</v>
      </c>
      <c r="J189" s="189" t="s">
        <v>295</v>
      </c>
      <c r="K189" s="189" t="s">
        <v>257</v>
      </c>
      <c r="L189" s="189" t="s">
        <v>346</v>
      </c>
      <c r="M189" s="189" t="s">
        <v>212</v>
      </c>
      <c r="N189" s="189" t="s">
        <v>743</v>
      </c>
      <c r="O189" s="189" t="s">
        <v>278</v>
      </c>
      <c r="P189" s="189" t="s">
        <v>111</v>
      </c>
      <c r="Q189" s="189" t="s">
        <v>112</v>
      </c>
      <c r="R189" s="189" t="s">
        <v>22</v>
      </c>
      <c r="S189" s="189" t="s">
        <v>152</v>
      </c>
      <c r="T189" s="189" t="s">
        <v>180</v>
      </c>
      <c r="U189" s="189" t="s">
        <v>122</v>
      </c>
      <c r="V189" s="189" t="s">
        <v>123</v>
      </c>
      <c r="W189" s="189" t="s">
        <v>124</v>
      </c>
      <c r="X189" s="189" t="s">
        <v>135</v>
      </c>
      <c r="Y189" s="189" t="s">
        <v>135</v>
      </c>
      <c r="Z189" s="189" t="s">
        <v>3072</v>
      </c>
      <c r="AA189" s="189" t="s">
        <v>3071</v>
      </c>
      <c r="AG189" s="189" t="s">
        <v>3152</v>
      </c>
    </row>
    <row r="190" customFormat="false" ht="15" hidden="false" customHeight="true" outlineLevel="0" collapsed="false">
      <c r="A190" s="0" t="n">
        <v>189</v>
      </c>
      <c r="B190" s="191" t="n">
        <v>46083.907047879</v>
      </c>
      <c r="C190" s="191" t="n">
        <v>46083.9092585272</v>
      </c>
      <c r="D190" s="189" t="s">
        <v>1437</v>
      </c>
      <c r="E190" s="189" t="s">
        <v>1438</v>
      </c>
      <c r="F190" s="189" t="s">
        <v>1439</v>
      </c>
      <c r="G190" s="189" t="s">
        <v>1440</v>
      </c>
      <c r="H190" s="191" t="n">
        <v>46075</v>
      </c>
      <c r="I190" s="189" t="s">
        <v>325</v>
      </c>
      <c r="J190" s="189" t="s">
        <v>108</v>
      </c>
      <c r="K190" s="189" t="s">
        <v>173</v>
      </c>
      <c r="L190" s="189" t="s">
        <v>197</v>
      </c>
      <c r="M190" s="189" t="s">
        <v>439</v>
      </c>
      <c r="N190" s="189" t="s">
        <v>1441</v>
      </c>
      <c r="O190" s="189" t="s">
        <v>278</v>
      </c>
      <c r="P190" s="189" t="s">
        <v>111</v>
      </c>
      <c r="Q190" s="189" t="s">
        <v>112</v>
      </c>
      <c r="R190" s="189" t="s">
        <v>22</v>
      </c>
      <c r="S190" s="189" t="s">
        <v>227</v>
      </c>
      <c r="T190" s="189" t="s">
        <v>496</v>
      </c>
      <c r="U190" s="189" t="s">
        <v>122</v>
      </c>
      <c r="V190" s="189" t="s">
        <v>167</v>
      </c>
      <c r="W190" s="189" t="s">
        <v>124</v>
      </c>
      <c r="X190" s="189" t="s">
        <v>116</v>
      </c>
      <c r="Y190" s="189" t="s">
        <v>116</v>
      </c>
      <c r="Z190" s="189" t="s">
        <v>3095</v>
      </c>
      <c r="AA190" s="189" t="s">
        <v>3065</v>
      </c>
      <c r="AB190" s="189" t="s">
        <v>3107</v>
      </c>
      <c r="AG190" s="189" t="s">
        <v>3083</v>
      </c>
    </row>
    <row r="191" customFormat="false" ht="15" hidden="false" customHeight="true" outlineLevel="0" collapsed="false">
      <c r="A191" s="0" t="n">
        <v>190</v>
      </c>
      <c r="B191" s="191" t="n">
        <v>46150.0043839825</v>
      </c>
      <c r="C191" s="191" t="n">
        <v>46150.0211085196</v>
      </c>
      <c r="D191" s="189" t="s">
        <v>1443</v>
      </c>
      <c r="E191" s="189" t="s">
        <v>1444</v>
      </c>
      <c r="F191" s="189" t="s">
        <v>1444</v>
      </c>
      <c r="G191" s="189" t="s">
        <v>1445</v>
      </c>
      <c r="H191" s="191" t="n">
        <v>46140</v>
      </c>
      <c r="I191" s="189" t="s">
        <v>113</v>
      </c>
      <c r="J191" s="189" t="s">
        <v>108</v>
      </c>
      <c r="K191" s="189" t="s">
        <v>143</v>
      </c>
      <c r="L191" s="189" t="s">
        <v>268</v>
      </c>
      <c r="M191" s="189" t="s">
        <v>477</v>
      </c>
      <c r="N191" s="189" t="s">
        <v>306</v>
      </c>
      <c r="O191" s="189" t="s">
        <v>107</v>
      </c>
      <c r="P191" s="189" t="s">
        <v>111</v>
      </c>
      <c r="Q191" s="189" t="s">
        <v>247</v>
      </c>
      <c r="R191" s="189" t="s">
        <v>22</v>
      </c>
      <c r="S191" s="189" t="s">
        <v>152</v>
      </c>
      <c r="T191" s="189" t="s">
        <v>352</v>
      </c>
      <c r="V191" s="189" t="s">
        <v>123</v>
      </c>
      <c r="W191" s="189" t="s">
        <v>124</v>
      </c>
      <c r="X191" s="189" t="s">
        <v>148</v>
      </c>
      <c r="Y191" s="189" t="s">
        <v>148</v>
      </c>
      <c r="Z191" s="189" t="s">
        <v>3186</v>
      </c>
      <c r="AA191" s="189" t="s">
        <v>3122</v>
      </c>
      <c r="AB191" s="189" t="s">
        <v>3281</v>
      </c>
      <c r="AG191" s="189" t="s">
        <v>3188</v>
      </c>
    </row>
    <row r="192" customFormat="false" ht="15" hidden="false" customHeight="true" outlineLevel="0" collapsed="false">
      <c r="A192" s="0" t="n">
        <v>191</v>
      </c>
      <c r="B192" s="191" t="n">
        <v>46198.6981329563</v>
      </c>
      <c r="C192" s="191" t="n">
        <v>46198.7101699933</v>
      </c>
      <c r="D192" s="189" t="s">
        <v>1447</v>
      </c>
      <c r="E192" s="189" t="s">
        <v>1448</v>
      </c>
      <c r="F192" s="189" t="s">
        <v>1449</v>
      </c>
      <c r="G192" s="189" t="s">
        <v>1450</v>
      </c>
      <c r="H192" s="191" t="n">
        <v>46197</v>
      </c>
      <c r="I192" s="189" t="s">
        <v>305</v>
      </c>
      <c r="J192" s="189" t="s">
        <v>295</v>
      </c>
      <c r="K192" s="189" t="s">
        <v>143</v>
      </c>
      <c r="L192" s="189" t="s">
        <v>233</v>
      </c>
      <c r="M192" s="189" t="s">
        <v>248</v>
      </c>
      <c r="N192" s="189" t="s">
        <v>893</v>
      </c>
      <c r="O192" s="189" t="s">
        <v>172</v>
      </c>
      <c r="P192" s="189" t="s">
        <v>111</v>
      </c>
      <c r="Q192" s="189" t="s">
        <v>112</v>
      </c>
      <c r="R192" s="189" t="s">
        <v>22</v>
      </c>
      <c r="S192" s="189" t="s">
        <v>152</v>
      </c>
      <c r="T192" s="189" t="s">
        <v>180</v>
      </c>
      <c r="U192" s="189" t="s">
        <v>122</v>
      </c>
      <c r="V192" s="189" t="s">
        <v>167</v>
      </c>
      <c r="W192" s="189" t="s">
        <v>168</v>
      </c>
      <c r="X192" s="189" t="s">
        <v>148</v>
      </c>
      <c r="Y192" s="189" t="s">
        <v>148</v>
      </c>
      <c r="Z192" s="189" t="s">
        <v>3092</v>
      </c>
      <c r="AG192" s="189" t="s">
        <v>3282</v>
      </c>
      <c r="AH192" s="189" t="s">
        <v>3188</v>
      </c>
    </row>
    <row r="193" customFormat="false" ht="15" hidden="false" customHeight="true" outlineLevel="0" collapsed="false">
      <c r="A193" s="0" t="n">
        <v>192</v>
      </c>
      <c r="B193" s="191" t="n">
        <v>46050.2600326301</v>
      </c>
      <c r="C193" s="191" t="n">
        <v>46050.2629261486</v>
      </c>
      <c r="D193" s="189" t="s">
        <v>1453</v>
      </c>
      <c r="E193" s="189" t="s">
        <v>1454</v>
      </c>
      <c r="F193" s="189" t="s">
        <v>1454</v>
      </c>
      <c r="G193" s="189" t="s">
        <v>1455</v>
      </c>
      <c r="H193" s="191" t="n">
        <v>46047</v>
      </c>
      <c r="I193" s="189" t="s">
        <v>551</v>
      </c>
      <c r="J193" s="189" t="s">
        <v>295</v>
      </c>
      <c r="K193" s="189" t="s">
        <v>1456</v>
      </c>
      <c r="L193" s="189" t="s">
        <v>286</v>
      </c>
      <c r="M193" s="189" t="s">
        <v>594</v>
      </c>
      <c r="N193" s="189" t="s">
        <v>174</v>
      </c>
      <c r="O193" s="189" t="s">
        <v>172</v>
      </c>
      <c r="P193" s="189" t="s">
        <v>111</v>
      </c>
      <c r="Q193" s="189" t="s">
        <v>145</v>
      </c>
      <c r="R193" s="189" t="s">
        <v>22</v>
      </c>
      <c r="S193" s="189" t="s">
        <v>152</v>
      </c>
      <c r="T193" s="189" t="s">
        <v>121</v>
      </c>
      <c r="U193" s="189" t="s">
        <v>547</v>
      </c>
      <c r="V193" s="189" t="s">
        <v>192</v>
      </c>
      <c r="W193" s="189" t="s">
        <v>124</v>
      </c>
      <c r="X193" s="189" t="s">
        <v>116</v>
      </c>
      <c r="Y193" s="189" t="s">
        <v>116</v>
      </c>
      <c r="Z193" s="189" t="s">
        <v>3139</v>
      </c>
      <c r="AG193" s="189" t="s">
        <v>3108</v>
      </c>
    </row>
    <row r="194" customFormat="false" ht="15" hidden="false" customHeight="true" outlineLevel="0" collapsed="false">
      <c r="A194" s="0" t="n">
        <v>193</v>
      </c>
      <c r="B194" s="191" t="n">
        <v>46057.9306951736</v>
      </c>
      <c r="C194" s="191" t="n">
        <v>46057.9344451736</v>
      </c>
      <c r="D194" s="189" t="s">
        <v>1458</v>
      </c>
      <c r="E194" s="189" t="s">
        <v>1459</v>
      </c>
      <c r="F194" s="189" t="s">
        <v>1459</v>
      </c>
      <c r="G194" s="189" t="s">
        <v>1460</v>
      </c>
      <c r="H194" s="191" t="n">
        <v>46038</v>
      </c>
      <c r="I194" s="189" t="s">
        <v>325</v>
      </c>
      <c r="J194" s="189" t="s">
        <v>108</v>
      </c>
      <c r="K194" s="189" t="s">
        <v>462</v>
      </c>
      <c r="L194" s="189" t="s">
        <v>246</v>
      </c>
      <c r="M194" s="189" t="s">
        <v>185</v>
      </c>
      <c r="N194" s="189" t="s">
        <v>440</v>
      </c>
      <c r="O194" s="189" t="s">
        <v>172</v>
      </c>
      <c r="P194" s="189" t="s">
        <v>111</v>
      </c>
      <c r="Q194" s="189" t="s">
        <v>247</v>
      </c>
      <c r="R194" s="189" t="s">
        <v>22</v>
      </c>
      <c r="S194" s="189" t="s">
        <v>152</v>
      </c>
      <c r="T194" s="189" t="s">
        <v>121</v>
      </c>
      <c r="V194" s="189" t="s">
        <v>167</v>
      </c>
      <c r="W194" s="189" t="s">
        <v>124</v>
      </c>
      <c r="X194" s="189" t="s">
        <v>381</v>
      </c>
      <c r="Y194" s="189" t="s">
        <v>381</v>
      </c>
      <c r="Z194" s="189" t="s">
        <v>3249</v>
      </c>
      <c r="AA194" s="189" t="s">
        <v>3159</v>
      </c>
      <c r="AB194" s="189" t="s">
        <v>3180</v>
      </c>
      <c r="AG194" s="189" t="s">
        <v>3234</v>
      </c>
      <c r="AH194" s="189" t="s">
        <v>3162</v>
      </c>
    </row>
    <row r="195" customFormat="false" ht="15" hidden="false" customHeight="true" outlineLevel="0" collapsed="false">
      <c r="A195" s="0" t="n">
        <v>194</v>
      </c>
      <c r="B195" s="191" t="n">
        <v>46185.3867514123</v>
      </c>
      <c r="C195" s="191" t="n">
        <v>46185.3937190049</v>
      </c>
      <c r="D195" s="189" t="s">
        <v>1463</v>
      </c>
      <c r="E195" s="189" t="s">
        <v>1464</v>
      </c>
      <c r="F195" s="189" t="s">
        <v>1465</v>
      </c>
      <c r="G195" s="189" t="s">
        <v>1466</v>
      </c>
      <c r="H195" s="191" t="n">
        <v>46169</v>
      </c>
      <c r="I195" s="189" t="s">
        <v>113</v>
      </c>
      <c r="J195" s="189" t="s">
        <v>108</v>
      </c>
      <c r="K195" s="189" t="s">
        <v>143</v>
      </c>
      <c r="L195" s="189" t="s">
        <v>296</v>
      </c>
      <c r="M195" s="189" t="s">
        <v>797</v>
      </c>
      <c r="N195" s="189" t="s">
        <v>810</v>
      </c>
      <c r="O195" s="189" t="s">
        <v>405</v>
      </c>
      <c r="P195" s="189" t="s">
        <v>111</v>
      </c>
      <c r="Q195" s="189" t="s">
        <v>112</v>
      </c>
      <c r="R195" s="189" t="s">
        <v>24</v>
      </c>
      <c r="S195" s="189" t="s">
        <v>152</v>
      </c>
      <c r="T195" s="189" t="s">
        <v>121</v>
      </c>
      <c r="U195" s="189" t="s">
        <v>1063</v>
      </c>
      <c r="V195" s="189" t="s">
        <v>123</v>
      </c>
      <c r="W195" s="189" t="s">
        <v>124</v>
      </c>
      <c r="X195" s="189" t="s">
        <v>214</v>
      </c>
      <c r="Y195" s="189" t="s">
        <v>214</v>
      </c>
      <c r="Z195" s="189" t="s">
        <v>3107</v>
      </c>
      <c r="AA195" s="189" t="s">
        <v>3065</v>
      </c>
      <c r="AG195" s="189" t="s">
        <v>3108</v>
      </c>
      <c r="AH195" s="189" t="s">
        <v>3070</v>
      </c>
    </row>
    <row r="196" customFormat="false" ht="15" hidden="false" customHeight="true" outlineLevel="0" collapsed="false">
      <c r="A196" s="0" t="n">
        <v>195</v>
      </c>
      <c r="B196" s="191" t="n">
        <v>46209.5561727033</v>
      </c>
      <c r="C196" s="191" t="n">
        <v>46209.5697606663</v>
      </c>
      <c r="D196" s="189" t="s">
        <v>1467</v>
      </c>
      <c r="E196" s="189" t="s">
        <v>1468</v>
      </c>
      <c r="F196" s="189" t="s">
        <v>1469</v>
      </c>
      <c r="G196" s="189" t="s">
        <v>1470</v>
      </c>
      <c r="H196" s="191" t="n">
        <v>46202</v>
      </c>
      <c r="I196" s="189" t="s">
        <v>113</v>
      </c>
      <c r="J196" s="189" t="s">
        <v>108</v>
      </c>
      <c r="K196" s="189" t="s">
        <v>143</v>
      </c>
      <c r="L196" s="189" t="s">
        <v>144</v>
      </c>
      <c r="M196" s="189" t="s">
        <v>286</v>
      </c>
      <c r="N196" s="189" t="s">
        <v>893</v>
      </c>
      <c r="O196" s="189" t="s">
        <v>278</v>
      </c>
      <c r="P196" s="189" t="s">
        <v>111</v>
      </c>
      <c r="Q196" s="189" t="s">
        <v>112</v>
      </c>
      <c r="R196" s="189" t="s">
        <v>22</v>
      </c>
      <c r="S196" s="189" t="s">
        <v>227</v>
      </c>
      <c r="T196" s="189" t="s">
        <v>121</v>
      </c>
      <c r="V196" s="189" t="s">
        <v>192</v>
      </c>
      <c r="W196" s="189" t="s">
        <v>124</v>
      </c>
      <c r="X196" s="189" t="s">
        <v>176</v>
      </c>
      <c r="Y196" s="189" t="s">
        <v>176</v>
      </c>
      <c r="Z196" s="189" t="s">
        <v>3290</v>
      </c>
      <c r="AA196" s="189" t="s">
        <v>3085</v>
      </c>
      <c r="AG196" s="189" t="s">
        <v>3270</v>
      </c>
      <c r="AH196" s="189" t="s">
        <v>3242</v>
      </c>
    </row>
    <row r="197" customFormat="false" ht="15" hidden="false" customHeight="true" outlineLevel="0" collapsed="false">
      <c r="A197" s="0" t="n">
        <v>196</v>
      </c>
      <c r="B197" s="191" t="n">
        <v>46036.3493218179</v>
      </c>
      <c r="C197" s="191" t="n">
        <v>46036.364182929</v>
      </c>
      <c r="D197" s="189" t="s">
        <v>1474</v>
      </c>
      <c r="E197" s="189" t="s">
        <v>1475</v>
      </c>
      <c r="F197" s="189" t="s">
        <v>1475</v>
      </c>
      <c r="G197" s="189" t="s">
        <v>1476</v>
      </c>
      <c r="H197" s="191" t="n">
        <v>46033</v>
      </c>
      <c r="I197" s="189" t="s">
        <v>113</v>
      </c>
      <c r="J197" s="189" t="s">
        <v>108</v>
      </c>
      <c r="K197" s="189" t="s">
        <v>1477</v>
      </c>
      <c r="L197" s="189" t="s">
        <v>144</v>
      </c>
      <c r="M197" s="189" t="s">
        <v>447</v>
      </c>
      <c r="N197" s="189" t="s">
        <v>990</v>
      </c>
      <c r="O197" s="189" t="s">
        <v>157</v>
      </c>
      <c r="P197" s="189" t="s">
        <v>111</v>
      </c>
      <c r="Q197" s="189" t="s">
        <v>112</v>
      </c>
      <c r="R197" s="189" t="s">
        <v>24</v>
      </c>
      <c r="S197" s="189" t="s">
        <v>152</v>
      </c>
      <c r="T197" s="189" t="s">
        <v>121</v>
      </c>
      <c r="V197" s="189" t="s">
        <v>167</v>
      </c>
      <c r="W197" s="189" t="s">
        <v>124</v>
      </c>
      <c r="X197" s="189" t="s">
        <v>223</v>
      </c>
      <c r="Y197" s="189" t="s">
        <v>223</v>
      </c>
      <c r="Z197" s="189" t="s">
        <v>3120</v>
      </c>
      <c r="AA197" s="189" t="s">
        <v>3098</v>
      </c>
      <c r="AB197" s="189" t="s">
        <v>3103</v>
      </c>
      <c r="AG197" s="189" t="s">
        <v>3102</v>
      </c>
      <c r="AH197" s="189" t="s">
        <v>3106</v>
      </c>
    </row>
    <row r="198" customFormat="false" ht="15" hidden="false" customHeight="true" outlineLevel="0" collapsed="false">
      <c r="A198" s="0" t="n">
        <v>197</v>
      </c>
      <c r="B198" s="191" t="n">
        <v>46103.3536630161</v>
      </c>
      <c r="C198" s="191" t="n">
        <v>46103.3585819976</v>
      </c>
      <c r="D198" s="189" t="s">
        <v>1480</v>
      </c>
      <c r="E198" s="189" t="s">
        <v>1481</v>
      </c>
      <c r="F198" s="189" t="s">
        <v>1481</v>
      </c>
      <c r="G198" s="189" t="s">
        <v>1482</v>
      </c>
      <c r="H198" s="191" t="n">
        <v>46090</v>
      </c>
      <c r="I198" s="189" t="s">
        <v>325</v>
      </c>
      <c r="J198" s="189" t="s">
        <v>108</v>
      </c>
      <c r="K198" s="189" t="s">
        <v>173</v>
      </c>
      <c r="L198" s="189" t="s">
        <v>159</v>
      </c>
      <c r="M198" s="189" t="s">
        <v>484</v>
      </c>
      <c r="N198" s="189" t="s">
        <v>849</v>
      </c>
      <c r="O198" s="189" t="s">
        <v>405</v>
      </c>
      <c r="P198" s="189" t="s">
        <v>111</v>
      </c>
      <c r="Q198" s="189" t="s">
        <v>112</v>
      </c>
      <c r="R198" s="189" t="s">
        <v>22</v>
      </c>
      <c r="S198" s="189" t="s">
        <v>120</v>
      </c>
      <c r="T198" s="189" t="s">
        <v>121</v>
      </c>
      <c r="V198" s="189" t="s">
        <v>192</v>
      </c>
      <c r="W198" s="189" t="s">
        <v>168</v>
      </c>
      <c r="X198" s="189" t="s">
        <v>176</v>
      </c>
      <c r="Y198" s="189" t="s">
        <v>176</v>
      </c>
      <c r="Z198" s="189" t="s">
        <v>3292</v>
      </c>
      <c r="AG198" s="189" t="s">
        <v>3294</v>
      </c>
      <c r="AH198" s="189" t="s">
        <v>3242</v>
      </c>
    </row>
    <row r="199" customFormat="false" ht="15" hidden="false" customHeight="true" outlineLevel="0" collapsed="false">
      <c r="A199" s="0" t="n">
        <v>198</v>
      </c>
      <c r="B199" s="191" t="n">
        <v>46119.8628468329</v>
      </c>
      <c r="C199" s="191" t="n">
        <v>46119.8825227588</v>
      </c>
      <c r="D199" s="189" t="s">
        <v>1486</v>
      </c>
      <c r="E199" s="189" t="s">
        <v>1487</v>
      </c>
      <c r="F199" s="189" t="s">
        <v>1487</v>
      </c>
      <c r="G199" s="189" t="s">
        <v>1488</v>
      </c>
      <c r="H199" s="191" t="n">
        <v>46107</v>
      </c>
      <c r="I199" s="189" t="s">
        <v>113</v>
      </c>
      <c r="J199" s="189" t="s">
        <v>128</v>
      </c>
      <c r="K199" s="189" t="s">
        <v>173</v>
      </c>
      <c r="L199" s="189" t="s">
        <v>110</v>
      </c>
      <c r="M199" s="189" t="s">
        <v>652</v>
      </c>
      <c r="N199" s="189" t="s">
        <v>841</v>
      </c>
      <c r="O199" s="189" t="s">
        <v>107</v>
      </c>
      <c r="P199" s="189" t="s">
        <v>111</v>
      </c>
      <c r="Q199" s="189" t="s">
        <v>145</v>
      </c>
      <c r="R199" s="189" t="s">
        <v>23</v>
      </c>
      <c r="S199" s="189" t="s">
        <v>120</v>
      </c>
      <c r="T199" s="189" t="s">
        <v>121</v>
      </c>
      <c r="U199" s="189" t="s">
        <v>1489</v>
      </c>
      <c r="V199" s="189" t="s">
        <v>167</v>
      </c>
      <c r="W199" s="189" t="s">
        <v>124</v>
      </c>
      <c r="X199" s="189" t="s">
        <v>442</v>
      </c>
      <c r="Y199" s="189" t="s">
        <v>442</v>
      </c>
      <c r="AK199" s="189" t="s">
        <v>441</v>
      </c>
    </row>
    <row r="200" customFormat="false" ht="15" hidden="false" customHeight="true" outlineLevel="0" collapsed="false">
      <c r="A200" s="0" t="n">
        <v>199</v>
      </c>
      <c r="B200" s="191" t="n">
        <v>46149.7828128013</v>
      </c>
      <c r="C200" s="191" t="n">
        <v>46149.7988660421</v>
      </c>
      <c r="D200" s="189" t="s">
        <v>1490</v>
      </c>
      <c r="E200" s="189" t="s">
        <v>1491</v>
      </c>
      <c r="F200" s="189" t="s">
        <v>1491</v>
      </c>
      <c r="G200" s="189" t="s">
        <v>1492</v>
      </c>
      <c r="H200" s="191" t="n">
        <v>46144</v>
      </c>
      <c r="I200" s="189" t="s">
        <v>113</v>
      </c>
      <c r="J200" s="189" t="s">
        <v>295</v>
      </c>
      <c r="K200" s="189" t="s">
        <v>143</v>
      </c>
      <c r="L200" s="189" t="s">
        <v>431</v>
      </c>
      <c r="M200" s="189" t="s">
        <v>492</v>
      </c>
      <c r="N200" s="189" t="s">
        <v>893</v>
      </c>
      <c r="O200" s="189" t="s">
        <v>244</v>
      </c>
      <c r="P200" s="189" t="s">
        <v>390</v>
      </c>
      <c r="Q200" s="189" t="s">
        <v>112</v>
      </c>
      <c r="R200" s="189" t="s">
        <v>24</v>
      </c>
      <c r="S200" s="189" t="s">
        <v>120</v>
      </c>
      <c r="T200" s="189" t="s">
        <v>352</v>
      </c>
      <c r="U200" s="189" t="s">
        <v>122</v>
      </c>
      <c r="V200" s="189" t="s">
        <v>192</v>
      </c>
      <c r="W200" s="189" t="s">
        <v>124</v>
      </c>
      <c r="X200" s="189" t="s">
        <v>19</v>
      </c>
      <c r="Y200" s="189" t="s">
        <v>19</v>
      </c>
      <c r="AK200" s="189" t="s">
        <v>880</v>
      </c>
    </row>
    <row r="201" customFormat="false" ht="15" hidden="false" customHeight="true" outlineLevel="0" collapsed="false">
      <c r="A201" s="0" t="n">
        <v>200</v>
      </c>
      <c r="B201" s="191" t="n">
        <v>46055.1045808603</v>
      </c>
      <c r="C201" s="191" t="n">
        <v>46055.1178447492</v>
      </c>
      <c r="D201" s="189" t="s">
        <v>1493</v>
      </c>
      <c r="E201" s="189" t="s">
        <v>1494</v>
      </c>
      <c r="F201" s="189" t="s">
        <v>1494</v>
      </c>
      <c r="G201" s="189" t="s">
        <v>1495</v>
      </c>
      <c r="H201" s="191" t="n">
        <v>46040</v>
      </c>
      <c r="I201" s="189" t="s">
        <v>336</v>
      </c>
      <c r="J201" s="189" t="s">
        <v>295</v>
      </c>
      <c r="K201" s="189" t="s">
        <v>232</v>
      </c>
      <c r="L201" s="189" t="s">
        <v>296</v>
      </c>
      <c r="M201" s="189" t="s">
        <v>864</v>
      </c>
      <c r="N201" s="189" t="s">
        <v>407</v>
      </c>
      <c r="O201" s="189" t="s">
        <v>278</v>
      </c>
      <c r="P201" s="189" t="s">
        <v>111</v>
      </c>
      <c r="Q201" s="189" t="s">
        <v>145</v>
      </c>
      <c r="R201" s="189" t="s">
        <v>22</v>
      </c>
      <c r="S201" s="189" t="s">
        <v>152</v>
      </c>
      <c r="T201" s="189" t="s">
        <v>121</v>
      </c>
      <c r="V201" s="189" t="s">
        <v>123</v>
      </c>
      <c r="W201" s="189" t="s">
        <v>139</v>
      </c>
      <c r="X201" s="189" t="s">
        <v>381</v>
      </c>
      <c r="Y201" s="189" t="s">
        <v>381</v>
      </c>
      <c r="Z201" s="189" t="s">
        <v>3159</v>
      </c>
      <c r="AG201" s="189" t="s">
        <v>3162</v>
      </c>
    </row>
    <row r="202" customFormat="false" ht="15" hidden="false" customHeight="true" outlineLevel="0" collapsed="false">
      <c r="A202" s="0" t="n">
        <v>201</v>
      </c>
      <c r="B202" s="191" t="n">
        <v>46215.5855533292</v>
      </c>
      <c r="C202" s="191" t="n">
        <v>46215.5900672181</v>
      </c>
      <c r="D202" s="189" t="s">
        <v>1497</v>
      </c>
      <c r="E202" s="189" t="s">
        <v>1498</v>
      </c>
      <c r="F202" s="189" t="s">
        <v>1498</v>
      </c>
      <c r="G202" s="189" t="s">
        <v>1499</v>
      </c>
      <c r="H202" s="191" t="n">
        <v>46201</v>
      </c>
      <c r="I202" s="189" t="s">
        <v>336</v>
      </c>
      <c r="J202" s="189" t="s">
        <v>108</v>
      </c>
      <c r="K202" s="189" t="s">
        <v>1500</v>
      </c>
      <c r="L202" s="189" t="s">
        <v>246</v>
      </c>
      <c r="M202" s="189" t="s">
        <v>789</v>
      </c>
      <c r="N202" s="189" t="s">
        <v>905</v>
      </c>
      <c r="O202" s="189" t="s">
        <v>278</v>
      </c>
      <c r="P202" s="189" t="s">
        <v>131</v>
      </c>
      <c r="Q202" s="189" t="s">
        <v>112</v>
      </c>
      <c r="R202" s="189" t="s">
        <v>22</v>
      </c>
      <c r="S202" s="189" t="s">
        <v>152</v>
      </c>
      <c r="T202" s="189" t="s">
        <v>121</v>
      </c>
      <c r="U202" s="189" t="s">
        <v>122</v>
      </c>
      <c r="V202" s="189" t="s">
        <v>192</v>
      </c>
      <c r="W202" s="189" t="s">
        <v>124</v>
      </c>
      <c r="X202" s="189" t="s">
        <v>271</v>
      </c>
      <c r="Y202" s="189" t="s">
        <v>271</v>
      </c>
      <c r="Z202" s="189" t="s">
        <v>3136</v>
      </c>
      <c r="AA202" s="189" t="s">
        <v>3135</v>
      </c>
      <c r="AB202" s="189" t="s">
        <v>3114</v>
      </c>
      <c r="AG202" s="189" t="s">
        <v>3119</v>
      </c>
    </row>
    <row r="203" customFormat="false" ht="15" hidden="false" customHeight="true" outlineLevel="0" collapsed="false">
      <c r="A203" s="0" t="n">
        <v>202</v>
      </c>
      <c r="B203" s="191" t="n">
        <v>46116.6079473963</v>
      </c>
      <c r="C203" s="191" t="n">
        <v>46116.6131441555</v>
      </c>
      <c r="D203" s="189" t="s">
        <v>1503</v>
      </c>
      <c r="E203" s="189" t="s">
        <v>1504</v>
      </c>
      <c r="F203" s="189" t="s">
        <v>1504</v>
      </c>
      <c r="G203" s="189" t="s">
        <v>1505</v>
      </c>
      <c r="H203" s="191" t="n">
        <v>46111</v>
      </c>
      <c r="I203" s="189" t="s">
        <v>113</v>
      </c>
      <c r="J203" s="189" t="s">
        <v>295</v>
      </c>
      <c r="K203" s="189" t="s">
        <v>364</v>
      </c>
      <c r="L203" s="189" t="s">
        <v>268</v>
      </c>
      <c r="M203" s="189" t="s">
        <v>1313</v>
      </c>
      <c r="N203" s="189" t="s">
        <v>1224</v>
      </c>
      <c r="O203" s="189" t="s">
        <v>1506</v>
      </c>
      <c r="P203" s="189" t="s">
        <v>111</v>
      </c>
      <c r="Q203" s="189" t="s">
        <v>112</v>
      </c>
      <c r="R203" s="189" t="s">
        <v>22</v>
      </c>
      <c r="S203" s="189" t="s">
        <v>152</v>
      </c>
      <c r="T203" s="189" t="s">
        <v>121</v>
      </c>
      <c r="V203" s="189" t="s">
        <v>167</v>
      </c>
      <c r="W203" s="189" t="s">
        <v>124</v>
      </c>
      <c r="X203" s="189" t="s">
        <v>298</v>
      </c>
      <c r="Y203" s="189" t="s">
        <v>298</v>
      </c>
      <c r="Z203" s="189" t="s">
        <v>3124</v>
      </c>
      <c r="AG203" s="189" t="s">
        <v>3295</v>
      </c>
      <c r="AH203" s="189" t="s">
        <v>3215</v>
      </c>
    </row>
    <row r="204" customFormat="false" ht="15" hidden="false" customHeight="true" outlineLevel="0" collapsed="false">
      <c r="A204" s="0" t="n">
        <v>203</v>
      </c>
      <c r="B204" s="191" t="n">
        <v>46153.3452336194</v>
      </c>
      <c r="C204" s="191" t="n">
        <v>46153.3542035268</v>
      </c>
      <c r="D204" s="189" t="s">
        <v>1509</v>
      </c>
      <c r="E204" s="189" t="s">
        <v>1510</v>
      </c>
      <c r="F204" s="189" t="s">
        <v>1511</v>
      </c>
      <c r="G204" s="189" t="s">
        <v>1512</v>
      </c>
      <c r="H204" s="191" t="n">
        <v>46136</v>
      </c>
      <c r="I204" s="189" t="s">
        <v>1268</v>
      </c>
      <c r="J204" s="189" t="s">
        <v>108</v>
      </c>
      <c r="K204" s="189" t="s">
        <v>196</v>
      </c>
      <c r="L204" s="189" t="s">
        <v>130</v>
      </c>
      <c r="M204" s="189" t="s">
        <v>234</v>
      </c>
      <c r="N204" s="189" t="s">
        <v>337</v>
      </c>
      <c r="O204" s="189" t="s">
        <v>405</v>
      </c>
      <c r="P204" s="189" t="s">
        <v>390</v>
      </c>
      <c r="Q204" s="189" t="s">
        <v>145</v>
      </c>
      <c r="R204" s="189" t="s">
        <v>24</v>
      </c>
      <c r="S204" s="189" t="s">
        <v>152</v>
      </c>
      <c r="T204" s="189" t="s">
        <v>180</v>
      </c>
      <c r="V204" s="189" t="s">
        <v>123</v>
      </c>
      <c r="W204" s="189" t="s">
        <v>124</v>
      </c>
      <c r="X204" s="189" t="s">
        <v>214</v>
      </c>
      <c r="Y204" s="189" t="s">
        <v>214</v>
      </c>
      <c r="Z204" s="189" t="s">
        <v>3081</v>
      </c>
      <c r="AA204" s="189" t="s">
        <v>3095</v>
      </c>
      <c r="AG204" s="189" t="s">
        <v>3108</v>
      </c>
    </row>
    <row r="205" customFormat="false" ht="15" hidden="false" customHeight="true" outlineLevel="0" collapsed="false">
      <c r="A205" s="0" t="n">
        <v>204</v>
      </c>
      <c r="B205" s="191" t="n">
        <v>46114.7351697567</v>
      </c>
      <c r="C205" s="191" t="n">
        <v>46114.754741516</v>
      </c>
      <c r="D205" s="189" t="s">
        <v>1514</v>
      </c>
      <c r="E205" s="189" t="s">
        <v>1515</v>
      </c>
      <c r="F205" s="189" t="s">
        <v>1515</v>
      </c>
      <c r="G205" s="189" t="s">
        <v>1516</v>
      </c>
      <c r="H205" s="191" t="n">
        <v>46112</v>
      </c>
      <c r="I205" s="189" t="s">
        <v>113</v>
      </c>
      <c r="J205" s="189" t="s">
        <v>108</v>
      </c>
      <c r="K205" s="189" t="s">
        <v>462</v>
      </c>
      <c r="L205" s="189" t="s">
        <v>233</v>
      </c>
      <c r="M205" s="189" t="s">
        <v>809</v>
      </c>
      <c r="N205" s="189" t="s">
        <v>1306</v>
      </c>
      <c r="O205" s="189" t="s">
        <v>244</v>
      </c>
      <c r="P205" s="189" t="s">
        <v>111</v>
      </c>
      <c r="Q205" s="189" t="s">
        <v>112</v>
      </c>
      <c r="R205" s="189" t="s">
        <v>24</v>
      </c>
      <c r="S205" s="189" t="s">
        <v>152</v>
      </c>
      <c r="T205" s="189" t="s">
        <v>121</v>
      </c>
      <c r="U205" s="189" t="s">
        <v>122</v>
      </c>
      <c r="V205" s="189" t="s">
        <v>123</v>
      </c>
      <c r="W205" s="189" t="s">
        <v>168</v>
      </c>
      <c r="X205" s="189" t="s">
        <v>448</v>
      </c>
      <c r="Y205" s="189" t="s">
        <v>448</v>
      </c>
      <c r="Z205" s="189" t="s">
        <v>3189</v>
      </c>
      <c r="AA205" s="189" t="s">
        <v>3191</v>
      </c>
      <c r="AG205" s="189" t="s">
        <v>3179</v>
      </c>
    </row>
    <row r="206" customFormat="false" ht="15" hidden="false" customHeight="true" outlineLevel="0" collapsed="false">
      <c r="A206" s="0" t="n">
        <v>205</v>
      </c>
      <c r="B206" s="191" t="n">
        <v>46212.8478160374</v>
      </c>
      <c r="C206" s="191" t="n">
        <v>46212.8530822411</v>
      </c>
      <c r="D206" s="189" t="s">
        <v>1518</v>
      </c>
      <c r="E206" s="189" t="s">
        <v>1519</v>
      </c>
      <c r="F206" s="189" t="s">
        <v>1519</v>
      </c>
      <c r="G206" s="189" t="s">
        <v>1520</v>
      </c>
      <c r="H206" s="191" t="n">
        <v>46199</v>
      </c>
      <c r="I206" s="189" t="s">
        <v>305</v>
      </c>
      <c r="J206" s="189" t="s">
        <v>108</v>
      </c>
      <c r="K206" s="189" t="s">
        <v>462</v>
      </c>
      <c r="L206" s="189" t="s">
        <v>431</v>
      </c>
      <c r="M206" s="189" t="s">
        <v>612</v>
      </c>
      <c r="N206" s="189" t="s">
        <v>407</v>
      </c>
      <c r="O206" s="189" t="s">
        <v>278</v>
      </c>
      <c r="P206" s="189" t="s">
        <v>111</v>
      </c>
      <c r="Q206" s="189" t="s">
        <v>112</v>
      </c>
      <c r="R206" s="189" t="s">
        <v>24</v>
      </c>
      <c r="S206" s="189" t="s">
        <v>152</v>
      </c>
      <c r="T206" s="189" t="s">
        <v>121</v>
      </c>
      <c r="U206" s="189" t="s">
        <v>1032</v>
      </c>
      <c r="V206" s="189" t="s">
        <v>123</v>
      </c>
      <c r="W206" s="189" t="s">
        <v>124</v>
      </c>
      <c r="X206" s="189" t="s">
        <v>19</v>
      </c>
      <c r="Y206" s="189" t="s">
        <v>19</v>
      </c>
      <c r="AK206" s="189" t="s">
        <v>880</v>
      </c>
    </row>
    <row r="207" customFormat="false" ht="15" hidden="false" customHeight="true" outlineLevel="0" collapsed="false">
      <c r="A207" s="0" t="n">
        <v>206</v>
      </c>
      <c r="B207" s="191" t="n">
        <v>46106.4773364826</v>
      </c>
      <c r="C207" s="191" t="n">
        <v>46106.4877647233</v>
      </c>
      <c r="D207" s="189" t="s">
        <v>1521</v>
      </c>
      <c r="E207" s="189" t="s">
        <v>1522</v>
      </c>
      <c r="F207" s="189" t="s">
        <v>1522</v>
      </c>
      <c r="G207" s="189" t="s">
        <v>1523</v>
      </c>
      <c r="H207" s="191" t="n">
        <v>46105</v>
      </c>
      <c r="I207" s="189" t="s">
        <v>113</v>
      </c>
      <c r="J207" s="189" t="s">
        <v>108</v>
      </c>
      <c r="K207" s="189" t="s">
        <v>196</v>
      </c>
      <c r="L207" s="189" t="s">
        <v>296</v>
      </c>
      <c r="M207" s="189" t="s">
        <v>477</v>
      </c>
      <c r="N207" s="189" t="s">
        <v>990</v>
      </c>
      <c r="O207" s="189" t="s">
        <v>278</v>
      </c>
      <c r="P207" s="189" t="s">
        <v>111</v>
      </c>
      <c r="Q207" s="189" t="s">
        <v>145</v>
      </c>
      <c r="R207" s="189" t="s">
        <v>24</v>
      </c>
      <c r="S207" s="189" t="s">
        <v>152</v>
      </c>
      <c r="T207" s="189" t="s">
        <v>121</v>
      </c>
      <c r="U207" s="189" t="s">
        <v>831</v>
      </c>
      <c r="V207" s="189" t="s">
        <v>192</v>
      </c>
      <c r="W207" s="189" t="s">
        <v>124</v>
      </c>
      <c r="X207" s="189" t="s">
        <v>214</v>
      </c>
      <c r="Y207" s="189" t="s">
        <v>214</v>
      </c>
      <c r="Z207" s="189" t="s">
        <v>3139</v>
      </c>
      <c r="AG207" s="189" t="s">
        <v>122</v>
      </c>
    </row>
    <row r="208" customFormat="false" ht="15" hidden="false" customHeight="true" outlineLevel="0" collapsed="false">
      <c r="A208" s="0" t="n">
        <v>207</v>
      </c>
      <c r="B208" s="191" t="n">
        <v>46050.5411222041</v>
      </c>
      <c r="C208" s="191" t="n">
        <v>46050.558761093</v>
      </c>
      <c r="D208" s="189" t="s">
        <v>1524</v>
      </c>
      <c r="E208" s="189" t="s">
        <v>1525</v>
      </c>
      <c r="F208" s="189" t="s">
        <v>1525</v>
      </c>
      <c r="G208" s="189" t="s">
        <v>1526</v>
      </c>
      <c r="H208" s="191" t="n">
        <v>46047</v>
      </c>
      <c r="I208" s="189" t="s">
        <v>113</v>
      </c>
      <c r="J208" s="189" t="s">
        <v>295</v>
      </c>
      <c r="K208" s="189" t="s">
        <v>1527</v>
      </c>
      <c r="L208" s="189" t="s">
        <v>346</v>
      </c>
      <c r="M208" s="189" t="s">
        <v>870</v>
      </c>
      <c r="N208" s="189" t="s">
        <v>1036</v>
      </c>
      <c r="O208" s="189" t="s">
        <v>172</v>
      </c>
      <c r="P208" s="189" t="s">
        <v>111</v>
      </c>
      <c r="Q208" s="189" t="s">
        <v>112</v>
      </c>
      <c r="R208" s="189" t="s">
        <v>22</v>
      </c>
      <c r="S208" s="189" t="s">
        <v>152</v>
      </c>
      <c r="T208" s="189" t="s">
        <v>180</v>
      </c>
      <c r="V208" s="189" t="s">
        <v>192</v>
      </c>
      <c r="W208" s="189" t="s">
        <v>168</v>
      </c>
      <c r="X208" s="189" t="s">
        <v>298</v>
      </c>
      <c r="Y208" s="189" t="s">
        <v>298</v>
      </c>
      <c r="Z208" s="189" t="s">
        <v>3194</v>
      </c>
      <c r="AG208" s="189" t="s">
        <v>3272</v>
      </c>
      <c r="AH208" s="189" t="s">
        <v>3197</v>
      </c>
    </row>
    <row r="209" customFormat="false" ht="15" hidden="false" customHeight="true" outlineLevel="0" collapsed="false">
      <c r="A209" s="0" t="n">
        <v>208</v>
      </c>
      <c r="B209" s="191" t="n">
        <v>46214.2884802763</v>
      </c>
      <c r="C209" s="191" t="n">
        <v>46214.2973575911</v>
      </c>
      <c r="D209" s="189" t="s">
        <v>1530</v>
      </c>
      <c r="E209" s="189" t="s">
        <v>1531</v>
      </c>
      <c r="F209" s="189" t="s">
        <v>1531</v>
      </c>
      <c r="G209" s="189" t="s">
        <v>1532</v>
      </c>
      <c r="H209" s="191" t="n">
        <v>46205</v>
      </c>
      <c r="I209" s="189" t="s">
        <v>113</v>
      </c>
      <c r="J209" s="189" t="s">
        <v>295</v>
      </c>
      <c r="K209" s="189" t="s">
        <v>257</v>
      </c>
      <c r="L209" s="189" t="s">
        <v>431</v>
      </c>
      <c r="M209" s="189" t="s">
        <v>973</v>
      </c>
      <c r="N209" s="189" t="s">
        <v>701</v>
      </c>
      <c r="O209" s="189" t="s">
        <v>107</v>
      </c>
      <c r="P209" s="189" t="s">
        <v>111</v>
      </c>
      <c r="Q209" s="189" t="s">
        <v>112</v>
      </c>
      <c r="R209" s="189" t="s">
        <v>22</v>
      </c>
      <c r="S209" s="189" t="s">
        <v>120</v>
      </c>
      <c r="T209" s="189" t="s">
        <v>180</v>
      </c>
      <c r="U209" s="189" t="s">
        <v>1015</v>
      </c>
      <c r="V209" s="189" t="s">
        <v>167</v>
      </c>
      <c r="W209" s="189" t="s">
        <v>124</v>
      </c>
      <c r="X209" s="189" t="s">
        <v>298</v>
      </c>
      <c r="Y209" s="189" t="s">
        <v>298</v>
      </c>
      <c r="Z209" s="189" t="s">
        <v>3208</v>
      </c>
      <c r="AG209" s="189" t="s">
        <v>3248</v>
      </c>
    </row>
    <row r="210" customFormat="false" ht="15" hidden="false" customHeight="true" outlineLevel="0" collapsed="false">
      <c r="A210" s="0" t="n">
        <v>209</v>
      </c>
      <c r="B210" s="191" t="n">
        <v>46140.8355293042</v>
      </c>
      <c r="C210" s="191" t="n">
        <v>46140.8387237487</v>
      </c>
      <c r="D210" s="189" t="s">
        <v>1536</v>
      </c>
      <c r="E210" s="189" t="s">
        <v>1537</v>
      </c>
      <c r="F210" s="189" t="s">
        <v>1537</v>
      </c>
      <c r="G210" s="189" t="s">
        <v>1538</v>
      </c>
      <c r="H210" s="191" t="n">
        <v>46140</v>
      </c>
      <c r="I210" s="189" t="s">
        <v>325</v>
      </c>
      <c r="J210" s="189" t="s">
        <v>108</v>
      </c>
      <c r="K210" s="189" t="s">
        <v>196</v>
      </c>
      <c r="L210" s="189" t="s">
        <v>233</v>
      </c>
      <c r="M210" s="189" t="s">
        <v>1151</v>
      </c>
      <c r="N210" s="189" t="s">
        <v>1539</v>
      </c>
      <c r="O210" s="189" t="s">
        <v>172</v>
      </c>
      <c r="P210" s="189" t="s">
        <v>111</v>
      </c>
      <c r="Q210" s="189" t="s">
        <v>112</v>
      </c>
      <c r="R210" s="189" t="s">
        <v>24</v>
      </c>
      <c r="S210" s="189" t="s">
        <v>152</v>
      </c>
      <c r="T210" s="189" t="s">
        <v>121</v>
      </c>
      <c r="U210" s="189" t="s">
        <v>122</v>
      </c>
      <c r="V210" s="189" t="s">
        <v>192</v>
      </c>
      <c r="W210" s="189" t="s">
        <v>124</v>
      </c>
      <c r="X210" s="189" t="s">
        <v>223</v>
      </c>
      <c r="Y210" s="189" t="s">
        <v>223</v>
      </c>
      <c r="Z210" s="189" t="s">
        <v>3104</v>
      </c>
      <c r="AG210" s="189" t="s">
        <v>3106</v>
      </c>
    </row>
    <row r="211" customFormat="false" ht="15" hidden="false" customHeight="true" outlineLevel="0" collapsed="false">
      <c r="A211" s="0" t="n">
        <v>210</v>
      </c>
      <c r="B211" s="191" t="n">
        <v>46177.7521469196</v>
      </c>
      <c r="C211" s="191" t="n">
        <v>46177.7560821048</v>
      </c>
      <c r="D211" s="189" t="s">
        <v>1542</v>
      </c>
      <c r="E211" s="189" t="s">
        <v>1543</v>
      </c>
      <c r="F211" s="189" t="s">
        <v>1543</v>
      </c>
      <c r="G211" s="189" t="s">
        <v>1544</v>
      </c>
      <c r="H211" s="191" t="n">
        <v>46161</v>
      </c>
      <c r="I211" s="189" t="s">
        <v>113</v>
      </c>
      <c r="J211" s="189" t="s">
        <v>108</v>
      </c>
      <c r="K211" s="189" t="s">
        <v>173</v>
      </c>
      <c r="L211" s="189" t="s">
        <v>110</v>
      </c>
      <c r="M211" s="189" t="s">
        <v>566</v>
      </c>
      <c r="N211" s="189" t="s">
        <v>586</v>
      </c>
      <c r="O211" s="189" t="s">
        <v>244</v>
      </c>
      <c r="P211" s="189" t="s">
        <v>111</v>
      </c>
      <c r="Q211" s="189" t="s">
        <v>112</v>
      </c>
      <c r="R211" s="189" t="s">
        <v>22</v>
      </c>
      <c r="S211" s="189" t="s">
        <v>227</v>
      </c>
      <c r="T211" s="189" t="s">
        <v>165</v>
      </c>
      <c r="V211" s="189" t="s">
        <v>192</v>
      </c>
      <c r="W211" s="189" t="s">
        <v>124</v>
      </c>
      <c r="X211" s="189" t="s">
        <v>176</v>
      </c>
      <c r="Y211" s="189" t="s">
        <v>176</v>
      </c>
      <c r="Z211" s="189" t="s">
        <v>3086</v>
      </c>
      <c r="AG211" s="189" t="s">
        <v>3296</v>
      </c>
    </row>
    <row r="212" customFormat="false" ht="15" hidden="false" customHeight="true" outlineLevel="0" collapsed="false">
      <c r="A212" s="0" t="n">
        <v>211</v>
      </c>
      <c r="B212" s="191" t="n">
        <v>46214.0523724818</v>
      </c>
      <c r="C212" s="191" t="n">
        <v>46214.0674650744</v>
      </c>
      <c r="D212" s="189" t="s">
        <v>1548</v>
      </c>
      <c r="E212" s="189" t="s">
        <v>1549</v>
      </c>
      <c r="F212" s="189" t="s">
        <v>1550</v>
      </c>
      <c r="G212" s="189" t="s">
        <v>1551</v>
      </c>
      <c r="H212" s="191" t="n">
        <v>46208</v>
      </c>
      <c r="I212" s="189" t="s">
        <v>113</v>
      </c>
      <c r="J212" s="189" t="s">
        <v>128</v>
      </c>
      <c r="K212" s="189" t="s">
        <v>1552</v>
      </c>
      <c r="L212" s="189" t="s">
        <v>246</v>
      </c>
      <c r="M212" s="189" t="s">
        <v>809</v>
      </c>
      <c r="N212" s="189" t="s">
        <v>1553</v>
      </c>
      <c r="O212" s="189" t="s">
        <v>278</v>
      </c>
      <c r="P212" s="189" t="s">
        <v>390</v>
      </c>
      <c r="Q212" s="189" t="s">
        <v>112</v>
      </c>
      <c r="R212" s="189" t="s">
        <v>22</v>
      </c>
      <c r="S212" s="189" t="s">
        <v>152</v>
      </c>
      <c r="T212" s="189" t="s">
        <v>121</v>
      </c>
      <c r="U212" s="189" t="s">
        <v>1557</v>
      </c>
      <c r="V212" s="189" t="s">
        <v>192</v>
      </c>
      <c r="W212" s="189" t="s">
        <v>124</v>
      </c>
      <c r="X212" s="189" t="s">
        <v>298</v>
      </c>
      <c r="Y212" s="189" t="s">
        <v>298</v>
      </c>
      <c r="Z212" s="189" t="s">
        <v>3236</v>
      </c>
      <c r="AA212" s="189" t="s">
        <v>3125</v>
      </c>
      <c r="AG212" s="189" t="s">
        <v>3128</v>
      </c>
    </row>
    <row r="213" customFormat="false" ht="15" hidden="false" customHeight="true" outlineLevel="0" collapsed="false">
      <c r="A213" s="0" t="n">
        <v>212</v>
      </c>
      <c r="B213" s="191" t="n">
        <v>46141.2863242215</v>
      </c>
      <c r="C213" s="191" t="n">
        <v>46141.3048195919</v>
      </c>
      <c r="D213" s="189" t="s">
        <v>1558</v>
      </c>
      <c r="E213" s="189" t="s">
        <v>1559</v>
      </c>
      <c r="F213" s="189" t="s">
        <v>1560</v>
      </c>
      <c r="G213" s="189" t="s">
        <v>1561</v>
      </c>
      <c r="H213" s="191" t="n">
        <v>46126</v>
      </c>
      <c r="I213" s="189" t="s">
        <v>551</v>
      </c>
      <c r="J213" s="189" t="s">
        <v>108</v>
      </c>
      <c r="K213" s="189" t="s">
        <v>232</v>
      </c>
      <c r="L213" s="189" t="s">
        <v>296</v>
      </c>
      <c r="M213" s="189" t="s">
        <v>1074</v>
      </c>
      <c r="N213" s="189" t="s">
        <v>134</v>
      </c>
      <c r="O213" s="189" t="s">
        <v>107</v>
      </c>
      <c r="P213" s="189" t="s">
        <v>111</v>
      </c>
      <c r="Q213" s="189" t="s">
        <v>112</v>
      </c>
      <c r="R213" s="189" t="s">
        <v>24</v>
      </c>
      <c r="S213" s="189" t="s">
        <v>152</v>
      </c>
      <c r="T213" s="189" t="s">
        <v>121</v>
      </c>
      <c r="U213" s="189" t="s">
        <v>291</v>
      </c>
      <c r="V213" s="189" t="s">
        <v>192</v>
      </c>
      <c r="W213" s="189" t="s">
        <v>168</v>
      </c>
      <c r="X213" s="189" t="s">
        <v>214</v>
      </c>
      <c r="Y213" s="189" t="s">
        <v>214</v>
      </c>
      <c r="Z213" s="189" t="s">
        <v>3139</v>
      </c>
      <c r="AA213" s="189" t="s">
        <v>3107</v>
      </c>
      <c r="AB213" s="189" t="s">
        <v>3081</v>
      </c>
      <c r="AG213" s="189" t="s">
        <v>3140</v>
      </c>
      <c r="AH213" s="189" t="s">
        <v>122</v>
      </c>
    </row>
    <row r="214" customFormat="false" ht="15" hidden="false" customHeight="true" outlineLevel="0" collapsed="false">
      <c r="A214" s="0" t="n">
        <v>213</v>
      </c>
      <c r="B214" s="191" t="n">
        <v>46129.8300192035</v>
      </c>
      <c r="C214" s="191" t="n">
        <v>46129.8361534628</v>
      </c>
      <c r="D214" s="189" t="s">
        <v>1565</v>
      </c>
      <c r="E214" s="189" t="s">
        <v>1566</v>
      </c>
      <c r="F214" s="189" t="s">
        <v>1566</v>
      </c>
      <c r="G214" s="189" t="s">
        <v>1567</v>
      </c>
      <c r="H214" s="191" t="n">
        <v>46117</v>
      </c>
      <c r="I214" s="189" t="s">
        <v>863</v>
      </c>
      <c r="J214" s="189" t="s">
        <v>295</v>
      </c>
      <c r="K214" s="189" t="s">
        <v>232</v>
      </c>
      <c r="L214" s="189" t="s">
        <v>346</v>
      </c>
      <c r="M214" s="189" t="s">
        <v>694</v>
      </c>
      <c r="N214" s="189" t="s">
        <v>287</v>
      </c>
      <c r="O214" s="189" t="s">
        <v>107</v>
      </c>
      <c r="P214" s="189" t="s">
        <v>111</v>
      </c>
      <c r="Q214" s="189" t="s">
        <v>145</v>
      </c>
      <c r="R214" s="189" t="s">
        <v>22</v>
      </c>
      <c r="S214" s="189" t="s">
        <v>152</v>
      </c>
      <c r="T214" s="189" t="s">
        <v>121</v>
      </c>
      <c r="U214" s="189" t="s">
        <v>1568</v>
      </c>
      <c r="V214" s="189" t="s">
        <v>123</v>
      </c>
      <c r="W214" s="189" t="s">
        <v>124</v>
      </c>
      <c r="X214" s="189" t="s">
        <v>339</v>
      </c>
      <c r="Y214" s="189" t="s">
        <v>339</v>
      </c>
      <c r="Z214" s="189" t="s">
        <v>3168</v>
      </c>
      <c r="AA214" s="189" t="s">
        <v>3169</v>
      </c>
      <c r="AG214" s="189" t="s">
        <v>3235</v>
      </c>
    </row>
    <row r="215" customFormat="false" ht="15" hidden="false" customHeight="true" outlineLevel="0" collapsed="false">
      <c r="A215" s="0" t="n">
        <v>214</v>
      </c>
      <c r="B215" s="191" t="n">
        <v>46175.8125589045</v>
      </c>
      <c r="C215" s="191" t="n">
        <v>46175.8181839045</v>
      </c>
      <c r="D215" s="189" t="s">
        <v>1569</v>
      </c>
      <c r="E215" s="189" t="s">
        <v>1570</v>
      </c>
      <c r="F215" s="189" t="s">
        <v>1570</v>
      </c>
      <c r="G215" s="189" t="s">
        <v>1571</v>
      </c>
      <c r="H215" s="191" t="n">
        <v>46165</v>
      </c>
      <c r="I215" s="189" t="s">
        <v>113</v>
      </c>
      <c r="J215" s="189" t="s">
        <v>108</v>
      </c>
      <c r="K215" s="189" t="s">
        <v>1572</v>
      </c>
      <c r="L215" s="189" t="s">
        <v>110</v>
      </c>
      <c r="M215" s="189" t="s">
        <v>160</v>
      </c>
      <c r="N215" s="189" t="s">
        <v>1573</v>
      </c>
      <c r="O215" s="189" t="s">
        <v>107</v>
      </c>
      <c r="P215" s="189" t="s">
        <v>111</v>
      </c>
      <c r="Q215" s="189" t="s">
        <v>112</v>
      </c>
      <c r="R215" s="189" t="s">
        <v>22</v>
      </c>
      <c r="S215" s="189" t="s">
        <v>120</v>
      </c>
      <c r="T215" s="189" t="s">
        <v>121</v>
      </c>
      <c r="U215" s="189" t="s">
        <v>122</v>
      </c>
      <c r="V215" s="189" t="s">
        <v>123</v>
      </c>
      <c r="W215" s="189" t="s">
        <v>124</v>
      </c>
      <c r="X215" s="189" t="s">
        <v>381</v>
      </c>
      <c r="Y215" s="189" t="s">
        <v>381</v>
      </c>
      <c r="Z215" s="189" t="s">
        <v>3180</v>
      </c>
      <c r="AA215" s="189" t="s">
        <v>3233</v>
      </c>
      <c r="AG215" s="189" t="s">
        <v>3163</v>
      </c>
    </row>
    <row r="216" customFormat="false" ht="15" hidden="false" customHeight="true" outlineLevel="0" collapsed="false">
      <c r="A216" s="0" t="n">
        <v>215</v>
      </c>
      <c r="B216" s="191" t="n">
        <v>46041.7238754237</v>
      </c>
      <c r="C216" s="191" t="n">
        <v>46041.7420004237</v>
      </c>
      <c r="D216" s="189" t="s">
        <v>1575</v>
      </c>
      <c r="E216" s="189" t="s">
        <v>1576</v>
      </c>
      <c r="F216" s="189" t="s">
        <v>1576</v>
      </c>
      <c r="G216" s="189" t="s">
        <v>1577</v>
      </c>
      <c r="H216" s="191" t="n">
        <v>46037</v>
      </c>
      <c r="I216" s="189" t="s">
        <v>113</v>
      </c>
      <c r="J216" s="189" t="s">
        <v>108</v>
      </c>
      <c r="K216" s="189" t="s">
        <v>196</v>
      </c>
      <c r="L216" s="189" t="s">
        <v>389</v>
      </c>
      <c r="M216" s="189" t="s">
        <v>199</v>
      </c>
      <c r="N216" s="189" t="s">
        <v>213</v>
      </c>
      <c r="O216" s="189" t="s">
        <v>172</v>
      </c>
      <c r="P216" s="189" t="s">
        <v>111</v>
      </c>
      <c r="Q216" s="189" t="s">
        <v>145</v>
      </c>
      <c r="R216" s="189" t="s">
        <v>22</v>
      </c>
      <c r="S216" s="189" t="s">
        <v>120</v>
      </c>
      <c r="T216" s="189" t="s">
        <v>121</v>
      </c>
      <c r="U216" s="189" t="s">
        <v>1229</v>
      </c>
      <c r="V216" s="189" t="s">
        <v>192</v>
      </c>
      <c r="W216" s="189" t="s">
        <v>124</v>
      </c>
      <c r="X216" s="189" t="s">
        <v>339</v>
      </c>
      <c r="Y216" s="189" t="s">
        <v>339</v>
      </c>
      <c r="Z216" s="189" t="s">
        <v>3141</v>
      </c>
      <c r="AA216" s="189" t="s">
        <v>3169</v>
      </c>
      <c r="AB216" s="189" t="s">
        <v>3168</v>
      </c>
      <c r="AG216" s="189" t="s">
        <v>3217</v>
      </c>
    </row>
    <row r="217" customFormat="false" ht="15" hidden="false" customHeight="true" outlineLevel="0" collapsed="false">
      <c r="A217" s="0" t="n">
        <v>216</v>
      </c>
      <c r="B217" s="191" t="n">
        <v>46044.9107422648</v>
      </c>
      <c r="C217" s="191" t="n">
        <v>46044.9218880981</v>
      </c>
      <c r="D217" s="189" t="s">
        <v>1580</v>
      </c>
      <c r="E217" s="189" t="s">
        <v>1581</v>
      </c>
      <c r="F217" s="189" t="s">
        <v>1582</v>
      </c>
      <c r="G217" s="189" t="s">
        <v>1583</v>
      </c>
      <c r="H217" s="191" t="n">
        <v>46037</v>
      </c>
      <c r="I217" s="189" t="s">
        <v>113</v>
      </c>
      <c r="J217" s="189" t="s">
        <v>295</v>
      </c>
      <c r="K217" s="189" t="s">
        <v>462</v>
      </c>
      <c r="L217" s="189" t="s">
        <v>130</v>
      </c>
      <c r="M217" s="189" t="s">
        <v>146</v>
      </c>
      <c r="N217" s="189" t="s">
        <v>338</v>
      </c>
      <c r="O217" s="189" t="s">
        <v>107</v>
      </c>
      <c r="P217" s="189" t="s">
        <v>111</v>
      </c>
      <c r="Q217" s="189" t="s">
        <v>112</v>
      </c>
      <c r="R217" s="189" t="s">
        <v>22</v>
      </c>
      <c r="S217" s="189" t="s">
        <v>227</v>
      </c>
      <c r="T217" s="189" t="s">
        <v>121</v>
      </c>
      <c r="U217" s="189" t="s">
        <v>122</v>
      </c>
      <c r="V217" s="189" t="s">
        <v>167</v>
      </c>
      <c r="W217" s="189" t="s">
        <v>124</v>
      </c>
      <c r="X217" s="189" t="s">
        <v>339</v>
      </c>
      <c r="Y217" s="189" t="s">
        <v>339</v>
      </c>
      <c r="Z217" s="189" t="s">
        <v>3168</v>
      </c>
      <c r="AA217" s="189" t="s">
        <v>3198</v>
      </c>
      <c r="AB217" s="189" t="s">
        <v>3169</v>
      </c>
      <c r="AG217" s="189" t="s">
        <v>122</v>
      </c>
      <c r="AH217" s="189" t="s">
        <v>3235</v>
      </c>
    </row>
    <row r="218" customFormat="false" ht="15" hidden="false" customHeight="true" outlineLevel="0" collapsed="false">
      <c r="A218" s="0" t="n">
        <v>217</v>
      </c>
      <c r="B218" s="191" t="n">
        <v>46047.2224143306</v>
      </c>
      <c r="C218" s="191" t="n">
        <v>46047.2419282195</v>
      </c>
      <c r="D218" s="189" t="s">
        <v>1586</v>
      </c>
      <c r="E218" s="189" t="s">
        <v>1587</v>
      </c>
      <c r="F218" s="189" t="s">
        <v>1587</v>
      </c>
      <c r="G218" s="189" t="s">
        <v>1588</v>
      </c>
      <c r="H218" s="191" t="n">
        <v>46028</v>
      </c>
      <c r="I218" s="189" t="s">
        <v>113</v>
      </c>
      <c r="J218" s="189" t="s">
        <v>128</v>
      </c>
      <c r="K218" s="189" t="s">
        <v>1589</v>
      </c>
      <c r="L218" s="189" t="s">
        <v>110</v>
      </c>
      <c r="M218" s="189" t="s">
        <v>686</v>
      </c>
      <c r="N218" s="189" t="s">
        <v>508</v>
      </c>
      <c r="O218" s="189" t="s">
        <v>172</v>
      </c>
      <c r="P218" s="189" t="s">
        <v>131</v>
      </c>
      <c r="Q218" s="189" t="s">
        <v>112</v>
      </c>
      <c r="R218" s="189" t="s">
        <v>25</v>
      </c>
      <c r="S218" s="189" t="s">
        <v>152</v>
      </c>
      <c r="T218" s="189" t="s">
        <v>121</v>
      </c>
      <c r="U218" s="189" t="s">
        <v>122</v>
      </c>
      <c r="V218" s="189" t="s">
        <v>192</v>
      </c>
      <c r="W218" s="189" t="s">
        <v>124</v>
      </c>
      <c r="X218" s="189" t="s">
        <v>687</v>
      </c>
      <c r="Y218" s="189" t="s">
        <v>687</v>
      </c>
      <c r="Z218" s="189" t="s">
        <v>3297</v>
      </c>
      <c r="AG218" s="189" t="s">
        <v>3222</v>
      </c>
      <c r="AH218" s="189" t="s">
        <v>3221</v>
      </c>
    </row>
    <row r="219" customFormat="false" ht="15" hidden="false" customHeight="true" outlineLevel="0" collapsed="false">
      <c r="A219" s="0" t="n">
        <v>218</v>
      </c>
      <c r="B219" s="191" t="n">
        <v>46084.0048091282</v>
      </c>
      <c r="C219" s="191" t="n">
        <v>46084.0121470912</v>
      </c>
      <c r="D219" s="189" t="s">
        <v>1593</v>
      </c>
      <c r="E219" s="189" t="s">
        <v>1594</v>
      </c>
      <c r="F219" s="189" t="s">
        <v>1594</v>
      </c>
      <c r="G219" s="189" t="s">
        <v>1595</v>
      </c>
      <c r="H219" s="191" t="n">
        <v>46067</v>
      </c>
      <c r="I219" s="189" t="s">
        <v>325</v>
      </c>
      <c r="J219" s="189" t="s">
        <v>108</v>
      </c>
      <c r="K219" s="189" t="s">
        <v>364</v>
      </c>
      <c r="L219" s="189" t="s">
        <v>389</v>
      </c>
      <c r="M219" s="189" t="s">
        <v>160</v>
      </c>
      <c r="N219" s="189" t="s">
        <v>357</v>
      </c>
      <c r="O219" s="189" t="s">
        <v>107</v>
      </c>
      <c r="P219" s="189" t="s">
        <v>111</v>
      </c>
      <c r="Q219" s="189" t="s">
        <v>247</v>
      </c>
      <c r="R219" s="189" t="s">
        <v>24</v>
      </c>
      <c r="S219" s="189" t="s">
        <v>227</v>
      </c>
      <c r="T219" s="189" t="s">
        <v>352</v>
      </c>
      <c r="V219" s="189" t="s">
        <v>192</v>
      </c>
      <c r="W219" s="189" t="s">
        <v>124</v>
      </c>
      <c r="X219" s="189" t="s">
        <v>19</v>
      </c>
      <c r="Y219" s="189" t="s">
        <v>19</v>
      </c>
      <c r="AK219" s="189" t="s">
        <v>880</v>
      </c>
    </row>
    <row r="220" customFormat="false" ht="15" hidden="false" customHeight="true" outlineLevel="0" collapsed="false">
      <c r="A220" s="0" t="n">
        <v>219</v>
      </c>
      <c r="B220" s="191" t="n">
        <v>46087.6336254797</v>
      </c>
      <c r="C220" s="191" t="n">
        <v>46087.6447365908</v>
      </c>
      <c r="D220" s="189" t="s">
        <v>1596</v>
      </c>
      <c r="E220" s="189" t="s">
        <v>1597</v>
      </c>
      <c r="F220" s="189" t="s">
        <v>1597</v>
      </c>
      <c r="G220" s="189" t="s">
        <v>1598</v>
      </c>
      <c r="H220" s="191" t="n">
        <v>46085</v>
      </c>
      <c r="I220" s="189" t="s">
        <v>113</v>
      </c>
      <c r="J220" s="189" t="s">
        <v>295</v>
      </c>
      <c r="K220" s="189" t="s">
        <v>818</v>
      </c>
      <c r="L220" s="189" t="s">
        <v>130</v>
      </c>
      <c r="M220" s="189" t="s">
        <v>199</v>
      </c>
      <c r="N220" s="189" t="s">
        <v>1243</v>
      </c>
      <c r="O220" s="189" t="s">
        <v>244</v>
      </c>
      <c r="P220" s="189" t="s">
        <v>111</v>
      </c>
      <c r="Q220" s="189" t="s">
        <v>112</v>
      </c>
      <c r="R220" s="189" t="s">
        <v>21</v>
      </c>
      <c r="S220" s="189" t="s">
        <v>152</v>
      </c>
      <c r="T220" s="189" t="s">
        <v>264</v>
      </c>
      <c r="V220" s="189" t="s">
        <v>123</v>
      </c>
      <c r="W220" s="189" t="s">
        <v>168</v>
      </c>
      <c r="X220" s="189" t="s">
        <v>348</v>
      </c>
      <c r="Y220" s="189" t="s">
        <v>348</v>
      </c>
      <c r="Z220" s="189" t="s">
        <v>3146</v>
      </c>
      <c r="AG220" s="189" t="s">
        <v>3148</v>
      </c>
      <c r="AH220" s="189" t="s">
        <v>3166</v>
      </c>
    </row>
    <row r="221" customFormat="false" ht="15" hidden="false" customHeight="true" outlineLevel="0" collapsed="false">
      <c r="A221" s="0" t="n">
        <v>220</v>
      </c>
      <c r="B221" s="191" t="n">
        <v>46116.2266921509</v>
      </c>
      <c r="C221" s="191" t="n">
        <v>46116.2290764101</v>
      </c>
      <c r="D221" s="189" t="s">
        <v>1600</v>
      </c>
      <c r="E221" s="189" t="s">
        <v>1601</v>
      </c>
      <c r="F221" s="189" t="s">
        <v>1601</v>
      </c>
      <c r="G221" s="189" t="s">
        <v>1602</v>
      </c>
      <c r="H221" s="191" t="n">
        <v>46116</v>
      </c>
      <c r="I221" s="189" t="s">
        <v>113</v>
      </c>
      <c r="J221" s="189" t="s">
        <v>128</v>
      </c>
      <c r="K221" s="189" t="s">
        <v>232</v>
      </c>
      <c r="L221" s="189" t="s">
        <v>110</v>
      </c>
      <c r="M221" s="189" t="s">
        <v>234</v>
      </c>
      <c r="N221" s="189" t="s">
        <v>827</v>
      </c>
      <c r="O221" s="189" t="s">
        <v>107</v>
      </c>
      <c r="P221" s="189" t="s">
        <v>211</v>
      </c>
      <c r="Q221" s="189" t="s">
        <v>112</v>
      </c>
      <c r="R221" s="189" t="s">
        <v>22</v>
      </c>
      <c r="S221" s="189" t="s">
        <v>152</v>
      </c>
      <c r="T221" s="189" t="s">
        <v>121</v>
      </c>
      <c r="U221" s="189" t="s">
        <v>1605</v>
      </c>
      <c r="V221" s="189" t="s">
        <v>167</v>
      </c>
      <c r="W221" s="189" t="s">
        <v>124</v>
      </c>
      <c r="X221" s="189" t="s">
        <v>298</v>
      </c>
      <c r="Y221" s="189" t="s">
        <v>298</v>
      </c>
      <c r="Z221" s="189" t="s">
        <v>3236</v>
      </c>
      <c r="AG221" s="189" t="s">
        <v>3247</v>
      </c>
      <c r="AH221" s="189" t="s">
        <v>3238</v>
      </c>
    </row>
    <row r="222" customFormat="false" ht="15" hidden="false" customHeight="true" outlineLevel="0" collapsed="false">
      <c r="A222" s="0" t="n">
        <v>221</v>
      </c>
      <c r="B222" s="191" t="n">
        <v>46184.8294457957</v>
      </c>
      <c r="C222" s="191" t="n">
        <v>46184.8359967217</v>
      </c>
      <c r="D222" s="189" t="s">
        <v>1606</v>
      </c>
      <c r="E222" s="189" t="s">
        <v>1607</v>
      </c>
      <c r="F222" s="189" t="s">
        <v>1608</v>
      </c>
      <c r="G222" s="189" t="s">
        <v>1609</v>
      </c>
      <c r="H222" s="191" t="n">
        <v>46178</v>
      </c>
      <c r="I222" s="189" t="s">
        <v>336</v>
      </c>
      <c r="J222" s="189" t="s">
        <v>108</v>
      </c>
      <c r="K222" s="189" t="s">
        <v>1610</v>
      </c>
      <c r="L222" s="189" t="s">
        <v>197</v>
      </c>
      <c r="M222" s="189" t="s">
        <v>391</v>
      </c>
      <c r="N222" s="189" t="s">
        <v>249</v>
      </c>
      <c r="O222" s="189" t="s">
        <v>1506</v>
      </c>
      <c r="P222" s="189" t="s">
        <v>111</v>
      </c>
      <c r="Q222" s="189" t="s">
        <v>112</v>
      </c>
      <c r="R222" s="189" t="s">
        <v>22</v>
      </c>
      <c r="S222" s="189" t="s">
        <v>227</v>
      </c>
      <c r="T222" s="189" t="s">
        <v>180</v>
      </c>
      <c r="U222" s="189" t="s">
        <v>994</v>
      </c>
      <c r="V222" s="189" t="s">
        <v>192</v>
      </c>
      <c r="W222" s="189" t="s">
        <v>124</v>
      </c>
      <c r="X222" s="189" t="s">
        <v>176</v>
      </c>
      <c r="Y222" s="189" t="s">
        <v>176</v>
      </c>
      <c r="Z222" s="189" t="s">
        <v>3299</v>
      </c>
      <c r="AA222" s="189" t="s">
        <v>3300</v>
      </c>
      <c r="AG222" s="189" t="s">
        <v>3088</v>
      </c>
    </row>
    <row r="223" customFormat="false" ht="15" hidden="false" customHeight="true" outlineLevel="0" collapsed="false">
      <c r="A223" s="0" t="n">
        <v>222</v>
      </c>
      <c r="B223" s="191" t="n">
        <v>46207.8585952047</v>
      </c>
      <c r="C223" s="191" t="n">
        <v>46207.8673104825</v>
      </c>
      <c r="D223" s="189" t="s">
        <v>1613</v>
      </c>
      <c r="E223" s="189" t="s">
        <v>1614</v>
      </c>
      <c r="F223" s="189" t="s">
        <v>1614</v>
      </c>
      <c r="G223" s="189" t="s">
        <v>1615</v>
      </c>
      <c r="H223" s="191" t="n">
        <v>46196</v>
      </c>
      <c r="I223" s="189" t="s">
        <v>113</v>
      </c>
      <c r="J223" s="189" t="s">
        <v>295</v>
      </c>
      <c r="K223" s="189" t="s">
        <v>143</v>
      </c>
      <c r="L223" s="189" t="s">
        <v>296</v>
      </c>
      <c r="M223" s="189" t="s">
        <v>774</v>
      </c>
      <c r="N223" s="189" t="s">
        <v>508</v>
      </c>
      <c r="O223" s="189" t="s">
        <v>713</v>
      </c>
      <c r="P223" s="189" t="s">
        <v>111</v>
      </c>
      <c r="Q223" s="189" t="s">
        <v>145</v>
      </c>
      <c r="R223" s="189" t="s">
        <v>21</v>
      </c>
      <c r="S223" s="189" t="s">
        <v>120</v>
      </c>
      <c r="T223" s="189" t="s">
        <v>121</v>
      </c>
      <c r="U223" s="189" t="s">
        <v>122</v>
      </c>
      <c r="V223" s="189" t="s">
        <v>192</v>
      </c>
      <c r="W223" s="189" t="s">
        <v>124</v>
      </c>
      <c r="X223" s="189" t="s">
        <v>307</v>
      </c>
      <c r="Y223" s="189" t="s">
        <v>307</v>
      </c>
      <c r="Z223" s="189" t="s">
        <v>3129</v>
      </c>
      <c r="AG223" s="189" t="s">
        <v>3134</v>
      </c>
      <c r="AH223" s="189" t="s">
        <v>3133</v>
      </c>
    </row>
    <row r="224" customFormat="false" ht="15" hidden="false" customHeight="true" outlineLevel="0" collapsed="false">
      <c r="A224" s="0" t="n">
        <v>223</v>
      </c>
      <c r="B224" s="191" t="n">
        <v>46185.6238939733</v>
      </c>
      <c r="C224" s="191" t="n">
        <v>46185.6447157326</v>
      </c>
      <c r="D224" s="189" t="s">
        <v>1619</v>
      </c>
      <c r="E224" s="189" t="s">
        <v>1620</v>
      </c>
      <c r="F224" s="189" t="s">
        <v>1620</v>
      </c>
      <c r="G224" s="189" t="s">
        <v>1621</v>
      </c>
      <c r="H224" s="191" t="n">
        <v>46177</v>
      </c>
      <c r="I224" s="189" t="s">
        <v>113</v>
      </c>
      <c r="J224" s="189" t="s">
        <v>108</v>
      </c>
      <c r="K224" s="189" t="s">
        <v>257</v>
      </c>
      <c r="L224" s="189" t="s">
        <v>296</v>
      </c>
      <c r="M224" s="189" t="s">
        <v>1388</v>
      </c>
      <c r="N224" s="189" t="s">
        <v>1622</v>
      </c>
      <c r="O224" s="189" t="s">
        <v>172</v>
      </c>
      <c r="P224" s="189" t="s">
        <v>111</v>
      </c>
      <c r="Q224" s="189" t="s">
        <v>145</v>
      </c>
      <c r="R224" s="189" t="s">
        <v>22</v>
      </c>
      <c r="S224" s="189" t="s">
        <v>152</v>
      </c>
      <c r="T224" s="189" t="s">
        <v>121</v>
      </c>
      <c r="U224" s="189" t="s">
        <v>122</v>
      </c>
      <c r="V224" s="189" t="s">
        <v>167</v>
      </c>
      <c r="W224" s="189" t="s">
        <v>168</v>
      </c>
      <c r="X224" s="189" t="s">
        <v>298</v>
      </c>
      <c r="Y224" s="189" t="s">
        <v>298</v>
      </c>
      <c r="Z224" s="189" t="s">
        <v>3195</v>
      </c>
      <c r="AG224" s="189" t="s">
        <v>3295</v>
      </c>
      <c r="AH224" s="189" t="s">
        <v>122</v>
      </c>
    </row>
    <row r="225" customFormat="false" ht="15" hidden="false" customHeight="true" outlineLevel="0" collapsed="false">
      <c r="A225" s="0" t="n">
        <v>224</v>
      </c>
      <c r="B225" s="191" t="n">
        <v>46169.7112675458</v>
      </c>
      <c r="C225" s="191" t="n">
        <v>46169.7202258791</v>
      </c>
      <c r="D225" s="189" t="s">
        <v>1625</v>
      </c>
      <c r="E225" s="189" t="s">
        <v>1626</v>
      </c>
      <c r="F225" s="189" t="s">
        <v>1626</v>
      </c>
      <c r="G225" s="189" t="s">
        <v>1627</v>
      </c>
      <c r="H225" s="191" t="n">
        <v>46165</v>
      </c>
      <c r="I225" s="189" t="s">
        <v>113</v>
      </c>
      <c r="J225" s="189" t="s">
        <v>295</v>
      </c>
      <c r="K225" s="189" t="s">
        <v>232</v>
      </c>
      <c r="L225" s="189" t="s">
        <v>286</v>
      </c>
      <c r="M225" s="189" t="s">
        <v>212</v>
      </c>
      <c r="N225" s="189" t="s">
        <v>1628</v>
      </c>
      <c r="O225" s="189" t="s">
        <v>107</v>
      </c>
      <c r="P225" s="189" t="s">
        <v>111</v>
      </c>
      <c r="Q225" s="189" t="s">
        <v>112</v>
      </c>
      <c r="R225" s="189" t="s">
        <v>22</v>
      </c>
      <c r="S225" s="189" t="s">
        <v>120</v>
      </c>
      <c r="T225" s="189" t="s">
        <v>121</v>
      </c>
      <c r="V225" s="189" t="s">
        <v>123</v>
      </c>
      <c r="W225" s="189" t="s">
        <v>124</v>
      </c>
      <c r="X225" s="189" t="s">
        <v>135</v>
      </c>
      <c r="Y225" s="189" t="s">
        <v>135</v>
      </c>
      <c r="Z225" s="189" t="s">
        <v>3202</v>
      </c>
      <c r="AA225" s="189" t="s">
        <v>3201</v>
      </c>
      <c r="AB225" s="189" t="s">
        <v>3071</v>
      </c>
      <c r="AG225" s="189" t="s">
        <v>3075</v>
      </c>
    </row>
    <row r="226" customFormat="false" ht="15" hidden="false" customHeight="true" outlineLevel="0" collapsed="false">
      <c r="A226" s="0" t="n">
        <v>225</v>
      </c>
      <c r="B226" s="191" t="n">
        <v>46140.8504957905</v>
      </c>
      <c r="C226" s="191" t="n">
        <v>46140.8689101424</v>
      </c>
      <c r="D226" s="189" t="s">
        <v>1630</v>
      </c>
      <c r="E226" s="189" t="s">
        <v>1631</v>
      </c>
      <c r="F226" s="189" t="s">
        <v>1631</v>
      </c>
      <c r="G226" s="189" t="s">
        <v>1632</v>
      </c>
      <c r="H226" s="191" t="n">
        <v>46126</v>
      </c>
      <c r="I226" s="189" t="s">
        <v>325</v>
      </c>
      <c r="J226" s="189" t="s">
        <v>108</v>
      </c>
      <c r="K226" s="189" t="s">
        <v>1633</v>
      </c>
      <c r="L226" s="189" t="s">
        <v>286</v>
      </c>
      <c r="M226" s="189" t="s">
        <v>652</v>
      </c>
      <c r="N226" s="189" t="s">
        <v>1539</v>
      </c>
      <c r="O226" s="189" t="s">
        <v>278</v>
      </c>
      <c r="P226" s="189" t="s">
        <v>111</v>
      </c>
      <c r="Q226" s="189" t="s">
        <v>145</v>
      </c>
      <c r="R226" s="189" t="s">
        <v>22</v>
      </c>
      <c r="S226" s="189" t="s">
        <v>152</v>
      </c>
      <c r="T226" s="189" t="s">
        <v>352</v>
      </c>
      <c r="U226" s="189" t="s">
        <v>122</v>
      </c>
      <c r="V226" s="189" t="s">
        <v>123</v>
      </c>
      <c r="W226" s="189" t="s">
        <v>124</v>
      </c>
      <c r="X226" s="189" t="s">
        <v>298</v>
      </c>
      <c r="Y226" s="189" t="s">
        <v>298</v>
      </c>
      <c r="Z226" s="189" t="s">
        <v>3208</v>
      </c>
      <c r="AA226" s="189" t="s">
        <v>3124</v>
      </c>
      <c r="AG226" s="189" t="s">
        <v>3210</v>
      </c>
    </row>
    <row r="227" customFormat="false" ht="15" hidden="false" customHeight="true" outlineLevel="0" collapsed="false">
      <c r="A227" s="0" t="n">
        <v>226</v>
      </c>
      <c r="B227" s="191" t="n">
        <v>46192.2530679005</v>
      </c>
      <c r="C227" s="191" t="n">
        <v>46192.2564822523</v>
      </c>
      <c r="D227" s="189" t="s">
        <v>1637</v>
      </c>
      <c r="E227" s="189" t="s">
        <v>1638</v>
      </c>
      <c r="F227" s="189" t="s">
        <v>1638</v>
      </c>
      <c r="G227" s="189" t="s">
        <v>1639</v>
      </c>
      <c r="H227" s="191" t="n">
        <v>46182</v>
      </c>
      <c r="I227" s="189" t="s">
        <v>113</v>
      </c>
      <c r="J227" s="189" t="s">
        <v>108</v>
      </c>
      <c r="K227" s="189" t="s">
        <v>1640</v>
      </c>
      <c r="L227" s="189" t="s">
        <v>210</v>
      </c>
      <c r="M227" s="189" t="s">
        <v>1112</v>
      </c>
      <c r="N227" s="189" t="s">
        <v>347</v>
      </c>
      <c r="O227" s="189" t="s">
        <v>1506</v>
      </c>
      <c r="P227" s="189" t="s">
        <v>111</v>
      </c>
      <c r="Q227" s="189" t="s">
        <v>145</v>
      </c>
      <c r="R227" s="189" t="s">
        <v>21</v>
      </c>
      <c r="S227" s="189" t="s">
        <v>152</v>
      </c>
      <c r="T227" s="189" t="s">
        <v>121</v>
      </c>
      <c r="U227" s="189" t="s">
        <v>1641</v>
      </c>
      <c r="V227" s="189" t="s">
        <v>123</v>
      </c>
      <c r="W227" s="189" t="s">
        <v>139</v>
      </c>
      <c r="X227" s="189" t="s">
        <v>250</v>
      </c>
      <c r="Y227" s="189" t="s">
        <v>250</v>
      </c>
      <c r="Z227" s="189" t="s">
        <v>3095</v>
      </c>
      <c r="AG227" s="189" t="s">
        <v>3108</v>
      </c>
    </row>
    <row r="228" customFormat="false" ht="15" hidden="false" customHeight="true" outlineLevel="0" collapsed="false">
      <c r="A228" s="0" t="n">
        <v>227</v>
      </c>
      <c r="B228" s="191" t="n">
        <v>46139.2905768654</v>
      </c>
      <c r="C228" s="191" t="n">
        <v>46139.3038986247</v>
      </c>
      <c r="D228" s="189" t="s">
        <v>1642</v>
      </c>
      <c r="E228" s="189" t="s">
        <v>1643</v>
      </c>
      <c r="F228" s="189" t="s">
        <v>1643</v>
      </c>
      <c r="G228" s="189" t="s">
        <v>1644</v>
      </c>
      <c r="H228" s="191" t="n">
        <v>46125</v>
      </c>
      <c r="I228" s="189" t="s">
        <v>113</v>
      </c>
      <c r="J228" s="189" t="s">
        <v>108</v>
      </c>
      <c r="K228" s="189" t="s">
        <v>364</v>
      </c>
      <c r="L228" s="189" t="s">
        <v>346</v>
      </c>
      <c r="M228" s="189" t="s">
        <v>406</v>
      </c>
      <c r="N228" s="189" t="s">
        <v>819</v>
      </c>
      <c r="O228" s="189" t="s">
        <v>107</v>
      </c>
      <c r="P228" s="189" t="s">
        <v>111</v>
      </c>
      <c r="Q228" s="189" t="s">
        <v>112</v>
      </c>
      <c r="R228" s="189" t="s">
        <v>23</v>
      </c>
      <c r="S228" s="189" t="s">
        <v>152</v>
      </c>
      <c r="T228" s="189" t="s">
        <v>264</v>
      </c>
      <c r="U228" s="189" t="s">
        <v>166</v>
      </c>
      <c r="V228" s="189" t="s">
        <v>192</v>
      </c>
      <c r="W228" s="189" t="s">
        <v>124</v>
      </c>
      <c r="X228" s="189" t="s">
        <v>1645</v>
      </c>
      <c r="Y228" s="189" t="s">
        <v>1645</v>
      </c>
    </row>
    <row r="229" customFormat="false" ht="15" hidden="false" customHeight="true" outlineLevel="0" collapsed="false">
      <c r="A229" s="0" t="n">
        <v>228</v>
      </c>
      <c r="B229" s="191" t="n">
        <v>46074.7380623984</v>
      </c>
      <c r="C229" s="191" t="n">
        <v>46074.7430276762</v>
      </c>
      <c r="D229" s="189" t="s">
        <v>1646</v>
      </c>
      <c r="E229" s="189" t="s">
        <v>1647</v>
      </c>
      <c r="F229" s="189" t="s">
        <v>1647</v>
      </c>
      <c r="G229" s="189" t="s">
        <v>1648</v>
      </c>
      <c r="H229" s="191" t="n">
        <v>46054</v>
      </c>
      <c r="I229" s="189" t="s">
        <v>113</v>
      </c>
      <c r="J229" s="189" t="s">
        <v>108</v>
      </c>
      <c r="K229" s="189" t="s">
        <v>500</v>
      </c>
      <c r="L229" s="189" t="s">
        <v>184</v>
      </c>
      <c r="M229" s="189" t="s">
        <v>160</v>
      </c>
      <c r="N229" s="189" t="s">
        <v>270</v>
      </c>
      <c r="O229" s="189" t="s">
        <v>278</v>
      </c>
      <c r="P229" s="189" t="s">
        <v>111</v>
      </c>
      <c r="Q229" s="189" t="s">
        <v>112</v>
      </c>
      <c r="R229" s="189" t="s">
        <v>21</v>
      </c>
      <c r="S229" s="189" t="s">
        <v>120</v>
      </c>
      <c r="T229" s="189" t="s">
        <v>264</v>
      </c>
      <c r="V229" s="189" t="s">
        <v>167</v>
      </c>
      <c r="W229" s="189" t="s">
        <v>124</v>
      </c>
      <c r="X229" s="189" t="s">
        <v>374</v>
      </c>
      <c r="Y229" s="189" t="s">
        <v>374</v>
      </c>
      <c r="Z229" s="189" t="s">
        <v>3154</v>
      </c>
      <c r="AG229" s="189" t="s">
        <v>3157</v>
      </c>
      <c r="AH229" s="189" t="s">
        <v>3158</v>
      </c>
    </row>
    <row r="230" customFormat="false" ht="15" hidden="false" customHeight="true" outlineLevel="0" collapsed="false">
      <c r="A230" s="0" t="n">
        <v>229</v>
      </c>
      <c r="B230" s="191" t="n">
        <v>46138.5936216795</v>
      </c>
      <c r="C230" s="191" t="n">
        <v>46138.610728161</v>
      </c>
      <c r="D230" s="189" t="s">
        <v>1650</v>
      </c>
      <c r="E230" s="189" t="s">
        <v>1651</v>
      </c>
      <c r="F230" s="189" t="s">
        <v>1651</v>
      </c>
      <c r="G230" s="189" t="s">
        <v>1652</v>
      </c>
      <c r="H230" s="191" t="n">
        <v>46138</v>
      </c>
      <c r="I230" s="189" t="s">
        <v>305</v>
      </c>
      <c r="J230" s="189" t="s">
        <v>108</v>
      </c>
      <c r="K230" s="189" t="s">
        <v>462</v>
      </c>
      <c r="L230" s="189" t="s">
        <v>184</v>
      </c>
      <c r="M230" s="189" t="s">
        <v>1151</v>
      </c>
      <c r="N230" s="189" t="s">
        <v>440</v>
      </c>
      <c r="O230" s="189" t="s">
        <v>244</v>
      </c>
      <c r="P230" s="189" t="s">
        <v>111</v>
      </c>
      <c r="Q230" s="189" t="s">
        <v>112</v>
      </c>
      <c r="R230" s="189" t="s">
        <v>22</v>
      </c>
      <c r="S230" s="189" t="s">
        <v>120</v>
      </c>
      <c r="T230" s="189" t="s">
        <v>180</v>
      </c>
      <c r="U230" s="189" t="s">
        <v>122</v>
      </c>
      <c r="V230" s="189" t="s">
        <v>192</v>
      </c>
      <c r="W230" s="189" t="s">
        <v>124</v>
      </c>
      <c r="X230" s="189" t="s">
        <v>148</v>
      </c>
      <c r="Y230" s="189" t="s">
        <v>148</v>
      </c>
      <c r="Z230" s="189" t="s">
        <v>3186</v>
      </c>
      <c r="AA230" s="189" t="s">
        <v>3281</v>
      </c>
      <c r="AG230" s="189" t="s">
        <v>3080</v>
      </c>
    </row>
    <row r="231" customFormat="false" ht="15" hidden="false" customHeight="true" outlineLevel="0" collapsed="false">
      <c r="A231" s="0" t="n">
        <v>230</v>
      </c>
      <c r="B231" s="191" t="n">
        <v>46039.0934234962</v>
      </c>
      <c r="C231" s="191" t="n">
        <v>46039.1121503481</v>
      </c>
      <c r="D231" s="189" t="s">
        <v>1655</v>
      </c>
      <c r="E231" s="189" t="s">
        <v>1656</v>
      </c>
      <c r="F231" s="189" t="s">
        <v>1656</v>
      </c>
      <c r="G231" s="189" t="s">
        <v>1657</v>
      </c>
      <c r="H231" s="191" t="n">
        <v>46021</v>
      </c>
      <c r="I231" s="189" t="s">
        <v>113</v>
      </c>
      <c r="J231" s="189" t="s">
        <v>128</v>
      </c>
      <c r="K231" s="189" t="s">
        <v>232</v>
      </c>
      <c r="L231" s="189" t="s">
        <v>144</v>
      </c>
      <c r="M231" s="189" t="s">
        <v>269</v>
      </c>
      <c r="N231" s="189" t="s">
        <v>1323</v>
      </c>
      <c r="O231" s="189" t="s">
        <v>107</v>
      </c>
      <c r="P231" s="189" t="s">
        <v>131</v>
      </c>
      <c r="Q231" s="189" t="s">
        <v>145</v>
      </c>
      <c r="R231" s="189" t="s">
        <v>21</v>
      </c>
      <c r="S231" s="189" t="s">
        <v>152</v>
      </c>
      <c r="T231" s="189" t="s">
        <v>121</v>
      </c>
      <c r="U231" s="189" t="s">
        <v>321</v>
      </c>
      <c r="V231" s="189" t="s">
        <v>123</v>
      </c>
      <c r="W231" s="189" t="s">
        <v>124</v>
      </c>
      <c r="X231" s="189" t="s">
        <v>250</v>
      </c>
      <c r="Y231" s="189" t="s">
        <v>250</v>
      </c>
      <c r="Z231" s="189" t="s">
        <v>3107</v>
      </c>
      <c r="AG231" s="189" t="s">
        <v>3070</v>
      </c>
    </row>
    <row r="232" customFormat="false" ht="15" hidden="false" customHeight="true" outlineLevel="0" collapsed="false">
      <c r="A232" s="0" t="n">
        <v>231</v>
      </c>
      <c r="B232" s="191" t="n">
        <v>46097.8776836418</v>
      </c>
      <c r="C232" s="191" t="n">
        <v>46097.8952993825</v>
      </c>
      <c r="D232" s="189" t="s">
        <v>1659</v>
      </c>
      <c r="E232" s="189" t="s">
        <v>1660</v>
      </c>
      <c r="F232" s="189" t="s">
        <v>1661</v>
      </c>
      <c r="G232" s="189" t="s">
        <v>1662</v>
      </c>
      <c r="H232" s="191" t="n">
        <v>46094</v>
      </c>
      <c r="I232" s="189" t="s">
        <v>113</v>
      </c>
      <c r="J232" s="189" t="s">
        <v>108</v>
      </c>
      <c r="K232" s="189" t="s">
        <v>245</v>
      </c>
      <c r="L232" s="189" t="s">
        <v>389</v>
      </c>
      <c r="M232" s="189" t="s">
        <v>1074</v>
      </c>
      <c r="N232" s="189" t="s">
        <v>227</v>
      </c>
      <c r="O232" s="189" t="s">
        <v>278</v>
      </c>
      <c r="P232" s="189" t="s">
        <v>111</v>
      </c>
      <c r="Q232" s="189" t="s">
        <v>112</v>
      </c>
      <c r="R232" s="189" t="s">
        <v>22</v>
      </c>
      <c r="S232" s="189" t="s">
        <v>152</v>
      </c>
      <c r="T232" s="189" t="s">
        <v>180</v>
      </c>
      <c r="V232" s="189" t="s">
        <v>123</v>
      </c>
      <c r="W232" s="189" t="s">
        <v>168</v>
      </c>
      <c r="X232" s="189" t="s">
        <v>339</v>
      </c>
      <c r="Y232" s="189" t="s">
        <v>339</v>
      </c>
      <c r="Z232" s="189" t="s">
        <v>3198</v>
      </c>
      <c r="AA232" s="189" t="s">
        <v>3216</v>
      </c>
      <c r="AB232" s="189" t="s">
        <v>3168</v>
      </c>
      <c r="AG232" s="189" t="s">
        <v>3144</v>
      </c>
    </row>
    <row r="233" customFormat="false" ht="15" hidden="false" customHeight="true" outlineLevel="0" collapsed="false">
      <c r="A233" s="0" t="n">
        <v>232</v>
      </c>
      <c r="B233" s="191" t="n">
        <v>46050.5565012</v>
      </c>
      <c r="C233" s="191" t="n">
        <v>46050.5650081444</v>
      </c>
      <c r="D233" s="189" t="s">
        <v>1666</v>
      </c>
      <c r="E233" s="189" t="s">
        <v>1667</v>
      </c>
      <c r="F233" s="189" t="s">
        <v>1667</v>
      </c>
      <c r="G233" s="189" t="s">
        <v>1668</v>
      </c>
      <c r="H233" s="191" t="n">
        <v>46037</v>
      </c>
      <c r="I233" s="189" t="s">
        <v>113</v>
      </c>
      <c r="J233" s="189" t="s">
        <v>108</v>
      </c>
      <c r="K233" s="189" t="s">
        <v>158</v>
      </c>
      <c r="L233" s="189" t="s">
        <v>197</v>
      </c>
      <c r="M233" s="189" t="s">
        <v>160</v>
      </c>
      <c r="N233" s="189" t="s">
        <v>775</v>
      </c>
      <c r="O233" s="189" t="s">
        <v>172</v>
      </c>
      <c r="P233" s="189" t="s">
        <v>111</v>
      </c>
      <c r="Q233" s="189" t="s">
        <v>112</v>
      </c>
      <c r="R233" s="189" t="s">
        <v>22</v>
      </c>
      <c r="S233" s="189" t="s">
        <v>120</v>
      </c>
      <c r="T233" s="189" t="s">
        <v>121</v>
      </c>
      <c r="U233" s="189" t="s">
        <v>122</v>
      </c>
      <c r="V233" s="189" t="s">
        <v>123</v>
      </c>
      <c r="W233" s="189" t="s">
        <v>124</v>
      </c>
      <c r="X233" s="189" t="s">
        <v>715</v>
      </c>
      <c r="Y233" s="189" t="s">
        <v>715</v>
      </c>
      <c r="Z233" s="189" t="s">
        <v>3251</v>
      </c>
      <c r="AA233" s="189" t="s">
        <v>3252</v>
      </c>
      <c r="AG233" s="189" t="s">
        <v>3228</v>
      </c>
      <c r="AH233" s="189" t="s">
        <v>3256</v>
      </c>
    </row>
    <row r="234" customFormat="false" ht="15" hidden="false" customHeight="true" outlineLevel="0" collapsed="false">
      <c r="A234" s="0" t="n">
        <v>233</v>
      </c>
      <c r="B234" s="191" t="n">
        <v>46062.5392299161</v>
      </c>
      <c r="C234" s="191" t="n">
        <v>46062.5487090828</v>
      </c>
      <c r="D234" s="189" t="s">
        <v>1670</v>
      </c>
      <c r="E234" s="189" t="s">
        <v>1671</v>
      </c>
      <c r="F234" s="189" t="s">
        <v>1671</v>
      </c>
      <c r="G234" s="189" t="s">
        <v>1672</v>
      </c>
      <c r="H234" s="191" t="n">
        <v>46057</v>
      </c>
      <c r="I234" s="189" t="s">
        <v>113</v>
      </c>
      <c r="J234" s="189" t="s">
        <v>128</v>
      </c>
      <c r="K234" s="189" t="s">
        <v>1673</v>
      </c>
      <c r="L234" s="189" t="s">
        <v>114</v>
      </c>
      <c r="M234" s="189" t="s">
        <v>736</v>
      </c>
      <c r="N234" s="189" t="s">
        <v>939</v>
      </c>
      <c r="O234" s="189" t="s">
        <v>107</v>
      </c>
      <c r="P234" s="189" t="s">
        <v>111</v>
      </c>
      <c r="Q234" s="189" t="s">
        <v>112</v>
      </c>
      <c r="R234" s="189" t="s">
        <v>22</v>
      </c>
      <c r="S234" s="189" t="s">
        <v>152</v>
      </c>
      <c r="T234" s="189" t="s">
        <v>121</v>
      </c>
      <c r="V234" s="189" t="s">
        <v>167</v>
      </c>
      <c r="W234" s="189" t="s">
        <v>168</v>
      </c>
      <c r="X234" s="189" t="s">
        <v>381</v>
      </c>
      <c r="Y234" s="189" t="s">
        <v>381</v>
      </c>
      <c r="Z234" s="189" t="s">
        <v>3233</v>
      </c>
      <c r="AA234" s="189" t="s">
        <v>3180</v>
      </c>
      <c r="AB234" s="189" t="s">
        <v>3249</v>
      </c>
      <c r="AG234" s="189" t="s">
        <v>3181</v>
      </c>
      <c r="AH234" s="189" t="s">
        <v>3162</v>
      </c>
    </row>
    <row r="235" customFormat="false" ht="15" hidden="false" customHeight="true" outlineLevel="0" collapsed="false">
      <c r="A235" s="0" t="n">
        <v>234</v>
      </c>
      <c r="B235" s="191" t="n">
        <v>46062.5393433089</v>
      </c>
      <c r="C235" s="191" t="n">
        <v>46062.5510562719</v>
      </c>
      <c r="D235" s="189" t="s">
        <v>1675</v>
      </c>
      <c r="E235" s="189" t="s">
        <v>1676</v>
      </c>
      <c r="F235" s="189" t="s">
        <v>1676</v>
      </c>
      <c r="G235" s="189" t="s">
        <v>1677</v>
      </c>
      <c r="H235" s="191" t="n">
        <v>46045</v>
      </c>
      <c r="I235" s="189" t="s">
        <v>113</v>
      </c>
      <c r="J235" s="189" t="s">
        <v>108</v>
      </c>
      <c r="K235" s="189" t="s">
        <v>196</v>
      </c>
      <c r="L235" s="189" t="s">
        <v>159</v>
      </c>
      <c r="M235" s="189" t="s">
        <v>397</v>
      </c>
      <c r="N235" s="189" t="s">
        <v>1224</v>
      </c>
      <c r="O235" s="189" t="s">
        <v>107</v>
      </c>
      <c r="P235" s="189" t="s">
        <v>111</v>
      </c>
      <c r="Q235" s="189" t="s">
        <v>112</v>
      </c>
      <c r="R235" s="189" t="s">
        <v>25</v>
      </c>
      <c r="S235" s="189" t="s">
        <v>152</v>
      </c>
      <c r="T235" s="189" t="s">
        <v>121</v>
      </c>
      <c r="U235" s="189" t="s">
        <v>961</v>
      </c>
      <c r="V235" s="189" t="s">
        <v>167</v>
      </c>
      <c r="W235" s="189" t="s">
        <v>168</v>
      </c>
      <c r="X235" s="189" t="s">
        <v>687</v>
      </c>
      <c r="Y235" s="189" t="s">
        <v>687</v>
      </c>
      <c r="Z235" s="189" t="s">
        <v>3302</v>
      </c>
      <c r="AG235" s="189" t="s">
        <v>3221</v>
      </c>
      <c r="AH235" s="189" t="s">
        <v>3222</v>
      </c>
    </row>
    <row r="236" customFormat="false" ht="15" hidden="false" customHeight="true" outlineLevel="0" collapsed="false">
      <c r="A236" s="0" t="n">
        <v>235</v>
      </c>
      <c r="B236" s="191" t="n">
        <v>46114.6858689637</v>
      </c>
      <c r="C236" s="191" t="n">
        <v>46114.6941444266</v>
      </c>
      <c r="D236" s="189" t="s">
        <v>1680</v>
      </c>
      <c r="E236" s="189" t="s">
        <v>1681</v>
      </c>
      <c r="F236" s="189" t="s">
        <v>1681</v>
      </c>
      <c r="G236" s="189" t="s">
        <v>1682</v>
      </c>
      <c r="H236" s="191" t="n">
        <v>46099</v>
      </c>
      <c r="I236" s="189" t="s">
        <v>113</v>
      </c>
      <c r="J236" s="189" t="s">
        <v>295</v>
      </c>
      <c r="K236" s="189" t="s">
        <v>196</v>
      </c>
      <c r="L236" s="189" t="s">
        <v>184</v>
      </c>
      <c r="M236" s="189" t="s">
        <v>391</v>
      </c>
      <c r="N236" s="189" t="s">
        <v>297</v>
      </c>
      <c r="O236" s="189" t="s">
        <v>244</v>
      </c>
      <c r="P236" s="189" t="s">
        <v>111</v>
      </c>
      <c r="Q236" s="189" t="s">
        <v>112</v>
      </c>
      <c r="R236" s="189" t="s">
        <v>21</v>
      </c>
      <c r="S236" s="189" t="s">
        <v>120</v>
      </c>
      <c r="T236" s="189" t="s">
        <v>121</v>
      </c>
      <c r="V236" s="189" t="s">
        <v>123</v>
      </c>
      <c r="W236" s="189" t="s">
        <v>124</v>
      </c>
      <c r="X236" s="189" t="s">
        <v>187</v>
      </c>
      <c r="Y236" s="189" t="s">
        <v>187</v>
      </c>
      <c r="Z236" s="189" t="s">
        <v>3089</v>
      </c>
      <c r="AG236" s="189" t="s">
        <v>3091</v>
      </c>
    </row>
    <row r="237" customFormat="false" ht="15" hidden="false" customHeight="true" outlineLevel="0" collapsed="false">
      <c r="A237" s="0" t="n">
        <v>236</v>
      </c>
      <c r="B237" s="191" t="n">
        <v>46109.4057047272</v>
      </c>
      <c r="C237" s="191" t="n">
        <v>46109.4213644495</v>
      </c>
      <c r="D237" s="189" t="s">
        <v>1683</v>
      </c>
      <c r="E237" s="189" t="s">
        <v>1684</v>
      </c>
      <c r="F237" s="189" t="s">
        <v>1684</v>
      </c>
      <c r="G237" s="189" t="s">
        <v>1685</v>
      </c>
      <c r="H237" s="191" t="n">
        <v>46095</v>
      </c>
      <c r="I237" s="189" t="s">
        <v>132</v>
      </c>
      <c r="J237" s="189" t="s">
        <v>108</v>
      </c>
      <c r="K237" s="189" t="s">
        <v>245</v>
      </c>
      <c r="L237" s="189" t="s">
        <v>491</v>
      </c>
      <c r="M237" s="189" t="s">
        <v>515</v>
      </c>
      <c r="N237" s="189" t="s">
        <v>1078</v>
      </c>
      <c r="O237" s="189" t="s">
        <v>107</v>
      </c>
      <c r="P237" s="189" t="s">
        <v>131</v>
      </c>
      <c r="Q237" s="189" t="s">
        <v>145</v>
      </c>
      <c r="R237" s="189" t="s">
        <v>22</v>
      </c>
      <c r="S237" s="189" t="s">
        <v>227</v>
      </c>
      <c r="T237" s="189" t="s">
        <v>121</v>
      </c>
      <c r="U237" s="189" t="s">
        <v>122</v>
      </c>
      <c r="V237" s="189" t="s">
        <v>167</v>
      </c>
      <c r="W237" s="189" t="s">
        <v>124</v>
      </c>
      <c r="X237" s="189" t="s">
        <v>148</v>
      </c>
      <c r="Y237" s="189" t="s">
        <v>148</v>
      </c>
      <c r="Z237" s="189" t="s">
        <v>3122</v>
      </c>
      <c r="AA237" s="189" t="s">
        <v>3092</v>
      </c>
      <c r="AB237" s="189" t="s">
        <v>3281</v>
      </c>
      <c r="AG237" s="189" t="s">
        <v>3188</v>
      </c>
      <c r="AH237" s="189" t="s">
        <v>3080</v>
      </c>
    </row>
    <row r="238" customFormat="false" ht="15" hidden="false" customHeight="true" outlineLevel="0" collapsed="false">
      <c r="A238" s="0" t="n">
        <v>237</v>
      </c>
      <c r="B238" s="191" t="n">
        <v>46096.8098384713</v>
      </c>
      <c r="C238" s="191" t="n">
        <v>46096.8231602305</v>
      </c>
      <c r="D238" s="189" t="s">
        <v>1688</v>
      </c>
      <c r="E238" s="189" t="s">
        <v>1689</v>
      </c>
      <c r="F238" s="189" t="s">
        <v>1689</v>
      </c>
      <c r="G238" s="189" t="s">
        <v>1690</v>
      </c>
      <c r="H238" s="191" t="n">
        <v>46086</v>
      </c>
      <c r="I238" s="189" t="s">
        <v>325</v>
      </c>
      <c r="J238" s="189" t="s">
        <v>108</v>
      </c>
      <c r="K238" s="189" t="s">
        <v>848</v>
      </c>
      <c r="L238" s="189" t="s">
        <v>184</v>
      </c>
      <c r="M238" s="189" t="s">
        <v>326</v>
      </c>
      <c r="N238" s="189" t="s">
        <v>1042</v>
      </c>
      <c r="O238" s="189" t="s">
        <v>172</v>
      </c>
      <c r="P238" s="189" t="s">
        <v>111</v>
      </c>
      <c r="Q238" s="189" t="s">
        <v>198</v>
      </c>
      <c r="R238" s="189" t="s">
        <v>23</v>
      </c>
      <c r="S238" s="189" t="s">
        <v>120</v>
      </c>
      <c r="T238" s="189" t="s">
        <v>496</v>
      </c>
      <c r="U238" s="189" t="s">
        <v>1691</v>
      </c>
      <c r="V238" s="189" t="s">
        <v>192</v>
      </c>
      <c r="W238" s="189" t="s">
        <v>124</v>
      </c>
      <c r="X238" s="189" t="s">
        <v>122</v>
      </c>
      <c r="Y238" s="189" t="s">
        <v>122</v>
      </c>
    </row>
    <row r="239" customFormat="false" ht="15" hidden="false" customHeight="true" outlineLevel="0" collapsed="false">
      <c r="A239" s="0" t="n">
        <v>238</v>
      </c>
      <c r="B239" s="191" t="n">
        <v>46074.0579137368</v>
      </c>
      <c r="C239" s="191" t="n">
        <v>46074.0772077183</v>
      </c>
      <c r="D239" s="189" t="s">
        <v>1692</v>
      </c>
      <c r="E239" s="189" t="s">
        <v>1693</v>
      </c>
      <c r="F239" s="189" t="s">
        <v>1693</v>
      </c>
      <c r="G239" s="189" t="s">
        <v>1694</v>
      </c>
      <c r="H239" s="191" t="n">
        <v>46055</v>
      </c>
      <c r="I239" s="189" t="s">
        <v>113</v>
      </c>
      <c r="J239" s="189" t="s">
        <v>128</v>
      </c>
      <c r="K239" s="189" t="s">
        <v>413</v>
      </c>
      <c r="L239" s="189" t="s">
        <v>197</v>
      </c>
      <c r="M239" s="189" t="s">
        <v>507</v>
      </c>
      <c r="N239" s="189" t="s">
        <v>1144</v>
      </c>
      <c r="O239" s="189" t="s">
        <v>244</v>
      </c>
      <c r="P239" s="189" t="s">
        <v>111</v>
      </c>
      <c r="Q239" s="189" t="s">
        <v>112</v>
      </c>
      <c r="R239" s="189" t="s">
        <v>22</v>
      </c>
      <c r="S239" s="189" t="s">
        <v>152</v>
      </c>
      <c r="T239" s="189" t="s">
        <v>121</v>
      </c>
      <c r="U239" s="189" t="s">
        <v>1395</v>
      </c>
      <c r="V239" s="189" t="s">
        <v>123</v>
      </c>
      <c r="W239" s="189" t="s">
        <v>168</v>
      </c>
      <c r="X239" s="189" t="s">
        <v>715</v>
      </c>
      <c r="Y239" s="189" t="s">
        <v>715</v>
      </c>
      <c r="Z239" s="189" t="s">
        <v>3225</v>
      </c>
      <c r="AA239" s="189" t="s">
        <v>3224</v>
      </c>
      <c r="AB239" s="189" t="s">
        <v>3251</v>
      </c>
      <c r="AG239" s="189" t="s">
        <v>3229</v>
      </c>
      <c r="AH239" s="189" t="s">
        <v>3228</v>
      </c>
    </row>
    <row r="240" customFormat="false" ht="15" hidden="false" customHeight="true" outlineLevel="0" collapsed="false">
      <c r="A240" s="0" t="n">
        <v>239</v>
      </c>
      <c r="B240" s="191" t="n">
        <v>46173.8655246133</v>
      </c>
      <c r="C240" s="191" t="n">
        <v>46173.8757329466</v>
      </c>
      <c r="D240" s="189" t="s">
        <v>1697</v>
      </c>
      <c r="E240" s="189" t="s">
        <v>1698</v>
      </c>
      <c r="F240" s="189" t="s">
        <v>1698</v>
      </c>
      <c r="G240" s="189" t="s">
        <v>1699</v>
      </c>
      <c r="H240" s="191" t="n">
        <v>46162</v>
      </c>
      <c r="I240" s="189" t="s">
        <v>305</v>
      </c>
      <c r="J240" s="189" t="s">
        <v>108</v>
      </c>
      <c r="K240" s="189" t="s">
        <v>245</v>
      </c>
      <c r="L240" s="189" t="s">
        <v>184</v>
      </c>
      <c r="M240" s="189" t="s">
        <v>439</v>
      </c>
      <c r="N240" s="189" t="s">
        <v>338</v>
      </c>
      <c r="O240" s="189" t="s">
        <v>244</v>
      </c>
      <c r="P240" s="189" t="s">
        <v>111</v>
      </c>
      <c r="Q240" s="189" t="s">
        <v>112</v>
      </c>
      <c r="R240" s="189" t="s">
        <v>24</v>
      </c>
      <c r="S240" s="189" t="s">
        <v>227</v>
      </c>
      <c r="T240" s="189" t="s">
        <v>121</v>
      </c>
      <c r="U240" s="189" t="s">
        <v>1700</v>
      </c>
      <c r="V240" s="189" t="s">
        <v>167</v>
      </c>
      <c r="W240" s="189" t="s">
        <v>124</v>
      </c>
      <c r="X240" s="189" t="s">
        <v>19</v>
      </c>
      <c r="Y240" s="189" t="s">
        <v>19</v>
      </c>
      <c r="AK240" s="189" t="s">
        <v>880</v>
      </c>
    </row>
    <row r="241" customFormat="false" ht="15" hidden="false" customHeight="true" outlineLevel="0" collapsed="false">
      <c r="A241" s="0" t="n">
        <v>240</v>
      </c>
      <c r="B241" s="191" t="n">
        <v>46055.708431302</v>
      </c>
      <c r="C241" s="191" t="n">
        <v>46055.7112669502</v>
      </c>
      <c r="D241" s="189" t="s">
        <v>1701</v>
      </c>
      <c r="E241" s="189" t="s">
        <v>1702</v>
      </c>
      <c r="F241" s="189" t="s">
        <v>1702</v>
      </c>
      <c r="G241" s="189" t="s">
        <v>1703</v>
      </c>
      <c r="H241" s="191" t="n">
        <v>46035</v>
      </c>
      <c r="I241" s="189" t="s">
        <v>113</v>
      </c>
      <c r="J241" s="189" t="s">
        <v>108</v>
      </c>
      <c r="K241" s="189" t="s">
        <v>232</v>
      </c>
      <c r="L241" s="189" t="s">
        <v>159</v>
      </c>
      <c r="M241" s="189" t="s">
        <v>477</v>
      </c>
      <c r="N241" s="189" t="s">
        <v>389</v>
      </c>
      <c r="O241" s="189" t="s">
        <v>107</v>
      </c>
      <c r="P241" s="189" t="s">
        <v>111</v>
      </c>
      <c r="Q241" s="189" t="s">
        <v>145</v>
      </c>
      <c r="R241" s="189" t="s">
        <v>23</v>
      </c>
      <c r="S241" s="189" t="s">
        <v>152</v>
      </c>
      <c r="T241" s="189" t="s">
        <v>121</v>
      </c>
      <c r="U241" s="189" t="s">
        <v>122</v>
      </c>
      <c r="V241" s="189" t="s">
        <v>192</v>
      </c>
      <c r="W241" s="189" t="s">
        <v>124</v>
      </c>
      <c r="X241" s="189" t="s">
        <v>122</v>
      </c>
      <c r="Y241" s="189" t="s">
        <v>122</v>
      </c>
    </row>
    <row r="242" customFormat="false" ht="15" hidden="false" customHeight="true" outlineLevel="0" collapsed="false">
      <c r="A242" s="0" t="n">
        <v>241</v>
      </c>
      <c r="B242" s="191" t="n">
        <v>46057.387863174</v>
      </c>
      <c r="C242" s="191" t="n">
        <v>46057.4047034518</v>
      </c>
      <c r="D242" s="189" t="s">
        <v>1704</v>
      </c>
      <c r="E242" s="189" t="s">
        <v>1705</v>
      </c>
      <c r="F242" s="189" t="s">
        <v>1705</v>
      </c>
      <c r="G242" s="189" t="s">
        <v>1706</v>
      </c>
      <c r="H242" s="191" t="n">
        <v>46037</v>
      </c>
      <c r="I242" s="189" t="s">
        <v>305</v>
      </c>
      <c r="J242" s="189" t="s">
        <v>108</v>
      </c>
      <c r="K242" s="189" t="s">
        <v>173</v>
      </c>
      <c r="L242" s="189" t="s">
        <v>144</v>
      </c>
      <c r="M242" s="189" t="s">
        <v>144</v>
      </c>
      <c r="N242" s="189" t="s">
        <v>249</v>
      </c>
      <c r="O242" s="189" t="s">
        <v>172</v>
      </c>
      <c r="P242" s="189" t="s">
        <v>111</v>
      </c>
      <c r="Q242" s="189" t="s">
        <v>145</v>
      </c>
      <c r="R242" s="189" t="s">
        <v>22</v>
      </c>
      <c r="S242" s="189" t="s">
        <v>120</v>
      </c>
      <c r="T242" s="189" t="s">
        <v>121</v>
      </c>
      <c r="U242" s="189" t="s">
        <v>122</v>
      </c>
      <c r="V242" s="189" t="s">
        <v>123</v>
      </c>
      <c r="W242" s="189" t="s">
        <v>124</v>
      </c>
      <c r="X242" s="189" t="s">
        <v>148</v>
      </c>
      <c r="Y242" s="189" t="s">
        <v>148</v>
      </c>
      <c r="Z242" s="189" t="s">
        <v>3076</v>
      </c>
      <c r="AA242" s="189" t="s">
        <v>3186</v>
      </c>
      <c r="AB242" s="189" t="s">
        <v>3122</v>
      </c>
      <c r="AG242" s="189" t="s">
        <v>3188</v>
      </c>
    </row>
    <row r="243" customFormat="false" ht="15" hidden="false" customHeight="true" outlineLevel="0" collapsed="false">
      <c r="A243" s="0" t="n">
        <v>242</v>
      </c>
      <c r="B243" s="191" t="n">
        <v>46046.9641085269</v>
      </c>
      <c r="C243" s="191" t="n">
        <v>46046.9716432491</v>
      </c>
      <c r="D243" s="189" t="s">
        <v>1708</v>
      </c>
      <c r="E243" s="189" t="s">
        <v>1709</v>
      </c>
      <c r="F243" s="189" t="s">
        <v>1709</v>
      </c>
      <c r="G243" s="189" t="s">
        <v>1710</v>
      </c>
      <c r="H243" s="191" t="n">
        <v>46043</v>
      </c>
      <c r="I243" s="189" t="s">
        <v>113</v>
      </c>
      <c r="J243" s="189" t="s">
        <v>295</v>
      </c>
      <c r="K243" s="189" t="s">
        <v>1711</v>
      </c>
      <c r="L243" s="189" t="s">
        <v>130</v>
      </c>
      <c r="M243" s="189" t="s">
        <v>286</v>
      </c>
      <c r="N243" s="189" t="s">
        <v>1539</v>
      </c>
      <c r="O243" s="189" t="s">
        <v>107</v>
      </c>
      <c r="P243" s="189" t="s">
        <v>111</v>
      </c>
      <c r="Q243" s="189" t="s">
        <v>112</v>
      </c>
      <c r="R243" s="189" t="s">
        <v>25</v>
      </c>
      <c r="S243" s="189" t="s">
        <v>152</v>
      </c>
      <c r="T243" s="189" t="s">
        <v>180</v>
      </c>
      <c r="U243" s="189" t="s">
        <v>770</v>
      </c>
      <c r="V243" s="189" t="s">
        <v>192</v>
      </c>
      <c r="W243" s="189" t="s">
        <v>124</v>
      </c>
      <c r="X243" s="189" t="s">
        <v>1712</v>
      </c>
      <c r="Y243" s="189" t="s">
        <v>1712</v>
      </c>
      <c r="Z243" s="189" t="s">
        <v>3303</v>
      </c>
      <c r="AA243" s="189" t="s">
        <v>3304</v>
      </c>
      <c r="AB243" s="189" t="s">
        <v>3305</v>
      </c>
      <c r="AG243" s="189" t="s">
        <v>3308</v>
      </c>
      <c r="AH243" s="189" t="s">
        <v>3309</v>
      </c>
    </row>
    <row r="244" customFormat="false" ht="15" hidden="false" customHeight="true" outlineLevel="0" collapsed="false">
      <c r="A244" s="0" t="n">
        <v>243</v>
      </c>
      <c r="B244" s="191" t="n">
        <v>46191.1612085734</v>
      </c>
      <c r="C244" s="191" t="n">
        <v>46191.1726669067</v>
      </c>
      <c r="D244" s="189" t="s">
        <v>1716</v>
      </c>
      <c r="E244" s="189" t="s">
        <v>1717</v>
      </c>
      <c r="F244" s="189" t="s">
        <v>1717</v>
      </c>
      <c r="G244" s="189" t="s">
        <v>1718</v>
      </c>
      <c r="H244" s="191" t="n">
        <v>46177</v>
      </c>
      <c r="I244" s="189" t="s">
        <v>1268</v>
      </c>
      <c r="J244" s="189" t="s">
        <v>295</v>
      </c>
      <c r="K244" s="189" t="s">
        <v>245</v>
      </c>
      <c r="L244" s="189" t="s">
        <v>346</v>
      </c>
      <c r="M244" s="189" t="s">
        <v>397</v>
      </c>
      <c r="N244" s="189" t="s">
        <v>398</v>
      </c>
      <c r="O244" s="189" t="s">
        <v>107</v>
      </c>
      <c r="P244" s="189" t="s">
        <v>111</v>
      </c>
      <c r="Q244" s="189" t="s">
        <v>112</v>
      </c>
      <c r="R244" s="189" t="s">
        <v>23</v>
      </c>
      <c r="S244" s="189" t="s">
        <v>120</v>
      </c>
      <c r="T244" s="189" t="s">
        <v>121</v>
      </c>
      <c r="U244" s="189" t="s">
        <v>122</v>
      </c>
      <c r="V244" s="189" t="s">
        <v>123</v>
      </c>
      <c r="W244" s="189" t="s">
        <v>124</v>
      </c>
      <c r="X244" s="189" t="s">
        <v>1645</v>
      </c>
      <c r="Y244" s="189" t="s">
        <v>1645</v>
      </c>
    </row>
    <row r="245" customFormat="false" ht="15" hidden="false" customHeight="true" outlineLevel="0" collapsed="false">
      <c r="A245" s="0" t="n">
        <v>244</v>
      </c>
      <c r="B245" s="191" t="n">
        <v>46086.6512042124</v>
      </c>
      <c r="C245" s="191" t="n">
        <v>46086.6638083791</v>
      </c>
      <c r="D245" s="189" t="s">
        <v>1719</v>
      </c>
      <c r="E245" s="189" t="s">
        <v>1720</v>
      </c>
      <c r="F245" s="189" t="s">
        <v>1720</v>
      </c>
      <c r="G245" s="189" t="s">
        <v>1721</v>
      </c>
      <c r="H245" s="191" t="n">
        <v>46069</v>
      </c>
      <c r="I245" s="189" t="s">
        <v>113</v>
      </c>
      <c r="J245" s="189" t="s">
        <v>128</v>
      </c>
      <c r="K245" s="189" t="s">
        <v>245</v>
      </c>
      <c r="L245" s="189" t="s">
        <v>114</v>
      </c>
      <c r="M245" s="189" t="s">
        <v>248</v>
      </c>
      <c r="N245" s="189" t="s">
        <v>757</v>
      </c>
      <c r="O245" s="189" t="s">
        <v>172</v>
      </c>
      <c r="P245" s="189" t="s">
        <v>111</v>
      </c>
      <c r="Q245" s="189" t="s">
        <v>112</v>
      </c>
      <c r="R245" s="189" t="s">
        <v>22</v>
      </c>
      <c r="S245" s="189" t="s">
        <v>152</v>
      </c>
      <c r="T245" s="189" t="s">
        <v>228</v>
      </c>
      <c r="V245" s="189" t="s">
        <v>123</v>
      </c>
      <c r="W245" s="189" t="s">
        <v>124</v>
      </c>
      <c r="X245" s="189" t="s">
        <v>271</v>
      </c>
      <c r="Y245" s="189" t="s">
        <v>271</v>
      </c>
      <c r="Z245" s="189" t="s">
        <v>3136</v>
      </c>
      <c r="AA245" s="189" t="s">
        <v>3135</v>
      </c>
      <c r="AG245" s="189" t="s">
        <v>122</v>
      </c>
    </row>
    <row r="246" customFormat="false" ht="15" hidden="false" customHeight="true" outlineLevel="0" collapsed="false">
      <c r="A246" s="0" t="n">
        <v>245</v>
      </c>
      <c r="B246" s="191" t="n">
        <v>46065.179181808</v>
      </c>
      <c r="C246" s="191" t="n">
        <v>46065.1816239376</v>
      </c>
      <c r="D246" s="189" t="s">
        <v>1723</v>
      </c>
      <c r="E246" s="189" t="s">
        <v>1724</v>
      </c>
      <c r="F246" s="189" t="s">
        <v>1724</v>
      </c>
      <c r="G246" s="189" t="s">
        <v>1725</v>
      </c>
      <c r="H246" s="191" t="n">
        <v>46056</v>
      </c>
      <c r="I246" s="189" t="s">
        <v>113</v>
      </c>
      <c r="J246" s="189" t="s">
        <v>128</v>
      </c>
      <c r="K246" s="189" t="s">
        <v>196</v>
      </c>
      <c r="L246" s="189" t="s">
        <v>431</v>
      </c>
      <c r="M246" s="189" t="s">
        <v>130</v>
      </c>
      <c r="N246" s="189" t="s">
        <v>280</v>
      </c>
      <c r="O246" s="189" t="s">
        <v>244</v>
      </c>
      <c r="P246" s="189" t="s">
        <v>111</v>
      </c>
      <c r="Q246" s="189" t="s">
        <v>112</v>
      </c>
      <c r="R246" s="189" t="s">
        <v>22</v>
      </c>
      <c r="S246" s="189" t="s">
        <v>227</v>
      </c>
      <c r="T246" s="189" t="s">
        <v>264</v>
      </c>
      <c r="U246" s="189" t="s">
        <v>1129</v>
      </c>
      <c r="V246" s="189" t="s">
        <v>123</v>
      </c>
      <c r="W246" s="189" t="s">
        <v>124</v>
      </c>
      <c r="X246" s="189" t="s">
        <v>271</v>
      </c>
      <c r="Y246" s="189" t="s">
        <v>271</v>
      </c>
      <c r="Z246" s="189" t="s">
        <v>3114</v>
      </c>
      <c r="AG246" s="189" t="s">
        <v>3119</v>
      </c>
      <c r="AH246" s="189" t="s">
        <v>3118</v>
      </c>
    </row>
    <row r="247" customFormat="false" ht="15" hidden="false" customHeight="true" outlineLevel="0" collapsed="false">
      <c r="A247" s="0" t="n">
        <v>246</v>
      </c>
      <c r="B247" s="191" t="n">
        <v>46113.5175228957</v>
      </c>
      <c r="C247" s="191" t="n">
        <v>46113.5262265994</v>
      </c>
      <c r="D247" s="189" t="s">
        <v>1728</v>
      </c>
      <c r="E247" s="189" t="s">
        <v>1729</v>
      </c>
      <c r="F247" s="189" t="s">
        <v>1729</v>
      </c>
      <c r="G247" s="189" t="s">
        <v>1730</v>
      </c>
      <c r="H247" s="191" t="n">
        <v>46093</v>
      </c>
      <c r="I247" s="189" t="s">
        <v>305</v>
      </c>
      <c r="J247" s="189" t="s">
        <v>108</v>
      </c>
      <c r="K247" s="189" t="s">
        <v>173</v>
      </c>
      <c r="L247" s="189" t="s">
        <v>233</v>
      </c>
      <c r="M247" s="189" t="s">
        <v>566</v>
      </c>
      <c r="N247" s="189" t="s">
        <v>775</v>
      </c>
      <c r="O247" s="189" t="s">
        <v>244</v>
      </c>
      <c r="P247" s="189" t="s">
        <v>111</v>
      </c>
      <c r="Q247" s="189" t="s">
        <v>112</v>
      </c>
      <c r="R247" s="189" t="s">
        <v>24</v>
      </c>
      <c r="S247" s="189" t="s">
        <v>152</v>
      </c>
      <c r="T247" s="189" t="s">
        <v>121</v>
      </c>
      <c r="U247" s="189" t="s">
        <v>122</v>
      </c>
      <c r="V247" s="189" t="s">
        <v>123</v>
      </c>
      <c r="W247" s="189" t="s">
        <v>124</v>
      </c>
      <c r="X247" s="189" t="s">
        <v>223</v>
      </c>
      <c r="Y247" s="189" t="s">
        <v>223</v>
      </c>
      <c r="Z247" s="189" t="s">
        <v>3097</v>
      </c>
      <c r="AG247" s="189" t="s">
        <v>3150</v>
      </c>
      <c r="AH247" s="189" t="s">
        <v>3106</v>
      </c>
    </row>
    <row r="248" customFormat="false" ht="15" hidden="false" customHeight="true" outlineLevel="0" collapsed="false">
      <c r="A248" s="0" t="n">
        <v>247</v>
      </c>
      <c r="B248" s="191" t="n">
        <v>46141.2896764299</v>
      </c>
      <c r="C248" s="191" t="n">
        <v>46141.2971532818</v>
      </c>
      <c r="D248" s="189" t="s">
        <v>1732</v>
      </c>
      <c r="E248" s="189" t="s">
        <v>1733</v>
      </c>
      <c r="F248" s="189" t="s">
        <v>1734</v>
      </c>
      <c r="G248" s="189" t="s">
        <v>1735</v>
      </c>
      <c r="H248" s="191" t="n">
        <v>46138</v>
      </c>
      <c r="I248" s="189" t="s">
        <v>113</v>
      </c>
      <c r="J248" s="189" t="s">
        <v>108</v>
      </c>
      <c r="K248" s="189" t="s">
        <v>1711</v>
      </c>
      <c r="L248" s="189" t="s">
        <v>110</v>
      </c>
      <c r="M248" s="189" t="s">
        <v>686</v>
      </c>
      <c r="N248" s="189" t="s">
        <v>1094</v>
      </c>
      <c r="O248" s="189" t="s">
        <v>244</v>
      </c>
      <c r="P248" s="189" t="s">
        <v>111</v>
      </c>
      <c r="Q248" s="189" t="s">
        <v>247</v>
      </c>
      <c r="R248" s="189" t="s">
        <v>25</v>
      </c>
      <c r="S248" s="189" t="s">
        <v>120</v>
      </c>
      <c r="T248" s="189" t="s">
        <v>121</v>
      </c>
      <c r="U248" s="189" t="s">
        <v>1557</v>
      </c>
      <c r="V248" s="189" t="s">
        <v>123</v>
      </c>
      <c r="W248" s="189" t="s">
        <v>124</v>
      </c>
      <c r="X248" s="189" t="s">
        <v>327</v>
      </c>
      <c r="Y248" s="189" t="s">
        <v>327</v>
      </c>
      <c r="Z248" s="189" t="s">
        <v>3081</v>
      </c>
      <c r="AG248" s="189" t="s">
        <v>3070</v>
      </c>
      <c r="AH248" s="189" t="s">
        <v>3083</v>
      </c>
    </row>
    <row r="249" customFormat="false" ht="15" hidden="false" customHeight="true" outlineLevel="0" collapsed="false">
      <c r="A249" s="0" t="n">
        <v>248</v>
      </c>
      <c r="B249" s="191" t="n">
        <v>46126.9822979835</v>
      </c>
      <c r="C249" s="191" t="n">
        <v>46126.9956428909</v>
      </c>
      <c r="D249" s="189" t="s">
        <v>1738</v>
      </c>
      <c r="E249" s="189" t="s">
        <v>1739</v>
      </c>
      <c r="F249" s="189" t="s">
        <v>1739</v>
      </c>
      <c r="G249" s="189" t="s">
        <v>1740</v>
      </c>
      <c r="H249" s="191" t="n">
        <v>46118</v>
      </c>
      <c r="I249" s="189" t="s">
        <v>305</v>
      </c>
      <c r="J249" s="189" t="s">
        <v>108</v>
      </c>
      <c r="K249" s="189" t="s">
        <v>196</v>
      </c>
      <c r="L249" s="189" t="s">
        <v>246</v>
      </c>
      <c r="M249" s="189" t="s">
        <v>258</v>
      </c>
      <c r="N249" s="189" t="s">
        <v>297</v>
      </c>
      <c r="O249" s="189" t="s">
        <v>107</v>
      </c>
      <c r="P249" s="189" t="s">
        <v>111</v>
      </c>
      <c r="Q249" s="189" t="s">
        <v>112</v>
      </c>
      <c r="R249" s="189" t="s">
        <v>25</v>
      </c>
      <c r="S249" s="189" t="s">
        <v>120</v>
      </c>
      <c r="T249" s="189" t="s">
        <v>121</v>
      </c>
      <c r="U249" s="132" t="s">
        <v>641</v>
      </c>
      <c r="V249" s="189" t="s">
        <v>123</v>
      </c>
      <c r="W249" s="189" t="s">
        <v>139</v>
      </c>
      <c r="X249" s="189" t="s">
        <v>1712</v>
      </c>
      <c r="Y249" s="189" t="s">
        <v>1712</v>
      </c>
      <c r="Z249" s="189" t="s">
        <v>3304</v>
      </c>
      <c r="AG249" s="189" t="s">
        <v>3309</v>
      </c>
      <c r="AH249" s="189" t="s">
        <v>3308</v>
      </c>
    </row>
    <row r="250" customFormat="false" ht="15" hidden="false" customHeight="true" outlineLevel="0" collapsed="false">
      <c r="A250" s="0" t="n">
        <v>249</v>
      </c>
      <c r="B250" s="191" t="n">
        <v>46199.1579058569</v>
      </c>
      <c r="C250" s="191" t="n">
        <v>46199.1724428939</v>
      </c>
      <c r="D250" s="189" t="s">
        <v>1744</v>
      </c>
      <c r="E250" s="189" t="s">
        <v>1745</v>
      </c>
      <c r="F250" s="189" t="s">
        <v>1746</v>
      </c>
      <c r="G250" s="189" t="s">
        <v>1747</v>
      </c>
      <c r="H250" s="191" t="n">
        <v>46185</v>
      </c>
      <c r="I250" s="189" t="s">
        <v>113</v>
      </c>
      <c r="J250" s="189" t="s">
        <v>108</v>
      </c>
      <c r="K250" s="189" t="s">
        <v>364</v>
      </c>
      <c r="L250" s="189" t="s">
        <v>246</v>
      </c>
      <c r="M250" s="189" t="s">
        <v>774</v>
      </c>
      <c r="N250" s="189" t="s">
        <v>422</v>
      </c>
      <c r="O250" s="189" t="s">
        <v>260</v>
      </c>
      <c r="P250" s="189" t="s">
        <v>111</v>
      </c>
      <c r="Q250" s="189" t="s">
        <v>247</v>
      </c>
      <c r="R250" s="189" t="s">
        <v>22</v>
      </c>
      <c r="S250" s="189" t="s">
        <v>152</v>
      </c>
      <c r="T250" s="189" t="s">
        <v>352</v>
      </c>
      <c r="U250" s="189" t="s">
        <v>1326</v>
      </c>
      <c r="V250" s="189" t="s">
        <v>167</v>
      </c>
      <c r="W250" s="189" t="s">
        <v>168</v>
      </c>
      <c r="X250" s="189" t="s">
        <v>271</v>
      </c>
      <c r="Y250" s="189" t="s">
        <v>271</v>
      </c>
      <c r="Z250" s="189" t="s">
        <v>3230</v>
      </c>
      <c r="AA250" s="189" t="s">
        <v>3136</v>
      </c>
      <c r="AB250" s="189" t="s">
        <v>3115</v>
      </c>
      <c r="AG250" s="189" t="s">
        <v>3119</v>
      </c>
    </row>
    <row r="251" customFormat="false" ht="15" hidden="false" customHeight="true" outlineLevel="0" collapsed="false">
      <c r="A251" s="0" t="n">
        <v>250</v>
      </c>
      <c r="B251" s="191" t="n">
        <v>46080.5282087686</v>
      </c>
      <c r="C251" s="191" t="n">
        <v>46080.5457550649</v>
      </c>
      <c r="D251" s="189" t="s">
        <v>1750</v>
      </c>
      <c r="E251" s="189" t="s">
        <v>1751</v>
      </c>
      <c r="F251" s="189" t="s">
        <v>1751</v>
      </c>
      <c r="G251" s="189" t="s">
        <v>1752</v>
      </c>
      <c r="H251" s="191" t="n">
        <v>46066</v>
      </c>
      <c r="I251" s="189" t="s">
        <v>305</v>
      </c>
      <c r="J251" s="189" t="s">
        <v>295</v>
      </c>
      <c r="K251" s="189" t="s">
        <v>143</v>
      </c>
      <c r="L251" s="189" t="s">
        <v>296</v>
      </c>
      <c r="M251" s="189" t="s">
        <v>1313</v>
      </c>
      <c r="N251" s="189" t="s">
        <v>665</v>
      </c>
      <c r="O251" s="189" t="s">
        <v>107</v>
      </c>
      <c r="P251" s="189" t="s">
        <v>211</v>
      </c>
      <c r="Q251" s="189" t="s">
        <v>112</v>
      </c>
      <c r="R251" s="189" t="s">
        <v>24</v>
      </c>
      <c r="S251" s="189" t="s">
        <v>152</v>
      </c>
      <c r="T251" s="189" t="s">
        <v>121</v>
      </c>
      <c r="U251" s="189" t="s">
        <v>122</v>
      </c>
      <c r="V251" s="189" t="s">
        <v>192</v>
      </c>
      <c r="W251" s="189" t="s">
        <v>124</v>
      </c>
      <c r="X251" s="189" t="s">
        <v>19</v>
      </c>
      <c r="Y251" s="189" t="s">
        <v>19</v>
      </c>
      <c r="AK251" s="189" t="s">
        <v>880</v>
      </c>
    </row>
    <row r="252" customFormat="false" ht="15" hidden="false" customHeight="true" outlineLevel="0" collapsed="false">
      <c r="A252" s="0" t="n">
        <v>251</v>
      </c>
      <c r="B252" s="191" t="n">
        <v>46066.1416003443</v>
      </c>
      <c r="C252" s="191" t="n">
        <v>46066.158417474</v>
      </c>
      <c r="D252" s="189" t="s">
        <v>1753</v>
      </c>
      <c r="E252" s="189" t="s">
        <v>1754</v>
      </c>
      <c r="F252" s="189" t="s">
        <v>1754</v>
      </c>
      <c r="G252" s="189" t="s">
        <v>1755</v>
      </c>
      <c r="H252" s="191" t="n">
        <v>46052</v>
      </c>
      <c r="I252" s="189" t="s">
        <v>113</v>
      </c>
      <c r="J252" s="189" t="s">
        <v>108</v>
      </c>
      <c r="K252" s="189" t="s">
        <v>257</v>
      </c>
      <c r="L252" s="189" t="s">
        <v>210</v>
      </c>
      <c r="M252" s="189" t="s">
        <v>736</v>
      </c>
      <c r="N252" s="189" t="s">
        <v>757</v>
      </c>
      <c r="O252" s="189" t="s">
        <v>244</v>
      </c>
      <c r="P252" s="189" t="s">
        <v>111</v>
      </c>
      <c r="Q252" s="189" t="s">
        <v>145</v>
      </c>
      <c r="R252" s="189" t="s">
        <v>22</v>
      </c>
      <c r="S252" s="189" t="s">
        <v>120</v>
      </c>
      <c r="T252" s="189" t="s">
        <v>180</v>
      </c>
      <c r="U252" s="189" t="s">
        <v>369</v>
      </c>
      <c r="V252" s="189" t="s">
        <v>123</v>
      </c>
      <c r="W252" s="189" t="s">
        <v>124</v>
      </c>
      <c r="X252" s="189" t="s">
        <v>176</v>
      </c>
      <c r="Y252" s="189" t="s">
        <v>176</v>
      </c>
      <c r="Z252" s="189" t="s">
        <v>3292</v>
      </c>
      <c r="AA252" s="189" t="s">
        <v>3269</v>
      </c>
      <c r="AG252" s="189" t="s">
        <v>3242</v>
      </c>
      <c r="AH252" s="189" t="s">
        <v>3206</v>
      </c>
    </row>
    <row r="253" customFormat="false" ht="15" hidden="false" customHeight="true" outlineLevel="0" collapsed="false">
      <c r="A253" s="0" t="n">
        <v>252</v>
      </c>
      <c r="B253" s="191" t="n">
        <v>46158.1293713509</v>
      </c>
      <c r="C253" s="191" t="n">
        <v>46158.147507925</v>
      </c>
      <c r="D253" s="189" t="s">
        <v>1759</v>
      </c>
      <c r="E253" s="189" t="s">
        <v>1760</v>
      </c>
      <c r="F253" s="189" t="s">
        <v>1760</v>
      </c>
      <c r="G253" s="189" t="s">
        <v>1761</v>
      </c>
      <c r="H253" s="191" t="n">
        <v>46152</v>
      </c>
      <c r="I253" s="189" t="s">
        <v>113</v>
      </c>
      <c r="J253" s="189" t="s">
        <v>295</v>
      </c>
      <c r="K253" s="189" t="s">
        <v>1762</v>
      </c>
      <c r="L253" s="189" t="s">
        <v>346</v>
      </c>
      <c r="M253" s="189" t="s">
        <v>234</v>
      </c>
      <c r="N253" s="189" t="s">
        <v>893</v>
      </c>
      <c r="O253" s="189" t="s">
        <v>781</v>
      </c>
      <c r="P253" s="189" t="s">
        <v>111</v>
      </c>
      <c r="Q253" s="189" t="s">
        <v>112</v>
      </c>
      <c r="R253" s="189" t="s">
        <v>22</v>
      </c>
      <c r="S253" s="189" t="s">
        <v>120</v>
      </c>
      <c r="T253" s="189" t="s">
        <v>352</v>
      </c>
      <c r="U253" s="189" t="s">
        <v>122</v>
      </c>
      <c r="V253" s="189" t="s">
        <v>123</v>
      </c>
      <c r="W253" s="189" t="s">
        <v>139</v>
      </c>
      <c r="X253" s="189" t="s">
        <v>298</v>
      </c>
      <c r="Y253" s="189" t="s">
        <v>298</v>
      </c>
      <c r="Z253" s="189" t="s">
        <v>3125</v>
      </c>
      <c r="AG253" s="189" t="s">
        <v>122</v>
      </c>
      <c r="AH253" s="189" t="s">
        <v>3248</v>
      </c>
    </row>
    <row r="254" customFormat="false" ht="15" hidden="false" customHeight="true" outlineLevel="0" collapsed="false">
      <c r="A254" s="0" t="n">
        <v>253</v>
      </c>
      <c r="B254" s="191" t="n">
        <v>46119.3963650541</v>
      </c>
      <c r="C254" s="191" t="n">
        <v>46119.4085062578</v>
      </c>
      <c r="D254" s="189" t="s">
        <v>1765</v>
      </c>
      <c r="E254" s="189" t="s">
        <v>1766</v>
      </c>
      <c r="F254" s="189" t="s">
        <v>1766</v>
      </c>
      <c r="G254" s="189" t="s">
        <v>1767</v>
      </c>
      <c r="H254" s="191" t="n">
        <v>46099</v>
      </c>
      <c r="I254" s="189" t="s">
        <v>113</v>
      </c>
      <c r="J254" s="189" t="s">
        <v>295</v>
      </c>
      <c r="K254" s="189" t="s">
        <v>257</v>
      </c>
      <c r="L254" s="189" t="s">
        <v>159</v>
      </c>
      <c r="M254" s="189" t="s">
        <v>144</v>
      </c>
      <c r="N254" s="189" t="s">
        <v>672</v>
      </c>
      <c r="O254" s="189" t="s">
        <v>244</v>
      </c>
      <c r="P254" s="189" t="s">
        <v>131</v>
      </c>
      <c r="Q254" s="189" t="s">
        <v>112</v>
      </c>
      <c r="R254" s="189" t="s">
        <v>22</v>
      </c>
      <c r="S254" s="189" t="s">
        <v>152</v>
      </c>
      <c r="T254" s="189" t="s">
        <v>121</v>
      </c>
      <c r="U254" s="189" t="s">
        <v>122</v>
      </c>
      <c r="V254" s="189" t="s">
        <v>167</v>
      </c>
      <c r="W254" s="189" t="s">
        <v>139</v>
      </c>
      <c r="X254" s="189" t="s">
        <v>116</v>
      </c>
      <c r="Y254" s="189" t="s">
        <v>116</v>
      </c>
      <c r="Z254" s="189" t="s">
        <v>3107</v>
      </c>
      <c r="AG254" s="189" t="s">
        <v>3140</v>
      </c>
      <c r="AH254" s="189" t="s">
        <v>3083</v>
      </c>
    </row>
    <row r="255" customFormat="false" ht="15" hidden="false" customHeight="true" outlineLevel="0" collapsed="false">
      <c r="A255" s="0" t="n">
        <v>254</v>
      </c>
      <c r="B255" s="191" t="n">
        <v>46098.0453833615</v>
      </c>
      <c r="C255" s="191" t="n">
        <v>46098.0526866023</v>
      </c>
      <c r="D255" s="189" t="s">
        <v>1768</v>
      </c>
      <c r="E255" s="189" t="s">
        <v>1769</v>
      </c>
      <c r="F255" s="189" t="s">
        <v>1769</v>
      </c>
      <c r="G255" s="189" t="s">
        <v>1770</v>
      </c>
      <c r="H255" s="191" t="n">
        <v>46089</v>
      </c>
      <c r="I255" s="189" t="s">
        <v>113</v>
      </c>
      <c r="J255" s="189" t="s">
        <v>108</v>
      </c>
      <c r="K255" s="189" t="s">
        <v>1771</v>
      </c>
      <c r="L255" s="189" t="s">
        <v>159</v>
      </c>
      <c r="M255" s="189" t="s">
        <v>612</v>
      </c>
      <c r="N255" s="189" t="s">
        <v>1028</v>
      </c>
      <c r="O255" s="189" t="s">
        <v>107</v>
      </c>
      <c r="P255" s="189" t="s">
        <v>131</v>
      </c>
      <c r="Q255" s="189" t="s">
        <v>112</v>
      </c>
      <c r="R255" s="189" t="s">
        <v>22</v>
      </c>
      <c r="S255" s="189" t="s">
        <v>120</v>
      </c>
      <c r="T255" s="189" t="s">
        <v>180</v>
      </c>
      <c r="U255" s="189" t="s">
        <v>1773</v>
      </c>
      <c r="V255" s="189" t="s">
        <v>123</v>
      </c>
      <c r="W255" s="189" t="s">
        <v>124</v>
      </c>
      <c r="X255" s="189" t="s">
        <v>381</v>
      </c>
      <c r="Y255" s="189" t="s">
        <v>381</v>
      </c>
      <c r="Z255" s="189" t="s">
        <v>3180</v>
      </c>
      <c r="AG255" s="189" t="s">
        <v>3162</v>
      </c>
    </row>
    <row r="256" customFormat="false" ht="15" hidden="false" customHeight="true" outlineLevel="0" collapsed="false">
      <c r="A256" s="0" t="n">
        <v>255</v>
      </c>
      <c r="B256" s="191" t="n">
        <v>46044.1924609671</v>
      </c>
      <c r="C256" s="191" t="n">
        <v>46044.2102850412</v>
      </c>
      <c r="D256" s="189" t="s">
        <v>1774</v>
      </c>
      <c r="E256" s="189" t="s">
        <v>1775</v>
      </c>
      <c r="F256" s="189" t="s">
        <v>1775</v>
      </c>
      <c r="G256" s="189" t="s">
        <v>1776</v>
      </c>
      <c r="H256" s="191" t="n">
        <v>46043</v>
      </c>
      <c r="I256" s="189" t="s">
        <v>113</v>
      </c>
      <c r="J256" s="189" t="s">
        <v>108</v>
      </c>
      <c r="K256" s="189" t="s">
        <v>245</v>
      </c>
      <c r="L256" s="189" t="s">
        <v>110</v>
      </c>
      <c r="M256" s="189" t="s">
        <v>543</v>
      </c>
      <c r="N256" s="189" t="s">
        <v>1323</v>
      </c>
      <c r="O256" s="189" t="s">
        <v>713</v>
      </c>
      <c r="P256" s="189" t="s">
        <v>111</v>
      </c>
      <c r="Q256" s="189" t="s">
        <v>112</v>
      </c>
      <c r="R256" s="189" t="s">
        <v>22</v>
      </c>
      <c r="S256" s="189" t="s">
        <v>120</v>
      </c>
      <c r="T256" s="189" t="s">
        <v>180</v>
      </c>
      <c r="U256" s="189" t="s">
        <v>122</v>
      </c>
      <c r="V256" s="189" t="s">
        <v>192</v>
      </c>
      <c r="W256" s="189" t="s">
        <v>124</v>
      </c>
      <c r="X256" s="189" t="s">
        <v>339</v>
      </c>
      <c r="Y256" s="189" t="s">
        <v>339</v>
      </c>
      <c r="Z256" s="189" t="s">
        <v>3168</v>
      </c>
      <c r="AG256" s="189" t="s">
        <v>3144</v>
      </c>
      <c r="AH256" s="189" t="s">
        <v>3145</v>
      </c>
    </row>
    <row r="257" customFormat="false" ht="15" hidden="false" customHeight="true" outlineLevel="0" collapsed="false">
      <c r="A257" s="0" t="n">
        <v>256</v>
      </c>
      <c r="B257" s="191" t="n">
        <v>46146.0602199425</v>
      </c>
      <c r="C257" s="191" t="n">
        <v>46146.0757060536</v>
      </c>
      <c r="D257" s="189" t="s">
        <v>1777</v>
      </c>
      <c r="E257" s="189" t="s">
        <v>1778</v>
      </c>
      <c r="F257" s="189" t="s">
        <v>1779</v>
      </c>
      <c r="G257" s="189" t="s">
        <v>1780</v>
      </c>
      <c r="H257" s="191" t="n">
        <v>46140</v>
      </c>
      <c r="I257" s="189" t="s">
        <v>113</v>
      </c>
      <c r="J257" s="189" t="s">
        <v>108</v>
      </c>
      <c r="K257" s="189" t="s">
        <v>257</v>
      </c>
      <c r="L257" s="189" t="s">
        <v>159</v>
      </c>
      <c r="M257" s="189" t="s">
        <v>1313</v>
      </c>
      <c r="N257" s="189" t="s">
        <v>1781</v>
      </c>
      <c r="O257" s="189" t="s">
        <v>713</v>
      </c>
      <c r="P257" s="189" t="s">
        <v>111</v>
      </c>
      <c r="Q257" s="189" t="s">
        <v>112</v>
      </c>
      <c r="R257" s="189" t="s">
        <v>21</v>
      </c>
      <c r="S257" s="189" t="s">
        <v>152</v>
      </c>
      <c r="T257" s="189" t="s">
        <v>180</v>
      </c>
      <c r="U257" s="189" t="s">
        <v>122</v>
      </c>
      <c r="V257" s="189" t="s">
        <v>192</v>
      </c>
      <c r="W257" s="189" t="s">
        <v>124</v>
      </c>
      <c r="X257" s="189" t="s">
        <v>348</v>
      </c>
      <c r="Y257" s="189" t="s">
        <v>348</v>
      </c>
      <c r="Z257" s="189" t="s">
        <v>3310</v>
      </c>
      <c r="AA257" s="189" t="s">
        <v>3164</v>
      </c>
      <c r="AG257" s="189" t="s">
        <v>3263</v>
      </c>
    </row>
    <row r="258" customFormat="false" ht="15" hidden="false" customHeight="true" outlineLevel="0" collapsed="false">
      <c r="A258" s="0" t="n">
        <v>257</v>
      </c>
      <c r="B258" s="191" t="n">
        <v>46144.2345537234</v>
      </c>
      <c r="C258" s="191" t="n">
        <v>46144.2491949271</v>
      </c>
      <c r="D258" s="189" t="s">
        <v>1784</v>
      </c>
      <c r="E258" s="189" t="s">
        <v>1785</v>
      </c>
      <c r="F258" s="189" t="s">
        <v>1785</v>
      </c>
      <c r="G258" s="189" t="s">
        <v>1786</v>
      </c>
      <c r="H258" s="191" t="n">
        <v>46138</v>
      </c>
      <c r="I258" s="189" t="s">
        <v>113</v>
      </c>
      <c r="J258" s="189" t="s">
        <v>295</v>
      </c>
      <c r="K258" s="189" t="s">
        <v>1787</v>
      </c>
      <c r="L258" s="189" t="s">
        <v>110</v>
      </c>
      <c r="M258" s="189" t="s">
        <v>160</v>
      </c>
      <c r="N258" s="189" t="s">
        <v>469</v>
      </c>
      <c r="O258" s="189" t="s">
        <v>405</v>
      </c>
      <c r="P258" s="189" t="s">
        <v>111</v>
      </c>
      <c r="Q258" s="189" t="s">
        <v>112</v>
      </c>
      <c r="R258" s="189" t="s">
        <v>22</v>
      </c>
      <c r="S258" s="189" t="s">
        <v>152</v>
      </c>
      <c r="T258" s="189" t="s">
        <v>121</v>
      </c>
      <c r="V258" s="189" t="s">
        <v>192</v>
      </c>
      <c r="W258" s="189" t="s">
        <v>124</v>
      </c>
      <c r="X258" s="189" t="s">
        <v>271</v>
      </c>
      <c r="Y258" s="189" t="s">
        <v>271</v>
      </c>
      <c r="Z258" s="189" t="s">
        <v>3136</v>
      </c>
      <c r="AA258" s="189" t="s">
        <v>3135</v>
      </c>
      <c r="AB258" s="189" t="s">
        <v>3230</v>
      </c>
      <c r="AG258" s="189" t="s">
        <v>3118</v>
      </c>
      <c r="AH258" s="189" t="s">
        <v>3119</v>
      </c>
    </row>
    <row r="259" customFormat="false" ht="15" hidden="false" customHeight="true" outlineLevel="0" collapsed="false">
      <c r="A259" s="0" t="n">
        <v>258</v>
      </c>
      <c r="B259" s="191" t="n">
        <v>46213.1139051501</v>
      </c>
      <c r="C259" s="191" t="n">
        <v>46213.1328287612</v>
      </c>
      <c r="D259" s="189" t="s">
        <v>1789</v>
      </c>
      <c r="E259" s="189" t="s">
        <v>1790</v>
      </c>
      <c r="F259" s="189" t="s">
        <v>1790</v>
      </c>
      <c r="G259" s="189" t="s">
        <v>1791</v>
      </c>
      <c r="H259" s="191" t="n">
        <v>46208</v>
      </c>
      <c r="I259" s="189" t="s">
        <v>113</v>
      </c>
      <c r="J259" s="189" t="s">
        <v>108</v>
      </c>
      <c r="K259" s="189" t="s">
        <v>1792</v>
      </c>
      <c r="L259" s="189" t="s">
        <v>491</v>
      </c>
      <c r="M259" s="189" t="s">
        <v>797</v>
      </c>
      <c r="N259" s="189" t="s">
        <v>1622</v>
      </c>
      <c r="O259" s="189" t="s">
        <v>278</v>
      </c>
      <c r="P259" s="189" t="s">
        <v>111</v>
      </c>
      <c r="Q259" s="189" t="s">
        <v>112</v>
      </c>
      <c r="R259" s="189" t="s">
        <v>22</v>
      </c>
      <c r="S259" s="189" t="s">
        <v>120</v>
      </c>
      <c r="T259" s="189" t="s">
        <v>352</v>
      </c>
      <c r="U259" s="189" t="s">
        <v>122</v>
      </c>
      <c r="V259" s="189" t="s">
        <v>123</v>
      </c>
      <c r="W259" s="189" t="s">
        <v>124</v>
      </c>
      <c r="X259" s="189" t="s">
        <v>271</v>
      </c>
      <c r="Y259" s="189" t="s">
        <v>271</v>
      </c>
      <c r="Z259" s="189" t="s">
        <v>3115</v>
      </c>
      <c r="AG259" s="189" t="s">
        <v>3118</v>
      </c>
      <c r="AH259" s="189" t="s">
        <v>122</v>
      </c>
    </row>
    <row r="260" customFormat="false" ht="15" hidden="false" customHeight="true" outlineLevel="0" collapsed="false">
      <c r="A260" s="0" t="n">
        <v>259</v>
      </c>
      <c r="B260" s="191" t="n">
        <v>46162.964002362</v>
      </c>
      <c r="C260" s="191" t="n">
        <v>46162.9814444916</v>
      </c>
      <c r="D260" s="189" t="s">
        <v>1793</v>
      </c>
      <c r="E260" s="189" t="s">
        <v>1794</v>
      </c>
      <c r="F260" s="189" t="s">
        <v>1794</v>
      </c>
      <c r="G260" s="189" t="s">
        <v>1795</v>
      </c>
      <c r="H260" s="191" t="n">
        <v>46159</v>
      </c>
      <c r="I260" s="189" t="s">
        <v>1333</v>
      </c>
      <c r="J260" s="189" t="s">
        <v>108</v>
      </c>
      <c r="K260" s="189" t="s">
        <v>257</v>
      </c>
      <c r="L260" s="189" t="s">
        <v>491</v>
      </c>
      <c r="M260" s="189" t="s">
        <v>515</v>
      </c>
      <c r="N260" s="189" t="s">
        <v>270</v>
      </c>
      <c r="O260" s="189" t="s">
        <v>172</v>
      </c>
      <c r="P260" s="189" t="s">
        <v>111</v>
      </c>
      <c r="Q260" s="189" t="s">
        <v>247</v>
      </c>
      <c r="R260" s="189" t="s">
        <v>24</v>
      </c>
      <c r="S260" s="189" t="s">
        <v>120</v>
      </c>
      <c r="T260" s="189" t="s">
        <v>121</v>
      </c>
      <c r="U260" s="189" t="s">
        <v>122</v>
      </c>
      <c r="V260" s="189" t="s">
        <v>167</v>
      </c>
      <c r="W260" s="189" t="s">
        <v>168</v>
      </c>
      <c r="X260" s="189" t="s">
        <v>260</v>
      </c>
      <c r="Y260" s="189" t="s">
        <v>260</v>
      </c>
      <c r="Z260" s="189" t="s">
        <v>3258</v>
      </c>
      <c r="AG260" s="189" t="s">
        <v>606</v>
      </c>
    </row>
    <row r="261" customFormat="false" ht="15" hidden="false" customHeight="true" outlineLevel="0" collapsed="false">
      <c r="A261" s="0" t="n">
        <v>260</v>
      </c>
      <c r="B261" s="191" t="n">
        <v>46101.861832662</v>
      </c>
      <c r="C261" s="191" t="n">
        <v>46101.8667400694</v>
      </c>
      <c r="D261" s="189" t="s">
        <v>1797</v>
      </c>
      <c r="E261" s="189" t="s">
        <v>1798</v>
      </c>
      <c r="F261" s="189" t="s">
        <v>1798</v>
      </c>
      <c r="G261" s="189" t="s">
        <v>1799</v>
      </c>
      <c r="H261" s="191" t="n">
        <v>46081</v>
      </c>
      <c r="I261" s="189" t="s">
        <v>325</v>
      </c>
      <c r="J261" s="189" t="s">
        <v>128</v>
      </c>
      <c r="K261" s="189" t="s">
        <v>196</v>
      </c>
      <c r="L261" s="189" t="s">
        <v>286</v>
      </c>
      <c r="M261" s="189" t="s">
        <v>515</v>
      </c>
      <c r="N261" s="189" t="s">
        <v>407</v>
      </c>
      <c r="O261" s="189" t="s">
        <v>278</v>
      </c>
      <c r="P261" s="189" t="s">
        <v>111</v>
      </c>
      <c r="Q261" s="189" t="s">
        <v>145</v>
      </c>
      <c r="R261" s="189" t="s">
        <v>22</v>
      </c>
      <c r="S261" s="189" t="s">
        <v>120</v>
      </c>
      <c r="T261" s="189" t="s">
        <v>121</v>
      </c>
      <c r="V261" s="189" t="s">
        <v>167</v>
      </c>
      <c r="W261" s="189" t="s">
        <v>124</v>
      </c>
      <c r="X261" s="189" t="s">
        <v>339</v>
      </c>
      <c r="Y261" s="189" t="s">
        <v>339</v>
      </c>
      <c r="Z261" s="189" t="s">
        <v>3168</v>
      </c>
      <c r="AA261" s="189" t="s">
        <v>3169</v>
      </c>
      <c r="AB261" s="189" t="s">
        <v>3198</v>
      </c>
      <c r="AG261" s="189" t="s">
        <v>122</v>
      </c>
      <c r="AH261" s="189" t="s">
        <v>3144</v>
      </c>
    </row>
    <row r="262" customFormat="false" ht="15" hidden="false" customHeight="true" outlineLevel="0" collapsed="false">
      <c r="A262" s="0" t="n">
        <v>261</v>
      </c>
      <c r="B262" s="191" t="n">
        <v>46175.1642020994</v>
      </c>
      <c r="C262" s="191" t="n">
        <v>46175.1711465438</v>
      </c>
      <c r="D262" s="189" t="s">
        <v>1802</v>
      </c>
      <c r="E262" s="189" t="s">
        <v>1803</v>
      </c>
      <c r="F262" s="189" t="s">
        <v>1803</v>
      </c>
      <c r="G262" s="189" t="s">
        <v>1804</v>
      </c>
      <c r="H262" s="191" t="n">
        <v>46162</v>
      </c>
      <c r="I262" s="189" t="s">
        <v>113</v>
      </c>
      <c r="J262" s="189" t="s">
        <v>108</v>
      </c>
      <c r="K262" s="189" t="s">
        <v>257</v>
      </c>
      <c r="L262" s="189" t="s">
        <v>346</v>
      </c>
      <c r="M262" s="189" t="s">
        <v>130</v>
      </c>
      <c r="N262" s="189" t="s">
        <v>606</v>
      </c>
      <c r="O262" s="189" t="s">
        <v>157</v>
      </c>
      <c r="P262" s="189" t="s">
        <v>111</v>
      </c>
      <c r="Q262" s="189" t="s">
        <v>112</v>
      </c>
      <c r="R262" s="189" t="s">
        <v>22</v>
      </c>
      <c r="S262" s="189" t="s">
        <v>152</v>
      </c>
      <c r="T262" s="189" t="s">
        <v>121</v>
      </c>
      <c r="V262" s="189" t="s">
        <v>123</v>
      </c>
      <c r="W262" s="189" t="s">
        <v>124</v>
      </c>
      <c r="X262" s="189" t="s">
        <v>135</v>
      </c>
      <c r="Y262" s="189" t="s">
        <v>135</v>
      </c>
      <c r="Z262" s="189" t="s">
        <v>3201</v>
      </c>
      <c r="AA262" s="189" t="s">
        <v>3202</v>
      </c>
      <c r="AG262" s="189" t="s">
        <v>122</v>
      </c>
      <c r="AH262" s="189" t="s">
        <v>3212</v>
      </c>
    </row>
    <row r="263" customFormat="false" ht="15" hidden="false" customHeight="true" outlineLevel="0" collapsed="false">
      <c r="A263" s="0" t="n">
        <v>262</v>
      </c>
      <c r="B263" s="191" t="n">
        <v>46093.984045513</v>
      </c>
      <c r="C263" s="191" t="n">
        <v>46093.9973209759</v>
      </c>
      <c r="D263" s="189" t="s">
        <v>1808</v>
      </c>
      <c r="E263" s="189" t="s">
        <v>1809</v>
      </c>
      <c r="F263" s="189" t="s">
        <v>1809</v>
      </c>
      <c r="G263" s="189" t="s">
        <v>1810</v>
      </c>
      <c r="H263" s="191" t="n">
        <v>46091</v>
      </c>
      <c r="I263" s="189" t="s">
        <v>113</v>
      </c>
      <c r="J263" s="189" t="s">
        <v>128</v>
      </c>
      <c r="K263" s="189" t="s">
        <v>1811</v>
      </c>
      <c r="L263" s="189" t="s">
        <v>110</v>
      </c>
      <c r="M263" s="189" t="s">
        <v>594</v>
      </c>
      <c r="N263" s="189" t="s">
        <v>905</v>
      </c>
      <c r="O263" s="189" t="s">
        <v>278</v>
      </c>
      <c r="P263" s="189" t="s">
        <v>111</v>
      </c>
      <c r="Q263" s="189" t="s">
        <v>112</v>
      </c>
      <c r="R263" s="189" t="s">
        <v>22</v>
      </c>
      <c r="S263" s="189" t="s">
        <v>152</v>
      </c>
      <c r="T263" s="189" t="s">
        <v>121</v>
      </c>
      <c r="U263" s="189" t="s">
        <v>1813</v>
      </c>
      <c r="V263" s="189" t="s">
        <v>167</v>
      </c>
      <c r="W263" s="189" t="s">
        <v>168</v>
      </c>
      <c r="X263" s="189" t="s">
        <v>715</v>
      </c>
      <c r="Y263" s="189" t="s">
        <v>715</v>
      </c>
      <c r="Z263" s="189" t="s">
        <v>3224</v>
      </c>
      <c r="AG263" s="189" t="s">
        <v>3253</v>
      </c>
      <c r="AH263" s="189" t="s">
        <v>3229</v>
      </c>
    </row>
    <row r="264" customFormat="false" ht="15" hidden="false" customHeight="true" outlineLevel="0" collapsed="false">
      <c r="A264" s="0" t="n">
        <v>263</v>
      </c>
      <c r="B264" s="191" t="n">
        <v>46048.6846316379</v>
      </c>
      <c r="C264" s="191" t="n">
        <v>46048.6895506194</v>
      </c>
      <c r="D264" s="189" t="s">
        <v>1814</v>
      </c>
      <c r="E264" s="189" t="s">
        <v>1815</v>
      </c>
      <c r="F264" s="189" t="s">
        <v>1815</v>
      </c>
      <c r="G264" s="189" t="s">
        <v>1816</v>
      </c>
      <c r="H264" s="191" t="n">
        <v>46042</v>
      </c>
      <c r="I264" s="189" t="s">
        <v>132</v>
      </c>
      <c r="J264" s="189" t="s">
        <v>108</v>
      </c>
      <c r="K264" s="189" t="s">
        <v>196</v>
      </c>
      <c r="L264" s="189" t="s">
        <v>296</v>
      </c>
      <c r="M264" s="189" t="s">
        <v>1074</v>
      </c>
      <c r="N264" s="189" t="s">
        <v>552</v>
      </c>
      <c r="O264" s="189" t="s">
        <v>172</v>
      </c>
      <c r="P264" s="189" t="s">
        <v>111</v>
      </c>
      <c r="Q264" s="189" t="s">
        <v>112</v>
      </c>
      <c r="R264" s="189" t="s">
        <v>24</v>
      </c>
      <c r="S264" s="189" t="s">
        <v>152</v>
      </c>
      <c r="T264" s="189" t="s">
        <v>352</v>
      </c>
      <c r="U264" s="189" t="s">
        <v>122</v>
      </c>
      <c r="V264" s="189" t="s">
        <v>123</v>
      </c>
      <c r="W264" s="189" t="s">
        <v>124</v>
      </c>
      <c r="X264" s="189" t="s">
        <v>214</v>
      </c>
      <c r="Y264" s="189" t="s">
        <v>214</v>
      </c>
      <c r="Z264" s="189" t="s">
        <v>3095</v>
      </c>
      <c r="AG264" s="189" t="s">
        <v>3070</v>
      </c>
      <c r="AH264" s="189" t="s">
        <v>3140</v>
      </c>
    </row>
    <row r="265" customFormat="false" ht="15" hidden="false" customHeight="true" outlineLevel="0" collapsed="false">
      <c r="A265" s="0" t="n">
        <v>264</v>
      </c>
      <c r="B265" s="191" t="n">
        <v>46210.432855473</v>
      </c>
      <c r="C265" s="191" t="n">
        <v>46210.4506101026</v>
      </c>
      <c r="D265" s="189" t="s">
        <v>1818</v>
      </c>
      <c r="E265" s="189" t="s">
        <v>1819</v>
      </c>
      <c r="F265" s="189" t="s">
        <v>1819</v>
      </c>
      <c r="G265" s="189" t="s">
        <v>1820</v>
      </c>
      <c r="H265" s="191" t="n">
        <v>46192</v>
      </c>
      <c r="I265" s="189" t="s">
        <v>305</v>
      </c>
      <c r="J265" s="189" t="s">
        <v>295</v>
      </c>
      <c r="K265" s="189" t="s">
        <v>364</v>
      </c>
      <c r="L265" s="189" t="s">
        <v>144</v>
      </c>
      <c r="M265" s="189" t="s">
        <v>133</v>
      </c>
      <c r="N265" s="189" t="s">
        <v>1441</v>
      </c>
      <c r="O265" s="189" t="s">
        <v>107</v>
      </c>
      <c r="P265" s="189" t="s">
        <v>111</v>
      </c>
      <c r="Q265" s="189" t="s">
        <v>145</v>
      </c>
      <c r="R265" s="189" t="s">
        <v>25</v>
      </c>
      <c r="S265" s="189" t="s">
        <v>152</v>
      </c>
      <c r="T265" s="189" t="s">
        <v>121</v>
      </c>
      <c r="U265" s="189" t="s">
        <v>1821</v>
      </c>
      <c r="V265" s="189" t="s">
        <v>123</v>
      </c>
      <c r="W265" s="189" t="s">
        <v>124</v>
      </c>
      <c r="X265" s="189" t="s">
        <v>327</v>
      </c>
      <c r="Y265" s="189" t="s">
        <v>327</v>
      </c>
      <c r="Z265" s="189" t="s">
        <v>3081</v>
      </c>
      <c r="AA265" s="189" t="s">
        <v>3095</v>
      </c>
      <c r="AG265" s="189" t="s">
        <v>3108</v>
      </c>
    </row>
    <row r="266" customFormat="false" ht="15" hidden="false" customHeight="true" outlineLevel="0" collapsed="false">
      <c r="A266" s="0" t="n">
        <v>265</v>
      </c>
      <c r="B266" s="191" t="n">
        <v>46090.31377498</v>
      </c>
      <c r="C266" s="191" t="n">
        <v>46090.3157888689</v>
      </c>
      <c r="D266" s="189" t="s">
        <v>1822</v>
      </c>
      <c r="E266" s="189" t="s">
        <v>1823</v>
      </c>
      <c r="F266" s="189" t="s">
        <v>1823</v>
      </c>
      <c r="G266" s="189" t="s">
        <v>1824</v>
      </c>
      <c r="H266" s="191" t="n">
        <v>46078</v>
      </c>
      <c r="I266" s="189" t="s">
        <v>113</v>
      </c>
      <c r="J266" s="189" t="s">
        <v>108</v>
      </c>
      <c r="K266" s="189" t="s">
        <v>462</v>
      </c>
      <c r="L266" s="189" t="s">
        <v>296</v>
      </c>
      <c r="M266" s="189" t="s">
        <v>406</v>
      </c>
      <c r="N266" s="189" t="s">
        <v>701</v>
      </c>
      <c r="O266" s="189" t="s">
        <v>107</v>
      </c>
      <c r="P266" s="189" t="s">
        <v>111</v>
      </c>
      <c r="Q266" s="189" t="s">
        <v>112</v>
      </c>
      <c r="R266" s="189" t="s">
        <v>22</v>
      </c>
      <c r="S266" s="189" t="s">
        <v>120</v>
      </c>
      <c r="T266" s="189" t="s">
        <v>121</v>
      </c>
      <c r="U266" s="189" t="s">
        <v>1641</v>
      </c>
      <c r="V266" s="189" t="s">
        <v>192</v>
      </c>
      <c r="W266" s="189" t="s">
        <v>124</v>
      </c>
      <c r="X266" s="189" t="s">
        <v>148</v>
      </c>
      <c r="Y266" s="189" t="s">
        <v>148</v>
      </c>
      <c r="Z266" s="189" t="s">
        <v>3076</v>
      </c>
      <c r="AG266" s="189" t="s">
        <v>3094</v>
      </c>
      <c r="AH266" s="189" t="s">
        <v>3079</v>
      </c>
    </row>
    <row r="267" customFormat="false" ht="15" hidden="false" customHeight="true" outlineLevel="0" collapsed="false">
      <c r="A267" s="0" t="n">
        <v>266</v>
      </c>
      <c r="B267" s="191" t="n">
        <v>46156.1185342159</v>
      </c>
      <c r="C267" s="191" t="n">
        <v>46156.1307911604</v>
      </c>
      <c r="D267" s="189" t="s">
        <v>1827</v>
      </c>
      <c r="E267" s="189" t="s">
        <v>1828</v>
      </c>
      <c r="F267" s="189" t="s">
        <v>1828</v>
      </c>
      <c r="G267" s="189" t="s">
        <v>1829</v>
      </c>
      <c r="H267" s="191" t="n">
        <v>46152</v>
      </c>
      <c r="I267" s="189" t="s">
        <v>113</v>
      </c>
      <c r="J267" s="189" t="s">
        <v>295</v>
      </c>
      <c r="K267" s="189" t="s">
        <v>143</v>
      </c>
      <c r="L267" s="189" t="s">
        <v>233</v>
      </c>
      <c r="M267" s="189" t="s">
        <v>160</v>
      </c>
      <c r="N267" s="189" t="s">
        <v>1628</v>
      </c>
      <c r="O267" s="189" t="s">
        <v>172</v>
      </c>
      <c r="P267" s="189" t="s">
        <v>111</v>
      </c>
      <c r="Q267" s="189" t="s">
        <v>112</v>
      </c>
      <c r="R267" s="189" t="s">
        <v>21</v>
      </c>
      <c r="S267" s="189" t="s">
        <v>152</v>
      </c>
      <c r="T267" s="189" t="s">
        <v>264</v>
      </c>
      <c r="U267" s="189" t="s">
        <v>1063</v>
      </c>
      <c r="V267" s="189" t="s">
        <v>123</v>
      </c>
      <c r="W267" s="189" t="s">
        <v>124</v>
      </c>
      <c r="X267" s="189" t="s">
        <v>1830</v>
      </c>
      <c r="Y267" s="189" t="s">
        <v>1830</v>
      </c>
      <c r="Z267" s="189" t="s">
        <v>3311</v>
      </c>
      <c r="AA267" s="189" t="s">
        <v>3312</v>
      </c>
      <c r="AG267" s="189" t="s">
        <v>3315</v>
      </c>
    </row>
    <row r="268" customFormat="false" ht="15" hidden="false" customHeight="true" outlineLevel="0" collapsed="false">
      <c r="A268" s="0" t="n">
        <v>267</v>
      </c>
      <c r="B268" s="191" t="n">
        <v>46099.8497530341</v>
      </c>
      <c r="C268" s="191" t="n">
        <v>46099.8521720156</v>
      </c>
      <c r="D268" s="189" t="s">
        <v>1834</v>
      </c>
      <c r="E268" s="189" t="s">
        <v>1835</v>
      </c>
      <c r="F268" s="189" t="s">
        <v>1835</v>
      </c>
      <c r="G268" s="189" t="s">
        <v>1836</v>
      </c>
      <c r="H268" s="191" t="n">
        <v>46094</v>
      </c>
      <c r="I268" s="189" t="s">
        <v>113</v>
      </c>
      <c r="J268" s="189" t="s">
        <v>108</v>
      </c>
      <c r="K268" s="189" t="s">
        <v>158</v>
      </c>
      <c r="L268" s="189" t="s">
        <v>110</v>
      </c>
      <c r="M268" s="189" t="s">
        <v>973</v>
      </c>
      <c r="N268" s="189" t="s">
        <v>701</v>
      </c>
      <c r="O268" s="189" t="s">
        <v>107</v>
      </c>
      <c r="P268" s="189" t="s">
        <v>111</v>
      </c>
      <c r="Q268" s="189" t="s">
        <v>145</v>
      </c>
      <c r="R268" s="189" t="s">
        <v>25</v>
      </c>
      <c r="S268" s="189" t="s">
        <v>152</v>
      </c>
      <c r="T268" s="189" t="s">
        <v>121</v>
      </c>
      <c r="V268" s="189" t="s">
        <v>192</v>
      </c>
      <c r="W268" s="189" t="s">
        <v>124</v>
      </c>
      <c r="X268" s="189" t="s">
        <v>1712</v>
      </c>
      <c r="Y268" s="189" t="s">
        <v>1712</v>
      </c>
      <c r="Z268" s="189" t="s">
        <v>3305</v>
      </c>
      <c r="AG268" s="189" t="s">
        <v>3309</v>
      </c>
      <c r="AH268" s="189" t="s">
        <v>3308</v>
      </c>
    </row>
    <row r="269" customFormat="false" ht="15" hidden="false" customHeight="true" outlineLevel="0" collapsed="false">
      <c r="A269" s="0" t="n">
        <v>268</v>
      </c>
      <c r="B269" s="191" t="n">
        <v>46206.7773010793</v>
      </c>
      <c r="C269" s="191" t="n">
        <v>46206.7832964496</v>
      </c>
      <c r="D269" s="189" t="s">
        <v>1839</v>
      </c>
      <c r="E269" s="189" t="s">
        <v>1840</v>
      </c>
      <c r="F269" s="189" t="s">
        <v>1841</v>
      </c>
      <c r="G269" s="189" t="s">
        <v>1842</v>
      </c>
      <c r="H269" s="191" t="n">
        <v>46198</v>
      </c>
      <c r="I269" s="189" t="s">
        <v>113</v>
      </c>
      <c r="J269" s="189" t="s">
        <v>128</v>
      </c>
      <c r="K269" s="189" t="s">
        <v>196</v>
      </c>
      <c r="L269" s="189" t="s">
        <v>389</v>
      </c>
      <c r="M269" s="189" t="s">
        <v>1380</v>
      </c>
      <c r="N269" s="189" t="s">
        <v>1224</v>
      </c>
      <c r="O269" s="189" t="s">
        <v>107</v>
      </c>
      <c r="P269" s="189" t="s">
        <v>111</v>
      </c>
      <c r="Q269" s="189" t="s">
        <v>112</v>
      </c>
      <c r="R269" s="189" t="s">
        <v>22</v>
      </c>
      <c r="S269" s="189" t="s">
        <v>152</v>
      </c>
      <c r="T269" s="189" t="s">
        <v>121</v>
      </c>
      <c r="V269" s="189" t="s">
        <v>192</v>
      </c>
      <c r="W269" s="189" t="s">
        <v>124</v>
      </c>
      <c r="X269" s="189" t="s">
        <v>715</v>
      </c>
      <c r="Y269" s="189" t="s">
        <v>715</v>
      </c>
      <c r="Z269" s="189" t="s">
        <v>3255</v>
      </c>
      <c r="AG269" s="189" t="s">
        <v>3228</v>
      </c>
    </row>
    <row r="270" customFormat="false" ht="15" hidden="false" customHeight="true" outlineLevel="0" collapsed="false">
      <c r="A270" s="0" t="n">
        <v>269</v>
      </c>
      <c r="B270" s="191" t="n">
        <v>46087.7968632829</v>
      </c>
      <c r="C270" s="191" t="n">
        <v>46087.799062357</v>
      </c>
      <c r="D270" s="189" t="s">
        <v>1845</v>
      </c>
      <c r="E270" s="189" t="s">
        <v>1846</v>
      </c>
      <c r="F270" s="189" t="s">
        <v>1846</v>
      </c>
      <c r="G270" s="189" t="s">
        <v>1847</v>
      </c>
      <c r="H270" s="191" t="n">
        <v>46073</v>
      </c>
      <c r="I270" s="189" t="s">
        <v>113</v>
      </c>
      <c r="J270" s="189" t="s">
        <v>295</v>
      </c>
      <c r="K270" s="189" t="s">
        <v>462</v>
      </c>
      <c r="L270" s="189" t="s">
        <v>210</v>
      </c>
      <c r="M270" s="189" t="s">
        <v>686</v>
      </c>
      <c r="N270" s="189" t="s">
        <v>552</v>
      </c>
      <c r="O270" s="189" t="s">
        <v>244</v>
      </c>
      <c r="P270" s="189" t="s">
        <v>111</v>
      </c>
      <c r="Q270" s="189" t="s">
        <v>112</v>
      </c>
      <c r="R270" s="189" t="s">
        <v>22</v>
      </c>
      <c r="S270" s="189" t="s">
        <v>152</v>
      </c>
      <c r="T270" s="189" t="s">
        <v>400</v>
      </c>
      <c r="V270" s="189" t="s">
        <v>192</v>
      </c>
      <c r="W270" s="189" t="s">
        <v>124</v>
      </c>
      <c r="X270" s="189" t="s">
        <v>176</v>
      </c>
      <c r="Y270" s="189" t="s">
        <v>176</v>
      </c>
      <c r="Z270" s="189" t="s">
        <v>3086</v>
      </c>
      <c r="AG270" s="189" t="s">
        <v>3084</v>
      </c>
    </row>
    <row r="271" customFormat="false" ht="15" hidden="false" customHeight="true" outlineLevel="0" collapsed="false">
      <c r="A271" s="0" t="n">
        <v>270</v>
      </c>
      <c r="B271" s="191" t="n">
        <v>46186.2349596462</v>
      </c>
      <c r="C271" s="191" t="n">
        <v>46186.2403184425</v>
      </c>
      <c r="D271" s="189" t="s">
        <v>1850</v>
      </c>
      <c r="E271" s="189" t="s">
        <v>1851</v>
      </c>
      <c r="F271" s="189" t="s">
        <v>1851</v>
      </c>
      <c r="G271" s="189" t="s">
        <v>1852</v>
      </c>
      <c r="H271" s="191" t="n">
        <v>46173</v>
      </c>
      <c r="I271" s="189" t="s">
        <v>113</v>
      </c>
      <c r="J271" s="189" t="s">
        <v>295</v>
      </c>
      <c r="K271" s="189" t="s">
        <v>143</v>
      </c>
      <c r="L271" s="189" t="s">
        <v>286</v>
      </c>
      <c r="M271" s="189" t="s">
        <v>114</v>
      </c>
      <c r="N271" s="189" t="s">
        <v>625</v>
      </c>
      <c r="O271" s="189" t="s">
        <v>244</v>
      </c>
      <c r="P271" s="189" t="s">
        <v>211</v>
      </c>
      <c r="Q271" s="189" t="s">
        <v>112</v>
      </c>
      <c r="R271" s="189" t="s">
        <v>21</v>
      </c>
      <c r="S271" s="189" t="s">
        <v>152</v>
      </c>
      <c r="T271" s="189" t="s">
        <v>180</v>
      </c>
      <c r="U271" s="189" t="s">
        <v>122</v>
      </c>
      <c r="V271" s="189" t="s">
        <v>123</v>
      </c>
      <c r="W271" s="189" t="s">
        <v>168</v>
      </c>
      <c r="X271" s="189" t="s">
        <v>250</v>
      </c>
      <c r="Y271" s="189" t="s">
        <v>250</v>
      </c>
      <c r="Z271" s="189" t="s">
        <v>3081</v>
      </c>
      <c r="AG271" s="189" t="s">
        <v>3070</v>
      </c>
      <c r="AH271" s="189" t="s">
        <v>3083</v>
      </c>
    </row>
    <row r="272" customFormat="false" ht="15" hidden="false" customHeight="true" outlineLevel="0" collapsed="false">
      <c r="A272" s="0" t="n">
        <v>271</v>
      </c>
      <c r="B272" s="191" t="n">
        <v>46142.8183093133</v>
      </c>
      <c r="C272" s="191" t="n">
        <v>46142.8221056096</v>
      </c>
      <c r="D272" s="189" t="s">
        <v>1853</v>
      </c>
      <c r="E272" s="189" t="s">
        <v>1854</v>
      </c>
      <c r="F272" s="189" t="s">
        <v>1854</v>
      </c>
      <c r="G272" s="189" t="s">
        <v>1855</v>
      </c>
      <c r="H272" s="191" t="n">
        <v>46124</v>
      </c>
      <c r="I272" s="189" t="s">
        <v>305</v>
      </c>
      <c r="J272" s="189" t="s">
        <v>128</v>
      </c>
      <c r="K272" s="189" t="s">
        <v>245</v>
      </c>
      <c r="L272" s="189" t="s">
        <v>431</v>
      </c>
      <c r="M272" s="189" t="s">
        <v>391</v>
      </c>
      <c r="N272" s="189" t="s">
        <v>280</v>
      </c>
      <c r="O272" s="189" t="s">
        <v>107</v>
      </c>
      <c r="P272" s="189" t="s">
        <v>111</v>
      </c>
      <c r="Q272" s="189" t="s">
        <v>112</v>
      </c>
      <c r="R272" s="189" t="s">
        <v>22</v>
      </c>
      <c r="S272" s="189" t="s">
        <v>152</v>
      </c>
      <c r="T272" s="189" t="s">
        <v>352</v>
      </c>
      <c r="V272" s="189" t="s">
        <v>123</v>
      </c>
      <c r="W272" s="189" t="s">
        <v>124</v>
      </c>
      <c r="X272" s="189" t="s">
        <v>271</v>
      </c>
      <c r="Y272" s="189" t="s">
        <v>271</v>
      </c>
      <c r="Z272" s="189" t="s">
        <v>3114</v>
      </c>
      <c r="AG272" s="189" t="s">
        <v>3118</v>
      </c>
    </row>
    <row r="273" customFormat="false" ht="15" hidden="false" customHeight="true" outlineLevel="0" collapsed="false">
      <c r="A273" s="0" t="n">
        <v>272</v>
      </c>
      <c r="B273" s="191" t="n">
        <v>46185.5459886358</v>
      </c>
      <c r="C273" s="191" t="n">
        <v>46185.5521576173</v>
      </c>
      <c r="D273" s="189" t="s">
        <v>1856</v>
      </c>
      <c r="E273" s="189" t="s">
        <v>1857</v>
      </c>
      <c r="F273" s="189" t="s">
        <v>1857</v>
      </c>
      <c r="G273" s="189" t="s">
        <v>1858</v>
      </c>
      <c r="H273" s="191" t="n">
        <v>46165</v>
      </c>
      <c r="I273" s="189" t="s">
        <v>325</v>
      </c>
      <c r="J273" s="189" t="s">
        <v>128</v>
      </c>
      <c r="K273" s="189" t="s">
        <v>196</v>
      </c>
      <c r="L273" s="189" t="s">
        <v>144</v>
      </c>
      <c r="M273" s="189" t="s">
        <v>146</v>
      </c>
      <c r="N273" s="189" t="s">
        <v>606</v>
      </c>
      <c r="O273" s="189" t="s">
        <v>107</v>
      </c>
      <c r="P273" s="189" t="s">
        <v>111</v>
      </c>
      <c r="Q273" s="189" t="s">
        <v>112</v>
      </c>
      <c r="R273" s="189" t="s">
        <v>24</v>
      </c>
      <c r="S273" s="189" t="s">
        <v>152</v>
      </c>
      <c r="T273" s="189" t="s">
        <v>228</v>
      </c>
      <c r="U273" s="189" t="s">
        <v>369</v>
      </c>
      <c r="V273" s="189" t="s">
        <v>192</v>
      </c>
      <c r="W273" s="189" t="s">
        <v>124</v>
      </c>
      <c r="X273" s="189" t="s">
        <v>214</v>
      </c>
      <c r="Y273" s="189" t="s">
        <v>214</v>
      </c>
      <c r="Z273" s="189" t="s">
        <v>3139</v>
      </c>
      <c r="AA273" s="189" t="s">
        <v>3081</v>
      </c>
      <c r="AB273" s="189" t="s">
        <v>3095</v>
      </c>
      <c r="AG273" s="189" t="s">
        <v>3140</v>
      </c>
    </row>
    <row r="274" customFormat="false" ht="15" hidden="false" customHeight="true" outlineLevel="0" collapsed="false">
      <c r="A274" s="0" t="n">
        <v>273</v>
      </c>
      <c r="B274" s="191" t="n">
        <v>46108.7988026592</v>
      </c>
      <c r="C274" s="191" t="n">
        <v>46108.8118350666</v>
      </c>
      <c r="D274" s="189" t="s">
        <v>1860</v>
      </c>
      <c r="E274" s="189" t="s">
        <v>1861</v>
      </c>
      <c r="F274" s="189" t="s">
        <v>1861</v>
      </c>
      <c r="G274" s="189" t="s">
        <v>1862</v>
      </c>
      <c r="H274" s="191" t="n">
        <v>46107</v>
      </c>
      <c r="I274" s="189" t="s">
        <v>325</v>
      </c>
      <c r="J274" s="189" t="s">
        <v>108</v>
      </c>
      <c r="K274" s="189" t="s">
        <v>1863</v>
      </c>
      <c r="L274" s="189" t="s">
        <v>110</v>
      </c>
      <c r="M274" s="189" t="s">
        <v>507</v>
      </c>
      <c r="N274" s="189" t="s">
        <v>1243</v>
      </c>
      <c r="O274" s="189" t="s">
        <v>244</v>
      </c>
      <c r="P274" s="189" t="s">
        <v>111</v>
      </c>
      <c r="Q274" s="189" t="s">
        <v>112</v>
      </c>
      <c r="R274" s="189" t="s">
        <v>22</v>
      </c>
      <c r="S274" s="189" t="s">
        <v>152</v>
      </c>
      <c r="T274" s="189" t="s">
        <v>121</v>
      </c>
      <c r="U274" s="189" t="s">
        <v>122</v>
      </c>
      <c r="V274" s="189" t="s">
        <v>123</v>
      </c>
      <c r="W274" s="189" t="s">
        <v>168</v>
      </c>
      <c r="X274" s="189" t="s">
        <v>339</v>
      </c>
      <c r="Y274" s="189" t="s">
        <v>339</v>
      </c>
      <c r="Z274" s="189" t="s">
        <v>3198</v>
      </c>
      <c r="AA274" s="189" t="s">
        <v>3169</v>
      </c>
      <c r="AB274" s="189" t="s">
        <v>3199</v>
      </c>
      <c r="AG274" s="189" t="s">
        <v>3217</v>
      </c>
      <c r="AH274" s="189" t="s">
        <v>122</v>
      </c>
    </row>
    <row r="275" customFormat="false" ht="15" hidden="false" customHeight="true" outlineLevel="0" collapsed="false">
      <c r="A275" s="0" t="n">
        <v>274</v>
      </c>
      <c r="B275" s="191" t="n">
        <v>46131.2766039318</v>
      </c>
      <c r="C275" s="191" t="n">
        <v>46131.2819627281</v>
      </c>
      <c r="D275" s="189" t="s">
        <v>1867</v>
      </c>
      <c r="E275" s="189" t="s">
        <v>1868</v>
      </c>
      <c r="F275" s="189" t="s">
        <v>1868</v>
      </c>
      <c r="G275" s="189" t="s">
        <v>1869</v>
      </c>
      <c r="H275" s="191" t="n">
        <v>46115</v>
      </c>
      <c r="I275" s="189" t="s">
        <v>132</v>
      </c>
      <c r="J275" s="189" t="s">
        <v>108</v>
      </c>
      <c r="K275" s="189" t="s">
        <v>1870</v>
      </c>
      <c r="L275" s="189" t="s">
        <v>389</v>
      </c>
      <c r="M275" s="189" t="s">
        <v>905</v>
      </c>
      <c r="N275" s="189" t="s">
        <v>508</v>
      </c>
      <c r="O275" s="189" t="s">
        <v>244</v>
      </c>
      <c r="P275" s="189" t="s">
        <v>111</v>
      </c>
      <c r="Q275" s="189" t="s">
        <v>112</v>
      </c>
      <c r="R275" s="189" t="s">
        <v>22</v>
      </c>
      <c r="S275" s="189" t="s">
        <v>152</v>
      </c>
      <c r="T275" s="189" t="s">
        <v>121</v>
      </c>
      <c r="V275" s="189" t="s">
        <v>123</v>
      </c>
      <c r="W275" s="189" t="s">
        <v>124</v>
      </c>
      <c r="X275" s="189" t="s">
        <v>298</v>
      </c>
      <c r="Y275" s="189" t="s">
        <v>298</v>
      </c>
      <c r="Z275" s="189" t="s">
        <v>3125</v>
      </c>
      <c r="AA275" s="189" t="s">
        <v>3194</v>
      </c>
      <c r="AB275" s="189" t="s">
        <v>3208</v>
      </c>
      <c r="AG275" s="189" t="s">
        <v>3210</v>
      </c>
      <c r="AH275" s="189" t="s">
        <v>3128</v>
      </c>
    </row>
    <row r="276" customFormat="false" ht="15" hidden="false" customHeight="true" outlineLevel="0" collapsed="false">
      <c r="A276" s="0" t="n">
        <v>275</v>
      </c>
      <c r="B276" s="191" t="n">
        <v>46213.4888400043</v>
      </c>
      <c r="C276" s="191" t="n">
        <v>46213.5018724117</v>
      </c>
      <c r="D276" s="189" t="s">
        <v>1874</v>
      </c>
      <c r="E276" s="189" t="s">
        <v>1875</v>
      </c>
      <c r="F276" s="189" t="s">
        <v>1875</v>
      </c>
      <c r="G276" s="189" t="s">
        <v>1876</v>
      </c>
      <c r="H276" s="191" t="n">
        <v>46201</v>
      </c>
      <c r="I276" s="189" t="s">
        <v>113</v>
      </c>
      <c r="J276" s="189" t="s">
        <v>108</v>
      </c>
      <c r="K276" s="189" t="s">
        <v>462</v>
      </c>
      <c r="L276" s="189" t="s">
        <v>159</v>
      </c>
      <c r="M276" s="189" t="s">
        <v>133</v>
      </c>
      <c r="N276" s="189" t="s">
        <v>259</v>
      </c>
      <c r="O276" s="189" t="s">
        <v>1506</v>
      </c>
      <c r="P276" s="189" t="s">
        <v>131</v>
      </c>
      <c r="Q276" s="189" t="s">
        <v>198</v>
      </c>
      <c r="R276" s="189" t="s">
        <v>22</v>
      </c>
      <c r="S276" s="189" t="s">
        <v>152</v>
      </c>
      <c r="T276" s="189" t="s">
        <v>121</v>
      </c>
      <c r="V276" s="189" t="s">
        <v>167</v>
      </c>
      <c r="W276" s="189" t="s">
        <v>124</v>
      </c>
      <c r="X276" s="189" t="s">
        <v>339</v>
      </c>
      <c r="Y276" s="189" t="s">
        <v>339</v>
      </c>
      <c r="Z276" s="189" t="s">
        <v>3141</v>
      </c>
      <c r="AA276" s="189" t="s">
        <v>3169</v>
      </c>
      <c r="AG276" s="189" t="s">
        <v>3145</v>
      </c>
    </row>
    <row r="277" customFormat="false" ht="15" hidden="false" customHeight="true" outlineLevel="0" collapsed="false">
      <c r="A277" s="0" t="n">
        <v>276</v>
      </c>
      <c r="B277" s="191" t="n">
        <v>46125.5994182192</v>
      </c>
      <c r="C277" s="191" t="n">
        <v>46125.6043024785</v>
      </c>
      <c r="D277" s="189" t="s">
        <v>1880</v>
      </c>
      <c r="E277" s="189" t="s">
        <v>1881</v>
      </c>
      <c r="F277" s="189" t="s">
        <v>1881</v>
      </c>
      <c r="G277" s="189" t="s">
        <v>1882</v>
      </c>
      <c r="H277" s="191" t="n">
        <v>46121</v>
      </c>
      <c r="I277" s="189" t="s">
        <v>325</v>
      </c>
      <c r="J277" s="189" t="s">
        <v>108</v>
      </c>
      <c r="K277" s="189" t="s">
        <v>364</v>
      </c>
      <c r="L277" s="189" t="s">
        <v>246</v>
      </c>
      <c r="M277" s="189" t="s">
        <v>212</v>
      </c>
      <c r="N277" s="189" t="s">
        <v>1441</v>
      </c>
      <c r="O277" s="189" t="s">
        <v>107</v>
      </c>
      <c r="P277" s="189" t="s">
        <v>111</v>
      </c>
      <c r="Q277" s="189" t="s">
        <v>112</v>
      </c>
      <c r="R277" s="189" t="s">
        <v>22</v>
      </c>
      <c r="S277" s="189" t="s">
        <v>120</v>
      </c>
      <c r="T277" s="189" t="s">
        <v>352</v>
      </c>
      <c r="U277" s="189" t="s">
        <v>1821</v>
      </c>
      <c r="V277" s="189" t="s">
        <v>123</v>
      </c>
      <c r="W277" s="189" t="s">
        <v>124</v>
      </c>
      <c r="X277" s="189" t="s">
        <v>148</v>
      </c>
      <c r="Y277" s="189" t="s">
        <v>148</v>
      </c>
      <c r="Z277" s="189" t="s">
        <v>3092</v>
      </c>
      <c r="AA277" s="189" t="s">
        <v>3122</v>
      </c>
      <c r="AB277" s="189" t="s">
        <v>3281</v>
      </c>
      <c r="AG277" s="189" t="s">
        <v>3282</v>
      </c>
      <c r="AH277" s="189" t="s">
        <v>122</v>
      </c>
    </row>
    <row r="278" customFormat="false" ht="15" hidden="false" customHeight="true" outlineLevel="0" collapsed="false">
      <c r="A278" s="0" t="n">
        <v>277</v>
      </c>
      <c r="B278" s="191" t="n">
        <v>46180.054722481</v>
      </c>
      <c r="C278" s="191" t="n">
        <v>46180.0610766477</v>
      </c>
      <c r="D278" s="189" t="s">
        <v>1885</v>
      </c>
      <c r="E278" s="189" t="s">
        <v>1886</v>
      </c>
      <c r="F278" s="189" t="s">
        <v>1886</v>
      </c>
      <c r="G278" s="189" t="s">
        <v>1887</v>
      </c>
      <c r="H278" s="191" t="n">
        <v>46171</v>
      </c>
      <c r="I278" s="189" t="s">
        <v>113</v>
      </c>
      <c r="J278" s="189" t="s">
        <v>108</v>
      </c>
      <c r="K278" s="189" t="s">
        <v>462</v>
      </c>
      <c r="L278" s="189" t="s">
        <v>110</v>
      </c>
      <c r="M278" s="189" t="s">
        <v>652</v>
      </c>
      <c r="N278" s="189" t="s">
        <v>200</v>
      </c>
      <c r="O278" s="189" t="s">
        <v>107</v>
      </c>
      <c r="P278" s="189" t="s">
        <v>111</v>
      </c>
      <c r="Q278" s="189" t="s">
        <v>112</v>
      </c>
      <c r="R278" s="189" t="s">
        <v>22</v>
      </c>
      <c r="S278" s="189" t="s">
        <v>227</v>
      </c>
      <c r="T278" s="189" t="s">
        <v>121</v>
      </c>
      <c r="U278" s="189" t="s">
        <v>1002</v>
      </c>
      <c r="V278" s="189" t="s">
        <v>123</v>
      </c>
      <c r="W278" s="189" t="s">
        <v>124</v>
      </c>
      <c r="X278" s="189" t="s">
        <v>298</v>
      </c>
      <c r="Y278" s="189" t="s">
        <v>298</v>
      </c>
      <c r="Z278" s="189" t="s">
        <v>3125</v>
      </c>
      <c r="AA278" s="189" t="s">
        <v>3124</v>
      </c>
      <c r="AG278" s="189" t="s">
        <v>3128</v>
      </c>
    </row>
    <row r="279" customFormat="false" ht="15" hidden="false" customHeight="true" outlineLevel="0" collapsed="false">
      <c r="A279" s="0" t="n">
        <v>278</v>
      </c>
      <c r="B279" s="191" t="n">
        <v>46150.8368865769</v>
      </c>
      <c r="C279" s="191" t="n">
        <v>46150.8479629658</v>
      </c>
      <c r="D279" s="189" t="s">
        <v>1889</v>
      </c>
      <c r="E279" s="189" t="s">
        <v>1890</v>
      </c>
      <c r="F279" s="189" t="s">
        <v>1890</v>
      </c>
      <c r="G279" s="189" t="s">
        <v>1891</v>
      </c>
      <c r="H279" s="191" t="n">
        <v>46131</v>
      </c>
      <c r="I279" s="189" t="s">
        <v>113</v>
      </c>
      <c r="J279" s="189" t="s">
        <v>295</v>
      </c>
      <c r="K279" s="189" t="s">
        <v>1892</v>
      </c>
      <c r="L279" s="189" t="s">
        <v>110</v>
      </c>
      <c r="M279" s="189" t="s">
        <v>185</v>
      </c>
      <c r="N279" s="189" t="s">
        <v>1243</v>
      </c>
      <c r="O279" s="189" t="s">
        <v>107</v>
      </c>
      <c r="P279" s="189" t="s">
        <v>111</v>
      </c>
      <c r="Q279" s="189" t="s">
        <v>112</v>
      </c>
      <c r="R279" s="189" t="s">
        <v>22</v>
      </c>
      <c r="S279" s="189" t="s">
        <v>152</v>
      </c>
      <c r="T279" s="189" t="s">
        <v>352</v>
      </c>
      <c r="U279" s="189" t="s">
        <v>122</v>
      </c>
      <c r="V279" s="189" t="s">
        <v>167</v>
      </c>
      <c r="W279" s="189" t="s">
        <v>124</v>
      </c>
      <c r="X279" s="189" t="s">
        <v>148</v>
      </c>
      <c r="Y279" s="189" t="s">
        <v>148</v>
      </c>
      <c r="Z279" s="189" t="s">
        <v>3281</v>
      </c>
      <c r="AG279" s="189" t="s">
        <v>3188</v>
      </c>
    </row>
    <row r="280" customFormat="false" ht="15" hidden="false" customHeight="true" outlineLevel="0" collapsed="false">
      <c r="A280" s="0" t="n">
        <v>279</v>
      </c>
      <c r="B280" s="191" t="n">
        <v>46049.1177767718</v>
      </c>
      <c r="C280" s="191" t="n">
        <v>46049.1271401977</v>
      </c>
      <c r="D280" s="189" t="s">
        <v>1894</v>
      </c>
      <c r="E280" s="189" t="s">
        <v>1895</v>
      </c>
      <c r="F280" s="189" t="s">
        <v>1895</v>
      </c>
      <c r="G280" s="189" t="s">
        <v>1896</v>
      </c>
      <c r="H280" s="191" t="n">
        <v>46039</v>
      </c>
      <c r="I280" s="189" t="s">
        <v>305</v>
      </c>
      <c r="J280" s="189" t="s">
        <v>295</v>
      </c>
      <c r="K280" s="189" t="s">
        <v>245</v>
      </c>
      <c r="L280" s="189" t="s">
        <v>210</v>
      </c>
      <c r="M280" s="189" t="s">
        <v>864</v>
      </c>
      <c r="N280" s="189" t="s">
        <v>849</v>
      </c>
      <c r="O280" s="189" t="s">
        <v>1897</v>
      </c>
      <c r="P280" s="189" t="s">
        <v>111</v>
      </c>
      <c r="Q280" s="189" t="s">
        <v>247</v>
      </c>
      <c r="R280" s="189" t="s">
        <v>21</v>
      </c>
      <c r="S280" s="189" t="s">
        <v>152</v>
      </c>
      <c r="T280" s="189" t="s">
        <v>180</v>
      </c>
      <c r="U280" s="189" t="s">
        <v>1489</v>
      </c>
      <c r="V280" s="189" t="s">
        <v>123</v>
      </c>
      <c r="W280" s="189" t="s">
        <v>124</v>
      </c>
      <c r="X280" s="189" t="s">
        <v>307</v>
      </c>
      <c r="Y280" s="189" t="s">
        <v>307</v>
      </c>
      <c r="Z280" s="189" t="s">
        <v>3129</v>
      </c>
      <c r="AA280" s="189" t="s">
        <v>3131</v>
      </c>
      <c r="AB280" s="189" t="s">
        <v>3130</v>
      </c>
      <c r="AG280" s="189" t="s">
        <v>3133</v>
      </c>
      <c r="AH280" s="189" t="s">
        <v>3134</v>
      </c>
    </row>
    <row r="281" customFormat="false" ht="15" hidden="false" customHeight="true" outlineLevel="0" collapsed="false">
      <c r="A281" s="0" t="n">
        <v>280</v>
      </c>
      <c r="B281" s="191" t="n">
        <v>46199.0453781516</v>
      </c>
      <c r="C281" s="191" t="n">
        <v>46199.0478434294</v>
      </c>
      <c r="D281" s="189" t="s">
        <v>1899</v>
      </c>
      <c r="E281" s="189" t="s">
        <v>1900</v>
      </c>
      <c r="F281" s="189" t="s">
        <v>1900</v>
      </c>
      <c r="G281" s="189" t="s">
        <v>1901</v>
      </c>
      <c r="H281" s="191" t="n">
        <v>46185</v>
      </c>
      <c r="I281" s="189" t="s">
        <v>863</v>
      </c>
      <c r="J281" s="189" t="s">
        <v>108</v>
      </c>
      <c r="K281" s="189" t="s">
        <v>462</v>
      </c>
      <c r="L281" s="189" t="s">
        <v>491</v>
      </c>
      <c r="M281" s="189" t="s">
        <v>234</v>
      </c>
      <c r="N281" s="189" t="s">
        <v>306</v>
      </c>
      <c r="O281" s="189" t="s">
        <v>107</v>
      </c>
      <c r="P281" s="189" t="s">
        <v>111</v>
      </c>
      <c r="Q281" s="189" t="s">
        <v>247</v>
      </c>
      <c r="R281" s="189" t="s">
        <v>24</v>
      </c>
      <c r="S281" s="189" t="s">
        <v>152</v>
      </c>
      <c r="T281" s="189" t="s">
        <v>121</v>
      </c>
      <c r="U281" s="189" t="s">
        <v>1902</v>
      </c>
      <c r="V281" s="189" t="s">
        <v>167</v>
      </c>
      <c r="W281" s="189" t="s">
        <v>124</v>
      </c>
      <c r="X281" s="189" t="s">
        <v>214</v>
      </c>
      <c r="Y281" s="189" t="s">
        <v>214</v>
      </c>
      <c r="Z281" s="189" t="s">
        <v>3065</v>
      </c>
      <c r="AA281" s="189" t="s">
        <v>3107</v>
      </c>
      <c r="AG281" s="189" t="s">
        <v>3070</v>
      </c>
    </row>
    <row r="282" customFormat="false" ht="15" hidden="false" customHeight="true" outlineLevel="0" collapsed="false">
      <c r="A282" s="0" t="n">
        <v>281</v>
      </c>
      <c r="B282" s="191" t="n">
        <v>46206.5482376538</v>
      </c>
      <c r="C282" s="191" t="n">
        <v>46206.5624390427</v>
      </c>
      <c r="D282" s="189" t="s">
        <v>1903</v>
      </c>
      <c r="E282" s="189" t="s">
        <v>1904</v>
      </c>
      <c r="F282" s="189" t="s">
        <v>1904</v>
      </c>
      <c r="G282" s="189" t="s">
        <v>1905</v>
      </c>
      <c r="H282" s="191" t="n">
        <v>46201</v>
      </c>
      <c r="I282" s="189" t="s">
        <v>863</v>
      </c>
      <c r="J282" s="189" t="s">
        <v>295</v>
      </c>
      <c r="K282" s="189" t="s">
        <v>1906</v>
      </c>
      <c r="L282" s="189" t="s">
        <v>159</v>
      </c>
      <c r="M282" s="189" t="s">
        <v>391</v>
      </c>
      <c r="N282" s="189" t="s">
        <v>743</v>
      </c>
      <c r="O282" s="189" t="s">
        <v>278</v>
      </c>
      <c r="P282" s="189" t="s">
        <v>390</v>
      </c>
      <c r="Q282" s="189" t="s">
        <v>112</v>
      </c>
      <c r="R282" s="189" t="s">
        <v>23</v>
      </c>
      <c r="S282" s="189" t="s">
        <v>120</v>
      </c>
      <c r="T282" s="189" t="s">
        <v>165</v>
      </c>
      <c r="U282" s="189" t="s">
        <v>1641</v>
      </c>
      <c r="V282" s="189" t="s">
        <v>123</v>
      </c>
      <c r="W282" s="189" t="s">
        <v>124</v>
      </c>
      <c r="X282" s="189" t="s">
        <v>442</v>
      </c>
      <c r="Y282" s="189" t="s">
        <v>442</v>
      </c>
      <c r="AK282" s="189" t="s">
        <v>441</v>
      </c>
    </row>
    <row r="283" customFormat="false" ht="15" hidden="false" customHeight="true" outlineLevel="0" collapsed="false">
      <c r="A283" s="0" t="n">
        <v>282</v>
      </c>
      <c r="B283" s="191" t="n">
        <v>46043.5293359354</v>
      </c>
      <c r="C283" s="191" t="n">
        <v>46043.5360257502</v>
      </c>
      <c r="D283" s="189" t="s">
        <v>1907</v>
      </c>
      <c r="E283" s="189" t="s">
        <v>1908</v>
      </c>
      <c r="F283" s="189" t="s">
        <v>1908</v>
      </c>
      <c r="G283" s="189" t="s">
        <v>1909</v>
      </c>
      <c r="H283" s="191" t="n">
        <v>46024</v>
      </c>
      <c r="I283" s="189" t="s">
        <v>113</v>
      </c>
      <c r="J283" s="189" t="s">
        <v>108</v>
      </c>
      <c r="K283" s="189" t="s">
        <v>245</v>
      </c>
      <c r="L283" s="189" t="s">
        <v>159</v>
      </c>
      <c r="M283" s="189" t="s">
        <v>1120</v>
      </c>
      <c r="N283" s="189" t="s">
        <v>810</v>
      </c>
      <c r="O283" s="189" t="s">
        <v>107</v>
      </c>
      <c r="P283" s="189" t="s">
        <v>131</v>
      </c>
      <c r="Q283" s="189" t="s">
        <v>112</v>
      </c>
      <c r="R283" s="189" t="s">
        <v>21</v>
      </c>
      <c r="S283" s="189" t="s">
        <v>227</v>
      </c>
      <c r="T283" s="189" t="s">
        <v>180</v>
      </c>
      <c r="V283" s="189" t="s">
        <v>192</v>
      </c>
      <c r="W283" s="189" t="s">
        <v>168</v>
      </c>
      <c r="X283" s="189" t="s">
        <v>187</v>
      </c>
      <c r="Y283" s="189" t="s">
        <v>187</v>
      </c>
      <c r="Z283" s="189" t="s">
        <v>3089</v>
      </c>
      <c r="AG283" s="189" t="s">
        <v>3091</v>
      </c>
    </row>
    <row r="284" customFormat="false" ht="15" hidden="false" customHeight="true" outlineLevel="0" collapsed="false">
      <c r="A284" s="0" t="n">
        <v>283</v>
      </c>
      <c r="B284" s="191" t="n">
        <v>46215.3296559969</v>
      </c>
      <c r="C284" s="191" t="n">
        <v>46215.3499222006</v>
      </c>
      <c r="D284" s="189" t="s">
        <v>1910</v>
      </c>
      <c r="E284" s="189" t="s">
        <v>1911</v>
      </c>
      <c r="F284" s="189" t="s">
        <v>1911</v>
      </c>
      <c r="G284" s="189" t="s">
        <v>1912</v>
      </c>
      <c r="H284" s="191" t="n">
        <v>46196</v>
      </c>
      <c r="I284" s="189" t="s">
        <v>113</v>
      </c>
      <c r="J284" s="189" t="s">
        <v>108</v>
      </c>
      <c r="K284" s="189" t="s">
        <v>1913</v>
      </c>
      <c r="L284" s="189" t="s">
        <v>296</v>
      </c>
      <c r="M284" s="189" t="s">
        <v>114</v>
      </c>
      <c r="N284" s="189" t="s">
        <v>567</v>
      </c>
      <c r="O284" s="189" t="s">
        <v>244</v>
      </c>
      <c r="P284" s="189" t="s">
        <v>111</v>
      </c>
      <c r="Q284" s="189" t="s">
        <v>145</v>
      </c>
      <c r="R284" s="189" t="s">
        <v>22</v>
      </c>
      <c r="S284" s="189" t="s">
        <v>320</v>
      </c>
      <c r="T284" s="189" t="s">
        <v>121</v>
      </c>
      <c r="U284" s="189" t="s">
        <v>1376</v>
      </c>
      <c r="V284" s="189" t="s">
        <v>192</v>
      </c>
      <c r="W284" s="189" t="s">
        <v>168</v>
      </c>
      <c r="X284" s="189" t="s">
        <v>298</v>
      </c>
      <c r="Y284" s="189" t="s">
        <v>298</v>
      </c>
      <c r="Z284" s="189" t="s">
        <v>3194</v>
      </c>
      <c r="AA284" s="189" t="s">
        <v>3125</v>
      </c>
      <c r="AB284" s="189" t="s">
        <v>3207</v>
      </c>
      <c r="AG284" s="189" t="s">
        <v>3197</v>
      </c>
      <c r="AH284" s="189" t="s">
        <v>3128</v>
      </c>
    </row>
    <row r="285" customFormat="false" ht="15" hidden="false" customHeight="true" outlineLevel="0" collapsed="false">
      <c r="A285" s="0" t="n">
        <v>284</v>
      </c>
      <c r="B285" s="191" t="n">
        <v>46186.9753449038</v>
      </c>
      <c r="C285" s="191" t="n">
        <v>46186.9959351815</v>
      </c>
      <c r="D285" s="189" t="s">
        <v>1916</v>
      </c>
      <c r="E285" s="189" t="s">
        <v>1917</v>
      </c>
      <c r="F285" s="189" t="s">
        <v>1917</v>
      </c>
      <c r="G285" s="189" t="s">
        <v>1918</v>
      </c>
      <c r="H285" s="191" t="n">
        <v>46180</v>
      </c>
      <c r="I285" s="189" t="s">
        <v>132</v>
      </c>
      <c r="J285" s="189" t="s">
        <v>128</v>
      </c>
      <c r="K285" s="189" t="s">
        <v>1919</v>
      </c>
      <c r="L285" s="189" t="s">
        <v>197</v>
      </c>
      <c r="M285" s="189" t="s">
        <v>885</v>
      </c>
      <c r="N285" s="189" t="s">
        <v>1441</v>
      </c>
      <c r="O285" s="189" t="s">
        <v>157</v>
      </c>
      <c r="P285" s="189" t="s">
        <v>211</v>
      </c>
      <c r="Q285" s="189" t="s">
        <v>145</v>
      </c>
      <c r="R285" s="189" t="s">
        <v>22</v>
      </c>
      <c r="S285" s="189" t="s">
        <v>152</v>
      </c>
      <c r="T285" s="189" t="s">
        <v>121</v>
      </c>
      <c r="U285" s="189" t="s">
        <v>122</v>
      </c>
      <c r="V285" s="189" t="s">
        <v>123</v>
      </c>
      <c r="W285" s="189" t="s">
        <v>168</v>
      </c>
      <c r="X285" s="189" t="s">
        <v>298</v>
      </c>
      <c r="Y285" s="189" t="s">
        <v>298</v>
      </c>
      <c r="Z285" s="189" t="s">
        <v>3124</v>
      </c>
      <c r="AG285" s="189" t="s">
        <v>3295</v>
      </c>
      <c r="AH285" s="189" t="s">
        <v>3210</v>
      </c>
    </row>
    <row r="286" customFormat="false" ht="15" hidden="false" customHeight="true" outlineLevel="0" collapsed="false">
      <c r="A286" s="0" t="n">
        <v>285</v>
      </c>
      <c r="B286" s="191" t="n">
        <v>46201.2520381316</v>
      </c>
      <c r="C286" s="191" t="n">
        <v>46201.2671770205</v>
      </c>
      <c r="D286" s="189" t="s">
        <v>1922</v>
      </c>
      <c r="E286" s="189" t="s">
        <v>1923</v>
      </c>
      <c r="F286" s="189" t="s">
        <v>1924</v>
      </c>
      <c r="G286" s="189" t="s">
        <v>1925</v>
      </c>
      <c r="H286" s="191" t="n">
        <v>46192</v>
      </c>
      <c r="I286" s="189" t="s">
        <v>113</v>
      </c>
      <c r="J286" s="189" t="s">
        <v>108</v>
      </c>
      <c r="K286" s="189" t="s">
        <v>1926</v>
      </c>
      <c r="L286" s="189" t="s">
        <v>389</v>
      </c>
      <c r="M286" s="189" t="s">
        <v>357</v>
      </c>
      <c r="N286" s="189" t="s">
        <v>1573</v>
      </c>
      <c r="O286" s="189" t="s">
        <v>172</v>
      </c>
      <c r="P286" s="189" t="s">
        <v>111</v>
      </c>
      <c r="Q286" s="189" t="s">
        <v>112</v>
      </c>
      <c r="R286" s="189" t="s">
        <v>23</v>
      </c>
      <c r="S286" s="189" t="s">
        <v>120</v>
      </c>
      <c r="T286" s="189" t="s">
        <v>180</v>
      </c>
      <c r="U286" s="132" t="s">
        <v>641</v>
      </c>
      <c r="V286" s="189" t="s">
        <v>123</v>
      </c>
      <c r="W286" s="189" t="s">
        <v>139</v>
      </c>
      <c r="X286" s="189" t="s">
        <v>503</v>
      </c>
      <c r="Y286" s="189" t="s">
        <v>503</v>
      </c>
      <c r="AK286" s="189" t="s">
        <v>871</v>
      </c>
    </row>
    <row r="287" customFormat="false" ht="15" hidden="false" customHeight="true" outlineLevel="0" collapsed="false">
      <c r="A287" s="0" t="n">
        <v>286</v>
      </c>
      <c r="B287" s="191" t="n">
        <v>46073.1701928493</v>
      </c>
      <c r="C287" s="191" t="n">
        <v>46073.1800076641</v>
      </c>
      <c r="D287" s="189" t="s">
        <v>1927</v>
      </c>
      <c r="E287" s="189" t="s">
        <v>1928</v>
      </c>
      <c r="F287" s="189" t="s">
        <v>1928</v>
      </c>
      <c r="G287" s="189" t="s">
        <v>1929</v>
      </c>
      <c r="H287" s="191" t="n">
        <v>46072</v>
      </c>
      <c r="I287" s="189" t="s">
        <v>113</v>
      </c>
      <c r="J287" s="189" t="s">
        <v>108</v>
      </c>
      <c r="K287" s="189" t="s">
        <v>245</v>
      </c>
      <c r="L287" s="189" t="s">
        <v>431</v>
      </c>
      <c r="M287" s="189" t="s">
        <v>286</v>
      </c>
      <c r="N287" s="189" t="s">
        <v>1441</v>
      </c>
      <c r="O287" s="189" t="s">
        <v>107</v>
      </c>
      <c r="P287" s="189" t="s">
        <v>111</v>
      </c>
      <c r="Q287" s="189" t="s">
        <v>112</v>
      </c>
      <c r="R287" s="189" t="s">
        <v>22</v>
      </c>
      <c r="S287" s="189" t="s">
        <v>152</v>
      </c>
      <c r="T287" s="189" t="s">
        <v>121</v>
      </c>
      <c r="V287" s="189" t="s">
        <v>192</v>
      </c>
      <c r="W287" s="189" t="s">
        <v>168</v>
      </c>
      <c r="X287" s="189" t="s">
        <v>298</v>
      </c>
      <c r="Y287" s="189" t="s">
        <v>298</v>
      </c>
      <c r="Z287" s="189" t="s">
        <v>3195</v>
      </c>
      <c r="AA287" s="189" t="s">
        <v>3236</v>
      </c>
      <c r="AB287" s="189" t="s">
        <v>3124</v>
      </c>
      <c r="AG287" s="189" t="s">
        <v>3275</v>
      </c>
      <c r="AH287" s="189" t="s">
        <v>3127</v>
      </c>
    </row>
    <row r="288" customFormat="false" ht="15" hidden="false" customHeight="true" outlineLevel="0" collapsed="false">
      <c r="A288" s="0" t="n">
        <v>287</v>
      </c>
      <c r="B288" s="191" t="n">
        <v>46175.4759177975</v>
      </c>
      <c r="C288" s="191" t="n">
        <v>46175.4886724271</v>
      </c>
      <c r="D288" s="189" t="s">
        <v>1933</v>
      </c>
      <c r="E288" s="189" t="s">
        <v>1018</v>
      </c>
      <c r="F288" s="189" t="s">
        <v>1018</v>
      </c>
      <c r="G288" s="189" t="s">
        <v>1934</v>
      </c>
      <c r="H288" s="191" t="n">
        <v>46172</v>
      </c>
      <c r="I288" s="189" t="s">
        <v>113</v>
      </c>
      <c r="J288" s="189" t="s">
        <v>108</v>
      </c>
      <c r="K288" s="189" t="s">
        <v>245</v>
      </c>
      <c r="L288" s="189" t="s">
        <v>130</v>
      </c>
      <c r="M288" s="189" t="s">
        <v>406</v>
      </c>
      <c r="N288" s="189" t="s">
        <v>414</v>
      </c>
      <c r="O288" s="189" t="s">
        <v>278</v>
      </c>
      <c r="P288" s="189" t="s">
        <v>111</v>
      </c>
      <c r="Q288" s="189" t="s">
        <v>112</v>
      </c>
      <c r="R288" s="189" t="s">
        <v>22</v>
      </c>
      <c r="S288" s="189" t="s">
        <v>227</v>
      </c>
      <c r="T288" s="189" t="s">
        <v>264</v>
      </c>
      <c r="U288" s="189" t="s">
        <v>122</v>
      </c>
      <c r="V288" s="189" t="s">
        <v>123</v>
      </c>
      <c r="W288" s="189" t="s">
        <v>124</v>
      </c>
      <c r="X288" s="189" t="s">
        <v>339</v>
      </c>
      <c r="Y288" s="189" t="s">
        <v>339</v>
      </c>
      <c r="Z288" s="189" t="s">
        <v>3216</v>
      </c>
      <c r="AA288" s="189" t="s">
        <v>3198</v>
      </c>
      <c r="AB288" s="189" t="s">
        <v>3168</v>
      </c>
      <c r="AG288" s="189" t="s">
        <v>3217</v>
      </c>
    </row>
    <row r="289" customFormat="false" ht="15" hidden="false" customHeight="true" outlineLevel="0" collapsed="false">
      <c r="A289" s="0" t="n">
        <v>288</v>
      </c>
      <c r="B289" s="191" t="n">
        <v>46042.5241178858</v>
      </c>
      <c r="C289" s="191" t="n">
        <v>46042.5303910339</v>
      </c>
      <c r="D289" s="189" t="s">
        <v>1936</v>
      </c>
      <c r="E289" s="189" t="s">
        <v>1937</v>
      </c>
      <c r="F289" s="189" t="s">
        <v>1937</v>
      </c>
      <c r="G289" s="189" t="s">
        <v>1938</v>
      </c>
      <c r="H289" s="191" t="n">
        <v>46025</v>
      </c>
      <c r="I289" s="189" t="s">
        <v>113</v>
      </c>
      <c r="J289" s="189" t="s">
        <v>295</v>
      </c>
      <c r="K289" s="189" t="s">
        <v>1939</v>
      </c>
      <c r="L289" s="189" t="s">
        <v>114</v>
      </c>
      <c r="M289" s="189" t="s">
        <v>1074</v>
      </c>
      <c r="N289" s="189" t="s">
        <v>775</v>
      </c>
      <c r="O289" s="189" t="s">
        <v>107</v>
      </c>
      <c r="P289" s="189" t="s">
        <v>111</v>
      </c>
      <c r="Q289" s="189" t="s">
        <v>112</v>
      </c>
      <c r="R289" s="189" t="s">
        <v>21</v>
      </c>
      <c r="S289" s="189" t="s">
        <v>152</v>
      </c>
      <c r="T289" s="189" t="s">
        <v>121</v>
      </c>
      <c r="U289" s="189" t="s">
        <v>1940</v>
      </c>
      <c r="V289" s="189" t="s">
        <v>192</v>
      </c>
      <c r="W289" s="189" t="s">
        <v>124</v>
      </c>
      <c r="X289" s="189" t="s">
        <v>250</v>
      </c>
      <c r="Y289" s="189" t="s">
        <v>250</v>
      </c>
      <c r="Z289" s="189" t="s">
        <v>3065</v>
      </c>
      <c r="AG289" s="189" t="s">
        <v>3140</v>
      </c>
    </row>
    <row r="290" customFormat="false" ht="15" hidden="false" customHeight="true" outlineLevel="0" collapsed="false">
      <c r="A290" s="0" t="n">
        <v>289</v>
      </c>
      <c r="B290" s="191" t="n">
        <v>46142.7256989842</v>
      </c>
      <c r="C290" s="191" t="n">
        <v>46142.7279559287</v>
      </c>
      <c r="D290" s="189" t="s">
        <v>1941</v>
      </c>
      <c r="E290" s="189" t="s">
        <v>1942</v>
      </c>
      <c r="F290" s="189" t="s">
        <v>1943</v>
      </c>
      <c r="G290" s="189" t="s">
        <v>1944</v>
      </c>
      <c r="H290" s="191" t="n">
        <v>46136</v>
      </c>
      <c r="I290" s="189" t="s">
        <v>113</v>
      </c>
      <c r="J290" s="189" t="s">
        <v>108</v>
      </c>
      <c r="K290" s="189" t="s">
        <v>1572</v>
      </c>
      <c r="L290" s="189" t="s">
        <v>491</v>
      </c>
      <c r="M290" s="189" t="s">
        <v>757</v>
      </c>
      <c r="N290" s="189" t="s">
        <v>1028</v>
      </c>
      <c r="O290" s="189" t="s">
        <v>260</v>
      </c>
      <c r="P290" s="189" t="s">
        <v>111</v>
      </c>
      <c r="Q290" s="189" t="s">
        <v>145</v>
      </c>
      <c r="R290" s="189" t="s">
        <v>22</v>
      </c>
      <c r="S290" s="189" t="s">
        <v>152</v>
      </c>
      <c r="T290" s="189" t="s">
        <v>180</v>
      </c>
      <c r="U290" s="189" t="s">
        <v>122</v>
      </c>
      <c r="V290" s="189" t="s">
        <v>192</v>
      </c>
      <c r="W290" s="189" t="s">
        <v>124</v>
      </c>
      <c r="X290" s="189" t="s">
        <v>298</v>
      </c>
      <c r="Y290" s="189" t="s">
        <v>298</v>
      </c>
      <c r="Z290" s="189" t="s">
        <v>3123</v>
      </c>
      <c r="AA290" s="189" t="s">
        <v>3236</v>
      </c>
      <c r="AG290" s="189" t="s">
        <v>3128</v>
      </c>
    </row>
    <row r="291" customFormat="false" ht="15" hidden="false" customHeight="true" outlineLevel="0" collapsed="false">
      <c r="A291" s="0" t="n">
        <v>290</v>
      </c>
      <c r="B291" s="191" t="n">
        <v>46098.2048724414</v>
      </c>
      <c r="C291" s="191" t="n">
        <v>46098.2101386451</v>
      </c>
      <c r="D291" s="189" t="s">
        <v>1946</v>
      </c>
      <c r="E291" s="189" t="s">
        <v>1947</v>
      </c>
      <c r="F291" s="189" t="s">
        <v>1947</v>
      </c>
      <c r="G291" s="189" t="s">
        <v>1948</v>
      </c>
      <c r="H291" s="191" t="n">
        <v>46088</v>
      </c>
      <c r="I291" s="189" t="s">
        <v>113</v>
      </c>
      <c r="J291" s="189" t="s">
        <v>108</v>
      </c>
      <c r="K291" s="189" t="s">
        <v>1762</v>
      </c>
      <c r="L291" s="189" t="s">
        <v>184</v>
      </c>
      <c r="M291" s="189" t="s">
        <v>757</v>
      </c>
      <c r="N291" s="189" t="s">
        <v>701</v>
      </c>
      <c r="O291" s="189" t="s">
        <v>1949</v>
      </c>
      <c r="P291" s="189" t="s">
        <v>111</v>
      </c>
      <c r="Q291" s="189" t="s">
        <v>112</v>
      </c>
      <c r="R291" s="189" t="s">
        <v>21</v>
      </c>
      <c r="S291" s="189" t="s">
        <v>152</v>
      </c>
      <c r="T291" s="189" t="s">
        <v>121</v>
      </c>
      <c r="U291" s="189" t="s">
        <v>1950</v>
      </c>
      <c r="V291" s="189" t="s">
        <v>167</v>
      </c>
      <c r="W291" s="189" t="s">
        <v>168</v>
      </c>
      <c r="X291" s="189" t="s">
        <v>187</v>
      </c>
      <c r="Y291" s="189" t="s">
        <v>187</v>
      </c>
      <c r="Z291" s="189" t="s">
        <v>3089</v>
      </c>
      <c r="AG291" s="189" t="s">
        <v>3091</v>
      </c>
    </row>
    <row r="292" customFormat="false" ht="15" hidden="false" customHeight="true" outlineLevel="0" collapsed="false">
      <c r="A292" s="0" t="n">
        <v>291</v>
      </c>
      <c r="B292" s="191" t="n">
        <v>46207.8241281948</v>
      </c>
      <c r="C292" s="191" t="n">
        <v>46207.839463843</v>
      </c>
      <c r="D292" s="189" t="s">
        <v>1951</v>
      </c>
      <c r="E292" s="189" t="s">
        <v>1952</v>
      </c>
      <c r="F292" s="189" t="s">
        <v>1952</v>
      </c>
      <c r="G292" s="189" t="s">
        <v>1953</v>
      </c>
      <c r="H292" s="191" t="n">
        <v>46204</v>
      </c>
      <c r="I292" s="189" t="s">
        <v>336</v>
      </c>
      <c r="J292" s="189" t="s">
        <v>295</v>
      </c>
      <c r="K292" s="189" t="s">
        <v>232</v>
      </c>
      <c r="L292" s="189" t="s">
        <v>114</v>
      </c>
      <c r="M292" s="189" t="s">
        <v>212</v>
      </c>
      <c r="N292" s="189" t="s">
        <v>1255</v>
      </c>
      <c r="O292" s="189" t="s">
        <v>244</v>
      </c>
      <c r="P292" s="189" t="s">
        <v>131</v>
      </c>
      <c r="Q292" s="189" t="s">
        <v>112</v>
      </c>
      <c r="R292" s="189" t="s">
        <v>22</v>
      </c>
      <c r="S292" s="189" t="s">
        <v>120</v>
      </c>
      <c r="T292" s="189" t="s">
        <v>180</v>
      </c>
      <c r="U292" s="189" t="s">
        <v>122</v>
      </c>
      <c r="V292" s="189" t="s">
        <v>123</v>
      </c>
      <c r="W292" s="189" t="s">
        <v>139</v>
      </c>
      <c r="X292" s="189" t="s">
        <v>116</v>
      </c>
      <c r="Y292" s="189" t="s">
        <v>116</v>
      </c>
      <c r="Z292" s="189" t="s">
        <v>3065</v>
      </c>
      <c r="AA292" s="189" t="s">
        <v>3095</v>
      </c>
      <c r="AB292" s="189" t="s">
        <v>3107</v>
      </c>
      <c r="AG292" s="189" t="s">
        <v>3140</v>
      </c>
    </row>
    <row r="293" customFormat="false" ht="15" hidden="false" customHeight="true" outlineLevel="0" collapsed="false">
      <c r="A293" s="0" t="n">
        <v>292</v>
      </c>
      <c r="B293" s="191" t="n">
        <v>46041.7547921703</v>
      </c>
      <c r="C293" s="191" t="n">
        <v>46041.772245874</v>
      </c>
      <c r="D293" s="189" t="s">
        <v>1955</v>
      </c>
      <c r="E293" s="189" t="s">
        <v>1956</v>
      </c>
      <c r="F293" s="189" t="s">
        <v>1956</v>
      </c>
      <c r="G293" s="189" t="s">
        <v>1957</v>
      </c>
      <c r="H293" s="191" t="n">
        <v>46027</v>
      </c>
      <c r="I293" s="189" t="s">
        <v>325</v>
      </c>
      <c r="J293" s="189" t="s">
        <v>128</v>
      </c>
      <c r="K293" s="189" t="s">
        <v>232</v>
      </c>
      <c r="L293" s="189" t="s">
        <v>346</v>
      </c>
      <c r="M293" s="189" t="s">
        <v>484</v>
      </c>
      <c r="N293" s="189" t="s">
        <v>1958</v>
      </c>
      <c r="O293" s="189" t="s">
        <v>107</v>
      </c>
      <c r="P293" s="189" t="s">
        <v>211</v>
      </c>
      <c r="Q293" s="189" t="s">
        <v>112</v>
      </c>
      <c r="R293" s="189" t="s">
        <v>22</v>
      </c>
      <c r="S293" s="189" t="s">
        <v>120</v>
      </c>
      <c r="T293" s="189" t="s">
        <v>228</v>
      </c>
      <c r="V293" s="189" t="s">
        <v>192</v>
      </c>
      <c r="W293" s="189" t="s">
        <v>124</v>
      </c>
      <c r="X293" s="189" t="s">
        <v>148</v>
      </c>
      <c r="Y293" s="189" t="s">
        <v>148</v>
      </c>
      <c r="Z293" s="189" t="s">
        <v>3122</v>
      </c>
      <c r="AA293" s="189" t="s">
        <v>3186</v>
      </c>
      <c r="AG293" s="189" t="s">
        <v>3188</v>
      </c>
    </row>
    <row r="294" customFormat="false" ht="15" hidden="false" customHeight="true" outlineLevel="0" collapsed="false">
      <c r="A294" s="0" t="n">
        <v>293</v>
      </c>
      <c r="B294" s="191" t="n">
        <v>46170.2091131809</v>
      </c>
      <c r="C294" s="191" t="n">
        <v>46170.2205483661</v>
      </c>
      <c r="D294" s="189" t="s">
        <v>1959</v>
      </c>
      <c r="E294" s="189" t="s">
        <v>1960</v>
      </c>
      <c r="F294" s="189" t="s">
        <v>1960</v>
      </c>
      <c r="G294" s="189" t="s">
        <v>1961</v>
      </c>
      <c r="H294" s="191" t="n">
        <v>46166</v>
      </c>
      <c r="I294" s="189" t="s">
        <v>132</v>
      </c>
      <c r="J294" s="189" t="s">
        <v>108</v>
      </c>
      <c r="K294" s="189" t="s">
        <v>462</v>
      </c>
      <c r="L294" s="189" t="s">
        <v>210</v>
      </c>
      <c r="M294" s="189" t="s">
        <v>736</v>
      </c>
      <c r="N294" s="189" t="s">
        <v>653</v>
      </c>
      <c r="O294" s="189" t="s">
        <v>172</v>
      </c>
      <c r="P294" s="189" t="s">
        <v>111</v>
      </c>
      <c r="Q294" s="189" t="s">
        <v>112</v>
      </c>
      <c r="R294" s="189" t="s">
        <v>22</v>
      </c>
      <c r="S294" s="189" t="s">
        <v>152</v>
      </c>
      <c r="T294" s="189" t="s">
        <v>121</v>
      </c>
      <c r="V294" s="189" t="s">
        <v>123</v>
      </c>
      <c r="W294" s="189" t="s">
        <v>124</v>
      </c>
      <c r="X294" s="189" t="s">
        <v>116</v>
      </c>
      <c r="Y294" s="189" t="s">
        <v>116</v>
      </c>
      <c r="Z294" s="189" t="s">
        <v>3139</v>
      </c>
      <c r="AA294" s="189" t="s">
        <v>3107</v>
      </c>
      <c r="AB294" s="189" t="s">
        <v>3065</v>
      </c>
      <c r="AG294" s="189" t="s">
        <v>3070</v>
      </c>
      <c r="AH294" s="189" t="s">
        <v>3140</v>
      </c>
    </row>
    <row r="295" customFormat="false" ht="15" hidden="false" customHeight="true" outlineLevel="0" collapsed="false">
      <c r="A295" s="0" t="n">
        <v>294</v>
      </c>
      <c r="B295" s="191" t="n">
        <v>46077.8191926078</v>
      </c>
      <c r="C295" s="191" t="n">
        <v>46077.8366694596</v>
      </c>
      <c r="D295" s="189" t="s">
        <v>1963</v>
      </c>
      <c r="E295" s="189" t="s">
        <v>1964</v>
      </c>
      <c r="F295" s="189" t="s">
        <v>1964</v>
      </c>
      <c r="G295" s="189" t="s">
        <v>1965</v>
      </c>
      <c r="H295" s="191" t="n">
        <v>46074</v>
      </c>
      <c r="I295" s="189" t="s">
        <v>113</v>
      </c>
      <c r="J295" s="189" t="s">
        <v>108</v>
      </c>
      <c r="K295" s="189" t="s">
        <v>1966</v>
      </c>
      <c r="L295" s="189" t="s">
        <v>246</v>
      </c>
      <c r="M295" s="189" t="s">
        <v>477</v>
      </c>
      <c r="N295" s="189" t="s">
        <v>665</v>
      </c>
      <c r="O295" s="189" t="s">
        <v>172</v>
      </c>
      <c r="P295" s="189" t="s">
        <v>111</v>
      </c>
      <c r="Q295" s="189" t="s">
        <v>112</v>
      </c>
      <c r="R295" s="189" t="s">
        <v>22</v>
      </c>
      <c r="S295" s="189" t="s">
        <v>152</v>
      </c>
      <c r="T295" s="189" t="s">
        <v>121</v>
      </c>
      <c r="V295" s="189" t="s">
        <v>192</v>
      </c>
      <c r="W295" s="189" t="s">
        <v>124</v>
      </c>
      <c r="X295" s="189" t="s">
        <v>135</v>
      </c>
      <c r="Y295" s="189" t="s">
        <v>135</v>
      </c>
      <c r="Z295" s="189" t="s">
        <v>3201</v>
      </c>
      <c r="AA295" s="189" t="s">
        <v>3183</v>
      </c>
      <c r="AG295" s="189" t="s">
        <v>3152</v>
      </c>
    </row>
    <row r="296" customFormat="false" ht="15" hidden="false" customHeight="true" outlineLevel="0" collapsed="false">
      <c r="A296" s="0" t="n">
        <v>295</v>
      </c>
      <c r="B296" s="191" t="n">
        <v>46133.4673176642</v>
      </c>
      <c r="C296" s="191" t="n">
        <v>46133.4812412753</v>
      </c>
      <c r="D296" s="189" t="s">
        <v>1969</v>
      </c>
      <c r="E296" s="189" t="s">
        <v>1970</v>
      </c>
      <c r="F296" s="189" t="s">
        <v>1970</v>
      </c>
      <c r="G296" s="189" t="s">
        <v>1971</v>
      </c>
      <c r="H296" s="191" t="n">
        <v>46120</v>
      </c>
      <c r="I296" s="189" t="s">
        <v>113</v>
      </c>
      <c r="J296" s="189" t="s">
        <v>108</v>
      </c>
      <c r="K296" s="189" t="s">
        <v>1972</v>
      </c>
      <c r="L296" s="189" t="s">
        <v>346</v>
      </c>
      <c r="M296" s="189" t="s">
        <v>1074</v>
      </c>
      <c r="N296" s="189" t="s">
        <v>1255</v>
      </c>
      <c r="O296" s="189" t="s">
        <v>107</v>
      </c>
      <c r="P296" s="189" t="s">
        <v>111</v>
      </c>
      <c r="Q296" s="189" t="s">
        <v>112</v>
      </c>
      <c r="R296" s="189" t="s">
        <v>22</v>
      </c>
      <c r="S296" s="189" t="s">
        <v>152</v>
      </c>
      <c r="T296" s="189" t="s">
        <v>264</v>
      </c>
      <c r="U296" s="189" t="s">
        <v>785</v>
      </c>
      <c r="V296" s="189" t="s">
        <v>123</v>
      </c>
      <c r="W296" s="189" t="s">
        <v>124</v>
      </c>
      <c r="X296" s="189" t="s">
        <v>715</v>
      </c>
      <c r="Y296" s="189" t="s">
        <v>715</v>
      </c>
      <c r="Z296" s="189" t="s">
        <v>3225</v>
      </c>
      <c r="AG296" s="189" t="s">
        <v>3256</v>
      </c>
      <c r="AH296" s="189" t="s">
        <v>3285</v>
      </c>
    </row>
    <row r="297" customFormat="false" ht="15" hidden="false" customHeight="true" outlineLevel="0" collapsed="false">
      <c r="A297" s="0" t="n">
        <v>296</v>
      </c>
      <c r="B297" s="191" t="n">
        <v>46045.325998908</v>
      </c>
      <c r="C297" s="191" t="n">
        <v>46045.3311840932</v>
      </c>
      <c r="D297" s="189" t="s">
        <v>1976</v>
      </c>
      <c r="E297" s="189" t="s">
        <v>1977</v>
      </c>
      <c r="F297" s="189" t="s">
        <v>1977</v>
      </c>
      <c r="G297" s="189" t="s">
        <v>1978</v>
      </c>
      <c r="H297" s="191" t="n">
        <v>46030</v>
      </c>
      <c r="I297" s="189" t="s">
        <v>325</v>
      </c>
      <c r="J297" s="189" t="s">
        <v>128</v>
      </c>
      <c r="K297" s="189" t="s">
        <v>1979</v>
      </c>
      <c r="L297" s="189" t="s">
        <v>389</v>
      </c>
      <c r="M297" s="189" t="s">
        <v>391</v>
      </c>
      <c r="N297" s="189" t="s">
        <v>1140</v>
      </c>
      <c r="O297" s="189" t="s">
        <v>260</v>
      </c>
      <c r="P297" s="189" t="s">
        <v>111</v>
      </c>
      <c r="Q297" s="189" t="s">
        <v>145</v>
      </c>
      <c r="R297" s="189" t="s">
        <v>23</v>
      </c>
      <c r="S297" s="189" t="s">
        <v>152</v>
      </c>
      <c r="T297" s="189" t="s">
        <v>228</v>
      </c>
      <c r="U297" s="189" t="s">
        <v>1980</v>
      </c>
      <c r="V297" s="189" t="s">
        <v>123</v>
      </c>
      <c r="W297" s="189" t="s">
        <v>139</v>
      </c>
      <c r="X297" s="189" t="s">
        <v>1645</v>
      </c>
      <c r="Y297" s="189" t="s">
        <v>1645</v>
      </c>
    </row>
    <row r="298" customFormat="false" ht="15" hidden="false" customHeight="true" outlineLevel="0" collapsed="false">
      <c r="A298" s="0" t="n">
        <v>297</v>
      </c>
      <c r="B298" s="191" t="n">
        <v>46178.2021424875</v>
      </c>
      <c r="C298" s="191" t="n">
        <v>46178.2038438763</v>
      </c>
      <c r="D298" s="189" t="s">
        <v>1981</v>
      </c>
      <c r="E298" s="189" t="s">
        <v>1982</v>
      </c>
      <c r="F298" s="189" t="s">
        <v>1982</v>
      </c>
      <c r="G298" s="189" t="s">
        <v>1983</v>
      </c>
      <c r="H298" s="191" t="n">
        <v>46177</v>
      </c>
      <c r="I298" s="189" t="s">
        <v>113</v>
      </c>
      <c r="J298" s="189" t="s">
        <v>108</v>
      </c>
      <c r="K298" s="189" t="s">
        <v>173</v>
      </c>
      <c r="L298" s="189" t="s">
        <v>159</v>
      </c>
      <c r="M298" s="189" t="s">
        <v>1074</v>
      </c>
      <c r="N298" s="189" t="s">
        <v>758</v>
      </c>
      <c r="O298" s="189" t="s">
        <v>244</v>
      </c>
      <c r="P298" s="189" t="s">
        <v>111</v>
      </c>
      <c r="Q298" s="189" t="s">
        <v>112</v>
      </c>
      <c r="R298" s="189" t="s">
        <v>22</v>
      </c>
      <c r="S298" s="189" t="s">
        <v>152</v>
      </c>
      <c r="T298" s="189" t="s">
        <v>352</v>
      </c>
      <c r="U298" s="189" t="s">
        <v>239</v>
      </c>
      <c r="V298" s="189" t="s">
        <v>192</v>
      </c>
      <c r="W298" s="189" t="s">
        <v>124</v>
      </c>
      <c r="X298" s="189" t="s">
        <v>116</v>
      </c>
      <c r="Y298" s="189" t="s">
        <v>116</v>
      </c>
      <c r="Z298" s="189" t="s">
        <v>3107</v>
      </c>
      <c r="AG298" s="189" t="s">
        <v>3083</v>
      </c>
    </row>
    <row r="299" customFormat="false" ht="15" hidden="false" customHeight="true" outlineLevel="0" collapsed="false">
      <c r="A299" s="0" t="n">
        <v>298</v>
      </c>
      <c r="B299" s="191" t="n">
        <v>46127.8767015996</v>
      </c>
      <c r="C299" s="191" t="n">
        <v>46127.8809377107</v>
      </c>
      <c r="D299" s="189" t="s">
        <v>1985</v>
      </c>
      <c r="E299" s="189" t="s">
        <v>1986</v>
      </c>
      <c r="F299" s="189" t="s">
        <v>1986</v>
      </c>
      <c r="G299" s="189" t="s">
        <v>1987</v>
      </c>
      <c r="H299" s="191" t="n">
        <v>46119</v>
      </c>
      <c r="I299" s="189" t="s">
        <v>113</v>
      </c>
      <c r="J299" s="189" t="s">
        <v>128</v>
      </c>
      <c r="K299" s="189" t="s">
        <v>143</v>
      </c>
      <c r="L299" s="189" t="s">
        <v>110</v>
      </c>
      <c r="M299" s="189" t="s">
        <v>397</v>
      </c>
      <c r="N299" s="189" t="s">
        <v>990</v>
      </c>
      <c r="O299" s="189" t="s">
        <v>1949</v>
      </c>
      <c r="P299" s="189" t="s">
        <v>131</v>
      </c>
      <c r="Q299" s="189" t="s">
        <v>112</v>
      </c>
      <c r="R299" s="189" t="s">
        <v>25</v>
      </c>
      <c r="S299" s="189" t="s">
        <v>152</v>
      </c>
      <c r="T299" s="189" t="s">
        <v>121</v>
      </c>
      <c r="U299" s="189" t="s">
        <v>1032</v>
      </c>
      <c r="V299" s="189" t="s">
        <v>123</v>
      </c>
      <c r="W299" s="189" t="s">
        <v>168</v>
      </c>
      <c r="X299" s="189" t="s">
        <v>327</v>
      </c>
      <c r="Y299" s="189" t="s">
        <v>327</v>
      </c>
      <c r="Z299" s="189" t="s">
        <v>3095</v>
      </c>
      <c r="AA299" s="189" t="s">
        <v>3065</v>
      </c>
      <c r="AG299" s="189" t="s">
        <v>122</v>
      </c>
      <c r="AH299" s="189" t="s">
        <v>3108</v>
      </c>
    </row>
    <row r="300" customFormat="false" ht="15" hidden="false" customHeight="true" outlineLevel="0" collapsed="false">
      <c r="A300" s="0" t="n">
        <v>299</v>
      </c>
      <c r="B300" s="191" t="n">
        <v>46171.2995473917</v>
      </c>
      <c r="C300" s="191" t="n">
        <v>46171.3085520213</v>
      </c>
      <c r="D300" s="189" t="s">
        <v>1988</v>
      </c>
      <c r="E300" s="189" t="s">
        <v>1989</v>
      </c>
      <c r="F300" s="189" t="s">
        <v>1989</v>
      </c>
      <c r="G300" s="189" t="s">
        <v>1990</v>
      </c>
      <c r="H300" s="191" t="n">
        <v>46163</v>
      </c>
      <c r="I300" s="189" t="s">
        <v>113</v>
      </c>
      <c r="J300" s="189" t="s">
        <v>108</v>
      </c>
      <c r="K300" s="189" t="s">
        <v>446</v>
      </c>
      <c r="L300" s="189" t="s">
        <v>389</v>
      </c>
      <c r="M300" s="189" t="s">
        <v>736</v>
      </c>
      <c r="N300" s="189" t="s">
        <v>422</v>
      </c>
      <c r="O300" s="189" t="s">
        <v>713</v>
      </c>
      <c r="P300" s="189" t="s">
        <v>111</v>
      </c>
      <c r="Q300" s="189" t="s">
        <v>112</v>
      </c>
      <c r="R300" s="189" t="s">
        <v>22</v>
      </c>
      <c r="S300" s="189" t="s">
        <v>152</v>
      </c>
      <c r="T300" s="189" t="s">
        <v>264</v>
      </c>
      <c r="U300" s="189" t="s">
        <v>122</v>
      </c>
      <c r="V300" s="189" t="s">
        <v>123</v>
      </c>
      <c r="W300" s="189" t="s">
        <v>124</v>
      </c>
      <c r="X300" s="189" t="s">
        <v>298</v>
      </c>
      <c r="Y300" s="189" t="s">
        <v>298</v>
      </c>
      <c r="Z300" s="189" t="s">
        <v>3207</v>
      </c>
      <c r="AA300" s="189" t="s">
        <v>3124</v>
      </c>
      <c r="AG300" s="189" t="s">
        <v>3248</v>
      </c>
      <c r="AH300" s="189" t="s">
        <v>122</v>
      </c>
    </row>
    <row r="301" customFormat="false" ht="15" hidden="false" customHeight="true" outlineLevel="0" collapsed="false">
      <c r="A301" s="0" t="n">
        <v>300</v>
      </c>
      <c r="B301" s="191" t="n">
        <v>46083.6763838368</v>
      </c>
      <c r="C301" s="191" t="n">
        <v>46083.6883282812</v>
      </c>
      <c r="D301" s="189" t="s">
        <v>1993</v>
      </c>
      <c r="E301" s="189" t="s">
        <v>1994</v>
      </c>
      <c r="F301" s="189" t="s">
        <v>1995</v>
      </c>
      <c r="G301" s="189" t="s">
        <v>1996</v>
      </c>
      <c r="H301" s="191" t="n">
        <v>46066</v>
      </c>
      <c r="I301" s="189" t="s">
        <v>113</v>
      </c>
      <c r="J301" s="189" t="s">
        <v>108</v>
      </c>
      <c r="K301" s="189" t="s">
        <v>143</v>
      </c>
      <c r="L301" s="189" t="s">
        <v>431</v>
      </c>
      <c r="M301" s="189" t="s">
        <v>774</v>
      </c>
      <c r="N301" s="189" t="s">
        <v>1381</v>
      </c>
      <c r="O301" s="189" t="s">
        <v>244</v>
      </c>
      <c r="P301" s="189" t="s">
        <v>111</v>
      </c>
      <c r="Q301" s="189" t="s">
        <v>112</v>
      </c>
      <c r="R301" s="189" t="s">
        <v>24</v>
      </c>
      <c r="S301" s="189" t="s">
        <v>120</v>
      </c>
      <c r="T301" s="189" t="s">
        <v>121</v>
      </c>
      <c r="U301" s="189" t="s">
        <v>961</v>
      </c>
      <c r="V301" s="189" t="s">
        <v>123</v>
      </c>
      <c r="W301" s="189" t="s">
        <v>124</v>
      </c>
      <c r="X301" s="189" t="s">
        <v>19</v>
      </c>
      <c r="Y301" s="189" t="s">
        <v>19</v>
      </c>
      <c r="AK301" s="189" t="s">
        <v>880</v>
      </c>
    </row>
    <row r="302" customFormat="false" ht="15" hidden="false" customHeight="true" outlineLevel="0" collapsed="false">
      <c r="A302" s="0" t="n">
        <v>301</v>
      </c>
      <c r="B302" s="191" t="n">
        <v>46211.5329174981</v>
      </c>
      <c r="C302" s="191" t="n">
        <v>46211.5407994426</v>
      </c>
      <c r="D302" s="189" t="s">
        <v>1997</v>
      </c>
      <c r="E302" s="189" t="s">
        <v>1998</v>
      </c>
      <c r="F302" s="189" t="s">
        <v>1998</v>
      </c>
      <c r="G302" s="189" t="s">
        <v>1999</v>
      </c>
      <c r="H302" s="191" t="n">
        <v>46202</v>
      </c>
      <c r="I302" s="189" t="s">
        <v>113</v>
      </c>
      <c r="J302" s="189" t="s">
        <v>108</v>
      </c>
      <c r="K302" s="189" t="s">
        <v>143</v>
      </c>
      <c r="L302" s="189" t="s">
        <v>210</v>
      </c>
      <c r="M302" s="189" t="s">
        <v>365</v>
      </c>
      <c r="N302" s="189" t="s">
        <v>939</v>
      </c>
      <c r="O302" s="189" t="s">
        <v>107</v>
      </c>
      <c r="P302" s="189" t="s">
        <v>111</v>
      </c>
      <c r="Q302" s="189" t="s">
        <v>112</v>
      </c>
      <c r="R302" s="189" t="s">
        <v>22</v>
      </c>
      <c r="S302" s="189" t="s">
        <v>152</v>
      </c>
      <c r="T302" s="189" t="s">
        <v>180</v>
      </c>
      <c r="V302" s="189" t="s">
        <v>167</v>
      </c>
      <c r="W302" s="189" t="s">
        <v>124</v>
      </c>
      <c r="X302" s="189" t="s">
        <v>116</v>
      </c>
      <c r="Y302" s="189" t="s">
        <v>116</v>
      </c>
      <c r="Z302" s="189" t="s">
        <v>3065</v>
      </c>
      <c r="AA302" s="189" t="s">
        <v>3095</v>
      </c>
      <c r="AG302" s="189" t="s">
        <v>3070</v>
      </c>
    </row>
    <row r="303" customFormat="false" ht="15" hidden="false" customHeight="true" outlineLevel="0" collapsed="false">
      <c r="A303" s="0" t="n">
        <v>302</v>
      </c>
      <c r="B303" s="191" t="n">
        <v>46202.5140352576</v>
      </c>
      <c r="C303" s="191" t="n">
        <v>46202.5206440539</v>
      </c>
      <c r="D303" s="189" t="s">
        <v>2001</v>
      </c>
      <c r="E303" s="189" t="s">
        <v>2002</v>
      </c>
      <c r="F303" s="189" t="s">
        <v>2002</v>
      </c>
      <c r="G303" s="189" t="s">
        <v>2003</v>
      </c>
      <c r="H303" s="191" t="n">
        <v>46185</v>
      </c>
      <c r="I303" s="189" t="s">
        <v>113</v>
      </c>
      <c r="J303" s="189" t="s">
        <v>108</v>
      </c>
      <c r="K303" s="189" t="s">
        <v>232</v>
      </c>
      <c r="L303" s="189" t="s">
        <v>197</v>
      </c>
      <c r="M303" s="189" t="s">
        <v>1313</v>
      </c>
      <c r="N303" s="189" t="s">
        <v>357</v>
      </c>
      <c r="O303" s="189" t="s">
        <v>107</v>
      </c>
      <c r="P303" s="189" t="s">
        <v>111</v>
      </c>
      <c r="Q303" s="189" t="s">
        <v>247</v>
      </c>
      <c r="R303" s="189" t="s">
        <v>24</v>
      </c>
      <c r="S303" s="189" t="s">
        <v>152</v>
      </c>
      <c r="T303" s="189" t="s">
        <v>352</v>
      </c>
      <c r="U303" s="189" t="s">
        <v>122</v>
      </c>
      <c r="V303" s="189" t="s">
        <v>123</v>
      </c>
      <c r="W303" s="189" t="s">
        <v>124</v>
      </c>
      <c r="X303" s="189" t="s">
        <v>260</v>
      </c>
      <c r="Y303" s="189" t="s">
        <v>260</v>
      </c>
      <c r="Z303" s="189" t="s">
        <v>3317</v>
      </c>
      <c r="AA303" s="189" t="s">
        <v>3318</v>
      </c>
      <c r="AB303" s="189" t="s">
        <v>3288</v>
      </c>
      <c r="AG303" s="189" t="s">
        <v>3112</v>
      </c>
      <c r="AH303" s="189" t="s">
        <v>3113</v>
      </c>
    </row>
    <row r="304" customFormat="false" ht="15" hidden="false" customHeight="true" outlineLevel="0" collapsed="false">
      <c r="A304" s="0" t="n">
        <v>303</v>
      </c>
      <c r="B304" s="191" t="n">
        <v>46048.2146460341</v>
      </c>
      <c r="C304" s="191" t="n">
        <v>46048.224460849</v>
      </c>
      <c r="D304" s="189" t="s">
        <v>2006</v>
      </c>
      <c r="E304" s="189" t="s">
        <v>2007</v>
      </c>
      <c r="F304" s="189" t="s">
        <v>2007</v>
      </c>
      <c r="G304" s="189" t="s">
        <v>2008</v>
      </c>
      <c r="H304" s="191" t="n">
        <v>46040</v>
      </c>
      <c r="I304" s="189" t="s">
        <v>113</v>
      </c>
      <c r="J304" s="189" t="s">
        <v>128</v>
      </c>
      <c r="K304" s="189" t="s">
        <v>462</v>
      </c>
      <c r="L304" s="189" t="s">
        <v>210</v>
      </c>
      <c r="M304" s="189" t="s">
        <v>269</v>
      </c>
      <c r="N304" s="189" t="s">
        <v>297</v>
      </c>
      <c r="O304" s="189" t="s">
        <v>107</v>
      </c>
      <c r="P304" s="189" t="s">
        <v>211</v>
      </c>
      <c r="Q304" s="189" t="s">
        <v>112</v>
      </c>
      <c r="R304" s="189" t="s">
        <v>22</v>
      </c>
      <c r="S304" s="189" t="s">
        <v>152</v>
      </c>
      <c r="T304" s="189" t="s">
        <v>352</v>
      </c>
      <c r="U304" s="189" t="s">
        <v>122</v>
      </c>
      <c r="V304" s="189" t="s">
        <v>123</v>
      </c>
      <c r="W304" s="189" t="s">
        <v>124</v>
      </c>
      <c r="X304" s="189" t="s">
        <v>381</v>
      </c>
      <c r="Y304" s="189" t="s">
        <v>381</v>
      </c>
      <c r="Z304" s="189" t="s">
        <v>3180</v>
      </c>
      <c r="AG304" s="189" t="s">
        <v>3163</v>
      </c>
    </row>
    <row r="305" customFormat="false" ht="15" hidden="false" customHeight="true" outlineLevel="0" collapsed="false">
      <c r="A305" s="0" t="n">
        <v>304</v>
      </c>
      <c r="B305" s="191" t="n">
        <v>46052.5350590173</v>
      </c>
      <c r="C305" s="191" t="n">
        <v>46052.5480682765</v>
      </c>
      <c r="D305" s="189" t="s">
        <v>2009</v>
      </c>
      <c r="E305" s="189" t="s">
        <v>2010</v>
      </c>
      <c r="F305" s="189" t="s">
        <v>2010</v>
      </c>
      <c r="G305" s="189" t="s">
        <v>2011</v>
      </c>
      <c r="H305" s="191" t="n">
        <v>46043</v>
      </c>
      <c r="I305" s="189" t="s">
        <v>113</v>
      </c>
      <c r="J305" s="189" t="s">
        <v>108</v>
      </c>
      <c r="K305" s="189" t="s">
        <v>2012</v>
      </c>
      <c r="L305" s="189" t="s">
        <v>210</v>
      </c>
      <c r="M305" s="189" t="s">
        <v>1074</v>
      </c>
      <c r="N305" s="189" t="s">
        <v>758</v>
      </c>
      <c r="O305" s="189" t="s">
        <v>107</v>
      </c>
      <c r="P305" s="189" t="s">
        <v>111</v>
      </c>
      <c r="Q305" s="189" t="s">
        <v>112</v>
      </c>
      <c r="R305" s="189" t="s">
        <v>22</v>
      </c>
      <c r="S305" s="189" t="s">
        <v>152</v>
      </c>
      <c r="T305" s="189" t="s">
        <v>121</v>
      </c>
      <c r="V305" s="189" t="s">
        <v>167</v>
      </c>
      <c r="W305" s="189" t="s">
        <v>139</v>
      </c>
      <c r="X305" s="189" t="s">
        <v>339</v>
      </c>
      <c r="Y305" s="189" t="s">
        <v>339</v>
      </c>
      <c r="Z305" s="189" t="s">
        <v>3141</v>
      </c>
      <c r="AG305" s="189" t="s">
        <v>122</v>
      </c>
    </row>
    <row r="306" customFormat="false" ht="15" hidden="false" customHeight="true" outlineLevel="0" collapsed="false">
      <c r="A306" s="0" t="n">
        <v>305</v>
      </c>
      <c r="B306" s="191" t="n">
        <v>46164.7967234615</v>
      </c>
      <c r="C306" s="191" t="n">
        <v>46164.8129734615</v>
      </c>
      <c r="D306" s="189" t="s">
        <v>2013</v>
      </c>
      <c r="E306" s="189" t="s">
        <v>2014</v>
      </c>
      <c r="F306" s="189" t="s">
        <v>2015</v>
      </c>
      <c r="G306" s="189" t="s">
        <v>2016</v>
      </c>
      <c r="H306" s="191" t="n">
        <v>46164</v>
      </c>
      <c r="I306" s="189" t="s">
        <v>113</v>
      </c>
      <c r="J306" s="189" t="s">
        <v>108</v>
      </c>
      <c r="K306" s="189" t="s">
        <v>257</v>
      </c>
      <c r="L306" s="189" t="s">
        <v>110</v>
      </c>
      <c r="M306" s="189" t="s">
        <v>130</v>
      </c>
      <c r="N306" s="189" t="s">
        <v>259</v>
      </c>
      <c r="O306" s="189" t="s">
        <v>260</v>
      </c>
      <c r="P306" s="189" t="s">
        <v>111</v>
      </c>
      <c r="Q306" s="189" t="s">
        <v>112</v>
      </c>
      <c r="R306" s="189" t="s">
        <v>22</v>
      </c>
      <c r="S306" s="189" t="s">
        <v>120</v>
      </c>
      <c r="T306" s="189" t="s">
        <v>121</v>
      </c>
      <c r="U306" s="189" t="s">
        <v>122</v>
      </c>
      <c r="V306" s="189" t="s">
        <v>167</v>
      </c>
      <c r="W306" s="189" t="s">
        <v>124</v>
      </c>
      <c r="X306" s="189" t="s">
        <v>381</v>
      </c>
      <c r="Y306" s="189" t="s">
        <v>381</v>
      </c>
      <c r="Z306" s="189" t="s">
        <v>3249</v>
      </c>
      <c r="AG306" s="189" t="s">
        <v>3162</v>
      </c>
      <c r="AH306" s="189" t="s">
        <v>3163</v>
      </c>
    </row>
    <row r="307" customFormat="false" ht="15" hidden="false" customHeight="true" outlineLevel="0" collapsed="false">
      <c r="A307" s="0" t="n">
        <v>306</v>
      </c>
      <c r="B307" s="191" t="n">
        <v>46146.0315814198</v>
      </c>
      <c r="C307" s="191" t="n">
        <v>46146.0413383642</v>
      </c>
      <c r="D307" s="189" t="s">
        <v>2017</v>
      </c>
      <c r="E307" s="189" t="s">
        <v>2018</v>
      </c>
      <c r="F307" s="189" t="s">
        <v>2018</v>
      </c>
      <c r="G307" s="189" t="s">
        <v>2019</v>
      </c>
      <c r="H307" s="191" t="n">
        <v>46134</v>
      </c>
      <c r="I307" s="189" t="s">
        <v>336</v>
      </c>
      <c r="J307" s="189" t="s">
        <v>295</v>
      </c>
      <c r="K307" s="189" t="s">
        <v>196</v>
      </c>
      <c r="L307" s="189" t="s">
        <v>268</v>
      </c>
      <c r="M307" s="189" t="s">
        <v>652</v>
      </c>
      <c r="N307" s="189" t="s">
        <v>998</v>
      </c>
      <c r="O307" s="189" t="s">
        <v>244</v>
      </c>
      <c r="P307" s="189" t="s">
        <v>390</v>
      </c>
      <c r="Q307" s="189" t="s">
        <v>112</v>
      </c>
      <c r="R307" s="189" t="s">
        <v>21</v>
      </c>
      <c r="S307" s="189" t="s">
        <v>152</v>
      </c>
      <c r="T307" s="189" t="s">
        <v>121</v>
      </c>
      <c r="V307" s="189" t="s">
        <v>167</v>
      </c>
      <c r="W307" s="189" t="s">
        <v>124</v>
      </c>
      <c r="X307" s="189" t="s">
        <v>250</v>
      </c>
      <c r="Y307" s="189" t="s">
        <v>250</v>
      </c>
      <c r="Z307" s="189" t="s">
        <v>3139</v>
      </c>
      <c r="AG307" s="189" t="s">
        <v>3070</v>
      </c>
    </row>
    <row r="308" customFormat="false" ht="15" hidden="false" customHeight="true" outlineLevel="0" collapsed="false">
      <c r="A308" s="0" t="n">
        <v>307</v>
      </c>
      <c r="B308" s="191" t="n">
        <v>46047.5054023225</v>
      </c>
      <c r="C308" s="191" t="n">
        <v>46047.5132148225</v>
      </c>
      <c r="D308" s="189" t="s">
        <v>2020</v>
      </c>
      <c r="E308" s="189" t="s">
        <v>2021</v>
      </c>
      <c r="F308" s="189" t="s">
        <v>2021</v>
      </c>
      <c r="G308" s="189" t="s">
        <v>2022</v>
      </c>
      <c r="H308" s="191" t="n">
        <v>46039</v>
      </c>
      <c r="I308" s="189" t="s">
        <v>325</v>
      </c>
      <c r="J308" s="189" t="s">
        <v>295</v>
      </c>
      <c r="K308" s="189" t="s">
        <v>2023</v>
      </c>
      <c r="L308" s="189" t="s">
        <v>246</v>
      </c>
      <c r="M308" s="189" t="s">
        <v>248</v>
      </c>
      <c r="N308" s="189" t="s">
        <v>147</v>
      </c>
      <c r="O308" s="189" t="s">
        <v>278</v>
      </c>
      <c r="P308" s="189" t="s">
        <v>131</v>
      </c>
      <c r="Q308" s="189" t="s">
        <v>198</v>
      </c>
      <c r="R308" s="189" t="s">
        <v>22</v>
      </c>
      <c r="S308" s="189" t="s">
        <v>152</v>
      </c>
      <c r="T308" s="189" t="s">
        <v>121</v>
      </c>
      <c r="U308" s="189" t="s">
        <v>1940</v>
      </c>
      <c r="V308" s="189" t="s">
        <v>123</v>
      </c>
      <c r="W308" s="189" t="s">
        <v>124</v>
      </c>
      <c r="X308" s="189" t="s">
        <v>381</v>
      </c>
      <c r="Y308" s="189" t="s">
        <v>381</v>
      </c>
      <c r="Z308" s="189" t="s">
        <v>3233</v>
      </c>
      <c r="AA308" s="189" t="s">
        <v>3159</v>
      </c>
      <c r="AB308" s="189" t="s">
        <v>3180</v>
      </c>
      <c r="AG308" s="189" t="s">
        <v>3162</v>
      </c>
    </row>
    <row r="309" customFormat="false" ht="15" hidden="false" customHeight="true" outlineLevel="0" collapsed="false">
      <c r="A309" s="0" t="n">
        <v>308</v>
      </c>
      <c r="B309" s="191" t="n">
        <v>46059.8689974544</v>
      </c>
      <c r="C309" s="191" t="n">
        <v>46059.8782798618</v>
      </c>
      <c r="D309" s="189" t="s">
        <v>2025</v>
      </c>
      <c r="E309" s="189" t="s">
        <v>2026</v>
      </c>
      <c r="F309" s="189" t="s">
        <v>2026</v>
      </c>
      <c r="G309" s="189" t="s">
        <v>2027</v>
      </c>
      <c r="H309" s="191" t="n">
        <v>46039</v>
      </c>
      <c r="I309" s="189" t="s">
        <v>113</v>
      </c>
      <c r="J309" s="189" t="s">
        <v>108</v>
      </c>
      <c r="K309" s="189" t="s">
        <v>196</v>
      </c>
      <c r="L309" s="189" t="s">
        <v>184</v>
      </c>
      <c r="M309" s="189" t="s">
        <v>133</v>
      </c>
      <c r="N309" s="189" t="s">
        <v>1050</v>
      </c>
      <c r="O309" s="189" t="s">
        <v>713</v>
      </c>
      <c r="P309" s="189" t="s">
        <v>111</v>
      </c>
      <c r="Q309" s="189" t="s">
        <v>112</v>
      </c>
      <c r="R309" s="189" t="s">
        <v>22</v>
      </c>
      <c r="S309" s="189" t="s">
        <v>152</v>
      </c>
      <c r="T309" s="189" t="s">
        <v>165</v>
      </c>
      <c r="U309" s="189" t="s">
        <v>218</v>
      </c>
      <c r="V309" s="189" t="s">
        <v>167</v>
      </c>
      <c r="W309" s="189" t="s">
        <v>124</v>
      </c>
      <c r="X309" s="189" t="s">
        <v>176</v>
      </c>
      <c r="Y309" s="189" t="s">
        <v>176</v>
      </c>
      <c r="Z309" s="189" t="s">
        <v>3084</v>
      </c>
      <c r="AA309" s="189" t="s">
        <v>3269</v>
      </c>
      <c r="AB309" s="189" t="s">
        <v>3300</v>
      </c>
      <c r="AG309" s="189" t="s">
        <v>122</v>
      </c>
    </row>
    <row r="310" customFormat="false" ht="15" hidden="false" customHeight="true" outlineLevel="0" collapsed="false">
      <c r="A310" s="0" t="n">
        <v>309</v>
      </c>
      <c r="B310" s="191" t="n">
        <v>46046.080322315</v>
      </c>
      <c r="C310" s="191" t="n">
        <v>46046.0926139817</v>
      </c>
      <c r="D310" s="189" t="s">
        <v>2029</v>
      </c>
      <c r="E310" s="189" t="s">
        <v>2030</v>
      </c>
      <c r="F310" s="189" t="s">
        <v>2030</v>
      </c>
      <c r="G310" s="189" t="s">
        <v>2031</v>
      </c>
      <c r="H310" s="191" t="n">
        <v>46029</v>
      </c>
      <c r="I310" s="189" t="s">
        <v>336</v>
      </c>
      <c r="J310" s="189" t="s">
        <v>128</v>
      </c>
      <c r="K310" s="189" t="s">
        <v>2032</v>
      </c>
      <c r="L310" s="189" t="s">
        <v>184</v>
      </c>
      <c r="M310" s="189" t="s">
        <v>1380</v>
      </c>
      <c r="N310" s="189" t="s">
        <v>337</v>
      </c>
      <c r="O310" s="189" t="s">
        <v>1506</v>
      </c>
      <c r="P310" s="189" t="s">
        <v>111</v>
      </c>
      <c r="Q310" s="189" t="s">
        <v>112</v>
      </c>
      <c r="R310" s="189" t="s">
        <v>22</v>
      </c>
      <c r="S310" s="189" t="s">
        <v>120</v>
      </c>
      <c r="T310" s="189" t="s">
        <v>121</v>
      </c>
      <c r="V310" s="189" t="s">
        <v>123</v>
      </c>
      <c r="W310" s="189" t="s">
        <v>124</v>
      </c>
      <c r="X310" s="189" t="s">
        <v>135</v>
      </c>
      <c r="Y310" s="189" t="s">
        <v>135</v>
      </c>
      <c r="Z310" s="189" t="s">
        <v>3183</v>
      </c>
      <c r="AA310" s="189" t="s">
        <v>3072</v>
      </c>
      <c r="AB310" s="189" t="s">
        <v>3073</v>
      </c>
      <c r="AG310" s="189" t="s">
        <v>3212</v>
      </c>
      <c r="AH310" s="189" t="s">
        <v>3152</v>
      </c>
    </row>
    <row r="311" customFormat="false" ht="15" hidden="false" customHeight="true" outlineLevel="0" collapsed="false">
      <c r="A311" s="0" t="n">
        <v>310</v>
      </c>
      <c r="B311" s="191" t="n">
        <v>46061.8144224713</v>
      </c>
      <c r="C311" s="191" t="n">
        <v>46061.833427101</v>
      </c>
      <c r="D311" s="189" t="s">
        <v>2034</v>
      </c>
      <c r="E311" s="189" t="s">
        <v>2035</v>
      </c>
      <c r="F311" s="189" t="s">
        <v>2035</v>
      </c>
      <c r="G311" s="189" t="s">
        <v>2036</v>
      </c>
      <c r="H311" s="191" t="n">
        <v>46052</v>
      </c>
      <c r="I311" s="189" t="s">
        <v>113</v>
      </c>
      <c r="J311" s="189" t="s">
        <v>295</v>
      </c>
      <c r="K311" s="189" t="s">
        <v>173</v>
      </c>
      <c r="L311" s="189" t="s">
        <v>130</v>
      </c>
      <c r="M311" s="189" t="s">
        <v>269</v>
      </c>
      <c r="N311" s="189" t="s">
        <v>1140</v>
      </c>
      <c r="O311" s="189" t="s">
        <v>172</v>
      </c>
      <c r="P311" s="189" t="s">
        <v>111</v>
      </c>
      <c r="Q311" s="189" t="s">
        <v>112</v>
      </c>
      <c r="R311" s="189" t="s">
        <v>22</v>
      </c>
      <c r="S311" s="189" t="s">
        <v>152</v>
      </c>
      <c r="T311" s="189" t="s">
        <v>121</v>
      </c>
      <c r="U311" s="189" t="s">
        <v>2039</v>
      </c>
      <c r="V311" s="189" t="s">
        <v>167</v>
      </c>
      <c r="W311" s="189" t="s">
        <v>124</v>
      </c>
      <c r="X311" s="189" t="s">
        <v>298</v>
      </c>
      <c r="Y311" s="189" t="s">
        <v>298</v>
      </c>
      <c r="Z311" s="189" t="s">
        <v>3195</v>
      </c>
      <c r="AG311" s="189" t="s">
        <v>122</v>
      </c>
      <c r="AH311" s="189" t="s">
        <v>3128</v>
      </c>
    </row>
    <row r="312" customFormat="false" ht="15" hidden="false" customHeight="true" outlineLevel="0" collapsed="false">
      <c r="A312" s="0" t="n">
        <v>311</v>
      </c>
      <c r="B312" s="191" t="n">
        <v>46114.8366879492</v>
      </c>
      <c r="C312" s="191" t="n">
        <v>46114.8393962826</v>
      </c>
      <c r="D312" s="189" t="s">
        <v>2040</v>
      </c>
      <c r="E312" s="189" t="s">
        <v>2041</v>
      </c>
      <c r="F312" s="189" t="s">
        <v>2041</v>
      </c>
      <c r="G312" s="189" t="s">
        <v>2042</v>
      </c>
      <c r="H312" s="191" t="n">
        <v>46097</v>
      </c>
      <c r="I312" s="189" t="s">
        <v>113</v>
      </c>
      <c r="J312" s="189" t="s">
        <v>108</v>
      </c>
      <c r="K312" s="189" t="s">
        <v>196</v>
      </c>
      <c r="L312" s="189" t="s">
        <v>144</v>
      </c>
      <c r="M312" s="189" t="s">
        <v>686</v>
      </c>
      <c r="N312" s="189" t="s">
        <v>1781</v>
      </c>
      <c r="O312" s="189" t="s">
        <v>244</v>
      </c>
      <c r="P312" s="189" t="s">
        <v>111</v>
      </c>
      <c r="Q312" s="189" t="s">
        <v>112</v>
      </c>
      <c r="R312" s="189" t="s">
        <v>22</v>
      </c>
      <c r="S312" s="189" t="s">
        <v>152</v>
      </c>
      <c r="T312" s="189" t="s">
        <v>496</v>
      </c>
      <c r="V312" s="189" t="s">
        <v>192</v>
      </c>
      <c r="W312" s="189" t="s">
        <v>124</v>
      </c>
      <c r="X312" s="189" t="s">
        <v>339</v>
      </c>
      <c r="Y312" s="189" t="s">
        <v>339</v>
      </c>
      <c r="Z312" s="189" t="s">
        <v>3169</v>
      </c>
      <c r="AG312" s="189" t="s">
        <v>3200</v>
      </c>
    </row>
    <row r="313" customFormat="false" ht="15" hidden="false" customHeight="true" outlineLevel="0" collapsed="false">
      <c r="A313" s="0" t="n">
        <v>312</v>
      </c>
      <c r="B313" s="191" t="n">
        <v>46100.7845935172</v>
      </c>
      <c r="C313" s="191" t="n">
        <v>46100.7990495357</v>
      </c>
      <c r="D313" s="189" t="s">
        <v>2044</v>
      </c>
      <c r="E313" s="189" t="s">
        <v>2045</v>
      </c>
      <c r="F313" s="189" t="s">
        <v>2045</v>
      </c>
      <c r="G313" s="189" t="s">
        <v>2046</v>
      </c>
      <c r="H313" s="191" t="n">
        <v>46099</v>
      </c>
      <c r="I313" s="189" t="s">
        <v>863</v>
      </c>
      <c r="J313" s="189" t="s">
        <v>108</v>
      </c>
      <c r="K313" s="189" t="s">
        <v>173</v>
      </c>
      <c r="L313" s="189" t="s">
        <v>389</v>
      </c>
      <c r="M313" s="189" t="s">
        <v>736</v>
      </c>
      <c r="N313" s="189" t="s">
        <v>998</v>
      </c>
      <c r="O313" s="189" t="s">
        <v>107</v>
      </c>
      <c r="P313" s="189" t="s">
        <v>111</v>
      </c>
      <c r="Q313" s="189" t="s">
        <v>112</v>
      </c>
      <c r="R313" s="189" t="s">
        <v>23</v>
      </c>
      <c r="S313" s="189" t="s">
        <v>152</v>
      </c>
      <c r="T313" s="189" t="s">
        <v>121</v>
      </c>
      <c r="V313" s="189" t="s">
        <v>123</v>
      </c>
      <c r="W313" s="189" t="s">
        <v>124</v>
      </c>
      <c r="X313" s="189" t="s">
        <v>1645</v>
      </c>
      <c r="Y313" s="189" t="s">
        <v>1645</v>
      </c>
    </row>
    <row r="314" customFormat="false" ht="15" hidden="false" customHeight="true" outlineLevel="0" collapsed="false">
      <c r="A314" s="0" t="n">
        <v>313</v>
      </c>
      <c r="B314" s="191" t="n">
        <v>46209.1230088283</v>
      </c>
      <c r="C314" s="191" t="n">
        <v>46209.1362958653</v>
      </c>
      <c r="D314" s="189" t="s">
        <v>2047</v>
      </c>
      <c r="E314" s="189" t="s">
        <v>2048</v>
      </c>
      <c r="F314" s="189" t="s">
        <v>2048</v>
      </c>
      <c r="G314" s="189" t="s">
        <v>2049</v>
      </c>
      <c r="H314" s="191" t="n">
        <v>46209</v>
      </c>
      <c r="I314" s="189" t="s">
        <v>113</v>
      </c>
      <c r="J314" s="189" t="s">
        <v>108</v>
      </c>
      <c r="K314" s="189" t="s">
        <v>173</v>
      </c>
      <c r="L314" s="189" t="s">
        <v>130</v>
      </c>
      <c r="M314" s="189" t="s">
        <v>337</v>
      </c>
      <c r="N314" s="189" t="s">
        <v>827</v>
      </c>
      <c r="O314" s="189" t="s">
        <v>244</v>
      </c>
      <c r="P314" s="189" t="s">
        <v>111</v>
      </c>
      <c r="Q314" s="189" t="s">
        <v>145</v>
      </c>
      <c r="R314" s="189" t="s">
        <v>24</v>
      </c>
      <c r="S314" s="189" t="s">
        <v>152</v>
      </c>
      <c r="T314" s="189" t="s">
        <v>121</v>
      </c>
      <c r="U314" s="189" t="s">
        <v>122</v>
      </c>
      <c r="V314" s="189" t="s">
        <v>167</v>
      </c>
      <c r="W314" s="189" t="s">
        <v>124</v>
      </c>
      <c r="X314" s="189" t="s">
        <v>223</v>
      </c>
      <c r="Y314" s="189" t="s">
        <v>223</v>
      </c>
      <c r="Z314" s="189" t="s">
        <v>3104</v>
      </c>
      <c r="AG314" s="189" t="s">
        <v>3106</v>
      </c>
    </row>
    <row r="315" customFormat="false" ht="15" hidden="false" customHeight="true" outlineLevel="0" collapsed="false">
      <c r="A315" s="0" t="n">
        <v>314</v>
      </c>
      <c r="B315" s="191" t="n">
        <v>46128.3077563374</v>
      </c>
      <c r="C315" s="191" t="n">
        <v>46128.3236128189</v>
      </c>
      <c r="D315" s="189" t="s">
        <v>2050</v>
      </c>
      <c r="E315" s="189" t="s">
        <v>2051</v>
      </c>
      <c r="F315" s="189" t="s">
        <v>2052</v>
      </c>
      <c r="G315" s="189" t="s">
        <v>2053</v>
      </c>
      <c r="H315" s="191" t="n">
        <v>46124</v>
      </c>
      <c r="I315" s="189" t="s">
        <v>113</v>
      </c>
      <c r="J315" s="189" t="s">
        <v>128</v>
      </c>
      <c r="K315" s="189" t="s">
        <v>1456</v>
      </c>
      <c r="L315" s="189" t="s">
        <v>246</v>
      </c>
      <c r="M315" s="189" t="s">
        <v>864</v>
      </c>
      <c r="N315" s="189" t="s">
        <v>544</v>
      </c>
      <c r="O315" s="189" t="s">
        <v>244</v>
      </c>
      <c r="P315" s="189" t="s">
        <v>111</v>
      </c>
      <c r="Q315" s="189" t="s">
        <v>145</v>
      </c>
      <c r="R315" s="189" t="s">
        <v>24</v>
      </c>
      <c r="S315" s="189" t="s">
        <v>152</v>
      </c>
      <c r="T315" s="189" t="s">
        <v>121</v>
      </c>
      <c r="V315" s="189" t="s">
        <v>192</v>
      </c>
      <c r="W315" s="189" t="s">
        <v>124</v>
      </c>
      <c r="X315" s="189" t="s">
        <v>214</v>
      </c>
      <c r="Y315" s="189" t="s">
        <v>214</v>
      </c>
      <c r="Z315" s="189" t="s">
        <v>3095</v>
      </c>
      <c r="AG315" s="189" t="s">
        <v>122</v>
      </c>
    </row>
    <row r="316" customFormat="false" ht="15" hidden="false" customHeight="true" outlineLevel="0" collapsed="false">
      <c r="A316" s="0" t="n">
        <v>315</v>
      </c>
      <c r="B316" s="191" t="n">
        <v>46056.1926711348</v>
      </c>
      <c r="C316" s="191" t="n">
        <v>46056.2094651163</v>
      </c>
      <c r="D316" s="189" t="s">
        <v>2055</v>
      </c>
      <c r="E316" s="189" t="s">
        <v>2056</v>
      </c>
      <c r="F316" s="189" t="s">
        <v>2056</v>
      </c>
      <c r="G316" s="189" t="s">
        <v>2057</v>
      </c>
      <c r="H316" s="191" t="n">
        <v>46038</v>
      </c>
      <c r="I316" s="189" t="s">
        <v>113</v>
      </c>
      <c r="J316" s="189" t="s">
        <v>108</v>
      </c>
      <c r="K316" s="189" t="s">
        <v>1049</v>
      </c>
      <c r="L316" s="189" t="s">
        <v>159</v>
      </c>
      <c r="M316" s="189" t="s">
        <v>501</v>
      </c>
      <c r="N316" s="189" t="s">
        <v>899</v>
      </c>
      <c r="O316" s="189" t="s">
        <v>172</v>
      </c>
      <c r="P316" s="189" t="s">
        <v>131</v>
      </c>
      <c r="Q316" s="189" t="s">
        <v>145</v>
      </c>
      <c r="R316" s="189" t="s">
        <v>24</v>
      </c>
      <c r="S316" s="189" t="s">
        <v>227</v>
      </c>
      <c r="T316" s="189" t="s">
        <v>121</v>
      </c>
      <c r="U316" s="189" t="s">
        <v>1326</v>
      </c>
      <c r="V316" s="189" t="s">
        <v>123</v>
      </c>
      <c r="W316" s="189" t="s">
        <v>168</v>
      </c>
      <c r="X316" s="189" t="s">
        <v>448</v>
      </c>
      <c r="Y316" s="189" t="s">
        <v>448</v>
      </c>
      <c r="Z316" s="189" t="s">
        <v>3175</v>
      </c>
      <c r="AA316" s="189" t="s">
        <v>3191</v>
      </c>
      <c r="AG316" s="189" t="s">
        <v>3190</v>
      </c>
    </row>
    <row r="317" customFormat="false" ht="15" hidden="false" customHeight="true" outlineLevel="0" collapsed="false">
      <c r="A317" s="0" t="n">
        <v>316</v>
      </c>
      <c r="B317" s="191" t="n">
        <v>46181.7437615035</v>
      </c>
      <c r="C317" s="191" t="n">
        <v>46181.7468749294</v>
      </c>
      <c r="D317" s="189" t="s">
        <v>2060</v>
      </c>
      <c r="E317" s="189" t="s">
        <v>2061</v>
      </c>
      <c r="F317" s="189" t="s">
        <v>2061</v>
      </c>
      <c r="G317" s="189" t="s">
        <v>2062</v>
      </c>
      <c r="H317" s="191" t="n">
        <v>46167</v>
      </c>
      <c r="I317" s="189" t="s">
        <v>305</v>
      </c>
      <c r="J317" s="189" t="s">
        <v>108</v>
      </c>
      <c r="K317" s="189" t="s">
        <v>196</v>
      </c>
      <c r="L317" s="189" t="s">
        <v>114</v>
      </c>
      <c r="M317" s="189" t="s">
        <v>199</v>
      </c>
      <c r="N317" s="189" t="s">
        <v>552</v>
      </c>
      <c r="O317" s="189" t="s">
        <v>244</v>
      </c>
      <c r="P317" s="189" t="s">
        <v>111</v>
      </c>
      <c r="Q317" s="189" t="s">
        <v>145</v>
      </c>
      <c r="R317" s="189" t="s">
        <v>22</v>
      </c>
      <c r="S317" s="189" t="s">
        <v>120</v>
      </c>
      <c r="T317" s="189" t="s">
        <v>121</v>
      </c>
      <c r="U317" s="189" t="s">
        <v>122</v>
      </c>
      <c r="V317" s="189" t="s">
        <v>167</v>
      </c>
      <c r="W317" s="189" t="s">
        <v>124</v>
      </c>
      <c r="X317" s="189" t="s">
        <v>339</v>
      </c>
      <c r="Y317" s="189" t="s">
        <v>339</v>
      </c>
      <c r="Z317" s="189" t="s">
        <v>3216</v>
      </c>
      <c r="AA317" s="189" t="s">
        <v>3169</v>
      </c>
      <c r="AG317" s="189" t="s">
        <v>3145</v>
      </c>
    </row>
    <row r="318" customFormat="false" ht="15" hidden="false" customHeight="true" outlineLevel="0" collapsed="false">
      <c r="A318" s="0" t="n">
        <v>317</v>
      </c>
      <c r="B318" s="191" t="n">
        <v>46134.1943682482</v>
      </c>
      <c r="C318" s="191" t="n">
        <v>46134.2141020445</v>
      </c>
      <c r="D318" s="189" t="s">
        <v>2064</v>
      </c>
      <c r="E318" s="189" t="s">
        <v>2065</v>
      </c>
      <c r="F318" s="189" t="s">
        <v>2066</v>
      </c>
      <c r="G318" s="189" t="s">
        <v>2067</v>
      </c>
      <c r="H318" s="191" t="n">
        <v>46123</v>
      </c>
      <c r="I318" s="189" t="s">
        <v>113</v>
      </c>
      <c r="J318" s="189" t="s">
        <v>128</v>
      </c>
      <c r="K318" s="189" t="s">
        <v>2068</v>
      </c>
      <c r="L318" s="189" t="s">
        <v>286</v>
      </c>
      <c r="M318" s="189" t="s">
        <v>258</v>
      </c>
      <c r="N318" s="189" t="s">
        <v>1028</v>
      </c>
      <c r="O318" s="189" t="s">
        <v>278</v>
      </c>
      <c r="P318" s="189" t="s">
        <v>131</v>
      </c>
      <c r="Q318" s="189" t="s">
        <v>247</v>
      </c>
      <c r="R318" s="189" t="s">
        <v>22</v>
      </c>
      <c r="S318" s="189" t="s">
        <v>120</v>
      </c>
      <c r="T318" s="189" t="s">
        <v>121</v>
      </c>
      <c r="U318" s="189" t="s">
        <v>166</v>
      </c>
      <c r="V318" s="189" t="s">
        <v>123</v>
      </c>
      <c r="W318" s="189" t="s">
        <v>124</v>
      </c>
      <c r="X318" s="189" t="s">
        <v>148</v>
      </c>
      <c r="Y318" s="189" t="s">
        <v>148</v>
      </c>
      <c r="Z318" s="189" t="s">
        <v>3281</v>
      </c>
      <c r="AG318" s="189" t="s">
        <v>3079</v>
      </c>
      <c r="AH318" s="189" t="s">
        <v>3080</v>
      </c>
    </row>
    <row r="319" customFormat="false" ht="15" hidden="false" customHeight="true" outlineLevel="0" collapsed="false">
      <c r="A319" s="0" t="n">
        <v>318</v>
      </c>
      <c r="B319" s="191" t="n">
        <v>46213.6152813181</v>
      </c>
      <c r="C319" s="191" t="n">
        <v>46213.623707244</v>
      </c>
      <c r="D319" s="189" t="s">
        <v>2069</v>
      </c>
      <c r="E319" s="189" t="s">
        <v>2070</v>
      </c>
      <c r="F319" s="189" t="s">
        <v>2070</v>
      </c>
      <c r="G319" s="189" t="s">
        <v>2071</v>
      </c>
      <c r="H319" s="191" t="n">
        <v>46200</v>
      </c>
      <c r="I319" s="189" t="s">
        <v>132</v>
      </c>
      <c r="J319" s="189" t="s">
        <v>108</v>
      </c>
      <c r="K319" s="189" t="s">
        <v>245</v>
      </c>
      <c r="L319" s="189" t="s">
        <v>491</v>
      </c>
      <c r="M319" s="189" t="s">
        <v>757</v>
      </c>
      <c r="N319" s="189" t="s">
        <v>544</v>
      </c>
      <c r="O319" s="189" t="s">
        <v>172</v>
      </c>
      <c r="P319" s="189" t="s">
        <v>211</v>
      </c>
      <c r="Q319" s="189" t="s">
        <v>112</v>
      </c>
      <c r="R319" s="189" t="s">
        <v>24</v>
      </c>
      <c r="S319" s="189" t="s">
        <v>120</v>
      </c>
      <c r="T319" s="189" t="s">
        <v>228</v>
      </c>
      <c r="V319" s="189" t="s">
        <v>192</v>
      </c>
      <c r="W319" s="189" t="s">
        <v>124</v>
      </c>
      <c r="X319" s="189" t="s">
        <v>223</v>
      </c>
      <c r="Y319" s="189" t="s">
        <v>223</v>
      </c>
      <c r="Z319" s="189" t="s">
        <v>3096</v>
      </c>
      <c r="AG319" s="189" t="s">
        <v>3150</v>
      </c>
      <c r="AH319" s="189" t="s">
        <v>3101</v>
      </c>
    </row>
    <row r="320" customFormat="false" ht="15" hidden="false" customHeight="true" outlineLevel="0" collapsed="false">
      <c r="A320" s="0" t="n">
        <v>319</v>
      </c>
      <c r="B320" s="191" t="n">
        <v>46038.6062494619</v>
      </c>
      <c r="C320" s="191" t="n">
        <v>46038.6106128879</v>
      </c>
      <c r="D320" s="189" t="s">
        <v>2073</v>
      </c>
      <c r="E320" s="189" t="s">
        <v>2074</v>
      </c>
      <c r="F320" s="189" t="s">
        <v>2074</v>
      </c>
      <c r="G320" s="189" t="s">
        <v>2075</v>
      </c>
      <c r="H320" s="191" t="n">
        <v>46020</v>
      </c>
      <c r="I320" s="189" t="s">
        <v>113</v>
      </c>
      <c r="J320" s="189" t="s">
        <v>108</v>
      </c>
      <c r="K320" s="189" t="s">
        <v>245</v>
      </c>
      <c r="L320" s="189" t="s">
        <v>268</v>
      </c>
      <c r="M320" s="189" t="s">
        <v>797</v>
      </c>
      <c r="N320" s="189" t="s">
        <v>2076</v>
      </c>
      <c r="O320" s="189" t="s">
        <v>107</v>
      </c>
      <c r="P320" s="189" t="s">
        <v>111</v>
      </c>
      <c r="Q320" s="189" t="s">
        <v>112</v>
      </c>
      <c r="R320" s="189" t="s">
        <v>22</v>
      </c>
      <c r="S320" s="189" t="s">
        <v>152</v>
      </c>
      <c r="T320" s="189" t="s">
        <v>814</v>
      </c>
      <c r="V320" s="189" t="s">
        <v>167</v>
      </c>
      <c r="W320" s="189" t="s">
        <v>124</v>
      </c>
      <c r="X320" s="189" t="s">
        <v>135</v>
      </c>
      <c r="Y320" s="189" t="s">
        <v>135</v>
      </c>
      <c r="Z320" s="189" t="s">
        <v>3072</v>
      </c>
      <c r="AA320" s="189" t="s">
        <v>3073</v>
      </c>
      <c r="AG320" s="189" t="s">
        <v>3257</v>
      </c>
    </row>
    <row r="321" customFormat="false" ht="15" hidden="false" customHeight="true" outlineLevel="0" collapsed="false">
      <c r="A321" s="0" t="n">
        <v>320</v>
      </c>
      <c r="B321" s="191" t="n">
        <v>46145.5017040344</v>
      </c>
      <c r="C321" s="191" t="n">
        <v>46145.5132433862</v>
      </c>
      <c r="D321" s="189" t="s">
        <v>2079</v>
      </c>
      <c r="E321" s="189" t="s">
        <v>2080</v>
      </c>
      <c r="F321" s="189" t="s">
        <v>2080</v>
      </c>
      <c r="G321" s="189" t="s">
        <v>2081</v>
      </c>
      <c r="H321" s="191" t="n">
        <v>46126</v>
      </c>
      <c r="I321" s="189" t="s">
        <v>863</v>
      </c>
      <c r="J321" s="189" t="s">
        <v>108</v>
      </c>
      <c r="K321" s="189" t="s">
        <v>2082</v>
      </c>
      <c r="L321" s="189" t="s">
        <v>159</v>
      </c>
      <c r="M321" s="189" t="s">
        <v>439</v>
      </c>
      <c r="N321" s="189" t="s">
        <v>849</v>
      </c>
      <c r="O321" s="189" t="s">
        <v>107</v>
      </c>
      <c r="P321" s="189" t="s">
        <v>111</v>
      </c>
      <c r="Q321" s="189" t="s">
        <v>145</v>
      </c>
      <c r="R321" s="189" t="s">
        <v>25</v>
      </c>
      <c r="S321" s="189" t="s">
        <v>152</v>
      </c>
      <c r="T321" s="189" t="s">
        <v>352</v>
      </c>
      <c r="U321" s="189" t="s">
        <v>1032</v>
      </c>
      <c r="V321" s="189" t="s">
        <v>123</v>
      </c>
      <c r="W321" s="189" t="s">
        <v>168</v>
      </c>
      <c r="X321" s="189" t="s">
        <v>327</v>
      </c>
      <c r="Y321" s="189" t="s">
        <v>327</v>
      </c>
      <c r="Z321" s="189" t="s">
        <v>3081</v>
      </c>
      <c r="AG321" s="189" t="s">
        <v>3083</v>
      </c>
    </row>
    <row r="322" customFormat="false" ht="15" hidden="false" customHeight="true" outlineLevel="0" collapsed="false">
      <c r="A322" s="0" t="n">
        <v>321</v>
      </c>
      <c r="B322" s="191" t="n">
        <v>46129.7588598085</v>
      </c>
      <c r="C322" s="191" t="n">
        <v>46129.7631885122</v>
      </c>
      <c r="D322" s="189" t="s">
        <v>2083</v>
      </c>
      <c r="E322" s="189" t="s">
        <v>2084</v>
      </c>
      <c r="F322" s="189" t="s">
        <v>2084</v>
      </c>
      <c r="G322" s="189" t="s">
        <v>2085</v>
      </c>
      <c r="H322" s="191" t="n">
        <v>46115</v>
      </c>
      <c r="I322" s="189" t="s">
        <v>113</v>
      </c>
      <c r="J322" s="189" t="s">
        <v>295</v>
      </c>
      <c r="K322" s="189" t="s">
        <v>245</v>
      </c>
      <c r="L322" s="189" t="s">
        <v>246</v>
      </c>
      <c r="M322" s="189" t="s">
        <v>258</v>
      </c>
      <c r="N322" s="189" t="s">
        <v>775</v>
      </c>
      <c r="O322" s="189" t="s">
        <v>172</v>
      </c>
      <c r="P322" s="189" t="s">
        <v>211</v>
      </c>
      <c r="Q322" s="189" t="s">
        <v>145</v>
      </c>
      <c r="R322" s="189" t="s">
        <v>22</v>
      </c>
      <c r="S322" s="189" t="s">
        <v>120</v>
      </c>
      <c r="T322" s="189" t="s">
        <v>496</v>
      </c>
      <c r="U322" s="189" t="s">
        <v>122</v>
      </c>
      <c r="V322" s="189" t="s">
        <v>123</v>
      </c>
      <c r="W322" s="189" t="s">
        <v>124</v>
      </c>
      <c r="X322" s="189" t="s">
        <v>339</v>
      </c>
      <c r="Y322" s="189" t="s">
        <v>339</v>
      </c>
      <c r="Z322" s="189" t="s">
        <v>3199</v>
      </c>
      <c r="AA322" s="189" t="s">
        <v>3216</v>
      </c>
      <c r="AB322" s="189" t="s">
        <v>3198</v>
      </c>
      <c r="AG322" s="189" t="s">
        <v>3217</v>
      </c>
    </row>
    <row r="323" customFormat="false" ht="15" hidden="false" customHeight="true" outlineLevel="0" collapsed="false">
      <c r="A323" s="0" t="n">
        <v>322</v>
      </c>
      <c r="B323" s="191" t="n">
        <v>46211.2876374848</v>
      </c>
      <c r="C323" s="191" t="n">
        <v>46211.298297207</v>
      </c>
      <c r="D323" s="189" t="s">
        <v>2087</v>
      </c>
      <c r="E323" s="189" t="s">
        <v>2088</v>
      </c>
      <c r="F323" s="189" t="s">
        <v>2088</v>
      </c>
      <c r="G323" s="189" t="s">
        <v>2089</v>
      </c>
      <c r="H323" s="191" t="n">
        <v>46199</v>
      </c>
      <c r="I323" s="189" t="s">
        <v>305</v>
      </c>
      <c r="J323" s="189" t="s">
        <v>295</v>
      </c>
      <c r="K323" s="189" t="s">
        <v>364</v>
      </c>
      <c r="L323" s="189" t="s">
        <v>210</v>
      </c>
      <c r="M323" s="189" t="s">
        <v>144</v>
      </c>
      <c r="N323" s="189" t="s">
        <v>259</v>
      </c>
      <c r="O323" s="189" t="s">
        <v>278</v>
      </c>
      <c r="P323" s="189" t="s">
        <v>390</v>
      </c>
      <c r="Q323" s="189" t="s">
        <v>112</v>
      </c>
      <c r="R323" s="189" t="s">
        <v>22</v>
      </c>
      <c r="S323" s="189" t="s">
        <v>152</v>
      </c>
      <c r="T323" s="189" t="s">
        <v>121</v>
      </c>
      <c r="U323" s="189" t="s">
        <v>122</v>
      </c>
      <c r="V323" s="189" t="s">
        <v>192</v>
      </c>
      <c r="W323" s="189" t="s">
        <v>124</v>
      </c>
      <c r="X323" s="189" t="s">
        <v>148</v>
      </c>
      <c r="Y323" s="189" t="s">
        <v>148</v>
      </c>
      <c r="Z323" s="189" t="s">
        <v>3092</v>
      </c>
      <c r="AA323" s="189" t="s">
        <v>3281</v>
      </c>
      <c r="AB323" s="189" t="s">
        <v>3186</v>
      </c>
      <c r="AG323" s="189" t="s">
        <v>122</v>
      </c>
    </row>
    <row r="324" customFormat="false" ht="15" hidden="false" customHeight="true" outlineLevel="0" collapsed="false">
      <c r="A324" s="0" t="n">
        <v>323</v>
      </c>
      <c r="B324" s="191" t="n">
        <v>46157.9423818623</v>
      </c>
      <c r="C324" s="191" t="n">
        <v>46157.9528332511</v>
      </c>
      <c r="D324" s="189" t="s">
        <v>2092</v>
      </c>
      <c r="E324" s="189" t="s">
        <v>2093</v>
      </c>
      <c r="F324" s="189" t="s">
        <v>2093</v>
      </c>
      <c r="G324" s="189" t="s">
        <v>2094</v>
      </c>
      <c r="H324" s="191" t="n">
        <v>46153</v>
      </c>
      <c r="I324" s="189" t="s">
        <v>113</v>
      </c>
      <c r="J324" s="189" t="s">
        <v>295</v>
      </c>
      <c r="K324" s="189" t="s">
        <v>364</v>
      </c>
      <c r="L324" s="189" t="s">
        <v>184</v>
      </c>
      <c r="M324" s="189" t="s">
        <v>174</v>
      </c>
      <c r="N324" s="189" t="s">
        <v>758</v>
      </c>
      <c r="O324" s="189" t="s">
        <v>781</v>
      </c>
      <c r="P324" s="189" t="s">
        <v>111</v>
      </c>
      <c r="Q324" s="189" t="s">
        <v>112</v>
      </c>
      <c r="R324" s="189" t="s">
        <v>23</v>
      </c>
      <c r="S324" s="189" t="s">
        <v>120</v>
      </c>
      <c r="T324" s="189" t="s">
        <v>180</v>
      </c>
      <c r="U324" s="189" t="s">
        <v>122</v>
      </c>
      <c r="V324" s="189" t="s">
        <v>192</v>
      </c>
      <c r="W324" s="189" t="s">
        <v>124</v>
      </c>
      <c r="X324" s="189" t="s">
        <v>1645</v>
      </c>
      <c r="Y324" s="189" t="s">
        <v>1645</v>
      </c>
    </row>
    <row r="325" customFormat="false" ht="15" hidden="false" customHeight="true" outlineLevel="0" collapsed="false">
      <c r="A325" s="0" t="n">
        <v>324</v>
      </c>
      <c r="B325" s="191" t="n">
        <v>46173.9443933394</v>
      </c>
      <c r="C325" s="191" t="n">
        <v>46173.9599025987</v>
      </c>
      <c r="D325" s="189" t="s">
        <v>2095</v>
      </c>
      <c r="E325" s="189" t="s">
        <v>2096</v>
      </c>
      <c r="F325" s="189" t="s">
        <v>2097</v>
      </c>
      <c r="G325" s="189" t="s">
        <v>2098</v>
      </c>
      <c r="H325" s="191" t="n">
        <v>46164</v>
      </c>
      <c r="I325" s="189" t="s">
        <v>113</v>
      </c>
      <c r="J325" s="189" t="s">
        <v>108</v>
      </c>
      <c r="K325" s="189" t="s">
        <v>2099</v>
      </c>
      <c r="L325" s="189" t="s">
        <v>491</v>
      </c>
      <c r="M325" s="189" t="s">
        <v>447</v>
      </c>
      <c r="N325" s="189" t="s">
        <v>2100</v>
      </c>
      <c r="O325" s="189" t="s">
        <v>107</v>
      </c>
      <c r="P325" s="189" t="s">
        <v>211</v>
      </c>
      <c r="Q325" s="189" t="s">
        <v>112</v>
      </c>
      <c r="R325" s="189" t="s">
        <v>22</v>
      </c>
      <c r="S325" s="189" t="s">
        <v>152</v>
      </c>
      <c r="T325" s="189" t="s">
        <v>264</v>
      </c>
      <c r="U325" s="189" t="s">
        <v>1773</v>
      </c>
      <c r="V325" s="189" t="s">
        <v>192</v>
      </c>
      <c r="W325" s="189" t="s">
        <v>124</v>
      </c>
      <c r="X325" s="189" t="s">
        <v>381</v>
      </c>
      <c r="Y325" s="189" t="s">
        <v>381</v>
      </c>
      <c r="Z325" s="189" t="s">
        <v>3159</v>
      </c>
      <c r="AA325" s="189" t="s">
        <v>3233</v>
      </c>
      <c r="AB325" s="189" t="s">
        <v>3249</v>
      </c>
      <c r="AG325" s="189" t="s">
        <v>3234</v>
      </c>
    </row>
    <row r="326" customFormat="false" ht="15" hidden="false" customHeight="true" outlineLevel="0" collapsed="false">
      <c r="A326" s="0" t="n">
        <v>325</v>
      </c>
      <c r="B326" s="191" t="n">
        <v>46063.8620991104</v>
      </c>
      <c r="C326" s="191" t="n">
        <v>46063.8764393882</v>
      </c>
      <c r="D326" s="189" t="s">
        <v>2102</v>
      </c>
      <c r="E326" s="189" t="s">
        <v>2103</v>
      </c>
      <c r="F326" s="189" t="s">
        <v>2103</v>
      </c>
      <c r="G326" s="189" t="s">
        <v>2104</v>
      </c>
      <c r="H326" s="191" t="n">
        <v>46055</v>
      </c>
      <c r="I326" s="189" t="s">
        <v>113</v>
      </c>
      <c r="J326" s="189" t="s">
        <v>108</v>
      </c>
      <c r="K326" s="189" t="s">
        <v>2105</v>
      </c>
      <c r="L326" s="189" t="s">
        <v>246</v>
      </c>
      <c r="M326" s="189" t="s">
        <v>501</v>
      </c>
      <c r="N326" s="189" t="s">
        <v>810</v>
      </c>
      <c r="O326" s="189" t="s">
        <v>713</v>
      </c>
      <c r="P326" s="189" t="s">
        <v>111</v>
      </c>
      <c r="Q326" s="189" t="s">
        <v>145</v>
      </c>
      <c r="R326" s="189" t="s">
        <v>24</v>
      </c>
      <c r="S326" s="189" t="s">
        <v>152</v>
      </c>
      <c r="T326" s="189" t="s">
        <v>121</v>
      </c>
      <c r="U326" s="189" t="s">
        <v>321</v>
      </c>
      <c r="V326" s="189" t="s">
        <v>123</v>
      </c>
      <c r="W326" s="189" t="s">
        <v>124</v>
      </c>
      <c r="X326" s="189" t="s">
        <v>260</v>
      </c>
      <c r="Y326" s="189" t="s">
        <v>260</v>
      </c>
      <c r="Z326" s="189" t="s">
        <v>3258</v>
      </c>
      <c r="AA326" s="189" t="s">
        <v>3317</v>
      </c>
      <c r="AG326" s="189" t="s">
        <v>122</v>
      </c>
      <c r="AH326" s="189" t="s">
        <v>3320</v>
      </c>
    </row>
    <row r="327" customFormat="false" ht="15" hidden="false" customHeight="true" outlineLevel="0" collapsed="false">
      <c r="A327" s="0" t="n">
        <v>326</v>
      </c>
      <c r="B327" s="191" t="n">
        <v>46079.5493698843</v>
      </c>
      <c r="C327" s="191" t="n">
        <v>46079.5553305324</v>
      </c>
      <c r="D327" s="189" t="s">
        <v>2108</v>
      </c>
      <c r="E327" s="189" t="s">
        <v>2109</v>
      </c>
      <c r="F327" s="189" t="s">
        <v>2109</v>
      </c>
      <c r="G327" s="189" t="s">
        <v>2110</v>
      </c>
      <c r="H327" s="191" t="n">
        <v>46071</v>
      </c>
      <c r="I327" s="189" t="s">
        <v>113</v>
      </c>
      <c r="J327" s="189" t="s">
        <v>108</v>
      </c>
      <c r="K327" s="189" t="s">
        <v>232</v>
      </c>
      <c r="L327" s="189" t="s">
        <v>268</v>
      </c>
      <c r="M327" s="189" t="s">
        <v>870</v>
      </c>
      <c r="N327" s="189" t="s">
        <v>595</v>
      </c>
      <c r="O327" s="189" t="s">
        <v>260</v>
      </c>
      <c r="P327" s="189" t="s">
        <v>131</v>
      </c>
      <c r="Q327" s="189" t="s">
        <v>247</v>
      </c>
      <c r="R327" s="189" t="s">
        <v>22</v>
      </c>
      <c r="S327" s="189" t="s">
        <v>152</v>
      </c>
      <c r="T327" s="189" t="s">
        <v>264</v>
      </c>
      <c r="U327" s="189" t="s">
        <v>2114</v>
      </c>
      <c r="V327" s="189" t="s">
        <v>192</v>
      </c>
      <c r="W327" s="189" t="s">
        <v>124</v>
      </c>
      <c r="X327" s="189" t="s">
        <v>715</v>
      </c>
      <c r="Y327" s="189" t="s">
        <v>715</v>
      </c>
      <c r="Z327" s="189" t="s">
        <v>3224</v>
      </c>
      <c r="AA327" s="189" t="s">
        <v>3252</v>
      </c>
      <c r="AG327" s="189" t="s">
        <v>3229</v>
      </c>
      <c r="AH327" s="189" t="s">
        <v>3253</v>
      </c>
    </row>
    <row r="328" customFormat="false" ht="15" hidden="false" customHeight="true" outlineLevel="0" collapsed="false">
      <c r="A328" s="0" t="n">
        <v>327</v>
      </c>
      <c r="B328" s="191" t="n">
        <v>46145.9543382457</v>
      </c>
      <c r="C328" s="191" t="n">
        <v>46145.964072042</v>
      </c>
      <c r="D328" s="189" t="s">
        <v>2115</v>
      </c>
      <c r="E328" s="189" t="s">
        <v>2116</v>
      </c>
      <c r="F328" s="189" t="s">
        <v>2117</v>
      </c>
      <c r="G328" s="189" t="s">
        <v>2118</v>
      </c>
      <c r="H328" s="191" t="n">
        <v>46140</v>
      </c>
      <c r="I328" s="189" t="s">
        <v>113</v>
      </c>
      <c r="J328" s="189" t="s">
        <v>108</v>
      </c>
      <c r="K328" s="189" t="s">
        <v>2119</v>
      </c>
      <c r="L328" s="189" t="s">
        <v>184</v>
      </c>
      <c r="M328" s="189" t="s">
        <v>326</v>
      </c>
      <c r="N328" s="189" t="s">
        <v>147</v>
      </c>
      <c r="O328" s="189" t="s">
        <v>278</v>
      </c>
      <c r="P328" s="189" t="s">
        <v>111</v>
      </c>
      <c r="Q328" s="189" t="s">
        <v>112</v>
      </c>
      <c r="R328" s="189" t="s">
        <v>21</v>
      </c>
      <c r="S328" s="189" t="s">
        <v>152</v>
      </c>
      <c r="T328" s="189" t="s">
        <v>121</v>
      </c>
      <c r="V328" s="189" t="s">
        <v>192</v>
      </c>
      <c r="W328" s="189" t="s">
        <v>124</v>
      </c>
      <c r="X328" s="189" t="s">
        <v>250</v>
      </c>
      <c r="Y328" s="189" t="s">
        <v>250</v>
      </c>
      <c r="Z328" s="189" t="s">
        <v>3081</v>
      </c>
      <c r="AA328" s="189" t="s">
        <v>3139</v>
      </c>
      <c r="AB328" s="189" t="s">
        <v>3065</v>
      </c>
      <c r="AG328" s="189" t="s">
        <v>3140</v>
      </c>
    </row>
    <row r="329" customFormat="false" ht="15" hidden="false" customHeight="true" outlineLevel="0" collapsed="false">
      <c r="A329" s="0" t="n">
        <v>328</v>
      </c>
      <c r="B329" s="191" t="n">
        <v>46048.633684364</v>
      </c>
      <c r="C329" s="191" t="n">
        <v>46048.6450616788</v>
      </c>
      <c r="D329" s="189" t="s">
        <v>2121</v>
      </c>
      <c r="E329" s="189" t="s">
        <v>2122</v>
      </c>
      <c r="F329" s="189" t="s">
        <v>2122</v>
      </c>
      <c r="G329" s="189" t="s">
        <v>2123</v>
      </c>
      <c r="H329" s="191" t="n">
        <v>46038</v>
      </c>
      <c r="I329" s="189" t="s">
        <v>113</v>
      </c>
      <c r="J329" s="189" t="s">
        <v>108</v>
      </c>
      <c r="K329" s="189" t="s">
        <v>2124</v>
      </c>
      <c r="L329" s="189" t="s">
        <v>389</v>
      </c>
      <c r="M329" s="189" t="s">
        <v>566</v>
      </c>
      <c r="N329" s="189" t="s">
        <v>595</v>
      </c>
      <c r="O329" s="189" t="s">
        <v>278</v>
      </c>
      <c r="P329" s="189" t="s">
        <v>111</v>
      </c>
      <c r="Q329" s="189" t="s">
        <v>198</v>
      </c>
      <c r="R329" s="189" t="s">
        <v>22</v>
      </c>
      <c r="S329" s="189" t="s">
        <v>120</v>
      </c>
      <c r="T329" s="189" t="s">
        <v>180</v>
      </c>
      <c r="V329" s="189" t="s">
        <v>123</v>
      </c>
      <c r="W329" s="189" t="s">
        <v>139</v>
      </c>
      <c r="X329" s="189" t="s">
        <v>271</v>
      </c>
      <c r="Y329" s="189" t="s">
        <v>271</v>
      </c>
      <c r="Z329" s="189" t="s">
        <v>3135</v>
      </c>
      <c r="AA329" s="189" t="s">
        <v>3230</v>
      </c>
      <c r="AB329" s="189" t="s">
        <v>3136</v>
      </c>
      <c r="AG329" s="189" t="s">
        <v>122</v>
      </c>
    </row>
    <row r="330" customFormat="false" ht="15" hidden="false" customHeight="true" outlineLevel="0" collapsed="false">
      <c r="A330" s="0" t="n">
        <v>329</v>
      </c>
      <c r="B330" s="191" t="n">
        <v>46196.068599691</v>
      </c>
      <c r="C330" s="191" t="n">
        <v>46196.077974691</v>
      </c>
      <c r="D330" s="189" t="s">
        <v>2127</v>
      </c>
      <c r="E330" s="189" t="s">
        <v>2128</v>
      </c>
      <c r="F330" s="189" t="s">
        <v>2129</v>
      </c>
      <c r="G330" s="189" t="s">
        <v>2130</v>
      </c>
      <c r="H330" s="191" t="n">
        <v>46181</v>
      </c>
      <c r="I330" s="189" t="s">
        <v>113</v>
      </c>
      <c r="J330" s="189" t="s">
        <v>295</v>
      </c>
      <c r="K330" s="189" t="s">
        <v>232</v>
      </c>
      <c r="L330" s="189" t="s">
        <v>144</v>
      </c>
      <c r="M330" s="189" t="s">
        <v>391</v>
      </c>
      <c r="N330" s="189" t="s">
        <v>567</v>
      </c>
      <c r="O330" s="189" t="s">
        <v>107</v>
      </c>
      <c r="P330" s="189" t="s">
        <v>111</v>
      </c>
      <c r="Q330" s="189" t="s">
        <v>112</v>
      </c>
      <c r="R330" s="189" t="s">
        <v>22</v>
      </c>
      <c r="S330" s="189" t="s">
        <v>152</v>
      </c>
      <c r="T330" s="189" t="s">
        <v>121</v>
      </c>
      <c r="V330" s="189" t="s">
        <v>123</v>
      </c>
      <c r="W330" s="189" t="s">
        <v>124</v>
      </c>
      <c r="X330" s="189" t="s">
        <v>339</v>
      </c>
      <c r="Y330" s="189" t="s">
        <v>339</v>
      </c>
      <c r="Z330" s="189" t="s">
        <v>3141</v>
      </c>
      <c r="AA330" s="189" t="s">
        <v>3198</v>
      </c>
      <c r="AG330" s="189" t="s">
        <v>122</v>
      </c>
      <c r="AH330" s="189" t="s">
        <v>3235</v>
      </c>
    </row>
    <row r="331" customFormat="false" ht="15" hidden="false" customHeight="true" outlineLevel="0" collapsed="false">
      <c r="A331" s="0" t="n">
        <v>330</v>
      </c>
      <c r="B331" s="191" t="n">
        <v>46116.5897640359</v>
      </c>
      <c r="C331" s="191" t="n">
        <v>46116.6104006099</v>
      </c>
      <c r="D331" s="189" t="s">
        <v>2133</v>
      </c>
      <c r="E331" s="189" t="s">
        <v>2134</v>
      </c>
      <c r="F331" s="189" t="s">
        <v>2134</v>
      </c>
      <c r="G331" s="189" t="s">
        <v>2135</v>
      </c>
      <c r="H331" s="191" t="n">
        <v>46099</v>
      </c>
      <c r="I331" s="189" t="s">
        <v>113</v>
      </c>
      <c r="J331" s="189" t="s">
        <v>128</v>
      </c>
      <c r="K331" s="189" t="s">
        <v>232</v>
      </c>
      <c r="L331" s="189" t="s">
        <v>197</v>
      </c>
      <c r="M331" s="189" t="s">
        <v>612</v>
      </c>
      <c r="N331" s="189" t="s">
        <v>1036</v>
      </c>
      <c r="O331" s="189" t="s">
        <v>1949</v>
      </c>
      <c r="P331" s="189" t="s">
        <v>111</v>
      </c>
      <c r="Q331" s="189" t="s">
        <v>247</v>
      </c>
      <c r="R331" s="189" t="s">
        <v>22</v>
      </c>
      <c r="S331" s="189" t="s">
        <v>152</v>
      </c>
      <c r="T331" s="189" t="s">
        <v>121</v>
      </c>
      <c r="U331" s="189" t="s">
        <v>122</v>
      </c>
      <c r="V331" s="189" t="s">
        <v>167</v>
      </c>
      <c r="W331" s="189" t="s">
        <v>124</v>
      </c>
      <c r="X331" s="189" t="s">
        <v>339</v>
      </c>
      <c r="Y331" s="189" t="s">
        <v>339</v>
      </c>
      <c r="Z331" s="189" t="s">
        <v>3141</v>
      </c>
      <c r="AA331" s="189" t="s">
        <v>3199</v>
      </c>
      <c r="AG331" s="189" t="s">
        <v>3235</v>
      </c>
      <c r="AH331" s="189" t="s">
        <v>3217</v>
      </c>
    </row>
    <row r="332" customFormat="false" ht="15" hidden="false" customHeight="true" outlineLevel="0" collapsed="false">
      <c r="A332" s="0" t="n">
        <v>331</v>
      </c>
      <c r="B332" s="191" t="n">
        <v>46109.6681700079</v>
      </c>
      <c r="C332" s="191" t="n">
        <v>46109.6808783412</v>
      </c>
      <c r="D332" s="189" t="s">
        <v>2137</v>
      </c>
      <c r="E332" s="189" t="s">
        <v>2138</v>
      </c>
      <c r="F332" s="189" t="s">
        <v>2138</v>
      </c>
      <c r="G332" s="189" t="s">
        <v>2139</v>
      </c>
      <c r="H332" s="191" t="n">
        <v>46101</v>
      </c>
      <c r="I332" s="189" t="s">
        <v>113</v>
      </c>
      <c r="J332" s="189" t="s">
        <v>295</v>
      </c>
      <c r="K332" s="189" t="s">
        <v>2140</v>
      </c>
      <c r="L332" s="189" t="s">
        <v>346</v>
      </c>
      <c r="M332" s="189" t="s">
        <v>174</v>
      </c>
      <c r="N332" s="189" t="s">
        <v>758</v>
      </c>
      <c r="O332" s="189" t="s">
        <v>172</v>
      </c>
      <c r="P332" s="189" t="s">
        <v>111</v>
      </c>
      <c r="Q332" s="189" t="s">
        <v>145</v>
      </c>
      <c r="R332" s="189" t="s">
        <v>22</v>
      </c>
      <c r="S332" s="189" t="s">
        <v>152</v>
      </c>
      <c r="T332" s="189" t="s">
        <v>496</v>
      </c>
      <c r="V332" s="189" t="s">
        <v>123</v>
      </c>
      <c r="W332" s="189" t="s">
        <v>124</v>
      </c>
      <c r="X332" s="189" t="s">
        <v>176</v>
      </c>
      <c r="Y332" s="189" t="s">
        <v>176</v>
      </c>
      <c r="Z332" s="189" t="s">
        <v>3084</v>
      </c>
      <c r="AA332" s="189" t="s">
        <v>3085</v>
      </c>
      <c r="AB332" s="189" t="s">
        <v>3290</v>
      </c>
      <c r="AG332" s="189" t="s">
        <v>3088</v>
      </c>
    </row>
    <row r="333" customFormat="false" ht="15" hidden="false" customHeight="true" outlineLevel="0" collapsed="false">
      <c r="A333" s="0" t="n">
        <v>332</v>
      </c>
      <c r="B333" s="191" t="n">
        <v>46191.0471451124</v>
      </c>
      <c r="C333" s="191" t="n">
        <v>46191.0559182605</v>
      </c>
      <c r="D333" s="189" t="s">
        <v>2142</v>
      </c>
      <c r="E333" s="189" t="s">
        <v>2143</v>
      </c>
      <c r="F333" s="189" t="s">
        <v>2143</v>
      </c>
      <c r="G333" s="189" t="s">
        <v>2144</v>
      </c>
      <c r="H333" s="191" t="n">
        <v>46187</v>
      </c>
      <c r="I333" s="189" t="s">
        <v>113</v>
      </c>
      <c r="J333" s="189" t="s">
        <v>108</v>
      </c>
      <c r="K333" s="189" t="s">
        <v>2145</v>
      </c>
      <c r="L333" s="189" t="s">
        <v>491</v>
      </c>
      <c r="M333" s="189" t="s">
        <v>797</v>
      </c>
      <c r="N333" s="189" t="s">
        <v>1050</v>
      </c>
      <c r="O333" s="189" t="s">
        <v>157</v>
      </c>
      <c r="P333" s="189" t="s">
        <v>111</v>
      </c>
      <c r="Q333" s="189" t="s">
        <v>112</v>
      </c>
      <c r="R333" s="189" t="s">
        <v>22</v>
      </c>
      <c r="S333" s="189" t="s">
        <v>120</v>
      </c>
      <c r="T333" s="189" t="s">
        <v>352</v>
      </c>
      <c r="U333" s="189" t="s">
        <v>122</v>
      </c>
      <c r="V333" s="189" t="s">
        <v>123</v>
      </c>
      <c r="W333" s="189" t="s">
        <v>124</v>
      </c>
      <c r="X333" s="189" t="s">
        <v>148</v>
      </c>
      <c r="Y333" s="189" t="s">
        <v>148</v>
      </c>
      <c r="Z333" s="189" t="s">
        <v>3122</v>
      </c>
      <c r="AA333" s="189" t="s">
        <v>3092</v>
      </c>
      <c r="AG333" s="189" t="s">
        <v>3080</v>
      </c>
    </row>
    <row r="334" customFormat="false" ht="15" hidden="false" customHeight="true" outlineLevel="0" collapsed="false">
      <c r="A334" s="0" t="n">
        <v>333</v>
      </c>
      <c r="B334" s="191" t="n">
        <v>46127.8030629616</v>
      </c>
      <c r="C334" s="191" t="n">
        <v>46127.8174958319</v>
      </c>
      <c r="D334" s="189" t="s">
        <v>2146</v>
      </c>
      <c r="E334" s="189" t="s">
        <v>2147</v>
      </c>
      <c r="F334" s="189" t="s">
        <v>2147</v>
      </c>
      <c r="G334" s="189" t="s">
        <v>2148</v>
      </c>
      <c r="H334" s="191" t="n">
        <v>46121</v>
      </c>
      <c r="I334" s="189" t="s">
        <v>113</v>
      </c>
      <c r="J334" s="189" t="s">
        <v>108</v>
      </c>
      <c r="K334" s="189" t="s">
        <v>173</v>
      </c>
      <c r="L334" s="189" t="s">
        <v>296</v>
      </c>
      <c r="M334" s="189" t="s">
        <v>885</v>
      </c>
      <c r="N334" s="189" t="s">
        <v>841</v>
      </c>
      <c r="O334" s="189" t="s">
        <v>107</v>
      </c>
      <c r="P334" s="189" t="s">
        <v>111</v>
      </c>
      <c r="Q334" s="189" t="s">
        <v>112</v>
      </c>
      <c r="R334" s="189" t="s">
        <v>22</v>
      </c>
      <c r="S334" s="189" t="s">
        <v>152</v>
      </c>
      <c r="T334" s="189" t="s">
        <v>121</v>
      </c>
      <c r="V334" s="189" t="s">
        <v>167</v>
      </c>
      <c r="W334" s="189" t="s">
        <v>124</v>
      </c>
      <c r="X334" s="189" t="s">
        <v>176</v>
      </c>
      <c r="Y334" s="189" t="s">
        <v>176</v>
      </c>
      <c r="Z334" s="189" t="s">
        <v>3300</v>
      </c>
      <c r="AA334" s="189" t="s">
        <v>3264</v>
      </c>
      <c r="AG334" s="189" t="s">
        <v>3206</v>
      </c>
      <c r="AH334" s="189" t="s">
        <v>3088</v>
      </c>
    </row>
    <row r="335" customFormat="false" ht="15" hidden="false" customHeight="true" outlineLevel="0" collapsed="false">
      <c r="A335" s="0" t="n">
        <v>334</v>
      </c>
      <c r="B335" s="191" t="n">
        <v>46118.9494618252</v>
      </c>
      <c r="C335" s="191" t="n">
        <v>46118.9655497881</v>
      </c>
      <c r="D335" s="189" t="s">
        <v>2152</v>
      </c>
      <c r="E335" s="189" t="s">
        <v>2153</v>
      </c>
      <c r="F335" s="189" t="s">
        <v>2153</v>
      </c>
      <c r="G335" s="189" t="s">
        <v>2154</v>
      </c>
      <c r="H335" s="191" t="n">
        <v>46106</v>
      </c>
      <c r="I335" s="189" t="s">
        <v>113</v>
      </c>
      <c r="J335" s="189" t="s">
        <v>108</v>
      </c>
      <c r="K335" s="189" t="s">
        <v>232</v>
      </c>
      <c r="L335" s="189" t="s">
        <v>389</v>
      </c>
      <c r="M335" s="189" t="s">
        <v>652</v>
      </c>
      <c r="N335" s="189" t="s">
        <v>1553</v>
      </c>
      <c r="O335" s="189" t="s">
        <v>172</v>
      </c>
      <c r="P335" s="189" t="s">
        <v>111</v>
      </c>
      <c r="Q335" s="189" t="s">
        <v>145</v>
      </c>
      <c r="R335" s="189" t="s">
        <v>22</v>
      </c>
      <c r="S335" s="189" t="s">
        <v>152</v>
      </c>
      <c r="T335" s="189" t="s">
        <v>121</v>
      </c>
      <c r="U335" s="189" t="s">
        <v>122</v>
      </c>
      <c r="V335" s="189" t="s">
        <v>123</v>
      </c>
      <c r="W335" s="189" t="s">
        <v>124</v>
      </c>
      <c r="X335" s="189" t="s">
        <v>135</v>
      </c>
      <c r="Y335" s="189" t="s">
        <v>135</v>
      </c>
      <c r="Z335" s="189" t="s">
        <v>3071</v>
      </c>
      <c r="AG335" s="189" t="s">
        <v>3193</v>
      </c>
    </row>
    <row r="336" customFormat="false" ht="15" hidden="false" customHeight="true" outlineLevel="0" collapsed="false">
      <c r="A336" s="0" t="n">
        <v>335</v>
      </c>
      <c r="B336" s="191" t="n">
        <v>46059.5218748306</v>
      </c>
      <c r="C336" s="191" t="n">
        <v>46059.5295137195</v>
      </c>
      <c r="D336" s="189" t="s">
        <v>2156</v>
      </c>
      <c r="E336" s="189" t="s">
        <v>2157</v>
      </c>
      <c r="F336" s="189" t="s">
        <v>2157</v>
      </c>
      <c r="G336" s="189" t="s">
        <v>2158</v>
      </c>
      <c r="H336" s="191" t="n">
        <v>46059</v>
      </c>
      <c r="I336" s="189" t="s">
        <v>113</v>
      </c>
      <c r="J336" s="189" t="s">
        <v>128</v>
      </c>
      <c r="K336" s="189" t="s">
        <v>196</v>
      </c>
      <c r="L336" s="189" t="s">
        <v>184</v>
      </c>
      <c r="M336" s="189" t="s">
        <v>594</v>
      </c>
      <c r="N336" s="189" t="s">
        <v>1067</v>
      </c>
      <c r="O336" s="189" t="s">
        <v>244</v>
      </c>
      <c r="P336" s="189" t="s">
        <v>111</v>
      </c>
      <c r="Q336" s="189" t="s">
        <v>112</v>
      </c>
      <c r="R336" s="189" t="s">
        <v>24</v>
      </c>
      <c r="S336" s="189" t="s">
        <v>120</v>
      </c>
      <c r="T336" s="189" t="s">
        <v>352</v>
      </c>
      <c r="U336" s="189" t="s">
        <v>122</v>
      </c>
      <c r="V336" s="189" t="s">
        <v>123</v>
      </c>
      <c r="W336" s="189" t="s">
        <v>124</v>
      </c>
      <c r="X336" s="189" t="s">
        <v>19</v>
      </c>
      <c r="Y336" s="189" t="s">
        <v>19</v>
      </c>
      <c r="AK336" s="189" t="s">
        <v>880</v>
      </c>
    </row>
    <row r="337" customFormat="false" ht="15" hidden="false" customHeight="true" outlineLevel="0" collapsed="false">
      <c r="A337" s="0" t="n">
        <v>336</v>
      </c>
      <c r="B337" s="191" t="n">
        <v>46191.536074857</v>
      </c>
      <c r="C337" s="191" t="n">
        <v>46191.5434706904</v>
      </c>
      <c r="D337" s="189" t="s">
        <v>2159</v>
      </c>
      <c r="E337" s="189" t="s">
        <v>2160</v>
      </c>
      <c r="F337" s="189" t="s">
        <v>2160</v>
      </c>
      <c r="G337" s="189" t="s">
        <v>2161</v>
      </c>
      <c r="H337" s="191" t="n">
        <v>46180</v>
      </c>
      <c r="I337" s="189" t="s">
        <v>113</v>
      </c>
      <c r="J337" s="189" t="s">
        <v>108</v>
      </c>
      <c r="K337" s="189" t="s">
        <v>196</v>
      </c>
      <c r="L337" s="189" t="s">
        <v>114</v>
      </c>
      <c r="M337" s="189" t="s">
        <v>248</v>
      </c>
      <c r="N337" s="189" t="s">
        <v>701</v>
      </c>
      <c r="O337" s="189" t="s">
        <v>172</v>
      </c>
      <c r="P337" s="189" t="s">
        <v>111</v>
      </c>
      <c r="Q337" s="189" t="s">
        <v>112</v>
      </c>
      <c r="R337" s="189" t="s">
        <v>24</v>
      </c>
      <c r="S337" s="189" t="s">
        <v>120</v>
      </c>
      <c r="T337" s="189" t="s">
        <v>121</v>
      </c>
      <c r="U337" s="189" t="s">
        <v>2164</v>
      </c>
      <c r="V337" s="189" t="s">
        <v>123</v>
      </c>
      <c r="W337" s="189" t="s">
        <v>124</v>
      </c>
      <c r="X337" s="189" t="s">
        <v>223</v>
      </c>
      <c r="Y337" s="189" t="s">
        <v>223</v>
      </c>
      <c r="Z337" s="189" t="s">
        <v>3121</v>
      </c>
      <c r="AA337" s="189" t="s">
        <v>3103</v>
      </c>
      <c r="AG337" s="189" t="s">
        <v>3106</v>
      </c>
      <c r="AH337" s="189" t="s">
        <v>3150</v>
      </c>
    </row>
    <row r="338" customFormat="false" ht="15" hidden="false" customHeight="true" outlineLevel="0" collapsed="false">
      <c r="A338" s="0" t="n">
        <v>337</v>
      </c>
      <c r="B338" s="191" t="n">
        <v>46182.284865421</v>
      </c>
      <c r="C338" s="191" t="n">
        <v>46182.2987427358</v>
      </c>
      <c r="D338" s="189" t="s">
        <v>2165</v>
      </c>
      <c r="E338" s="189" t="s">
        <v>2166</v>
      </c>
      <c r="F338" s="189" t="s">
        <v>2166</v>
      </c>
      <c r="G338" s="189" t="s">
        <v>2167</v>
      </c>
      <c r="H338" s="191" t="n">
        <v>46171</v>
      </c>
      <c r="I338" s="189" t="s">
        <v>325</v>
      </c>
      <c r="J338" s="189" t="s">
        <v>108</v>
      </c>
      <c r="K338" s="189" t="s">
        <v>232</v>
      </c>
      <c r="L338" s="189" t="s">
        <v>130</v>
      </c>
      <c r="M338" s="189" t="s">
        <v>174</v>
      </c>
      <c r="N338" s="189" t="s">
        <v>1094</v>
      </c>
      <c r="O338" s="189" t="s">
        <v>157</v>
      </c>
      <c r="P338" s="189" t="s">
        <v>111</v>
      </c>
      <c r="Q338" s="189" t="s">
        <v>112</v>
      </c>
      <c r="R338" s="189" t="s">
        <v>21</v>
      </c>
      <c r="S338" s="189" t="s">
        <v>120</v>
      </c>
      <c r="T338" s="189" t="s">
        <v>121</v>
      </c>
      <c r="U338" s="189" t="s">
        <v>122</v>
      </c>
      <c r="V338" s="189" t="s">
        <v>123</v>
      </c>
      <c r="W338" s="189" t="s">
        <v>124</v>
      </c>
      <c r="X338" s="189" t="s">
        <v>307</v>
      </c>
      <c r="Y338" s="189" t="s">
        <v>307</v>
      </c>
      <c r="Z338" s="189" t="s">
        <v>3130</v>
      </c>
      <c r="AA338" s="189" t="s">
        <v>3129</v>
      </c>
      <c r="AG338" s="189" t="s">
        <v>3133</v>
      </c>
      <c r="AH338" s="189" t="s">
        <v>3134</v>
      </c>
    </row>
    <row r="339" customFormat="false" ht="15" hidden="false" customHeight="true" outlineLevel="0" collapsed="false">
      <c r="A339" s="0" t="n">
        <v>338</v>
      </c>
      <c r="B339" s="191" t="n">
        <v>46124.7523156257</v>
      </c>
      <c r="C339" s="191" t="n">
        <v>46124.7588549775</v>
      </c>
      <c r="D339" s="189" t="s">
        <v>2169</v>
      </c>
      <c r="E339" s="189" t="s">
        <v>2170</v>
      </c>
      <c r="F339" s="189" t="s">
        <v>2170</v>
      </c>
      <c r="G339" s="189" t="s">
        <v>2171</v>
      </c>
      <c r="H339" s="191" t="n">
        <v>46121</v>
      </c>
      <c r="I339" s="189" t="s">
        <v>113</v>
      </c>
      <c r="J339" s="189" t="s">
        <v>108</v>
      </c>
      <c r="K339" s="189" t="s">
        <v>173</v>
      </c>
      <c r="L339" s="189" t="s">
        <v>197</v>
      </c>
      <c r="M339" s="189" t="s">
        <v>543</v>
      </c>
      <c r="N339" s="189" t="s">
        <v>115</v>
      </c>
      <c r="O339" s="189" t="s">
        <v>107</v>
      </c>
      <c r="P339" s="189" t="s">
        <v>111</v>
      </c>
      <c r="Q339" s="189" t="s">
        <v>112</v>
      </c>
      <c r="R339" s="189" t="s">
        <v>22</v>
      </c>
      <c r="S339" s="189" t="s">
        <v>152</v>
      </c>
      <c r="T339" s="189" t="s">
        <v>121</v>
      </c>
      <c r="U339" s="189" t="s">
        <v>2172</v>
      </c>
      <c r="V339" s="189" t="s">
        <v>167</v>
      </c>
      <c r="W339" s="189" t="s">
        <v>124</v>
      </c>
      <c r="X339" s="189" t="s">
        <v>116</v>
      </c>
      <c r="Y339" s="189" t="s">
        <v>116</v>
      </c>
      <c r="Z339" s="189" t="s">
        <v>3081</v>
      </c>
      <c r="AG339" s="189" t="s">
        <v>3140</v>
      </c>
      <c r="AH339" s="189" t="s">
        <v>122</v>
      </c>
    </row>
    <row r="340" customFormat="false" ht="15" hidden="false" customHeight="true" outlineLevel="0" collapsed="false">
      <c r="A340" s="0" t="n">
        <v>339</v>
      </c>
      <c r="B340" s="191" t="n">
        <v>46124.5889111255</v>
      </c>
      <c r="C340" s="191" t="n">
        <v>46124.596492144</v>
      </c>
      <c r="D340" s="189" t="s">
        <v>2173</v>
      </c>
      <c r="E340" s="189" t="s">
        <v>2174</v>
      </c>
      <c r="F340" s="189" t="s">
        <v>2174</v>
      </c>
      <c r="G340" s="189" t="s">
        <v>2175</v>
      </c>
      <c r="H340" s="191" t="n">
        <v>46119</v>
      </c>
      <c r="I340" s="189" t="s">
        <v>113</v>
      </c>
      <c r="J340" s="189" t="s">
        <v>295</v>
      </c>
      <c r="K340" s="189" t="s">
        <v>364</v>
      </c>
      <c r="L340" s="189" t="s">
        <v>286</v>
      </c>
      <c r="M340" s="189" t="s">
        <v>477</v>
      </c>
      <c r="N340" s="189" t="s">
        <v>560</v>
      </c>
      <c r="O340" s="189" t="s">
        <v>244</v>
      </c>
      <c r="P340" s="189" t="s">
        <v>111</v>
      </c>
      <c r="Q340" s="189" t="s">
        <v>112</v>
      </c>
      <c r="R340" s="189" t="s">
        <v>22</v>
      </c>
      <c r="S340" s="189" t="s">
        <v>227</v>
      </c>
      <c r="T340" s="189" t="s">
        <v>352</v>
      </c>
      <c r="V340" s="189" t="s">
        <v>123</v>
      </c>
      <c r="W340" s="189" t="s">
        <v>124</v>
      </c>
      <c r="X340" s="189" t="s">
        <v>381</v>
      </c>
      <c r="Y340" s="189" t="s">
        <v>381</v>
      </c>
      <c r="Z340" s="189" t="s">
        <v>3249</v>
      </c>
      <c r="AA340" s="189" t="s">
        <v>3233</v>
      </c>
      <c r="AB340" s="189" t="s">
        <v>3180</v>
      </c>
      <c r="AG340" s="189" t="s">
        <v>3181</v>
      </c>
      <c r="AH340" s="189" t="s">
        <v>3163</v>
      </c>
    </row>
    <row r="341" customFormat="false" ht="15" hidden="false" customHeight="true" outlineLevel="0" collapsed="false">
      <c r="A341" s="0" t="n">
        <v>340</v>
      </c>
      <c r="B341" s="191" t="n">
        <v>46117.2626257014</v>
      </c>
      <c r="C341" s="191" t="n">
        <v>46117.2739914421</v>
      </c>
      <c r="D341" s="189" t="s">
        <v>2178</v>
      </c>
      <c r="E341" s="189" t="s">
        <v>2179</v>
      </c>
      <c r="F341" s="189" t="s">
        <v>2179</v>
      </c>
      <c r="G341" s="189" t="s">
        <v>2180</v>
      </c>
      <c r="H341" s="191" t="n">
        <v>46098</v>
      </c>
      <c r="I341" s="189" t="s">
        <v>305</v>
      </c>
      <c r="J341" s="189" t="s">
        <v>295</v>
      </c>
      <c r="K341" s="189" t="s">
        <v>257</v>
      </c>
      <c r="L341" s="189" t="s">
        <v>431</v>
      </c>
      <c r="M341" s="189" t="s">
        <v>686</v>
      </c>
      <c r="N341" s="189" t="s">
        <v>1140</v>
      </c>
      <c r="O341" s="189" t="s">
        <v>713</v>
      </c>
      <c r="P341" s="189" t="s">
        <v>111</v>
      </c>
      <c r="Q341" s="189" t="s">
        <v>145</v>
      </c>
      <c r="R341" s="189" t="s">
        <v>24</v>
      </c>
      <c r="S341" s="189" t="s">
        <v>152</v>
      </c>
      <c r="T341" s="189" t="s">
        <v>496</v>
      </c>
      <c r="U341" s="189" t="s">
        <v>1605</v>
      </c>
      <c r="V341" s="189" t="s">
        <v>192</v>
      </c>
      <c r="W341" s="189" t="s">
        <v>168</v>
      </c>
      <c r="X341" s="189" t="s">
        <v>223</v>
      </c>
      <c r="Y341" s="189" t="s">
        <v>223</v>
      </c>
      <c r="Z341" s="189" t="s">
        <v>3096</v>
      </c>
      <c r="AA341" s="189" t="s">
        <v>3103</v>
      </c>
      <c r="AG341" s="189" t="s">
        <v>3150</v>
      </c>
      <c r="AH341" s="189" t="s">
        <v>3101</v>
      </c>
    </row>
    <row r="342" customFormat="false" ht="15" hidden="false" customHeight="true" outlineLevel="0" collapsed="false">
      <c r="A342" s="0" t="n">
        <v>341</v>
      </c>
      <c r="B342" s="191" t="n">
        <v>46042.6899713112</v>
      </c>
      <c r="C342" s="191" t="n">
        <v>46042.6942305705</v>
      </c>
      <c r="D342" s="189" t="s">
        <v>2182</v>
      </c>
      <c r="E342" s="189" t="s">
        <v>2183</v>
      </c>
      <c r="F342" s="189" t="s">
        <v>2183</v>
      </c>
      <c r="G342" s="189" t="s">
        <v>2184</v>
      </c>
      <c r="H342" s="191" t="n">
        <v>46026</v>
      </c>
      <c r="I342" s="189" t="s">
        <v>113</v>
      </c>
      <c r="J342" s="189" t="s">
        <v>108</v>
      </c>
      <c r="K342" s="189" t="s">
        <v>742</v>
      </c>
      <c r="L342" s="189" t="s">
        <v>431</v>
      </c>
      <c r="M342" s="189" t="s">
        <v>439</v>
      </c>
      <c r="N342" s="189" t="s">
        <v>2076</v>
      </c>
      <c r="O342" s="189" t="s">
        <v>278</v>
      </c>
      <c r="P342" s="189" t="s">
        <v>111</v>
      </c>
      <c r="Q342" s="189" t="s">
        <v>247</v>
      </c>
      <c r="R342" s="189" t="s">
        <v>22</v>
      </c>
      <c r="S342" s="189" t="s">
        <v>152</v>
      </c>
      <c r="T342" s="189" t="s">
        <v>180</v>
      </c>
      <c r="V342" s="189" t="s">
        <v>123</v>
      </c>
      <c r="W342" s="189" t="s">
        <v>124</v>
      </c>
      <c r="X342" s="189" t="s">
        <v>298</v>
      </c>
      <c r="Y342" s="189" t="s">
        <v>298</v>
      </c>
      <c r="Z342" s="189" t="s">
        <v>3194</v>
      </c>
      <c r="AA342" s="189" t="s">
        <v>3273</v>
      </c>
      <c r="AG342" s="189" t="s">
        <v>3238</v>
      </c>
    </row>
    <row r="343" customFormat="false" ht="15" hidden="false" customHeight="true" outlineLevel="0" collapsed="false">
      <c r="A343" s="0" t="n">
        <v>342</v>
      </c>
      <c r="B343" s="191" t="n">
        <v>46035.3014290224</v>
      </c>
      <c r="C343" s="191" t="n">
        <v>46035.3056998557</v>
      </c>
      <c r="D343" s="189" t="s">
        <v>2188</v>
      </c>
      <c r="E343" s="189" t="s">
        <v>2189</v>
      </c>
      <c r="F343" s="189" t="s">
        <v>2189</v>
      </c>
      <c r="G343" s="189" t="s">
        <v>2190</v>
      </c>
      <c r="H343" s="191" t="n">
        <v>46030</v>
      </c>
      <c r="I343" s="189" t="s">
        <v>113</v>
      </c>
      <c r="J343" s="189" t="s">
        <v>295</v>
      </c>
      <c r="K343" s="189" t="s">
        <v>196</v>
      </c>
      <c r="L343" s="189" t="s">
        <v>114</v>
      </c>
      <c r="M343" s="189" t="s">
        <v>484</v>
      </c>
      <c r="N343" s="189" t="s">
        <v>1539</v>
      </c>
      <c r="O343" s="189" t="s">
        <v>278</v>
      </c>
      <c r="P343" s="189" t="s">
        <v>111</v>
      </c>
      <c r="Q343" s="189" t="s">
        <v>112</v>
      </c>
      <c r="R343" s="189" t="s">
        <v>22</v>
      </c>
      <c r="S343" s="189" t="s">
        <v>152</v>
      </c>
      <c r="T343" s="189" t="s">
        <v>180</v>
      </c>
      <c r="U343" s="189" t="s">
        <v>122</v>
      </c>
      <c r="V343" s="189" t="s">
        <v>123</v>
      </c>
      <c r="W343" s="189" t="s">
        <v>124</v>
      </c>
      <c r="X343" s="189" t="s">
        <v>298</v>
      </c>
      <c r="Y343" s="189" t="s">
        <v>298</v>
      </c>
      <c r="Z343" s="189" t="s">
        <v>3124</v>
      </c>
      <c r="AA343" s="189" t="s">
        <v>3208</v>
      </c>
      <c r="AB343" s="189" t="s">
        <v>3123</v>
      </c>
      <c r="AG343" s="189" t="s">
        <v>122</v>
      </c>
    </row>
    <row r="344" customFormat="false" ht="15" hidden="false" customHeight="true" outlineLevel="0" collapsed="false">
      <c r="A344" s="0" t="n">
        <v>343</v>
      </c>
      <c r="B344" s="191" t="n">
        <v>46194.8747088962</v>
      </c>
      <c r="C344" s="191" t="n">
        <v>46194.8894658406</v>
      </c>
      <c r="D344" s="189" t="s">
        <v>2192</v>
      </c>
      <c r="E344" s="189" t="s">
        <v>2193</v>
      </c>
      <c r="F344" s="189" t="s">
        <v>2194</v>
      </c>
      <c r="G344" s="189" t="s">
        <v>2195</v>
      </c>
      <c r="H344" s="191" t="n">
        <v>46185</v>
      </c>
      <c r="I344" s="189" t="s">
        <v>113</v>
      </c>
      <c r="J344" s="189" t="s">
        <v>295</v>
      </c>
      <c r="K344" s="189" t="s">
        <v>196</v>
      </c>
      <c r="L344" s="189" t="s">
        <v>197</v>
      </c>
      <c r="M344" s="189" t="s">
        <v>870</v>
      </c>
      <c r="N344" s="189" t="s">
        <v>389</v>
      </c>
      <c r="O344" s="189" t="s">
        <v>107</v>
      </c>
      <c r="P344" s="189" t="s">
        <v>211</v>
      </c>
      <c r="Q344" s="189" t="s">
        <v>112</v>
      </c>
      <c r="R344" s="189" t="s">
        <v>22</v>
      </c>
      <c r="S344" s="189" t="s">
        <v>152</v>
      </c>
      <c r="T344" s="189" t="s">
        <v>121</v>
      </c>
      <c r="U344" s="189" t="s">
        <v>956</v>
      </c>
      <c r="V344" s="189" t="s">
        <v>123</v>
      </c>
      <c r="W344" s="189" t="s">
        <v>124</v>
      </c>
      <c r="X344" s="189" t="s">
        <v>135</v>
      </c>
      <c r="Y344" s="189" t="s">
        <v>135</v>
      </c>
      <c r="Z344" s="189" t="s">
        <v>3072</v>
      </c>
      <c r="AG344" s="189" t="s">
        <v>3152</v>
      </c>
      <c r="AH344" s="189" t="s">
        <v>3203</v>
      </c>
    </row>
    <row r="345" customFormat="false" ht="15" hidden="false" customHeight="true" outlineLevel="0" collapsed="false">
      <c r="A345" s="0" t="n">
        <v>344</v>
      </c>
      <c r="B345" s="191" t="n">
        <v>46137.8966945301</v>
      </c>
      <c r="C345" s="191" t="n">
        <v>46137.9052593449</v>
      </c>
      <c r="D345" s="189" t="s">
        <v>2197</v>
      </c>
      <c r="E345" s="189" t="s">
        <v>2198</v>
      </c>
      <c r="F345" s="189" t="s">
        <v>2199</v>
      </c>
      <c r="G345" s="189" t="s">
        <v>2200</v>
      </c>
      <c r="H345" s="191" t="n">
        <v>46117</v>
      </c>
      <c r="I345" s="189" t="s">
        <v>113</v>
      </c>
      <c r="J345" s="189" t="s">
        <v>128</v>
      </c>
      <c r="K345" s="189" t="s">
        <v>364</v>
      </c>
      <c r="L345" s="189" t="s">
        <v>233</v>
      </c>
      <c r="M345" s="189" t="s">
        <v>391</v>
      </c>
      <c r="N345" s="189" t="s">
        <v>2201</v>
      </c>
      <c r="O345" s="189" t="s">
        <v>172</v>
      </c>
      <c r="P345" s="189" t="s">
        <v>111</v>
      </c>
      <c r="Q345" s="189" t="s">
        <v>112</v>
      </c>
      <c r="R345" s="189" t="s">
        <v>24</v>
      </c>
      <c r="S345" s="189" t="s">
        <v>152</v>
      </c>
      <c r="T345" s="189" t="s">
        <v>121</v>
      </c>
      <c r="U345" s="189" t="s">
        <v>562</v>
      </c>
      <c r="V345" s="189" t="s">
        <v>123</v>
      </c>
      <c r="W345" s="189" t="s">
        <v>124</v>
      </c>
      <c r="X345" s="189" t="s">
        <v>448</v>
      </c>
      <c r="Y345" s="189" t="s">
        <v>448</v>
      </c>
      <c r="Z345" s="189" t="s">
        <v>3173</v>
      </c>
      <c r="AA345" s="189" t="s">
        <v>3191</v>
      </c>
      <c r="AB345" s="189" t="s">
        <v>3175</v>
      </c>
      <c r="AG345" s="189" t="s">
        <v>3178</v>
      </c>
    </row>
    <row r="346" customFormat="false" ht="15" hidden="false" customHeight="true" outlineLevel="0" collapsed="false">
      <c r="A346" s="0" t="n">
        <v>345</v>
      </c>
      <c r="B346" s="191" t="n">
        <v>46116.0075704434</v>
      </c>
      <c r="C346" s="191" t="n">
        <v>46116.0114477582</v>
      </c>
      <c r="D346" s="189" t="s">
        <v>2203</v>
      </c>
      <c r="E346" s="189" t="s">
        <v>2204</v>
      </c>
      <c r="F346" s="189" t="s">
        <v>2204</v>
      </c>
      <c r="G346" s="189" t="s">
        <v>2205</v>
      </c>
      <c r="H346" s="191" t="n">
        <v>46104</v>
      </c>
      <c r="I346" s="189" t="s">
        <v>113</v>
      </c>
      <c r="J346" s="189" t="s">
        <v>108</v>
      </c>
      <c r="K346" s="189" t="s">
        <v>2206</v>
      </c>
      <c r="L346" s="189" t="s">
        <v>346</v>
      </c>
      <c r="M346" s="189" t="s">
        <v>905</v>
      </c>
      <c r="N346" s="189" t="s">
        <v>227</v>
      </c>
      <c r="O346" s="189" t="s">
        <v>278</v>
      </c>
      <c r="P346" s="189" t="s">
        <v>111</v>
      </c>
      <c r="Q346" s="189" t="s">
        <v>145</v>
      </c>
      <c r="R346" s="189" t="s">
        <v>22</v>
      </c>
      <c r="S346" s="189" t="s">
        <v>152</v>
      </c>
      <c r="T346" s="189" t="s">
        <v>121</v>
      </c>
      <c r="V346" s="189" t="s">
        <v>123</v>
      </c>
      <c r="W346" s="189" t="s">
        <v>124</v>
      </c>
      <c r="X346" s="189" t="s">
        <v>135</v>
      </c>
      <c r="Y346" s="189" t="s">
        <v>135</v>
      </c>
      <c r="Z346" s="189" t="s">
        <v>3072</v>
      </c>
      <c r="AG346" s="189" t="s">
        <v>3193</v>
      </c>
      <c r="AH346" s="189" t="s">
        <v>3257</v>
      </c>
    </row>
    <row r="347" customFormat="false" ht="15" hidden="false" customHeight="true" outlineLevel="0" collapsed="false">
      <c r="A347" s="0" t="n">
        <v>346</v>
      </c>
      <c r="B347" s="191" t="n">
        <v>46101.9250492349</v>
      </c>
      <c r="C347" s="191" t="n">
        <v>46101.9309867349</v>
      </c>
      <c r="D347" s="189" t="s">
        <v>2208</v>
      </c>
      <c r="E347" s="189" t="s">
        <v>2209</v>
      </c>
      <c r="F347" s="189" t="s">
        <v>2209</v>
      </c>
      <c r="G347" s="189" t="s">
        <v>2210</v>
      </c>
      <c r="H347" s="191" t="n">
        <v>46081</v>
      </c>
      <c r="I347" s="189" t="s">
        <v>113</v>
      </c>
      <c r="J347" s="189" t="s">
        <v>108</v>
      </c>
      <c r="K347" s="189" t="s">
        <v>2012</v>
      </c>
      <c r="L347" s="189" t="s">
        <v>431</v>
      </c>
      <c r="M347" s="189" t="s">
        <v>578</v>
      </c>
      <c r="N347" s="189" t="s">
        <v>1006</v>
      </c>
      <c r="O347" s="189" t="s">
        <v>260</v>
      </c>
      <c r="P347" s="189" t="s">
        <v>131</v>
      </c>
      <c r="Q347" s="189" t="s">
        <v>112</v>
      </c>
      <c r="R347" s="189" t="s">
        <v>22</v>
      </c>
      <c r="S347" s="189" t="s">
        <v>120</v>
      </c>
      <c r="T347" s="189" t="s">
        <v>121</v>
      </c>
      <c r="U347" s="189" t="s">
        <v>204</v>
      </c>
      <c r="V347" s="189" t="s">
        <v>192</v>
      </c>
      <c r="W347" s="189" t="s">
        <v>124</v>
      </c>
      <c r="X347" s="189" t="s">
        <v>116</v>
      </c>
      <c r="Y347" s="189" t="s">
        <v>116</v>
      </c>
      <c r="Z347" s="189" t="s">
        <v>3107</v>
      </c>
      <c r="AA347" s="189" t="s">
        <v>3065</v>
      </c>
      <c r="AG347" s="189" t="s">
        <v>3140</v>
      </c>
      <c r="AH347" s="189" t="s">
        <v>3070</v>
      </c>
    </row>
    <row r="348" customFormat="false" ht="15" hidden="false" customHeight="true" outlineLevel="0" collapsed="false">
      <c r="A348" s="0" t="n">
        <v>347</v>
      </c>
      <c r="B348" s="191" t="n">
        <v>46126.7339305503</v>
      </c>
      <c r="C348" s="191" t="n">
        <v>46126.736534717</v>
      </c>
      <c r="D348" s="189" t="s">
        <v>2212</v>
      </c>
      <c r="E348" s="189" t="s">
        <v>2213</v>
      </c>
      <c r="F348" s="189" t="s">
        <v>2213</v>
      </c>
      <c r="G348" s="189" t="s">
        <v>2214</v>
      </c>
      <c r="H348" s="191" t="n">
        <v>46126</v>
      </c>
      <c r="I348" s="189" t="s">
        <v>305</v>
      </c>
      <c r="J348" s="189" t="s">
        <v>128</v>
      </c>
      <c r="K348" s="189" t="s">
        <v>232</v>
      </c>
      <c r="L348" s="189" t="s">
        <v>210</v>
      </c>
      <c r="M348" s="189" t="s">
        <v>652</v>
      </c>
      <c r="N348" s="189" t="s">
        <v>1006</v>
      </c>
      <c r="O348" s="189" t="s">
        <v>107</v>
      </c>
      <c r="P348" s="189" t="s">
        <v>111</v>
      </c>
      <c r="Q348" s="189" t="s">
        <v>112</v>
      </c>
      <c r="R348" s="189" t="s">
        <v>22</v>
      </c>
      <c r="S348" s="189" t="s">
        <v>152</v>
      </c>
      <c r="T348" s="189" t="s">
        <v>121</v>
      </c>
      <c r="V348" s="189" t="s">
        <v>192</v>
      </c>
      <c r="W348" s="189" t="s">
        <v>124</v>
      </c>
      <c r="X348" s="189" t="s">
        <v>176</v>
      </c>
      <c r="Y348" s="189" t="s">
        <v>176</v>
      </c>
      <c r="Z348" s="189" t="s">
        <v>3264</v>
      </c>
      <c r="AA348" s="189" t="s">
        <v>3244</v>
      </c>
      <c r="AB348" s="189" t="s">
        <v>3321</v>
      </c>
      <c r="AG348" s="189" t="s">
        <v>3294</v>
      </c>
      <c r="AH348" s="189" t="s">
        <v>3088</v>
      </c>
    </row>
    <row r="349" customFormat="false" ht="15" hidden="false" customHeight="true" outlineLevel="0" collapsed="false">
      <c r="A349" s="0" t="n">
        <v>348</v>
      </c>
      <c r="B349" s="191" t="n">
        <v>46058.8207677924</v>
      </c>
      <c r="C349" s="191" t="n">
        <v>46058.8378742739</v>
      </c>
      <c r="D349" s="189" t="s">
        <v>2218</v>
      </c>
      <c r="E349" s="189" t="s">
        <v>2219</v>
      </c>
      <c r="F349" s="189" t="s">
        <v>2219</v>
      </c>
      <c r="G349" s="189" t="s">
        <v>2220</v>
      </c>
      <c r="H349" s="191" t="n">
        <v>46056</v>
      </c>
      <c r="I349" s="189" t="s">
        <v>113</v>
      </c>
      <c r="J349" s="189" t="s">
        <v>108</v>
      </c>
      <c r="K349" s="189" t="s">
        <v>173</v>
      </c>
      <c r="L349" s="189" t="s">
        <v>491</v>
      </c>
      <c r="M349" s="189" t="s">
        <v>515</v>
      </c>
      <c r="N349" s="189" t="s">
        <v>560</v>
      </c>
      <c r="O349" s="189" t="s">
        <v>278</v>
      </c>
      <c r="P349" s="189" t="s">
        <v>390</v>
      </c>
      <c r="Q349" s="189" t="s">
        <v>247</v>
      </c>
      <c r="R349" s="189" t="s">
        <v>24</v>
      </c>
      <c r="S349" s="189" t="s">
        <v>152</v>
      </c>
      <c r="T349" s="189" t="s">
        <v>180</v>
      </c>
      <c r="V349" s="189" t="s">
        <v>167</v>
      </c>
      <c r="W349" s="189" t="s">
        <v>139</v>
      </c>
      <c r="X349" s="189" t="s">
        <v>214</v>
      </c>
      <c r="Y349" s="189" t="s">
        <v>214</v>
      </c>
      <c r="Z349" s="189" t="s">
        <v>3139</v>
      </c>
      <c r="AG349" s="189" t="s">
        <v>3083</v>
      </c>
    </row>
    <row r="350" customFormat="false" ht="15" hidden="false" customHeight="true" outlineLevel="0" collapsed="false">
      <c r="A350" s="0" t="n">
        <v>349</v>
      </c>
      <c r="B350" s="191" t="n">
        <v>46117.2184407292</v>
      </c>
      <c r="C350" s="191" t="n">
        <v>46117.2390541551</v>
      </c>
      <c r="D350" s="189" t="s">
        <v>2221</v>
      </c>
      <c r="E350" s="189" t="s">
        <v>2222</v>
      </c>
      <c r="F350" s="189" t="s">
        <v>2222</v>
      </c>
      <c r="G350" s="189" t="s">
        <v>2223</v>
      </c>
      <c r="H350" s="191" t="n">
        <v>46105</v>
      </c>
      <c r="I350" s="189" t="s">
        <v>113</v>
      </c>
      <c r="J350" s="189" t="s">
        <v>295</v>
      </c>
      <c r="K350" s="189" t="s">
        <v>173</v>
      </c>
      <c r="L350" s="189" t="s">
        <v>210</v>
      </c>
      <c r="M350" s="189" t="s">
        <v>1074</v>
      </c>
      <c r="N350" s="189" t="s">
        <v>297</v>
      </c>
      <c r="O350" s="189" t="s">
        <v>244</v>
      </c>
      <c r="P350" s="189" t="s">
        <v>111</v>
      </c>
      <c r="Q350" s="189" t="s">
        <v>145</v>
      </c>
      <c r="R350" s="189" t="s">
        <v>22</v>
      </c>
      <c r="S350" s="189" t="s">
        <v>152</v>
      </c>
      <c r="T350" s="189" t="s">
        <v>180</v>
      </c>
      <c r="U350" s="189" t="s">
        <v>122</v>
      </c>
      <c r="V350" s="189" t="s">
        <v>167</v>
      </c>
      <c r="W350" s="189" t="s">
        <v>168</v>
      </c>
      <c r="X350" s="189" t="s">
        <v>381</v>
      </c>
      <c r="Y350" s="189" t="s">
        <v>381</v>
      </c>
      <c r="Z350" s="189" t="s">
        <v>3180</v>
      </c>
      <c r="AG350" s="189" t="s">
        <v>3162</v>
      </c>
      <c r="AH350" s="189" t="s">
        <v>3163</v>
      </c>
    </row>
    <row r="351" customFormat="false" ht="15" hidden="false" customHeight="true" outlineLevel="0" collapsed="false">
      <c r="A351" s="0" t="n">
        <v>350</v>
      </c>
      <c r="B351" s="191" t="n">
        <v>46063.4687623024</v>
      </c>
      <c r="C351" s="191" t="n">
        <v>46063.4872113764</v>
      </c>
      <c r="D351" s="189" t="s">
        <v>2224</v>
      </c>
      <c r="E351" s="189" t="s">
        <v>2225</v>
      </c>
      <c r="F351" s="189" t="s">
        <v>2225</v>
      </c>
      <c r="G351" s="189" t="s">
        <v>2226</v>
      </c>
      <c r="H351" s="191" t="n">
        <v>46061</v>
      </c>
      <c r="I351" s="189" t="s">
        <v>113</v>
      </c>
      <c r="J351" s="189" t="s">
        <v>108</v>
      </c>
      <c r="K351" s="189" t="s">
        <v>2227</v>
      </c>
      <c r="L351" s="189" t="s">
        <v>144</v>
      </c>
      <c r="M351" s="189" t="s">
        <v>652</v>
      </c>
      <c r="N351" s="189" t="s">
        <v>2228</v>
      </c>
      <c r="O351" s="189" t="s">
        <v>107</v>
      </c>
      <c r="P351" s="189" t="s">
        <v>111</v>
      </c>
      <c r="Q351" s="189" t="s">
        <v>112</v>
      </c>
      <c r="R351" s="189" t="s">
        <v>22</v>
      </c>
      <c r="S351" s="189" t="s">
        <v>120</v>
      </c>
      <c r="T351" s="189" t="s">
        <v>496</v>
      </c>
      <c r="U351" s="189" t="s">
        <v>369</v>
      </c>
      <c r="V351" s="189" t="s">
        <v>123</v>
      </c>
      <c r="W351" s="189" t="s">
        <v>124</v>
      </c>
      <c r="X351" s="189" t="s">
        <v>381</v>
      </c>
      <c r="Y351" s="189" t="s">
        <v>381</v>
      </c>
      <c r="Z351" s="189" t="s">
        <v>3159</v>
      </c>
      <c r="AA351" s="189" t="s">
        <v>3180</v>
      </c>
      <c r="AB351" s="189" t="s">
        <v>3233</v>
      </c>
      <c r="AG351" s="189" t="s">
        <v>3163</v>
      </c>
    </row>
    <row r="352" customFormat="false" ht="15" hidden="false" customHeight="true" outlineLevel="0" collapsed="false">
      <c r="A352" s="0" t="n">
        <v>351</v>
      </c>
      <c r="B352" s="191" t="n">
        <v>46088.5266627648</v>
      </c>
      <c r="C352" s="191" t="n">
        <v>46088.5338386907</v>
      </c>
      <c r="D352" s="189" t="s">
        <v>2230</v>
      </c>
      <c r="E352" s="189" t="s">
        <v>2231</v>
      </c>
      <c r="F352" s="189" t="s">
        <v>2231</v>
      </c>
      <c r="G352" s="189" t="s">
        <v>2232</v>
      </c>
      <c r="H352" s="191" t="n">
        <v>46078</v>
      </c>
      <c r="I352" s="189" t="s">
        <v>113</v>
      </c>
      <c r="J352" s="189" t="s">
        <v>108</v>
      </c>
      <c r="K352" s="189" t="s">
        <v>2233</v>
      </c>
      <c r="L352" s="189" t="s">
        <v>159</v>
      </c>
      <c r="M352" s="189" t="s">
        <v>507</v>
      </c>
      <c r="N352" s="189" t="s">
        <v>766</v>
      </c>
      <c r="O352" s="189" t="s">
        <v>278</v>
      </c>
      <c r="P352" s="189" t="s">
        <v>111</v>
      </c>
      <c r="Q352" s="189" t="s">
        <v>112</v>
      </c>
      <c r="R352" s="189" t="s">
        <v>24</v>
      </c>
      <c r="S352" s="189" t="s">
        <v>152</v>
      </c>
      <c r="T352" s="189" t="s">
        <v>180</v>
      </c>
      <c r="U352" s="189" t="s">
        <v>122</v>
      </c>
      <c r="V352" s="189" t="s">
        <v>192</v>
      </c>
      <c r="W352" s="189" t="s">
        <v>124</v>
      </c>
      <c r="X352" s="189" t="s">
        <v>19</v>
      </c>
      <c r="Y352" s="189" t="s">
        <v>19</v>
      </c>
      <c r="AK352" s="189" t="s">
        <v>880</v>
      </c>
    </row>
    <row r="353" customFormat="false" ht="15" hidden="false" customHeight="true" outlineLevel="0" collapsed="false">
      <c r="A353" s="0" t="n">
        <v>352</v>
      </c>
      <c r="B353" s="191" t="n">
        <v>46140.3462038191</v>
      </c>
      <c r="C353" s="191" t="n">
        <v>46140.3502894673</v>
      </c>
      <c r="D353" s="189" t="s">
        <v>2234</v>
      </c>
      <c r="E353" s="189" t="s">
        <v>2235</v>
      </c>
      <c r="F353" s="189" t="s">
        <v>2235</v>
      </c>
      <c r="G353" s="189" t="s">
        <v>2236</v>
      </c>
      <c r="H353" s="191" t="n">
        <v>46139</v>
      </c>
      <c r="I353" s="189" t="s">
        <v>113</v>
      </c>
      <c r="J353" s="189" t="s">
        <v>108</v>
      </c>
      <c r="K353" s="189" t="s">
        <v>462</v>
      </c>
      <c r="L353" s="189" t="s">
        <v>197</v>
      </c>
      <c r="M353" s="189" t="s">
        <v>406</v>
      </c>
      <c r="N353" s="189" t="s">
        <v>1323</v>
      </c>
      <c r="O353" s="189" t="s">
        <v>107</v>
      </c>
      <c r="P353" s="189" t="s">
        <v>111</v>
      </c>
      <c r="Q353" s="189" t="s">
        <v>112</v>
      </c>
      <c r="R353" s="189" t="s">
        <v>22</v>
      </c>
      <c r="S353" s="189" t="s">
        <v>120</v>
      </c>
      <c r="T353" s="189" t="s">
        <v>121</v>
      </c>
      <c r="U353" s="189" t="s">
        <v>1229</v>
      </c>
      <c r="V353" s="189" t="s">
        <v>167</v>
      </c>
      <c r="W353" s="189" t="s">
        <v>168</v>
      </c>
      <c r="X353" s="189" t="s">
        <v>135</v>
      </c>
      <c r="Y353" s="189" t="s">
        <v>135</v>
      </c>
      <c r="Z353" s="189" t="s">
        <v>3071</v>
      </c>
      <c r="AG353" s="189" t="s">
        <v>3152</v>
      </c>
      <c r="AH353" s="189" t="s">
        <v>3203</v>
      </c>
    </row>
    <row r="354" customFormat="false" ht="15" hidden="false" customHeight="true" outlineLevel="0" collapsed="false">
      <c r="A354" s="0" t="n">
        <v>353</v>
      </c>
      <c r="B354" s="191" t="n">
        <v>46210.3186323542</v>
      </c>
      <c r="C354" s="191" t="n">
        <v>46210.3378684653</v>
      </c>
      <c r="D354" s="189" t="s">
        <v>2238</v>
      </c>
      <c r="E354" s="189" t="s">
        <v>2239</v>
      </c>
      <c r="F354" s="189" t="s">
        <v>2239</v>
      </c>
      <c r="G354" s="189" t="s">
        <v>2240</v>
      </c>
      <c r="H354" s="191" t="n">
        <v>46210</v>
      </c>
      <c r="I354" s="189" t="s">
        <v>336</v>
      </c>
      <c r="J354" s="189" t="s">
        <v>295</v>
      </c>
      <c r="K354" s="189" t="s">
        <v>245</v>
      </c>
      <c r="L354" s="189" t="s">
        <v>197</v>
      </c>
      <c r="M354" s="189" t="s">
        <v>594</v>
      </c>
      <c r="N354" s="189" t="s">
        <v>440</v>
      </c>
      <c r="O354" s="189" t="s">
        <v>172</v>
      </c>
      <c r="P354" s="189" t="s">
        <v>131</v>
      </c>
      <c r="Q354" s="189" t="s">
        <v>112</v>
      </c>
      <c r="R354" s="189" t="s">
        <v>24</v>
      </c>
      <c r="S354" s="189" t="s">
        <v>152</v>
      </c>
      <c r="T354" s="189" t="s">
        <v>352</v>
      </c>
      <c r="U354" s="189" t="s">
        <v>166</v>
      </c>
      <c r="V354" s="189" t="s">
        <v>123</v>
      </c>
      <c r="W354" s="189" t="s">
        <v>124</v>
      </c>
      <c r="X354" s="189" t="s">
        <v>19</v>
      </c>
      <c r="Y354" s="189" t="s">
        <v>19</v>
      </c>
      <c r="AK354" s="189" t="s">
        <v>880</v>
      </c>
    </row>
    <row r="355" customFormat="false" ht="15" hidden="false" customHeight="true" outlineLevel="0" collapsed="false">
      <c r="A355" s="0" t="n">
        <v>354</v>
      </c>
      <c r="B355" s="191" t="n">
        <v>46064.9307503989</v>
      </c>
      <c r="C355" s="191" t="n">
        <v>46064.9324980841</v>
      </c>
      <c r="D355" s="189" t="s">
        <v>2241</v>
      </c>
      <c r="E355" s="189" t="s">
        <v>2242</v>
      </c>
      <c r="F355" s="189" t="s">
        <v>2242</v>
      </c>
      <c r="G355" s="189" t="s">
        <v>2243</v>
      </c>
      <c r="H355" s="191" t="n">
        <v>46056</v>
      </c>
      <c r="I355" s="189" t="s">
        <v>113</v>
      </c>
      <c r="J355" s="189" t="s">
        <v>108</v>
      </c>
      <c r="K355" s="189" t="s">
        <v>257</v>
      </c>
      <c r="L355" s="189" t="s">
        <v>210</v>
      </c>
      <c r="M355" s="189" t="s">
        <v>774</v>
      </c>
      <c r="N355" s="189" t="s">
        <v>544</v>
      </c>
      <c r="O355" s="189" t="s">
        <v>107</v>
      </c>
      <c r="P355" s="189" t="s">
        <v>111</v>
      </c>
      <c r="Q355" s="189" t="s">
        <v>112</v>
      </c>
      <c r="R355" s="189" t="s">
        <v>22</v>
      </c>
      <c r="S355" s="189" t="s">
        <v>152</v>
      </c>
      <c r="T355" s="189" t="s">
        <v>121</v>
      </c>
      <c r="U355" s="189" t="s">
        <v>122</v>
      </c>
      <c r="V355" s="189" t="s">
        <v>192</v>
      </c>
      <c r="W355" s="189" t="s">
        <v>168</v>
      </c>
      <c r="X355" s="189" t="s">
        <v>135</v>
      </c>
      <c r="Y355" s="189" t="s">
        <v>135</v>
      </c>
      <c r="Z355" s="189" t="s">
        <v>3072</v>
      </c>
      <c r="AG355" s="189" t="s">
        <v>122</v>
      </c>
    </row>
    <row r="356" customFormat="false" ht="15" hidden="false" customHeight="true" outlineLevel="0" collapsed="false">
      <c r="A356" s="0" t="n">
        <v>355</v>
      </c>
      <c r="B356" s="191" t="n">
        <v>46039.5711389841</v>
      </c>
      <c r="C356" s="191" t="n">
        <v>46039.5790787989</v>
      </c>
      <c r="D356" s="189" t="s">
        <v>2244</v>
      </c>
      <c r="E356" s="189" t="s">
        <v>2245</v>
      </c>
      <c r="F356" s="189" t="s">
        <v>2245</v>
      </c>
      <c r="G356" s="189" t="s">
        <v>2246</v>
      </c>
      <c r="H356" s="191" t="n">
        <v>46037</v>
      </c>
      <c r="I356" s="189" t="s">
        <v>113</v>
      </c>
      <c r="J356" s="189" t="s">
        <v>108</v>
      </c>
      <c r="K356" s="189" t="s">
        <v>232</v>
      </c>
      <c r="L356" s="189" t="s">
        <v>389</v>
      </c>
      <c r="M356" s="189" t="s">
        <v>515</v>
      </c>
      <c r="N356" s="189" t="s">
        <v>714</v>
      </c>
      <c r="O356" s="189" t="s">
        <v>172</v>
      </c>
      <c r="P356" s="189" t="s">
        <v>111</v>
      </c>
      <c r="Q356" s="189" t="s">
        <v>112</v>
      </c>
      <c r="R356" s="189" t="s">
        <v>21</v>
      </c>
      <c r="S356" s="189" t="s">
        <v>120</v>
      </c>
      <c r="T356" s="189" t="s">
        <v>121</v>
      </c>
      <c r="U356" s="189" t="s">
        <v>166</v>
      </c>
      <c r="V356" s="189" t="s">
        <v>167</v>
      </c>
      <c r="W356" s="189" t="s">
        <v>124</v>
      </c>
      <c r="X356" s="189" t="s">
        <v>1830</v>
      </c>
      <c r="Y356" s="189" t="s">
        <v>1830</v>
      </c>
      <c r="Z356" s="189" t="s">
        <v>3323</v>
      </c>
      <c r="AA356" s="189" t="s">
        <v>3324</v>
      </c>
      <c r="AB356" s="189" t="s">
        <v>3312</v>
      </c>
      <c r="AG356" s="189" t="s">
        <v>3326</v>
      </c>
    </row>
    <row r="357" customFormat="false" ht="15" hidden="false" customHeight="true" outlineLevel="0" collapsed="false">
      <c r="A357" s="0" t="n">
        <v>356</v>
      </c>
      <c r="B357" s="191" t="n">
        <v>46114.3072479889</v>
      </c>
      <c r="C357" s="191" t="n">
        <v>46114.3096901186</v>
      </c>
      <c r="D357" s="189" t="s">
        <v>2250</v>
      </c>
      <c r="E357" s="189" t="s">
        <v>2251</v>
      </c>
      <c r="F357" s="189" t="s">
        <v>2251</v>
      </c>
      <c r="G357" s="189" t="s">
        <v>2252</v>
      </c>
      <c r="H357" s="191" t="n">
        <v>46111</v>
      </c>
      <c r="I357" s="189" t="s">
        <v>132</v>
      </c>
      <c r="J357" s="189" t="s">
        <v>108</v>
      </c>
      <c r="K357" s="189" t="s">
        <v>143</v>
      </c>
      <c r="L357" s="189" t="s">
        <v>286</v>
      </c>
      <c r="M357" s="189" t="s">
        <v>279</v>
      </c>
      <c r="N357" s="189" t="s">
        <v>1006</v>
      </c>
      <c r="O357" s="189" t="s">
        <v>107</v>
      </c>
      <c r="P357" s="189" t="s">
        <v>111</v>
      </c>
      <c r="Q357" s="189" t="s">
        <v>112</v>
      </c>
      <c r="R357" s="189" t="s">
        <v>22</v>
      </c>
      <c r="S357" s="189" t="s">
        <v>152</v>
      </c>
      <c r="T357" s="189" t="s">
        <v>2255</v>
      </c>
      <c r="U357" s="189" t="s">
        <v>2256</v>
      </c>
      <c r="V357" s="189" t="s">
        <v>123</v>
      </c>
      <c r="W357" s="189" t="s">
        <v>124</v>
      </c>
      <c r="X357" s="189" t="s">
        <v>715</v>
      </c>
      <c r="Y357" s="189" t="s">
        <v>715</v>
      </c>
      <c r="Z357" s="189" t="s">
        <v>3252</v>
      </c>
      <c r="AG357" s="189" t="s">
        <v>3285</v>
      </c>
      <c r="AH357" s="189" t="s">
        <v>3229</v>
      </c>
    </row>
    <row r="358" customFormat="false" ht="15" hidden="false" customHeight="true" outlineLevel="0" collapsed="false">
      <c r="A358" s="0" t="n">
        <v>357</v>
      </c>
      <c r="B358" s="191" t="n">
        <v>46159.8389965117</v>
      </c>
      <c r="C358" s="191" t="n">
        <v>46159.8453969747</v>
      </c>
      <c r="D358" s="189" t="s">
        <v>2257</v>
      </c>
      <c r="E358" s="189" t="s">
        <v>2258</v>
      </c>
      <c r="F358" s="189" t="s">
        <v>2258</v>
      </c>
      <c r="G358" s="189" t="s">
        <v>2259</v>
      </c>
      <c r="H358" s="191" t="n">
        <v>46143</v>
      </c>
      <c r="I358" s="189" t="s">
        <v>325</v>
      </c>
      <c r="J358" s="189" t="s">
        <v>295</v>
      </c>
      <c r="K358" s="189" t="s">
        <v>245</v>
      </c>
      <c r="L358" s="189" t="s">
        <v>197</v>
      </c>
      <c r="M358" s="189" t="s">
        <v>789</v>
      </c>
      <c r="N358" s="189" t="s">
        <v>560</v>
      </c>
      <c r="O358" s="189" t="s">
        <v>278</v>
      </c>
      <c r="P358" s="189" t="s">
        <v>111</v>
      </c>
      <c r="Q358" s="189" t="s">
        <v>112</v>
      </c>
      <c r="R358" s="189" t="s">
        <v>24</v>
      </c>
      <c r="S358" s="189" t="s">
        <v>152</v>
      </c>
      <c r="T358" s="189" t="s">
        <v>180</v>
      </c>
      <c r="V358" s="189" t="s">
        <v>123</v>
      </c>
      <c r="W358" s="189" t="s">
        <v>124</v>
      </c>
      <c r="X358" s="189" t="s">
        <v>223</v>
      </c>
      <c r="Y358" s="189" t="s">
        <v>223</v>
      </c>
      <c r="Z358" s="189" t="s">
        <v>3120</v>
      </c>
      <c r="AA358" s="189" t="s">
        <v>3104</v>
      </c>
      <c r="AB358" s="189" t="s">
        <v>3096</v>
      </c>
      <c r="AG358" s="189" t="s">
        <v>3150</v>
      </c>
    </row>
    <row r="359" customFormat="false" ht="15" hidden="false" customHeight="true" outlineLevel="0" collapsed="false">
      <c r="A359" s="0" t="n">
        <v>358</v>
      </c>
      <c r="B359" s="191" t="n">
        <v>46193.1155771196</v>
      </c>
      <c r="C359" s="191" t="n">
        <v>46193.1255423974</v>
      </c>
      <c r="D359" s="189" t="s">
        <v>2262</v>
      </c>
      <c r="E359" s="189" t="s">
        <v>2263</v>
      </c>
      <c r="F359" s="189" t="s">
        <v>2263</v>
      </c>
      <c r="G359" s="189" t="s">
        <v>2264</v>
      </c>
      <c r="H359" s="191" t="n">
        <v>46190</v>
      </c>
      <c r="I359" s="189" t="s">
        <v>113</v>
      </c>
      <c r="J359" s="189" t="s">
        <v>108</v>
      </c>
      <c r="K359" s="189" t="s">
        <v>245</v>
      </c>
      <c r="L359" s="189" t="s">
        <v>491</v>
      </c>
      <c r="M359" s="189" t="s">
        <v>501</v>
      </c>
      <c r="N359" s="189" t="s">
        <v>714</v>
      </c>
      <c r="O359" s="189" t="s">
        <v>244</v>
      </c>
      <c r="P359" s="189" t="s">
        <v>111</v>
      </c>
      <c r="Q359" s="189" t="s">
        <v>112</v>
      </c>
      <c r="R359" s="189" t="s">
        <v>22</v>
      </c>
      <c r="S359" s="189" t="s">
        <v>120</v>
      </c>
      <c r="T359" s="189" t="s">
        <v>180</v>
      </c>
      <c r="U359" s="189" t="s">
        <v>2268</v>
      </c>
      <c r="V359" s="189" t="s">
        <v>123</v>
      </c>
      <c r="W359" s="189" t="s">
        <v>124</v>
      </c>
      <c r="X359" s="189" t="s">
        <v>176</v>
      </c>
      <c r="Y359" s="189" t="s">
        <v>176</v>
      </c>
      <c r="Z359" s="189" t="s">
        <v>3204</v>
      </c>
      <c r="AA359" s="189" t="s">
        <v>3269</v>
      </c>
      <c r="AG359" s="189" t="s">
        <v>3088</v>
      </c>
      <c r="AH359" s="189" t="s">
        <v>3241</v>
      </c>
    </row>
    <row r="360" customFormat="false" ht="15" hidden="false" customHeight="true" outlineLevel="0" collapsed="false">
      <c r="A360" s="0" t="n">
        <v>359</v>
      </c>
      <c r="B360" s="191" t="n">
        <v>46071.6528968802</v>
      </c>
      <c r="C360" s="191" t="n">
        <v>46071.6692741951</v>
      </c>
      <c r="D360" s="189" t="s">
        <v>2269</v>
      </c>
      <c r="E360" s="189" t="s">
        <v>2270</v>
      </c>
      <c r="F360" s="189" t="s">
        <v>2270</v>
      </c>
      <c r="G360" s="189" t="s">
        <v>2271</v>
      </c>
      <c r="H360" s="191" t="n">
        <v>46066</v>
      </c>
      <c r="I360" s="189" t="s">
        <v>113</v>
      </c>
      <c r="J360" s="189" t="s">
        <v>108</v>
      </c>
      <c r="K360" s="189" t="s">
        <v>2140</v>
      </c>
      <c r="L360" s="189" t="s">
        <v>346</v>
      </c>
      <c r="M360" s="189" t="s">
        <v>1112</v>
      </c>
      <c r="N360" s="189" t="s">
        <v>2228</v>
      </c>
      <c r="O360" s="189" t="s">
        <v>157</v>
      </c>
      <c r="P360" s="189" t="s">
        <v>111</v>
      </c>
      <c r="Q360" s="189" t="s">
        <v>145</v>
      </c>
      <c r="R360" s="189" t="s">
        <v>24</v>
      </c>
      <c r="S360" s="189" t="s">
        <v>152</v>
      </c>
      <c r="T360" s="189" t="s">
        <v>352</v>
      </c>
      <c r="V360" s="189" t="s">
        <v>123</v>
      </c>
      <c r="W360" s="189" t="s">
        <v>168</v>
      </c>
      <c r="X360" s="189" t="s">
        <v>214</v>
      </c>
      <c r="Y360" s="189" t="s">
        <v>214</v>
      </c>
      <c r="Z360" s="189" t="s">
        <v>3107</v>
      </c>
      <c r="AG360" s="189" t="s">
        <v>3083</v>
      </c>
      <c r="AH360" s="189" t="s">
        <v>3108</v>
      </c>
    </row>
    <row r="361" customFormat="false" ht="15" hidden="false" customHeight="true" outlineLevel="0" collapsed="false">
      <c r="A361" s="0" t="n">
        <v>360</v>
      </c>
      <c r="B361" s="191" t="n">
        <v>46208.4231249246</v>
      </c>
      <c r="C361" s="191" t="n">
        <v>46208.4416318691</v>
      </c>
      <c r="D361" s="189" t="s">
        <v>2273</v>
      </c>
      <c r="E361" s="189" t="s">
        <v>2274</v>
      </c>
      <c r="F361" s="189" t="s">
        <v>2275</v>
      </c>
      <c r="G361" s="189" t="s">
        <v>2276</v>
      </c>
      <c r="H361" s="191" t="n">
        <v>46197</v>
      </c>
      <c r="I361" s="189" t="s">
        <v>325</v>
      </c>
      <c r="J361" s="189" t="s">
        <v>128</v>
      </c>
      <c r="K361" s="189" t="s">
        <v>245</v>
      </c>
      <c r="L361" s="189" t="s">
        <v>130</v>
      </c>
      <c r="M361" s="189" t="s">
        <v>885</v>
      </c>
      <c r="N361" s="189" t="s">
        <v>552</v>
      </c>
      <c r="O361" s="189" t="s">
        <v>750</v>
      </c>
      <c r="P361" s="189" t="s">
        <v>111</v>
      </c>
      <c r="Q361" s="189" t="s">
        <v>145</v>
      </c>
      <c r="R361" s="189" t="s">
        <v>22</v>
      </c>
      <c r="S361" s="189" t="s">
        <v>152</v>
      </c>
      <c r="T361" s="189" t="s">
        <v>121</v>
      </c>
      <c r="U361" s="189" t="s">
        <v>822</v>
      </c>
      <c r="V361" s="189" t="s">
        <v>167</v>
      </c>
      <c r="W361" s="189" t="s">
        <v>124</v>
      </c>
      <c r="X361" s="189" t="s">
        <v>116</v>
      </c>
      <c r="Y361" s="189" t="s">
        <v>116</v>
      </c>
      <c r="Z361" s="189" t="s">
        <v>3107</v>
      </c>
      <c r="AG361" s="189" t="s">
        <v>3083</v>
      </c>
      <c r="AH361" s="189" t="s">
        <v>3140</v>
      </c>
    </row>
    <row r="362" customFormat="false" ht="15" hidden="false" customHeight="true" outlineLevel="0" collapsed="false">
      <c r="A362" s="0" t="n">
        <v>361</v>
      </c>
      <c r="B362" s="191" t="n">
        <v>46208.5421104421</v>
      </c>
      <c r="C362" s="191" t="n">
        <v>46208.5559414606</v>
      </c>
      <c r="D362" s="189" t="s">
        <v>2278</v>
      </c>
      <c r="E362" s="189" t="s">
        <v>2279</v>
      </c>
      <c r="F362" s="189" t="s">
        <v>2279</v>
      </c>
      <c r="G362" s="189" t="s">
        <v>2280</v>
      </c>
      <c r="H362" s="191" t="n">
        <v>46195</v>
      </c>
      <c r="I362" s="189" t="s">
        <v>577</v>
      </c>
      <c r="J362" s="189" t="s">
        <v>108</v>
      </c>
      <c r="K362" s="189" t="s">
        <v>364</v>
      </c>
      <c r="L362" s="189" t="s">
        <v>197</v>
      </c>
      <c r="M362" s="189" t="s">
        <v>507</v>
      </c>
      <c r="N362" s="189" t="s">
        <v>270</v>
      </c>
      <c r="O362" s="189" t="s">
        <v>172</v>
      </c>
      <c r="P362" s="189" t="s">
        <v>131</v>
      </c>
      <c r="Q362" s="189" t="s">
        <v>145</v>
      </c>
      <c r="R362" s="189" t="s">
        <v>22</v>
      </c>
      <c r="S362" s="189" t="s">
        <v>152</v>
      </c>
      <c r="T362" s="189" t="s">
        <v>264</v>
      </c>
      <c r="U362" s="189" t="s">
        <v>122</v>
      </c>
      <c r="V362" s="189" t="s">
        <v>167</v>
      </c>
      <c r="W362" s="189" t="s">
        <v>168</v>
      </c>
      <c r="X362" s="189" t="s">
        <v>271</v>
      </c>
      <c r="Y362" s="189" t="s">
        <v>271</v>
      </c>
      <c r="Z362" s="189" t="s">
        <v>3136</v>
      </c>
      <c r="AG362" s="189" t="s">
        <v>3119</v>
      </c>
      <c r="AH362" s="189" t="s">
        <v>122</v>
      </c>
    </row>
    <row r="363" customFormat="false" ht="15" hidden="false" customHeight="true" outlineLevel="0" collapsed="false">
      <c r="A363" s="0" t="n">
        <v>362</v>
      </c>
      <c r="B363" s="191" t="n">
        <v>46205.6488308046</v>
      </c>
      <c r="C363" s="191" t="n">
        <v>46205.6632983972</v>
      </c>
      <c r="D363" s="189" t="s">
        <v>2282</v>
      </c>
      <c r="E363" s="189" t="s">
        <v>2283</v>
      </c>
      <c r="F363" s="189" t="s">
        <v>2283</v>
      </c>
      <c r="G363" s="189" t="s">
        <v>2284</v>
      </c>
      <c r="H363" s="191" t="n">
        <v>46200</v>
      </c>
      <c r="I363" s="189" t="s">
        <v>113</v>
      </c>
      <c r="J363" s="189" t="s">
        <v>128</v>
      </c>
      <c r="K363" s="189" t="s">
        <v>143</v>
      </c>
      <c r="L363" s="189" t="s">
        <v>246</v>
      </c>
      <c r="M363" s="189" t="s">
        <v>652</v>
      </c>
      <c r="N363" s="189" t="s">
        <v>1628</v>
      </c>
      <c r="O363" s="189" t="s">
        <v>107</v>
      </c>
      <c r="P363" s="189" t="s">
        <v>111</v>
      </c>
      <c r="Q363" s="189" t="s">
        <v>145</v>
      </c>
      <c r="R363" s="189" t="s">
        <v>22</v>
      </c>
      <c r="S363" s="189" t="s">
        <v>120</v>
      </c>
      <c r="T363" s="189" t="s">
        <v>121</v>
      </c>
      <c r="V363" s="189" t="s">
        <v>123</v>
      </c>
      <c r="W363" s="189" t="s">
        <v>124</v>
      </c>
      <c r="X363" s="189" t="s">
        <v>381</v>
      </c>
      <c r="Y363" s="189" t="s">
        <v>381</v>
      </c>
      <c r="Z363" s="189" t="s">
        <v>3249</v>
      </c>
      <c r="AA363" s="189" t="s">
        <v>3233</v>
      </c>
      <c r="AB363" s="189" t="s">
        <v>3180</v>
      </c>
      <c r="AG363" s="189" t="s">
        <v>3163</v>
      </c>
    </row>
    <row r="364" customFormat="false" ht="15" hidden="false" customHeight="true" outlineLevel="0" collapsed="false">
      <c r="A364" s="0" t="n">
        <v>363</v>
      </c>
      <c r="B364" s="191" t="n">
        <v>46159.7914775475</v>
      </c>
      <c r="C364" s="191" t="n">
        <v>46159.7946256956</v>
      </c>
      <c r="D364" s="189" t="s">
        <v>2285</v>
      </c>
      <c r="E364" s="189" t="s">
        <v>2286</v>
      </c>
      <c r="F364" s="189" t="s">
        <v>2286</v>
      </c>
      <c r="G364" s="189" t="s">
        <v>2287</v>
      </c>
      <c r="H364" s="191" t="n">
        <v>46149</v>
      </c>
      <c r="I364" s="189" t="s">
        <v>113</v>
      </c>
      <c r="J364" s="189" t="s">
        <v>108</v>
      </c>
      <c r="K364" s="189" t="s">
        <v>462</v>
      </c>
      <c r="L364" s="189" t="s">
        <v>144</v>
      </c>
      <c r="M364" s="189" t="s">
        <v>1380</v>
      </c>
      <c r="N364" s="189" t="s">
        <v>414</v>
      </c>
      <c r="O364" s="189" t="s">
        <v>107</v>
      </c>
      <c r="P364" s="189" t="s">
        <v>131</v>
      </c>
      <c r="Q364" s="189" t="s">
        <v>112</v>
      </c>
      <c r="R364" s="189" t="s">
        <v>22</v>
      </c>
      <c r="S364" s="189" t="s">
        <v>152</v>
      </c>
      <c r="T364" s="189" t="s">
        <v>228</v>
      </c>
      <c r="U364" s="189" t="s">
        <v>166</v>
      </c>
      <c r="V364" s="189" t="s">
        <v>192</v>
      </c>
      <c r="W364" s="189" t="s">
        <v>124</v>
      </c>
      <c r="X364" s="189" t="s">
        <v>176</v>
      </c>
      <c r="Y364" s="189" t="s">
        <v>176</v>
      </c>
      <c r="Z364" s="189" t="s">
        <v>3085</v>
      </c>
      <c r="AA364" s="189" t="s">
        <v>3239</v>
      </c>
      <c r="AB364" s="189" t="s">
        <v>3329</v>
      </c>
      <c r="AG364" s="189" t="s">
        <v>3241</v>
      </c>
    </row>
    <row r="365" customFormat="false" ht="15" hidden="false" customHeight="true" outlineLevel="0" collapsed="false">
      <c r="A365" s="0" t="n">
        <v>364</v>
      </c>
      <c r="B365" s="191" t="n">
        <v>46097.4724442441</v>
      </c>
      <c r="C365" s="191" t="n">
        <v>46097.4888794293</v>
      </c>
      <c r="D365" s="189" t="s">
        <v>2290</v>
      </c>
      <c r="E365" s="189" t="s">
        <v>2291</v>
      </c>
      <c r="F365" s="189" t="s">
        <v>2291</v>
      </c>
      <c r="G365" s="189" t="s">
        <v>2292</v>
      </c>
      <c r="H365" s="191" t="n">
        <v>46091</v>
      </c>
      <c r="I365" s="189" t="s">
        <v>113</v>
      </c>
      <c r="J365" s="189" t="s">
        <v>108</v>
      </c>
      <c r="K365" s="189" t="s">
        <v>143</v>
      </c>
      <c r="L365" s="189" t="s">
        <v>268</v>
      </c>
      <c r="M365" s="189" t="s">
        <v>337</v>
      </c>
      <c r="N365" s="189" t="s">
        <v>638</v>
      </c>
      <c r="O365" s="189" t="s">
        <v>107</v>
      </c>
      <c r="P365" s="189" t="s">
        <v>111</v>
      </c>
      <c r="Q365" s="189" t="s">
        <v>145</v>
      </c>
      <c r="R365" s="189" t="s">
        <v>22</v>
      </c>
      <c r="S365" s="189" t="s">
        <v>152</v>
      </c>
      <c r="T365" s="189" t="s">
        <v>121</v>
      </c>
      <c r="V365" s="189" t="s">
        <v>167</v>
      </c>
      <c r="W365" s="189" t="s">
        <v>168</v>
      </c>
      <c r="X365" s="189" t="s">
        <v>271</v>
      </c>
      <c r="Y365" s="189" t="s">
        <v>271</v>
      </c>
      <c r="Z365" s="189" t="s">
        <v>3114</v>
      </c>
      <c r="AA365" s="189" t="s">
        <v>3230</v>
      </c>
      <c r="AG365" s="189" t="s">
        <v>3119</v>
      </c>
      <c r="AH365" s="189" t="s">
        <v>122</v>
      </c>
    </row>
    <row r="366" customFormat="false" ht="15" hidden="false" customHeight="true" outlineLevel="0" collapsed="false">
      <c r="A366" s="0" t="n">
        <v>365</v>
      </c>
      <c r="B366" s="191" t="n">
        <v>46138.4798751319</v>
      </c>
      <c r="C366" s="191" t="n">
        <v>46138.4871205023</v>
      </c>
      <c r="D366" s="189" t="s">
        <v>2295</v>
      </c>
      <c r="E366" s="189" t="s">
        <v>2296</v>
      </c>
      <c r="F366" s="189" t="s">
        <v>2296</v>
      </c>
      <c r="G366" s="189" t="s">
        <v>2297</v>
      </c>
      <c r="H366" s="191" t="n">
        <v>46133</v>
      </c>
      <c r="I366" s="189" t="s">
        <v>113</v>
      </c>
      <c r="J366" s="189" t="s">
        <v>108</v>
      </c>
      <c r="K366" s="189" t="s">
        <v>2298</v>
      </c>
      <c r="L366" s="189" t="s">
        <v>210</v>
      </c>
      <c r="M366" s="189" t="s">
        <v>864</v>
      </c>
      <c r="N366" s="189" t="s">
        <v>398</v>
      </c>
      <c r="O366" s="189" t="s">
        <v>172</v>
      </c>
      <c r="P366" s="189" t="s">
        <v>111</v>
      </c>
      <c r="Q366" s="189" t="s">
        <v>145</v>
      </c>
      <c r="R366" s="189" t="s">
        <v>22</v>
      </c>
      <c r="S366" s="189" t="s">
        <v>120</v>
      </c>
      <c r="T366" s="189" t="s">
        <v>121</v>
      </c>
      <c r="V366" s="189" t="s">
        <v>123</v>
      </c>
      <c r="W366" s="189" t="s">
        <v>124</v>
      </c>
      <c r="X366" s="189" t="s">
        <v>176</v>
      </c>
      <c r="Y366" s="189" t="s">
        <v>176</v>
      </c>
      <c r="Z366" s="189" t="s">
        <v>3264</v>
      </c>
      <c r="AG366" s="189" t="s">
        <v>3084</v>
      </c>
      <c r="AH366" s="189" t="s">
        <v>3330</v>
      </c>
    </row>
    <row r="367" customFormat="false" ht="15" hidden="false" customHeight="true" outlineLevel="0" collapsed="false">
      <c r="A367" s="0" t="n">
        <v>366</v>
      </c>
      <c r="B367" s="191" t="n">
        <v>46041.4868640656</v>
      </c>
      <c r="C367" s="191" t="n">
        <v>46041.503333973</v>
      </c>
      <c r="D367" s="189" t="s">
        <v>2301</v>
      </c>
      <c r="E367" s="189" t="s">
        <v>2302</v>
      </c>
      <c r="F367" s="189" t="s">
        <v>2303</v>
      </c>
      <c r="G367" s="189" t="s">
        <v>2304</v>
      </c>
      <c r="H367" s="191" t="n">
        <v>46027</v>
      </c>
      <c r="I367" s="189" t="s">
        <v>336</v>
      </c>
      <c r="J367" s="189" t="s">
        <v>108</v>
      </c>
      <c r="K367" s="189" t="s">
        <v>932</v>
      </c>
      <c r="L367" s="189" t="s">
        <v>286</v>
      </c>
      <c r="M367" s="189" t="s">
        <v>515</v>
      </c>
      <c r="N367" s="189" t="s">
        <v>905</v>
      </c>
      <c r="O367" s="189" t="s">
        <v>172</v>
      </c>
      <c r="P367" s="189" t="s">
        <v>111</v>
      </c>
      <c r="Q367" s="189" t="s">
        <v>112</v>
      </c>
      <c r="R367" s="189" t="s">
        <v>21</v>
      </c>
      <c r="S367" s="189" t="s">
        <v>120</v>
      </c>
      <c r="T367" s="189" t="s">
        <v>121</v>
      </c>
      <c r="V367" s="189" t="s">
        <v>123</v>
      </c>
      <c r="W367" s="189" t="s">
        <v>124</v>
      </c>
      <c r="X367" s="189" t="s">
        <v>457</v>
      </c>
      <c r="Y367" s="189" t="s">
        <v>457</v>
      </c>
      <c r="Z367" s="189" t="s">
        <v>3081</v>
      </c>
      <c r="AG367" s="189" t="s">
        <v>3140</v>
      </c>
      <c r="AH367" s="189" t="s">
        <v>122</v>
      </c>
    </row>
    <row r="368" customFormat="false" ht="15" hidden="false" customHeight="true" outlineLevel="0" collapsed="false">
      <c r="A368" s="0" t="n">
        <v>367</v>
      </c>
      <c r="B368" s="191" t="n">
        <v>46083.296033308</v>
      </c>
      <c r="C368" s="191" t="n">
        <v>46083.3062763635</v>
      </c>
      <c r="D368" s="189" t="s">
        <v>2305</v>
      </c>
      <c r="E368" s="189" t="s">
        <v>2306</v>
      </c>
      <c r="F368" s="189" t="s">
        <v>2306</v>
      </c>
      <c r="G368" s="189" t="s">
        <v>2307</v>
      </c>
      <c r="H368" s="191" t="n">
        <v>46066</v>
      </c>
      <c r="I368" s="189" t="s">
        <v>113</v>
      </c>
      <c r="J368" s="189" t="s">
        <v>128</v>
      </c>
      <c r="K368" s="189" t="s">
        <v>1527</v>
      </c>
      <c r="L368" s="189" t="s">
        <v>246</v>
      </c>
      <c r="M368" s="189" t="s">
        <v>447</v>
      </c>
      <c r="N368" s="189" t="s">
        <v>398</v>
      </c>
      <c r="O368" s="189" t="s">
        <v>278</v>
      </c>
      <c r="P368" s="189" t="s">
        <v>111</v>
      </c>
      <c r="Q368" s="189" t="s">
        <v>112</v>
      </c>
      <c r="R368" s="189" t="s">
        <v>21</v>
      </c>
      <c r="S368" s="189" t="s">
        <v>120</v>
      </c>
      <c r="T368" s="189" t="s">
        <v>121</v>
      </c>
      <c r="U368" s="189" t="s">
        <v>2039</v>
      </c>
      <c r="V368" s="189" t="s">
        <v>167</v>
      </c>
      <c r="W368" s="189" t="s">
        <v>124</v>
      </c>
      <c r="X368" s="189" t="s">
        <v>250</v>
      </c>
      <c r="Y368" s="189" t="s">
        <v>250</v>
      </c>
      <c r="Z368" s="189" t="s">
        <v>3081</v>
      </c>
      <c r="AA368" s="189" t="s">
        <v>3107</v>
      </c>
      <c r="AG368" s="189" t="s">
        <v>122</v>
      </c>
      <c r="AH368" s="189" t="s">
        <v>3083</v>
      </c>
    </row>
    <row r="369" customFormat="false" ht="15" hidden="false" customHeight="true" outlineLevel="0" collapsed="false">
      <c r="A369" s="0" t="n">
        <v>368</v>
      </c>
      <c r="B369" s="191" t="n">
        <v>46043.0745951647</v>
      </c>
      <c r="C369" s="191" t="n">
        <v>46043.0764585907</v>
      </c>
      <c r="D369" s="189" t="s">
        <v>2309</v>
      </c>
      <c r="E369" s="189" t="s">
        <v>2310</v>
      </c>
      <c r="F369" s="189" t="s">
        <v>2310</v>
      </c>
      <c r="G369" s="189" t="s">
        <v>2311</v>
      </c>
      <c r="H369" s="191" t="n">
        <v>46026</v>
      </c>
      <c r="I369" s="189" t="s">
        <v>325</v>
      </c>
      <c r="J369" s="189" t="s">
        <v>108</v>
      </c>
      <c r="K369" s="189" t="s">
        <v>245</v>
      </c>
      <c r="L369" s="189" t="s">
        <v>286</v>
      </c>
      <c r="M369" s="189" t="s">
        <v>1074</v>
      </c>
      <c r="N369" s="189" t="s">
        <v>899</v>
      </c>
      <c r="O369" s="189" t="s">
        <v>244</v>
      </c>
      <c r="P369" s="189" t="s">
        <v>131</v>
      </c>
      <c r="Q369" s="189" t="s">
        <v>145</v>
      </c>
      <c r="R369" s="189" t="s">
        <v>23</v>
      </c>
      <c r="S369" s="189" t="s">
        <v>152</v>
      </c>
      <c r="T369" s="189" t="s">
        <v>121</v>
      </c>
      <c r="U369" s="189" t="s">
        <v>122</v>
      </c>
      <c r="V369" s="189" t="s">
        <v>192</v>
      </c>
      <c r="W369" s="189" t="s">
        <v>124</v>
      </c>
      <c r="X369" s="189" t="s">
        <v>122</v>
      </c>
      <c r="Y369" s="189" t="s">
        <v>122</v>
      </c>
    </row>
    <row r="370" customFormat="false" ht="15" hidden="false" customHeight="true" outlineLevel="0" collapsed="false">
      <c r="A370" s="0" t="n">
        <v>369</v>
      </c>
      <c r="B370" s="191" t="n">
        <v>46052.0970203738</v>
      </c>
      <c r="C370" s="191" t="n">
        <v>46052.109856022</v>
      </c>
      <c r="D370" s="189" t="s">
        <v>2312</v>
      </c>
      <c r="E370" s="189" t="s">
        <v>2313</v>
      </c>
      <c r="F370" s="189" t="s">
        <v>2313</v>
      </c>
      <c r="G370" s="189" t="s">
        <v>2314</v>
      </c>
      <c r="H370" s="191" t="n">
        <v>46035</v>
      </c>
      <c r="I370" s="189" t="s">
        <v>113</v>
      </c>
      <c r="J370" s="189" t="s">
        <v>108</v>
      </c>
      <c r="K370" s="189" t="s">
        <v>245</v>
      </c>
      <c r="L370" s="189" t="s">
        <v>491</v>
      </c>
      <c r="M370" s="189" t="s">
        <v>133</v>
      </c>
      <c r="N370" s="189" t="s">
        <v>2315</v>
      </c>
      <c r="O370" s="189" t="s">
        <v>172</v>
      </c>
      <c r="P370" s="189" t="s">
        <v>111</v>
      </c>
      <c r="Q370" s="189" t="s">
        <v>145</v>
      </c>
      <c r="R370" s="189" t="s">
        <v>22</v>
      </c>
      <c r="S370" s="189" t="s">
        <v>227</v>
      </c>
      <c r="T370" s="189" t="s">
        <v>121</v>
      </c>
      <c r="U370" s="189" t="s">
        <v>122</v>
      </c>
      <c r="V370" s="189" t="s">
        <v>192</v>
      </c>
      <c r="W370" s="189" t="s">
        <v>124</v>
      </c>
      <c r="X370" s="189" t="s">
        <v>176</v>
      </c>
      <c r="Y370" s="189" t="s">
        <v>176</v>
      </c>
      <c r="Z370" s="189" t="s">
        <v>3086</v>
      </c>
      <c r="AA370" s="189" t="s">
        <v>3290</v>
      </c>
      <c r="AG370" s="189" t="s">
        <v>3270</v>
      </c>
      <c r="AH370" s="189" t="s">
        <v>3088</v>
      </c>
    </row>
    <row r="371" customFormat="false" ht="15" hidden="false" customHeight="true" outlineLevel="0" collapsed="false">
      <c r="A371" s="0" t="n">
        <v>370</v>
      </c>
      <c r="B371" s="191" t="n">
        <v>46158.1400502797</v>
      </c>
      <c r="C371" s="191" t="n">
        <v>46158.1585687983</v>
      </c>
      <c r="D371" s="189" t="s">
        <v>2319</v>
      </c>
      <c r="E371" s="189" t="s">
        <v>2320</v>
      </c>
      <c r="F371" s="189" t="s">
        <v>2320</v>
      </c>
      <c r="G371" s="189" t="s">
        <v>2321</v>
      </c>
      <c r="H371" s="191" t="n">
        <v>46151</v>
      </c>
      <c r="I371" s="189" t="s">
        <v>113</v>
      </c>
      <c r="J371" s="189" t="s">
        <v>108</v>
      </c>
      <c r="K371" s="189" t="s">
        <v>257</v>
      </c>
      <c r="L371" s="189" t="s">
        <v>431</v>
      </c>
      <c r="M371" s="189" t="s">
        <v>406</v>
      </c>
      <c r="N371" s="189" t="s">
        <v>1229</v>
      </c>
      <c r="O371" s="189" t="s">
        <v>107</v>
      </c>
      <c r="P371" s="189" t="s">
        <v>111</v>
      </c>
      <c r="Q371" s="189" t="s">
        <v>145</v>
      </c>
      <c r="R371" s="189" t="s">
        <v>22</v>
      </c>
      <c r="S371" s="189" t="s">
        <v>152</v>
      </c>
      <c r="T371" s="189" t="s">
        <v>264</v>
      </c>
      <c r="U371" s="189" t="s">
        <v>2325</v>
      </c>
      <c r="V371" s="189" t="s">
        <v>167</v>
      </c>
      <c r="W371" s="189" t="s">
        <v>124</v>
      </c>
      <c r="X371" s="189" t="s">
        <v>176</v>
      </c>
      <c r="Y371" s="189" t="s">
        <v>176</v>
      </c>
      <c r="Z371" s="189" t="s">
        <v>3321</v>
      </c>
      <c r="AA371" s="189" t="s">
        <v>3287</v>
      </c>
      <c r="AB371" s="189" t="s">
        <v>3290</v>
      </c>
      <c r="AG371" s="189" t="s">
        <v>3296</v>
      </c>
      <c r="AH371" s="189" t="s">
        <v>3245</v>
      </c>
    </row>
    <row r="372" customFormat="false" ht="15" hidden="false" customHeight="true" outlineLevel="0" collapsed="false">
      <c r="A372" s="0" t="n">
        <v>371</v>
      </c>
      <c r="B372" s="191" t="n">
        <v>46108.0776369452</v>
      </c>
      <c r="C372" s="191" t="n">
        <v>46108.0913406489</v>
      </c>
      <c r="D372" s="189" t="s">
        <v>2326</v>
      </c>
      <c r="E372" s="189" t="s">
        <v>2327</v>
      </c>
      <c r="F372" s="189" t="s">
        <v>2328</v>
      </c>
      <c r="G372" s="189" t="s">
        <v>2329</v>
      </c>
      <c r="H372" s="191" t="n">
        <v>46102</v>
      </c>
      <c r="I372" s="189" t="s">
        <v>113</v>
      </c>
      <c r="J372" s="189" t="s">
        <v>128</v>
      </c>
      <c r="K372" s="189" t="s">
        <v>2330</v>
      </c>
      <c r="L372" s="189" t="s">
        <v>159</v>
      </c>
      <c r="M372" s="189" t="s">
        <v>1313</v>
      </c>
      <c r="N372" s="189" t="s">
        <v>1539</v>
      </c>
      <c r="O372" s="189" t="s">
        <v>172</v>
      </c>
      <c r="P372" s="189" t="s">
        <v>111</v>
      </c>
      <c r="Q372" s="189" t="s">
        <v>112</v>
      </c>
      <c r="R372" s="189" t="s">
        <v>24</v>
      </c>
      <c r="S372" s="189" t="s">
        <v>152</v>
      </c>
      <c r="T372" s="189" t="s">
        <v>121</v>
      </c>
      <c r="U372" s="132" t="s">
        <v>641</v>
      </c>
      <c r="V372" s="189" t="s">
        <v>123</v>
      </c>
      <c r="W372" s="189" t="s">
        <v>124</v>
      </c>
      <c r="X372" s="189" t="s">
        <v>214</v>
      </c>
      <c r="Y372" s="189" t="s">
        <v>214</v>
      </c>
      <c r="Z372" s="189" t="s">
        <v>3081</v>
      </c>
      <c r="AA372" s="189" t="s">
        <v>3139</v>
      </c>
      <c r="AG372" s="189" t="s">
        <v>3108</v>
      </c>
      <c r="AH372" s="189" t="s">
        <v>3140</v>
      </c>
    </row>
    <row r="373" customFormat="false" ht="15" hidden="false" customHeight="true" outlineLevel="0" collapsed="false">
      <c r="A373" s="0" t="n">
        <v>372</v>
      </c>
      <c r="B373" s="191" t="n">
        <v>46152.866453165</v>
      </c>
      <c r="C373" s="191" t="n">
        <v>46152.8821707576</v>
      </c>
      <c r="D373" s="189" t="s">
        <v>2333</v>
      </c>
      <c r="E373" s="189" t="s">
        <v>2334</v>
      </c>
      <c r="F373" s="189" t="s">
        <v>2334</v>
      </c>
      <c r="G373" s="189" t="s">
        <v>2335</v>
      </c>
      <c r="H373" s="191" t="n">
        <v>46146</v>
      </c>
      <c r="I373" s="189" t="s">
        <v>113</v>
      </c>
      <c r="J373" s="189" t="s">
        <v>128</v>
      </c>
      <c r="K373" s="189" t="s">
        <v>364</v>
      </c>
      <c r="L373" s="189" t="s">
        <v>268</v>
      </c>
      <c r="M373" s="189" t="s">
        <v>279</v>
      </c>
      <c r="N373" s="189" t="s">
        <v>523</v>
      </c>
      <c r="O373" s="189" t="s">
        <v>750</v>
      </c>
      <c r="P373" s="189" t="s">
        <v>111</v>
      </c>
      <c r="Q373" s="189" t="s">
        <v>145</v>
      </c>
      <c r="R373" s="189" t="s">
        <v>22</v>
      </c>
      <c r="S373" s="189" t="s">
        <v>152</v>
      </c>
      <c r="T373" s="189" t="s">
        <v>121</v>
      </c>
      <c r="U373" s="189" t="s">
        <v>1245</v>
      </c>
      <c r="V373" s="189" t="s">
        <v>123</v>
      </c>
      <c r="W373" s="189" t="s">
        <v>124</v>
      </c>
      <c r="X373" s="189" t="s">
        <v>148</v>
      </c>
      <c r="Y373" s="189" t="s">
        <v>148</v>
      </c>
      <c r="Z373" s="189" t="s">
        <v>3186</v>
      </c>
      <c r="AG373" s="189" t="s">
        <v>3282</v>
      </c>
    </row>
    <row r="374" customFormat="false" ht="15" hidden="false" customHeight="true" outlineLevel="0" collapsed="false">
      <c r="A374" s="0" t="n">
        <v>373</v>
      </c>
      <c r="B374" s="191" t="n">
        <v>46110.0812558483</v>
      </c>
      <c r="C374" s="191" t="n">
        <v>46110.0872049223</v>
      </c>
      <c r="D374" s="189" t="s">
        <v>2338</v>
      </c>
      <c r="E374" s="189" t="s">
        <v>2339</v>
      </c>
      <c r="F374" s="189" t="s">
        <v>2339</v>
      </c>
      <c r="G374" s="189" t="s">
        <v>2340</v>
      </c>
      <c r="H374" s="191" t="n">
        <v>46097</v>
      </c>
      <c r="I374" s="189" t="s">
        <v>113</v>
      </c>
      <c r="J374" s="189" t="s">
        <v>108</v>
      </c>
      <c r="K374" s="189" t="s">
        <v>245</v>
      </c>
      <c r="L374" s="189" t="s">
        <v>346</v>
      </c>
      <c r="M374" s="189" t="s">
        <v>185</v>
      </c>
      <c r="N374" s="189" t="s">
        <v>234</v>
      </c>
      <c r="O374" s="189" t="s">
        <v>244</v>
      </c>
      <c r="P374" s="189" t="s">
        <v>111</v>
      </c>
      <c r="Q374" s="189" t="s">
        <v>112</v>
      </c>
      <c r="R374" s="189" t="s">
        <v>21</v>
      </c>
      <c r="S374" s="189" t="s">
        <v>227</v>
      </c>
      <c r="T374" s="189" t="s">
        <v>352</v>
      </c>
      <c r="U374" s="189" t="s">
        <v>562</v>
      </c>
      <c r="V374" s="189" t="s">
        <v>123</v>
      </c>
      <c r="W374" s="189" t="s">
        <v>124</v>
      </c>
      <c r="X374" s="189" t="s">
        <v>348</v>
      </c>
      <c r="Y374" s="189" t="s">
        <v>348</v>
      </c>
      <c r="Z374" s="189" t="s">
        <v>3146</v>
      </c>
      <c r="AA374" s="189" t="s">
        <v>3277</v>
      </c>
      <c r="AG374" s="189" t="s">
        <v>3166</v>
      </c>
      <c r="AH374" s="189" t="s">
        <v>3148</v>
      </c>
    </row>
    <row r="375" customFormat="false" ht="15" hidden="false" customHeight="true" outlineLevel="0" collapsed="false">
      <c r="A375" s="0" t="n">
        <v>374</v>
      </c>
      <c r="B375" s="191" t="n">
        <v>46177.6274630538</v>
      </c>
      <c r="C375" s="191" t="n">
        <v>46177.643423702</v>
      </c>
      <c r="D375" s="189" t="s">
        <v>2343</v>
      </c>
      <c r="E375" s="189" t="s">
        <v>2344</v>
      </c>
      <c r="F375" s="189" t="s">
        <v>2345</v>
      </c>
      <c r="G375" s="189" t="s">
        <v>2346</v>
      </c>
      <c r="H375" s="191" t="n">
        <v>46162</v>
      </c>
      <c r="I375" s="189" t="s">
        <v>113</v>
      </c>
      <c r="J375" s="189" t="s">
        <v>108</v>
      </c>
      <c r="K375" s="189" t="s">
        <v>173</v>
      </c>
      <c r="L375" s="189" t="s">
        <v>431</v>
      </c>
      <c r="M375" s="189" t="s">
        <v>391</v>
      </c>
      <c r="N375" s="189" t="s">
        <v>508</v>
      </c>
      <c r="O375" s="189" t="s">
        <v>157</v>
      </c>
      <c r="P375" s="189" t="s">
        <v>111</v>
      </c>
      <c r="Q375" s="189" t="s">
        <v>112</v>
      </c>
      <c r="R375" s="189" t="s">
        <v>22</v>
      </c>
      <c r="S375" s="189" t="s">
        <v>120</v>
      </c>
      <c r="T375" s="189" t="s">
        <v>121</v>
      </c>
      <c r="U375" s="189" t="s">
        <v>122</v>
      </c>
      <c r="V375" s="189" t="s">
        <v>123</v>
      </c>
      <c r="W375" s="189" t="s">
        <v>124</v>
      </c>
      <c r="X375" s="189" t="s">
        <v>148</v>
      </c>
      <c r="Y375" s="189" t="s">
        <v>148</v>
      </c>
      <c r="Z375" s="189" t="s">
        <v>3076</v>
      </c>
      <c r="AG375" s="189" t="s">
        <v>122</v>
      </c>
      <c r="AH375" s="189" t="s">
        <v>3079</v>
      </c>
    </row>
    <row r="376" customFormat="false" ht="15" hidden="false" customHeight="true" outlineLevel="0" collapsed="false">
      <c r="A376" s="0" t="n">
        <v>375</v>
      </c>
      <c r="B376" s="191" t="n">
        <v>46203.2704673839</v>
      </c>
      <c r="C376" s="191" t="n">
        <v>46203.2822150691</v>
      </c>
      <c r="D376" s="189" t="s">
        <v>2348</v>
      </c>
      <c r="E376" s="189" t="s">
        <v>2349</v>
      </c>
      <c r="F376" s="189" t="s">
        <v>2349</v>
      </c>
      <c r="G376" s="189" t="s">
        <v>2350</v>
      </c>
      <c r="H376" s="191" t="n">
        <v>46195</v>
      </c>
      <c r="I376" s="189" t="s">
        <v>113</v>
      </c>
      <c r="J376" s="189" t="s">
        <v>108</v>
      </c>
      <c r="K376" s="189" t="s">
        <v>257</v>
      </c>
      <c r="L376" s="189" t="s">
        <v>268</v>
      </c>
      <c r="M376" s="189" t="s">
        <v>234</v>
      </c>
      <c r="N376" s="189" t="s">
        <v>111</v>
      </c>
      <c r="O376" s="189" t="s">
        <v>244</v>
      </c>
      <c r="P376" s="189" t="s">
        <v>111</v>
      </c>
      <c r="Q376" s="189" t="s">
        <v>112</v>
      </c>
      <c r="R376" s="189" t="s">
        <v>23</v>
      </c>
      <c r="S376" s="189" t="s">
        <v>152</v>
      </c>
      <c r="T376" s="189" t="s">
        <v>121</v>
      </c>
      <c r="U376" s="132" t="s">
        <v>2351</v>
      </c>
      <c r="V376" s="189" t="s">
        <v>123</v>
      </c>
      <c r="W376" s="189" t="s">
        <v>124</v>
      </c>
      <c r="X376" s="189" t="s">
        <v>442</v>
      </c>
      <c r="Y376" s="189" t="s">
        <v>442</v>
      </c>
      <c r="AK376" s="189" t="s">
        <v>441</v>
      </c>
    </row>
    <row r="377" customFormat="false" ht="15" hidden="false" customHeight="true" outlineLevel="0" collapsed="false">
      <c r="A377" s="0" t="n">
        <v>376</v>
      </c>
      <c r="B377" s="191" t="n">
        <v>46214.3393241695</v>
      </c>
      <c r="C377" s="191" t="n">
        <v>46214.3494514843</v>
      </c>
      <c r="D377" s="189" t="s">
        <v>2352</v>
      </c>
      <c r="E377" s="189" t="s">
        <v>2353</v>
      </c>
      <c r="F377" s="189" t="s">
        <v>2353</v>
      </c>
      <c r="G377" s="189" t="s">
        <v>2354</v>
      </c>
      <c r="H377" s="191" t="n">
        <v>46214</v>
      </c>
      <c r="I377" s="189" t="s">
        <v>325</v>
      </c>
      <c r="J377" s="189" t="s">
        <v>108</v>
      </c>
      <c r="K377" s="189" t="s">
        <v>2355</v>
      </c>
      <c r="L377" s="189" t="s">
        <v>389</v>
      </c>
      <c r="M377" s="189" t="s">
        <v>258</v>
      </c>
      <c r="N377" s="189" t="s">
        <v>1622</v>
      </c>
      <c r="O377" s="189" t="s">
        <v>244</v>
      </c>
      <c r="P377" s="189" t="s">
        <v>111</v>
      </c>
      <c r="Q377" s="189" t="s">
        <v>198</v>
      </c>
      <c r="R377" s="189" t="s">
        <v>21</v>
      </c>
      <c r="S377" s="189" t="s">
        <v>152</v>
      </c>
      <c r="T377" s="189" t="s">
        <v>121</v>
      </c>
      <c r="U377" s="189" t="s">
        <v>948</v>
      </c>
      <c r="V377" s="189" t="s">
        <v>192</v>
      </c>
      <c r="W377" s="189" t="s">
        <v>124</v>
      </c>
      <c r="X377" s="189" t="s">
        <v>457</v>
      </c>
      <c r="Y377" s="189" t="s">
        <v>457</v>
      </c>
      <c r="Z377" s="189" t="s">
        <v>3095</v>
      </c>
      <c r="AG377" s="189" t="s">
        <v>3140</v>
      </c>
      <c r="AH377" s="189" t="s">
        <v>122</v>
      </c>
    </row>
    <row r="378" customFormat="false" ht="15" hidden="false" customHeight="true" outlineLevel="0" collapsed="false">
      <c r="A378" s="0" t="n">
        <v>377</v>
      </c>
      <c r="B378" s="191" t="n">
        <v>46069.0008253018</v>
      </c>
      <c r="C378" s="191" t="n">
        <v>46069.0050382648</v>
      </c>
      <c r="D378" s="189" t="s">
        <v>2356</v>
      </c>
      <c r="E378" s="189" t="s">
        <v>2357</v>
      </c>
      <c r="F378" s="189" t="s">
        <v>2357</v>
      </c>
      <c r="G378" s="189" t="s">
        <v>2358</v>
      </c>
      <c r="H378" s="191" t="n">
        <v>46068</v>
      </c>
      <c r="I378" s="189" t="s">
        <v>113</v>
      </c>
      <c r="J378" s="189" t="s">
        <v>128</v>
      </c>
      <c r="K378" s="189" t="s">
        <v>1926</v>
      </c>
      <c r="L378" s="189" t="s">
        <v>286</v>
      </c>
      <c r="M378" s="189" t="s">
        <v>594</v>
      </c>
      <c r="N378" s="189" t="s">
        <v>147</v>
      </c>
      <c r="O378" s="189" t="s">
        <v>172</v>
      </c>
      <c r="P378" s="189" t="s">
        <v>111</v>
      </c>
      <c r="Q378" s="189" t="s">
        <v>145</v>
      </c>
      <c r="R378" s="189" t="s">
        <v>24</v>
      </c>
      <c r="S378" s="189" t="s">
        <v>120</v>
      </c>
      <c r="T378" s="189" t="s">
        <v>121</v>
      </c>
      <c r="U378" s="189" t="s">
        <v>239</v>
      </c>
      <c r="V378" s="189" t="s">
        <v>123</v>
      </c>
      <c r="W378" s="189" t="s">
        <v>124</v>
      </c>
      <c r="X378" s="189" t="s">
        <v>223</v>
      </c>
      <c r="Y378" s="189" t="s">
        <v>223</v>
      </c>
      <c r="Z378" s="189" t="s">
        <v>3096</v>
      </c>
      <c r="AA378" s="189" t="s">
        <v>3097</v>
      </c>
      <c r="AB378" s="189" t="s">
        <v>3120</v>
      </c>
      <c r="AG378" s="189" t="s">
        <v>3101</v>
      </c>
      <c r="AH378" s="189" t="s">
        <v>3106</v>
      </c>
    </row>
    <row r="379" customFormat="false" ht="15" hidden="false" customHeight="true" outlineLevel="0" collapsed="false">
      <c r="A379" s="0" t="n">
        <v>378</v>
      </c>
      <c r="B379" s="191" t="n">
        <v>46164.9674275081</v>
      </c>
      <c r="C379" s="191" t="n">
        <v>46164.9851358414</v>
      </c>
      <c r="D379" s="189" t="s">
        <v>2361</v>
      </c>
      <c r="E379" s="189" t="s">
        <v>2362</v>
      </c>
      <c r="F379" s="189" t="s">
        <v>2362</v>
      </c>
      <c r="G379" s="189" t="s">
        <v>2363</v>
      </c>
      <c r="H379" s="191" t="n">
        <v>46144</v>
      </c>
      <c r="I379" s="189" t="s">
        <v>113</v>
      </c>
      <c r="J379" s="189" t="s">
        <v>295</v>
      </c>
      <c r="K379" s="189" t="s">
        <v>2364</v>
      </c>
      <c r="L379" s="189" t="s">
        <v>346</v>
      </c>
      <c r="M379" s="189" t="s">
        <v>174</v>
      </c>
      <c r="N379" s="189" t="s">
        <v>306</v>
      </c>
      <c r="O379" s="189" t="s">
        <v>278</v>
      </c>
      <c r="P379" s="189" t="s">
        <v>111</v>
      </c>
      <c r="Q379" s="189" t="s">
        <v>112</v>
      </c>
      <c r="R379" s="189" t="s">
        <v>21</v>
      </c>
      <c r="S379" s="189" t="s">
        <v>152</v>
      </c>
      <c r="T379" s="189" t="s">
        <v>180</v>
      </c>
      <c r="V379" s="189" t="s">
        <v>123</v>
      </c>
      <c r="W379" s="189" t="s">
        <v>124</v>
      </c>
      <c r="X379" s="189" t="s">
        <v>374</v>
      </c>
      <c r="Y379" s="189" t="s">
        <v>374</v>
      </c>
      <c r="Z379" s="189" t="s">
        <v>3155</v>
      </c>
      <c r="AG379" s="189" t="s">
        <v>3158</v>
      </c>
    </row>
    <row r="380" customFormat="false" ht="15" hidden="false" customHeight="true" outlineLevel="0" collapsed="false">
      <c r="A380" s="0" t="n">
        <v>379</v>
      </c>
      <c r="B380" s="191" t="n">
        <v>46145.3203041674</v>
      </c>
      <c r="C380" s="191" t="n">
        <v>46145.3289847229</v>
      </c>
      <c r="D380" s="189" t="s">
        <v>2365</v>
      </c>
      <c r="E380" s="189" t="s">
        <v>2366</v>
      </c>
      <c r="F380" s="189" t="s">
        <v>2366</v>
      </c>
      <c r="G380" s="189" t="s">
        <v>2367</v>
      </c>
      <c r="H380" s="191" t="n">
        <v>46139</v>
      </c>
      <c r="I380" s="189" t="s">
        <v>113</v>
      </c>
      <c r="J380" s="189" t="s">
        <v>295</v>
      </c>
      <c r="K380" s="189" t="s">
        <v>245</v>
      </c>
      <c r="L380" s="189" t="s">
        <v>130</v>
      </c>
      <c r="M380" s="189" t="s">
        <v>114</v>
      </c>
      <c r="N380" s="189" t="s">
        <v>134</v>
      </c>
      <c r="O380" s="189" t="s">
        <v>278</v>
      </c>
      <c r="P380" s="189" t="s">
        <v>111</v>
      </c>
      <c r="Q380" s="189" t="s">
        <v>112</v>
      </c>
      <c r="R380" s="189" t="s">
        <v>22</v>
      </c>
      <c r="S380" s="189" t="s">
        <v>152</v>
      </c>
      <c r="T380" s="189" t="s">
        <v>121</v>
      </c>
      <c r="U380" s="189" t="s">
        <v>1700</v>
      </c>
      <c r="V380" s="189" t="s">
        <v>192</v>
      </c>
      <c r="W380" s="189" t="s">
        <v>124</v>
      </c>
      <c r="X380" s="189" t="s">
        <v>176</v>
      </c>
      <c r="Y380" s="189" t="s">
        <v>176</v>
      </c>
      <c r="Z380" s="189" t="s">
        <v>3264</v>
      </c>
      <c r="AG380" s="189" t="s">
        <v>3245</v>
      </c>
    </row>
    <row r="381" customFormat="false" ht="15" hidden="false" customHeight="true" outlineLevel="0" collapsed="false">
      <c r="A381" s="0" t="n">
        <v>380</v>
      </c>
      <c r="B381" s="191" t="n">
        <v>46093.6620626421</v>
      </c>
      <c r="C381" s="191" t="n">
        <v>46093.6725834755</v>
      </c>
      <c r="D381" s="189" t="s">
        <v>2370</v>
      </c>
      <c r="E381" s="189" t="s">
        <v>2371</v>
      </c>
      <c r="F381" s="189" t="s">
        <v>2371</v>
      </c>
      <c r="G381" s="189" t="s">
        <v>2372</v>
      </c>
      <c r="H381" s="191" t="n">
        <v>46087</v>
      </c>
      <c r="I381" s="189" t="s">
        <v>113</v>
      </c>
      <c r="J381" s="189" t="s">
        <v>108</v>
      </c>
      <c r="K381" s="189" t="s">
        <v>232</v>
      </c>
      <c r="L381" s="189" t="s">
        <v>286</v>
      </c>
      <c r="M381" s="189" t="s">
        <v>357</v>
      </c>
      <c r="N381" s="189" t="s">
        <v>414</v>
      </c>
      <c r="O381" s="189" t="s">
        <v>1949</v>
      </c>
      <c r="P381" s="189" t="s">
        <v>111</v>
      </c>
      <c r="Q381" s="189" t="s">
        <v>247</v>
      </c>
      <c r="R381" s="189" t="s">
        <v>22</v>
      </c>
      <c r="S381" s="189" t="s">
        <v>152</v>
      </c>
      <c r="T381" s="189" t="s">
        <v>180</v>
      </c>
      <c r="V381" s="189" t="s">
        <v>123</v>
      </c>
      <c r="W381" s="189" t="s">
        <v>124</v>
      </c>
      <c r="X381" s="189" t="s">
        <v>116</v>
      </c>
      <c r="Y381" s="189" t="s">
        <v>116</v>
      </c>
      <c r="Z381" s="189" t="s">
        <v>3139</v>
      </c>
      <c r="AG381" s="189" t="s">
        <v>122</v>
      </c>
      <c r="AH381" s="189" t="s">
        <v>3140</v>
      </c>
    </row>
    <row r="382" customFormat="false" ht="15" hidden="false" customHeight="true" outlineLevel="0" collapsed="false">
      <c r="A382" s="0" t="n">
        <v>381</v>
      </c>
      <c r="B382" s="191" t="n">
        <v>46212.9860702131</v>
      </c>
      <c r="C382" s="191" t="n">
        <v>46212.9899359539</v>
      </c>
      <c r="D382" s="189" t="s">
        <v>2373</v>
      </c>
      <c r="E382" s="189" t="s">
        <v>2374</v>
      </c>
      <c r="F382" s="189" t="s">
        <v>2374</v>
      </c>
      <c r="G382" s="189" t="s">
        <v>2375</v>
      </c>
      <c r="H382" s="191" t="n">
        <v>46212</v>
      </c>
      <c r="I382" s="189" t="s">
        <v>113</v>
      </c>
      <c r="J382" s="189" t="s">
        <v>108</v>
      </c>
      <c r="K382" s="189" t="s">
        <v>462</v>
      </c>
      <c r="L382" s="189" t="s">
        <v>268</v>
      </c>
      <c r="M382" s="189" t="s">
        <v>1388</v>
      </c>
      <c r="N382" s="189" t="s">
        <v>1140</v>
      </c>
      <c r="O382" s="189" t="s">
        <v>107</v>
      </c>
      <c r="P382" s="189" t="s">
        <v>211</v>
      </c>
      <c r="Q382" s="189" t="s">
        <v>112</v>
      </c>
      <c r="R382" s="189" t="s">
        <v>21</v>
      </c>
      <c r="S382" s="189" t="s">
        <v>120</v>
      </c>
      <c r="T382" s="189" t="s">
        <v>121</v>
      </c>
      <c r="U382" s="189" t="s">
        <v>1420</v>
      </c>
      <c r="V382" s="189" t="s">
        <v>192</v>
      </c>
      <c r="W382" s="189" t="s">
        <v>168</v>
      </c>
      <c r="X382" s="189" t="s">
        <v>307</v>
      </c>
      <c r="Y382" s="189" t="s">
        <v>307</v>
      </c>
      <c r="Z382" s="189" t="s">
        <v>3129</v>
      </c>
      <c r="AA382" s="189" t="s">
        <v>3130</v>
      </c>
      <c r="AB382" s="189" t="s">
        <v>3131</v>
      </c>
      <c r="AG382" s="189" t="s">
        <v>3134</v>
      </c>
      <c r="AH382" s="189" t="s">
        <v>3133</v>
      </c>
    </row>
    <row r="383" customFormat="false" ht="15" hidden="false" customHeight="true" outlineLevel="0" collapsed="false">
      <c r="A383" s="0" t="n">
        <v>382</v>
      </c>
      <c r="B383" s="191" t="n">
        <v>46035.0555224898</v>
      </c>
      <c r="C383" s="191" t="n">
        <v>46035.0705919342</v>
      </c>
      <c r="D383" s="189" t="s">
        <v>2377</v>
      </c>
      <c r="E383" s="189" t="s">
        <v>2378</v>
      </c>
      <c r="F383" s="189" t="s">
        <v>2378</v>
      </c>
      <c r="G383" s="189" t="s">
        <v>2379</v>
      </c>
      <c r="H383" s="191" t="n">
        <v>46030</v>
      </c>
      <c r="I383" s="189" t="s">
        <v>336</v>
      </c>
      <c r="J383" s="189" t="s">
        <v>128</v>
      </c>
      <c r="K383" s="189" t="s">
        <v>143</v>
      </c>
      <c r="L383" s="189" t="s">
        <v>431</v>
      </c>
      <c r="M383" s="189" t="s">
        <v>1120</v>
      </c>
      <c r="N383" s="189" t="s">
        <v>175</v>
      </c>
      <c r="O383" s="189" t="s">
        <v>172</v>
      </c>
      <c r="P383" s="189" t="s">
        <v>111</v>
      </c>
      <c r="Q383" s="189" t="s">
        <v>112</v>
      </c>
      <c r="R383" s="189" t="s">
        <v>24</v>
      </c>
      <c r="S383" s="189" t="s">
        <v>152</v>
      </c>
      <c r="T383" s="189" t="s">
        <v>121</v>
      </c>
      <c r="V383" s="189" t="s">
        <v>167</v>
      </c>
      <c r="W383" s="189" t="s">
        <v>124</v>
      </c>
      <c r="X383" s="189" t="s">
        <v>223</v>
      </c>
      <c r="Y383" s="189" t="s">
        <v>223</v>
      </c>
      <c r="Z383" s="189" t="s">
        <v>3121</v>
      </c>
      <c r="AA383" s="189" t="s">
        <v>3104</v>
      </c>
      <c r="AG383" s="189" t="s">
        <v>3102</v>
      </c>
    </row>
    <row r="384" customFormat="false" ht="15" hidden="false" customHeight="true" outlineLevel="0" collapsed="false">
      <c r="A384" s="0" t="n">
        <v>383</v>
      </c>
      <c r="B384" s="191" t="n">
        <v>46171.384552972</v>
      </c>
      <c r="C384" s="191" t="n">
        <v>46171.4043214906</v>
      </c>
      <c r="D384" s="189" t="s">
        <v>2382</v>
      </c>
      <c r="E384" s="189" t="s">
        <v>2383</v>
      </c>
      <c r="F384" s="189" t="s">
        <v>2384</v>
      </c>
      <c r="G384" s="189" t="s">
        <v>2385</v>
      </c>
      <c r="H384" s="191" t="n">
        <v>46166</v>
      </c>
      <c r="I384" s="189" t="s">
        <v>325</v>
      </c>
      <c r="J384" s="189" t="s">
        <v>108</v>
      </c>
      <c r="K384" s="189" t="s">
        <v>143</v>
      </c>
      <c r="L384" s="189" t="s">
        <v>389</v>
      </c>
      <c r="M384" s="189" t="s">
        <v>905</v>
      </c>
      <c r="N384" s="189" t="s">
        <v>849</v>
      </c>
      <c r="O384" s="189" t="s">
        <v>172</v>
      </c>
      <c r="P384" s="189" t="s">
        <v>111</v>
      </c>
      <c r="Q384" s="189" t="s">
        <v>145</v>
      </c>
      <c r="R384" s="189" t="s">
        <v>22</v>
      </c>
      <c r="S384" s="189" t="s">
        <v>152</v>
      </c>
      <c r="T384" s="189" t="s">
        <v>180</v>
      </c>
      <c r="U384" s="189" t="s">
        <v>1229</v>
      </c>
      <c r="V384" s="189" t="s">
        <v>123</v>
      </c>
      <c r="W384" s="189" t="s">
        <v>124</v>
      </c>
      <c r="X384" s="189" t="s">
        <v>271</v>
      </c>
      <c r="Y384" s="189" t="s">
        <v>271</v>
      </c>
      <c r="Z384" s="189" t="s">
        <v>3135</v>
      </c>
      <c r="AG384" s="189" t="s">
        <v>122</v>
      </c>
      <c r="AH384" s="189" t="s">
        <v>3118</v>
      </c>
    </row>
    <row r="385" customFormat="false" ht="15" hidden="false" customHeight="true" outlineLevel="0" collapsed="false">
      <c r="A385" s="0" t="n">
        <v>384</v>
      </c>
      <c r="B385" s="191" t="n">
        <v>46045.1478219291</v>
      </c>
      <c r="C385" s="191" t="n">
        <v>46045.1492455402</v>
      </c>
      <c r="D385" s="189" t="s">
        <v>2387</v>
      </c>
      <c r="E385" s="189" t="s">
        <v>2388</v>
      </c>
      <c r="F385" s="189" t="s">
        <v>2388</v>
      </c>
      <c r="G385" s="189" t="s">
        <v>2389</v>
      </c>
      <c r="H385" s="191" t="n">
        <v>46033</v>
      </c>
      <c r="I385" s="189" t="s">
        <v>113</v>
      </c>
      <c r="J385" s="189" t="s">
        <v>295</v>
      </c>
      <c r="K385" s="189" t="s">
        <v>2390</v>
      </c>
      <c r="L385" s="189" t="s">
        <v>286</v>
      </c>
      <c r="M385" s="189" t="s">
        <v>212</v>
      </c>
      <c r="N385" s="189" t="s">
        <v>714</v>
      </c>
      <c r="O385" s="189" t="s">
        <v>713</v>
      </c>
      <c r="P385" s="189" t="s">
        <v>111</v>
      </c>
      <c r="Q385" s="189" t="s">
        <v>112</v>
      </c>
      <c r="R385" s="189" t="s">
        <v>22</v>
      </c>
      <c r="S385" s="189" t="s">
        <v>152</v>
      </c>
      <c r="T385" s="189" t="s">
        <v>121</v>
      </c>
      <c r="U385" s="189" t="s">
        <v>122</v>
      </c>
      <c r="V385" s="189" t="s">
        <v>123</v>
      </c>
      <c r="W385" s="189" t="s">
        <v>124</v>
      </c>
      <c r="X385" s="189" t="s">
        <v>298</v>
      </c>
      <c r="Y385" s="189" t="s">
        <v>298</v>
      </c>
      <c r="Z385" s="189" t="s">
        <v>3194</v>
      </c>
      <c r="AA385" s="189" t="s">
        <v>3195</v>
      </c>
      <c r="AG385" s="189" t="s">
        <v>3215</v>
      </c>
      <c r="AH385" s="189" t="s">
        <v>3127</v>
      </c>
    </row>
    <row r="386" customFormat="false" ht="15" hidden="false" customHeight="true" outlineLevel="0" collapsed="false">
      <c r="A386" s="0" t="n">
        <v>385</v>
      </c>
      <c r="B386" s="191" t="n">
        <v>46159.0310459914</v>
      </c>
      <c r="C386" s="191" t="n">
        <v>46159.0362427507</v>
      </c>
      <c r="D386" s="189" t="s">
        <v>2393</v>
      </c>
      <c r="E386" s="189" t="s">
        <v>2394</v>
      </c>
      <c r="F386" s="189" t="s">
        <v>2395</v>
      </c>
      <c r="G386" s="189" t="s">
        <v>2396</v>
      </c>
      <c r="H386" s="191" t="n">
        <v>46143</v>
      </c>
      <c r="I386" s="189" t="s">
        <v>113</v>
      </c>
      <c r="J386" s="189" t="s">
        <v>108</v>
      </c>
      <c r="K386" s="189" t="s">
        <v>245</v>
      </c>
      <c r="L386" s="189" t="s">
        <v>159</v>
      </c>
      <c r="M386" s="189" t="s">
        <v>337</v>
      </c>
      <c r="N386" s="189" t="s">
        <v>810</v>
      </c>
      <c r="O386" s="189" t="s">
        <v>172</v>
      </c>
      <c r="P386" s="189" t="s">
        <v>111</v>
      </c>
      <c r="Q386" s="189" t="s">
        <v>112</v>
      </c>
      <c r="R386" s="189" t="s">
        <v>22</v>
      </c>
      <c r="S386" s="189" t="s">
        <v>152</v>
      </c>
      <c r="T386" s="189" t="s">
        <v>121</v>
      </c>
      <c r="U386" s="189" t="s">
        <v>385</v>
      </c>
      <c r="V386" s="189" t="s">
        <v>123</v>
      </c>
      <c r="W386" s="189" t="s">
        <v>124</v>
      </c>
      <c r="X386" s="189" t="s">
        <v>381</v>
      </c>
      <c r="Y386" s="189" t="s">
        <v>381</v>
      </c>
      <c r="Z386" s="189" t="s">
        <v>3180</v>
      </c>
      <c r="AA386" s="189" t="s">
        <v>3249</v>
      </c>
      <c r="AB386" s="189" t="s">
        <v>3233</v>
      </c>
      <c r="AG386" s="189" t="s">
        <v>3163</v>
      </c>
      <c r="AH386" s="189" t="s">
        <v>3181</v>
      </c>
    </row>
    <row r="387" customFormat="false" ht="15" hidden="false" customHeight="true" outlineLevel="0" collapsed="false">
      <c r="A387" s="0" t="n">
        <v>386</v>
      </c>
      <c r="B387" s="191" t="n">
        <v>46208.5463340757</v>
      </c>
      <c r="C387" s="191" t="n">
        <v>46208.558729909</v>
      </c>
      <c r="D387" s="189" t="s">
        <v>2399</v>
      </c>
      <c r="E387" s="189" t="s">
        <v>2400</v>
      </c>
      <c r="F387" s="189" t="s">
        <v>2401</v>
      </c>
      <c r="G387" s="189" t="s">
        <v>2402</v>
      </c>
      <c r="H387" s="191" t="n">
        <v>46193</v>
      </c>
      <c r="I387" s="189" t="s">
        <v>325</v>
      </c>
      <c r="J387" s="189" t="s">
        <v>108</v>
      </c>
      <c r="K387" s="189" t="s">
        <v>257</v>
      </c>
      <c r="L387" s="189" t="s">
        <v>346</v>
      </c>
      <c r="M387" s="189" t="s">
        <v>1151</v>
      </c>
      <c r="N387" s="189" t="s">
        <v>249</v>
      </c>
      <c r="O387" s="189" t="s">
        <v>172</v>
      </c>
      <c r="P387" s="189" t="s">
        <v>111</v>
      </c>
      <c r="Q387" s="189" t="s">
        <v>112</v>
      </c>
      <c r="R387" s="189" t="s">
        <v>22</v>
      </c>
      <c r="S387" s="189" t="s">
        <v>152</v>
      </c>
      <c r="T387" s="189" t="s">
        <v>352</v>
      </c>
      <c r="V387" s="189" t="s">
        <v>123</v>
      </c>
      <c r="W387" s="189" t="s">
        <v>124</v>
      </c>
      <c r="X387" s="189" t="s">
        <v>715</v>
      </c>
      <c r="Y387" s="189" t="s">
        <v>715</v>
      </c>
      <c r="Z387" s="189" t="s">
        <v>3225</v>
      </c>
      <c r="AA387" s="189" t="s">
        <v>3252</v>
      </c>
      <c r="AG387" s="189" t="s">
        <v>3232</v>
      </c>
    </row>
    <row r="388" customFormat="false" ht="15" hidden="false" customHeight="true" outlineLevel="0" collapsed="false">
      <c r="A388" s="0" t="n">
        <v>387</v>
      </c>
      <c r="B388" s="191" t="n">
        <v>46172.0405064024</v>
      </c>
      <c r="C388" s="191" t="n">
        <v>46172.0483999209</v>
      </c>
      <c r="D388" s="189" t="s">
        <v>2405</v>
      </c>
      <c r="E388" s="189" t="s">
        <v>2406</v>
      </c>
      <c r="F388" s="189" t="s">
        <v>2406</v>
      </c>
      <c r="G388" s="189" t="s">
        <v>2407</v>
      </c>
      <c r="H388" s="191" t="n">
        <v>46153</v>
      </c>
      <c r="I388" s="189" t="s">
        <v>113</v>
      </c>
      <c r="J388" s="189" t="s">
        <v>295</v>
      </c>
      <c r="K388" s="189" t="s">
        <v>196</v>
      </c>
      <c r="L388" s="189" t="s">
        <v>197</v>
      </c>
      <c r="M388" s="189" t="s">
        <v>885</v>
      </c>
      <c r="N388" s="189" t="s">
        <v>990</v>
      </c>
      <c r="O388" s="189" t="s">
        <v>107</v>
      </c>
      <c r="P388" s="189" t="s">
        <v>111</v>
      </c>
      <c r="Q388" s="189" t="s">
        <v>112</v>
      </c>
      <c r="R388" s="189" t="s">
        <v>24</v>
      </c>
      <c r="S388" s="189" t="s">
        <v>227</v>
      </c>
      <c r="T388" s="189" t="s">
        <v>121</v>
      </c>
      <c r="U388" s="189" t="s">
        <v>2325</v>
      </c>
      <c r="V388" s="189" t="s">
        <v>167</v>
      </c>
      <c r="W388" s="189" t="s">
        <v>124</v>
      </c>
      <c r="X388" s="189" t="s">
        <v>260</v>
      </c>
      <c r="Y388" s="189" t="s">
        <v>260</v>
      </c>
      <c r="Z388" s="189" t="s">
        <v>3318</v>
      </c>
      <c r="AA388" s="189" t="s">
        <v>3262</v>
      </c>
      <c r="AG388" s="189" t="s">
        <v>3280</v>
      </c>
      <c r="AH388" s="189" t="s">
        <v>3332</v>
      </c>
    </row>
    <row r="389" customFormat="false" ht="15" hidden="false" customHeight="true" outlineLevel="0" collapsed="false">
      <c r="A389" s="0" t="n">
        <v>388</v>
      </c>
      <c r="B389" s="191" t="n">
        <v>46129.7243637822</v>
      </c>
      <c r="C389" s="191" t="n">
        <v>46129.732928597</v>
      </c>
      <c r="D389" s="189" t="s">
        <v>2411</v>
      </c>
      <c r="E389" s="189" t="s">
        <v>2412</v>
      </c>
      <c r="F389" s="189" t="s">
        <v>2412</v>
      </c>
      <c r="G389" s="189" t="s">
        <v>2413</v>
      </c>
      <c r="H389" s="191" t="n">
        <v>46122</v>
      </c>
      <c r="I389" s="189" t="s">
        <v>113</v>
      </c>
      <c r="J389" s="189" t="s">
        <v>108</v>
      </c>
      <c r="K389" s="189" t="s">
        <v>143</v>
      </c>
      <c r="L389" s="189" t="s">
        <v>159</v>
      </c>
      <c r="M389" s="189" t="s">
        <v>809</v>
      </c>
      <c r="N389" s="189" t="s">
        <v>280</v>
      </c>
      <c r="O389" s="189" t="s">
        <v>244</v>
      </c>
      <c r="P389" s="189" t="s">
        <v>111</v>
      </c>
      <c r="Q389" s="189" t="s">
        <v>145</v>
      </c>
      <c r="R389" s="189" t="s">
        <v>21</v>
      </c>
      <c r="S389" s="189" t="s">
        <v>120</v>
      </c>
      <c r="T389" s="189" t="s">
        <v>180</v>
      </c>
      <c r="V389" s="189" t="s">
        <v>192</v>
      </c>
      <c r="W389" s="189" t="s">
        <v>124</v>
      </c>
      <c r="X389" s="189" t="s">
        <v>374</v>
      </c>
      <c r="Y389" s="189" t="s">
        <v>374</v>
      </c>
      <c r="Z389" s="189" t="s">
        <v>3153</v>
      </c>
      <c r="AG389" s="189" t="s">
        <v>3158</v>
      </c>
      <c r="AH389" s="189" t="s">
        <v>3157</v>
      </c>
    </row>
    <row r="390" customFormat="false" ht="15" hidden="false" customHeight="true" outlineLevel="0" collapsed="false">
      <c r="A390" s="0" t="n">
        <v>389</v>
      </c>
      <c r="B390" s="191" t="n">
        <v>46045.0809677289</v>
      </c>
      <c r="C390" s="191" t="n">
        <v>46045.0875880993</v>
      </c>
      <c r="D390" s="189" t="s">
        <v>2415</v>
      </c>
      <c r="E390" s="189" t="s">
        <v>2416</v>
      </c>
      <c r="F390" s="189" t="s">
        <v>2416</v>
      </c>
      <c r="G390" s="189" t="s">
        <v>2417</v>
      </c>
      <c r="H390" s="191" t="n">
        <v>46026</v>
      </c>
      <c r="I390" s="189" t="s">
        <v>113</v>
      </c>
      <c r="J390" s="189" t="s">
        <v>108</v>
      </c>
      <c r="K390" s="189" t="s">
        <v>257</v>
      </c>
      <c r="L390" s="189" t="s">
        <v>210</v>
      </c>
      <c r="M390" s="189" t="s">
        <v>391</v>
      </c>
      <c r="N390" s="189" t="s">
        <v>111</v>
      </c>
      <c r="O390" s="189" t="s">
        <v>278</v>
      </c>
      <c r="P390" s="189" t="s">
        <v>111</v>
      </c>
      <c r="Q390" s="189" t="s">
        <v>112</v>
      </c>
      <c r="R390" s="189" t="s">
        <v>24</v>
      </c>
      <c r="S390" s="189" t="s">
        <v>152</v>
      </c>
      <c r="T390" s="189" t="s">
        <v>121</v>
      </c>
      <c r="U390" s="189" t="s">
        <v>2325</v>
      </c>
      <c r="V390" s="189" t="s">
        <v>192</v>
      </c>
      <c r="W390" s="189" t="s">
        <v>124</v>
      </c>
      <c r="X390" s="189" t="s">
        <v>223</v>
      </c>
      <c r="Y390" s="189" t="s">
        <v>223</v>
      </c>
      <c r="Z390" s="189" t="s">
        <v>3104</v>
      </c>
      <c r="AA390" s="189" t="s">
        <v>3096</v>
      </c>
      <c r="AG390" s="189" t="s">
        <v>3101</v>
      </c>
    </row>
    <row r="391" customFormat="false" ht="15" hidden="false" customHeight="true" outlineLevel="0" collapsed="false">
      <c r="A391" s="0" t="n">
        <v>390</v>
      </c>
      <c r="B391" s="191" t="n">
        <v>46093.6969201296</v>
      </c>
      <c r="C391" s="191" t="n">
        <v>46093.7070590185</v>
      </c>
      <c r="D391" s="189" t="s">
        <v>2419</v>
      </c>
      <c r="E391" s="189" t="s">
        <v>2420</v>
      </c>
      <c r="F391" s="189" t="s">
        <v>2420</v>
      </c>
      <c r="G391" s="189" t="s">
        <v>2421</v>
      </c>
      <c r="H391" s="191" t="n">
        <v>46083</v>
      </c>
      <c r="I391" s="189" t="s">
        <v>113</v>
      </c>
      <c r="J391" s="189" t="s">
        <v>108</v>
      </c>
      <c r="K391" s="189" t="s">
        <v>2422</v>
      </c>
      <c r="L391" s="189" t="s">
        <v>268</v>
      </c>
      <c r="M391" s="189" t="s">
        <v>905</v>
      </c>
      <c r="N391" s="189" t="s">
        <v>2100</v>
      </c>
      <c r="O391" s="189" t="s">
        <v>172</v>
      </c>
      <c r="P391" s="189" t="s">
        <v>111</v>
      </c>
      <c r="Q391" s="189" t="s">
        <v>112</v>
      </c>
      <c r="R391" s="189" t="s">
        <v>23</v>
      </c>
      <c r="S391" s="189" t="s">
        <v>152</v>
      </c>
      <c r="T391" s="189" t="s">
        <v>121</v>
      </c>
      <c r="U391" s="189" t="s">
        <v>122</v>
      </c>
      <c r="V391" s="189" t="s">
        <v>123</v>
      </c>
      <c r="W391" s="189" t="s">
        <v>124</v>
      </c>
      <c r="X391" s="189" t="s">
        <v>122</v>
      </c>
      <c r="Y391" s="189" t="s">
        <v>122</v>
      </c>
    </row>
    <row r="392" customFormat="false" ht="15" hidden="false" customHeight="true" outlineLevel="0" collapsed="false">
      <c r="A392" s="0" t="n">
        <v>391</v>
      </c>
      <c r="B392" s="191" t="n">
        <v>46197.8741733636</v>
      </c>
      <c r="C392" s="191" t="n">
        <v>46197.8781779933</v>
      </c>
      <c r="D392" s="189" t="s">
        <v>2423</v>
      </c>
      <c r="E392" s="189" t="s">
        <v>2424</v>
      </c>
      <c r="F392" s="189" t="s">
        <v>2424</v>
      </c>
      <c r="G392" s="189" t="s">
        <v>2425</v>
      </c>
      <c r="H392" s="191" t="n">
        <v>46192</v>
      </c>
      <c r="I392" s="189" t="s">
        <v>113</v>
      </c>
      <c r="J392" s="189" t="s">
        <v>128</v>
      </c>
      <c r="K392" s="189" t="s">
        <v>245</v>
      </c>
      <c r="L392" s="189" t="s">
        <v>491</v>
      </c>
      <c r="M392" s="189" t="s">
        <v>391</v>
      </c>
      <c r="N392" s="189" t="s">
        <v>552</v>
      </c>
      <c r="O392" s="189" t="s">
        <v>278</v>
      </c>
      <c r="P392" s="189" t="s">
        <v>111</v>
      </c>
      <c r="Q392" s="189" t="s">
        <v>112</v>
      </c>
      <c r="R392" s="189" t="s">
        <v>22</v>
      </c>
      <c r="S392" s="189" t="s">
        <v>227</v>
      </c>
      <c r="T392" s="189" t="s">
        <v>121</v>
      </c>
      <c r="U392" s="189" t="s">
        <v>122</v>
      </c>
      <c r="V392" s="189" t="s">
        <v>123</v>
      </c>
      <c r="W392" s="189" t="s">
        <v>124</v>
      </c>
      <c r="X392" s="189" t="s">
        <v>148</v>
      </c>
      <c r="Y392" s="189" t="s">
        <v>148</v>
      </c>
      <c r="Z392" s="189" t="s">
        <v>3186</v>
      </c>
      <c r="AA392" s="189" t="s">
        <v>3122</v>
      </c>
      <c r="AB392" s="189" t="s">
        <v>3281</v>
      </c>
      <c r="AG392" s="189" t="s">
        <v>3080</v>
      </c>
      <c r="AH392" s="189" t="s">
        <v>3094</v>
      </c>
    </row>
    <row r="393" customFormat="false" ht="15" hidden="false" customHeight="true" outlineLevel="0" collapsed="false">
      <c r="A393" s="0" t="n">
        <v>392</v>
      </c>
      <c r="B393" s="191" t="n">
        <v>46057.891369793</v>
      </c>
      <c r="C393" s="191" t="n">
        <v>46057.908233219</v>
      </c>
      <c r="D393" s="189" t="s">
        <v>2427</v>
      </c>
      <c r="E393" s="189" t="s">
        <v>2428</v>
      </c>
      <c r="F393" s="189" t="s">
        <v>2428</v>
      </c>
      <c r="G393" s="189" t="s">
        <v>2429</v>
      </c>
      <c r="H393" s="191" t="n">
        <v>46044</v>
      </c>
      <c r="I393" s="189" t="s">
        <v>325</v>
      </c>
      <c r="J393" s="189" t="s">
        <v>108</v>
      </c>
      <c r="K393" s="189" t="s">
        <v>2430</v>
      </c>
      <c r="L393" s="189" t="s">
        <v>233</v>
      </c>
      <c r="M393" s="189" t="s">
        <v>1151</v>
      </c>
      <c r="N393" s="189" t="s">
        <v>316</v>
      </c>
      <c r="O393" s="189" t="s">
        <v>107</v>
      </c>
      <c r="P393" s="189" t="s">
        <v>390</v>
      </c>
      <c r="Q393" s="189" t="s">
        <v>112</v>
      </c>
      <c r="R393" s="189" t="s">
        <v>22</v>
      </c>
      <c r="S393" s="189" t="s">
        <v>120</v>
      </c>
      <c r="T393" s="189" t="s">
        <v>496</v>
      </c>
      <c r="V393" s="189" t="s">
        <v>167</v>
      </c>
      <c r="W393" s="189" t="s">
        <v>124</v>
      </c>
      <c r="X393" s="189" t="s">
        <v>298</v>
      </c>
      <c r="Y393" s="189" t="s">
        <v>298</v>
      </c>
      <c r="Z393" s="189" t="s">
        <v>3123</v>
      </c>
      <c r="AA393" s="189" t="s">
        <v>3236</v>
      </c>
      <c r="AB393" s="189" t="s">
        <v>3125</v>
      </c>
      <c r="AG393" s="189" t="s">
        <v>3128</v>
      </c>
      <c r="AH393" s="189" t="s">
        <v>3127</v>
      </c>
    </row>
    <row r="394" customFormat="false" ht="15" hidden="false" customHeight="true" outlineLevel="0" collapsed="false">
      <c r="A394" s="0" t="n">
        <v>393</v>
      </c>
      <c r="B394" s="191" t="n">
        <v>46165.8219690586</v>
      </c>
      <c r="C394" s="191" t="n">
        <v>46165.8240871141</v>
      </c>
      <c r="D394" s="189" t="s">
        <v>2433</v>
      </c>
      <c r="E394" s="189" t="s">
        <v>2434</v>
      </c>
      <c r="F394" s="189" t="s">
        <v>2434</v>
      </c>
      <c r="G394" s="189" t="s">
        <v>2435</v>
      </c>
      <c r="H394" s="191" t="n">
        <v>46151</v>
      </c>
      <c r="I394" s="189" t="s">
        <v>113</v>
      </c>
      <c r="J394" s="189" t="s">
        <v>108</v>
      </c>
      <c r="K394" s="189" t="s">
        <v>364</v>
      </c>
      <c r="L394" s="189" t="s">
        <v>296</v>
      </c>
      <c r="M394" s="189" t="s">
        <v>612</v>
      </c>
      <c r="N394" s="189" t="s">
        <v>259</v>
      </c>
      <c r="O394" s="189" t="s">
        <v>107</v>
      </c>
      <c r="P394" s="189" t="s">
        <v>111</v>
      </c>
      <c r="Q394" s="189" t="s">
        <v>112</v>
      </c>
      <c r="R394" s="189" t="s">
        <v>22</v>
      </c>
      <c r="S394" s="189" t="s">
        <v>227</v>
      </c>
      <c r="T394" s="189" t="s">
        <v>264</v>
      </c>
      <c r="U394" s="189" t="s">
        <v>122</v>
      </c>
      <c r="V394" s="189" t="s">
        <v>192</v>
      </c>
      <c r="W394" s="189" t="s">
        <v>139</v>
      </c>
      <c r="X394" s="189" t="s">
        <v>148</v>
      </c>
      <c r="Y394" s="189" t="s">
        <v>148</v>
      </c>
      <c r="Z394" s="189" t="s">
        <v>3281</v>
      </c>
      <c r="AG394" s="189" t="s">
        <v>3188</v>
      </c>
      <c r="AH394" s="189" t="s">
        <v>3080</v>
      </c>
    </row>
    <row r="395" customFormat="false" ht="15" hidden="false" customHeight="true" outlineLevel="0" collapsed="false">
      <c r="A395" s="0" t="n">
        <v>394</v>
      </c>
      <c r="B395" s="191" t="n">
        <v>46169.9331230954</v>
      </c>
      <c r="C395" s="191" t="n">
        <v>46169.9359240213</v>
      </c>
      <c r="D395" s="189" t="s">
        <v>2437</v>
      </c>
      <c r="E395" s="189" t="s">
        <v>2438</v>
      </c>
      <c r="F395" s="189" t="s">
        <v>2438</v>
      </c>
      <c r="G395" s="189" t="s">
        <v>2439</v>
      </c>
      <c r="H395" s="191" t="n">
        <v>46168</v>
      </c>
      <c r="I395" s="189" t="s">
        <v>132</v>
      </c>
      <c r="J395" s="189" t="s">
        <v>295</v>
      </c>
      <c r="K395" s="189" t="s">
        <v>196</v>
      </c>
      <c r="L395" s="189" t="s">
        <v>159</v>
      </c>
      <c r="M395" s="189" t="s">
        <v>905</v>
      </c>
      <c r="N395" s="189" t="s">
        <v>638</v>
      </c>
      <c r="O395" s="189" t="s">
        <v>172</v>
      </c>
      <c r="P395" s="189" t="s">
        <v>111</v>
      </c>
      <c r="Q395" s="189" t="s">
        <v>112</v>
      </c>
      <c r="R395" s="189" t="s">
        <v>23</v>
      </c>
      <c r="S395" s="189" t="s">
        <v>152</v>
      </c>
      <c r="T395" s="189" t="s">
        <v>180</v>
      </c>
      <c r="V395" s="189" t="s">
        <v>192</v>
      </c>
      <c r="W395" s="189" t="s">
        <v>124</v>
      </c>
      <c r="X395" s="189" t="s">
        <v>503</v>
      </c>
      <c r="Y395" s="189" t="s">
        <v>503</v>
      </c>
      <c r="AK395" s="189" t="s">
        <v>2440</v>
      </c>
    </row>
    <row r="396" customFormat="false" ht="15" hidden="false" customHeight="true" outlineLevel="0" collapsed="false">
      <c r="A396" s="0" t="n">
        <v>395</v>
      </c>
      <c r="B396" s="191" t="n">
        <v>46096.6922976138</v>
      </c>
      <c r="C396" s="191" t="n">
        <v>46096.7104920583</v>
      </c>
      <c r="D396" s="189" t="s">
        <v>2441</v>
      </c>
      <c r="E396" s="189" t="s">
        <v>2442</v>
      </c>
      <c r="F396" s="189" t="s">
        <v>2442</v>
      </c>
      <c r="G396" s="189" t="s">
        <v>2443</v>
      </c>
      <c r="H396" s="191" t="n">
        <v>46088</v>
      </c>
      <c r="I396" s="189" t="s">
        <v>325</v>
      </c>
      <c r="J396" s="189" t="s">
        <v>295</v>
      </c>
      <c r="K396" s="189" t="s">
        <v>196</v>
      </c>
      <c r="L396" s="189" t="s">
        <v>346</v>
      </c>
      <c r="M396" s="189" t="s">
        <v>248</v>
      </c>
      <c r="N396" s="189" t="s">
        <v>606</v>
      </c>
      <c r="O396" s="189" t="s">
        <v>172</v>
      </c>
      <c r="P396" s="189" t="s">
        <v>111</v>
      </c>
      <c r="Q396" s="189" t="s">
        <v>112</v>
      </c>
      <c r="R396" s="189" t="s">
        <v>22</v>
      </c>
      <c r="S396" s="189" t="s">
        <v>120</v>
      </c>
      <c r="T396" s="189" t="s">
        <v>121</v>
      </c>
      <c r="U396" s="189" t="s">
        <v>2447</v>
      </c>
      <c r="V396" s="189" t="s">
        <v>123</v>
      </c>
      <c r="W396" s="189" t="s">
        <v>124</v>
      </c>
      <c r="X396" s="189" t="s">
        <v>176</v>
      </c>
      <c r="Y396" s="189" t="s">
        <v>176</v>
      </c>
      <c r="Z396" s="189" t="s">
        <v>3086</v>
      </c>
      <c r="AA396" s="189" t="s">
        <v>3321</v>
      </c>
      <c r="AG396" s="189" t="s">
        <v>3245</v>
      </c>
      <c r="AH396" s="189" t="s">
        <v>3296</v>
      </c>
    </row>
    <row r="397" customFormat="false" ht="15" hidden="false" customHeight="true" outlineLevel="0" collapsed="false">
      <c r="A397" s="0" t="n">
        <v>396</v>
      </c>
      <c r="B397" s="191" t="n">
        <v>46213.7986594089</v>
      </c>
      <c r="C397" s="191" t="n">
        <v>46213.8050598718</v>
      </c>
      <c r="D397" s="189" t="s">
        <v>2448</v>
      </c>
      <c r="E397" s="189" t="s">
        <v>2449</v>
      </c>
      <c r="F397" s="189" t="s">
        <v>2449</v>
      </c>
      <c r="G397" s="189" t="s">
        <v>2450</v>
      </c>
      <c r="H397" s="191" t="n">
        <v>46195</v>
      </c>
      <c r="I397" s="189" t="s">
        <v>113</v>
      </c>
      <c r="J397" s="189" t="s">
        <v>108</v>
      </c>
      <c r="K397" s="189" t="s">
        <v>245</v>
      </c>
      <c r="L397" s="189" t="s">
        <v>389</v>
      </c>
      <c r="M397" s="189" t="s">
        <v>248</v>
      </c>
      <c r="N397" s="189" t="s">
        <v>2201</v>
      </c>
      <c r="O397" s="189" t="s">
        <v>107</v>
      </c>
      <c r="P397" s="189" t="s">
        <v>111</v>
      </c>
      <c r="Q397" s="189" t="s">
        <v>112</v>
      </c>
      <c r="R397" s="189" t="s">
        <v>24</v>
      </c>
      <c r="S397" s="189" t="s">
        <v>120</v>
      </c>
      <c r="T397" s="189" t="s">
        <v>121</v>
      </c>
      <c r="U397" s="189" t="s">
        <v>2268</v>
      </c>
      <c r="V397" s="189" t="s">
        <v>123</v>
      </c>
      <c r="W397" s="189" t="s">
        <v>124</v>
      </c>
      <c r="X397" s="189" t="s">
        <v>448</v>
      </c>
      <c r="Y397" s="189" t="s">
        <v>448</v>
      </c>
      <c r="Z397" s="189" t="s">
        <v>3174</v>
      </c>
      <c r="AA397" s="189" t="s">
        <v>3191</v>
      </c>
      <c r="AB397" s="189" t="s">
        <v>3189</v>
      </c>
      <c r="AG397" s="189" t="s">
        <v>3179</v>
      </c>
    </row>
    <row r="398" customFormat="false" ht="15" hidden="false" customHeight="true" outlineLevel="0" collapsed="false">
      <c r="A398" s="0" t="n">
        <v>397</v>
      </c>
      <c r="B398" s="191" t="n">
        <v>46108.4352820146</v>
      </c>
      <c r="C398" s="191" t="n">
        <v>46108.4394949776</v>
      </c>
      <c r="D398" s="189" t="s">
        <v>2452</v>
      </c>
      <c r="E398" s="189" t="s">
        <v>2453</v>
      </c>
      <c r="F398" s="189" t="s">
        <v>2453</v>
      </c>
      <c r="G398" s="189" t="s">
        <v>2454</v>
      </c>
      <c r="H398" s="191" t="n">
        <v>46093</v>
      </c>
      <c r="I398" s="189" t="s">
        <v>113</v>
      </c>
      <c r="J398" s="189" t="s">
        <v>128</v>
      </c>
      <c r="K398" s="189" t="s">
        <v>143</v>
      </c>
      <c r="L398" s="189" t="s">
        <v>286</v>
      </c>
      <c r="M398" s="189" t="s">
        <v>612</v>
      </c>
      <c r="N398" s="189" t="s">
        <v>115</v>
      </c>
      <c r="O398" s="189" t="s">
        <v>172</v>
      </c>
      <c r="P398" s="189" t="s">
        <v>111</v>
      </c>
      <c r="Q398" s="189" t="s">
        <v>112</v>
      </c>
      <c r="R398" s="189" t="s">
        <v>21</v>
      </c>
      <c r="S398" s="189" t="s">
        <v>120</v>
      </c>
      <c r="T398" s="189" t="s">
        <v>121</v>
      </c>
      <c r="U398" s="189" t="s">
        <v>2172</v>
      </c>
      <c r="V398" s="189" t="s">
        <v>123</v>
      </c>
      <c r="W398" s="189" t="s">
        <v>124</v>
      </c>
      <c r="X398" s="189" t="s">
        <v>457</v>
      </c>
      <c r="Y398" s="189" t="s">
        <v>457</v>
      </c>
      <c r="Z398" s="189" t="s">
        <v>3065</v>
      </c>
      <c r="AA398" s="189" t="s">
        <v>3081</v>
      </c>
      <c r="AB398" s="189" t="s">
        <v>3095</v>
      </c>
      <c r="AG398" s="189" t="s">
        <v>3108</v>
      </c>
    </row>
    <row r="399" customFormat="false" ht="15" hidden="false" customHeight="true" outlineLevel="0" collapsed="false">
      <c r="A399" s="0" t="n">
        <v>398</v>
      </c>
      <c r="B399" s="191" t="n">
        <v>46215.0250752619</v>
      </c>
      <c r="C399" s="191" t="n">
        <v>46215.0330382248</v>
      </c>
      <c r="D399" s="189" t="s">
        <v>2456</v>
      </c>
      <c r="E399" s="189" t="s">
        <v>2457</v>
      </c>
      <c r="F399" s="189" t="s">
        <v>2457</v>
      </c>
      <c r="G399" s="189" t="s">
        <v>2458</v>
      </c>
      <c r="H399" s="191" t="n">
        <v>46213</v>
      </c>
      <c r="I399" s="189" t="s">
        <v>113</v>
      </c>
      <c r="J399" s="189" t="s">
        <v>108</v>
      </c>
      <c r="K399" s="189" t="s">
        <v>143</v>
      </c>
      <c r="L399" s="189" t="s">
        <v>184</v>
      </c>
      <c r="M399" s="189" t="s">
        <v>1112</v>
      </c>
      <c r="N399" s="189" t="s">
        <v>219</v>
      </c>
      <c r="O399" s="189" t="s">
        <v>713</v>
      </c>
      <c r="P399" s="189" t="s">
        <v>111</v>
      </c>
      <c r="Q399" s="189" t="s">
        <v>145</v>
      </c>
      <c r="R399" s="189" t="s">
        <v>24</v>
      </c>
      <c r="S399" s="189" t="s">
        <v>152</v>
      </c>
      <c r="T399" s="189" t="s">
        <v>121</v>
      </c>
      <c r="V399" s="189" t="s">
        <v>192</v>
      </c>
      <c r="W399" s="189" t="s">
        <v>124</v>
      </c>
      <c r="X399" s="189" t="s">
        <v>260</v>
      </c>
      <c r="Y399" s="189" t="s">
        <v>260</v>
      </c>
      <c r="Z399" s="189" t="s">
        <v>3262</v>
      </c>
      <c r="AA399" s="189" t="s">
        <v>3317</v>
      </c>
      <c r="AG399" s="189" t="s">
        <v>3259</v>
      </c>
    </row>
    <row r="400" customFormat="false" ht="15" hidden="false" customHeight="true" outlineLevel="0" collapsed="false">
      <c r="A400" s="0" t="n">
        <v>399</v>
      </c>
      <c r="B400" s="191" t="n">
        <v>46102.3717117184</v>
      </c>
      <c r="C400" s="191" t="n">
        <v>46102.3915265332</v>
      </c>
      <c r="D400" s="189" t="s">
        <v>2461</v>
      </c>
      <c r="E400" s="189" t="s">
        <v>2462</v>
      </c>
      <c r="F400" s="189" t="s">
        <v>2462</v>
      </c>
      <c r="G400" s="189" t="s">
        <v>2463</v>
      </c>
      <c r="H400" s="191" t="n">
        <v>46082</v>
      </c>
      <c r="I400" s="189" t="s">
        <v>113</v>
      </c>
      <c r="J400" s="189" t="s">
        <v>108</v>
      </c>
      <c r="K400" s="189" t="s">
        <v>932</v>
      </c>
      <c r="L400" s="189" t="s">
        <v>159</v>
      </c>
      <c r="M400" s="189" t="s">
        <v>809</v>
      </c>
      <c r="N400" s="189" t="s">
        <v>645</v>
      </c>
      <c r="O400" s="189" t="s">
        <v>244</v>
      </c>
      <c r="P400" s="189" t="s">
        <v>111</v>
      </c>
      <c r="Q400" s="189" t="s">
        <v>112</v>
      </c>
      <c r="R400" s="189" t="s">
        <v>22</v>
      </c>
      <c r="S400" s="189" t="s">
        <v>152</v>
      </c>
      <c r="T400" s="189" t="s">
        <v>121</v>
      </c>
      <c r="U400" s="189" t="s">
        <v>562</v>
      </c>
      <c r="V400" s="189" t="s">
        <v>192</v>
      </c>
      <c r="W400" s="189" t="s">
        <v>124</v>
      </c>
      <c r="X400" s="189" t="s">
        <v>715</v>
      </c>
      <c r="Y400" s="189" t="s">
        <v>715</v>
      </c>
      <c r="Z400" s="189" t="s">
        <v>3224</v>
      </c>
      <c r="AA400" s="189" t="s">
        <v>3255</v>
      </c>
      <c r="AG400" s="189" t="s">
        <v>3253</v>
      </c>
      <c r="AH400" s="189" t="s">
        <v>3228</v>
      </c>
    </row>
    <row r="401" customFormat="false" ht="15" hidden="false" customHeight="true" outlineLevel="0" collapsed="false">
      <c r="A401" s="0" t="n">
        <v>400</v>
      </c>
      <c r="B401" s="191" t="n">
        <v>46105.5499503621</v>
      </c>
      <c r="C401" s="191" t="n">
        <v>46105.5618369362</v>
      </c>
      <c r="D401" s="189" t="s">
        <v>2465</v>
      </c>
      <c r="E401" s="189" t="s">
        <v>2466</v>
      </c>
      <c r="F401" s="189" t="s">
        <v>2466</v>
      </c>
      <c r="G401" s="189" t="s">
        <v>2467</v>
      </c>
      <c r="H401" s="191" t="n">
        <v>46088</v>
      </c>
      <c r="I401" s="189" t="s">
        <v>113</v>
      </c>
      <c r="J401" s="189" t="s">
        <v>108</v>
      </c>
      <c r="K401" s="189" t="s">
        <v>2468</v>
      </c>
      <c r="L401" s="189" t="s">
        <v>184</v>
      </c>
      <c r="M401" s="189" t="s">
        <v>144</v>
      </c>
      <c r="N401" s="189" t="s">
        <v>287</v>
      </c>
      <c r="O401" s="189" t="s">
        <v>278</v>
      </c>
      <c r="P401" s="189" t="s">
        <v>111</v>
      </c>
      <c r="Q401" s="189" t="s">
        <v>112</v>
      </c>
      <c r="R401" s="189" t="s">
        <v>21</v>
      </c>
      <c r="S401" s="189" t="s">
        <v>152</v>
      </c>
      <c r="T401" s="189" t="s">
        <v>121</v>
      </c>
      <c r="U401" s="189" t="s">
        <v>562</v>
      </c>
      <c r="V401" s="189" t="s">
        <v>192</v>
      </c>
      <c r="W401" s="189" t="s">
        <v>168</v>
      </c>
      <c r="X401" s="189" t="s">
        <v>250</v>
      </c>
      <c r="Y401" s="189" t="s">
        <v>250</v>
      </c>
      <c r="Z401" s="189" t="s">
        <v>3107</v>
      </c>
      <c r="AA401" s="189" t="s">
        <v>3065</v>
      </c>
      <c r="AB401" s="189" t="s">
        <v>3095</v>
      </c>
      <c r="AG401" s="189" t="s">
        <v>3070</v>
      </c>
      <c r="AH401" s="189" t="s">
        <v>3140</v>
      </c>
    </row>
    <row r="402" customFormat="false" ht="15" hidden="false" customHeight="true" outlineLevel="0" collapsed="false">
      <c r="A402" s="0" t="n">
        <v>401</v>
      </c>
      <c r="B402" s="191" t="n">
        <v>46118.316360935</v>
      </c>
      <c r="C402" s="191" t="n">
        <v>46118.3289303794</v>
      </c>
      <c r="D402" s="189" t="s">
        <v>2470</v>
      </c>
      <c r="E402" s="189" t="s">
        <v>2471</v>
      </c>
      <c r="F402" s="189" t="s">
        <v>2471</v>
      </c>
      <c r="G402" s="189" t="s">
        <v>2472</v>
      </c>
      <c r="H402" s="191" t="n">
        <v>46107</v>
      </c>
      <c r="I402" s="189" t="s">
        <v>325</v>
      </c>
      <c r="J402" s="189" t="s">
        <v>108</v>
      </c>
      <c r="K402" s="189" t="s">
        <v>257</v>
      </c>
      <c r="L402" s="189" t="s">
        <v>296</v>
      </c>
      <c r="M402" s="189" t="s">
        <v>736</v>
      </c>
      <c r="N402" s="189" t="s">
        <v>1381</v>
      </c>
      <c r="O402" s="189" t="s">
        <v>107</v>
      </c>
      <c r="P402" s="189" t="s">
        <v>111</v>
      </c>
      <c r="Q402" s="189" t="s">
        <v>112</v>
      </c>
      <c r="R402" s="189" t="s">
        <v>24</v>
      </c>
      <c r="S402" s="189" t="s">
        <v>120</v>
      </c>
      <c r="T402" s="189" t="s">
        <v>121</v>
      </c>
      <c r="U402" s="189" t="s">
        <v>1229</v>
      </c>
      <c r="V402" s="189" t="s">
        <v>123</v>
      </c>
      <c r="W402" s="189" t="s">
        <v>168</v>
      </c>
      <c r="X402" s="189" t="s">
        <v>260</v>
      </c>
      <c r="Y402" s="189" t="s">
        <v>260</v>
      </c>
      <c r="Z402" s="189" t="s">
        <v>122</v>
      </c>
      <c r="AA402" s="189" t="s">
        <v>3258</v>
      </c>
      <c r="AG402" s="189" t="s">
        <v>3320</v>
      </c>
    </row>
    <row r="403" customFormat="false" ht="15" hidden="false" customHeight="true" outlineLevel="0" collapsed="false">
      <c r="A403" s="0" t="n">
        <v>402</v>
      </c>
      <c r="B403" s="191" t="n">
        <v>46078.9847861566</v>
      </c>
      <c r="C403" s="191" t="n">
        <v>46078.9912676381</v>
      </c>
      <c r="D403" s="189" t="s">
        <v>2475</v>
      </c>
      <c r="E403" s="189" t="s">
        <v>2476</v>
      </c>
      <c r="F403" s="189" t="s">
        <v>2476</v>
      </c>
      <c r="G403" s="189" t="s">
        <v>2477</v>
      </c>
      <c r="H403" s="191" t="n">
        <v>46070</v>
      </c>
      <c r="I403" s="189" t="s">
        <v>325</v>
      </c>
      <c r="J403" s="189" t="s">
        <v>108</v>
      </c>
      <c r="K403" s="189" t="s">
        <v>196</v>
      </c>
      <c r="L403" s="189" t="s">
        <v>389</v>
      </c>
      <c r="M403" s="189" t="s">
        <v>212</v>
      </c>
      <c r="N403" s="189" t="s">
        <v>1036</v>
      </c>
      <c r="O403" s="189" t="s">
        <v>107</v>
      </c>
      <c r="P403" s="189" t="s">
        <v>211</v>
      </c>
      <c r="Q403" s="189" t="s">
        <v>247</v>
      </c>
      <c r="R403" s="189" t="s">
        <v>25</v>
      </c>
      <c r="S403" s="189" t="s">
        <v>152</v>
      </c>
      <c r="T403" s="189" t="s">
        <v>121</v>
      </c>
      <c r="U403" s="189" t="s">
        <v>785</v>
      </c>
      <c r="V403" s="189" t="s">
        <v>192</v>
      </c>
      <c r="W403" s="189" t="s">
        <v>168</v>
      </c>
      <c r="X403" s="189" t="s">
        <v>1712</v>
      </c>
      <c r="Y403" s="189" t="s">
        <v>1712</v>
      </c>
      <c r="Z403" s="189" t="s">
        <v>3304</v>
      </c>
      <c r="AA403" s="189" t="s">
        <v>3305</v>
      </c>
      <c r="AG403" s="189" t="s">
        <v>3309</v>
      </c>
    </row>
    <row r="404" customFormat="false" ht="15" hidden="false" customHeight="true" outlineLevel="0" collapsed="false">
      <c r="A404" s="0" t="n">
        <v>403</v>
      </c>
      <c r="B404" s="191" t="n">
        <v>46068.2103408486</v>
      </c>
      <c r="C404" s="191" t="n">
        <v>46068.2153177005</v>
      </c>
      <c r="D404" s="189" t="s">
        <v>2481</v>
      </c>
      <c r="E404" s="189" t="s">
        <v>2482</v>
      </c>
      <c r="F404" s="189" t="s">
        <v>2482</v>
      </c>
      <c r="G404" s="189" t="s">
        <v>2483</v>
      </c>
      <c r="H404" s="191" t="n">
        <v>46050</v>
      </c>
      <c r="I404" s="189" t="s">
        <v>113</v>
      </c>
      <c r="J404" s="189" t="s">
        <v>108</v>
      </c>
      <c r="K404" s="189" t="s">
        <v>2484</v>
      </c>
      <c r="L404" s="189" t="s">
        <v>346</v>
      </c>
      <c r="M404" s="189" t="s">
        <v>1313</v>
      </c>
      <c r="N404" s="189" t="s">
        <v>552</v>
      </c>
      <c r="O404" s="189" t="s">
        <v>107</v>
      </c>
      <c r="P404" s="189" t="s">
        <v>111</v>
      </c>
      <c r="Q404" s="189" t="s">
        <v>145</v>
      </c>
      <c r="R404" s="189" t="s">
        <v>23</v>
      </c>
      <c r="S404" s="189" t="s">
        <v>227</v>
      </c>
      <c r="T404" s="189" t="s">
        <v>121</v>
      </c>
      <c r="U404" s="189" t="s">
        <v>191</v>
      </c>
      <c r="V404" s="189" t="s">
        <v>123</v>
      </c>
      <c r="W404" s="189" t="s">
        <v>124</v>
      </c>
      <c r="X404" s="189" t="s">
        <v>122</v>
      </c>
      <c r="Y404" s="189" t="s">
        <v>122</v>
      </c>
    </row>
    <row r="405" customFormat="false" ht="15" hidden="false" customHeight="true" outlineLevel="0" collapsed="false">
      <c r="A405" s="0" t="n">
        <v>404</v>
      </c>
      <c r="B405" s="191" t="n">
        <v>46071.422906509</v>
      </c>
      <c r="C405" s="191" t="n">
        <v>46071.4409736386</v>
      </c>
      <c r="D405" s="189" t="s">
        <v>2485</v>
      </c>
      <c r="E405" s="189" t="s">
        <v>2486</v>
      </c>
      <c r="F405" s="189" t="s">
        <v>2486</v>
      </c>
      <c r="G405" s="189" t="s">
        <v>2487</v>
      </c>
      <c r="H405" s="191" t="n">
        <v>46071</v>
      </c>
      <c r="I405" s="189" t="s">
        <v>577</v>
      </c>
      <c r="J405" s="189" t="s">
        <v>295</v>
      </c>
      <c r="K405" s="189" t="s">
        <v>196</v>
      </c>
      <c r="L405" s="189" t="s">
        <v>197</v>
      </c>
      <c r="M405" s="189" t="s">
        <v>501</v>
      </c>
      <c r="N405" s="189" t="s">
        <v>2100</v>
      </c>
      <c r="O405" s="189" t="s">
        <v>107</v>
      </c>
      <c r="P405" s="189" t="s">
        <v>131</v>
      </c>
      <c r="Q405" s="189" t="s">
        <v>112</v>
      </c>
      <c r="R405" s="189" t="s">
        <v>22</v>
      </c>
      <c r="S405" s="189" t="s">
        <v>152</v>
      </c>
      <c r="T405" s="189" t="s">
        <v>121</v>
      </c>
      <c r="V405" s="189" t="s">
        <v>123</v>
      </c>
      <c r="W405" s="189" t="s">
        <v>124</v>
      </c>
      <c r="X405" s="189" t="s">
        <v>135</v>
      </c>
      <c r="Y405" s="189" t="s">
        <v>135</v>
      </c>
      <c r="Z405" s="189" t="s">
        <v>3072</v>
      </c>
      <c r="AA405" s="189" t="s">
        <v>3201</v>
      </c>
      <c r="AB405" s="189" t="s">
        <v>3183</v>
      </c>
      <c r="AG405" s="189" t="s">
        <v>3257</v>
      </c>
    </row>
    <row r="406" customFormat="false" ht="15" hidden="false" customHeight="true" outlineLevel="0" collapsed="false">
      <c r="A406" s="0" t="n">
        <v>405</v>
      </c>
      <c r="B406" s="191" t="n">
        <v>46142.9165882403</v>
      </c>
      <c r="C406" s="191" t="n">
        <v>46142.9333822218</v>
      </c>
      <c r="D406" s="189" t="s">
        <v>2489</v>
      </c>
      <c r="E406" s="189" t="s">
        <v>2490</v>
      </c>
      <c r="F406" s="189" t="s">
        <v>2490</v>
      </c>
      <c r="G406" s="189" t="s">
        <v>2491</v>
      </c>
      <c r="H406" s="191" t="n">
        <v>46129</v>
      </c>
      <c r="I406" s="189" t="s">
        <v>113</v>
      </c>
      <c r="J406" s="189" t="s">
        <v>108</v>
      </c>
      <c r="K406" s="189" t="s">
        <v>364</v>
      </c>
      <c r="L406" s="189" t="s">
        <v>144</v>
      </c>
      <c r="M406" s="189" t="s">
        <v>144</v>
      </c>
      <c r="N406" s="189" t="s">
        <v>1050</v>
      </c>
      <c r="O406" s="189" t="s">
        <v>278</v>
      </c>
      <c r="P406" s="189" t="s">
        <v>111</v>
      </c>
      <c r="Q406" s="189" t="s">
        <v>112</v>
      </c>
      <c r="R406" s="189" t="s">
        <v>22</v>
      </c>
      <c r="S406" s="189" t="s">
        <v>152</v>
      </c>
      <c r="T406" s="189" t="s">
        <v>121</v>
      </c>
      <c r="V406" s="189" t="s">
        <v>192</v>
      </c>
      <c r="W406" s="189" t="s">
        <v>124</v>
      </c>
      <c r="X406" s="189" t="s">
        <v>339</v>
      </c>
      <c r="Y406" s="189" t="s">
        <v>339</v>
      </c>
      <c r="Z406" s="189" t="s">
        <v>3198</v>
      </c>
      <c r="AG406" s="189" t="s">
        <v>3235</v>
      </c>
      <c r="AH406" s="189" t="s">
        <v>3145</v>
      </c>
    </row>
    <row r="407" customFormat="false" ht="15" hidden="false" customHeight="true" outlineLevel="0" collapsed="false">
      <c r="A407" s="0" t="n">
        <v>406</v>
      </c>
      <c r="B407" s="191" t="n">
        <v>46107.2303607189</v>
      </c>
      <c r="C407" s="191" t="n">
        <v>46107.2453607189</v>
      </c>
      <c r="D407" s="189" t="s">
        <v>2494</v>
      </c>
      <c r="E407" s="189" t="s">
        <v>2495</v>
      </c>
      <c r="F407" s="189" t="s">
        <v>2495</v>
      </c>
      <c r="G407" s="189" t="s">
        <v>2496</v>
      </c>
      <c r="H407" s="191" t="n">
        <v>46089</v>
      </c>
      <c r="I407" s="189" t="s">
        <v>863</v>
      </c>
      <c r="J407" s="189" t="s">
        <v>295</v>
      </c>
      <c r="K407" s="189" t="s">
        <v>2497</v>
      </c>
      <c r="L407" s="189" t="s">
        <v>268</v>
      </c>
      <c r="M407" s="189" t="s">
        <v>146</v>
      </c>
      <c r="N407" s="189" t="s">
        <v>1050</v>
      </c>
      <c r="O407" s="189" t="s">
        <v>107</v>
      </c>
      <c r="P407" s="189" t="s">
        <v>111</v>
      </c>
      <c r="Q407" s="189" t="s">
        <v>112</v>
      </c>
      <c r="R407" s="189" t="s">
        <v>21</v>
      </c>
      <c r="S407" s="189" t="s">
        <v>152</v>
      </c>
      <c r="T407" s="189" t="s">
        <v>400</v>
      </c>
      <c r="U407" s="189" t="s">
        <v>122</v>
      </c>
      <c r="V407" s="189" t="s">
        <v>192</v>
      </c>
      <c r="W407" s="189" t="s">
        <v>124</v>
      </c>
      <c r="X407" s="189" t="s">
        <v>250</v>
      </c>
      <c r="Y407" s="189" t="s">
        <v>250</v>
      </c>
      <c r="Z407" s="189" t="s">
        <v>3139</v>
      </c>
      <c r="AG407" s="189" t="s">
        <v>3108</v>
      </c>
    </row>
    <row r="408" customFormat="false" ht="15" hidden="false" customHeight="true" outlineLevel="0" collapsed="false">
      <c r="A408" s="0" t="n">
        <v>407</v>
      </c>
      <c r="B408" s="191" t="n">
        <v>46215.1394865846</v>
      </c>
      <c r="C408" s="191" t="n">
        <v>46215.1497643624</v>
      </c>
      <c r="D408" s="189" t="s">
        <v>2498</v>
      </c>
      <c r="E408" s="189" t="s">
        <v>2499</v>
      </c>
      <c r="F408" s="189" t="s">
        <v>2499</v>
      </c>
      <c r="G408" s="189" t="s">
        <v>2500</v>
      </c>
      <c r="H408" s="191" t="n">
        <v>46209</v>
      </c>
      <c r="I408" s="189" t="s">
        <v>336</v>
      </c>
      <c r="J408" s="189" t="s">
        <v>108</v>
      </c>
      <c r="K408" s="189" t="s">
        <v>143</v>
      </c>
      <c r="L408" s="189" t="s">
        <v>210</v>
      </c>
      <c r="M408" s="189" t="s">
        <v>809</v>
      </c>
      <c r="N408" s="189" t="s">
        <v>638</v>
      </c>
      <c r="O408" s="189" t="s">
        <v>172</v>
      </c>
      <c r="P408" s="189" t="s">
        <v>111</v>
      </c>
      <c r="Q408" s="189" t="s">
        <v>112</v>
      </c>
      <c r="R408" s="189" t="s">
        <v>23</v>
      </c>
      <c r="S408" s="189" t="s">
        <v>120</v>
      </c>
      <c r="T408" s="189" t="s">
        <v>121</v>
      </c>
      <c r="U408" s="189" t="s">
        <v>122</v>
      </c>
      <c r="V408" s="189" t="s">
        <v>192</v>
      </c>
      <c r="W408" s="189" t="s">
        <v>124</v>
      </c>
      <c r="X408" s="189" t="s">
        <v>503</v>
      </c>
      <c r="Y408" s="189" t="s">
        <v>503</v>
      </c>
      <c r="AK408" s="189" t="s">
        <v>2440</v>
      </c>
    </row>
    <row r="409" customFormat="false" ht="15" hidden="false" customHeight="true" outlineLevel="0" collapsed="false">
      <c r="A409" s="0" t="n">
        <v>408</v>
      </c>
      <c r="B409" s="191" t="n">
        <v>46077.0486133163</v>
      </c>
      <c r="C409" s="191" t="n">
        <v>46077.0585207237</v>
      </c>
      <c r="D409" s="189" t="s">
        <v>2501</v>
      </c>
      <c r="E409" s="189" t="s">
        <v>2502</v>
      </c>
      <c r="F409" s="189" t="s">
        <v>2502</v>
      </c>
      <c r="G409" s="189" t="s">
        <v>2503</v>
      </c>
      <c r="H409" s="191" t="n">
        <v>46074</v>
      </c>
      <c r="I409" s="189" t="s">
        <v>113</v>
      </c>
      <c r="J409" s="189" t="s">
        <v>108</v>
      </c>
      <c r="K409" s="189" t="s">
        <v>245</v>
      </c>
      <c r="L409" s="189" t="s">
        <v>210</v>
      </c>
      <c r="M409" s="189" t="s">
        <v>477</v>
      </c>
      <c r="N409" s="189" t="s">
        <v>407</v>
      </c>
      <c r="O409" s="189" t="s">
        <v>750</v>
      </c>
      <c r="P409" s="189" t="s">
        <v>211</v>
      </c>
      <c r="Q409" s="189" t="s">
        <v>112</v>
      </c>
      <c r="R409" s="189" t="s">
        <v>22</v>
      </c>
      <c r="S409" s="189" t="s">
        <v>152</v>
      </c>
      <c r="T409" s="189" t="s">
        <v>496</v>
      </c>
      <c r="V409" s="189" t="s">
        <v>192</v>
      </c>
      <c r="W409" s="189" t="s">
        <v>124</v>
      </c>
      <c r="X409" s="189" t="s">
        <v>715</v>
      </c>
      <c r="Y409" s="189" t="s">
        <v>715</v>
      </c>
      <c r="Z409" s="189" t="s">
        <v>3252</v>
      </c>
      <c r="AG409" s="189" t="s">
        <v>3256</v>
      </c>
      <c r="AH409" s="189" t="s">
        <v>3229</v>
      </c>
    </row>
    <row r="410" customFormat="false" ht="15" hidden="false" customHeight="true" outlineLevel="0" collapsed="false">
      <c r="A410" s="0" t="n">
        <v>409</v>
      </c>
      <c r="B410" s="191" t="n">
        <v>46088.6563229687</v>
      </c>
      <c r="C410" s="191" t="n">
        <v>46088.6626771354</v>
      </c>
      <c r="D410" s="189" t="s">
        <v>2506</v>
      </c>
      <c r="E410" s="189" t="s">
        <v>2507</v>
      </c>
      <c r="F410" s="189" t="s">
        <v>2507</v>
      </c>
      <c r="G410" s="189" t="s">
        <v>2508</v>
      </c>
      <c r="H410" s="191" t="n">
        <v>46077</v>
      </c>
      <c r="I410" s="189" t="s">
        <v>132</v>
      </c>
      <c r="J410" s="189" t="s">
        <v>295</v>
      </c>
      <c r="K410" s="189" t="s">
        <v>364</v>
      </c>
      <c r="L410" s="189" t="s">
        <v>233</v>
      </c>
      <c r="M410" s="189" t="s">
        <v>1388</v>
      </c>
      <c r="N410" s="189" t="s">
        <v>1144</v>
      </c>
      <c r="O410" s="189" t="s">
        <v>244</v>
      </c>
      <c r="P410" s="189" t="s">
        <v>390</v>
      </c>
      <c r="Q410" s="189" t="s">
        <v>145</v>
      </c>
      <c r="R410" s="189" t="s">
        <v>24</v>
      </c>
      <c r="S410" s="189" t="s">
        <v>152</v>
      </c>
      <c r="T410" s="189" t="s">
        <v>121</v>
      </c>
      <c r="U410" s="189" t="s">
        <v>1605</v>
      </c>
      <c r="V410" s="189" t="s">
        <v>123</v>
      </c>
      <c r="W410" s="189" t="s">
        <v>124</v>
      </c>
      <c r="X410" s="189" t="s">
        <v>260</v>
      </c>
      <c r="Y410" s="189" t="s">
        <v>260</v>
      </c>
      <c r="Z410" s="189" t="s">
        <v>3109</v>
      </c>
      <c r="AG410" s="189" t="s">
        <v>3112</v>
      </c>
      <c r="AH410" s="189" t="s">
        <v>606</v>
      </c>
    </row>
    <row r="411" customFormat="false" ht="15" hidden="false" customHeight="true" outlineLevel="0" collapsed="false">
      <c r="A411" s="0" t="n">
        <v>410</v>
      </c>
      <c r="B411" s="191" t="n">
        <v>46135.2627524442</v>
      </c>
      <c r="C411" s="191" t="n">
        <v>46135.2769191109</v>
      </c>
      <c r="D411" s="189" t="s">
        <v>2512</v>
      </c>
      <c r="E411" s="189" t="s">
        <v>2513</v>
      </c>
      <c r="F411" s="189" t="s">
        <v>2513</v>
      </c>
      <c r="G411" s="189" t="s">
        <v>2514</v>
      </c>
      <c r="H411" s="191" t="n">
        <v>46119</v>
      </c>
      <c r="I411" s="189" t="s">
        <v>336</v>
      </c>
      <c r="J411" s="189" t="s">
        <v>108</v>
      </c>
      <c r="K411" s="189" t="s">
        <v>143</v>
      </c>
      <c r="L411" s="189" t="s">
        <v>110</v>
      </c>
      <c r="M411" s="189" t="s">
        <v>160</v>
      </c>
      <c r="N411" s="189" t="s">
        <v>1160</v>
      </c>
      <c r="O411" s="189" t="s">
        <v>107</v>
      </c>
      <c r="P411" s="189" t="s">
        <v>111</v>
      </c>
      <c r="Q411" s="189" t="s">
        <v>112</v>
      </c>
      <c r="R411" s="189" t="s">
        <v>24</v>
      </c>
      <c r="S411" s="189" t="s">
        <v>152</v>
      </c>
      <c r="T411" s="189" t="s">
        <v>180</v>
      </c>
      <c r="U411" s="189" t="s">
        <v>2515</v>
      </c>
      <c r="V411" s="189" t="s">
        <v>192</v>
      </c>
      <c r="W411" s="189" t="s">
        <v>168</v>
      </c>
      <c r="X411" s="189" t="s">
        <v>19</v>
      </c>
      <c r="Y411" s="189" t="s">
        <v>19</v>
      </c>
      <c r="AK411" s="189" t="s">
        <v>880</v>
      </c>
    </row>
    <row r="412" customFormat="false" ht="15" hidden="false" customHeight="true" outlineLevel="0" collapsed="false">
      <c r="A412" s="0" t="n">
        <v>411</v>
      </c>
      <c r="B412" s="191" t="n">
        <v>46177.2339437473</v>
      </c>
      <c r="C412" s="191" t="n">
        <v>46177.2498696732</v>
      </c>
      <c r="D412" s="189" t="s">
        <v>2516</v>
      </c>
      <c r="E412" s="189" t="s">
        <v>2517</v>
      </c>
      <c r="F412" s="189" t="s">
        <v>2517</v>
      </c>
      <c r="G412" s="189" t="s">
        <v>2518</v>
      </c>
      <c r="H412" s="191" t="n">
        <v>46162</v>
      </c>
      <c r="I412" s="189" t="s">
        <v>113</v>
      </c>
      <c r="J412" s="189" t="s">
        <v>295</v>
      </c>
      <c r="K412" s="189" t="s">
        <v>364</v>
      </c>
      <c r="L412" s="189" t="s">
        <v>184</v>
      </c>
      <c r="M412" s="189" t="s">
        <v>234</v>
      </c>
      <c r="N412" s="189" t="s">
        <v>560</v>
      </c>
      <c r="O412" s="189" t="s">
        <v>172</v>
      </c>
      <c r="P412" s="189" t="s">
        <v>111</v>
      </c>
      <c r="Q412" s="189" t="s">
        <v>145</v>
      </c>
      <c r="R412" s="189" t="s">
        <v>23</v>
      </c>
      <c r="S412" s="189" t="s">
        <v>152</v>
      </c>
      <c r="T412" s="189" t="s">
        <v>180</v>
      </c>
      <c r="V412" s="189" t="s">
        <v>192</v>
      </c>
      <c r="W412" s="189" t="s">
        <v>124</v>
      </c>
      <c r="X412" s="189" t="s">
        <v>1645</v>
      </c>
      <c r="Y412" s="189" t="s">
        <v>1645</v>
      </c>
    </row>
    <row r="413" customFormat="false" ht="15" hidden="false" customHeight="true" outlineLevel="0" collapsed="false">
      <c r="A413" s="0" t="n">
        <v>412</v>
      </c>
      <c r="B413" s="191" t="n">
        <v>46061.0440866691</v>
      </c>
      <c r="C413" s="191" t="n">
        <v>46061.0577209284</v>
      </c>
      <c r="D413" s="189" t="s">
        <v>2519</v>
      </c>
      <c r="E413" s="189" t="s">
        <v>2520</v>
      </c>
      <c r="F413" s="189" t="s">
        <v>2520</v>
      </c>
      <c r="G413" s="189" t="s">
        <v>2521</v>
      </c>
      <c r="H413" s="191" t="n">
        <v>46053</v>
      </c>
      <c r="I413" s="189" t="s">
        <v>113</v>
      </c>
      <c r="J413" s="189" t="s">
        <v>108</v>
      </c>
      <c r="K413" s="189" t="s">
        <v>364</v>
      </c>
      <c r="L413" s="189" t="s">
        <v>197</v>
      </c>
      <c r="M413" s="189" t="s">
        <v>447</v>
      </c>
      <c r="N413" s="189" t="s">
        <v>1573</v>
      </c>
      <c r="O413" s="189" t="s">
        <v>278</v>
      </c>
      <c r="P413" s="189" t="s">
        <v>111</v>
      </c>
      <c r="Q413" s="189" t="s">
        <v>145</v>
      </c>
      <c r="R413" s="189" t="s">
        <v>25</v>
      </c>
      <c r="S413" s="189" t="s">
        <v>152</v>
      </c>
      <c r="T413" s="189" t="s">
        <v>121</v>
      </c>
      <c r="U413" s="189" t="s">
        <v>122</v>
      </c>
      <c r="V413" s="189" t="s">
        <v>167</v>
      </c>
      <c r="W413" s="189" t="s">
        <v>124</v>
      </c>
      <c r="X413" s="189" t="s">
        <v>327</v>
      </c>
      <c r="Y413" s="189" t="s">
        <v>327</v>
      </c>
      <c r="Z413" s="189" t="s">
        <v>3081</v>
      </c>
      <c r="AG413" s="189" t="s">
        <v>3108</v>
      </c>
      <c r="AH413" s="189" t="s">
        <v>122</v>
      </c>
    </row>
    <row r="414" customFormat="false" ht="15" hidden="false" customHeight="true" outlineLevel="0" collapsed="false">
      <c r="A414" s="0" t="n">
        <v>413</v>
      </c>
      <c r="B414" s="191" t="n">
        <v>46120.2355439905</v>
      </c>
      <c r="C414" s="191" t="n">
        <v>46120.2498611202</v>
      </c>
      <c r="D414" s="189" t="s">
        <v>2522</v>
      </c>
      <c r="E414" s="189" t="s">
        <v>2523</v>
      </c>
      <c r="F414" s="189" t="s">
        <v>2524</v>
      </c>
      <c r="G414" s="189" t="s">
        <v>2525</v>
      </c>
      <c r="H414" s="191" t="n">
        <v>46112</v>
      </c>
      <c r="I414" s="189" t="s">
        <v>325</v>
      </c>
      <c r="J414" s="189" t="s">
        <v>108</v>
      </c>
      <c r="K414" s="189" t="s">
        <v>364</v>
      </c>
      <c r="L414" s="189" t="s">
        <v>346</v>
      </c>
      <c r="M414" s="189" t="s">
        <v>160</v>
      </c>
      <c r="N414" s="189" t="s">
        <v>775</v>
      </c>
      <c r="O414" s="189" t="s">
        <v>244</v>
      </c>
      <c r="P414" s="189" t="s">
        <v>111</v>
      </c>
      <c r="Q414" s="189" t="s">
        <v>145</v>
      </c>
      <c r="R414" s="189" t="s">
        <v>21</v>
      </c>
      <c r="S414" s="189" t="s">
        <v>152</v>
      </c>
      <c r="T414" s="189" t="s">
        <v>590</v>
      </c>
      <c r="U414" s="189" t="s">
        <v>1557</v>
      </c>
      <c r="V414" s="189" t="s">
        <v>192</v>
      </c>
      <c r="W414" s="189" t="s">
        <v>124</v>
      </c>
      <c r="X414" s="189" t="s">
        <v>307</v>
      </c>
      <c r="Y414" s="189" t="s">
        <v>307</v>
      </c>
      <c r="Z414" s="189" t="s">
        <v>3130</v>
      </c>
      <c r="AA414" s="189" t="s">
        <v>3129</v>
      </c>
      <c r="AG414" s="189" t="s">
        <v>3133</v>
      </c>
      <c r="AH414" s="189" t="s">
        <v>3134</v>
      </c>
    </row>
    <row r="415" customFormat="false" ht="15" hidden="false" customHeight="true" outlineLevel="0" collapsed="false">
      <c r="A415" s="0" t="n">
        <v>414</v>
      </c>
      <c r="B415" s="191" t="n">
        <v>46210.4492240224</v>
      </c>
      <c r="C415" s="191" t="n">
        <v>46210.4525689298</v>
      </c>
      <c r="D415" s="189" t="s">
        <v>2527</v>
      </c>
      <c r="E415" s="189" t="s">
        <v>2528</v>
      </c>
      <c r="F415" s="189" t="s">
        <v>2528</v>
      </c>
      <c r="G415" s="189" t="s">
        <v>2529</v>
      </c>
      <c r="H415" s="191" t="n">
        <v>46194</v>
      </c>
      <c r="I415" s="189" t="s">
        <v>113</v>
      </c>
      <c r="J415" s="189" t="s">
        <v>295</v>
      </c>
      <c r="K415" s="189" t="s">
        <v>2530</v>
      </c>
      <c r="L415" s="189" t="s">
        <v>246</v>
      </c>
      <c r="M415" s="189" t="s">
        <v>326</v>
      </c>
      <c r="N415" s="189" t="s">
        <v>234</v>
      </c>
      <c r="O415" s="189" t="s">
        <v>107</v>
      </c>
      <c r="P415" s="189" t="s">
        <v>111</v>
      </c>
      <c r="Q415" s="189" t="s">
        <v>145</v>
      </c>
      <c r="R415" s="189" t="s">
        <v>22</v>
      </c>
      <c r="S415" s="189" t="s">
        <v>152</v>
      </c>
      <c r="T415" s="189" t="s">
        <v>180</v>
      </c>
      <c r="U415" s="189" t="s">
        <v>2531</v>
      </c>
      <c r="V415" s="189" t="s">
        <v>123</v>
      </c>
      <c r="W415" s="189" t="s">
        <v>139</v>
      </c>
      <c r="X415" s="189" t="s">
        <v>116</v>
      </c>
      <c r="Y415" s="189" t="s">
        <v>116</v>
      </c>
      <c r="Z415" s="189" t="s">
        <v>3081</v>
      </c>
      <c r="AA415" s="189" t="s">
        <v>3139</v>
      </c>
      <c r="AB415" s="189" t="s">
        <v>3095</v>
      </c>
      <c r="AG415" s="189" t="s">
        <v>3108</v>
      </c>
    </row>
    <row r="416" customFormat="false" ht="15" hidden="false" customHeight="true" outlineLevel="0" collapsed="false">
      <c r="A416" s="0" t="n">
        <v>415</v>
      </c>
      <c r="B416" s="191" t="n">
        <v>46094.0884904852</v>
      </c>
      <c r="C416" s="191" t="n">
        <v>46094.0999256704</v>
      </c>
      <c r="D416" s="189" t="s">
        <v>2532</v>
      </c>
      <c r="E416" s="189" t="s">
        <v>2533</v>
      </c>
      <c r="F416" s="189" t="s">
        <v>2533</v>
      </c>
      <c r="G416" s="189" t="s">
        <v>2534</v>
      </c>
      <c r="H416" s="191" t="n">
        <v>46093</v>
      </c>
      <c r="I416" s="189" t="s">
        <v>113</v>
      </c>
      <c r="J416" s="189" t="s">
        <v>128</v>
      </c>
      <c r="K416" s="189" t="s">
        <v>742</v>
      </c>
      <c r="L416" s="189" t="s">
        <v>233</v>
      </c>
      <c r="M416" s="189" t="s">
        <v>1313</v>
      </c>
      <c r="N416" s="189" t="s">
        <v>389</v>
      </c>
      <c r="O416" s="189" t="s">
        <v>260</v>
      </c>
      <c r="P416" s="189" t="s">
        <v>390</v>
      </c>
      <c r="Q416" s="189" t="s">
        <v>145</v>
      </c>
      <c r="R416" s="189" t="s">
        <v>24</v>
      </c>
      <c r="S416" s="189" t="s">
        <v>120</v>
      </c>
      <c r="T416" s="189" t="s">
        <v>121</v>
      </c>
      <c r="V416" s="189" t="s">
        <v>167</v>
      </c>
      <c r="W416" s="189" t="s">
        <v>139</v>
      </c>
      <c r="X416" s="189" t="s">
        <v>260</v>
      </c>
      <c r="Y416" s="189" t="s">
        <v>260</v>
      </c>
      <c r="Z416" s="189" t="s">
        <v>3288</v>
      </c>
      <c r="AG416" s="189" t="s">
        <v>3280</v>
      </c>
    </row>
    <row r="417" customFormat="false" ht="15" hidden="false" customHeight="true" outlineLevel="0" collapsed="false">
      <c r="A417" s="0" t="n">
        <v>416</v>
      </c>
      <c r="B417" s="191" t="n">
        <v>46166.0600905792</v>
      </c>
      <c r="C417" s="191" t="n">
        <v>46166.0707387274</v>
      </c>
      <c r="D417" s="189" t="s">
        <v>2537</v>
      </c>
      <c r="E417" s="189" t="s">
        <v>2538</v>
      </c>
      <c r="F417" s="189" t="s">
        <v>2538</v>
      </c>
      <c r="G417" s="189" t="s">
        <v>2539</v>
      </c>
      <c r="H417" s="191" t="n">
        <v>46155</v>
      </c>
      <c r="I417" s="189" t="s">
        <v>863</v>
      </c>
      <c r="J417" s="189" t="s">
        <v>128</v>
      </c>
      <c r="K417" s="189" t="s">
        <v>2032</v>
      </c>
      <c r="L417" s="189" t="s">
        <v>210</v>
      </c>
      <c r="M417" s="189" t="s">
        <v>248</v>
      </c>
      <c r="N417" s="189" t="s">
        <v>1078</v>
      </c>
      <c r="O417" s="189" t="s">
        <v>107</v>
      </c>
      <c r="P417" s="189" t="s">
        <v>111</v>
      </c>
      <c r="Q417" s="189" t="s">
        <v>145</v>
      </c>
      <c r="R417" s="189" t="s">
        <v>22</v>
      </c>
      <c r="S417" s="189" t="s">
        <v>152</v>
      </c>
      <c r="T417" s="189" t="s">
        <v>121</v>
      </c>
      <c r="U417" s="189" t="s">
        <v>1063</v>
      </c>
      <c r="V417" s="189" t="s">
        <v>123</v>
      </c>
      <c r="W417" s="189" t="s">
        <v>168</v>
      </c>
      <c r="X417" s="189" t="s">
        <v>715</v>
      </c>
      <c r="Y417" s="189" t="s">
        <v>715</v>
      </c>
      <c r="Z417" s="189" t="s">
        <v>3252</v>
      </c>
      <c r="AA417" s="189" t="s">
        <v>3224</v>
      </c>
      <c r="AG417" s="189" t="s">
        <v>3228</v>
      </c>
      <c r="AH417" s="189" t="s">
        <v>3285</v>
      </c>
    </row>
    <row r="418" customFormat="false" ht="15" hidden="false" customHeight="true" outlineLevel="0" collapsed="false">
      <c r="A418" s="0" t="n">
        <v>417</v>
      </c>
      <c r="B418" s="191" t="n">
        <v>46143.8542205403</v>
      </c>
      <c r="C418" s="191" t="n">
        <v>46143.8565700773</v>
      </c>
      <c r="D418" s="189" t="s">
        <v>2542</v>
      </c>
      <c r="E418" s="189" t="s">
        <v>2543</v>
      </c>
      <c r="F418" s="189" t="s">
        <v>2543</v>
      </c>
      <c r="G418" s="189" t="s">
        <v>2544</v>
      </c>
      <c r="H418" s="191" t="n">
        <v>46135</v>
      </c>
      <c r="I418" s="189" t="s">
        <v>1268</v>
      </c>
      <c r="J418" s="189" t="s">
        <v>108</v>
      </c>
      <c r="K418" s="189" t="s">
        <v>196</v>
      </c>
      <c r="L418" s="189" t="s">
        <v>130</v>
      </c>
      <c r="M418" s="189" t="s">
        <v>269</v>
      </c>
      <c r="N418" s="189" t="s">
        <v>469</v>
      </c>
      <c r="O418" s="189" t="s">
        <v>107</v>
      </c>
      <c r="P418" s="189" t="s">
        <v>111</v>
      </c>
      <c r="Q418" s="189" t="s">
        <v>112</v>
      </c>
      <c r="R418" s="189" t="s">
        <v>24</v>
      </c>
      <c r="S418" s="189" t="s">
        <v>120</v>
      </c>
      <c r="T418" s="189" t="s">
        <v>352</v>
      </c>
      <c r="U418" s="189" t="s">
        <v>2164</v>
      </c>
      <c r="V418" s="189" t="s">
        <v>192</v>
      </c>
      <c r="W418" s="189" t="s">
        <v>124</v>
      </c>
      <c r="X418" s="189" t="s">
        <v>223</v>
      </c>
      <c r="Y418" s="189" t="s">
        <v>223</v>
      </c>
      <c r="Z418" s="189" t="s">
        <v>3121</v>
      </c>
      <c r="AA418" s="189" t="s">
        <v>3096</v>
      </c>
      <c r="AB418" s="189" t="s">
        <v>3104</v>
      </c>
      <c r="AG418" s="189" t="s">
        <v>3106</v>
      </c>
    </row>
    <row r="419" customFormat="false" ht="15" hidden="false" customHeight="true" outlineLevel="0" collapsed="false">
      <c r="A419" s="0" t="n">
        <v>418</v>
      </c>
      <c r="B419" s="191" t="n">
        <v>46121.307919454</v>
      </c>
      <c r="C419" s="191" t="n">
        <v>46121.3117041762</v>
      </c>
      <c r="D419" s="189" t="s">
        <v>2547</v>
      </c>
      <c r="E419" s="189" t="s">
        <v>2548</v>
      </c>
      <c r="F419" s="189" t="s">
        <v>2548</v>
      </c>
      <c r="G419" s="189" t="s">
        <v>2549</v>
      </c>
      <c r="H419" s="191" t="n">
        <v>46114</v>
      </c>
      <c r="I419" s="189" t="s">
        <v>113</v>
      </c>
      <c r="J419" s="189" t="s">
        <v>108</v>
      </c>
      <c r="K419" s="189" t="s">
        <v>232</v>
      </c>
      <c r="L419" s="189" t="s">
        <v>114</v>
      </c>
      <c r="M419" s="189" t="s">
        <v>269</v>
      </c>
      <c r="N419" s="189" t="s">
        <v>613</v>
      </c>
      <c r="O419" s="189" t="s">
        <v>244</v>
      </c>
      <c r="P419" s="189" t="s">
        <v>390</v>
      </c>
      <c r="Q419" s="189" t="s">
        <v>145</v>
      </c>
      <c r="R419" s="189" t="s">
        <v>22</v>
      </c>
      <c r="S419" s="189" t="s">
        <v>152</v>
      </c>
      <c r="T419" s="189" t="s">
        <v>1406</v>
      </c>
      <c r="U419" s="189" t="s">
        <v>122</v>
      </c>
      <c r="V419" s="189" t="s">
        <v>192</v>
      </c>
      <c r="W419" s="189" t="s">
        <v>124</v>
      </c>
      <c r="X419" s="189" t="s">
        <v>116</v>
      </c>
      <c r="Y419" s="189" t="s">
        <v>116</v>
      </c>
      <c r="Z419" s="189" t="s">
        <v>3095</v>
      </c>
      <c r="AA419" s="189" t="s">
        <v>3081</v>
      </c>
      <c r="AB419" s="189" t="s">
        <v>3139</v>
      </c>
      <c r="AG419" s="189" t="s">
        <v>3140</v>
      </c>
    </row>
    <row r="420" customFormat="false" ht="15" hidden="false" customHeight="true" outlineLevel="0" collapsed="false">
      <c r="A420" s="0" t="n">
        <v>419</v>
      </c>
      <c r="B420" s="191" t="n">
        <v>46072.4680434433</v>
      </c>
      <c r="C420" s="191" t="n">
        <v>46072.4847679803</v>
      </c>
      <c r="D420" s="189" t="s">
        <v>2551</v>
      </c>
      <c r="E420" s="189" t="s">
        <v>2552</v>
      </c>
      <c r="F420" s="189" t="s">
        <v>2552</v>
      </c>
      <c r="G420" s="189" t="s">
        <v>2553</v>
      </c>
      <c r="H420" s="191" t="n">
        <v>46058</v>
      </c>
      <c r="I420" s="189" t="s">
        <v>113</v>
      </c>
      <c r="J420" s="189" t="s">
        <v>108</v>
      </c>
      <c r="K420" s="189" t="s">
        <v>245</v>
      </c>
      <c r="L420" s="189" t="s">
        <v>246</v>
      </c>
      <c r="M420" s="189" t="s">
        <v>612</v>
      </c>
      <c r="N420" s="189" t="s">
        <v>849</v>
      </c>
      <c r="O420" s="189" t="s">
        <v>244</v>
      </c>
      <c r="P420" s="189" t="s">
        <v>111</v>
      </c>
      <c r="Q420" s="189" t="s">
        <v>112</v>
      </c>
      <c r="R420" s="189" t="s">
        <v>22</v>
      </c>
      <c r="S420" s="189" t="s">
        <v>152</v>
      </c>
      <c r="T420" s="189" t="s">
        <v>352</v>
      </c>
      <c r="U420" s="189" t="s">
        <v>122</v>
      </c>
      <c r="V420" s="189" t="s">
        <v>192</v>
      </c>
      <c r="W420" s="189" t="s">
        <v>168</v>
      </c>
      <c r="X420" s="189" t="s">
        <v>339</v>
      </c>
      <c r="Y420" s="189" t="s">
        <v>339</v>
      </c>
      <c r="Z420" s="189" t="s">
        <v>3141</v>
      </c>
      <c r="AG420" s="189" t="s">
        <v>3200</v>
      </c>
      <c r="AH420" s="189" t="s">
        <v>3217</v>
      </c>
    </row>
    <row r="421" customFormat="false" ht="15" hidden="false" customHeight="true" outlineLevel="0" collapsed="false">
      <c r="A421" s="0" t="n">
        <v>420</v>
      </c>
      <c r="B421" s="191" t="n">
        <v>46200.7127143764</v>
      </c>
      <c r="C421" s="191" t="n">
        <v>46200.7294620616</v>
      </c>
      <c r="D421" s="189" t="s">
        <v>2556</v>
      </c>
      <c r="E421" s="189" t="s">
        <v>2557</v>
      </c>
      <c r="F421" s="189" t="s">
        <v>2557</v>
      </c>
      <c r="G421" s="189" t="s">
        <v>2558</v>
      </c>
      <c r="H421" s="191" t="n">
        <v>46189</v>
      </c>
      <c r="I421" s="189" t="s">
        <v>132</v>
      </c>
      <c r="J421" s="189" t="s">
        <v>108</v>
      </c>
      <c r="K421" s="189" t="s">
        <v>462</v>
      </c>
      <c r="L421" s="189" t="s">
        <v>144</v>
      </c>
      <c r="M421" s="189" t="s">
        <v>114</v>
      </c>
      <c r="N421" s="189" t="s">
        <v>147</v>
      </c>
      <c r="O421" s="189" t="s">
        <v>278</v>
      </c>
      <c r="P421" s="189" t="s">
        <v>111</v>
      </c>
      <c r="Q421" s="189" t="s">
        <v>112</v>
      </c>
      <c r="R421" s="189" t="s">
        <v>24</v>
      </c>
      <c r="S421" s="189" t="s">
        <v>120</v>
      </c>
      <c r="T421" s="189" t="s">
        <v>121</v>
      </c>
      <c r="V421" s="189" t="s">
        <v>123</v>
      </c>
      <c r="W421" s="189" t="s">
        <v>124</v>
      </c>
      <c r="X421" s="189" t="s">
        <v>260</v>
      </c>
      <c r="Y421" s="189" t="s">
        <v>260</v>
      </c>
      <c r="Z421" s="189" t="s">
        <v>3262</v>
      </c>
      <c r="AA421" s="189" t="s">
        <v>606</v>
      </c>
      <c r="AB421" s="189" t="s">
        <v>3258</v>
      </c>
      <c r="AG421" s="189" t="s">
        <v>3320</v>
      </c>
      <c r="AH421" s="189" t="s">
        <v>3113</v>
      </c>
    </row>
    <row r="422" customFormat="false" ht="15" hidden="false" customHeight="true" outlineLevel="0" collapsed="false">
      <c r="A422" s="0" t="n">
        <v>421</v>
      </c>
      <c r="B422" s="191" t="n">
        <v>46134.5744013647</v>
      </c>
      <c r="C422" s="191" t="n">
        <v>46134.5831397906</v>
      </c>
      <c r="D422" s="189" t="s">
        <v>2562</v>
      </c>
      <c r="E422" s="189" t="s">
        <v>2563</v>
      </c>
      <c r="F422" s="189" t="s">
        <v>2563</v>
      </c>
      <c r="G422" s="189" t="s">
        <v>2564</v>
      </c>
      <c r="H422" s="191" t="n">
        <v>46117</v>
      </c>
      <c r="I422" s="189" t="s">
        <v>113</v>
      </c>
      <c r="J422" s="189" t="s">
        <v>108</v>
      </c>
      <c r="K422" s="189" t="s">
        <v>2430</v>
      </c>
      <c r="L422" s="189" t="s">
        <v>110</v>
      </c>
      <c r="M422" s="189" t="s">
        <v>870</v>
      </c>
      <c r="N422" s="189" t="s">
        <v>775</v>
      </c>
      <c r="O422" s="189" t="s">
        <v>172</v>
      </c>
      <c r="P422" s="189" t="s">
        <v>111</v>
      </c>
      <c r="Q422" s="189" t="s">
        <v>112</v>
      </c>
      <c r="R422" s="189" t="s">
        <v>22</v>
      </c>
      <c r="S422" s="189" t="s">
        <v>152</v>
      </c>
      <c r="T422" s="189" t="s">
        <v>2255</v>
      </c>
      <c r="V422" s="189" t="s">
        <v>167</v>
      </c>
      <c r="W422" s="189" t="s">
        <v>124</v>
      </c>
      <c r="X422" s="189" t="s">
        <v>715</v>
      </c>
      <c r="Y422" s="189" t="s">
        <v>715</v>
      </c>
      <c r="Z422" s="189" t="s">
        <v>3251</v>
      </c>
      <c r="AG422" s="189" t="s">
        <v>3253</v>
      </c>
      <c r="AH422" s="189" t="s">
        <v>3229</v>
      </c>
    </row>
    <row r="423" customFormat="false" ht="15" hidden="false" customHeight="true" outlineLevel="0" collapsed="false">
      <c r="A423" s="0" t="n">
        <v>422</v>
      </c>
      <c r="B423" s="191" t="n">
        <v>46081.5491171193</v>
      </c>
      <c r="C423" s="191" t="n">
        <v>46081.5558185082</v>
      </c>
      <c r="D423" s="189" t="s">
        <v>2566</v>
      </c>
      <c r="E423" s="189" t="s">
        <v>2567</v>
      </c>
      <c r="F423" s="189" t="s">
        <v>2567</v>
      </c>
      <c r="G423" s="189" t="s">
        <v>2568</v>
      </c>
      <c r="H423" s="191" t="n">
        <v>46074</v>
      </c>
      <c r="I423" s="189" t="s">
        <v>113</v>
      </c>
      <c r="J423" s="189" t="s">
        <v>108</v>
      </c>
      <c r="K423" s="189" t="s">
        <v>143</v>
      </c>
      <c r="L423" s="189" t="s">
        <v>431</v>
      </c>
      <c r="M423" s="189" t="s">
        <v>515</v>
      </c>
      <c r="N423" s="189" t="s">
        <v>645</v>
      </c>
      <c r="O423" s="189" t="s">
        <v>107</v>
      </c>
      <c r="P423" s="189" t="s">
        <v>111</v>
      </c>
      <c r="Q423" s="189" t="s">
        <v>112</v>
      </c>
      <c r="R423" s="189" t="s">
        <v>24</v>
      </c>
      <c r="S423" s="189" t="s">
        <v>120</v>
      </c>
      <c r="T423" s="189" t="s">
        <v>352</v>
      </c>
      <c r="U423" s="189" t="s">
        <v>166</v>
      </c>
      <c r="V423" s="189" t="s">
        <v>123</v>
      </c>
      <c r="W423" s="189" t="s">
        <v>124</v>
      </c>
      <c r="X423" s="189" t="s">
        <v>214</v>
      </c>
      <c r="Y423" s="189" t="s">
        <v>214</v>
      </c>
      <c r="Z423" s="189" t="s">
        <v>3065</v>
      </c>
      <c r="AA423" s="189" t="s">
        <v>3107</v>
      </c>
      <c r="AB423" s="189" t="s">
        <v>3095</v>
      </c>
      <c r="AG423" s="189" t="s">
        <v>3140</v>
      </c>
      <c r="AH423" s="189" t="s">
        <v>3083</v>
      </c>
    </row>
    <row r="424" customFormat="false" ht="15" hidden="false" customHeight="true" outlineLevel="0" collapsed="false">
      <c r="A424" s="0" t="n">
        <v>423</v>
      </c>
      <c r="B424" s="191" t="n">
        <v>46180.3389787035</v>
      </c>
      <c r="C424" s="191" t="n">
        <v>46180.3567912035</v>
      </c>
      <c r="D424" s="189" t="s">
        <v>2569</v>
      </c>
      <c r="E424" s="189" t="s">
        <v>2570</v>
      </c>
      <c r="F424" s="189" t="s">
        <v>2570</v>
      </c>
      <c r="G424" s="189" t="s">
        <v>2571</v>
      </c>
      <c r="H424" s="191" t="n">
        <v>46173</v>
      </c>
      <c r="I424" s="189" t="s">
        <v>113</v>
      </c>
      <c r="J424" s="189" t="s">
        <v>108</v>
      </c>
      <c r="K424" s="189" t="s">
        <v>2140</v>
      </c>
      <c r="L424" s="189" t="s">
        <v>233</v>
      </c>
      <c r="M424" s="189" t="s">
        <v>484</v>
      </c>
      <c r="N424" s="189" t="s">
        <v>586</v>
      </c>
      <c r="O424" s="189" t="s">
        <v>278</v>
      </c>
      <c r="P424" s="189" t="s">
        <v>111</v>
      </c>
      <c r="Q424" s="189" t="s">
        <v>112</v>
      </c>
      <c r="R424" s="189" t="s">
        <v>22</v>
      </c>
      <c r="S424" s="189" t="s">
        <v>152</v>
      </c>
      <c r="T424" s="189" t="s">
        <v>121</v>
      </c>
      <c r="U424" s="189" t="s">
        <v>547</v>
      </c>
      <c r="V424" s="189" t="s">
        <v>123</v>
      </c>
      <c r="W424" s="189" t="s">
        <v>124</v>
      </c>
      <c r="X424" s="189" t="s">
        <v>271</v>
      </c>
      <c r="Y424" s="189" t="s">
        <v>271</v>
      </c>
      <c r="Z424" s="189" t="s">
        <v>3114</v>
      </c>
      <c r="AA424" s="189" t="s">
        <v>3230</v>
      </c>
      <c r="AB424" s="189" t="s">
        <v>3135</v>
      </c>
      <c r="AG424" s="189" t="s">
        <v>122</v>
      </c>
      <c r="AH424" s="189" t="s">
        <v>3119</v>
      </c>
    </row>
    <row r="425" customFormat="false" ht="15" hidden="false" customHeight="true" outlineLevel="0" collapsed="false">
      <c r="A425" s="0" t="n">
        <v>424</v>
      </c>
      <c r="B425" s="191" t="n">
        <v>46109.3594236229</v>
      </c>
      <c r="C425" s="191" t="n">
        <v>46109.3775486229</v>
      </c>
      <c r="D425" s="189" t="s">
        <v>2573</v>
      </c>
      <c r="E425" s="189" t="s">
        <v>2574</v>
      </c>
      <c r="F425" s="189" t="s">
        <v>2575</v>
      </c>
      <c r="G425" s="189" t="s">
        <v>2576</v>
      </c>
      <c r="H425" s="191" t="n">
        <v>46098</v>
      </c>
      <c r="I425" s="189" t="s">
        <v>113</v>
      </c>
      <c r="J425" s="189" t="s">
        <v>295</v>
      </c>
      <c r="K425" s="189" t="s">
        <v>173</v>
      </c>
      <c r="L425" s="189" t="s">
        <v>389</v>
      </c>
      <c r="M425" s="189" t="s">
        <v>199</v>
      </c>
      <c r="N425" s="189" t="s">
        <v>625</v>
      </c>
      <c r="O425" s="189" t="s">
        <v>107</v>
      </c>
      <c r="P425" s="189" t="s">
        <v>111</v>
      </c>
      <c r="Q425" s="189" t="s">
        <v>145</v>
      </c>
      <c r="R425" s="189" t="s">
        <v>22</v>
      </c>
      <c r="S425" s="189" t="s">
        <v>152</v>
      </c>
      <c r="T425" s="189" t="s">
        <v>352</v>
      </c>
      <c r="U425" s="189" t="s">
        <v>122</v>
      </c>
      <c r="V425" s="189" t="s">
        <v>123</v>
      </c>
      <c r="W425" s="189" t="s">
        <v>124</v>
      </c>
      <c r="X425" s="189" t="s">
        <v>715</v>
      </c>
      <c r="Y425" s="189" t="s">
        <v>715</v>
      </c>
      <c r="Z425" s="189" t="s">
        <v>3251</v>
      </c>
      <c r="AA425" s="189" t="s">
        <v>3224</v>
      </c>
      <c r="AB425" s="189" t="s">
        <v>3252</v>
      </c>
      <c r="AG425" s="189" t="s">
        <v>3232</v>
      </c>
    </row>
    <row r="426" customFormat="false" ht="15" hidden="false" customHeight="true" outlineLevel="0" collapsed="false">
      <c r="A426" s="0" t="n">
        <v>425</v>
      </c>
      <c r="B426" s="191" t="n">
        <v>46061.6270194757</v>
      </c>
      <c r="C426" s="191" t="n">
        <v>46061.6426560498</v>
      </c>
      <c r="D426" s="189" t="s">
        <v>2579</v>
      </c>
      <c r="E426" s="189" t="s">
        <v>2580</v>
      </c>
      <c r="F426" s="189" t="s">
        <v>2580</v>
      </c>
      <c r="G426" s="189" t="s">
        <v>2581</v>
      </c>
      <c r="H426" s="191" t="n">
        <v>46056</v>
      </c>
      <c r="I426" s="189" t="s">
        <v>113</v>
      </c>
      <c r="J426" s="189" t="s">
        <v>108</v>
      </c>
      <c r="K426" s="189" t="s">
        <v>462</v>
      </c>
      <c r="L426" s="189" t="s">
        <v>144</v>
      </c>
      <c r="M426" s="189" t="s">
        <v>594</v>
      </c>
      <c r="N426" s="189" t="s">
        <v>743</v>
      </c>
      <c r="O426" s="189" t="s">
        <v>157</v>
      </c>
      <c r="P426" s="189" t="s">
        <v>111</v>
      </c>
      <c r="Q426" s="189" t="s">
        <v>247</v>
      </c>
      <c r="R426" s="189" t="s">
        <v>24</v>
      </c>
      <c r="S426" s="189" t="s">
        <v>120</v>
      </c>
      <c r="T426" s="189" t="s">
        <v>264</v>
      </c>
      <c r="V426" s="189" t="s">
        <v>123</v>
      </c>
      <c r="W426" s="189" t="s">
        <v>124</v>
      </c>
      <c r="X426" s="189" t="s">
        <v>214</v>
      </c>
      <c r="Y426" s="189" t="s">
        <v>214</v>
      </c>
      <c r="Z426" s="189" t="s">
        <v>3095</v>
      </c>
      <c r="AA426" s="189" t="s">
        <v>3107</v>
      </c>
      <c r="AB426" s="189" t="s">
        <v>3065</v>
      </c>
      <c r="AG426" s="189" t="s">
        <v>3108</v>
      </c>
      <c r="AH426" s="189" t="s">
        <v>3070</v>
      </c>
    </row>
    <row r="427" customFormat="false" ht="15" hidden="false" customHeight="true" outlineLevel="0" collapsed="false">
      <c r="A427" s="0" t="n">
        <v>426</v>
      </c>
      <c r="B427" s="191" t="n">
        <v>46137.8068707476</v>
      </c>
      <c r="C427" s="191" t="n">
        <v>46137.8104818587</v>
      </c>
      <c r="D427" s="189" t="s">
        <v>2583</v>
      </c>
      <c r="E427" s="189" t="s">
        <v>2584</v>
      </c>
      <c r="F427" s="189" t="s">
        <v>2584</v>
      </c>
      <c r="G427" s="189" t="s">
        <v>2585</v>
      </c>
      <c r="H427" s="191" t="n">
        <v>46118</v>
      </c>
      <c r="I427" s="189" t="s">
        <v>113</v>
      </c>
      <c r="J427" s="189" t="s">
        <v>108</v>
      </c>
      <c r="K427" s="189" t="s">
        <v>462</v>
      </c>
      <c r="L427" s="189" t="s">
        <v>268</v>
      </c>
      <c r="M427" s="189" t="s">
        <v>391</v>
      </c>
      <c r="N427" s="189" t="s">
        <v>743</v>
      </c>
      <c r="O427" s="189" t="s">
        <v>107</v>
      </c>
      <c r="P427" s="189" t="s">
        <v>111</v>
      </c>
      <c r="Q427" s="189" t="s">
        <v>198</v>
      </c>
      <c r="R427" s="189" t="s">
        <v>22</v>
      </c>
      <c r="S427" s="189" t="s">
        <v>227</v>
      </c>
      <c r="T427" s="189" t="s">
        <v>121</v>
      </c>
      <c r="U427" s="189" t="s">
        <v>948</v>
      </c>
      <c r="V427" s="189" t="s">
        <v>192</v>
      </c>
      <c r="W427" s="189" t="s">
        <v>124</v>
      </c>
      <c r="X427" s="189" t="s">
        <v>271</v>
      </c>
      <c r="Y427" s="189" t="s">
        <v>271</v>
      </c>
      <c r="Z427" s="189" t="s">
        <v>3230</v>
      </c>
      <c r="AG427" s="189" t="s">
        <v>3118</v>
      </c>
      <c r="AH427" s="189" t="s">
        <v>122</v>
      </c>
    </row>
    <row r="428" customFormat="false" ht="15" hidden="false" customHeight="true" outlineLevel="0" collapsed="false">
      <c r="A428" s="0" t="n">
        <v>427</v>
      </c>
      <c r="B428" s="191" t="n">
        <v>46080.7761686924</v>
      </c>
      <c r="C428" s="191" t="n">
        <v>46080.7817589702</v>
      </c>
      <c r="D428" s="189" t="s">
        <v>2586</v>
      </c>
      <c r="E428" s="189" t="s">
        <v>2587</v>
      </c>
      <c r="F428" s="189" t="s">
        <v>2588</v>
      </c>
      <c r="G428" s="189" t="s">
        <v>2589</v>
      </c>
      <c r="H428" s="191" t="n">
        <v>46066</v>
      </c>
      <c r="I428" s="189" t="s">
        <v>113</v>
      </c>
      <c r="J428" s="189" t="s">
        <v>108</v>
      </c>
      <c r="K428" s="189" t="s">
        <v>462</v>
      </c>
      <c r="L428" s="189" t="s">
        <v>130</v>
      </c>
      <c r="M428" s="189" t="s">
        <v>185</v>
      </c>
      <c r="N428" s="189" t="s">
        <v>606</v>
      </c>
      <c r="O428" s="189" t="s">
        <v>107</v>
      </c>
      <c r="P428" s="189" t="s">
        <v>211</v>
      </c>
      <c r="Q428" s="189" t="s">
        <v>112</v>
      </c>
      <c r="R428" s="189" t="s">
        <v>22</v>
      </c>
      <c r="S428" s="189" t="s">
        <v>120</v>
      </c>
      <c r="T428" s="189" t="s">
        <v>121</v>
      </c>
      <c r="V428" s="189" t="s">
        <v>167</v>
      </c>
      <c r="W428" s="189" t="s">
        <v>124</v>
      </c>
      <c r="X428" s="189" t="s">
        <v>148</v>
      </c>
      <c r="Y428" s="189" t="s">
        <v>148</v>
      </c>
      <c r="Z428" s="189" t="s">
        <v>3092</v>
      </c>
      <c r="AA428" s="189" t="s">
        <v>3076</v>
      </c>
      <c r="AG428" s="189" t="s">
        <v>3080</v>
      </c>
      <c r="AH428" s="189" t="s">
        <v>3188</v>
      </c>
    </row>
    <row r="429" customFormat="false" ht="15" hidden="false" customHeight="true" outlineLevel="0" collapsed="false">
      <c r="A429" s="0" t="n">
        <v>428</v>
      </c>
      <c r="B429" s="191" t="n">
        <v>46059.3541195254</v>
      </c>
      <c r="C429" s="191" t="n">
        <v>46059.3668857291</v>
      </c>
      <c r="D429" s="189" t="s">
        <v>2592</v>
      </c>
      <c r="E429" s="189" t="s">
        <v>2593</v>
      </c>
      <c r="F429" s="189" t="s">
        <v>2593</v>
      </c>
      <c r="G429" s="189" t="s">
        <v>2594</v>
      </c>
      <c r="H429" s="191" t="n">
        <v>46041</v>
      </c>
      <c r="I429" s="189" t="s">
        <v>113</v>
      </c>
      <c r="J429" s="189" t="s">
        <v>108</v>
      </c>
      <c r="K429" s="189" t="s">
        <v>257</v>
      </c>
      <c r="L429" s="189" t="s">
        <v>233</v>
      </c>
      <c r="M429" s="189" t="s">
        <v>905</v>
      </c>
      <c r="N429" s="189" t="s">
        <v>249</v>
      </c>
      <c r="O429" s="189" t="s">
        <v>107</v>
      </c>
      <c r="P429" s="189" t="s">
        <v>111</v>
      </c>
      <c r="Q429" s="189" t="s">
        <v>145</v>
      </c>
      <c r="R429" s="189" t="s">
        <v>22</v>
      </c>
      <c r="S429" s="189" t="s">
        <v>152</v>
      </c>
      <c r="T429" s="189" t="s">
        <v>121</v>
      </c>
      <c r="V429" s="189" t="s">
        <v>192</v>
      </c>
      <c r="W429" s="189" t="s">
        <v>124</v>
      </c>
      <c r="X429" s="189" t="s">
        <v>715</v>
      </c>
      <c r="Y429" s="189" t="s">
        <v>715</v>
      </c>
      <c r="Z429" s="189" t="s">
        <v>3255</v>
      </c>
      <c r="AA429" s="189" t="s">
        <v>3225</v>
      </c>
      <c r="AG429" s="189" t="s">
        <v>3285</v>
      </c>
      <c r="AH429" s="189" t="s">
        <v>3256</v>
      </c>
    </row>
    <row r="430" customFormat="false" ht="15" hidden="false" customHeight="true" outlineLevel="0" collapsed="false">
      <c r="A430" s="0" t="n">
        <v>429</v>
      </c>
      <c r="B430" s="191" t="n">
        <v>46129.4392235884</v>
      </c>
      <c r="C430" s="191" t="n">
        <v>46129.456816181</v>
      </c>
      <c r="D430" s="189" t="s">
        <v>2598</v>
      </c>
      <c r="E430" s="189" t="s">
        <v>2599</v>
      </c>
      <c r="F430" s="189" t="s">
        <v>2600</v>
      </c>
      <c r="G430" s="189" t="s">
        <v>2601</v>
      </c>
      <c r="H430" s="191" t="n">
        <v>46128</v>
      </c>
      <c r="I430" s="189" t="s">
        <v>113</v>
      </c>
      <c r="J430" s="189" t="s">
        <v>108</v>
      </c>
      <c r="K430" s="189" t="s">
        <v>364</v>
      </c>
      <c r="L430" s="189" t="s">
        <v>144</v>
      </c>
      <c r="M430" s="189" t="s">
        <v>477</v>
      </c>
      <c r="N430" s="189" t="s">
        <v>743</v>
      </c>
      <c r="O430" s="189" t="s">
        <v>107</v>
      </c>
      <c r="P430" s="189" t="s">
        <v>111</v>
      </c>
      <c r="Q430" s="189" t="s">
        <v>112</v>
      </c>
      <c r="R430" s="189" t="s">
        <v>22</v>
      </c>
      <c r="S430" s="189" t="s">
        <v>152</v>
      </c>
      <c r="T430" s="189" t="s">
        <v>165</v>
      </c>
      <c r="U430" s="189" t="s">
        <v>1314</v>
      </c>
      <c r="V430" s="189" t="s">
        <v>123</v>
      </c>
      <c r="W430" s="189" t="s">
        <v>124</v>
      </c>
      <c r="X430" s="189" t="s">
        <v>116</v>
      </c>
      <c r="Y430" s="189" t="s">
        <v>116</v>
      </c>
      <c r="Z430" s="189" t="s">
        <v>3095</v>
      </c>
      <c r="AG430" s="189" t="s">
        <v>122</v>
      </c>
      <c r="AH430" s="189" t="s">
        <v>3070</v>
      </c>
    </row>
    <row r="431" customFormat="false" ht="15" hidden="false" customHeight="true" outlineLevel="0" collapsed="false">
      <c r="A431" s="0" t="n">
        <v>430</v>
      </c>
      <c r="B431" s="191" t="n">
        <v>46046.2143976017</v>
      </c>
      <c r="C431" s="191" t="n">
        <v>46046.2248258424</v>
      </c>
      <c r="D431" s="189" t="s">
        <v>2602</v>
      </c>
      <c r="E431" s="189" t="s">
        <v>2603</v>
      </c>
      <c r="F431" s="189" t="s">
        <v>2603</v>
      </c>
      <c r="G431" s="189" t="s">
        <v>2604</v>
      </c>
      <c r="H431" s="191" t="n">
        <v>46043</v>
      </c>
      <c r="I431" s="189" t="s">
        <v>132</v>
      </c>
      <c r="J431" s="189" t="s">
        <v>108</v>
      </c>
      <c r="K431" s="189" t="s">
        <v>1610</v>
      </c>
      <c r="L431" s="189" t="s">
        <v>144</v>
      </c>
      <c r="M431" s="189" t="s">
        <v>501</v>
      </c>
      <c r="N431" s="189" t="s">
        <v>174</v>
      </c>
      <c r="O431" s="189" t="s">
        <v>713</v>
      </c>
      <c r="P431" s="189" t="s">
        <v>390</v>
      </c>
      <c r="Q431" s="189" t="s">
        <v>198</v>
      </c>
      <c r="R431" s="189" t="s">
        <v>21</v>
      </c>
      <c r="S431" s="189" t="s">
        <v>120</v>
      </c>
      <c r="T431" s="189" t="s">
        <v>121</v>
      </c>
      <c r="U431" s="189" t="s">
        <v>1032</v>
      </c>
      <c r="V431" s="189" t="s">
        <v>167</v>
      </c>
      <c r="W431" s="189" t="s">
        <v>124</v>
      </c>
      <c r="X431" s="189" t="s">
        <v>348</v>
      </c>
      <c r="Y431" s="189" t="s">
        <v>348</v>
      </c>
      <c r="Z431" s="189" t="s">
        <v>3146</v>
      </c>
      <c r="AA431" s="189" t="s">
        <v>3310</v>
      </c>
      <c r="AB431" s="189" t="s">
        <v>3277</v>
      </c>
      <c r="AG431" s="189" t="s">
        <v>3148</v>
      </c>
    </row>
    <row r="432" customFormat="false" ht="15" hidden="false" customHeight="true" outlineLevel="0" collapsed="false">
      <c r="A432" s="0" t="n">
        <v>431</v>
      </c>
      <c r="B432" s="191" t="n">
        <v>46044.8422445929</v>
      </c>
      <c r="C432" s="191" t="n">
        <v>46044.8496404262</v>
      </c>
      <c r="D432" s="189" t="s">
        <v>2606</v>
      </c>
      <c r="E432" s="189" t="s">
        <v>2607</v>
      </c>
      <c r="F432" s="189" t="s">
        <v>2608</v>
      </c>
      <c r="G432" s="189" t="s">
        <v>2609</v>
      </c>
      <c r="H432" s="191" t="n">
        <v>46032</v>
      </c>
      <c r="I432" s="189" t="s">
        <v>113</v>
      </c>
      <c r="J432" s="189" t="s">
        <v>295</v>
      </c>
      <c r="K432" s="189" t="s">
        <v>2610</v>
      </c>
      <c r="L432" s="189" t="s">
        <v>184</v>
      </c>
      <c r="M432" s="189" t="s">
        <v>447</v>
      </c>
      <c r="N432" s="189" t="s">
        <v>398</v>
      </c>
      <c r="O432" s="189" t="s">
        <v>107</v>
      </c>
      <c r="P432" s="189" t="s">
        <v>111</v>
      </c>
      <c r="Q432" s="189" t="s">
        <v>112</v>
      </c>
      <c r="R432" s="189" t="s">
        <v>21</v>
      </c>
      <c r="S432" s="189" t="s">
        <v>152</v>
      </c>
      <c r="T432" s="189" t="s">
        <v>121</v>
      </c>
      <c r="U432" s="189" t="s">
        <v>2611</v>
      </c>
      <c r="V432" s="189" t="s">
        <v>167</v>
      </c>
      <c r="W432" s="189" t="s">
        <v>124</v>
      </c>
      <c r="X432" s="189" t="s">
        <v>457</v>
      </c>
      <c r="Y432" s="189" t="s">
        <v>457</v>
      </c>
      <c r="Z432" s="189" t="s">
        <v>3107</v>
      </c>
      <c r="AA432" s="189" t="s">
        <v>3139</v>
      </c>
      <c r="AG432" s="189" t="s">
        <v>3140</v>
      </c>
      <c r="AH432" s="189" t="s">
        <v>3108</v>
      </c>
    </row>
    <row r="433" customFormat="false" ht="15" hidden="false" customHeight="true" outlineLevel="0" collapsed="false">
      <c r="A433" s="0" t="n">
        <v>432</v>
      </c>
      <c r="B433" s="191" t="n">
        <v>46165.62350444</v>
      </c>
      <c r="C433" s="191" t="n">
        <v>46165.63600444</v>
      </c>
      <c r="D433" s="189" t="s">
        <v>2612</v>
      </c>
      <c r="E433" s="189" t="s">
        <v>2613</v>
      </c>
      <c r="F433" s="189" t="s">
        <v>2614</v>
      </c>
      <c r="G433" s="189" t="s">
        <v>2615</v>
      </c>
      <c r="H433" s="191" t="n">
        <v>46158</v>
      </c>
      <c r="I433" s="189" t="s">
        <v>113</v>
      </c>
      <c r="J433" s="189" t="s">
        <v>108</v>
      </c>
      <c r="K433" s="189" t="s">
        <v>2616</v>
      </c>
      <c r="L433" s="189" t="s">
        <v>110</v>
      </c>
      <c r="M433" s="189" t="s">
        <v>248</v>
      </c>
      <c r="N433" s="189" t="s">
        <v>1224</v>
      </c>
      <c r="O433" s="189" t="s">
        <v>107</v>
      </c>
      <c r="P433" s="189" t="s">
        <v>111</v>
      </c>
      <c r="Q433" s="189" t="s">
        <v>112</v>
      </c>
      <c r="R433" s="189" t="s">
        <v>22</v>
      </c>
      <c r="S433" s="189" t="s">
        <v>152</v>
      </c>
      <c r="T433" s="189" t="s">
        <v>165</v>
      </c>
      <c r="U433" s="132" t="s">
        <v>2619</v>
      </c>
      <c r="V433" s="189" t="s">
        <v>192</v>
      </c>
      <c r="W433" s="189" t="s">
        <v>168</v>
      </c>
      <c r="X433" s="189" t="s">
        <v>135</v>
      </c>
      <c r="Y433" s="189" t="s">
        <v>135</v>
      </c>
      <c r="Z433" s="189" t="s">
        <v>3201</v>
      </c>
      <c r="AA433" s="189" t="s">
        <v>3071</v>
      </c>
      <c r="AB433" s="189" t="s">
        <v>3202</v>
      </c>
      <c r="AG433" s="189" t="s">
        <v>3193</v>
      </c>
    </row>
    <row r="434" customFormat="false" ht="15" hidden="false" customHeight="true" outlineLevel="0" collapsed="false">
      <c r="A434" s="0" t="n">
        <v>433</v>
      </c>
      <c r="B434" s="191" t="n">
        <v>46060.9856579862</v>
      </c>
      <c r="C434" s="191" t="n">
        <v>46060.9990260418</v>
      </c>
      <c r="D434" s="189" t="s">
        <v>2620</v>
      </c>
      <c r="E434" s="189" t="s">
        <v>2621</v>
      </c>
      <c r="F434" s="189" t="s">
        <v>2621</v>
      </c>
      <c r="G434" s="189" t="s">
        <v>2622</v>
      </c>
      <c r="H434" s="191" t="n">
        <v>46040</v>
      </c>
      <c r="I434" s="189" t="s">
        <v>113</v>
      </c>
      <c r="J434" s="189" t="s">
        <v>295</v>
      </c>
      <c r="K434" s="189" t="s">
        <v>196</v>
      </c>
      <c r="L434" s="189" t="s">
        <v>110</v>
      </c>
      <c r="M434" s="189" t="s">
        <v>944</v>
      </c>
      <c r="N434" s="189" t="s">
        <v>337</v>
      </c>
      <c r="O434" s="189" t="s">
        <v>107</v>
      </c>
      <c r="P434" s="189" t="s">
        <v>131</v>
      </c>
      <c r="Q434" s="189" t="s">
        <v>112</v>
      </c>
      <c r="R434" s="189" t="s">
        <v>22</v>
      </c>
      <c r="S434" s="189" t="s">
        <v>120</v>
      </c>
      <c r="T434" s="189" t="s">
        <v>352</v>
      </c>
      <c r="V434" s="189" t="s">
        <v>167</v>
      </c>
      <c r="W434" s="189" t="s">
        <v>124</v>
      </c>
      <c r="X434" s="189" t="s">
        <v>271</v>
      </c>
      <c r="Y434" s="189" t="s">
        <v>271</v>
      </c>
      <c r="Z434" s="189" t="s">
        <v>3115</v>
      </c>
      <c r="AG434" s="189" t="s">
        <v>122</v>
      </c>
    </row>
    <row r="435" customFormat="false" ht="15" hidden="false" customHeight="true" outlineLevel="0" collapsed="false">
      <c r="A435" s="0" t="n">
        <v>434</v>
      </c>
      <c r="B435" s="191" t="n">
        <v>46082.6009998271</v>
      </c>
      <c r="C435" s="191" t="n">
        <v>46082.6115669567</v>
      </c>
      <c r="D435" s="189" t="s">
        <v>2624</v>
      </c>
      <c r="E435" s="189" t="s">
        <v>2625</v>
      </c>
      <c r="F435" s="189" t="s">
        <v>2625</v>
      </c>
      <c r="G435" s="189" t="s">
        <v>2626</v>
      </c>
      <c r="H435" s="191" t="n">
        <v>46075</v>
      </c>
      <c r="I435" s="189" t="s">
        <v>113</v>
      </c>
      <c r="J435" s="189" t="s">
        <v>108</v>
      </c>
      <c r="K435" s="189" t="s">
        <v>173</v>
      </c>
      <c r="L435" s="189" t="s">
        <v>389</v>
      </c>
      <c r="M435" s="189" t="s">
        <v>515</v>
      </c>
      <c r="N435" s="189" t="s">
        <v>743</v>
      </c>
      <c r="O435" s="189" t="s">
        <v>278</v>
      </c>
      <c r="P435" s="189" t="s">
        <v>211</v>
      </c>
      <c r="Q435" s="189" t="s">
        <v>112</v>
      </c>
      <c r="R435" s="189" t="s">
        <v>22</v>
      </c>
      <c r="S435" s="189" t="s">
        <v>152</v>
      </c>
      <c r="T435" s="189" t="s">
        <v>121</v>
      </c>
      <c r="U435" s="189" t="s">
        <v>122</v>
      </c>
      <c r="V435" s="189" t="s">
        <v>123</v>
      </c>
      <c r="W435" s="189" t="s">
        <v>139</v>
      </c>
      <c r="X435" s="189" t="s">
        <v>176</v>
      </c>
      <c r="Y435" s="189" t="s">
        <v>176</v>
      </c>
      <c r="Z435" s="189" t="s">
        <v>3321</v>
      </c>
      <c r="AA435" s="189" t="s">
        <v>3264</v>
      </c>
      <c r="AB435" s="189" t="s">
        <v>3299</v>
      </c>
      <c r="AG435" s="189" t="s">
        <v>3245</v>
      </c>
    </row>
    <row r="436" customFormat="false" ht="15" hidden="false" customHeight="true" outlineLevel="0" collapsed="false">
      <c r="A436" s="0" t="n">
        <v>435</v>
      </c>
      <c r="B436" s="191" t="n">
        <v>46208.8999222769</v>
      </c>
      <c r="C436" s="191" t="n">
        <v>46208.9203968139</v>
      </c>
      <c r="D436" s="189" t="s">
        <v>2629</v>
      </c>
      <c r="E436" s="189" t="s">
        <v>2630</v>
      </c>
      <c r="F436" s="189" t="s">
        <v>2631</v>
      </c>
      <c r="G436" s="189" t="s">
        <v>2632</v>
      </c>
      <c r="H436" s="191" t="n">
        <v>46194</v>
      </c>
      <c r="I436" s="189" t="s">
        <v>863</v>
      </c>
      <c r="J436" s="189" t="s">
        <v>128</v>
      </c>
      <c r="K436" s="189" t="s">
        <v>245</v>
      </c>
      <c r="L436" s="189" t="s">
        <v>431</v>
      </c>
      <c r="M436" s="189" t="s">
        <v>279</v>
      </c>
      <c r="N436" s="189" t="s">
        <v>1160</v>
      </c>
      <c r="O436" s="189" t="s">
        <v>172</v>
      </c>
      <c r="P436" s="189" t="s">
        <v>131</v>
      </c>
      <c r="Q436" s="189" t="s">
        <v>112</v>
      </c>
      <c r="R436" s="189" t="s">
        <v>22</v>
      </c>
      <c r="S436" s="189" t="s">
        <v>152</v>
      </c>
      <c r="T436" s="189" t="s">
        <v>121</v>
      </c>
      <c r="U436" s="189" t="s">
        <v>956</v>
      </c>
      <c r="V436" s="189" t="s">
        <v>123</v>
      </c>
      <c r="W436" s="189" t="s">
        <v>168</v>
      </c>
      <c r="X436" s="189" t="s">
        <v>381</v>
      </c>
      <c r="Y436" s="189" t="s">
        <v>381</v>
      </c>
      <c r="Z436" s="189" t="s">
        <v>3233</v>
      </c>
      <c r="AA436" s="189" t="s">
        <v>3249</v>
      </c>
      <c r="AG436" s="189" t="s">
        <v>3234</v>
      </c>
      <c r="AH436" s="189" t="s">
        <v>3181</v>
      </c>
    </row>
    <row r="437" customFormat="false" ht="15" hidden="false" customHeight="true" outlineLevel="0" collapsed="false">
      <c r="A437" s="0" t="n">
        <v>436</v>
      </c>
      <c r="B437" s="191" t="n">
        <v>46050.8746011395</v>
      </c>
      <c r="C437" s="191" t="n">
        <v>46050.8889761395</v>
      </c>
      <c r="D437" s="189" t="s">
        <v>2635</v>
      </c>
      <c r="E437" s="189" t="s">
        <v>2636</v>
      </c>
      <c r="F437" s="189" t="s">
        <v>2636</v>
      </c>
      <c r="G437" s="189" t="s">
        <v>2637</v>
      </c>
      <c r="H437" s="191" t="n">
        <v>46039</v>
      </c>
      <c r="I437" s="189" t="s">
        <v>305</v>
      </c>
      <c r="J437" s="189" t="s">
        <v>108</v>
      </c>
      <c r="K437" s="189" t="s">
        <v>2638</v>
      </c>
      <c r="L437" s="189" t="s">
        <v>114</v>
      </c>
      <c r="M437" s="189" t="s">
        <v>326</v>
      </c>
      <c r="N437" s="189" t="s">
        <v>1100</v>
      </c>
      <c r="O437" s="189" t="s">
        <v>244</v>
      </c>
      <c r="P437" s="189" t="s">
        <v>111</v>
      </c>
      <c r="Q437" s="189" t="s">
        <v>112</v>
      </c>
      <c r="R437" s="189" t="s">
        <v>22</v>
      </c>
      <c r="S437" s="189" t="s">
        <v>152</v>
      </c>
      <c r="T437" s="189" t="s">
        <v>121</v>
      </c>
      <c r="V437" s="189" t="s">
        <v>167</v>
      </c>
      <c r="W437" s="189" t="s">
        <v>124</v>
      </c>
      <c r="X437" s="189" t="s">
        <v>176</v>
      </c>
      <c r="Y437" s="189" t="s">
        <v>176</v>
      </c>
      <c r="Z437" s="189" t="s">
        <v>3239</v>
      </c>
      <c r="AG437" s="189" t="s">
        <v>3270</v>
      </c>
      <c r="AH437" s="189" t="s">
        <v>3245</v>
      </c>
    </row>
    <row r="438" customFormat="false" ht="15" hidden="false" customHeight="true" outlineLevel="0" collapsed="false">
      <c r="A438" s="0" t="n">
        <v>437</v>
      </c>
      <c r="B438" s="191" t="n">
        <v>46162.0921856704</v>
      </c>
      <c r="C438" s="191" t="n">
        <v>46162.1125560408</v>
      </c>
      <c r="D438" s="189" t="s">
        <v>2642</v>
      </c>
      <c r="E438" s="189" t="s">
        <v>2643</v>
      </c>
      <c r="F438" s="189" t="s">
        <v>2643</v>
      </c>
      <c r="G438" s="189" t="s">
        <v>2644</v>
      </c>
      <c r="H438" s="191" t="n">
        <v>46152</v>
      </c>
      <c r="I438" s="189" t="s">
        <v>113</v>
      </c>
      <c r="J438" s="189" t="s">
        <v>128</v>
      </c>
      <c r="K438" s="189" t="s">
        <v>2645</v>
      </c>
      <c r="L438" s="189" t="s">
        <v>389</v>
      </c>
      <c r="M438" s="189" t="s">
        <v>357</v>
      </c>
      <c r="N438" s="189" t="s">
        <v>1622</v>
      </c>
      <c r="O438" s="189" t="s">
        <v>172</v>
      </c>
      <c r="P438" s="189" t="s">
        <v>111</v>
      </c>
      <c r="Q438" s="189" t="s">
        <v>247</v>
      </c>
      <c r="R438" s="189" t="s">
        <v>24</v>
      </c>
      <c r="S438" s="189" t="s">
        <v>120</v>
      </c>
      <c r="T438" s="189" t="s">
        <v>121</v>
      </c>
      <c r="U438" s="189" t="s">
        <v>2611</v>
      </c>
      <c r="V438" s="189" t="s">
        <v>192</v>
      </c>
      <c r="W438" s="189" t="s">
        <v>139</v>
      </c>
      <c r="X438" s="189" t="s">
        <v>260</v>
      </c>
      <c r="Y438" s="189" t="s">
        <v>260</v>
      </c>
      <c r="Z438" s="189" t="s">
        <v>3262</v>
      </c>
      <c r="AG438" s="189" t="s">
        <v>3112</v>
      </c>
    </row>
    <row r="439" customFormat="false" ht="15" hidden="false" customHeight="true" outlineLevel="0" collapsed="false">
      <c r="A439" s="0" t="n">
        <v>438</v>
      </c>
      <c r="B439" s="191" t="n">
        <v>46212.1910187237</v>
      </c>
      <c r="C439" s="191" t="n">
        <v>46212.1998844645</v>
      </c>
      <c r="D439" s="189" t="s">
        <v>2648</v>
      </c>
      <c r="E439" s="189" t="s">
        <v>2649</v>
      </c>
      <c r="F439" s="189" t="s">
        <v>2649</v>
      </c>
      <c r="G439" s="189" t="s">
        <v>2650</v>
      </c>
      <c r="H439" s="191" t="n">
        <v>46198</v>
      </c>
      <c r="I439" s="189" t="s">
        <v>305</v>
      </c>
      <c r="J439" s="189" t="s">
        <v>295</v>
      </c>
      <c r="K439" s="189" t="s">
        <v>2651</v>
      </c>
      <c r="L439" s="189" t="s">
        <v>114</v>
      </c>
      <c r="M439" s="189" t="s">
        <v>944</v>
      </c>
      <c r="N439" s="189" t="s">
        <v>1160</v>
      </c>
      <c r="O439" s="189" t="s">
        <v>172</v>
      </c>
      <c r="P439" s="189" t="s">
        <v>131</v>
      </c>
      <c r="Q439" s="189" t="s">
        <v>112</v>
      </c>
      <c r="R439" s="189" t="s">
        <v>21</v>
      </c>
      <c r="S439" s="189" t="s">
        <v>152</v>
      </c>
      <c r="T439" s="189" t="s">
        <v>121</v>
      </c>
      <c r="U439" s="189" t="s">
        <v>562</v>
      </c>
      <c r="V439" s="189" t="s">
        <v>123</v>
      </c>
      <c r="W439" s="189" t="s">
        <v>124</v>
      </c>
      <c r="X439" s="189" t="s">
        <v>457</v>
      </c>
      <c r="Y439" s="189" t="s">
        <v>457</v>
      </c>
      <c r="Z439" s="189" t="s">
        <v>3107</v>
      </c>
      <c r="AA439" s="189" t="s">
        <v>3095</v>
      </c>
      <c r="AG439" s="189" t="s">
        <v>3083</v>
      </c>
    </row>
    <row r="440" customFormat="false" ht="15" hidden="false" customHeight="true" outlineLevel="0" collapsed="false">
      <c r="A440" s="0" t="n">
        <v>439</v>
      </c>
      <c r="B440" s="191" t="n">
        <v>46120.5972013899</v>
      </c>
      <c r="C440" s="191" t="n">
        <v>46120.6090416677</v>
      </c>
      <c r="D440" s="189" t="s">
        <v>2654</v>
      </c>
      <c r="E440" s="189" t="s">
        <v>2655</v>
      </c>
      <c r="F440" s="189" t="s">
        <v>2655</v>
      </c>
      <c r="G440" s="189" t="s">
        <v>2656</v>
      </c>
      <c r="H440" s="191" t="n">
        <v>46106</v>
      </c>
      <c r="I440" s="189" t="s">
        <v>113</v>
      </c>
      <c r="J440" s="189" t="s">
        <v>128</v>
      </c>
      <c r="K440" s="189" t="s">
        <v>257</v>
      </c>
      <c r="L440" s="189" t="s">
        <v>144</v>
      </c>
      <c r="M440" s="189" t="s">
        <v>1313</v>
      </c>
      <c r="N440" s="189" t="s">
        <v>1100</v>
      </c>
      <c r="O440" s="189" t="s">
        <v>157</v>
      </c>
      <c r="P440" s="189" t="s">
        <v>390</v>
      </c>
      <c r="Q440" s="189" t="s">
        <v>145</v>
      </c>
      <c r="R440" s="189" t="s">
        <v>22</v>
      </c>
      <c r="S440" s="189" t="s">
        <v>152</v>
      </c>
      <c r="T440" s="189" t="s">
        <v>1024</v>
      </c>
      <c r="U440" s="189" t="s">
        <v>122</v>
      </c>
      <c r="V440" s="189" t="s">
        <v>192</v>
      </c>
      <c r="W440" s="189" t="s">
        <v>139</v>
      </c>
      <c r="X440" s="189" t="s">
        <v>339</v>
      </c>
      <c r="Y440" s="189" t="s">
        <v>339</v>
      </c>
      <c r="Z440" s="189" t="s">
        <v>3216</v>
      </c>
      <c r="AG440" s="189" t="s">
        <v>3200</v>
      </c>
      <c r="AH440" s="189" t="s">
        <v>3235</v>
      </c>
    </row>
    <row r="441" customFormat="false" ht="15" hidden="false" customHeight="true" outlineLevel="0" collapsed="false">
      <c r="A441" s="0" t="n">
        <v>440</v>
      </c>
      <c r="B441" s="191" t="n">
        <v>46197.9512514048</v>
      </c>
      <c r="C441" s="191" t="n">
        <v>46197.9649666826</v>
      </c>
      <c r="D441" s="189" t="s">
        <v>2658</v>
      </c>
      <c r="E441" s="189" t="s">
        <v>2659</v>
      </c>
      <c r="F441" s="189" t="s">
        <v>2659</v>
      </c>
      <c r="G441" s="189" t="s">
        <v>2660</v>
      </c>
      <c r="H441" s="191" t="n">
        <v>46192</v>
      </c>
      <c r="I441" s="189" t="s">
        <v>1268</v>
      </c>
      <c r="J441" s="189" t="s">
        <v>108</v>
      </c>
      <c r="K441" s="189" t="s">
        <v>196</v>
      </c>
      <c r="L441" s="189" t="s">
        <v>159</v>
      </c>
      <c r="M441" s="189" t="s">
        <v>234</v>
      </c>
      <c r="N441" s="189" t="s">
        <v>338</v>
      </c>
      <c r="O441" s="189" t="s">
        <v>107</v>
      </c>
      <c r="P441" s="189" t="s">
        <v>111</v>
      </c>
      <c r="Q441" s="189" t="s">
        <v>112</v>
      </c>
      <c r="R441" s="189" t="s">
        <v>22</v>
      </c>
      <c r="S441" s="189" t="s">
        <v>152</v>
      </c>
      <c r="T441" s="189" t="s">
        <v>264</v>
      </c>
      <c r="V441" s="189" t="s">
        <v>192</v>
      </c>
      <c r="W441" s="189" t="s">
        <v>124</v>
      </c>
      <c r="X441" s="189" t="s">
        <v>271</v>
      </c>
      <c r="Y441" s="189" t="s">
        <v>271</v>
      </c>
      <c r="Z441" s="189" t="s">
        <v>3115</v>
      </c>
      <c r="AA441" s="189" t="s">
        <v>3230</v>
      </c>
      <c r="AB441" s="189" t="s">
        <v>3136</v>
      </c>
      <c r="AG441" s="189" t="s">
        <v>3119</v>
      </c>
    </row>
    <row r="442" customFormat="false" ht="15" hidden="false" customHeight="true" outlineLevel="0" collapsed="false">
      <c r="A442" s="0" t="n">
        <v>441</v>
      </c>
      <c r="B442" s="191" t="n">
        <v>46036.6668044233</v>
      </c>
      <c r="C442" s="191" t="n">
        <v>46036.6867697011</v>
      </c>
      <c r="D442" s="189" t="s">
        <v>2662</v>
      </c>
      <c r="E442" s="189" t="s">
        <v>2663</v>
      </c>
      <c r="F442" s="189" t="s">
        <v>2663</v>
      </c>
      <c r="G442" s="189" t="s">
        <v>2664</v>
      </c>
      <c r="H442" s="191" t="n">
        <v>46026</v>
      </c>
      <c r="I442" s="189" t="s">
        <v>305</v>
      </c>
      <c r="J442" s="189" t="s">
        <v>108</v>
      </c>
      <c r="K442" s="189" t="s">
        <v>2665</v>
      </c>
      <c r="L442" s="189" t="s">
        <v>286</v>
      </c>
      <c r="M442" s="189" t="s">
        <v>234</v>
      </c>
      <c r="N442" s="189" t="s">
        <v>560</v>
      </c>
      <c r="O442" s="189" t="s">
        <v>107</v>
      </c>
      <c r="P442" s="189" t="s">
        <v>111</v>
      </c>
      <c r="Q442" s="189" t="s">
        <v>112</v>
      </c>
      <c r="R442" s="189" t="s">
        <v>24</v>
      </c>
      <c r="S442" s="189" t="s">
        <v>152</v>
      </c>
      <c r="T442" s="189" t="s">
        <v>121</v>
      </c>
      <c r="U442" s="189" t="s">
        <v>1821</v>
      </c>
      <c r="V442" s="189" t="s">
        <v>167</v>
      </c>
      <c r="W442" s="189" t="s">
        <v>124</v>
      </c>
      <c r="X442" s="189" t="s">
        <v>448</v>
      </c>
      <c r="Y442" s="189" t="s">
        <v>448</v>
      </c>
      <c r="Z442" s="189" t="s">
        <v>3175</v>
      </c>
      <c r="AA442" s="189" t="s">
        <v>3173</v>
      </c>
      <c r="AB442" s="189" t="s">
        <v>3191</v>
      </c>
      <c r="AG442" s="189" t="s">
        <v>3178</v>
      </c>
    </row>
    <row r="443" customFormat="false" ht="15" hidden="false" customHeight="true" outlineLevel="0" collapsed="false">
      <c r="A443" s="0" t="n">
        <v>442</v>
      </c>
      <c r="B443" s="191" t="n">
        <v>46063.4593086493</v>
      </c>
      <c r="C443" s="191" t="n">
        <v>46063.4753271679</v>
      </c>
      <c r="D443" s="189" t="s">
        <v>2667</v>
      </c>
      <c r="E443" s="189" t="s">
        <v>2668</v>
      </c>
      <c r="F443" s="189" t="s">
        <v>2668</v>
      </c>
      <c r="G443" s="189" t="s">
        <v>2669</v>
      </c>
      <c r="H443" s="191" t="n">
        <v>46043</v>
      </c>
      <c r="I443" s="189" t="s">
        <v>113</v>
      </c>
      <c r="J443" s="189" t="s">
        <v>128</v>
      </c>
      <c r="K443" s="189" t="s">
        <v>257</v>
      </c>
      <c r="L443" s="189" t="s">
        <v>114</v>
      </c>
      <c r="M443" s="189" t="s">
        <v>357</v>
      </c>
      <c r="N443" s="189" t="s">
        <v>560</v>
      </c>
      <c r="O443" s="189" t="s">
        <v>2670</v>
      </c>
      <c r="P443" s="189" t="s">
        <v>111</v>
      </c>
      <c r="Q443" s="189" t="s">
        <v>112</v>
      </c>
      <c r="R443" s="189" t="s">
        <v>22</v>
      </c>
      <c r="S443" s="189" t="s">
        <v>152</v>
      </c>
      <c r="T443" s="189" t="s">
        <v>121</v>
      </c>
      <c r="V443" s="189" t="s">
        <v>123</v>
      </c>
      <c r="W443" s="189" t="s">
        <v>139</v>
      </c>
      <c r="X443" s="189" t="s">
        <v>148</v>
      </c>
      <c r="Y443" s="189" t="s">
        <v>148</v>
      </c>
      <c r="Z443" s="189" t="s">
        <v>3122</v>
      </c>
      <c r="AG443" s="189" t="s">
        <v>3079</v>
      </c>
    </row>
    <row r="444" customFormat="false" ht="15" hidden="false" customHeight="true" outlineLevel="0" collapsed="false">
      <c r="A444" s="0" t="n">
        <v>443</v>
      </c>
      <c r="B444" s="191" t="n">
        <v>46094.3562192167</v>
      </c>
      <c r="C444" s="191" t="n">
        <v>46094.3736266241</v>
      </c>
      <c r="D444" s="189" t="s">
        <v>2672</v>
      </c>
      <c r="E444" s="189" t="s">
        <v>2673</v>
      </c>
      <c r="F444" s="189" t="s">
        <v>2673</v>
      </c>
      <c r="G444" s="189" t="s">
        <v>2674</v>
      </c>
      <c r="H444" s="191" t="n">
        <v>46093</v>
      </c>
      <c r="I444" s="189" t="s">
        <v>113</v>
      </c>
      <c r="J444" s="189" t="s">
        <v>108</v>
      </c>
      <c r="K444" s="189" t="s">
        <v>476</v>
      </c>
      <c r="L444" s="189" t="s">
        <v>286</v>
      </c>
      <c r="M444" s="189" t="s">
        <v>797</v>
      </c>
      <c r="N444" s="189" t="s">
        <v>306</v>
      </c>
      <c r="O444" s="189" t="s">
        <v>172</v>
      </c>
      <c r="P444" s="189" t="s">
        <v>111</v>
      </c>
      <c r="Q444" s="189" t="s">
        <v>145</v>
      </c>
      <c r="R444" s="189" t="s">
        <v>21</v>
      </c>
      <c r="S444" s="189" t="s">
        <v>152</v>
      </c>
      <c r="T444" s="189" t="s">
        <v>496</v>
      </c>
      <c r="V444" s="189" t="s">
        <v>192</v>
      </c>
      <c r="W444" s="189" t="s">
        <v>124</v>
      </c>
      <c r="X444" s="189" t="s">
        <v>307</v>
      </c>
      <c r="Y444" s="189" t="s">
        <v>307</v>
      </c>
      <c r="Z444" s="189" t="s">
        <v>3131</v>
      </c>
      <c r="AG444" s="189" t="s">
        <v>3133</v>
      </c>
    </row>
    <row r="445" customFormat="false" ht="15" hidden="false" customHeight="true" outlineLevel="0" collapsed="false">
      <c r="A445" s="0" t="n">
        <v>444</v>
      </c>
      <c r="B445" s="191" t="n">
        <v>46051.6384987975</v>
      </c>
      <c r="C445" s="191" t="n">
        <v>46051.6400497234</v>
      </c>
      <c r="D445" s="189" t="s">
        <v>2675</v>
      </c>
      <c r="E445" s="189" t="s">
        <v>2676</v>
      </c>
      <c r="F445" s="189" t="s">
        <v>2676</v>
      </c>
      <c r="G445" s="189" t="s">
        <v>2677</v>
      </c>
      <c r="H445" s="191" t="n">
        <v>46043</v>
      </c>
      <c r="I445" s="189" t="s">
        <v>113</v>
      </c>
      <c r="J445" s="189" t="s">
        <v>108</v>
      </c>
      <c r="K445" s="189" t="s">
        <v>796</v>
      </c>
      <c r="L445" s="189" t="s">
        <v>389</v>
      </c>
      <c r="M445" s="189" t="s">
        <v>484</v>
      </c>
      <c r="N445" s="189" t="s">
        <v>270</v>
      </c>
      <c r="O445" s="189" t="s">
        <v>107</v>
      </c>
      <c r="P445" s="189" t="s">
        <v>111</v>
      </c>
      <c r="Q445" s="189" t="s">
        <v>145</v>
      </c>
      <c r="R445" s="189" t="s">
        <v>21</v>
      </c>
      <c r="S445" s="189" t="s">
        <v>120</v>
      </c>
      <c r="T445" s="189" t="s">
        <v>121</v>
      </c>
      <c r="U445" s="189" t="s">
        <v>122</v>
      </c>
      <c r="V445" s="189" t="s">
        <v>123</v>
      </c>
      <c r="W445" s="189" t="s">
        <v>124</v>
      </c>
      <c r="X445" s="189" t="s">
        <v>307</v>
      </c>
      <c r="Y445" s="189" t="s">
        <v>307</v>
      </c>
      <c r="Z445" s="189" t="s">
        <v>3129</v>
      </c>
      <c r="AA445" s="189" t="s">
        <v>3131</v>
      </c>
      <c r="AB445" s="189" t="s">
        <v>3130</v>
      </c>
      <c r="AG445" s="189" t="s">
        <v>3134</v>
      </c>
    </row>
    <row r="446" customFormat="false" ht="15" hidden="false" customHeight="true" outlineLevel="0" collapsed="false">
      <c r="A446" s="0" t="n">
        <v>445</v>
      </c>
      <c r="B446" s="191" t="n">
        <v>46039.2161641596</v>
      </c>
      <c r="C446" s="191" t="n">
        <v>46039.222958141</v>
      </c>
      <c r="D446" s="189" t="s">
        <v>2680</v>
      </c>
      <c r="E446" s="189" t="s">
        <v>2681</v>
      </c>
      <c r="F446" s="189" t="s">
        <v>2681</v>
      </c>
      <c r="G446" s="189" t="s">
        <v>2682</v>
      </c>
      <c r="H446" s="191" t="n">
        <v>46028</v>
      </c>
      <c r="I446" s="189" t="s">
        <v>113</v>
      </c>
      <c r="J446" s="189" t="s">
        <v>128</v>
      </c>
      <c r="K446" s="189" t="s">
        <v>245</v>
      </c>
      <c r="L446" s="189" t="s">
        <v>296</v>
      </c>
      <c r="M446" s="189" t="s">
        <v>357</v>
      </c>
      <c r="N446" s="189" t="s">
        <v>1140</v>
      </c>
      <c r="O446" s="189" t="s">
        <v>172</v>
      </c>
      <c r="P446" s="189" t="s">
        <v>131</v>
      </c>
      <c r="Q446" s="189" t="s">
        <v>112</v>
      </c>
      <c r="R446" s="189" t="s">
        <v>22</v>
      </c>
      <c r="S446" s="189" t="s">
        <v>120</v>
      </c>
      <c r="T446" s="189" t="s">
        <v>180</v>
      </c>
      <c r="U446" s="189" t="s">
        <v>122</v>
      </c>
      <c r="V446" s="189" t="s">
        <v>123</v>
      </c>
      <c r="W446" s="189" t="s">
        <v>124</v>
      </c>
      <c r="X446" s="189" t="s">
        <v>135</v>
      </c>
      <c r="Y446" s="189" t="s">
        <v>135</v>
      </c>
      <c r="Z446" s="189" t="s">
        <v>3072</v>
      </c>
      <c r="AG446" s="189" t="s">
        <v>3203</v>
      </c>
      <c r="AH446" s="189" t="s">
        <v>122</v>
      </c>
    </row>
    <row r="447" customFormat="false" ht="15" hidden="false" customHeight="true" outlineLevel="0" collapsed="false">
      <c r="A447" s="0" t="n">
        <v>446</v>
      </c>
      <c r="B447" s="191" t="n">
        <v>46075.4487078051</v>
      </c>
      <c r="C447" s="191" t="n">
        <v>46075.4506059532</v>
      </c>
      <c r="D447" s="189" t="s">
        <v>2685</v>
      </c>
      <c r="E447" s="189" t="s">
        <v>2686</v>
      </c>
      <c r="F447" s="189" t="s">
        <v>2686</v>
      </c>
      <c r="G447" s="189" t="s">
        <v>2687</v>
      </c>
      <c r="H447" s="191" t="n">
        <v>46066</v>
      </c>
      <c r="I447" s="189" t="s">
        <v>113</v>
      </c>
      <c r="J447" s="189" t="s">
        <v>295</v>
      </c>
      <c r="K447" s="189" t="s">
        <v>2688</v>
      </c>
      <c r="L447" s="189" t="s">
        <v>286</v>
      </c>
      <c r="M447" s="189" t="s">
        <v>543</v>
      </c>
      <c r="N447" s="189" t="s">
        <v>259</v>
      </c>
      <c r="O447" s="189" t="s">
        <v>278</v>
      </c>
      <c r="P447" s="189" t="s">
        <v>111</v>
      </c>
      <c r="Q447" s="189" t="s">
        <v>145</v>
      </c>
      <c r="R447" s="189" t="s">
        <v>22</v>
      </c>
      <c r="S447" s="189" t="s">
        <v>152</v>
      </c>
      <c r="T447" s="189" t="s">
        <v>121</v>
      </c>
      <c r="V447" s="189" t="s">
        <v>167</v>
      </c>
      <c r="W447" s="189" t="s">
        <v>124</v>
      </c>
      <c r="X447" s="189" t="s">
        <v>135</v>
      </c>
      <c r="Y447" s="189" t="s">
        <v>135</v>
      </c>
      <c r="Z447" s="189" t="s">
        <v>3073</v>
      </c>
      <c r="AA447" s="189" t="s">
        <v>3202</v>
      </c>
      <c r="AG447" s="189" t="s">
        <v>3193</v>
      </c>
      <c r="AH447" s="189" t="s">
        <v>3212</v>
      </c>
    </row>
    <row r="448" customFormat="false" ht="15" hidden="false" customHeight="true" outlineLevel="0" collapsed="false">
      <c r="A448" s="0" t="n">
        <v>447</v>
      </c>
      <c r="B448" s="191" t="n">
        <v>46174.7448834916</v>
      </c>
      <c r="C448" s="191" t="n">
        <v>46174.7607631212</v>
      </c>
      <c r="D448" s="189" t="s">
        <v>2692</v>
      </c>
      <c r="E448" s="189" t="s">
        <v>2693</v>
      </c>
      <c r="F448" s="189" t="s">
        <v>2693</v>
      </c>
      <c r="G448" s="189" t="s">
        <v>2694</v>
      </c>
      <c r="H448" s="191" t="n">
        <v>46158</v>
      </c>
      <c r="I448" s="189" t="s">
        <v>113</v>
      </c>
      <c r="J448" s="189" t="s">
        <v>295</v>
      </c>
      <c r="K448" s="189" t="s">
        <v>364</v>
      </c>
      <c r="L448" s="189" t="s">
        <v>491</v>
      </c>
      <c r="M448" s="189" t="s">
        <v>501</v>
      </c>
      <c r="N448" s="189" t="s">
        <v>1160</v>
      </c>
      <c r="O448" s="189" t="s">
        <v>107</v>
      </c>
      <c r="P448" s="189" t="s">
        <v>111</v>
      </c>
      <c r="Q448" s="189" t="s">
        <v>112</v>
      </c>
      <c r="R448" s="189" t="s">
        <v>22</v>
      </c>
      <c r="S448" s="189" t="s">
        <v>120</v>
      </c>
      <c r="T448" s="189" t="s">
        <v>1406</v>
      </c>
      <c r="U448" s="189" t="s">
        <v>1376</v>
      </c>
      <c r="V448" s="189" t="s">
        <v>167</v>
      </c>
      <c r="W448" s="189" t="s">
        <v>124</v>
      </c>
      <c r="X448" s="189" t="s">
        <v>271</v>
      </c>
      <c r="Y448" s="189" t="s">
        <v>271</v>
      </c>
      <c r="Z448" s="189" t="s">
        <v>3230</v>
      </c>
      <c r="AA448" s="189" t="s">
        <v>3136</v>
      </c>
      <c r="AB448" s="189" t="s">
        <v>3135</v>
      </c>
      <c r="AG448" s="189" t="s">
        <v>122</v>
      </c>
      <c r="AH448" s="189" t="s">
        <v>3118</v>
      </c>
    </row>
    <row r="449" customFormat="false" ht="15" hidden="false" customHeight="true" outlineLevel="0" collapsed="false">
      <c r="A449" s="0" t="n">
        <v>448</v>
      </c>
      <c r="B449" s="191" t="n">
        <v>46048.7824664144</v>
      </c>
      <c r="C449" s="191" t="n">
        <v>46048.7954293774</v>
      </c>
      <c r="D449" s="189" t="s">
        <v>2697</v>
      </c>
      <c r="E449" s="189" t="s">
        <v>2698</v>
      </c>
      <c r="F449" s="189" t="s">
        <v>2698</v>
      </c>
      <c r="G449" s="189" t="s">
        <v>2699</v>
      </c>
      <c r="H449" s="191" t="n">
        <v>46048</v>
      </c>
      <c r="I449" s="189" t="s">
        <v>113</v>
      </c>
      <c r="J449" s="189" t="s">
        <v>128</v>
      </c>
      <c r="K449" s="189" t="s">
        <v>364</v>
      </c>
      <c r="L449" s="189" t="s">
        <v>144</v>
      </c>
      <c r="M449" s="189" t="s">
        <v>439</v>
      </c>
      <c r="N449" s="189" t="s">
        <v>200</v>
      </c>
      <c r="O449" s="189" t="s">
        <v>172</v>
      </c>
      <c r="P449" s="189" t="s">
        <v>111</v>
      </c>
      <c r="Q449" s="189" t="s">
        <v>112</v>
      </c>
      <c r="R449" s="189" t="s">
        <v>22</v>
      </c>
      <c r="S449" s="189" t="s">
        <v>152</v>
      </c>
      <c r="T449" s="189" t="s">
        <v>180</v>
      </c>
      <c r="U449" s="189" t="s">
        <v>122</v>
      </c>
      <c r="V449" s="189" t="s">
        <v>192</v>
      </c>
      <c r="W449" s="189" t="s">
        <v>124</v>
      </c>
      <c r="X449" s="189" t="s">
        <v>381</v>
      </c>
      <c r="Y449" s="189" t="s">
        <v>381</v>
      </c>
      <c r="Z449" s="189" t="s">
        <v>3249</v>
      </c>
      <c r="AA449" s="189" t="s">
        <v>3233</v>
      </c>
      <c r="AG449" s="189" t="s">
        <v>3163</v>
      </c>
    </row>
    <row r="450" customFormat="false" ht="15" hidden="false" customHeight="true" outlineLevel="0" collapsed="false">
      <c r="A450" s="0" t="n">
        <v>449</v>
      </c>
      <c r="B450" s="191" t="n">
        <v>46168.8107722329</v>
      </c>
      <c r="C450" s="191" t="n">
        <v>46168.8264898255</v>
      </c>
      <c r="D450" s="189" t="s">
        <v>2701</v>
      </c>
      <c r="E450" s="189" t="s">
        <v>2702</v>
      </c>
      <c r="F450" s="189" t="s">
        <v>2702</v>
      </c>
      <c r="G450" s="189" t="s">
        <v>2703</v>
      </c>
      <c r="H450" s="191" t="n">
        <v>46148</v>
      </c>
      <c r="I450" s="189" t="s">
        <v>325</v>
      </c>
      <c r="J450" s="189" t="s">
        <v>128</v>
      </c>
      <c r="K450" s="189" t="s">
        <v>232</v>
      </c>
      <c r="L450" s="189" t="s">
        <v>197</v>
      </c>
      <c r="M450" s="189" t="s">
        <v>652</v>
      </c>
      <c r="N450" s="189" t="s">
        <v>758</v>
      </c>
      <c r="O450" s="189" t="s">
        <v>107</v>
      </c>
      <c r="P450" s="189" t="s">
        <v>111</v>
      </c>
      <c r="Q450" s="189" t="s">
        <v>112</v>
      </c>
      <c r="R450" s="189" t="s">
        <v>24</v>
      </c>
      <c r="S450" s="189" t="s">
        <v>120</v>
      </c>
      <c r="T450" s="189" t="s">
        <v>352</v>
      </c>
      <c r="V450" s="189" t="s">
        <v>167</v>
      </c>
      <c r="W450" s="189" t="s">
        <v>124</v>
      </c>
      <c r="X450" s="189" t="s">
        <v>214</v>
      </c>
      <c r="Y450" s="189" t="s">
        <v>214</v>
      </c>
      <c r="Z450" s="189" t="s">
        <v>3081</v>
      </c>
      <c r="AA450" s="189" t="s">
        <v>3139</v>
      </c>
      <c r="AB450" s="189" t="s">
        <v>3107</v>
      </c>
      <c r="AG450" s="189" t="s">
        <v>122</v>
      </c>
      <c r="AH450" s="189" t="s">
        <v>3140</v>
      </c>
    </row>
    <row r="451" customFormat="false" ht="15" hidden="false" customHeight="true" outlineLevel="0" collapsed="false">
      <c r="A451" s="0" t="n">
        <v>450</v>
      </c>
      <c r="B451" s="191" t="n">
        <v>46050.5131975345</v>
      </c>
      <c r="C451" s="191" t="n">
        <v>46050.5325609605</v>
      </c>
      <c r="D451" s="189" t="s">
        <v>2705</v>
      </c>
      <c r="E451" s="189" t="s">
        <v>2706</v>
      </c>
      <c r="F451" s="189" t="s">
        <v>2707</v>
      </c>
      <c r="G451" s="189" t="s">
        <v>2708</v>
      </c>
      <c r="H451" s="191" t="n">
        <v>46042</v>
      </c>
      <c r="I451" s="189" t="s">
        <v>113</v>
      </c>
      <c r="J451" s="189" t="s">
        <v>108</v>
      </c>
      <c r="K451" s="189" t="s">
        <v>232</v>
      </c>
      <c r="L451" s="189" t="s">
        <v>268</v>
      </c>
      <c r="M451" s="189" t="s">
        <v>686</v>
      </c>
      <c r="N451" s="189" t="s">
        <v>316</v>
      </c>
      <c r="O451" s="189" t="s">
        <v>172</v>
      </c>
      <c r="P451" s="189" t="s">
        <v>111</v>
      </c>
      <c r="Q451" s="189" t="s">
        <v>112</v>
      </c>
      <c r="R451" s="189" t="s">
        <v>22</v>
      </c>
      <c r="S451" s="189" t="s">
        <v>152</v>
      </c>
      <c r="T451" s="189" t="s">
        <v>121</v>
      </c>
      <c r="U451" s="132" t="s">
        <v>969</v>
      </c>
      <c r="V451" s="189" t="s">
        <v>192</v>
      </c>
      <c r="W451" s="189" t="s">
        <v>124</v>
      </c>
      <c r="X451" s="189" t="s">
        <v>271</v>
      </c>
      <c r="Y451" s="189" t="s">
        <v>271</v>
      </c>
      <c r="Z451" s="189" t="s">
        <v>3136</v>
      </c>
      <c r="AG451" s="189" t="s">
        <v>122</v>
      </c>
      <c r="AH451" s="189" t="s">
        <v>3119</v>
      </c>
    </row>
    <row r="452" customFormat="false" ht="15" hidden="false" customHeight="true" outlineLevel="0" collapsed="false">
      <c r="A452" s="0" t="n">
        <v>451</v>
      </c>
      <c r="B452" s="191" t="n">
        <v>46049.7423797384</v>
      </c>
      <c r="C452" s="191" t="n">
        <v>46049.7608982569</v>
      </c>
      <c r="D452" s="189" t="s">
        <v>2709</v>
      </c>
      <c r="E452" s="189" t="s">
        <v>2710</v>
      </c>
      <c r="F452" s="189" t="s">
        <v>2710</v>
      </c>
      <c r="G452" s="189" t="s">
        <v>2711</v>
      </c>
      <c r="H452" s="191" t="n">
        <v>46034</v>
      </c>
      <c r="I452" s="189" t="s">
        <v>113</v>
      </c>
      <c r="J452" s="189" t="s">
        <v>108</v>
      </c>
      <c r="K452" s="189" t="s">
        <v>2712</v>
      </c>
      <c r="L452" s="189" t="s">
        <v>233</v>
      </c>
      <c r="M452" s="189" t="s">
        <v>501</v>
      </c>
      <c r="N452" s="189" t="s">
        <v>998</v>
      </c>
      <c r="O452" s="189" t="s">
        <v>107</v>
      </c>
      <c r="P452" s="189" t="s">
        <v>111</v>
      </c>
      <c r="Q452" s="189" t="s">
        <v>145</v>
      </c>
      <c r="R452" s="189" t="s">
        <v>22</v>
      </c>
      <c r="S452" s="189" t="s">
        <v>120</v>
      </c>
      <c r="T452" s="189" t="s">
        <v>121</v>
      </c>
      <c r="V452" s="189" t="s">
        <v>123</v>
      </c>
      <c r="W452" s="189" t="s">
        <v>168</v>
      </c>
      <c r="X452" s="189" t="s">
        <v>339</v>
      </c>
      <c r="Y452" s="189" t="s">
        <v>339</v>
      </c>
      <c r="Z452" s="189" t="s">
        <v>3216</v>
      </c>
      <c r="AA452" s="189" t="s">
        <v>3198</v>
      </c>
      <c r="AG452" s="189" t="s">
        <v>3145</v>
      </c>
      <c r="AH452" s="189" t="s">
        <v>3144</v>
      </c>
    </row>
    <row r="453" customFormat="false" ht="15" hidden="false" customHeight="true" outlineLevel="0" collapsed="false">
      <c r="A453" s="0" t="n">
        <v>452</v>
      </c>
      <c r="B453" s="191" t="n">
        <v>46038.6022116094</v>
      </c>
      <c r="C453" s="191" t="n">
        <v>46038.6197926279</v>
      </c>
      <c r="D453" s="189" t="s">
        <v>2715</v>
      </c>
      <c r="E453" s="189" t="s">
        <v>2716</v>
      </c>
      <c r="F453" s="189" t="s">
        <v>2717</v>
      </c>
      <c r="G453" s="189" t="s">
        <v>2718</v>
      </c>
      <c r="H453" s="191" t="n">
        <v>46018</v>
      </c>
      <c r="I453" s="189" t="s">
        <v>336</v>
      </c>
      <c r="J453" s="189" t="s">
        <v>108</v>
      </c>
      <c r="K453" s="189" t="s">
        <v>1500</v>
      </c>
      <c r="L453" s="189" t="s">
        <v>184</v>
      </c>
      <c r="M453" s="189" t="s">
        <v>1313</v>
      </c>
      <c r="N453" s="189" t="s">
        <v>115</v>
      </c>
      <c r="O453" s="189" t="s">
        <v>157</v>
      </c>
      <c r="P453" s="189" t="s">
        <v>111</v>
      </c>
      <c r="Q453" s="189" t="s">
        <v>247</v>
      </c>
      <c r="R453" s="189" t="s">
        <v>22</v>
      </c>
      <c r="S453" s="189" t="s">
        <v>152</v>
      </c>
      <c r="T453" s="189" t="s">
        <v>180</v>
      </c>
      <c r="U453" s="189" t="s">
        <v>122</v>
      </c>
      <c r="V453" s="189" t="s">
        <v>123</v>
      </c>
      <c r="W453" s="189" t="s">
        <v>124</v>
      </c>
      <c r="X453" s="189" t="s">
        <v>339</v>
      </c>
      <c r="Y453" s="189" t="s">
        <v>339</v>
      </c>
      <c r="Z453" s="189" t="s">
        <v>3141</v>
      </c>
      <c r="AA453" s="189" t="s">
        <v>3198</v>
      </c>
      <c r="AB453" s="189" t="s">
        <v>3216</v>
      </c>
      <c r="AG453" s="189" t="s">
        <v>122</v>
      </c>
      <c r="AH453" s="189" t="s">
        <v>3235</v>
      </c>
    </row>
    <row r="454" customFormat="false" ht="15" hidden="false" customHeight="true" outlineLevel="0" collapsed="false">
      <c r="A454" s="0" t="n">
        <v>453</v>
      </c>
      <c r="B454" s="191" t="n">
        <v>46176.0228340475</v>
      </c>
      <c r="C454" s="191" t="n">
        <v>46176.0281118252</v>
      </c>
      <c r="D454" s="189" t="s">
        <v>2721</v>
      </c>
      <c r="E454" s="189" t="s">
        <v>2722</v>
      </c>
      <c r="F454" s="189" t="s">
        <v>2722</v>
      </c>
      <c r="G454" s="189" t="s">
        <v>2723</v>
      </c>
      <c r="H454" s="191" t="n">
        <v>46159</v>
      </c>
      <c r="I454" s="189" t="s">
        <v>113</v>
      </c>
      <c r="J454" s="189" t="s">
        <v>108</v>
      </c>
      <c r="K454" s="189" t="s">
        <v>232</v>
      </c>
      <c r="L454" s="189" t="s">
        <v>491</v>
      </c>
      <c r="M454" s="189" t="s">
        <v>269</v>
      </c>
      <c r="N454" s="189" t="s">
        <v>1028</v>
      </c>
      <c r="O454" s="189" t="s">
        <v>107</v>
      </c>
      <c r="P454" s="189" t="s">
        <v>111</v>
      </c>
      <c r="Q454" s="189" t="s">
        <v>112</v>
      </c>
      <c r="R454" s="189" t="s">
        <v>22</v>
      </c>
      <c r="S454" s="189" t="s">
        <v>152</v>
      </c>
      <c r="T454" s="189" t="s">
        <v>121</v>
      </c>
      <c r="V454" s="189" t="s">
        <v>167</v>
      </c>
      <c r="W454" s="189" t="s">
        <v>124</v>
      </c>
      <c r="X454" s="189" t="s">
        <v>271</v>
      </c>
      <c r="Y454" s="189" t="s">
        <v>271</v>
      </c>
      <c r="Z454" s="189" t="s">
        <v>3135</v>
      </c>
      <c r="AA454" s="189" t="s">
        <v>3115</v>
      </c>
      <c r="AG454" s="189" t="s">
        <v>122</v>
      </c>
      <c r="AH454" s="189" t="s">
        <v>3119</v>
      </c>
    </row>
    <row r="455" customFormat="false" ht="15" hidden="false" customHeight="true" outlineLevel="0" collapsed="false">
      <c r="A455" s="0" t="n">
        <v>454</v>
      </c>
      <c r="B455" s="191" t="n">
        <v>46064.746347431</v>
      </c>
      <c r="C455" s="191" t="n">
        <v>46064.7640789125</v>
      </c>
      <c r="D455" s="189" t="s">
        <v>2726</v>
      </c>
      <c r="E455" s="189" t="s">
        <v>2727</v>
      </c>
      <c r="F455" s="189" t="s">
        <v>2727</v>
      </c>
      <c r="G455" s="189" t="s">
        <v>2728</v>
      </c>
      <c r="H455" s="191" t="n">
        <v>46046</v>
      </c>
      <c r="I455" s="189" t="s">
        <v>113</v>
      </c>
      <c r="J455" s="189" t="s">
        <v>108</v>
      </c>
      <c r="K455" s="189" t="s">
        <v>2729</v>
      </c>
      <c r="L455" s="189" t="s">
        <v>184</v>
      </c>
      <c r="M455" s="189" t="s">
        <v>809</v>
      </c>
      <c r="N455" s="189" t="s">
        <v>2315</v>
      </c>
      <c r="O455" s="189" t="s">
        <v>278</v>
      </c>
      <c r="P455" s="189" t="s">
        <v>111</v>
      </c>
      <c r="Q455" s="189" t="s">
        <v>145</v>
      </c>
      <c r="R455" s="189" t="s">
        <v>22</v>
      </c>
      <c r="S455" s="189" t="s">
        <v>152</v>
      </c>
      <c r="T455" s="189" t="s">
        <v>121</v>
      </c>
      <c r="U455" s="189" t="s">
        <v>927</v>
      </c>
      <c r="V455" s="189" t="s">
        <v>192</v>
      </c>
      <c r="W455" s="189" t="s">
        <v>124</v>
      </c>
      <c r="X455" s="189" t="s">
        <v>176</v>
      </c>
      <c r="Y455" s="189" t="s">
        <v>176</v>
      </c>
      <c r="Z455" s="189" t="s">
        <v>3239</v>
      </c>
      <c r="AG455" s="189" t="s">
        <v>3296</v>
      </c>
      <c r="AH455" s="189" t="s">
        <v>122</v>
      </c>
    </row>
    <row r="456" customFormat="false" ht="15" hidden="false" customHeight="true" outlineLevel="0" collapsed="false">
      <c r="A456" s="0" t="n">
        <v>455</v>
      </c>
      <c r="B456" s="191" t="n">
        <v>46045.3564091574</v>
      </c>
      <c r="C456" s="191" t="n">
        <v>46045.3596383241</v>
      </c>
      <c r="D456" s="189" t="s">
        <v>2732</v>
      </c>
      <c r="E456" s="189" t="s">
        <v>2733</v>
      </c>
      <c r="F456" s="189" t="s">
        <v>2734</v>
      </c>
      <c r="G456" s="189" t="s">
        <v>2735</v>
      </c>
      <c r="H456" s="191" t="n">
        <v>46045</v>
      </c>
      <c r="I456" s="189" t="s">
        <v>113</v>
      </c>
      <c r="J456" s="189" t="s">
        <v>108</v>
      </c>
      <c r="K456" s="189" t="s">
        <v>232</v>
      </c>
      <c r="L456" s="189" t="s">
        <v>246</v>
      </c>
      <c r="M456" s="189" t="s">
        <v>944</v>
      </c>
      <c r="N456" s="189" t="s">
        <v>849</v>
      </c>
      <c r="O456" s="189" t="s">
        <v>157</v>
      </c>
      <c r="P456" s="189" t="s">
        <v>111</v>
      </c>
      <c r="Q456" s="189" t="s">
        <v>112</v>
      </c>
      <c r="R456" s="189" t="s">
        <v>21</v>
      </c>
      <c r="S456" s="189" t="s">
        <v>152</v>
      </c>
      <c r="T456" s="189" t="s">
        <v>121</v>
      </c>
      <c r="V456" s="189" t="s">
        <v>192</v>
      </c>
      <c r="W456" s="189" t="s">
        <v>139</v>
      </c>
      <c r="X456" s="189" t="s">
        <v>348</v>
      </c>
      <c r="Y456" s="189" t="s">
        <v>348</v>
      </c>
      <c r="Z456" s="189" t="s">
        <v>3146</v>
      </c>
      <c r="AA456" s="189" t="s">
        <v>3164</v>
      </c>
      <c r="AB456" s="189" t="s">
        <v>3277</v>
      </c>
      <c r="AG456" s="189" t="s">
        <v>3148</v>
      </c>
      <c r="AH456" s="189" t="s">
        <v>3263</v>
      </c>
    </row>
    <row r="457" customFormat="false" ht="15" hidden="false" customHeight="true" outlineLevel="0" collapsed="false">
      <c r="A457" s="0" t="n">
        <v>456</v>
      </c>
      <c r="B457" s="191" t="n">
        <v>46099.72140788</v>
      </c>
      <c r="C457" s="191" t="n">
        <v>46099.7389541763</v>
      </c>
      <c r="D457" s="189" t="s">
        <v>2737</v>
      </c>
      <c r="E457" s="189" t="s">
        <v>2738</v>
      </c>
      <c r="F457" s="189" t="s">
        <v>2739</v>
      </c>
      <c r="G457" s="189" t="s">
        <v>2740</v>
      </c>
      <c r="H457" s="191" t="n">
        <v>46084</v>
      </c>
      <c r="I457" s="189" t="s">
        <v>113</v>
      </c>
      <c r="J457" s="189" t="s">
        <v>108</v>
      </c>
      <c r="K457" s="189" t="s">
        <v>196</v>
      </c>
      <c r="L457" s="189" t="s">
        <v>346</v>
      </c>
      <c r="M457" s="189" t="s">
        <v>885</v>
      </c>
      <c r="N457" s="189" t="s">
        <v>1036</v>
      </c>
      <c r="O457" s="189" t="s">
        <v>107</v>
      </c>
      <c r="P457" s="189" t="s">
        <v>111</v>
      </c>
      <c r="Q457" s="189" t="s">
        <v>145</v>
      </c>
      <c r="R457" s="189" t="s">
        <v>22</v>
      </c>
      <c r="S457" s="189" t="s">
        <v>152</v>
      </c>
      <c r="T457" s="189" t="s">
        <v>121</v>
      </c>
      <c r="U457" s="189" t="s">
        <v>994</v>
      </c>
      <c r="V457" s="189" t="s">
        <v>123</v>
      </c>
      <c r="W457" s="189" t="s">
        <v>168</v>
      </c>
      <c r="X457" s="189" t="s">
        <v>148</v>
      </c>
      <c r="Y457" s="189" t="s">
        <v>148</v>
      </c>
      <c r="Z457" s="189" t="s">
        <v>3122</v>
      </c>
      <c r="AA457" s="189" t="s">
        <v>3281</v>
      </c>
      <c r="AG457" s="189" t="s">
        <v>3080</v>
      </c>
      <c r="AH457" s="189" t="s">
        <v>3079</v>
      </c>
    </row>
    <row r="458" customFormat="false" ht="15" hidden="false" customHeight="true" outlineLevel="0" collapsed="false">
      <c r="A458" s="0" t="n">
        <v>457</v>
      </c>
      <c r="B458" s="191" t="n">
        <v>46089.4150662734</v>
      </c>
      <c r="C458" s="191" t="n">
        <v>46089.4354597919</v>
      </c>
      <c r="D458" s="189" t="s">
        <v>2743</v>
      </c>
      <c r="E458" s="189" t="s">
        <v>2744</v>
      </c>
      <c r="F458" s="189" t="s">
        <v>2745</v>
      </c>
      <c r="G458" s="189" t="s">
        <v>2746</v>
      </c>
      <c r="H458" s="191" t="n">
        <v>46081</v>
      </c>
      <c r="I458" s="189" t="s">
        <v>113</v>
      </c>
      <c r="J458" s="189" t="s">
        <v>108</v>
      </c>
      <c r="K458" s="189" t="s">
        <v>173</v>
      </c>
      <c r="L458" s="189" t="s">
        <v>197</v>
      </c>
      <c r="M458" s="189" t="s">
        <v>397</v>
      </c>
      <c r="N458" s="189" t="s">
        <v>398</v>
      </c>
      <c r="O458" s="189" t="s">
        <v>2670</v>
      </c>
      <c r="P458" s="189" t="s">
        <v>131</v>
      </c>
      <c r="Q458" s="189" t="s">
        <v>145</v>
      </c>
      <c r="R458" s="189" t="s">
        <v>24</v>
      </c>
      <c r="S458" s="189" t="s">
        <v>120</v>
      </c>
      <c r="T458" s="189" t="s">
        <v>121</v>
      </c>
      <c r="V458" s="189" t="s">
        <v>192</v>
      </c>
      <c r="W458" s="189" t="s">
        <v>124</v>
      </c>
      <c r="X458" s="189" t="s">
        <v>260</v>
      </c>
      <c r="Y458" s="189" t="s">
        <v>260</v>
      </c>
      <c r="Z458" s="189" t="s">
        <v>122</v>
      </c>
      <c r="AA458" s="189" t="s">
        <v>3262</v>
      </c>
      <c r="AG458" s="189" t="s">
        <v>3113</v>
      </c>
      <c r="AH458" s="189" t="s">
        <v>3259</v>
      </c>
    </row>
    <row r="459" customFormat="false" ht="15" hidden="false" customHeight="true" outlineLevel="0" collapsed="false">
      <c r="A459" s="0" t="n">
        <v>458</v>
      </c>
      <c r="B459" s="191" t="n">
        <v>46112.4049615362</v>
      </c>
      <c r="C459" s="191" t="n">
        <v>46112.4145795917</v>
      </c>
      <c r="D459" s="189" t="s">
        <v>2750</v>
      </c>
      <c r="E459" s="189" t="s">
        <v>2751</v>
      </c>
      <c r="F459" s="189" t="s">
        <v>2751</v>
      </c>
      <c r="G459" s="189" t="s">
        <v>2752</v>
      </c>
      <c r="H459" s="191" t="n">
        <v>46097</v>
      </c>
      <c r="I459" s="189" t="s">
        <v>113</v>
      </c>
      <c r="J459" s="189" t="s">
        <v>108</v>
      </c>
      <c r="K459" s="189" t="s">
        <v>462</v>
      </c>
      <c r="L459" s="189" t="s">
        <v>346</v>
      </c>
      <c r="M459" s="189" t="s">
        <v>160</v>
      </c>
      <c r="N459" s="189" t="s">
        <v>595</v>
      </c>
      <c r="O459" s="189" t="s">
        <v>244</v>
      </c>
      <c r="P459" s="189" t="s">
        <v>131</v>
      </c>
      <c r="Q459" s="189" t="s">
        <v>112</v>
      </c>
      <c r="R459" s="189" t="s">
        <v>23</v>
      </c>
      <c r="S459" s="189" t="s">
        <v>152</v>
      </c>
      <c r="T459" s="189" t="s">
        <v>228</v>
      </c>
      <c r="U459" s="132" t="s">
        <v>641</v>
      </c>
      <c r="V459" s="189" t="s">
        <v>192</v>
      </c>
      <c r="W459" s="189" t="s">
        <v>124</v>
      </c>
      <c r="X459" s="189" t="s">
        <v>442</v>
      </c>
      <c r="Y459" s="189" t="s">
        <v>442</v>
      </c>
      <c r="AK459" s="189" t="s">
        <v>441</v>
      </c>
    </row>
    <row r="460" customFormat="false" ht="15" hidden="false" customHeight="true" outlineLevel="0" collapsed="false">
      <c r="A460" s="0" t="n">
        <v>459</v>
      </c>
      <c r="B460" s="191" t="n">
        <v>46143.9070095954</v>
      </c>
      <c r="C460" s="191" t="n">
        <v>46143.9116970954</v>
      </c>
      <c r="D460" s="189" t="s">
        <v>2753</v>
      </c>
      <c r="E460" s="189" t="s">
        <v>2754</v>
      </c>
      <c r="F460" s="189" t="s">
        <v>2754</v>
      </c>
      <c r="G460" s="189" t="s">
        <v>2755</v>
      </c>
      <c r="H460" s="191" t="n">
        <v>46131</v>
      </c>
      <c r="I460" s="189" t="s">
        <v>113</v>
      </c>
      <c r="J460" s="189" t="s">
        <v>108</v>
      </c>
      <c r="K460" s="189" t="s">
        <v>2756</v>
      </c>
      <c r="L460" s="189" t="s">
        <v>233</v>
      </c>
      <c r="M460" s="189" t="s">
        <v>774</v>
      </c>
      <c r="N460" s="189" t="s">
        <v>297</v>
      </c>
      <c r="O460" s="189" t="s">
        <v>107</v>
      </c>
      <c r="P460" s="189" t="s">
        <v>111</v>
      </c>
      <c r="Q460" s="189" t="s">
        <v>112</v>
      </c>
      <c r="R460" s="189" t="s">
        <v>22</v>
      </c>
      <c r="S460" s="189" t="s">
        <v>152</v>
      </c>
      <c r="T460" s="189" t="s">
        <v>496</v>
      </c>
      <c r="V460" s="189" t="s">
        <v>123</v>
      </c>
      <c r="W460" s="189" t="s">
        <v>168</v>
      </c>
      <c r="X460" s="189" t="s">
        <v>298</v>
      </c>
      <c r="Y460" s="189" t="s">
        <v>298</v>
      </c>
      <c r="Z460" s="189" t="s">
        <v>3208</v>
      </c>
      <c r="AA460" s="189" t="s">
        <v>3207</v>
      </c>
      <c r="AB460" s="189" t="s">
        <v>3124</v>
      </c>
      <c r="AG460" s="189" t="s">
        <v>3128</v>
      </c>
      <c r="AH460" s="189" t="s">
        <v>3210</v>
      </c>
    </row>
    <row r="461" customFormat="false" ht="15" hidden="false" customHeight="true" outlineLevel="0" collapsed="false">
      <c r="A461" s="0" t="n">
        <v>460</v>
      </c>
      <c r="B461" s="191" t="n">
        <v>46210.6206163621</v>
      </c>
      <c r="C461" s="191" t="n">
        <v>46210.6384520102</v>
      </c>
      <c r="D461" s="189" t="s">
        <v>2759</v>
      </c>
      <c r="E461" s="189" t="s">
        <v>2760</v>
      </c>
      <c r="F461" s="189" t="s">
        <v>2760</v>
      </c>
      <c r="G461" s="189" t="s">
        <v>2761</v>
      </c>
      <c r="H461" s="191" t="n">
        <v>46210</v>
      </c>
      <c r="I461" s="189" t="s">
        <v>113</v>
      </c>
      <c r="J461" s="189" t="s">
        <v>128</v>
      </c>
      <c r="K461" s="189" t="s">
        <v>196</v>
      </c>
      <c r="L461" s="189" t="s">
        <v>431</v>
      </c>
      <c r="M461" s="189" t="s">
        <v>905</v>
      </c>
      <c r="N461" s="189" t="s">
        <v>174</v>
      </c>
      <c r="O461" s="189" t="s">
        <v>157</v>
      </c>
      <c r="P461" s="189" t="s">
        <v>211</v>
      </c>
      <c r="Q461" s="189" t="s">
        <v>145</v>
      </c>
      <c r="R461" s="189" t="s">
        <v>22</v>
      </c>
      <c r="S461" s="189" t="s">
        <v>152</v>
      </c>
      <c r="T461" s="189" t="s">
        <v>121</v>
      </c>
      <c r="U461" s="189" t="s">
        <v>204</v>
      </c>
      <c r="V461" s="189" t="s">
        <v>123</v>
      </c>
      <c r="W461" s="189" t="s">
        <v>124</v>
      </c>
      <c r="X461" s="189" t="s">
        <v>176</v>
      </c>
      <c r="Y461" s="189" t="s">
        <v>176</v>
      </c>
      <c r="Z461" s="189" t="s">
        <v>3269</v>
      </c>
      <c r="AA461" s="189" t="s">
        <v>3204</v>
      </c>
      <c r="AB461" s="189" t="s">
        <v>3321</v>
      </c>
      <c r="AG461" s="189" t="s">
        <v>3294</v>
      </c>
    </row>
    <row r="462" customFormat="false" ht="15" hidden="false" customHeight="true" outlineLevel="0" collapsed="false">
      <c r="A462" s="0" t="n">
        <v>461</v>
      </c>
      <c r="B462" s="191" t="n">
        <v>46093.289644947</v>
      </c>
      <c r="C462" s="191" t="n">
        <v>46093.2912768914</v>
      </c>
      <c r="D462" s="189" t="s">
        <v>2765</v>
      </c>
      <c r="E462" s="189" t="s">
        <v>2766</v>
      </c>
      <c r="F462" s="189" t="s">
        <v>2766</v>
      </c>
      <c r="G462" s="189" t="s">
        <v>2767</v>
      </c>
      <c r="H462" s="191" t="n">
        <v>46083</v>
      </c>
      <c r="I462" s="189" t="s">
        <v>113</v>
      </c>
      <c r="J462" s="189" t="s">
        <v>108</v>
      </c>
      <c r="K462" s="189" t="s">
        <v>196</v>
      </c>
      <c r="L462" s="189" t="s">
        <v>197</v>
      </c>
      <c r="M462" s="189" t="s">
        <v>694</v>
      </c>
      <c r="N462" s="189" t="s">
        <v>2315</v>
      </c>
      <c r="O462" s="189" t="s">
        <v>172</v>
      </c>
      <c r="P462" s="189" t="s">
        <v>111</v>
      </c>
      <c r="Q462" s="189" t="s">
        <v>198</v>
      </c>
      <c r="R462" s="189" t="s">
        <v>22</v>
      </c>
      <c r="S462" s="189" t="s">
        <v>152</v>
      </c>
      <c r="T462" s="189" t="s">
        <v>121</v>
      </c>
      <c r="U462" s="189" t="s">
        <v>562</v>
      </c>
      <c r="V462" s="189" t="s">
        <v>123</v>
      </c>
      <c r="W462" s="189" t="s">
        <v>124</v>
      </c>
      <c r="X462" s="189" t="s">
        <v>381</v>
      </c>
      <c r="Y462" s="189" t="s">
        <v>381</v>
      </c>
      <c r="Z462" s="189" t="s">
        <v>3159</v>
      </c>
      <c r="AA462" s="189" t="s">
        <v>3249</v>
      </c>
      <c r="AG462" s="189" t="s">
        <v>3163</v>
      </c>
    </row>
    <row r="463" customFormat="false" ht="15" hidden="false" customHeight="true" outlineLevel="0" collapsed="false">
      <c r="A463" s="0" t="n">
        <v>462</v>
      </c>
      <c r="B463" s="191" t="n">
        <v>46054.5956944546</v>
      </c>
      <c r="C463" s="191" t="n">
        <v>46054.5993055657</v>
      </c>
      <c r="D463" s="189" t="s">
        <v>2769</v>
      </c>
      <c r="E463" s="189" t="s">
        <v>2770</v>
      </c>
      <c r="F463" s="189" t="s">
        <v>2770</v>
      </c>
      <c r="G463" s="189" t="s">
        <v>2771</v>
      </c>
      <c r="H463" s="191" t="n">
        <v>46044</v>
      </c>
      <c r="I463" s="189" t="s">
        <v>113</v>
      </c>
      <c r="J463" s="189" t="s">
        <v>128</v>
      </c>
      <c r="K463" s="189" t="s">
        <v>2772</v>
      </c>
      <c r="L463" s="189" t="s">
        <v>130</v>
      </c>
      <c r="M463" s="189" t="s">
        <v>515</v>
      </c>
      <c r="N463" s="189" t="s">
        <v>701</v>
      </c>
      <c r="O463" s="189" t="s">
        <v>107</v>
      </c>
      <c r="P463" s="189" t="s">
        <v>111</v>
      </c>
      <c r="Q463" s="189" t="s">
        <v>145</v>
      </c>
      <c r="R463" s="189" t="s">
        <v>21</v>
      </c>
      <c r="S463" s="189" t="s">
        <v>120</v>
      </c>
      <c r="T463" s="189" t="s">
        <v>121</v>
      </c>
      <c r="U463" s="189" t="s">
        <v>321</v>
      </c>
      <c r="V463" s="189" t="s">
        <v>192</v>
      </c>
      <c r="W463" s="189" t="s">
        <v>124</v>
      </c>
      <c r="X463" s="189" t="s">
        <v>187</v>
      </c>
      <c r="Y463" s="189" t="s">
        <v>187</v>
      </c>
      <c r="Z463" s="189" t="s">
        <v>3089</v>
      </c>
      <c r="AG463" s="189" t="s">
        <v>3091</v>
      </c>
    </row>
    <row r="464" customFormat="false" ht="15" hidden="false" customHeight="true" outlineLevel="0" collapsed="false">
      <c r="A464" s="0" t="n">
        <v>463</v>
      </c>
      <c r="B464" s="191" t="n">
        <v>46113.8356871494</v>
      </c>
      <c r="C464" s="191" t="n">
        <v>46113.8477820568</v>
      </c>
      <c r="D464" s="189" t="s">
        <v>2774</v>
      </c>
      <c r="E464" s="189" t="s">
        <v>2775</v>
      </c>
      <c r="F464" s="189" t="s">
        <v>2775</v>
      </c>
      <c r="G464" s="189" t="s">
        <v>2776</v>
      </c>
      <c r="H464" s="191" t="n">
        <v>46112</v>
      </c>
      <c r="I464" s="189" t="s">
        <v>113</v>
      </c>
      <c r="J464" s="189" t="s">
        <v>108</v>
      </c>
      <c r="K464" s="189" t="s">
        <v>2777</v>
      </c>
      <c r="L464" s="189" t="s">
        <v>431</v>
      </c>
      <c r="M464" s="189" t="s">
        <v>286</v>
      </c>
      <c r="N464" s="189" t="s">
        <v>1229</v>
      </c>
      <c r="O464" s="189" t="s">
        <v>172</v>
      </c>
      <c r="P464" s="189" t="s">
        <v>390</v>
      </c>
      <c r="Q464" s="189" t="s">
        <v>112</v>
      </c>
      <c r="R464" s="189" t="s">
        <v>22</v>
      </c>
      <c r="S464" s="189" t="s">
        <v>120</v>
      </c>
      <c r="T464" s="189" t="s">
        <v>121</v>
      </c>
      <c r="U464" s="189" t="s">
        <v>122</v>
      </c>
      <c r="V464" s="189" t="s">
        <v>167</v>
      </c>
      <c r="W464" s="189" t="s">
        <v>124</v>
      </c>
      <c r="X464" s="189" t="s">
        <v>298</v>
      </c>
      <c r="Y464" s="189" t="s">
        <v>298</v>
      </c>
      <c r="Z464" s="189" t="s">
        <v>3273</v>
      </c>
      <c r="AA464" s="189" t="s">
        <v>3194</v>
      </c>
      <c r="AG464" s="189" t="s">
        <v>3275</v>
      </c>
      <c r="AH464" s="189" t="s">
        <v>122</v>
      </c>
    </row>
    <row r="465" customFormat="false" ht="15" hidden="false" customHeight="true" outlineLevel="0" collapsed="false">
      <c r="A465" s="0" t="n">
        <v>464</v>
      </c>
      <c r="B465" s="191" t="n">
        <v>46149.4053828465</v>
      </c>
      <c r="C465" s="191" t="n">
        <v>46149.4201050687</v>
      </c>
      <c r="D465" s="189" t="s">
        <v>2781</v>
      </c>
      <c r="E465" s="189" t="s">
        <v>2782</v>
      </c>
      <c r="F465" s="189" t="s">
        <v>2782</v>
      </c>
      <c r="G465" s="189" t="s">
        <v>2783</v>
      </c>
      <c r="H465" s="191" t="n">
        <v>46138</v>
      </c>
      <c r="I465" s="189" t="s">
        <v>113</v>
      </c>
      <c r="J465" s="189" t="s">
        <v>108</v>
      </c>
      <c r="K465" s="189" t="s">
        <v>257</v>
      </c>
      <c r="L465" s="189" t="s">
        <v>114</v>
      </c>
      <c r="M465" s="189" t="s">
        <v>397</v>
      </c>
      <c r="N465" s="189" t="s">
        <v>841</v>
      </c>
      <c r="O465" s="189" t="s">
        <v>278</v>
      </c>
      <c r="P465" s="189" t="s">
        <v>111</v>
      </c>
      <c r="Q465" s="189" t="s">
        <v>112</v>
      </c>
      <c r="R465" s="189" t="s">
        <v>21</v>
      </c>
      <c r="S465" s="189" t="s">
        <v>152</v>
      </c>
      <c r="T465" s="189" t="s">
        <v>121</v>
      </c>
      <c r="V465" s="189" t="s">
        <v>192</v>
      </c>
      <c r="W465" s="189" t="s">
        <v>124</v>
      </c>
      <c r="X465" s="189" t="s">
        <v>1830</v>
      </c>
      <c r="Y465" s="189" t="s">
        <v>1830</v>
      </c>
      <c r="Z465" s="189" t="s">
        <v>3312</v>
      </c>
      <c r="AA465" s="189" t="s">
        <v>3311</v>
      </c>
      <c r="AG465" s="189" t="s">
        <v>3338</v>
      </c>
    </row>
    <row r="466" customFormat="false" ht="15" hidden="false" customHeight="true" outlineLevel="0" collapsed="false">
      <c r="A466" s="0" t="n">
        <v>465</v>
      </c>
      <c r="B466" s="191" t="n">
        <v>46164.3538350289</v>
      </c>
      <c r="C466" s="191" t="n">
        <v>46164.3707794733</v>
      </c>
      <c r="D466" s="189" t="s">
        <v>2787</v>
      </c>
      <c r="E466" s="189" t="s">
        <v>2788</v>
      </c>
      <c r="F466" s="189" t="s">
        <v>2788</v>
      </c>
      <c r="G466" s="189" t="s">
        <v>2789</v>
      </c>
      <c r="H466" s="191" t="n">
        <v>46161</v>
      </c>
      <c r="I466" s="189" t="s">
        <v>113</v>
      </c>
      <c r="J466" s="189" t="s">
        <v>108</v>
      </c>
      <c r="K466" s="189" t="s">
        <v>2790</v>
      </c>
      <c r="L466" s="189" t="s">
        <v>431</v>
      </c>
      <c r="M466" s="189" t="s">
        <v>809</v>
      </c>
      <c r="N466" s="189" t="s">
        <v>544</v>
      </c>
      <c r="O466" s="189" t="s">
        <v>244</v>
      </c>
      <c r="P466" s="189" t="s">
        <v>111</v>
      </c>
      <c r="Q466" s="189" t="s">
        <v>112</v>
      </c>
      <c r="R466" s="189" t="s">
        <v>21</v>
      </c>
      <c r="S466" s="189" t="s">
        <v>120</v>
      </c>
      <c r="T466" s="189" t="s">
        <v>121</v>
      </c>
      <c r="V466" s="189" t="s">
        <v>123</v>
      </c>
      <c r="W466" s="189" t="s">
        <v>124</v>
      </c>
      <c r="X466" s="189" t="s">
        <v>457</v>
      </c>
      <c r="Y466" s="189" t="s">
        <v>457</v>
      </c>
      <c r="Z466" s="189" t="s">
        <v>3139</v>
      </c>
      <c r="AA466" s="189" t="s">
        <v>3081</v>
      </c>
      <c r="AB466" s="189" t="s">
        <v>3107</v>
      </c>
      <c r="AG466" s="189" t="s">
        <v>3083</v>
      </c>
    </row>
    <row r="467" customFormat="false" ht="15" hidden="false" customHeight="true" outlineLevel="0" collapsed="false">
      <c r="A467" s="0" t="n">
        <v>466</v>
      </c>
      <c r="B467" s="191" t="n">
        <v>46106.9638352535</v>
      </c>
      <c r="C467" s="191" t="n">
        <v>46106.9686847905</v>
      </c>
      <c r="D467" s="189" t="s">
        <v>2792</v>
      </c>
      <c r="E467" s="189" t="s">
        <v>2793</v>
      </c>
      <c r="F467" s="189" t="s">
        <v>2794</v>
      </c>
      <c r="G467" s="189" t="s">
        <v>2795</v>
      </c>
      <c r="H467" s="191" t="n">
        <v>46090</v>
      </c>
      <c r="I467" s="189" t="s">
        <v>132</v>
      </c>
      <c r="J467" s="189" t="s">
        <v>295</v>
      </c>
      <c r="K467" s="189" t="s">
        <v>462</v>
      </c>
      <c r="L467" s="189" t="s">
        <v>268</v>
      </c>
      <c r="M467" s="189" t="s">
        <v>501</v>
      </c>
      <c r="N467" s="189" t="s">
        <v>186</v>
      </c>
      <c r="O467" s="189" t="s">
        <v>107</v>
      </c>
      <c r="P467" s="189" t="s">
        <v>111</v>
      </c>
      <c r="Q467" s="189" t="s">
        <v>145</v>
      </c>
      <c r="R467" s="189" t="s">
        <v>24</v>
      </c>
      <c r="S467" s="189" t="s">
        <v>120</v>
      </c>
      <c r="T467" s="189" t="s">
        <v>228</v>
      </c>
      <c r="U467" s="189" t="s">
        <v>122</v>
      </c>
      <c r="V467" s="189" t="s">
        <v>167</v>
      </c>
      <c r="W467" s="189" t="s">
        <v>124</v>
      </c>
      <c r="X467" s="189" t="s">
        <v>214</v>
      </c>
      <c r="Y467" s="189" t="s">
        <v>214</v>
      </c>
      <c r="Z467" s="189" t="s">
        <v>3095</v>
      </c>
      <c r="AG467" s="189" t="s">
        <v>122</v>
      </c>
      <c r="AH467" s="189" t="s">
        <v>3070</v>
      </c>
    </row>
    <row r="468" customFormat="false" ht="15" hidden="false" customHeight="true" outlineLevel="0" collapsed="false">
      <c r="A468" s="0" t="n">
        <v>467</v>
      </c>
      <c r="B468" s="191" t="n">
        <v>46153.8343410578</v>
      </c>
      <c r="C468" s="191" t="n">
        <v>46153.8453595763</v>
      </c>
      <c r="D468" s="189" t="s">
        <v>2796</v>
      </c>
      <c r="E468" s="189" t="s">
        <v>2797</v>
      </c>
      <c r="F468" s="189" t="s">
        <v>2797</v>
      </c>
      <c r="G468" s="189" t="s">
        <v>2798</v>
      </c>
      <c r="H468" s="191" t="n">
        <v>46133</v>
      </c>
      <c r="I468" s="189" t="s">
        <v>113</v>
      </c>
      <c r="J468" s="189" t="s">
        <v>108</v>
      </c>
      <c r="K468" s="189" t="s">
        <v>446</v>
      </c>
      <c r="L468" s="189" t="s">
        <v>110</v>
      </c>
      <c r="M468" s="189" t="s">
        <v>1120</v>
      </c>
      <c r="N468" s="189" t="s">
        <v>1553</v>
      </c>
      <c r="O468" s="189" t="s">
        <v>107</v>
      </c>
      <c r="P468" s="189" t="s">
        <v>111</v>
      </c>
      <c r="Q468" s="189" t="s">
        <v>112</v>
      </c>
      <c r="R468" s="189" t="s">
        <v>24</v>
      </c>
      <c r="S468" s="189" t="s">
        <v>152</v>
      </c>
      <c r="T468" s="189" t="s">
        <v>228</v>
      </c>
      <c r="U468" s="189" t="s">
        <v>562</v>
      </c>
      <c r="V468" s="189" t="s">
        <v>192</v>
      </c>
      <c r="W468" s="189" t="s">
        <v>124</v>
      </c>
      <c r="X468" s="189" t="s">
        <v>223</v>
      </c>
      <c r="Y468" s="189" t="s">
        <v>223</v>
      </c>
      <c r="Z468" s="189" t="s">
        <v>3103</v>
      </c>
      <c r="AA468" s="189" t="s">
        <v>3097</v>
      </c>
      <c r="AB468" s="189" t="s">
        <v>3096</v>
      </c>
      <c r="AG468" s="189" t="s">
        <v>3106</v>
      </c>
      <c r="AH468" s="189" t="s">
        <v>3101</v>
      </c>
    </row>
    <row r="469" customFormat="false" ht="15" hidden="false" customHeight="true" outlineLevel="0" collapsed="false">
      <c r="A469" s="0" t="n">
        <v>468</v>
      </c>
      <c r="B469" s="191" t="n">
        <v>46210.0715151572</v>
      </c>
      <c r="C469" s="191" t="n">
        <v>46210.0890730276</v>
      </c>
      <c r="D469" s="189" t="s">
        <v>2802</v>
      </c>
      <c r="E469" s="189" t="s">
        <v>2803</v>
      </c>
      <c r="F469" s="189" t="s">
        <v>2803</v>
      </c>
      <c r="G469" s="189" t="s">
        <v>2804</v>
      </c>
      <c r="H469" s="191" t="n">
        <v>46192</v>
      </c>
      <c r="I469" s="189" t="s">
        <v>113</v>
      </c>
      <c r="J469" s="189" t="s">
        <v>108</v>
      </c>
      <c r="K469" s="189" t="s">
        <v>257</v>
      </c>
      <c r="L469" s="189" t="s">
        <v>233</v>
      </c>
      <c r="M469" s="189" t="s">
        <v>258</v>
      </c>
      <c r="N469" s="189" t="s">
        <v>440</v>
      </c>
      <c r="O469" s="189" t="s">
        <v>107</v>
      </c>
      <c r="P469" s="189" t="s">
        <v>111</v>
      </c>
      <c r="Q469" s="189" t="s">
        <v>112</v>
      </c>
      <c r="R469" s="189" t="s">
        <v>22</v>
      </c>
      <c r="S469" s="189" t="s">
        <v>120</v>
      </c>
      <c r="T469" s="189" t="s">
        <v>121</v>
      </c>
      <c r="V469" s="189" t="s">
        <v>123</v>
      </c>
      <c r="W469" s="189" t="s">
        <v>124</v>
      </c>
      <c r="X469" s="189" t="s">
        <v>176</v>
      </c>
      <c r="Y469" s="189" t="s">
        <v>176</v>
      </c>
      <c r="Z469" s="189" t="s">
        <v>3239</v>
      </c>
      <c r="AA469" s="189" t="s">
        <v>3329</v>
      </c>
      <c r="AG469" s="189" t="s">
        <v>3294</v>
      </c>
      <c r="AH469" s="189" t="s">
        <v>3242</v>
      </c>
    </row>
    <row r="470" customFormat="false" ht="15" hidden="false" customHeight="true" outlineLevel="0" collapsed="false">
      <c r="A470" s="0" t="n">
        <v>469</v>
      </c>
      <c r="B470" s="191" t="n">
        <v>46051.8065579612</v>
      </c>
      <c r="C470" s="191" t="n">
        <v>46051.8261875909</v>
      </c>
      <c r="D470" s="189" t="s">
        <v>2806</v>
      </c>
      <c r="E470" s="189" t="s">
        <v>2807</v>
      </c>
      <c r="F470" s="189" t="s">
        <v>2807</v>
      </c>
      <c r="G470" s="189" t="s">
        <v>2808</v>
      </c>
      <c r="H470" s="191" t="n">
        <v>46040</v>
      </c>
      <c r="I470" s="189" t="s">
        <v>325</v>
      </c>
      <c r="J470" s="189" t="s">
        <v>108</v>
      </c>
      <c r="K470" s="189" t="s">
        <v>2809</v>
      </c>
      <c r="L470" s="189" t="s">
        <v>296</v>
      </c>
      <c r="M470" s="189" t="s">
        <v>870</v>
      </c>
      <c r="N470" s="189" t="s">
        <v>1067</v>
      </c>
      <c r="O470" s="189" t="s">
        <v>278</v>
      </c>
      <c r="P470" s="189" t="s">
        <v>111</v>
      </c>
      <c r="Q470" s="189" t="s">
        <v>112</v>
      </c>
      <c r="R470" s="189" t="s">
        <v>22</v>
      </c>
      <c r="S470" s="189" t="s">
        <v>227</v>
      </c>
      <c r="T470" s="189" t="s">
        <v>121</v>
      </c>
      <c r="V470" s="189" t="s">
        <v>123</v>
      </c>
      <c r="W470" s="189" t="s">
        <v>124</v>
      </c>
      <c r="X470" s="189" t="s">
        <v>176</v>
      </c>
      <c r="Y470" s="189" t="s">
        <v>176</v>
      </c>
      <c r="Z470" s="189" t="s">
        <v>3239</v>
      </c>
      <c r="AA470" s="189" t="s">
        <v>3084</v>
      </c>
      <c r="AB470" s="189" t="s">
        <v>3321</v>
      </c>
      <c r="AG470" s="189" t="s">
        <v>3245</v>
      </c>
      <c r="AH470" s="189" t="s">
        <v>3294</v>
      </c>
    </row>
    <row r="471" customFormat="false" ht="15" hidden="false" customHeight="true" outlineLevel="0" collapsed="false">
      <c r="A471" s="0" t="n">
        <v>470</v>
      </c>
      <c r="B471" s="191" t="n">
        <v>46102.0931924047</v>
      </c>
      <c r="C471" s="191" t="n">
        <v>46102.0961553676</v>
      </c>
      <c r="D471" s="189" t="s">
        <v>2813</v>
      </c>
      <c r="E471" s="189" t="s">
        <v>2814</v>
      </c>
      <c r="F471" s="189" t="s">
        <v>2814</v>
      </c>
      <c r="G471" s="189" t="s">
        <v>2815</v>
      </c>
      <c r="H471" s="191" t="n">
        <v>46094</v>
      </c>
      <c r="I471" s="189" t="s">
        <v>113</v>
      </c>
      <c r="J471" s="189" t="s">
        <v>108</v>
      </c>
      <c r="K471" s="189" t="s">
        <v>232</v>
      </c>
      <c r="L471" s="189" t="s">
        <v>233</v>
      </c>
      <c r="M471" s="189" t="s">
        <v>1074</v>
      </c>
      <c r="N471" s="189" t="s">
        <v>1622</v>
      </c>
      <c r="O471" s="189" t="s">
        <v>713</v>
      </c>
      <c r="P471" s="189" t="s">
        <v>111</v>
      </c>
      <c r="Q471" s="189" t="s">
        <v>112</v>
      </c>
      <c r="R471" s="189" t="s">
        <v>25</v>
      </c>
      <c r="S471" s="189" t="s">
        <v>152</v>
      </c>
      <c r="T471" s="189" t="s">
        <v>121</v>
      </c>
      <c r="U471" s="189" t="s">
        <v>2818</v>
      </c>
      <c r="V471" s="189" t="s">
        <v>123</v>
      </c>
      <c r="W471" s="189" t="s">
        <v>124</v>
      </c>
      <c r="X471" s="189" t="s">
        <v>1712</v>
      </c>
      <c r="Y471" s="189" t="s">
        <v>1712</v>
      </c>
      <c r="Z471" s="189" t="s">
        <v>3305</v>
      </c>
      <c r="AG471" s="189" t="s">
        <v>3308</v>
      </c>
    </row>
    <row r="472" customFormat="false" ht="15" hidden="false" customHeight="true" outlineLevel="0" collapsed="false">
      <c r="A472" s="0" t="n">
        <v>471</v>
      </c>
      <c r="B472" s="191" t="n">
        <v>46096.7723364736</v>
      </c>
      <c r="C472" s="191" t="n">
        <v>46096.775993881</v>
      </c>
      <c r="D472" s="189" t="s">
        <v>2819</v>
      </c>
      <c r="E472" s="189" t="s">
        <v>2820</v>
      </c>
      <c r="F472" s="189" t="s">
        <v>2820</v>
      </c>
      <c r="G472" s="189" t="s">
        <v>2821</v>
      </c>
      <c r="H472" s="191" t="n">
        <v>46090</v>
      </c>
      <c r="I472" s="189" t="s">
        <v>113</v>
      </c>
      <c r="J472" s="189" t="s">
        <v>295</v>
      </c>
      <c r="K472" s="189" t="s">
        <v>1906</v>
      </c>
      <c r="L472" s="189" t="s">
        <v>114</v>
      </c>
      <c r="M472" s="189" t="s">
        <v>1074</v>
      </c>
      <c r="N472" s="189" t="s">
        <v>1243</v>
      </c>
      <c r="O472" s="189" t="s">
        <v>107</v>
      </c>
      <c r="P472" s="189" t="s">
        <v>111</v>
      </c>
      <c r="Q472" s="189" t="s">
        <v>112</v>
      </c>
      <c r="R472" s="189" t="s">
        <v>22</v>
      </c>
      <c r="S472" s="189" t="s">
        <v>120</v>
      </c>
      <c r="T472" s="189" t="s">
        <v>496</v>
      </c>
      <c r="U472" s="189" t="s">
        <v>122</v>
      </c>
      <c r="V472" s="189" t="s">
        <v>167</v>
      </c>
      <c r="W472" s="189" t="s">
        <v>124</v>
      </c>
      <c r="X472" s="189" t="s">
        <v>715</v>
      </c>
      <c r="Y472" s="189" t="s">
        <v>715</v>
      </c>
      <c r="Z472" s="189" t="s">
        <v>3251</v>
      </c>
      <c r="AA472" s="189" t="s">
        <v>3255</v>
      </c>
      <c r="AB472" s="189" t="s">
        <v>3252</v>
      </c>
      <c r="AG472" s="189" t="s">
        <v>3228</v>
      </c>
      <c r="AH472" s="189" t="s">
        <v>3256</v>
      </c>
    </row>
    <row r="473" customFormat="false" ht="15" hidden="false" customHeight="true" outlineLevel="0" collapsed="false">
      <c r="A473" s="0" t="n">
        <v>472</v>
      </c>
      <c r="B473" s="191" t="n">
        <v>46201.8272267422</v>
      </c>
      <c r="C473" s="191" t="n">
        <v>46201.8401318348</v>
      </c>
      <c r="D473" s="189" t="s">
        <v>2823</v>
      </c>
      <c r="E473" s="189" t="s">
        <v>2824</v>
      </c>
      <c r="F473" s="189" t="s">
        <v>2825</v>
      </c>
      <c r="G473" s="189" t="s">
        <v>2826</v>
      </c>
      <c r="H473" s="191" t="n">
        <v>46188</v>
      </c>
      <c r="I473" s="189" t="s">
        <v>113</v>
      </c>
      <c r="J473" s="189" t="s">
        <v>108</v>
      </c>
      <c r="K473" s="189" t="s">
        <v>2827</v>
      </c>
      <c r="L473" s="189" t="s">
        <v>268</v>
      </c>
      <c r="M473" s="189" t="s">
        <v>234</v>
      </c>
      <c r="N473" s="189" t="s">
        <v>175</v>
      </c>
      <c r="O473" s="189" t="s">
        <v>107</v>
      </c>
      <c r="P473" s="189" t="s">
        <v>211</v>
      </c>
      <c r="Q473" s="189" t="s">
        <v>112</v>
      </c>
      <c r="R473" s="189" t="s">
        <v>22</v>
      </c>
      <c r="S473" s="189" t="s">
        <v>152</v>
      </c>
      <c r="T473" s="189" t="s">
        <v>352</v>
      </c>
      <c r="U473" s="189" t="s">
        <v>122</v>
      </c>
      <c r="V473" s="189" t="s">
        <v>123</v>
      </c>
      <c r="W473" s="189" t="s">
        <v>124</v>
      </c>
      <c r="X473" s="189" t="s">
        <v>339</v>
      </c>
      <c r="Y473" s="189" t="s">
        <v>339</v>
      </c>
      <c r="Z473" s="189" t="s">
        <v>3199</v>
      </c>
      <c r="AA473" s="189" t="s">
        <v>3141</v>
      </c>
      <c r="AG473" s="189" t="s">
        <v>3145</v>
      </c>
      <c r="AH473" s="189" t="s">
        <v>3144</v>
      </c>
    </row>
    <row r="474" customFormat="false" ht="15" hidden="false" customHeight="true" outlineLevel="0" collapsed="false">
      <c r="A474" s="0" t="n">
        <v>473</v>
      </c>
      <c r="B474" s="191" t="n">
        <v>46128.9227676241</v>
      </c>
      <c r="C474" s="191" t="n">
        <v>46128.9428717907</v>
      </c>
      <c r="D474" s="189" t="s">
        <v>2829</v>
      </c>
      <c r="E474" s="189" t="s">
        <v>2830</v>
      </c>
      <c r="F474" s="189" t="s">
        <v>2830</v>
      </c>
      <c r="G474" s="189" t="s">
        <v>2831</v>
      </c>
      <c r="H474" s="191" t="n">
        <v>46128</v>
      </c>
      <c r="I474" s="189" t="s">
        <v>132</v>
      </c>
      <c r="J474" s="189" t="s">
        <v>108</v>
      </c>
      <c r="K474" s="189" t="s">
        <v>143</v>
      </c>
      <c r="L474" s="189" t="s">
        <v>491</v>
      </c>
      <c r="M474" s="189" t="s">
        <v>594</v>
      </c>
      <c r="N474" s="189" t="s">
        <v>1323</v>
      </c>
      <c r="O474" s="189" t="s">
        <v>172</v>
      </c>
      <c r="P474" s="189" t="s">
        <v>111</v>
      </c>
      <c r="Q474" s="189" t="s">
        <v>112</v>
      </c>
      <c r="R474" s="189" t="s">
        <v>22</v>
      </c>
      <c r="S474" s="189" t="s">
        <v>120</v>
      </c>
      <c r="T474" s="189" t="s">
        <v>121</v>
      </c>
      <c r="U474" s="189" t="s">
        <v>1229</v>
      </c>
      <c r="V474" s="189" t="s">
        <v>192</v>
      </c>
      <c r="W474" s="189" t="s">
        <v>124</v>
      </c>
      <c r="X474" s="189" t="s">
        <v>339</v>
      </c>
      <c r="Y474" s="189" t="s">
        <v>339</v>
      </c>
      <c r="Z474" s="189" t="s">
        <v>3199</v>
      </c>
      <c r="AG474" s="189" t="s">
        <v>3217</v>
      </c>
      <c r="AH474" s="189" t="s">
        <v>3200</v>
      </c>
    </row>
    <row r="475" customFormat="false" ht="15" hidden="false" customHeight="true" outlineLevel="0" collapsed="false">
      <c r="A475" s="0" t="n">
        <v>474</v>
      </c>
      <c r="B475" s="191" t="n">
        <v>46113.7829359425</v>
      </c>
      <c r="C475" s="191" t="n">
        <v>46113.7848340906</v>
      </c>
      <c r="D475" s="189" t="s">
        <v>2834</v>
      </c>
      <c r="E475" s="189" t="s">
        <v>2835</v>
      </c>
      <c r="F475" s="189" t="s">
        <v>2835</v>
      </c>
      <c r="G475" s="189" t="s">
        <v>2836</v>
      </c>
      <c r="H475" s="191" t="n">
        <v>46102</v>
      </c>
      <c r="I475" s="189" t="s">
        <v>113</v>
      </c>
      <c r="J475" s="189" t="s">
        <v>108</v>
      </c>
      <c r="K475" s="189" t="s">
        <v>245</v>
      </c>
      <c r="L475" s="189" t="s">
        <v>110</v>
      </c>
      <c r="M475" s="189" t="s">
        <v>774</v>
      </c>
      <c r="N475" s="189" t="s">
        <v>645</v>
      </c>
      <c r="O475" s="189" t="s">
        <v>172</v>
      </c>
      <c r="P475" s="189" t="s">
        <v>111</v>
      </c>
      <c r="Q475" s="189" t="s">
        <v>112</v>
      </c>
      <c r="R475" s="189" t="s">
        <v>22</v>
      </c>
      <c r="S475" s="189" t="s">
        <v>120</v>
      </c>
      <c r="T475" s="189" t="s">
        <v>121</v>
      </c>
      <c r="U475" s="189" t="s">
        <v>1902</v>
      </c>
      <c r="V475" s="189" t="s">
        <v>123</v>
      </c>
      <c r="W475" s="189" t="s">
        <v>124</v>
      </c>
      <c r="X475" s="189" t="s">
        <v>176</v>
      </c>
      <c r="Y475" s="189" t="s">
        <v>176</v>
      </c>
      <c r="Z475" s="189" t="s">
        <v>3244</v>
      </c>
      <c r="AA475" s="189" t="s">
        <v>3204</v>
      </c>
      <c r="AB475" s="189" t="s">
        <v>3292</v>
      </c>
      <c r="AG475" s="189" t="s">
        <v>3206</v>
      </c>
    </row>
    <row r="476" customFormat="false" ht="15" hidden="false" customHeight="true" outlineLevel="0" collapsed="false">
      <c r="A476" s="0" t="n">
        <v>475</v>
      </c>
      <c r="B476" s="191" t="n">
        <v>46088.6130893513</v>
      </c>
      <c r="C476" s="191" t="n">
        <v>46088.6248023142</v>
      </c>
      <c r="D476" s="189" t="s">
        <v>2840</v>
      </c>
      <c r="E476" s="189" t="s">
        <v>2841</v>
      </c>
      <c r="F476" s="189" t="s">
        <v>2841</v>
      </c>
      <c r="G476" s="189" t="s">
        <v>2842</v>
      </c>
      <c r="H476" s="191" t="n">
        <v>46083</v>
      </c>
      <c r="I476" s="189" t="s">
        <v>325</v>
      </c>
      <c r="J476" s="189" t="s">
        <v>108</v>
      </c>
      <c r="K476" s="189" t="s">
        <v>143</v>
      </c>
      <c r="L476" s="189" t="s">
        <v>110</v>
      </c>
      <c r="M476" s="189" t="s">
        <v>406</v>
      </c>
      <c r="N476" s="189" t="s">
        <v>893</v>
      </c>
      <c r="O476" s="189" t="s">
        <v>107</v>
      </c>
      <c r="P476" s="189" t="s">
        <v>111</v>
      </c>
      <c r="Q476" s="189" t="s">
        <v>112</v>
      </c>
      <c r="R476" s="189" t="s">
        <v>22</v>
      </c>
      <c r="S476" s="189" t="s">
        <v>120</v>
      </c>
      <c r="T476" s="189" t="s">
        <v>121</v>
      </c>
      <c r="U476" s="189" t="s">
        <v>122</v>
      </c>
      <c r="V476" s="189" t="s">
        <v>123</v>
      </c>
      <c r="W476" s="189" t="s">
        <v>124</v>
      </c>
      <c r="X476" s="189" t="s">
        <v>116</v>
      </c>
      <c r="Y476" s="189" t="s">
        <v>116</v>
      </c>
      <c r="Z476" s="189" t="s">
        <v>3095</v>
      </c>
      <c r="AA476" s="189" t="s">
        <v>3107</v>
      </c>
      <c r="AG476" s="189" t="s">
        <v>3140</v>
      </c>
    </row>
    <row r="477" customFormat="false" ht="15" hidden="false" customHeight="true" outlineLevel="0" collapsed="false">
      <c r="A477" s="0" t="n">
        <v>476</v>
      </c>
      <c r="B477" s="191" t="n">
        <v>46152.0763581904</v>
      </c>
      <c r="C477" s="191" t="n">
        <v>46152.0813581904</v>
      </c>
      <c r="D477" s="189" t="s">
        <v>2843</v>
      </c>
      <c r="E477" s="189" t="s">
        <v>2844</v>
      </c>
      <c r="F477" s="189" t="s">
        <v>2844</v>
      </c>
      <c r="G477" s="189" t="s">
        <v>2845</v>
      </c>
      <c r="H477" s="191" t="n">
        <v>46145</v>
      </c>
      <c r="I477" s="189" t="s">
        <v>113</v>
      </c>
      <c r="J477" s="189" t="s">
        <v>108</v>
      </c>
      <c r="K477" s="189" t="s">
        <v>1288</v>
      </c>
      <c r="L477" s="189" t="s">
        <v>346</v>
      </c>
      <c r="M477" s="189" t="s">
        <v>686</v>
      </c>
      <c r="N477" s="189" t="s">
        <v>1441</v>
      </c>
      <c r="O477" s="189" t="s">
        <v>278</v>
      </c>
      <c r="P477" s="189" t="s">
        <v>111</v>
      </c>
      <c r="Q477" s="189" t="s">
        <v>112</v>
      </c>
      <c r="R477" s="189" t="s">
        <v>22</v>
      </c>
      <c r="S477" s="189" t="s">
        <v>152</v>
      </c>
      <c r="T477" s="189" t="s">
        <v>352</v>
      </c>
      <c r="U477" s="189" t="s">
        <v>2256</v>
      </c>
      <c r="V477" s="189" t="s">
        <v>192</v>
      </c>
      <c r="W477" s="189" t="s">
        <v>168</v>
      </c>
      <c r="X477" s="189" t="s">
        <v>135</v>
      </c>
      <c r="Y477" s="189" t="s">
        <v>135</v>
      </c>
      <c r="Z477" s="189" t="s">
        <v>3071</v>
      </c>
      <c r="AA477" s="189" t="s">
        <v>3202</v>
      </c>
      <c r="AG477" s="189" t="s">
        <v>122</v>
      </c>
      <c r="AH477" s="189" t="s">
        <v>3193</v>
      </c>
    </row>
    <row r="478" customFormat="false" ht="15" hidden="false" customHeight="true" outlineLevel="0" collapsed="false">
      <c r="A478" s="0" t="n">
        <v>477</v>
      </c>
      <c r="B478" s="191" t="n">
        <v>46063.0368588999</v>
      </c>
      <c r="C478" s="191" t="n">
        <v>46063.0491621407</v>
      </c>
      <c r="D478" s="189" t="s">
        <v>2847</v>
      </c>
      <c r="E478" s="189" t="s">
        <v>2848</v>
      </c>
      <c r="F478" s="189" t="s">
        <v>2848</v>
      </c>
      <c r="G478" s="189" t="s">
        <v>2849</v>
      </c>
      <c r="H478" s="191" t="n">
        <v>46051</v>
      </c>
      <c r="I478" s="189" t="s">
        <v>325</v>
      </c>
      <c r="J478" s="189" t="s">
        <v>295</v>
      </c>
      <c r="K478" s="189" t="s">
        <v>196</v>
      </c>
      <c r="L478" s="189" t="s">
        <v>233</v>
      </c>
      <c r="M478" s="189" t="s">
        <v>357</v>
      </c>
      <c r="N478" s="189" t="s">
        <v>174</v>
      </c>
      <c r="O478" s="189" t="s">
        <v>244</v>
      </c>
      <c r="P478" s="189" t="s">
        <v>111</v>
      </c>
      <c r="Q478" s="189" t="s">
        <v>112</v>
      </c>
      <c r="R478" s="189" t="s">
        <v>23</v>
      </c>
      <c r="S478" s="189" t="s">
        <v>152</v>
      </c>
      <c r="T478" s="189" t="s">
        <v>496</v>
      </c>
      <c r="V478" s="189" t="s">
        <v>123</v>
      </c>
      <c r="W478" s="189" t="s">
        <v>139</v>
      </c>
      <c r="X478" s="189" t="s">
        <v>1645</v>
      </c>
      <c r="Y478" s="189" t="s">
        <v>1645</v>
      </c>
    </row>
    <row r="479" customFormat="false" ht="15" hidden="false" customHeight="true" outlineLevel="0" collapsed="false">
      <c r="A479" s="0" t="n">
        <v>478</v>
      </c>
      <c r="B479" s="191" t="n">
        <v>46179.4152753702</v>
      </c>
      <c r="C479" s="191" t="n">
        <v>46179.4257267591</v>
      </c>
      <c r="D479" s="189" t="s">
        <v>2850</v>
      </c>
      <c r="E479" s="189" t="s">
        <v>2851</v>
      </c>
      <c r="F479" s="189" t="s">
        <v>2851</v>
      </c>
      <c r="G479" s="189" t="s">
        <v>2852</v>
      </c>
      <c r="H479" s="191" t="n">
        <v>46179</v>
      </c>
      <c r="I479" s="189" t="s">
        <v>113</v>
      </c>
      <c r="J479" s="189" t="s">
        <v>108</v>
      </c>
      <c r="K479" s="189" t="s">
        <v>2119</v>
      </c>
      <c r="L479" s="189" t="s">
        <v>159</v>
      </c>
      <c r="M479" s="189" t="s">
        <v>185</v>
      </c>
      <c r="N479" s="189" t="s">
        <v>414</v>
      </c>
      <c r="O479" s="189" t="s">
        <v>172</v>
      </c>
      <c r="P479" s="189" t="s">
        <v>111</v>
      </c>
      <c r="Q479" s="189" t="s">
        <v>145</v>
      </c>
      <c r="R479" s="189" t="s">
        <v>23</v>
      </c>
      <c r="S479" s="189" t="s">
        <v>152</v>
      </c>
      <c r="T479" s="189" t="s">
        <v>121</v>
      </c>
      <c r="U479" s="189" t="s">
        <v>2853</v>
      </c>
      <c r="V479" s="189" t="s">
        <v>123</v>
      </c>
      <c r="W479" s="189" t="s">
        <v>124</v>
      </c>
      <c r="X479" s="189" t="s">
        <v>442</v>
      </c>
      <c r="Y479" s="189" t="s">
        <v>442</v>
      </c>
      <c r="AK479" s="189" t="s">
        <v>441</v>
      </c>
    </row>
    <row r="480" customFormat="false" ht="15" hidden="false" customHeight="true" outlineLevel="0" collapsed="false">
      <c r="A480" s="0" t="n">
        <v>479</v>
      </c>
      <c r="B480" s="191" t="n">
        <v>46168.3970140985</v>
      </c>
      <c r="C480" s="191" t="n">
        <v>46168.4014932651</v>
      </c>
      <c r="D480" s="189" t="s">
        <v>2854</v>
      </c>
      <c r="E480" s="189" t="s">
        <v>2855</v>
      </c>
      <c r="F480" s="189" t="s">
        <v>2855</v>
      </c>
      <c r="G480" s="189" t="s">
        <v>2856</v>
      </c>
      <c r="H480" s="191" t="n">
        <v>46161</v>
      </c>
      <c r="I480" s="189" t="s">
        <v>113</v>
      </c>
      <c r="J480" s="189" t="s">
        <v>128</v>
      </c>
      <c r="K480" s="189" t="s">
        <v>232</v>
      </c>
      <c r="L480" s="189" t="s">
        <v>491</v>
      </c>
      <c r="M480" s="189" t="s">
        <v>789</v>
      </c>
      <c r="N480" s="189" t="s">
        <v>270</v>
      </c>
      <c r="O480" s="189" t="s">
        <v>750</v>
      </c>
      <c r="P480" s="189" t="s">
        <v>111</v>
      </c>
      <c r="Q480" s="189" t="s">
        <v>112</v>
      </c>
      <c r="R480" s="189" t="s">
        <v>21</v>
      </c>
      <c r="S480" s="189" t="s">
        <v>152</v>
      </c>
      <c r="T480" s="189" t="s">
        <v>121</v>
      </c>
      <c r="V480" s="189" t="s">
        <v>123</v>
      </c>
      <c r="W480" s="189" t="s">
        <v>124</v>
      </c>
      <c r="X480" s="189" t="s">
        <v>250</v>
      </c>
      <c r="Y480" s="189" t="s">
        <v>250</v>
      </c>
      <c r="Z480" s="189" t="s">
        <v>3065</v>
      </c>
      <c r="AA480" s="189" t="s">
        <v>3095</v>
      </c>
      <c r="AG480" s="189" t="s">
        <v>3108</v>
      </c>
    </row>
    <row r="481" customFormat="false" ht="15" hidden="false" customHeight="true" outlineLevel="0" collapsed="false">
      <c r="A481" s="0" t="n">
        <v>480</v>
      </c>
      <c r="B481" s="191" t="n">
        <v>46104.7791955194</v>
      </c>
      <c r="C481" s="191" t="n">
        <v>46104.7955265379</v>
      </c>
      <c r="D481" s="189" t="s">
        <v>2857</v>
      </c>
      <c r="E481" s="189" t="s">
        <v>2858</v>
      </c>
      <c r="F481" s="189" t="s">
        <v>2858</v>
      </c>
      <c r="G481" s="189" t="s">
        <v>2859</v>
      </c>
      <c r="H481" s="191" t="n">
        <v>46090</v>
      </c>
      <c r="I481" s="189" t="s">
        <v>113</v>
      </c>
      <c r="J481" s="189" t="s">
        <v>295</v>
      </c>
      <c r="K481" s="189" t="s">
        <v>257</v>
      </c>
      <c r="L481" s="189" t="s">
        <v>130</v>
      </c>
      <c r="M481" s="189" t="s">
        <v>870</v>
      </c>
      <c r="N481" s="189" t="s">
        <v>1224</v>
      </c>
      <c r="O481" s="189" t="s">
        <v>172</v>
      </c>
      <c r="P481" s="189" t="s">
        <v>111</v>
      </c>
      <c r="Q481" s="189" t="s">
        <v>145</v>
      </c>
      <c r="R481" s="189" t="s">
        <v>23</v>
      </c>
      <c r="S481" s="189" t="s">
        <v>120</v>
      </c>
      <c r="T481" s="189" t="s">
        <v>121</v>
      </c>
      <c r="U481" s="189" t="s">
        <v>956</v>
      </c>
      <c r="V481" s="189" t="s">
        <v>192</v>
      </c>
      <c r="W481" s="189" t="s">
        <v>139</v>
      </c>
      <c r="X481" s="189" t="s">
        <v>1645</v>
      </c>
      <c r="Y481" s="189" t="s">
        <v>1645</v>
      </c>
    </row>
    <row r="482" customFormat="false" ht="15" hidden="false" customHeight="true" outlineLevel="0" collapsed="false">
      <c r="A482" s="0" t="n">
        <v>481</v>
      </c>
      <c r="B482" s="191" t="n">
        <v>46171.1233383021</v>
      </c>
      <c r="C482" s="191" t="n">
        <v>46171.1416484873</v>
      </c>
      <c r="D482" s="189" t="s">
        <v>2860</v>
      </c>
      <c r="E482" s="189" t="s">
        <v>2861</v>
      </c>
      <c r="F482" s="189" t="s">
        <v>2861</v>
      </c>
      <c r="G482" s="189" t="s">
        <v>2862</v>
      </c>
      <c r="H482" s="191" t="n">
        <v>46151</v>
      </c>
      <c r="I482" s="189" t="s">
        <v>113</v>
      </c>
      <c r="J482" s="189" t="s">
        <v>108</v>
      </c>
      <c r="K482" s="189" t="s">
        <v>462</v>
      </c>
      <c r="L482" s="189" t="s">
        <v>210</v>
      </c>
      <c r="M482" s="189" t="s">
        <v>736</v>
      </c>
      <c r="N482" s="189" t="s">
        <v>766</v>
      </c>
      <c r="O482" s="189" t="s">
        <v>107</v>
      </c>
      <c r="P482" s="189" t="s">
        <v>111</v>
      </c>
      <c r="Q482" s="189" t="s">
        <v>112</v>
      </c>
      <c r="R482" s="189" t="s">
        <v>22</v>
      </c>
      <c r="S482" s="189" t="s">
        <v>120</v>
      </c>
      <c r="T482" s="189" t="s">
        <v>121</v>
      </c>
      <c r="V482" s="189" t="s">
        <v>192</v>
      </c>
      <c r="W482" s="189" t="s">
        <v>139</v>
      </c>
      <c r="X482" s="189" t="s">
        <v>176</v>
      </c>
      <c r="Y482" s="189" t="s">
        <v>176</v>
      </c>
      <c r="Z482" s="189" t="s">
        <v>3299</v>
      </c>
      <c r="AA482" s="189" t="s">
        <v>3244</v>
      </c>
      <c r="AG482" s="189" t="s">
        <v>3270</v>
      </c>
    </row>
    <row r="483" customFormat="false" ht="15" hidden="false" customHeight="true" outlineLevel="0" collapsed="false">
      <c r="A483" s="0" t="n">
        <v>482</v>
      </c>
      <c r="B483" s="191" t="n">
        <v>46067.9327980885</v>
      </c>
      <c r="C483" s="191" t="n">
        <v>46067.9534230885</v>
      </c>
      <c r="D483" s="189" t="s">
        <v>2866</v>
      </c>
      <c r="E483" s="189" t="s">
        <v>2867</v>
      </c>
      <c r="F483" s="189" t="s">
        <v>2867</v>
      </c>
      <c r="G483" s="189" t="s">
        <v>2868</v>
      </c>
      <c r="H483" s="191" t="n">
        <v>46056</v>
      </c>
      <c r="I483" s="189" t="s">
        <v>113</v>
      </c>
      <c r="J483" s="189" t="s">
        <v>128</v>
      </c>
      <c r="K483" s="189" t="s">
        <v>356</v>
      </c>
      <c r="L483" s="189" t="s">
        <v>144</v>
      </c>
      <c r="M483" s="189" t="s">
        <v>594</v>
      </c>
      <c r="N483" s="189" t="s">
        <v>653</v>
      </c>
      <c r="O483" s="189" t="s">
        <v>157</v>
      </c>
      <c r="P483" s="189" t="s">
        <v>111</v>
      </c>
      <c r="Q483" s="189" t="s">
        <v>112</v>
      </c>
      <c r="R483" s="189" t="s">
        <v>22</v>
      </c>
      <c r="S483" s="189" t="s">
        <v>152</v>
      </c>
      <c r="T483" s="189" t="s">
        <v>352</v>
      </c>
      <c r="U483" s="189" t="s">
        <v>122</v>
      </c>
      <c r="V483" s="189" t="s">
        <v>123</v>
      </c>
      <c r="W483" s="189" t="s">
        <v>168</v>
      </c>
      <c r="X483" s="189" t="s">
        <v>715</v>
      </c>
      <c r="Y483" s="189" t="s">
        <v>715</v>
      </c>
      <c r="Z483" s="189" t="s">
        <v>3255</v>
      </c>
      <c r="AA483" s="189" t="s">
        <v>3224</v>
      </c>
      <c r="AB483" s="189" t="s">
        <v>3252</v>
      </c>
      <c r="AG483" s="189" t="s">
        <v>3232</v>
      </c>
      <c r="AH483" s="189" t="s">
        <v>3229</v>
      </c>
    </row>
    <row r="484" customFormat="false" ht="15" hidden="false" customHeight="true" outlineLevel="0" collapsed="false">
      <c r="A484" s="0" t="n">
        <v>483</v>
      </c>
      <c r="B484" s="191" t="n">
        <v>46156.2253135684</v>
      </c>
      <c r="C484" s="191" t="n">
        <v>46156.2452672721</v>
      </c>
      <c r="D484" s="189" t="s">
        <v>2871</v>
      </c>
      <c r="E484" s="189" t="s">
        <v>2872</v>
      </c>
      <c r="F484" s="189" t="s">
        <v>2872</v>
      </c>
      <c r="G484" s="189" t="s">
        <v>2873</v>
      </c>
      <c r="H484" s="191" t="n">
        <v>46149</v>
      </c>
      <c r="I484" s="189" t="s">
        <v>113</v>
      </c>
      <c r="J484" s="189" t="s">
        <v>108</v>
      </c>
      <c r="K484" s="189" t="s">
        <v>2874</v>
      </c>
      <c r="L484" s="189" t="s">
        <v>233</v>
      </c>
      <c r="M484" s="189" t="s">
        <v>612</v>
      </c>
      <c r="N484" s="189" t="s">
        <v>508</v>
      </c>
      <c r="O484" s="189" t="s">
        <v>172</v>
      </c>
      <c r="P484" s="189" t="s">
        <v>111</v>
      </c>
      <c r="Q484" s="189" t="s">
        <v>145</v>
      </c>
      <c r="R484" s="189" t="s">
        <v>21</v>
      </c>
      <c r="S484" s="189" t="s">
        <v>152</v>
      </c>
      <c r="T484" s="189" t="s">
        <v>590</v>
      </c>
      <c r="V484" s="189" t="s">
        <v>123</v>
      </c>
      <c r="W484" s="189" t="s">
        <v>124</v>
      </c>
      <c r="X484" s="189" t="s">
        <v>348</v>
      </c>
      <c r="Y484" s="189" t="s">
        <v>348</v>
      </c>
      <c r="Z484" s="189" t="s">
        <v>3164</v>
      </c>
      <c r="AA484" s="189" t="s">
        <v>3339</v>
      </c>
      <c r="AB484" s="189" t="s">
        <v>3277</v>
      </c>
      <c r="AG484" s="189" t="s">
        <v>3166</v>
      </c>
      <c r="AH484" s="189" t="s">
        <v>3263</v>
      </c>
    </row>
    <row r="485" customFormat="false" ht="15" hidden="false" customHeight="true" outlineLevel="0" collapsed="false">
      <c r="A485" s="0" t="n">
        <v>484</v>
      </c>
      <c r="B485" s="191" t="n">
        <v>46054.6585269142</v>
      </c>
      <c r="C485" s="191" t="n">
        <v>46054.6654829328</v>
      </c>
      <c r="D485" s="189" t="s">
        <v>2877</v>
      </c>
      <c r="E485" s="189" t="s">
        <v>2878</v>
      </c>
      <c r="F485" s="189" t="s">
        <v>2878</v>
      </c>
      <c r="G485" s="189" t="s">
        <v>2879</v>
      </c>
      <c r="H485" s="191" t="n">
        <v>46049</v>
      </c>
      <c r="I485" s="189" t="s">
        <v>113</v>
      </c>
      <c r="J485" s="189" t="s">
        <v>108</v>
      </c>
      <c r="K485" s="189" t="s">
        <v>462</v>
      </c>
      <c r="L485" s="189" t="s">
        <v>114</v>
      </c>
      <c r="M485" s="189" t="s">
        <v>578</v>
      </c>
      <c r="N485" s="189" t="s">
        <v>841</v>
      </c>
      <c r="O485" s="189" t="s">
        <v>172</v>
      </c>
      <c r="P485" s="189" t="s">
        <v>111</v>
      </c>
      <c r="Q485" s="189" t="s">
        <v>145</v>
      </c>
      <c r="R485" s="189" t="s">
        <v>22</v>
      </c>
      <c r="S485" s="189" t="s">
        <v>227</v>
      </c>
      <c r="T485" s="189" t="s">
        <v>121</v>
      </c>
      <c r="U485" s="189" t="s">
        <v>1940</v>
      </c>
      <c r="V485" s="189" t="s">
        <v>192</v>
      </c>
      <c r="W485" s="189" t="s">
        <v>124</v>
      </c>
      <c r="X485" s="189" t="s">
        <v>148</v>
      </c>
      <c r="Y485" s="189" t="s">
        <v>148</v>
      </c>
      <c r="Z485" s="189" t="s">
        <v>3092</v>
      </c>
      <c r="AA485" s="189" t="s">
        <v>3281</v>
      </c>
      <c r="AB485" s="189" t="s">
        <v>3122</v>
      </c>
      <c r="AG485" s="189" t="s">
        <v>122</v>
      </c>
    </row>
    <row r="486" customFormat="false" ht="15" hidden="false" customHeight="true" outlineLevel="0" collapsed="false">
      <c r="A486" s="0" t="n">
        <v>485</v>
      </c>
      <c r="B486" s="191" t="n">
        <v>46182.3323950566</v>
      </c>
      <c r="C486" s="191" t="n">
        <v>46182.3475918159</v>
      </c>
      <c r="D486" s="189" t="s">
        <v>2881</v>
      </c>
      <c r="E486" s="189" t="s">
        <v>2882</v>
      </c>
      <c r="F486" s="189" t="s">
        <v>2882</v>
      </c>
      <c r="G486" s="189" t="s">
        <v>2883</v>
      </c>
      <c r="H486" s="191" t="n">
        <v>46163</v>
      </c>
      <c r="I486" s="189" t="s">
        <v>113</v>
      </c>
      <c r="J486" s="189" t="s">
        <v>128</v>
      </c>
      <c r="K486" s="189" t="s">
        <v>245</v>
      </c>
      <c r="L486" s="189" t="s">
        <v>389</v>
      </c>
      <c r="M486" s="189" t="s">
        <v>144</v>
      </c>
      <c r="N486" s="189" t="s">
        <v>1006</v>
      </c>
      <c r="O486" s="189" t="s">
        <v>107</v>
      </c>
      <c r="P486" s="189" t="s">
        <v>111</v>
      </c>
      <c r="Q486" s="189" t="s">
        <v>112</v>
      </c>
      <c r="R486" s="189" t="s">
        <v>24</v>
      </c>
      <c r="S486" s="189" t="s">
        <v>152</v>
      </c>
      <c r="T486" s="189" t="s">
        <v>180</v>
      </c>
      <c r="U486" s="189" t="s">
        <v>122</v>
      </c>
      <c r="V486" s="189" t="s">
        <v>192</v>
      </c>
      <c r="W486" s="189" t="s">
        <v>124</v>
      </c>
      <c r="X486" s="189" t="s">
        <v>448</v>
      </c>
      <c r="Y486" s="189" t="s">
        <v>448</v>
      </c>
      <c r="Z486" s="189" t="s">
        <v>3175</v>
      </c>
      <c r="AG486" s="189" t="s">
        <v>3179</v>
      </c>
    </row>
    <row r="487" customFormat="false" ht="15" hidden="false" customHeight="true" outlineLevel="0" collapsed="false">
      <c r="A487" s="0" t="n">
        <v>486</v>
      </c>
      <c r="B487" s="191" t="n">
        <v>46090.9715510418</v>
      </c>
      <c r="C487" s="191" t="n">
        <v>46090.9798959492</v>
      </c>
      <c r="D487" s="189" t="s">
        <v>2885</v>
      </c>
      <c r="E487" s="189" t="s">
        <v>2886</v>
      </c>
      <c r="F487" s="189" t="s">
        <v>2886</v>
      </c>
      <c r="G487" s="189" t="s">
        <v>2887</v>
      </c>
      <c r="H487" s="191" t="n">
        <v>46078</v>
      </c>
      <c r="I487" s="189" t="s">
        <v>325</v>
      </c>
      <c r="J487" s="189" t="s">
        <v>128</v>
      </c>
      <c r="K487" s="189" t="s">
        <v>232</v>
      </c>
      <c r="L487" s="189" t="s">
        <v>144</v>
      </c>
      <c r="M487" s="189" t="s">
        <v>146</v>
      </c>
      <c r="N487" s="189" t="s">
        <v>560</v>
      </c>
      <c r="O487" s="189" t="s">
        <v>172</v>
      </c>
      <c r="P487" s="189" t="s">
        <v>111</v>
      </c>
      <c r="Q487" s="189" t="s">
        <v>112</v>
      </c>
      <c r="R487" s="189" t="s">
        <v>21</v>
      </c>
      <c r="S487" s="189" t="s">
        <v>120</v>
      </c>
      <c r="T487" s="189" t="s">
        <v>180</v>
      </c>
      <c r="U487" s="189" t="s">
        <v>122</v>
      </c>
      <c r="V487" s="189" t="s">
        <v>123</v>
      </c>
      <c r="W487" s="189" t="s">
        <v>124</v>
      </c>
      <c r="X487" s="189" t="s">
        <v>1830</v>
      </c>
      <c r="Y487" s="189" t="s">
        <v>1830</v>
      </c>
      <c r="Z487" s="189" t="s">
        <v>3340</v>
      </c>
      <c r="AG487" s="189" t="s">
        <v>3343</v>
      </c>
    </row>
    <row r="488" customFormat="false" ht="15" hidden="false" customHeight="true" outlineLevel="0" collapsed="false">
      <c r="A488" s="0" t="n">
        <v>487</v>
      </c>
      <c r="B488" s="191" t="n">
        <v>46067.2181743748</v>
      </c>
      <c r="C488" s="191" t="n">
        <v>46067.2334868748</v>
      </c>
      <c r="D488" s="189" t="s">
        <v>2891</v>
      </c>
      <c r="E488" s="189" t="s">
        <v>2892</v>
      </c>
      <c r="F488" s="189" t="s">
        <v>2892</v>
      </c>
      <c r="G488" s="189" t="s">
        <v>2893</v>
      </c>
      <c r="H488" s="191" t="n">
        <v>46061</v>
      </c>
      <c r="I488" s="189" t="s">
        <v>132</v>
      </c>
      <c r="J488" s="189" t="s">
        <v>295</v>
      </c>
      <c r="K488" s="189" t="s">
        <v>245</v>
      </c>
      <c r="L488" s="189" t="s">
        <v>286</v>
      </c>
      <c r="M488" s="189" t="s">
        <v>864</v>
      </c>
      <c r="N488" s="189" t="s">
        <v>1028</v>
      </c>
      <c r="O488" s="189" t="s">
        <v>713</v>
      </c>
      <c r="P488" s="189" t="s">
        <v>111</v>
      </c>
      <c r="Q488" s="189" t="s">
        <v>112</v>
      </c>
      <c r="R488" s="189" t="s">
        <v>22</v>
      </c>
      <c r="S488" s="189" t="s">
        <v>152</v>
      </c>
      <c r="T488" s="189" t="s">
        <v>228</v>
      </c>
      <c r="U488" s="189" t="s">
        <v>122</v>
      </c>
      <c r="V488" s="189" t="s">
        <v>123</v>
      </c>
      <c r="W488" s="189" t="s">
        <v>168</v>
      </c>
      <c r="X488" s="189" t="s">
        <v>381</v>
      </c>
      <c r="Y488" s="189" t="s">
        <v>381</v>
      </c>
      <c r="Z488" s="189" t="s">
        <v>3233</v>
      </c>
      <c r="AA488" s="189" t="s">
        <v>3180</v>
      </c>
      <c r="AG488" s="189" t="s">
        <v>3163</v>
      </c>
      <c r="AH488" s="189" t="s">
        <v>3181</v>
      </c>
    </row>
    <row r="489" customFormat="false" ht="15" hidden="false" customHeight="true" outlineLevel="0" collapsed="false">
      <c r="A489" s="0" t="n">
        <v>488</v>
      </c>
      <c r="B489" s="191" t="n">
        <v>46110.1458905546</v>
      </c>
      <c r="C489" s="191" t="n">
        <v>46110.1552076842</v>
      </c>
      <c r="D489" s="189" t="s">
        <v>2895</v>
      </c>
      <c r="E489" s="189" t="s">
        <v>2896</v>
      </c>
      <c r="F489" s="189" t="s">
        <v>2897</v>
      </c>
      <c r="G489" s="189" t="s">
        <v>2898</v>
      </c>
      <c r="H489" s="191" t="n">
        <v>46106</v>
      </c>
      <c r="I489" s="189" t="s">
        <v>113</v>
      </c>
      <c r="J489" s="189" t="s">
        <v>108</v>
      </c>
      <c r="K489" s="189" t="s">
        <v>143</v>
      </c>
      <c r="L489" s="189" t="s">
        <v>268</v>
      </c>
      <c r="M489" s="189" t="s">
        <v>1380</v>
      </c>
      <c r="N489" s="189" t="s">
        <v>1156</v>
      </c>
      <c r="O489" s="189" t="s">
        <v>107</v>
      </c>
      <c r="P489" s="189" t="s">
        <v>111</v>
      </c>
      <c r="Q489" s="189" t="s">
        <v>145</v>
      </c>
      <c r="R489" s="189" t="s">
        <v>24</v>
      </c>
      <c r="S489" s="189" t="s">
        <v>120</v>
      </c>
      <c r="T489" s="189" t="s">
        <v>496</v>
      </c>
      <c r="U489" s="189" t="s">
        <v>822</v>
      </c>
      <c r="V489" s="189" t="s">
        <v>192</v>
      </c>
      <c r="W489" s="189" t="s">
        <v>168</v>
      </c>
      <c r="X489" s="189" t="s">
        <v>448</v>
      </c>
      <c r="Y489" s="189" t="s">
        <v>448</v>
      </c>
      <c r="Z489" s="189" t="s">
        <v>3175</v>
      </c>
      <c r="AA489" s="189" t="s">
        <v>3173</v>
      </c>
      <c r="AG489" s="189" t="s">
        <v>3179</v>
      </c>
    </row>
    <row r="490" customFormat="false" ht="15" hidden="false" customHeight="true" outlineLevel="0" collapsed="false">
      <c r="A490" s="0" t="n">
        <v>489</v>
      </c>
      <c r="B490" s="191" t="n">
        <v>46160.374266639</v>
      </c>
      <c r="C490" s="191" t="n">
        <v>46160.3938962687</v>
      </c>
      <c r="D490" s="189" t="s">
        <v>2901</v>
      </c>
      <c r="E490" s="189" t="s">
        <v>2902</v>
      </c>
      <c r="F490" s="189" t="s">
        <v>2902</v>
      </c>
      <c r="G490" s="189" t="s">
        <v>2903</v>
      </c>
      <c r="H490" s="191" t="n">
        <v>46146</v>
      </c>
      <c r="I490" s="189" t="s">
        <v>113</v>
      </c>
      <c r="J490" s="189" t="s">
        <v>108</v>
      </c>
      <c r="K490" s="189" t="s">
        <v>2777</v>
      </c>
      <c r="L490" s="189" t="s">
        <v>296</v>
      </c>
      <c r="M490" s="189" t="s">
        <v>337</v>
      </c>
      <c r="N490" s="189" t="s">
        <v>414</v>
      </c>
      <c r="O490" s="189" t="s">
        <v>2670</v>
      </c>
      <c r="P490" s="189" t="s">
        <v>111</v>
      </c>
      <c r="Q490" s="189" t="s">
        <v>112</v>
      </c>
      <c r="R490" s="189" t="s">
        <v>21</v>
      </c>
      <c r="S490" s="189" t="s">
        <v>120</v>
      </c>
      <c r="T490" s="189" t="s">
        <v>496</v>
      </c>
      <c r="U490" s="189" t="s">
        <v>1641</v>
      </c>
      <c r="V490" s="189" t="s">
        <v>167</v>
      </c>
      <c r="W490" s="189" t="s">
        <v>124</v>
      </c>
      <c r="X490" s="189" t="s">
        <v>307</v>
      </c>
      <c r="Y490" s="189" t="s">
        <v>307</v>
      </c>
      <c r="Z490" s="189" t="s">
        <v>3129</v>
      </c>
      <c r="AA490" s="189" t="s">
        <v>3131</v>
      </c>
      <c r="AG490" s="189" t="s">
        <v>3134</v>
      </c>
      <c r="AH490" s="189" t="s">
        <v>3133</v>
      </c>
    </row>
    <row r="491" customFormat="false" ht="15" hidden="false" customHeight="true" outlineLevel="0" collapsed="false">
      <c r="A491" s="0" t="n">
        <v>490</v>
      </c>
      <c r="B491" s="191" t="n">
        <v>46067.9581217036</v>
      </c>
      <c r="C491" s="191" t="n">
        <v>46067.9701587407</v>
      </c>
      <c r="D491" s="189" t="s">
        <v>2906</v>
      </c>
      <c r="E491" s="189" t="s">
        <v>2907</v>
      </c>
      <c r="F491" s="189" t="s">
        <v>2907</v>
      </c>
      <c r="G491" s="189" t="s">
        <v>2908</v>
      </c>
      <c r="H491" s="191" t="n">
        <v>46054</v>
      </c>
      <c r="I491" s="189" t="s">
        <v>325</v>
      </c>
      <c r="J491" s="189" t="s">
        <v>108</v>
      </c>
      <c r="K491" s="189" t="s">
        <v>245</v>
      </c>
      <c r="L491" s="189" t="s">
        <v>246</v>
      </c>
      <c r="M491" s="189" t="s">
        <v>337</v>
      </c>
      <c r="N491" s="189" t="s">
        <v>544</v>
      </c>
      <c r="O491" s="189" t="s">
        <v>107</v>
      </c>
      <c r="P491" s="189" t="s">
        <v>111</v>
      </c>
      <c r="Q491" s="189" t="s">
        <v>247</v>
      </c>
      <c r="R491" s="189" t="s">
        <v>22</v>
      </c>
      <c r="S491" s="189" t="s">
        <v>152</v>
      </c>
      <c r="T491" s="189" t="s">
        <v>121</v>
      </c>
      <c r="V491" s="189" t="s">
        <v>192</v>
      </c>
      <c r="W491" s="189" t="s">
        <v>124</v>
      </c>
      <c r="X491" s="189" t="s">
        <v>135</v>
      </c>
      <c r="Y491" s="189" t="s">
        <v>135</v>
      </c>
      <c r="Z491" s="189" t="s">
        <v>3201</v>
      </c>
      <c r="AA491" s="189" t="s">
        <v>3071</v>
      </c>
      <c r="AG491" s="189" t="s">
        <v>122</v>
      </c>
    </row>
    <row r="492" customFormat="false" ht="15" hidden="false" customHeight="true" outlineLevel="0" collapsed="false">
      <c r="A492" s="0" t="n">
        <v>491</v>
      </c>
      <c r="B492" s="191" t="n">
        <v>46207.539081692</v>
      </c>
      <c r="C492" s="191" t="n">
        <v>46207.5435377105</v>
      </c>
      <c r="D492" s="189" t="s">
        <v>2911</v>
      </c>
      <c r="E492" s="189" t="s">
        <v>2912</v>
      </c>
      <c r="F492" s="189" t="s">
        <v>2912</v>
      </c>
      <c r="G492" s="189" t="s">
        <v>2913</v>
      </c>
      <c r="H492" s="191" t="n">
        <v>46202</v>
      </c>
      <c r="I492" s="189" t="s">
        <v>325</v>
      </c>
      <c r="J492" s="189" t="s">
        <v>295</v>
      </c>
      <c r="K492" s="189" t="s">
        <v>245</v>
      </c>
      <c r="L492" s="189" t="s">
        <v>286</v>
      </c>
      <c r="M492" s="189" t="s">
        <v>652</v>
      </c>
      <c r="N492" s="189" t="s">
        <v>175</v>
      </c>
      <c r="O492" s="189" t="s">
        <v>244</v>
      </c>
      <c r="P492" s="189" t="s">
        <v>111</v>
      </c>
      <c r="Q492" s="189" t="s">
        <v>112</v>
      </c>
      <c r="R492" s="189" t="s">
        <v>25</v>
      </c>
      <c r="S492" s="189" t="s">
        <v>152</v>
      </c>
      <c r="T492" s="189" t="s">
        <v>352</v>
      </c>
      <c r="U492" s="189" t="s">
        <v>2039</v>
      </c>
      <c r="V492" s="189" t="s">
        <v>167</v>
      </c>
      <c r="W492" s="189" t="s">
        <v>124</v>
      </c>
      <c r="X492" s="189" t="s">
        <v>1712</v>
      </c>
      <c r="Y492" s="189" t="s">
        <v>1712</v>
      </c>
      <c r="Z492" s="189" t="s">
        <v>3303</v>
      </c>
      <c r="AA492" s="189" t="s">
        <v>3304</v>
      </c>
      <c r="AB492" s="189" t="s">
        <v>3305</v>
      </c>
      <c r="AG492" s="189" t="s">
        <v>3308</v>
      </c>
    </row>
    <row r="493" customFormat="false" ht="15" hidden="false" customHeight="true" outlineLevel="0" collapsed="false">
      <c r="A493" s="0" t="n">
        <v>492</v>
      </c>
      <c r="B493" s="191" t="n">
        <v>46182.602102377</v>
      </c>
      <c r="C493" s="191" t="n">
        <v>46182.6219634881</v>
      </c>
      <c r="D493" s="189" t="s">
        <v>2914</v>
      </c>
      <c r="E493" s="189" t="s">
        <v>2915</v>
      </c>
      <c r="F493" s="189" t="s">
        <v>2915</v>
      </c>
      <c r="G493" s="189" t="s">
        <v>2916</v>
      </c>
      <c r="H493" s="191" t="n">
        <v>46179</v>
      </c>
      <c r="I493" s="189" t="s">
        <v>113</v>
      </c>
      <c r="J493" s="189" t="s">
        <v>108</v>
      </c>
      <c r="K493" s="189" t="s">
        <v>257</v>
      </c>
      <c r="L493" s="189" t="s">
        <v>110</v>
      </c>
      <c r="M493" s="189" t="s">
        <v>774</v>
      </c>
      <c r="N493" s="189" t="s">
        <v>389</v>
      </c>
      <c r="O493" s="189" t="s">
        <v>172</v>
      </c>
      <c r="P493" s="189" t="s">
        <v>111</v>
      </c>
      <c r="Q493" s="189" t="s">
        <v>112</v>
      </c>
      <c r="R493" s="189" t="s">
        <v>21</v>
      </c>
      <c r="S493" s="189" t="s">
        <v>152</v>
      </c>
      <c r="T493" s="189" t="s">
        <v>228</v>
      </c>
      <c r="U493" s="189" t="s">
        <v>1229</v>
      </c>
      <c r="V493" s="189" t="s">
        <v>123</v>
      </c>
      <c r="W493" s="189" t="s">
        <v>124</v>
      </c>
      <c r="X493" s="189" t="s">
        <v>457</v>
      </c>
      <c r="Y493" s="189" t="s">
        <v>457</v>
      </c>
      <c r="Z493" s="189" t="s">
        <v>3081</v>
      </c>
      <c r="AG493" s="189" t="s">
        <v>3070</v>
      </c>
      <c r="AH493" s="189" t="s">
        <v>3140</v>
      </c>
    </row>
    <row r="494" customFormat="false" ht="15" hidden="false" customHeight="true" outlineLevel="0" collapsed="false">
      <c r="A494" s="0" t="n">
        <v>493</v>
      </c>
      <c r="B494" s="191" t="n">
        <v>46109.6697559351</v>
      </c>
      <c r="C494" s="191" t="n">
        <v>46109.6903809351</v>
      </c>
      <c r="D494" s="189" t="s">
        <v>2917</v>
      </c>
      <c r="E494" s="189" t="s">
        <v>2918</v>
      </c>
      <c r="F494" s="189" t="s">
        <v>2918</v>
      </c>
      <c r="G494" s="189" t="s">
        <v>2919</v>
      </c>
      <c r="H494" s="191" t="n">
        <v>46103</v>
      </c>
      <c r="I494" s="189" t="s">
        <v>325</v>
      </c>
      <c r="J494" s="189" t="s">
        <v>108</v>
      </c>
      <c r="K494" s="189" t="s">
        <v>462</v>
      </c>
      <c r="L494" s="189" t="s">
        <v>184</v>
      </c>
      <c r="M494" s="189" t="s">
        <v>757</v>
      </c>
      <c r="N494" s="189" t="s">
        <v>552</v>
      </c>
      <c r="O494" s="189" t="s">
        <v>244</v>
      </c>
      <c r="P494" s="189" t="s">
        <v>131</v>
      </c>
      <c r="Q494" s="189" t="s">
        <v>247</v>
      </c>
      <c r="R494" s="189" t="s">
        <v>22</v>
      </c>
      <c r="S494" s="189" t="s">
        <v>152</v>
      </c>
      <c r="T494" s="189" t="s">
        <v>121</v>
      </c>
      <c r="U494" s="189" t="s">
        <v>1361</v>
      </c>
      <c r="V494" s="189" t="s">
        <v>192</v>
      </c>
      <c r="W494" s="189" t="s">
        <v>124</v>
      </c>
      <c r="X494" s="189" t="s">
        <v>271</v>
      </c>
      <c r="Y494" s="189" t="s">
        <v>271</v>
      </c>
      <c r="Z494" s="189" t="s">
        <v>3136</v>
      </c>
      <c r="AA494" s="189" t="s">
        <v>3230</v>
      </c>
      <c r="AB494" s="189" t="s">
        <v>3115</v>
      </c>
      <c r="AG494" s="189" t="s">
        <v>3118</v>
      </c>
    </row>
    <row r="495" customFormat="false" ht="15" hidden="false" customHeight="true" outlineLevel="0" collapsed="false">
      <c r="A495" s="0" t="n">
        <v>494</v>
      </c>
      <c r="B495" s="191" t="n">
        <v>46048.8979315074</v>
      </c>
      <c r="C495" s="191" t="n">
        <v>46048.9013342852</v>
      </c>
      <c r="D495" s="189" t="s">
        <v>2921</v>
      </c>
      <c r="E495" s="189" t="s">
        <v>2922</v>
      </c>
      <c r="F495" s="189" t="s">
        <v>2922</v>
      </c>
      <c r="G495" s="189" t="s">
        <v>2923</v>
      </c>
      <c r="H495" s="191" t="n">
        <v>46029</v>
      </c>
      <c r="I495" s="189" t="s">
        <v>325</v>
      </c>
      <c r="J495" s="189" t="s">
        <v>295</v>
      </c>
      <c r="K495" s="189" t="s">
        <v>196</v>
      </c>
      <c r="L495" s="189" t="s">
        <v>389</v>
      </c>
      <c r="M495" s="189" t="s">
        <v>566</v>
      </c>
      <c r="N495" s="189" t="s">
        <v>1100</v>
      </c>
      <c r="O495" s="189" t="s">
        <v>244</v>
      </c>
      <c r="P495" s="189" t="s">
        <v>111</v>
      </c>
      <c r="Q495" s="189" t="s">
        <v>112</v>
      </c>
      <c r="R495" s="189" t="s">
        <v>24</v>
      </c>
      <c r="S495" s="189" t="s">
        <v>227</v>
      </c>
      <c r="T495" s="189" t="s">
        <v>180</v>
      </c>
      <c r="U495" s="189" t="s">
        <v>166</v>
      </c>
      <c r="V495" s="189" t="s">
        <v>167</v>
      </c>
      <c r="W495" s="189" t="s">
        <v>139</v>
      </c>
      <c r="X495" s="189" t="s">
        <v>448</v>
      </c>
      <c r="Y495" s="189" t="s">
        <v>448</v>
      </c>
      <c r="Z495" s="189" t="s">
        <v>3174</v>
      </c>
      <c r="AG495" s="189" t="s">
        <v>3178</v>
      </c>
    </row>
    <row r="496" customFormat="false" ht="15" hidden="false" customHeight="true" outlineLevel="0" collapsed="false">
      <c r="A496" s="0" t="n">
        <v>495</v>
      </c>
      <c r="B496" s="191" t="n">
        <v>46039.7763961422</v>
      </c>
      <c r="C496" s="191" t="n">
        <v>46039.7903660496</v>
      </c>
      <c r="D496" s="189" t="s">
        <v>2925</v>
      </c>
      <c r="E496" s="189" t="s">
        <v>2926</v>
      </c>
      <c r="F496" s="189" t="s">
        <v>2927</v>
      </c>
      <c r="G496" s="189" t="s">
        <v>2928</v>
      </c>
      <c r="H496" s="191" t="n">
        <v>46030</v>
      </c>
      <c r="I496" s="189" t="s">
        <v>305</v>
      </c>
      <c r="J496" s="189" t="s">
        <v>108</v>
      </c>
      <c r="K496" s="189" t="s">
        <v>2929</v>
      </c>
      <c r="L496" s="189" t="s">
        <v>130</v>
      </c>
      <c r="M496" s="189" t="s">
        <v>144</v>
      </c>
      <c r="N496" s="189" t="s">
        <v>586</v>
      </c>
      <c r="O496" s="189" t="s">
        <v>278</v>
      </c>
      <c r="P496" s="189" t="s">
        <v>111</v>
      </c>
      <c r="Q496" s="189" t="s">
        <v>145</v>
      </c>
      <c r="R496" s="189" t="s">
        <v>22</v>
      </c>
      <c r="S496" s="189" t="s">
        <v>152</v>
      </c>
      <c r="T496" s="189" t="s">
        <v>180</v>
      </c>
      <c r="V496" s="189" t="s">
        <v>123</v>
      </c>
      <c r="W496" s="189" t="s">
        <v>168</v>
      </c>
      <c r="X496" s="189" t="s">
        <v>148</v>
      </c>
      <c r="Y496" s="189" t="s">
        <v>148</v>
      </c>
      <c r="Z496" s="189" t="s">
        <v>3281</v>
      </c>
      <c r="AA496" s="189" t="s">
        <v>3076</v>
      </c>
      <c r="AG496" s="189" t="s">
        <v>3094</v>
      </c>
    </row>
    <row r="497" customFormat="false" ht="15" hidden="false" customHeight="true" outlineLevel="0" collapsed="false">
      <c r="A497" s="0" t="n">
        <v>496</v>
      </c>
      <c r="B497" s="191" t="n">
        <v>46054.6538868949</v>
      </c>
      <c r="C497" s="191" t="n">
        <v>46054.6721623579</v>
      </c>
      <c r="D497" s="189" t="s">
        <v>2931</v>
      </c>
      <c r="E497" s="189" t="s">
        <v>2932</v>
      </c>
      <c r="F497" s="189" t="s">
        <v>2932</v>
      </c>
      <c r="G497" s="189" t="s">
        <v>2933</v>
      </c>
      <c r="H497" s="191" t="n">
        <v>46037</v>
      </c>
      <c r="I497" s="189" t="s">
        <v>305</v>
      </c>
      <c r="J497" s="189" t="s">
        <v>108</v>
      </c>
      <c r="K497" s="189" t="s">
        <v>2934</v>
      </c>
      <c r="L497" s="189" t="s">
        <v>210</v>
      </c>
      <c r="M497" s="189" t="s">
        <v>279</v>
      </c>
      <c r="N497" s="189" t="s">
        <v>827</v>
      </c>
      <c r="O497" s="189" t="s">
        <v>172</v>
      </c>
      <c r="P497" s="189" t="s">
        <v>111</v>
      </c>
      <c r="Q497" s="189" t="s">
        <v>112</v>
      </c>
      <c r="R497" s="189" t="s">
        <v>22</v>
      </c>
      <c r="S497" s="189" t="s">
        <v>120</v>
      </c>
      <c r="T497" s="189" t="s">
        <v>121</v>
      </c>
      <c r="U497" s="189" t="s">
        <v>1813</v>
      </c>
      <c r="V497" s="189" t="s">
        <v>192</v>
      </c>
      <c r="W497" s="189" t="s">
        <v>124</v>
      </c>
      <c r="X497" s="189" t="s">
        <v>715</v>
      </c>
      <c r="Y497" s="189" t="s">
        <v>715</v>
      </c>
      <c r="Z497" s="189" t="s">
        <v>3252</v>
      </c>
      <c r="AA497" s="189" t="s">
        <v>3255</v>
      </c>
      <c r="AB497" s="189" t="s">
        <v>3224</v>
      </c>
      <c r="AG497" s="189" t="s">
        <v>3253</v>
      </c>
    </row>
    <row r="498" customFormat="false" ht="15" hidden="false" customHeight="true" outlineLevel="0" collapsed="false">
      <c r="A498" s="0" t="n">
        <v>497</v>
      </c>
      <c r="B498" s="191" t="n">
        <v>46052.5019373128</v>
      </c>
      <c r="C498" s="191" t="n">
        <v>46052.5052590721</v>
      </c>
      <c r="D498" s="189" t="s">
        <v>2936</v>
      </c>
      <c r="E498" s="189" t="s">
        <v>2937</v>
      </c>
      <c r="F498" s="189" t="s">
        <v>2937</v>
      </c>
      <c r="G498" s="189" t="s">
        <v>2938</v>
      </c>
      <c r="H498" s="191" t="n">
        <v>46032</v>
      </c>
      <c r="I498" s="189" t="s">
        <v>113</v>
      </c>
      <c r="J498" s="189" t="s">
        <v>295</v>
      </c>
      <c r="K498" s="189" t="s">
        <v>356</v>
      </c>
      <c r="L498" s="189" t="s">
        <v>246</v>
      </c>
      <c r="M498" s="189" t="s">
        <v>357</v>
      </c>
      <c r="N498" s="189" t="s">
        <v>422</v>
      </c>
      <c r="O498" s="189" t="s">
        <v>713</v>
      </c>
      <c r="P498" s="189" t="s">
        <v>111</v>
      </c>
      <c r="Q498" s="189" t="s">
        <v>145</v>
      </c>
      <c r="R498" s="189" t="s">
        <v>22</v>
      </c>
      <c r="S498" s="189" t="s">
        <v>152</v>
      </c>
      <c r="T498" s="189" t="s">
        <v>121</v>
      </c>
      <c r="U498" s="189" t="s">
        <v>2940</v>
      </c>
      <c r="V498" s="189" t="s">
        <v>167</v>
      </c>
      <c r="W498" s="189" t="s">
        <v>124</v>
      </c>
      <c r="X498" s="189" t="s">
        <v>339</v>
      </c>
      <c r="Y498" s="189" t="s">
        <v>339</v>
      </c>
      <c r="Z498" s="189" t="s">
        <v>3141</v>
      </c>
      <c r="AG498" s="189" t="s">
        <v>122</v>
      </c>
      <c r="AH498" s="189" t="s">
        <v>3217</v>
      </c>
    </row>
    <row r="499" customFormat="false" ht="15" hidden="false" customHeight="true" outlineLevel="0" collapsed="false">
      <c r="A499" s="0" t="n">
        <v>498</v>
      </c>
      <c r="B499" s="191" t="n">
        <v>46097.4311586985</v>
      </c>
      <c r="C499" s="191" t="n">
        <v>46097.4462512911</v>
      </c>
      <c r="D499" s="189" t="s">
        <v>2941</v>
      </c>
      <c r="E499" s="189" t="s">
        <v>2942</v>
      </c>
      <c r="F499" s="189" t="s">
        <v>2942</v>
      </c>
      <c r="G499" s="189" t="s">
        <v>2943</v>
      </c>
      <c r="H499" s="191" t="n">
        <v>46078</v>
      </c>
      <c r="I499" s="189" t="s">
        <v>113</v>
      </c>
      <c r="J499" s="189" t="s">
        <v>108</v>
      </c>
      <c r="K499" s="189" t="s">
        <v>196</v>
      </c>
      <c r="L499" s="189" t="s">
        <v>246</v>
      </c>
      <c r="M499" s="189" t="s">
        <v>774</v>
      </c>
      <c r="N499" s="189" t="s">
        <v>1036</v>
      </c>
      <c r="O499" s="189" t="s">
        <v>157</v>
      </c>
      <c r="P499" s="189" t="s">
        <v>390</v>
      </c>
      <c r="Q499" s="189" t="s">
        <v>112</v>
      </c>
      <c r="R499" s="189" t="s">
        <v>21</v>
      </c>
      <c r="S499" s="189" t="s">
        <v>120</v>
      </c>
      <c r="T499" s="189" t="s">
        <v>352</v>
      </c>
      <c r="U499" s="189" t="s">
        <v>1568</v>
      </c>
      <c r="V499" s="189" t="s">
        <v>167</v>
      </c>
      <c r="W499" s="189" t="s">
        <v>124</v>
      </c>
      <c r="X499" s="189" t="s">
        <v>348</v>
      </c>
      <c r="Y499" s="189" t="s">
        <v>348</v>
      </c>
      <c r="Z499" s="189" t="s">
        <v>3310</v>
      </c>
      <c r="AA499" s="189" t="s">
        <v>3339</v>
      </c>
      <c r="AB499" s="189" t="s">
        <v>3146</v>
      </c>
      <c r="AG499" s="189" t="s">
        <v>3263</v>
      </c>
    </row>
    <row r="500" customFormat="false" ht="15" hidden="false" customHeight="true" outlineLevel="0" collapsed="false">
      <c r="A500" s="0" t="n">
        <v>499</v>
      </c>
      <c r="B500" s="191" t="n">
        <v>46175.3771776251</v>
      </c>
      <c r="C500" s="191" t="n">
        <v>46175.3811822548</v>
      </c>
      <c r="D500" s="189" t="s">
        <v>2945</v>
      </c>
      <c r="E500" s="189" t="s">
        <v>2946</v>
      </c>
      <c r="F500" s="189" t="s">
        <v>2946</v>
      </c>
      <c r="G500" s="189" t="s">
        <v>2947</v>
      </c>
      <c r="H500" s="191" t="n">
        <v>46162</v>
      </c>
      <c r="I500" s="189" t="s">
        <v>113</v>
      </c>
      <c r="J500" s="189" t="s">
        <v>108</v>
      </c>
      <c r="K500" s="189" t="s">
        <v>2948</v>
      </c>
      <c r="L500" s="189" t="s">
        <v>114</v>
      </c>
      <c r="M500" s="189" t="s">
        <v>234</v>
      </c>
      <c r="N500" s="189" t="s">
        <v>606</v>
      </c>
      <c r="O500" s="189" t="s">
        <v>107</v>
      </c>
      <c r="P500" s="189" t="s">
        <v>131</v>
      </c>
      <c r="Q500" s="189" t="s">
        <v>112</v>
      </c>
      <c r="R500" s="189" t="s">
        <v>22</v>
      </c>
      <c r="S500" s="189" t="s">
        <v>120</v>
      </c>
      <c r="T500" s="189" t="s">
        <v>180</v>
      </c>
      <c r="U500" s="189" t="s">
        <v>122</v>
      </c>
      <c r="V500" s="189" t="s">
        <v>123</v>
      </c>
      <c r="W500" s="189" t="s">
        <v>124</v>
      </c>
      <c r="X500" s="189" t="s">
        <v>381</v>
      </c>
      <c r="Y500" s="189" t="s">
        <v>381</v>
      </c>
      <c r="Z500" s="189" t="s">
        <v>3249</v>
      </c>
      <c r="AA500" s="189" t="s">
        <v>3180</v>
      </c>
      <c r="AB500" s="189" t="s">
        <v>3159</v>
      </c>
      <c r="AG500" s="189" t="s">
        <v>3234</v>
      </c>
      <c r="AH500" s="189" t="s">
        <v>3181</v>
      </c>
    </row>
    <row r="501" customFormat="false" ht="15" hidden="false" customHeight="true" outlineLevel="0" collapsed="false">
      <c r="A501" s="0" t="n">
        <v>500</v>
      </c>
      <c r="B501" s="191" t="n">
        <v>46146.2688058731</v>
      </c>
      <c r="C501" s="191" t="n">
        <v>46146.2716067991</v>
      </c>
      <c r="D501" s="189" t="s">
        <v>2950</v>
      </c>
      <c r="E501" s="189" t="s">
        <v>2951</v>
      </c>
      <c r="F501" s="189" t="s">
        <v>2951</v>
      </c>
      <c r="G501" s="189" t="s">
        <v>2952</v>
      </c>
      <c r="H501" s="191" t="n">
        <v>46137</v>
      </c>
      <c r="I501" s="189" t="s">
        <v>113</v>
      </c>
      <c r="J501" s="189" t="s">
        <v>108</v>
      </c>
      <c r="K501" s="189" t="s">
        <v>2953</v>
      </c>
      <c r="L501" s="189" t="s">
        <v>130</v>
      </c>
      <c r="M501" s="189" t="s">
        <v>447</v>
      </c>
      <c r="N501" s="189" t="s">
        <v>1381</v>
      </c>
      <c r="O501" s="189" t="s">
        <v>107</v>
      </c>
      <c r="P501" s="189" t="s">
        <v>111</v>
      </c>
      <c r="Q501" s="189" t="s">
        <v>112</v>
      </c>
      <c r="R501" s="189" t="s">
        <v>22</v>
      </c>
      <c r="S501" s="189" t="s">
        <v>120</v>
      </c>
      <c r="T501" s="189" t="s">
        <v>1406</v>
      </c>
      <c r="V501" s="189" t="s">
        <v>123</v>
      </c>
      <c r="W501" s="189" t="s">
        <v>124</v>
      </c>
      <c r="X501" s="189" t="s">
        <v>381</v>
      </c>
      <c r="Y501" s="189" t="s">
        <v>381</v>
      </c>
      <c r="Z501" s="189" t="s">
        <v>3180</v>
      </c>
      <c r="AA501" s="189" t="s">
        <v>3233</v>
      </c>
      <c r="AG501" s="189" t="s">
        <v>3181</v>
      </c>
    </row>
    <row r="1048576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7"/>
  </cols>
  <sheetData>
    <row r="1" customFormat="false" ht="15" hidden="false" customHeight="true" outlineLevel="0" collapsed="false">
      <c r="A1" s="186" t="s">
        <v>0</v>
      </c>
      <c r="B1" s="186" t="s">
        <v>3344</v>
      </c>
      <c r="C1" s="186" t="s">
        <v>99</v>
      </c>
    </row>
    <row r="2" customFormat="false" ht="15" hidden="false" customHeight="true" outlineLevel="0" collapsed="false"/>
    <row r="3" customFormat="false" ht="15" hidden="false" customHeight="true" outlineLevel="0" collapsed="false"/>
    <row r="4" customFormat="false" ht="15" hidden="false" customHeight="true" outlineLevel="0" collapsed="false"/>
    <row r="5" customFormat="false" ht="15" hidden="false" customHeight="true" outlineLevel="0" collapsed="false"/>
    <row r="6" customFormat="false" ht="15" hidden="false" customHeight="true" outlineLevel="0" collapsed="false"/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2026-06-01T05:46:00Z</dcterms:created>
  <dc:creator>openpyxl</dc:creator>
  <dc:description/>
  <dc:language>en-US</dc:language>
  <cp:lastModifiedBy/>
  <dcterms:modified xsi:type="dcterms:W3CDTF">2026-07-13T07:54:37Z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31f486-f8b5-456b-a19a-dbe0d296c5fd_ActionId">
    <vt:lpwstr>e3ced5c8-bb89-4474-9030-ccfadc4373c8</vt:lpwstr>
  </property>
  <property fmtid="{D5CDD505-2E9C-101B-9397-08002B2CF9AE}" pid="3" name="MSIP_Label_7331f486-f8b5-456b-a19a-dbe0d296c5fd_ContentBits">
    <vt:lpwstr>0</vt:lpwstr>
  </property>
  <property fmtid="{D5CDD505-2E9C-101B-9397-08002B2CF9AE}" pid="4" name="MSIP_Label_7331f486-f8b5-456b-a19a-dbe0d296c5fd_Enabled">
    <vt:lpwstr>true</vt:lpwstr>
  </property>
  <property fmtid="{D5CDD505-2E9C-101B-9397-08002B2CF9AE}" pid="5" name="MSIP_Label_7331f486-f8b5-456b-a19a-dbe0d296c5fd_Method">
    <vt:lpwstr>Standard</vt:lpwstr>
  </property>
  <property fmtid="{D5CDD505-2E9C-101B-9397-08002B2CF9AE}" pid="6" name="MSIP_Label_7331f486-f8b5-456b-a19a-dbe0d296c5fd_Name">
    <vt:lpwstr>Company Confidential Internal Use</vt:lpwstr>
  </property>
  <property fmtid="{D5CDD505-2E9C-101B-9397-08002B2CF9AE}" pid="7" name="MSIP_Label_7331f486-f8b5-456b-a19a-dbe0d296c5fd_SetDate">
    <vt:lpwstr>2026-06-01T11:56:56Z</vt:lpwstr>
  </property>
  <property fmtid="{D5CDD505-2E9C-101B-9397-08002B2CF9AE}" pid="8" name="MSIP_Label_7331f486-f8b5-456b-a19a-dbe0d296c5fd_SiteId">
    <vt:lpwstr>edf442f5-b994-4c86-a131-b42b03a16c95</vt:lpwstr>
  </property>
  <property fmtid="{D5CDD505-2E9C-101B-9397-08002B2CF9AE}" pid="9" name="MSIP_Label_7331f486-f8b5-456b-a19a-dbe0d296c5fd_Tag">
    <vt:lpwstr>10, 3, 0, 1</vt:lpwstr>
  </property>
</Properties>
</file>